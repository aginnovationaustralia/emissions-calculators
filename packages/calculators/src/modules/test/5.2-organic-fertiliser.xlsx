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A4E10C34-B21B-4E49-AEFF-6C339919DBB3}" xr6:coauthVersionLast="47" xr6:coauthVersionMax="47" xr10:uidLastSave="{00000000-0000-0000-0000-000000000000}"/>
  <bookViews>
    <workbookView xWindow="51220" yWindow="15260" windowWidth="28800" windowHeight="22400" activeTab="2" xr2:uid="{B34CCF14-86C9-E244-A6C9-8261CA2754B3}"/>
  </bookViews>
  <sheets>
    <sheet name="5.2.1.1 (purchased_untraced)" sheetId="1" r:id="rId1"/>
    <sheet name="5.2.1.1 (swine)" sheetId="2" r:id="rId2"/>
    <sheet name="5.2.1.1 (feedlot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4" i="3" l="1" a="1"/>
  <c r="AF14" i="3" s="1"/>
  <c r="AF15" i="3" a="1"/>
  <c r="AF15" i="3"/>
  <c r="AF16" i="3" a="1"/>
  <c r="AF16" i="3"/>
  <c r="AF17" i="3" a="1"/>
  <c r="AF17" i="3" s="1"/>
  <c r="AF8" i="3" a="1"/>
  <c r="AF8" i="3" s="1"/>
  <c r="AF9" i="3" a="1"/>
  <c r="AF9" i="3"/>
  <c r="AF10" i="3" a="1"/>
  <c r="AF10" i="3" s="1"/>
  <c r="AF11" i="3" a="1"/>
  <c r="AF11" i="3"/>
  <c r="AF12" i="3" a="1"/>
  <c r="AF12" i="3" s="1"/>
  <c r="AF13" i="3" a="1"/>
  <c r="AF13" i="3" s="1"/>
  <c r="F11" i="3" a="1"/>
  <c r="F11" i="3"/>
  <c r="F12" i="3" a="1"/>
  <c r="F12" i="3"/>
  <c r="F13" i="3" a="1"/>
  <c r="F13" i="3" s="1"/>
  <c r="H13" i="3" s="1"/>
  <c r="I13" i="3" s="1"/>
  <c r="K13" i="3" s="1"/>
  <c r="F14" i="3" a="1"/>
  <c r="F14" i="3"/>
  <c r="F15" i="3" a="1"/>
  <c r="F15" i="3"/>
  <c r="F16" i="3" a="1"/>
  <c r="F16" i="3"/>
  <c r="F17" i="3" a="1"/>
  <c r="F17" i="3"/>
  <c r="F8" i="3" a="1"/>
  <c r="F8" i="3" s="1"/>
  <c r="F9" i="3" a="1"/>
  <c r="F9" i="3"/>
  <c r="F10" i="3" a="1"/>
  <c r="F10" i="3" s="1"/>
  <c r="G17" i="3" a="1"/>
  <c r="G17" i="3" s="1"/>
  <c r="D17" i="3" a="1"/>
  <c r="D17" i="3" s="1"/>
  <c r="G16" i="3" a="1"/>
  <c r="G16" i="3" s="1"/>
  <c r="D16" i="3" a="1"/>
  <c r="D16" i="3" s="1"/>
  <c r="G15" i="3" a="1"/>
  <c r="G15" i="3" s="1"/>
  <c r="D15" i="3" a="1"/>
  <c r="D15" i="3" s="1"/>
  <c r="G14" i="3" a="1"/>
  <c r="G14" i="3" s="1"/>
  <c r="D14" i="3" a="1"/>
  <c r="D14" i="3" s="1"/>
  <c r="D11" i="3" a="1"/>
  <c r="D11" i="3" s="1"/>
  <c r="G11" i="3" a="1"/>
  <c r="G11" i="3"/>
  <c r="D12" i="3" a="1"/>
  <c r="D12" i="3"/>
  <c r="G12" i="3" a="1"/>
  <c r="G12" i="3"/>
  <c r="D13" i="3" a="1"/>
  <c r="D13" i="3"/>
  <c r="G13" i="3" a="1"/>
  <c r="G13" i="3"/>
  <c r="D10" i="3" a="1"/>
  <c r="D10" i="3" s="1"/>
  <c r="G10" i="3" a="1"/>
  <c r="G10" i="3"/>
  <c r="D9" i="3" a="1"/>
  <c r="D9" i="3" s="1"/>
  <c r="G9" i="3" a="1"/>
  <c r="G9" i="3" s="1"/>
  <c r="G8" i="3" a="1"/>
  <c r="G8" i="3" s="1"/>
  <c r="D8" i="3" a="1"/>
  <c r="D8" i="3" s="1"/>
  <c r="AE27" i="3"/>
  <c r="AE26" i="3"/>
  <c r="AM12" i="3"/>
  <c r="AF24" i="2"/>
  <c r="AF22" i="2"/>
  <c r="AF20" i="2"/>
  <c r="AF18" i="2"/>
  <c r="AF16" i="2"/>
  <c r="AF14" i="2"/>
  <c r="AF12" i="2"/>
  <c r="AF10" i="2"/>
  <c r="AF8" i="2"/>
  <c r="AD25" i="2"/>
  <c r="AD24" i="2"/>
  <c r="AD23" i="2"/>
  <c r="AD22" i="2"/>
  <c r="AD21" i="2"/>
  <c r="AD20" i="2"/>
  <c r="AD19" i="2"/>
  <c r="AD18" i="2"/>
  <c r="Z25" i="2"/>
  <c r="Z24" i="2"/>
  <c r="Z23" i="2"/>
  <c r="Z22" i="2"/>
  <c r="Z21" i="2"/>
  <c r="Z20" i="2"/>
  <c r="Z19" i="2"/>
  <c r="Z18" i="2"/>
  <c r="Z17" i="2"/>
  <c r="Z16" i="2"/>
  <c r="Z15" i="2"/>
  <c r="AD15" i="2" s="1"/>
  <c r="Z14" i="2"/>
  <c r="Z13" i="2"/>
  <c r="Z12" i="2"/>
  <c r="Z11" i="2"/>
  <c r="Z10" i="2"/>
  <c r="AD17" i="2"/>
  <c r="AD16" i="2"/>
  <c r="AD14" i="2"/>
  <c r="AD13" i="2"/>
  <c r="AD12" i="2"/>
  <c r="AD11" i="2"/>
  <c r="AD10" i="2"/>
  <c r="AD9" i="2"/>
  <c r="AD8" i="2"/>
  <c r="AE25" i="2"/>
  <c r="AA25" i="2"/>
  <c r="V25" i="2"/>
  <c r="U25" i="2"/>
  <c r="Q25" i="2" a="1"/>
  <c r="Q25" i="2" s="1"/>
  <c r="P25" i="2" a="1"/>
  <c r="P25" i="2" s="1"/>
  <c r="O25" i="2" a="1"/>
  <c r="O25" i="2" s="1"/>
  <c r="N25" i="2" a="1"/>
  <c r="N25" i="2" s="1"/>
  <c r="M25" i="2"/>
  <c r="R25" i="2" s="1"/>
  <c r="AA24" i="2"/>
  <c r="V24" i="2"/>
  <c r="U24" i="2"/>
  <c r="Q24" i="2" a="1"/>
  <c r="Q24" i="2" s="1"/>
  <c r="P24" i="2" a="1"/>
  <c r="P24" i="2" s="1"/>
  <c r="O24" i="2" a="1"/>
  <c r="O24" i="2" s="1"/>
  <c r="N24" i="2" a="1"/>
  <c r="N24" i="2" s="1"/>
  <c r="L24" i="2"/>
  <c r="R24" i="2" s="1"/>
  <c r="W24" i="2" s="1" a="1"/>
  <c r="W24" i="2" s="1"/>
  <c r="AE23" i="2"/>
  <c r="AB23" i="2"/>
  <c r="AA23" i="2"/>
  <c r="V23" i="2"/>
  <c r="U23" i="2"/>
  <c r="Q23" i="2" a="1"/>
  <c r="Q23" i="2" s="1"/>
  <c r="P23" i="2" a="1"/>
  <c r="P23" i="2" s="1"/>
  <c r="O23" i="2" a="1"/>
  <c r="O23" i="2" s="1"/>
  <c r="N23" i="2" a="1"/>
  <c r="N23" i="2" s="1"/>
  <c r="M23" i="2"/>
  <c r="R23" i="2" s="1"/>
  <c r="AB22" i="2"/>
  <c r="AA22" i="2"/>
  <c r="V22" i="2"/>
  <c r="U22" i="2"/>
  <c r="Q22" i="2" a="1"/>
  <c r="Q22" i="2" s="1"/>
  <c r="P22" i="2" a="1"/>
  <c r="P22" i="2" s="1"/>
  <c r="O22" i="2" a="1"/>
  <c r="O22" i="2" s="1"/>
  <c r="N22" i="2" a="1"/>
  <c r="N22" i="2" s="1"/>
  <c r="L22" i="2"/>
  <c r="R22" i="2" s="1"/>
  <c r="AE21" i="2"/>
  <c r="AB21" i="2"/>
  <c r="AA21" i="2"/>
  <c r="V21" i="2"/>
  <c r="U21" i="2"/>
  <c r="Q21" i="2" a="1"/>
  <c r="Q21" i="2" s="1"/>
  <c r="P21" i="2" a="1"/>
  <c r="P21" i="2" s="1"/>
  <c r="O21" i="2" a="1"/>
  <c r="O21" i="2" s="1"/>
  <c r="N21" i="2" a="1"/>
  <c r="N21" i="2" s="1"/>
  <c r="M21" i="2"/>
  <c r="R21" i="2" s="1"/>
  <c r="AA20" i="2"/>
  <c r="V20" i="2"/>
  <c r="U20" i="2"/>
  <c r="Q20" i="2" a="1"/>
  <c r="Q20" i="2" s="1"/>
  <c r="P20" i="2" a="1"/>
  <c r="P20" i="2" s="1"/>
  <c r="O20" i="2" a="1"/>
  <c r="O20" i="2" s="1"/>
  <c r="N20" i="2" a="1"/>
  <c r="N20" i="2" s="1"/>
  <c r="L20" i="2"/>
  <c r="R20" i="2" s="1"/>
  <c r="W20" i="2" s="1" a="1"/>
  <c r="W20" i="2" s="1"/>
  <c r="AE19" i="2"/>
  <c r="AA19" i="2"/>
  <c r="V19" i="2"/>
  <c r="U19" i="2"/>
  <c r="Q19" i="2" a="1"/>
  <c r="Q19" i="2" s="1"/>
  <c r="P19" i="2" a="1"/>
  <c r="P19" i="2" s="1"/>
  <c r="O19" i="2" a="1"/>
  <c r="O19" i="2" s="1"/>
  <c r="N19" i="2" a="1"/>
  <c r="N19" i="2" s="1"/>
  <c r="M19" i="2"/>
  <c r="R19" i="2" s="1"/>
  <c r="AB18" i="2"/>
  <c r="AA18" i="2"/>
  <c r="V18" i="2"/>
  <c r="U18" i="2"/>
  <c r="Q18" i="2" a="1"/>
  <c r="Q18" i="2" s="1"/>
  <c r="P18" i="2" a="1"/>
  <c r="P18" i="2" s="1"/>
  <c r="O18" i="2" a="1"/>
  <c r="O18" i="2" s="1"/>
  <c r="N18" i="2" a="1"/>
  <c r="N18" i="2" s="1"/>
  <c r="L18" i="2"/>
  <c r="R18" i="2" s="1"/>
  <c r="AE17" i="2"/>
  <c r="AB17" i="2"/>
  <c r="AA17" i="2"/>
  <c r="V17" i="2"/>
  <c r="U17" i="2"/>
  <c r="Q17" i="2" a="1"/>
  <c r="Q17" i="2" s="1"/>
  <c r="P17" i="2" a="1"/>
  <c r="P17" i="2" s="1"/>
  <c r="O17" i="2" a="1"/>
  <c r="O17" i="2" s="1"/>
  <c r="N17" i="2" a="1"/>
  <c r="N17" i="2" s="1"/>
  <c r="M17" i="2"/>
  <c r="R17" i="2" s="1"/>
  <c r="AB16" i="2"/>
  <c r="AA16" i="2"/>
  <c r="V16" i="2"/>
  <c r="U16" i="2"/>
  <c r="Q16" i="2" a="1"/>
  <c r="Q16" i="2" s="1"/>
  <c r="P16" i="2" a="1"/>
  <c r="P16" i="2" s="1"/>
  <c r="O16" i="2" a="1"/>
  <c r="O16" i="2" s="1"/>
  <c r="N16" i="2" a="1"/>
  <c r="N16" i="2" s="1"/>
  <c r="L16" i="2"/>
  <c r="R16" i="2" s="1"/>
  <c r="AE15" i="2"/>
  <c r="AA15" i="2"/>
  <c r="V15" i="2"/>
  <c r="U15" i="2"/>
  <c r="Q15" i="2" a="1"/>
  <c r="Q15" i="2" s="1"/>
  <c r="P15" i="2" a="1"/>
  <c r="P15" i="2" s="1"/>
  <c r="O15" i="2" a="1"/>
  <c r="O15" i="2" s="1"/>
  <c r="N15" i="2" a="1"/>
  <c r="N15" i="2" s="1"/>
  <c r="M15" i="2"/>
  <c r="R15" i="2" s="1"/>
  <c r="AA14" i="2"/>
  <c r="V14" i="2"/>
  <c r="U14" i="2"/>
  <c r="Q14" i="2" a="1"/>
  <c r="Q14" i="2" s="1"/>
  <c r="P14" i="2" a="1"/>
  <c r="P14" i="2" s="1"/>
  <c r="O14" i="2" a="1"/>
  <c r="O14" i="2" s="1"/>
  <c r="N14" i="2" a="1"/>
  <c r="N14" i="2" s="1"/>
  <c r="L14" i="2"/>
  <c r="R14" i="2" s="1"/>
  <c r="W14" i="2" s="1" a="1"/>
  <c r="W14" i="2" s="1"/>
  <c r="AE13" i="2"/>
  <c r="AA13" i="2"/>
  <c r="V13" i="2"/>
  <c r="U13" i="2"/>
  <c r="Q13" i="2" a="1"/>
  <c r="Q13" i="2" s="1"/>
  <c r="P13" i="2" a="1"/>
  <c r="P13" i="2" s="1"/>
  <c r="O13" i="2" a="1"/>
  <c r="O13" i="2" s="1"/>
  <c r="N13" i="2" a="1"/>
  <c r="N13" i="2" s="1"/>
  <c r="M13" i="2"/>
  <c r="R13" i="2" s="1"/>
  <c r="AB12" i="2"/>
  <c r="AA12" i="2"/>
  <c r="V12" i="2"/>
  <c r="U12" i="2"/>
  <c r="Q12" i="2" a="1"/>
  <c r="Q12" i="2" s="1"/>
  <c r="P12" i="2" a="1"/>
  <c r="P12" i="2" s="1"/>
  <c r="O12" i="2" a="1"/>
  <c r="O12" i="2" s="1"/>
  <c r="N12" i="2" a="1"/>
  <c r="N12" i="2" s="1"/>
  <c r="L12" i="2"/>
  <c r="R12" i="2" s="1"/>
  <c r="AE11" i="2"/>
  <c r="AB11" i="2"/>
  <c r="AA11" i="2"/>
  <c r="V11" i="2"/>
  <c r="U11" i="2"/>
  <c r="Q11" i="2" a="1"/>
  <c r="Q11" i="2" s="1"/>
  <c r="P11" i="2" a="1"/>
  <c r="P11" i="2" s="1"/>
  <c r="O11" i="2" a="1"/>
  <c r="O11" i="2" s="1"/>
  <c r="N11" i="2" a="1"/>
  <c r="N11" i="2" s="1"/>
  <c r="M11" i="2"/>
  <c r="R11" i="2" s="1"/>
  <c r="AB10" i="2"/>
  <c r="AA10" i="2"/>
  <c r="V10" i="2"/>
  <c r="U10" i="2"/>
  <c r="Q10" i="2" a="1"/>
  <c r="Q10" i="2" s="1"/>
  <c r="P10" i="2" a="1"/>
  <c r="P10" i="2" s="1"/>
  <c r="O10" i="2" a="1"/>
  <c r="O10" i="2" s="1"/>
  <c r="N10" i="2" a="1"/>
  <c r="N10" i="2" s="1"/>
  <c r="L10" i="2"/>
  <c r="R10" i="2" s="1"/>
  <c r="AA9" i="2"/>
  <c r="V9" i="2"/>
  <c r="U9" i="2"/>
  <c r="Q9" i="2" a="1"/>
  <c r="Q9" i="2" s="1"/>
  <c r="P9" i="2" a="1"/>
  <c r="P9" i="2" s="1"/>
  <c r="O9" i="2" a="1"/>
  <c r="O9" i="2" s="1"/>
  <c r="N9" i="2" a="1"/>
  <c r="N9" i="2" s="1"/>
  <c r="M9" i="2"/>
  <c r="R9" i="2" s="1"/>
  <c r="Q8" i="2" a="1"/>
  <c r="Q8" i="2" s="1"/>
  <c r="P8" i="2" a="1"/>
  <c r="P8" i="2" s="1"/>
  <c r="O8" i="2" a="1"/>
  <c r="O8" i="2" s="1"/>
  <c r="N8" i="2" a="1"/>
  <c r="N8" i="2" s="1"/>
  <c r="L8" i="2"/>
  <c r="R8" i="2" s="1"/>
  <c r="V8" i="2"/>
  <c r="U8" i="2"/>
  <c r="AI12" i="2"/>
  <c r="AB9" i="2" s="1"/>
  <c r="J22" i="1"/>
  <c r="J21" i="1"/>
  <c r="O11" i="1"/>
  <c r="K17" i="1" s="1"/>
  <c r="I18" i="1"/>
  <c r="Y27" i="2"/>
  <c r="Y26" i="2"/>
  <c r="AA8" i="2"/>
  <c r="D18" i="1"/>
  <c r="D19" i="1"/>
  <c r="I19" i="1" s="1"/>
  <c r="D20" i="1"/>
  <c r="I20" i="1" s="1"/>
  <c r="D21" i="1"/>
  <c r="I21" i="1" s="1"/>
  <c r="D22" i="1"/>
  <c r="I22" i="1" s="1"/>
  <c r="D23" i="1"/>
  <c r="D24" i="1"/>
  <c r="D25" i="1"/>
  <c r="D26" i="1"/>
  <c r="D27" i="1"/>
  <c r="D28" i="1"/>
  <c r="D17" i="1"/>
  <c r="I17" i="1" s="1"/>
  <c r="D29" i="1"/>
  <c r="D30" i="1"/>
  <c r="J17" i="1"/>
  <c r="J18" i="1"/>
  <c r="J19" i="1"/>
  <c r="J20" i="1"/>
  <c r="H10" i="3" l="1"/>
  <c r="I10" i="3" s="1"/>
  <c r="K10" i="3" s="1"/>
  <c r="Y10" i="3" s="1" a="1"/>
  <c r="Y10" i="3" s="1"/>
  <c r="AB10" i="3" s="1" a="1"/>
  <c r="AB10" i="3" s="1"/>
  <c r="H17" i="3"/>
  <c r="I17" i="3" s="1"/>
  <c r="K17" i="3" s="1"/>
  <c r="Y17" i="3" s="1" a="1"/>
  <c r="Y17" i="3" s="1"/>
  <c r="AB17" i="3" s="1" a="1"/>
  <c r="AB17" i="3" s="1"/>
  <c r="AD17" i="3" s="1"/>
  <c r="H11" i="3"/>
  <c r="I11" i="3" s="1"/>
  <c r="K11" i="3" s="1"/>
  <c r="T11" i="3" s="1"/>
  <c r="H14" i="3"/>
  <c r="I14" i="3" s="1"/>
  <c r="K14" i="3" s="1"/>
  <c r="V14" i="3" s="1"/>
  <c r="H8" i="3"/>
  <c r="I8" i="3" s="1"/>
  <c r="H15" i="3"/>
  <c r="I15" i="3" s="1"/>
  <c r="K15" i="3" s="1"/>
  <c r="Z15" i="3" s="1"/>
  <c r="H16" i="3"/>
  <c r="I16" i="3" s="1"/>
  <c r="K16" i="3" s="1"/>
  <c r="Z16" i="3" s="1"/>
  <c r="Z17" i="3"/>
  <c r="V17" i="3"/>
  <c r="S17" i="3"/>
  <c r="AA17" i="3"/>
  <c r="AH17" i="3"/>
  <c r="AG17" i="3"/>
  <c r="R17" i="3"/>
  <c r="U17" i="3"/>
  <c r="T17" i="3"/>
  <c r="T16" i="3"/>
  <c r="S16" i="3"/>
  <c r="AA16" i="3"/>
  <c r="AH16" i="3"/>
  <c r="Y16" i="3" a="1"/>
  <c r="Y16" i="3" s="1"/>
  <c r="AB16" i="3" s="1" a="1"/>
  <c r="AB16" i="3" s="1"/>
  <c r="Z14" i="3"/>
  <c r="AG14" i="3"/>
  <c r="U14" i="3"/>
  <c r="AH14" i="3"/>
  <c r="Y14" i="3" a="1"/>
  <c r="Y14" i="3" s="1"/>
  <c r="AB14" i="3" s="1" a="1"/>
  <c r="AB14" i="3" s="1"/>
  <c r="T14" i="3"/>
  <c r="H12" i="3"/>
  <c r="I12" i="3" s="1"/>
  <c r="K12" i="3" s="1"/>
  <c r="AA13" i="3"/>
  <c r="AH13" i="3"/>
  <c r="AG13" i="3"/>
  <c r="R13" i="3"/>
  <c r="S13" i="3"/>
  <c r="T13" i="3"/>
  <c r="U13" i="3"/>
  <c r="Z13" i="3"/>
  <c r="V13" i="3"/>
  <c r="Y13" i="3" a="1"/>
  <c r="Y13" i="3" s="1"/>
  <c r="AB13" i="3" s="1" a="1"/>
  <c r="AB13" i="3" s="1"/>
  <c r="U11" i="3"/>
  <c r="AA11" i="3"/>
  <c r="V11" i="3"/>
  <c r="Z11" i="3"/>
  <c r="R11" i="3"/>
  <c r="AG11" i="3"/>
  <c r="S11" i="3"/>
  <c r="Y11" i="3" a="1"/>
  <c r="Y11" i="3" s="1"/>
  <c r="AB11" i="3" s="1" a="1"/>
  <c r="AB11" i="3" s="1"/>
  <c r="AH11" i="3"/>
  <c r="T10" i="3"/>
  <c r="U10" i="3"/>
  <c r="AG10" i="3"/>
  <c r="AH10" i="3"/>
  <c r="R10" i="3"/>
  <c r="V10" i="3"/>
  <c r="Z10" i="3"/>
  <c r="S10" i="3"/>
  <c r="H9" i="3"/>
  <c r="I9" i="3" s="1"/>
  <c r="K9" i="3" s="1"/>
  <c r="W9" i="2" a="1"/>
  <c r="W9" i="2" s="1"/>
  <c r="AB15" i="2"/>
  <c r="W18" i="2" a="1"/>
  <c r="W18" i="2" s="1"/>
  <c r="W12" i="2" a="1"/>
  <c r="W12" i="2" s="1"/>
  <c r="W8" i="2" a="1"/>
  <c r="W8" i="2" s="1"/>
  <c r="S8" i="2"/>
  <c r="W16" i="2" a="1"/>
  <c r="W16" i="2" s="1"/>
  <c r="AB24" i="2"/>
  <c r="W22" i="2" a="1"/>
  <c r="W22" i="2" s="1"/>
  <c r="AB20" i="2"/>
  <c r="AB25" i="2"/>
  <c r="S9" i="2"/>
  <c r="X9" i="2" s="1" a="1"/>
  <c r="X9" i="2" s="1"/>
  <c r="AB14" i="2"/>
  <c r="AB13" i="2"/>
  <c r="AB19" i="2"/>
  <c r="S25" i="2"/>
  <c r="X25" i="2" s="1" a="1"/>
  <c r="X25" i="2" s="1"/>
  <c r="W25" i="2" a="1"/>
  <c r="W25" i="2" s="1"/>
  <c r="S24" i="2"/>
  <c r="X24" i="2" s="1" a="1"/>
  <c r="X24" i="2" s="1"/>
  <c r="Y24" i="2" s="1"/>
  <c r="S23" i="2"/>
  <c r="X23" i="2" s="1" a="1"/>
  <c r="X23" i="2" s="1"/>
  <c r="W23" i="2" a="1"/>
  <c r="W23" i="2" s="1"/>
  <c r="S22" i="2"/>
  <c r="X22" i="2" s="1" a="1"/>
  <c r="X22" i="2" s="1"/>
  <c r="Y22" i="2" s="1"/>
  <c r="AC22" i="2" s="1"/>
  <c r="S21" i="2"/>
  <c r="X21" i="2" s="1" a="1"/>
  <c r="X21" i="2" s="1"/>
  <c r="W21" i="2" a="1"/>
  <c r="W21" i="2" s="1"/>
  <c r="S20" i="2"/>
  <c r="X20" i="2" s="1" a="1"/>
  <c r="X20" i="2" s="1"/>
  <c r="Y20" i="2" s="1"/>
  <c r="AC20" i="2" s="1"/>
  <c r="W19" i="2" a="1"/>
  <c r="W19" i="2" s="1"/>
  <c r="S19" i="2"/>
  <c r="X19" i="2" s="1" a="1"/>
  <c r="X19" i="2" s="1"/>
  <c r="Y19" i="2" s="1"/>
  <c r="S18" i="2"/>
  <c r="X18" i="2" s="1" a="1"/>
  <c r="X18" i="2" s="1"/>
  <c r="S17" i="2"/>
  <c r="X17" i="2" s="1" a="1"/>
  <c r="X17" i="2" s="1"/>
  <c r="W17" i="2" a="1"/>
  <c r="W17" i="2" s="1"/>
  <c r="S16" i="2"/>
  <c r="X16" i="2" s="1" a="1"/>
  <c r="X16" i="2" s="1"/>
  <c r="W15" i="2" a="1"/>
  <c r="W15" i="2" s="1"/>
  <c r="S15" i="2"/>
  <c r="X15" i="2" s="1" a="1"/>
  <c r="X15" i="2" s="1"/>
  <c r="S14" i="2"/>
  <c r="X14" i="2" s="1" a="1"/>
  <c r="X14" i="2" s="1"/>
  <c r="Y14" i="2" s="1"/>
  <c r="W13" i="2" a="1"/>
  <c r="W13" i="2" s="1"/>
  <c r="S13" i="2"/>
  <c r="X13" i="2" s="1" a="1"/>
  <c r="X13" i="2" s="1"/>
  <c r="Y13" i="2" s="1"/>
  <c r="S12" i="2"/>
  <c r="X12" i="2" s="1" a="1"/>
  <c r="X12" i="2" s="1"/>
  <c r="Y12" i="2" s="1"/>
  <c r="AC12" i="2" s="1"/>
  <c r="W11" i="2" a="1"/>
  <c r="W11" i="2" s="1"/>
  <c r="S11" i="2"/>
  <c r="X11" i="2" s="1" a="1"/>
  <c r="X11" i="2" s="1"/>
  <c r="W10" i="2" a="1"/>
  <c r="W10" i="2" s="1"/>
  <c r="S10" i="2"/>
  <c r="X10" i="2" s="1" a="1"/>
  <c r="X10" i="2" s="1"/>
  <c r="Y10" i="2" s="1"/>
  <c r="AC10" i="2" s="1"/>
  <c r="K21" i="1"/>
  <c r="L21" i="1" s="1"/>
  <c r="L22" i="1"/>
  <c r="K22" i="1"/>
  <c r="K18" i="1"/>
  <c r="K19" i="1"/>
  <c r="L19" i="1" s="1"/>
  <c r="AE9" i="2"/>
  <c r="AB8" i="2"/>
  <c r="K20" i="1"/>
  <c r="L20" i="1"/>
  <c r="L18" i="1"/>
  <c r="L17" i="1"/>
  <c r="U16" i="3" l="1"/>
  <c r="V16" i="3"/>
  <c r="T15" i="3"/>
  <c r="AA14" i="3"/>
  <c r="AD14" i="3" s="1"/>
  <c r="AG15" i="3"/>
  <c r="R14" i="3"/>
  <c r="W14" i="3" s="1"/>
  <c r="X14" i="3" s="1"/>
  <c r="AC14" i="3" s="1"/>
  <c r="AA15" i="3"/>
  <c r="U15" i="3"/>
  <c r="V15" i="3"/>
  <c r="S14" i="3"/>
  <c r="R16" i="3"/>
  <c r="AA10" i="3"/>
  <c r="AD10" i="3" s="1"/>
  <c r="Y15" i="3" a="1"/>
  <c r="Y15" i="3" s="1"/>
  <c r="AB15" i="3" s="1" a="1"/>
  <c r="AB15" i="3" s="1"/>
  <c r="AH15" i="3"/>
  <c r="R15" i="3"/>
  <c r="S15" i="3"/>
  <c r="W15" i="3" s="1"/>
  <c r="AG16" i="3"/>
  <c r="K8" i="3"/>
  <c r="U8" i="3" s="1"/>
  <c r="AD16" i="3"/>
  <c r="T9" i="3"/>
  <c r="AD13" i="3"/>
  <c r="W17" i="3"/>
  <c r="X17" i="3" s="1"/>
  <c r="AC17" i="3" s="1"/>
  <c r="AJ17" i="3" s="1"/>
  <c r="AD15" i="3"/>
  <c r="W16" i="3"/>
  <c r="X16" i="3" s="1"/>
  <c r="AC16" i="3" s="1"/>
  <c r="AJ16" i="3" s="1"/>
  <c r="AD11" i="3"/>
  <c r="W11" i="3"/>
  <c r="W13" i="3"/>
  <c r="AG12" i="3"/>
  <c r="Y12" i="3" a="1"/>
  <c r="Y12" i="3" s="1"/>
  <c r="AB12" i="3" s="1" a="1"/>
  <c r="AB12" i="3" s="1"/>
  <c r="AH12" i="3"/>
  <c r="S12" i="3"/>
  <c r="U12" i="3"/>
  <c r="Z12" i="3"/>
  <c r="AA12" i="3"/>
  <c r="R12" i="3"/>
  <c r="T12" i="3"/>
  <c r="V12" i="3"/>
  <c r="W10" i="3"/>
  <c r="R9" i="3"/>
  <c r="AA9" i="3"/>
  <c r="Z9" i="3"/>
  <c r="AH9" i="3"/>
  <c r="V9" i="3"/>
  <c r="S9" i="3"/>
  <c r="Y9" i="3" a="1"/>
  <c r="Y9" i="3" s="1"/>
  <c r="AB9" i="3" s="1" a="1"/>
  <c r="AB9" i="3" s="1"/>
  <c r="U9" i="3"/>
  <c r="AG9" i="3"/>
  <c r="Z8" i="3"/>
  <c r="Y8" i="3" a="1"/>
  <c r="Y8" i="3" s="1"/>
  <c r="AB8" i="3" s="1" a="1"/>
  <c r="AB8" i="3" s="1"/>
  <c r="AA8" i="3"/>
  <c r="R8" i="3"/>
  <c r="Y25" i="2"/>
  <c r="AC25" i="2" s="1"/>
  <c r="AC19" i="2"/>
  <c r="Y9" i="2"/>
  <c r="AC9" i="2" s="1"/>
  <c r="Z9" i="2"/>
  <c r="AC24" i="2"/>
  <c r="Y18" i="2"/>
  <c r="AC18" i="2" s="1"/>
  <c r="AE18" i="2" s="1"/>
  <c r="Y11" i="2"/>
  <c r="AC11" i="2" s="1"/>
  <c r="AE10" i="2" s="1"/>
  <c r="Y21" i="2"/>
  <c r="AC21" i="2" s="1"/>
  <c r="AE20" i="2" s="1"/>
  <c r="AE24" i="2"/>
  <c r="AC13" i="2"/>
  <c r="AE12" i="2" s="1"/>
  <c r="AC14" i="2"/>
  <c r="Y16" i="2"/>
  <c r="AC16" i="2" s="1"/>
  <c r="Y23" i="2"/>
  <c r="AC23" i="2" s="1"/>
  <c r="AE22" i="2" s="1"/>
  <c r="Y17" i="2"/>
  <c r="AC17" i="2" s="1"/>
  <c r="Y15" i="2"/>
  <c r="AC15" i="2" s="1"/>
  <c r="X8" i="2" a="1"/>
  <c r="X8" i="2" s="1"/>
  <c r="Z8" i="2" s="1"/>
  <c r="S8" i="3" l="1"/>
  <c r="AG8" i="3"/>
  <c r="AH8" i="3"/>
  <c r="T8" i="3"/>
  <c r="AJ14" i="3"/>
  <c r="V8" i="3"/>
  <c r="W9" i="3"/>
  <c r="X9" i="3" s="1"/>
  <c r="AC9" i="3" s="1"/>
  <c r="AE14" i="3" a="1"/>
  <c r="AE14" i="3" s="1"/>
  <c r="AI14" i="3" s="1"/>
  <c r="AE17" i="3" a="1"/>
  <c r="AE17" i="3" s="1"/>
  <c r="AI17" i="3" s="1"/>
  <c r="AE16" i="3" a="1"/>
  <c r="AE16" i="3" s="1"/>
  <c r="AI16" i="3" s="1"/>
  <c r="X15" i="3"/>
  <c r="AC15" i="3" s="1"/>
  <c r="AJ15" i="3" s="1"/>
  <c r="W12" i="3"/>
  <c r="AD12" i="3"/>
  <c r="X13" i="3"/>
  <c r="AC13" i="3" s="1"/>
  <c r="AJ13" i="3" s="1"/>
  <c r="X11" i="3"/>
  <c r="AC11" i="3" s="1"/>
  <c r="AJ11" i="3" s="1"/>
  <c r="X10" i="3"/>
  <c r="AC10" i="3" s="1"/>
  <c r="AJ10" i="3" s="1"/>
  <c r="AD9" i="3"/>
  <c r="W8" i="3"/>
  <c r="X8" i="3" s="1"/>
  <c r="AD8" i="3"/>
  <c r="AE16" i="2"/>
  <c r="AE14" i="2"/>
  <c r="Y8" i="2"/>
  <c r="AC8" i="2"/>
  <c r="AE15" i="3" l="1" a="1"/>
  <c r="AE15" i="3" s="1"/>
  <c r="AI15" i="3" s="1"/>
  <c r="AC8" i="3"/>
  <c r="AE11" i="3" a="1"/>
  <c r="AE11" i="3" s="1"/>
  <c r="AI11" i="3" s="1"/>
  <c r="AE13" i="3" a="1"/>
  <c r="AE13" i="3" s="1"/>
  <c r="AI13" i="3" s="1"/>
  <c r="X12" i="3"/>
  <c r="AC12" i="3" s="1"/>
  <c r="AJ12" i="3" s="1"/>
  <c r="AE10" i="3" a="1"/>
  <c r="AE10" i="3" s="1"/>
  <c r="AI10" i="3" s="1"/>
  <c r="AE8" i="3" a="1"/>
  <c r="AE8" i="3" s="1"/>
  <c r="AI8" i="3" s="1"/>
  <c r="AJ9" i="3"/>
  <c r="AE9" i="3" a="1"/>
  <c r="AE9" i="3" s="1"/>
  <c r="AI9" i="3" s="1"/>
  <c r="AJ8" i="3"/>
  <c r="AE8" i="2"/>
  <c r="AE12" i="3" l="1" a="1"/>
  <c r="AE12" i="3" s="1"/>
  <c r="AI1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<sst xmlns="http://schemas.openxmlformats.org/spreadsheetml/2006/main" count="346" uniqueCount="160">
  <si>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= ∑ ∑ (𝑀𝑁𝑆𝑜𝑖𝑙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𝑁2𝑂,𝑖</t>
    </r>
    <r>
      <rPr>
        <sz val="11"/>
        <color rgb="FF000000"/>
        <rFont val="Helvetica"/>
        <family val="2"/>
      </rPr>
      <t xml:space="preserve"> 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</si>
  <si>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En2o</t>
  </si>
  <si>
    <t>Cn2o</t>
  </si>
  <si>
    <t>EFn2oi</t>
  </si>
  <si>
    <t>MNSoiljf</t>
  </si>
  <si>
    <t>Morganicjf</t>
  </si>
  <si>
    <t>Fnorganicg</t>
  </si>
  <si>
    <t>EFn2o wet</t>
  </si>
  <si>
    <t>EFn20 dry</t>
  </si>
  <si>
    <t>Table A.2.1.4</t>
  </si>
  <si>
    <t>Purchased manure</t>
  </si>
  <si>
    <t>climate</t>
  </si>
  <si>
    <t>wet</t>
  </si>
  <si>
    <t>dry</t>
  </si>
  <si>
    <t>Table A.2.2.8</t>
  </si>
  <si>
    <t>Fnorganicf for off farm manure</t>
  </si>
  <si>
    <t>Type</t>
  </si>
  <si>
    <t>Poultry</t>
  </si>
  <si>
    <t>Custom FN</t>
  </si>
  <si>
    <t>Dairy cattle</t>
  </si>
  <si>
    <t>Beef cattle</t>
  </si>
  <si>
    <t>Swine</t>
  </si>
  <si>
    <t>Sheep</t>
  </si>
  <si>
    <t>Horses/Mules</t>
  </si>
  <si>
    <r>
      <t>𝑀𝑁𝑆𝑜𝑖𝑙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>= 𝑀</t>
    </r>
    <r>
      <rPr>
        <sz val="8"/>
        <color rgb="FF000000"/>
        <rFont val="Helvetica"/>
        <family val="2"/>
      </rPr>
      <t xml:space="preserve">𝑜𝑟𝑔𝑎𝑛𝑖𝑐,𝑗𝑓 </t>
    </r>
    <r>
      <rPr>
        <sz val="11"/>
        <color rgb="FF000000"/>
        <rFont val="Helvetica"/>
        <family val="2"/>
      </rPr>
      <t>× 𝐹𝑁</t>
    </r>
    <r>
      <rPr>
        <sz val="8"/>
        <color rgb="FF000000"/>
        <rFont val="Helvetica"/>
        <family val="2"/>
      </rPr>
      <t>𝑜𝑟𝑔𝑎𝑛𝑖𝑐,𝑓</t>
    </r>
  </si>
  <si>
    <r>
      <t>𝑀𝑁𝑆𝑜𝑖𝑙</t>
    </r>
    <r>
      <rPr>
        <sz val="8"/>
        <color rgb="FF000000"/>
        <rFont val="Helvetica"/>
        <family val="2"/>
      </rPr>
      <t xml:space="preserve">𝑠𝑐𝑜𝑝𝑒1 </t>
    </r>
    <r>
      <rPr>
        <sz val="11"/>
        <color rgb="FF000000"/>
        <rFont val="Helvetica"/>
        <family val="2"/>
      </rPr>
      <t xml:space="preserve">= ∑ ∑ (𝑀𝑁 </t>
    </r>
    <r>
      <rPr>
        <sz val="8"/>
        <color rgb="FF000000"/>
        <rFont val="Helvetica"/>
        <family val="2"/>
      </rPr>
      <t xml:space="preserve">𝑗𝑚𝑇=2 </t>
    </r>
    <r>
      <rPr>
        <sz val="11"/>
        <color rgb="FF000000"/>
        <rFont val="Helvetica"/>
        <family val="2"/>
      </rPr>
      <t xml:space="preserve">× (1 − 𝐸𝐹 </t>
    </r>
    <r>
      <rPr>
        <sz val="8"/>
        <color rgb="FF000000"/>
        <rFont val="Helvetica"/>
        <family val="2"/>
      </rPr>
      <t>𝑚𝑇=2</t>
    </r>
    <r>
      <rPr>
        <sz val="11"/>
        <color rgb="FF000000"/>
        <rFont val="Helvetica"/>
        <family val="2"/>
      </rPr>
      <t>− 𝐹𝑟𝑎𝑐𝐺𝐴𝑆𝑀</t>
    </r>
    <r>
      <rPr>
        <sz val="8"/>
        <color rgb="FF000000"/>
        <rFont val="Helvetica"/>
        <family val="2"/>
      </rPr>
      <t>𝑚𝑇=2</t>
    </r>
    <r>
      <rPr>
        <sz val="11"/>
        <color rgb="FF000000"/>
        <rFont val="Helvetica"/>
        <family val="2"/>
      </rPr>
      <t>) − 𝑀𝑁𝐿𝑒𝑎𝑐ℎ𝑗𝑚=5) × 𝑃𝐹</t>
    </r>
  </si>
  <si>
    <t>Local manure - swine</t>
  </si>
  <si>
    <t>PF</t>
  </si>
  <si>
    <t>Efmt</t>
  </si>
  <si>
    <t>Table A.1.6.3</t>
  </si>
  <si>
    <t>Outdoor (Dry lot)</t>
  </si>
  <si>
    <t>Deep litter</t>
  </si>
  <si>
    <t>Stockpile (Solid storage)</t>
  </si>
  <si>
    <t>Effluent pond (Uncovered anaerobic lagoon)</t>
  </si>
  <si>
    <t>Anaerobic digestor / Covered lagoon</t>
  </si>
  <si>
    <t>Short HRT tank storage &lt; 1 month (pit storage)</t>
  </si>
  <si>
    <t>FracGASMmt</t>
  </si>
  <si>
    <t>Table A.1.6.2</t>
  </si>
  <si>
    <t>yes</t>
  </si>
  <si>
    <t>no</t>
  </si>
  <si>
    <r>
      <t xml:space="preserve">𝑀𝑁 </t>
    </r>
    <r>
      <rPr>
        <sz val="8"/>
        <color rgb="FF000000"/>
        <rFont val="Helvetica"/>
        <family val="2"/>
      </rPr>
      <t xml:space="preserve">𝑗𝑚 𝑇=2 </t>
    </r>
    <r>
      <rPr>
        <sz val="11"/>
        <color rgb="FF000000"/>
        <rFont val="Helvetica"/>
        <family val="2"/>
      </rPr>
      <t xml:space="preserve">= 𝑁𝑇 </t>
    </r>
    <r>
      <rPr>
        <sz val="8"/>
        <color rgb="FF000000"/>
        <rFont val="Helvetica"/>
        <family val="2"/>
      </rPr>
      <t xml:space="preserve">𝑗𝑚 𝑇=2 </t>
    </r>
    <r>
      <rPr>
        <sz val="11"/>
        <color rgb="FF000000"/>
        <rFont val="Helvetica"/>
        <family val="2"/>
      </rPr>
      <t xml:space="preserve">× 𝑀𝑀𝑆 </t>
    </r>
    <r>
      <rPr>
        <sz val="8"/>
        <color rgb="FF000000"/>
        <rFont val="Helvetica"/>
        <family val="2"/>
      </rPr>
      <t>𝑗𝑚𝑇=2</t>
    </r>
  </si>
  <si>
    <t>MNjmt2</t>
  </si>
  <si>
    <t>MMSjmt2</t>
  </si>
  <si>
    <t>NTjmt2</t>
  </si>
  <si>
    <t>MNLeachjm5</t>
  </si>
  <si>
    <r>
      <t>𝑀𝑁𝐿𝑒𝑎𝑐ℎ</t>
    </r>
    <r>
      <rPr>
        <sz val="8"/>
        <color rgb="FF000000"/>
        <rFont val="Helvetica"/>
        <family val="2"/>
      </rPr>
      <t xml:space="preserve">𝑗𝑚=5 </t>
    </r>
    <r>
      <rPr>
        <sz val="11"/>
        <color rgb="FF000000"/>
        <rFont val="Helvetica"/>
        <family val="2"/>
      </rPr>
      <t xml:space="preserve">= 𝑀𝑁 </t>
    </r>
    <r>
      <rPr>
        <sz val="8"/>
        <color rgb="FF000000"/>
        <rFont val="Helvetica"/>
        <family val="2"/>
      </rPr>
      <t xml:space="preserve">𝑗𝑚=5𝑇=1 </t>
    </r>
    <r>
      <rPr>
        <sz val="11"/>
        <color rgb="FF000000"/>
        <rFont val="Helvetica"/>
        <family val="2"/>
      </rPr>
      <t>× 𝐹𝑟𝑎𝑐𝑊𝐸𝑇 × 𝐹𝑟𝑎𝑐𝐿𝐸𝐴𝐶𝐻</t>
    </r>
    <r>
      <rPr>
        <sz val="8"/>
        <color rgb="FF000000"/>
        <rFont val="Helvetica"/>
        <family val="2"/>
      </rPr>
      <t>𝑀𝑆</t>
    </r>
  </si>
  <si>
    <t>Leaching zone</t>
  </si>
  <si>
    <t>FracWET</t>
  </si>
  <si>
    <t>FracLeach</t>
  </si>
  <si>
    <t>FracLEACH</t>
  </si>
  <si>
    <t>4.5.1.3</t>
  </si>
  <si>
    <t>4.5.1.5</t>
  </si>
  <si>
    <t>4.1.1 (t1)</t>
  </si>
  <si>
    <t>Ch 4 l331</t>
  </si>
  <si>
    <t>Ch 4 l 252</t>
  </si>
  <si>
    <r>
      <t xml:space="preserve">𝑁𝑇 </t>
    </r>
    <r>
      <rPr>
        <sz val="8"/>
        <color rgb="FF000000"/>
        <rFont val="Helvetica"/>
        <family val="2"/>
      </rPr>
      <t xml:space="preserve">𝑗𝑚 𝑇=2 </t>
    </r>
    <r>
      <rPr>
        <sz val="11"/>
        <color rgb="FF000000"/>
        <rFont val="Helvetica"/>
        <family val="2"/>
      </rPr>
      <t>= (</t>
    </r>
    <r>
      <rPr>
        <sz val="10"/>
        <color rgb="FF000000"/>
        <rFont val="Helvetica"/>
        <family val="2"/>
      </rPr>
      <t>𝑀𝑁</t>
    </r>
    <r>
      <rPr>
        <sz val="7"/>
        <color rgb="FF000000"/>
        <rFont val="Helvetica"/>
        <family val="2"/>
      </rPr>
      <t xml:space="preserve">𝑗𝑚𝑇=1 </t>
    </r>
    <r>
      <rPr>
        <sz val="10"/>
        <color rgb="FF000000"/>
        <rFont val="Helvetica"/>
        <family val="2"/>
      </rPr>
      <t xml:space="preserve">× </t>
    </r>
    <r>
      <rPr>
        <sz val="11"/>
        <color rgb="FF000000"/>
        <rFont val="Helvetica"/>
        <family val="2"/>
      </rPr>
      <t>(</t>
    </r>
    <r>
      <rPr>
        <sz val="10"/>
        <color rgb="FF000000"/>
        <rFont val="Helvetica"/>
        <family val="2"/>
      </rPr>
      <t>1 − 𝐹𝑟𝑎𝑐𝐺𝐴𝑆𝑀</t>
    </r>
    <r>
      <rPr>
        <sz val="7"/>
        <color rgb="FF000000"/>
        <rFont val="Helvetica"/>
        <family val="2"/>
      </rPr>
      <t>𝑚𝑇=1</t>
    </r>
    <r>
      <rPr>
        <sz val="10"/>
        <color rgb="FF000000"/>
        <rFont val="Helvetica"/>
        <family val="2"/>
      </rPr>
      <t>− 𝐸𝐹</t>
    </r>
    <r>
      <rPr>
        <sz val="7"/>
        <color rgb="FF000000"/>
        <rFont val="Helvetica"/>
        <family val="2"/>
      </rPr>
      <t>𝑚𝑇=1</t>
    </r>
    <r>
      <rPr>
        <sz val="11"/>
        <color rgb="FF000000"/>
        <rFont val="Helvetica"/>
        <family val="2"/>
      </rPr>
      <t>))</t>
    </r>
  </si>
  <si>
    <t>Ch 4 l 260</t>
  </si>
  <si>
    <t>MNjmT1</t>
  </si>
  <si>
    <t>Efmt2</t>
  </si>
  <si>
    <t>EFmt1</t>
  </si>
  <si>
    <r>
      <t xml:space="preserve">𝑀𝑁 </t>
    </r>
    <r>
      <rPr>
        <sz val="8"/>
        <color rgb="FF000000"/>
        <rFont val="Helvetica"/>
        <family val="2"/>
      </rPr>
      <t xml:space="preserve">𝑗𝑚 𝑇=1 </t>
    </r>
    <r>
      <rPr>
        <sz val="11"/>
        <color rgb="FF000000"/>
        <rFont val="Helvetica"/>
        <family val="2"/>
      </rPr>
      <t xml:space="preserve">= 𝐴𝐸 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 xml:space="preserve">× 𝐹𝑁 </t>
    </r>
    <r>
      <rPr>
        <sz val="8"/>
        <color rgb="FF000000"/>
        <rFont val="Helvetica"/>
        <family val="2"/>
      </rPr>
      <t>𝑗𝑚 𝑇=1</t>
    </r>
  </si>
  <si>
    <t>Ch 4 l 228</t>
  </si>
  <si>
    <t>FNj</t>
  </si>
  <si>
    <r>
      <t xml:space="preserve">𝐹𝑁 </t>
    </r>
    <r>
      <rPr>
        <sz val="8"/>
        <color rgb="FF000000"/>
        <rFont val="Helvetica"/>
        <family val="2"/>
      </rPr>
      <t xml:space="preserve">𝑗𝑚 𝑇=1 </t>
    </r>
    <r>
      <rPr>
        <sz val="11"/>
        <color rgb="FF000000"/>
        <rFont val="Helvetica"/>
        <family val="2"/>
      </rPr>
      <t xml:space="preserve">= 𝑀𝑀𝑆 </t>
    </r>
    <r>
      <rPr>
        <sz val="8"/>
        <color rgb="FF000000"/>
        <rFont val="Helvetica"/>
        <family val="2"/>
      </rPr>
      <t xml:space="preserve">𝑗𝑚 𝑇=1 </t>
    </r>
    <r>
      <rPr>
        <sz val="11"/>
        <color rgb="FF000000"/>
        <rFont val="Helvetica"/>
        <family val="2"/>
      </rPr>
      <t>× (1 − 𝑆𝑁</t>
    </r>
    <r>
      <rPr>
        <sz val="8"/>
        <color rgb="FF000000"/>
        <rFont val="Helvetica"/>
        <family val="2"/>
      </rPr>
      <t>𝑚</t>
    </r>
    <r>
      <rPr>
        <sz val="11"/>
        <color rgb="FF000000"/>
        <rFont val="Helvetica"/>
        <family val="2"/>
      </rPr>
      <t>)</t>
    </r>
  </si>
  <si>
    <t>Ch 4 l 235</t>
  </si>
  <si>
    <r>
      <t xml:space="preserve">𝐹𝑁 </t>
    </r>
    <r>
      <rPr>
        <sz val="8"/>
        <color rgb="FF000000"/>
        <rFont val="Helvetica"/>
        <family val="2"/>
      </rPr>
      <t xml:space="preserve">𝑗𝑚=4 𝑇=1 </t>
    </r>
    <r>
      <rPr>
        <sz val="11"/>
        <color rgb="FF000000"/>
        <rFont val="Helvetica"/>
        <family val="2"/>
      </rPr>
      <t xml:space="preserve">= 𝑀𝑀𝑆 </t>
    </r>
    <r>
      <rPr>
        <sz val="8"/>
        <color rgb="FF000000"/>
        <rFont val="Helvetica"/>
        <family val="2"/>
      </rPr>
      <t xml:space="preserve">𝑗𝑚=4 𝑇=1 </t>
    </r>
    <r>
      <rPr>
        <sz val="11"/>
        <color rgb="FF000000"/>
        <rFont val="Helvetica"/>
        <family val="2"/>
      </rPr>
      <t>+ (𝑀𝑀𝑆</t>
    </r>
    <r>
      <rPr>
        <sz val="8"/>
        <color rgb="FF000000"/>
        <rFont val="Helvetica"/>
        <family val="2"/>
      </rPr>
      <t xml:space="preserve">𝑗𝑚=1,7,9 𝑇=1 </t>
    </r>
    <r>
      <rPr>
        <sz val="11"/>
        <color rgb="FF000000"/>
        <rFont val="Helvetica"/>
        <family val="2"/>
      </rPr>
      <t>× 𝑆𝑁</t>
    </r>
    <r>
      <rPr>
        <sz val="8"/>
        <color rgb="FF000000"/>
        <rFont val="Helvetica"/>
        <family val="2"/>
      </rPr>
      <t>𝑚</t>
    </r>
    <r>
      <rPr>
        <sz val="11"/>
        <color rgb="FF000000"/>
        <rFont val="Helvetica"/>
        <family val="2"/>
      </rPr>
      <t>)</t>
    </r>
  </si>
  <si>
    <t>FNj solid</t>
  </si>
  <si>
    <t>MMSjmT=1</t>
  </si>
  <si>
    <t>SNm</t>
  </si>
  <si>
    <t>Ch 4 l 237 - Fraction of nitrogen seperated to solid storage</t>
  </si>
  <si>
    <t>Ch 4 l 230 - Total nitrogen excreted (kg N)</t>
  </si>
  <si>
    <t>MMSjm=4t=1</t>
  </si>
  <si>
    <t>FracGASMmt=1</t>
  </si>
  <si>
    <t>FracGASMmT=2</t>
  </si>
  <si>
    <t>Ch 4 l 339 - fraction of manure applied to soil within boundary</t>
  </si>
  <si>
    <t>Fraction of manure to each primary MMS before solid seperation</t>
  </si>
  <si>
    <t>Ch 4 l 185</t>
  </si>
  <si>
    <t>Main MMS 1</t>
  </si>
  <si>
    <t>Main MMS 2</t>
  </si>
  <si>
    <t>Main Stage 2 direct application</t>
  </si>
  <si>
    <t>Ch4l204 - Fraction of manure from primary system in secondary system</t>
  </si>
  <si>
    <t>AE j</t>
  </si>
  <si>
    <t>Description</t>
  </si>
  <si>
    <t>Basic scenario</t>
  </si>
  <si>
    <t>Switch to dry climate</t>
  </si>
  <si>
    <t>Disable leaching zone</t>
  </si>
  <si>
    <t>Change main MMS 2 (Outdoor (Dry lot))</t>
  </si>
  <si>
    <t>Change main MMS 2 (Deep litter)</t>
  </si>
  <si>
    <t>Change main MMS 2 (Effluent pond (Uncovered anaerobic lagoon))</t>
  </si>
  <si>
    <t>Change main MMS 2 (Anaerobic digestor / Covered lagoon)</t>
  </si>
  <si>
    <t>Disable solid storage</t>
  </si>
  <si>
    <t>MNSoiljf S1</t>
  </si>
  <si>
    <t>MNSoiljf S3</t>
  </si>
  <si>
    <t>En2o local</t>
  </si>
  <si>
    <t>En2o purchased</t>
  </si>
  <si>
    <t>Subtotal s1</t>
  </si>
  <si>
    <t>Subtotal s3</t>
  </si>
  <si>
    <r>
      <t xml:space="preserve">𝑀𝑁𝑆𝑜𝑖𝑙 = ∑ ∑ ∑ 𝑀𝑁 </t>
    </r>
    <r>
      <rPr>
        <sz val="8"/>
        <color rgb="FF000000"/>
        <rFont val="Helvetica"/>
        <family val="2"/>
      </rPr>
      <t xml:space="preserve">𝑗𝑚𝑇=2,3 </t>
    </r>
    <r>
      <rPr>
        <sz val="11"/>
        <color rgb="FF000000"/>
        <rFont val="Helvetica"/>
        <family val="2"/>
      </rPr>
      <t>× (1 − 𝐸𝐹</t>
    </r>
    <r>
      <rPr>
        <sz val="8"/>
        <color rgb="FF000000"/>
        <rFont val="Helvetica"/>
        <family val="2"/>
      </rPr>
      <t>𝑚𝑇=2,3</t>
    </r>
    <r>
      <rPr>
        <sz val="11"/>
        <color rgb="FF000000"/>
        <rFont val="Helvetica"/>
        <family val="2"/>
      </rPr>
      <t>− 𝐹𝑟𝑎𝑐𝐺𝐴𝑆𝑀</t>
    </r>
    <r>
      <rPr>
        <sz val="8"/>
        <color rgb="FF000000"/>
        <rFont val="Helvetica"/>
        <family val="2"/>
      </rPr>
      <t>𝑚𝑇=2,3</t>
    </r>
    <r>
      <rPr>
        <sz val="11"/>
        <color rgb="FF000000"/>
        <rFont val="Helvetica"/>
        <family val="2"/>
      </rPr>
      <t>) × PF</t>
    </r>
  </si>
  <si>
    <t>T1Ch4p13</t>
  </si>
  <si>
    <t>Local manure - feedlot</t>
  </si>
  <si>
    <t>MNSoil s1</t>
  </si>
  <si>
    <t>FracGASMmT=3</t>
  </si>
  <si>
    <t>MNjmt3</t>
  </si>
  <si>
    <t>Efmt=3</t>
  </si>
  <si>
    <r>
      <t xml:space="preserve">𝑀𝑁 </t>
    </r>
    <r>
      <rPr>
        <sz val="8"/>
        <color rgb="FF000000"/>
        <rFont val="Helvetica"/>
        <family val="2"/>
      </rPr>
      <t xml:space="preserve">𝑗𝑚=1 𝑇=3 </t>
    </r>
    <r>
      <rPr>
        <sz val="11"/>
        <color rgb="FF000000"/>
        <rFont val="Helvetica"/>
        <family val="2"/>
      </rPr>
      <t>= 𝐴𝐸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>× 𝑀𝑀𝑆</t>
    </r>
    <r>
      <rPr>
        <sz val="8"/>
        <color rgb="FF000000"/>
        <rFont val="Helvetica"/>
        <family val="2"/>
      </rPr>
      <t>𝑚=1 𝑇=3</t>
    </r>
  </si>
  <si>
    <t>MMS𝑚1T3</t>
  </si>
  <si>
    <t>T1Ch4l242</t>
  </si>
  <si>
    <t>Uncovered anaerobic lagoon (Effluent pond)</t>
  </si>
  <si>
    <t>Feedlot</t>
  </si>
  <si>
    <t>A5.5.3.6,7 NIR vol 2</t>
  </si>
  <si>
    <t>FracGASM</t>
  </si>
  <si>
    <t>Nj</t>
  </si>
  <si>
    <t>Number of cattle in group</t>
  </si>
  <si>
    <t>Nej</t>
  </si>
  <si>
    <t>Nitrogen excretion kgN/head/day</t>
  </si>
  <si>
    <t>Nij</t>
  </si>
  <si>
    <t>N intake kg/head/day</t>
  </si>
  <si>
    <t>NRj</t>
  </si>
  <si>
    <t>N retention as fraction</t>
  </si>
  <si>
    <t>Ij</t>
  </si>
  <si>
    <t>Crude protein of feed (percent)</t>
  </si>
  <si>
    <t>Dry matter kgDM/head/day</t>
  </si>
  <si>
    <t>Average length of stay</t>
  </si>
  <si>
    <r>
      <t>Length of stay L</t>
    </r>
    <r>
      <rPr>
        <b/>
        <sz val="6"/>
        <color rgb="FF000000"/>
        <rFont val="Arial"/>
        <family val="2"/>
      </rPr>
      <t>j</t>
    </r>
    <r>
      <rPr>
        <b/>
        <sz val="10"/>
        <color rgb="FF000000"/>
        <rFont val="Arial"/>
        <family val="2"/>
      </rPr>
      <t xml:space="preserve"> 2020-2023</t>
    </r>
  </si>
  <si>
    <t>A5.5.3.1 NIR vol 2</t>
  </si>
  <si>
    <t>0-80 days</t>
  </si>
  <si>
    <t>81-200 days</t>
  </si>
  <si>
    <t>201+ days</t>
  </si>
  <si>
    <t>Use defaults if not supplied</t>
  </si>
  <si>
    <t>D</t>
  </si>
  <si>
    <t>MNSoil T=2</t>
  </si>
  <si>
    <t>MNSoil T=3</t>
  </si>
  <si>
    <t>Efmt=2</t>
  </si>
  <si>
    <t>MMS𝑚1T2</t>
  </si>
  <si>
    <t>Tertiary anaerobic lagoon?</t>
  </si>
  <si>
    <t>MTjmt=2</t>
  </si>
  <si>
    <r>
      <t xml:space="preserve">𝑀𝑁 </t>
    </r>
    <r>
      <rPr>
        <sz val="8"/>
        <color rgb="FF000000"/>
        <rFont val="Helvetica"/>
        <family val="2"/>
      </rPr>
      <t xml:space="preserve">𝑗𝑚𝑇=2 </t>
    </r>
    <r>
      <rPr>
        <sz val="11"/>
        <color rgb="FF000000"/>
        <rFont val="Helvetica"/>
        <family val="2"/>
      </rPr>
      <t xml:space="preserve">= 𝑀𝑇 </t>
    </r>
    <r>
      <rPr>
        <sz val="8"/>
        <color rgb="FF000000"/>
        <rFont val="Helvetica"/>
        <family val="2"/>
      </rPr>
      <t xml:space="preserve">𝑗𝑚𝑇=2 </t>
    </r>
    <r>
      <rPr>
        <sz val="11"/>
        <color rgb="FF000000"/>
        <rFont val="Helvetica"/>
        <family val="2"/>
      </rPr>
      <t>× 𝑀𝑀𝑆</t>
    </r>
    <r>
      <rPr>
        <sz val="8"/>
        <color rgb="FF000000"/>
        <rFont val="Helvetica"/>
        <family val="2"/>
      </rPr>
      <t>𝑚𝑇=2</t>
    </r>
  </si>
  <si>
    <r>
      <t xml:space="preserve">𝑀𝑇 </t>
    </r>
    <r>
      <rPr>
        <sz val="8"/>
        <color rgb="FF000000"/>
        <rFont val="Helvetica"/>
        <family val="2"/>
      </rPr>
      <t xml:space="preserve">𝑗𝑚𝑇=2 </t>
    </r>
    <r>
      <rPr>
        <sz val="11"/>
        <color rgb="FF000000"/>
        <rFont val="Helvetica"/>
        <family val="2"/>
      </rPr>
      <t>= (𝑀𝑁</t>
    </r>
    <r>
      <rPr>
        <sz val="8"/>
        <color rgb="FF000000"/>
        <rFont val="Helvetica"/>
        <family val="2"/>
      </rPr>
      <t xml:space="preserve">𝑗𝑚=5𝑇=1 </t>
    </r>
    <r>
      <rPr>
        <sz val="11"/>
        <color rgb="FF000000"/>
        <rFont val="Helvetica"/>
        <family val="2"/>
      </rPr>
      <t>× (1 − 𝐹𝑟𝑎𝑐𝐺𝐴𝑆𝑀</t>
    </r>
    <r>
      <rPr>
        <sz val="8"/>
        <color rgb="FF000000"/>
        <rFont val="Helvetica"/>
        <family val="2"/>
      </rPr>
      <t>𝑚=5𝑇=1</t>
    </r>
    <r>
      <rPr>
        <sz val="11"/>
        <color rgb="FF000000"/>
        <rFont val="Helvetica"/>
        <family val="2"/>
      </rPr>
      <t>− 𝐸𝐹</t>
    </r>
    <r>
      <rPr>
        <sz val="8"/>
        <color rgb="FF000000"/>
        <rFont val="Helvetica"/>
        <family val="2"/>
      </rPr>
      <t>𝑚=5𝑇=1</t>
    </r>
    <r>
      <rPr>
        <sz val="11"/>
        <color rgb="FF000000"/>
        <rFont val="Helvetica"/>
        <family val="2"/>
      </rPr>
      <t>)) − 𝑀𝑁</t>
    </r>
    <r>
      <rPr>
        <sz val="8"/>
        <color rgb="FF000000"/>
        <rFont val="Helvetica"/>
        <family val="2"/>
      </rPr>
      <t>𝑗𝑚𝑇=3</t>
    </r>
  </si>
  <si>
    <t>MNjmt=1</t>
  </si>
  <si>
    <t>FracGASMt=1</t>
  </si>
  <si>
    <t>Efmt=1</t>
  </si>
  <si>
    <t>Dry lot (Feedpad)</t>
  </si>
  <si>
    <t>Solid Storage (Stockpile)</t>
  </si>
  <si>
    <t>Composting (Passive Windrow)</t>
  </si>
  <si>
    <t>Amount scraped from feedlot into stage 2. Multiple MMSs would require values here</t>
  </si>
  <si>
    <t>Direct application at stage 2?</t>
  </si>
  <si>
    <r>
      <t>𝐴𝐸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 xml:space="preserve">= 𝑁 </t>
    </r>
    <r>
      <rPr>
        <sz val="8"/>
        <color rgb="FF000000"/>
        <rFont val="Helvetica"/>
        <family val="2"/>
      </rPr>
      <t>𝑗</t>
    </r>
    <r>
      <rPr>
        <sz val="11"/>
        <color rgb="FF000000"/>
        <rFont val="Helvetica"/>
        <family val="2"/>
      </rPr>
      <t xml:space="preserve"> × 𝑁𝐸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>× 𝐿</t>
    </r>
    <r>
      <rPr>
        <sz val="8"/>
        <color rgb="FF000000"/>
        <rFont val="Helvetica"/>
        <family val="2"/>
      </rPr>
      <t>𝑗</t>
    </r>
  </si>
  <si>
    <r>
      <t>𝑁𝐸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>= 𝑁𝐼</t>
    </r>
    <r>
      <rPr>
        <sz val="8"/>
        <color rgb="FF000000"/>
        <rFont val="Helvetica"/>
        <family val="2"/>
      </rPr>
      <t>𝑗</t>
    </r>
    <r>
      <rPr>
        <sz val="11"/>
        <color rgb="FF000000"/>
        <rFont val="Helvetica"/>
        <family val="2"/>
      </rPr>
      <t xml:space="preserve"> × (1 − 𝑁𝑅</t>
    </r>
    <r>
      <rPr>
        <sz val="8"/>
        <color rgb="FF000000"/>
        <rFont val="Helvetica"/>
        <family val="2"/>
      </rPr>
      <t>𝑗</t>
    </r>
    <r>
      <rPr>
        <sz val="11"/>
        <color rgb="FF000000"/>
        <rFont val="Helvetica"/>
        <family val="2"/>
      </rPr>
      <t>)</t>
    </r>
  </si>
  <si>
    <r>
      <t>𝑁𝐼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>= 𝐼</t>
    </r>
    <r>
      <rPr>
        <sz val="8"/>
        <color rgb="FF000000"/>
        <rFont val="Helvetica"/>
        <family val="2"/>
      </rPr>
      <t>𝑗</t>
    </r>
    <r>
      <rPr>
        <sz val="11"/>
        <color rgb="FF000000"/>
        <rFont val="Helvetica"/>
        <family val="2"/>
      </rPr>
      <t xml:space="preserve"> × 𝐶𝑃 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>÷ 6.25</t>
    </r>
  </si>
  <si>
    <t>Lj</t>
  </si>
  <si>
    <t>Actual Ij</t>
  </si>
  <si>
    <t>Custom value</t>
  </si>
  <si>
    <t>Actual CPj</t>
  </si>
  <si>
    <t>Basic scenario - custom Lj</t>
  </si>
  <si>
    <t>Basic scenario - custom CPj</t>
  </si>
  <si>
    <t>Basic scenario - dry climate</t>
  </si>
  <si>
    <t>Basic scenario - alt MMS 2</t>
  </si>
  <si>
    <t>Basic scenario - direct app stage 2</t>
  </si>
  <si>
    <t>Basic scenario - no lagoon</t>
  </si>
  <si>
    <t>Custom CPj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</si>
</sst>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b/>
      <sz val="12"/>
      <color theme="1"/>
      <name val="Helvetica"/>
      <family val="2"/>
    </font>
    <font>
      <sz val="10"/>
      <color rgb="FF000000"/>
      <name val="Helvetica"/>
      <family val="2"/>
    </font>
    <font>
      <sz val="7"/>
      <color rgb="FF000000"/>
      <name val="Helvetica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6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0" xfId="0" applyFont="1"/>
    <xf numFmtId="0" fontId="0" fillId="2" borderId="0" xfId="0" applyFill="1"/>
    <xf numFmtId="0" fontId="0" fillId="3" borderId="0" xfId="0" applyFill="1"/>
    <xf numFmtId="0" fontId="2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E8B6-14F6-6343-8AD1-C600C5DC96BF}">
  <dimension ref="A6:O43"/>
  <sheetViews>
    <sheetView zoomScale="125" zoomScaleNormal="125" workbookViewId="0">
      <selection activeCell="O11" sqref="O11"/>
    </sheetView>
  </sheetViews>
  <sheetFormatPr baseColWidth="10" defaultRowHeight="16" x14ac:dyDescent="0.2"/>
  <cols>
    <col min="9" max="9" width="12.5" customWidth="1"/>
    <col min="12" max="13" width="21.33203125" customWidth="1"/>
    <col min="14" max="14" width="18" customWidth="1"/>
    <col min="15" max="15" width="8.5" customWidth="1"/>
  </cols>
  <sheetData>
    <row r="6" spans="1:15" x14ac:dyDescent="0.2">
      <c r="N6" t="s">
        <v>9</v>
      </c>
    </row>
    <row r="7" spans="1:15" x14ac:dyDescent="0.2">
      <c r="N7" t="s">
        <v>7</v>
      </c>
      <c r="O7">
        <v>6.0000000000000001E-3</v>
      </c>
    </row>
    <row r="8" spans="1:15" x14ac:dyDescent="0.2">
      <c r="N8" t="s">
        <v>8</v>
      </c>
      <c r="O8">
        <v>5.0000000000000001E-3</v>
      </c>
    </row>
    <row r="11" spans="1:15" x14ac:dyDescent="0.2">
      <c r="N11" t="s">
        <v>2</v>
      </c>
      <c r="O11">
        <f>44/28</f>
        <v>1.5714285714285714</v>
      </c>
    </row>
    <row r="14" spans="1:15" x14ac:dyDescent="0.2">
      <c r="L14" s="1" t="s">
        <v>0</v>
      </c>
    </row>
    <row r="15" spans="1:15" x14ac:dyDescent="0.2">
      <c r="A15" t="s">
        <v>10</v>
      </c>
      <c r="I15" s="1" t="s">
        <v>24</v>
      </c>
    </row>
    <row r="16" spans="1:15" x14ac:dyDescent="0.2">
      <c r="B16" s="3" t="s">
        <v>5</v>
      </c>
      <c r="C16" s="3" t="s">
        <v>16</v>
      </c>
      <c r="D16" t="s">
        <v>6</v>
      </c>
      <c r="E16" s="3" t="s">
        <v>18</v>
      </c>
      <c r="F16" s="3" t="s">
        <v>11</v>
      </c>
      <c r="I16" t="s">
        <v>4</v>
      </c>
      <c r="J16" t="s">
        <v>3</v>
      </c>
      <c r="K16" t="s">
        <v>2</v>
      </c>
      <c r="L16" s="4" t="s">
        <v>1</v>
      </c>
    </row>
    <row r="17" spans="2:15" x14ac:dyDescent="0.2">
      <c r="B17">
        <v>1000</v>
      </c>
      <c r="C17" t="s">
        <v>17</v>
      </c>
      <c r="D17">
        <f>IF(ISBLANK(B17), "", VLOOKUP(C17, $N$19:$O$24, 2, FALSE))</f>
        <v>0.51</v>
      </c>
      <c r="F17" t="s">
        <v>12</v>
      </c>
      <c r="I17">
        <f t="shared" ref="I17:I22" si="0">IF(ISBLANK(B17), "", B17*IF(ISBLANK(E17), D17, E17))</f>
        <v>510</v>
      </c>
      <c r="J17">
        <f t="shared" ref="J17:J22" si="1">IF(ISBLANK(B17), "", IF(F17="wet", $O$7, $O$8))</f>
        <v>6.0000000000000001E-3</v>
      </c>
      <c r="K17">
        <f t="shared" ref="K17:K22" si="2">IF(ISBLANK(B17), "", $O$11)</f>
        <v>1.5714285714285714</v>
      </c>
      <c r="L17">
        <f t="shared" ref="L17:L22" si="3">IF(ISBLANK(B17), "", I17*J17*K17 / 1000)</f>
        <v>4.8085714285714285E-3</v>
      </c>
      <c r="N17" t="s">
        <v>14</v>
      </c>
    </row>
    <row r="18" spans="2:15" x14ac:dyDescent="0.2">
      <c r="B18">
        <v>1000</v>
      </c>
      <c r="C18" t="s">
        <v>17</v>
      </c>
      <c r="D18">
        <f t="shared" ref="D18:D28" si="4">IF(ISBLANK(B18), "", VLOOKUP(C18, $N$19:$O$24, 2, FALSE))</f>
        <v>0.51</v>
      </c>
      <c r="E18">
        <v>0.6</v>
      </c>
      <c r="F18" t="s">
        <v>12</v>
      </c>
      <c r="I18">
        <f t="shared" si="0"/>
        <v>600</v>
      </c>
      <c r="J18">
        <f t="shared" si="1"/>
        <v>6.0000000000000001E-3</v>
      </c>
      <c r="K18">
        <f t="shared" si="2"/>
        <v>1.5714285714285714</v>
      </c>
      <c r="L18">
        <f t="shared" si="3"/>
        <v>5.6571428571428571E-3</v>
      </c>
      <c r="N18" t="s">
        <v>15</v>
      </c>
    </row>
    <row r="19" spans="2:15" x14ac:dyDescent="0.2">
      <c r="B19">
        <v>1000</v>
      </c>
      <c r="C19" t="s">
        <v>17</v>
      </c>
      <c r="D19">
        <f t="shared" si="4"/>
        <v>0.51</v>
      </c>
      <c r="F19" t="s">
        <v>13</v>
      </c>
      <c r="I19">
        <f t="shared" si="0"/>
        <v>510</v>
      </c>
      <c r="J19">
        <f t="shared" si="1"/>
        <v>5.0000000000000001E-3</v>
      </c>
      <c r="K19">
        <f t="shared" si="2"/>
        <v>1.5714285714285714</v>
      </c>
      <c r="L19">
        <f t="shared" si="3"/>
        <v>4.0071428571428567E-3</v>
      </c>
      <c r="N19" s="2" t="s">
        <v>19</v>
      </c>
      <c r="O19" s="2">
        <v>2.9000000000000001E-2</v>
      </c>
    </row>
    <row r="20" spans="2:15" x14ac:dyDescent="0.2">
      <c r="B20">
        <v>2000</v>
      </c>
      <c r="C20" t="s">
        <v>19</v>
      </c>
      <c r="D20">
        <f t="shared" si="4"/>
        <v>2.9000000000000001E-2</v>
      </c>
      <c r="F20" t="s">
        <v>12</v>
      </c>
      <c r="I20">
        <f t="shared" si="0"/>
        <v>58</v>
      </c>
      <c r="J20">
        <f t="shared" si="1"/>
        <v>6.0000000000000001E-3</v>
      </c>
      <c r="K20">
        <f t="shared" si="2"/>
        <v>1.5714285714285714</v>
      </c>
      <c r="L20">
        <f t="shared" si="3"/>
        <v>5.4685714285714298E-4</v>
      </c>
      <c r="N20" s="2" t="s">
        <v>20</v>
      </c>
      <c r="O20" s="2">
        <v>2.3E-2</v>
      </c>
    </row>
    <row r="21" spans="2:15" x14ac:dyDescent="0.2">
      <c r="B21">
        <v>3000</v>
      </c>
      <c r="C21" t="s">
        <v>22</v>
      </c>
      <c r="D21">
        <f t="shared" si="4"/>
        <v>3.3000000000000002E-2</v>
      </c>
      <c r="F21" t="s">
        <v>13</v>
      </c>
      <c r="I21">
        <f t="shared" si="0"/>
        <v>99</v>
      </c>
      <c r="J21">
        <f t="shared" si="1"/>
        <v>5.0000000000000001E-3</v>
      </c>
      <c r="K21">
        <f t="shared" si="2"/>
        <v>1.5714285714285714</v>
      </c>
      <c r="L21">
        <f t="shared" si="3"/>
        <v>7.7785714285714285E-4</v>
      </c>
      <c r="N21" s="2" t="s">
        <v>17</v>
      </c>
      <c r="O21" s="2">
        <v>0.51</v>
      </c>
    </row>
    <row r="22" spans="2:15" x14ac:dyDescent="0.2">
      <c r="B22">
        <v>3000</v>
      </c>
      <c r="C22" t="s">
        <v>22</v>
      </c>
      <c r="D22">
        <f t="shared" si="4"/>
        <v>3.3000000000000002E-2</v>
      </c>
      <c r="E22">
        <v>0.02</v>
      </c>
      <c r="F22" t="s">
        <v>12</v>
      </c>
      <c r="I22">
        <f t="shared" si="0"/>
        <v>60</v>
      </c>
      <c r="J22">
        <f t="shared" si="1"/>
        <v>6.0000000000000001E-3</v>
      </c>
      <c r="K22">
        <f t="shared" si="2"/>
        <v>1.5714285714285714</v>
      </c>
      <c r="L22">
        <f t="shared" si="3"/>
        <v>5.6571428571428571E-4</v>
      </c>
      <c r="N22" s="2" t="s">
        <v>21</v>
      </c>
      <c r="O22" s="2">
        <v>0.41</v>
      </c>
    </row>
    <row r="23" spans="2:15" x14ac:dyDescent="0.2">
      <c r="D23" t="str">
        <f t="shared" si="4"/>
        <v/>
      </c>
      <c r="N23" s="2" t="s">
        <v>22</v>
      </c>
      <c r="O23" s="2">
        <v>3.3000000000000002E-2</v>
      </c>
    </row>
    <row r="24" spans="2:15" x14ac:dyDescent="0.2">
      <c r="D24" t="str">
        <f t="shared" si="4"/>
        <v/>
      </c>
      <c r="N24" s="2" t="s">
        <v>23</v>
      </c>
      <c r="O24" s="2">
        <v>1.2999999999999999E-2</v>
      </c>
    </row>
    <row r="25" spans="2:15" x14ac:dyDescent="0.2">
      <c r="D25" t="str">
        <f t="shared" si="4"/>
        <v/>
      </c>
    </row>
    <row r="26" spans="2:15" x14ac:dyDescent="0.2">
      <c r="D26" t="str">
        <f t="shared" si="4"/>
        <v/>
      </c>
      <c r="N26" s="6"/>
    </row>
    <row r="27" spans="2:15" x14ac:dyDescent="0.2">
      <c r="D27" t="str">
        <f t="shared" si="4"/>
        <v/>
      </c>
      <c r="N27" s="2"/>
    </row>
    <row r="28" spans="2:15" x14ac:dyDescent="0.2">
      <c r="D28" t="str">
        <f t="shared" si="4"/>
        <v/>
      </c>
      <c r="N28" s="2"/>
    </row>
    <row r="29" spans="2:15" x14ac:dyDescent="0.2">
      <c r="D29" t="str">
        <f>IF(ISBLANK(B29), "", VLOOKUP(C29, N31:O36, 2, FALSE))</f>
        <v/>
      </c>
      <c r="N29" s="2"/>
      <c r="O29" s="2"/>
    </row>
    <row r="30" spans="2:15" x14ac:dyDescent="0.2">
      <c r="D30" t="str">
        <f>IF(ISBLANK(B30), "", VLOOKUP(C30, N32:O37, 2, FALSE))</f>
        <v/>
      </c>
      <c r="N30" s="2"/>
      <c r="O30" s="2"/>
    </row>
    <row r="31" spans="2:15" x14ac:dyDescent="0.2">
      <c r="N31" s="2"/>
      <c r="O31" s="2"/>
    </row>
    <row r="32" spans="2:15" x14ac:dyDescent="0.2">
      <c r="N32" s="2"/>
      <c r="O32" s="2"/>
    </row>
    <row r="33" spans="4:15" x14ac:dyDescent="0.2">
      <c r="D33" s="5"/>
      <c r="N33" s="2"/>
      <c r="O33" s="2"/>
    </row>
    <row r="34" spans="4:15" x14ac:dyDescent="0.2">
      <c r="D34" s="5"/>
      <c r="N34" s="2"/>
      <c r="O34" s="2"/>
    </row>
    <row r="35" spans="4:15" x14ac:dyDescent="0.2">
      <c r="D35" s="1"/>
    </row>
    <row r="36" spans="4:15" x14ac:dyDescent="0.2">
      <c r="N36" s="2"/>
    </row>
    <row r="37" spans="4:15" x14ac:dyDescent="0.2">
      <c r="N37" s="2"/>
    </row>
    <row r="38" spans="4:15" x14ac:dyDescent="0.2">
      <c r="N38" s="2"/>
      <c r="O38" s="2"/>
    </row>
    <row r="39" spans="4:15" x14ac:dyDescent="0.2">
      <c r="N39" s="2"/>
      <c r="O39" s="2"/>
    </row>
    <row r="40" spans="4:15" x14ac:dyDescent="0.2">
      <c r="N40" s="2"/>
      <c r="O40" s="2"/>
    </row>
    <row r="41" spans="4:15" x14ac:dyDescent="0.2">
      <c r="N41" s="2"/>
      <c r="O41" s="2"/>
    </row>
    <row r="42" spans="4:15" x14ac:dyDescent="0.2">
      <c r="N42" s="2"/>
      <c r="O42" s="2"/>
    </row>
    <row r="43" spans="4:15" x14ac:dyDescent="0.2">
      <c r="N43" s="2"/>
      <c r="O43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65052-8F15-D648-8CD1-38F3C65C63F8}">
  <dimension ref="A1:AI44"/>
  <sheetViews>
    <sheetView topLeftCell="W1" zoomScale="125" zoomScaleNormal="125" workbookViewId="0">
      <selection activeCell="AC8" sqref="AC8"/>
    </sheetView>
  </sheetViews>
  <sheetFormatPr baseColWidth="10" defaultRowHeight="16" x14ac:dyDescent="0.2"/>
  <cols>
    <col min="1" max="1" width="13.33203125" customWidth="1"/>
    <col min="2" max="2" width="42.1640625" customWidth="1"/>
    <col min="3" max="3" width="7.33203125" bestFit="1" customWidth="1"/>
    <col min="4" max="4" width="12.5" bestFit="1" customWidth="1"/>
    <col min="5" max="5" width="19.1640625" customWidth="1"/>
    <col min="6" max="6" width="40" customWidth="1"/>
    <col min="7" max="7" width="38.83203125" customWidth="1"/>
    <col min="8" max="8" width="13.33203125" customWidth="1"/>
    <col min="9" max="10" width="21.1640625" customWidth="1"/>
    <col min="11" max="11" width="11.83203125" bestFit="1" customWidth="1"/>
    <col min="12" max="12" width="15.33203125" customWidth="1"/>
    <col min="13" max="13" width="21.1640625" customWidth="1"/>
    <col min="14" max="15" width="6.33203125" bestFit="1" customWidth="1"/>
    <col min="16" max="16" width="14.5" customWidth="1"/>
    <col min="17" max="17" width="13.6640625" customWidth="1"/>
    <col min="19" max="19" width="11.6640625" customWidth="1"/>
    <col min="20" max="20" width="24.5" customWidth="1"/>
    <col min="21" max="21" width="8.33203125" bestFit="1" customWidth="1"/>
    <col min="22" max="22" width="10.33203125" bestFit="1" customWidth="1"/>
    <col min="23" max="23" width="21.33203125" customWidth="1"/>
    <col min="32" max="32" width="14.6640625" customWidth="1"/>
    <col min="34" max="34" width="18" customWidth="1"/>
    <col min="35" max="35" width="8.5" customWidth="1"/>
  </cols>
  <sheetData>
    <row r="1" spans="1:35" x14ac:dyDescent="0.2">
      <c r="A1" t="s">
        <v>26</v>
      </c>
      <c r="W1" t="s">
        <v>50</v>
      </c>
      <c r="X1" t="s">
        <v>52</v>
      </c>
      <c r="Y1" t="s">
        <v>51</v>
      </c>
    </row>
    <row r="2" spans="1:35" x14ac:dyDescent="0.2">
      <c r="AE2" s="1" t="s">
        <v>0</v>
      </c>
    </row>
    <row r="3" spans="1:35" x14ac:dyDescent="0.2">
      <c r="R3" s="1" t="s">
        <v>60</v>
      </c>
      <c r="W3" s="1" t="s">
        <v>45</v>
      </c>
    </row>
    <row r="4" spans="1:35" x14ac:dyDescent="0.2">
      <c r="M4" s="1" t="s">
        <v>65</v>
      </c>
      <c r="X4" s="1" t="s">
        <v>40</v>
      </c>
    </row>
    <row r="5" spans="1:35" x14ac:dyDescent="0.2">
      <c r="J5" t="s">
        <v>76</v>
      </c>
      <c r="L5" s="1" t="s">
        <v>63</v>
      </c>
      <c r="M5" s="1"/>
      <c r="S5" s="1" t="s">
        <v>55</v>
      </c>
      <c r="Y5" s="1" t="s">
        <v>25</v>
      </c>
      <c r="Z5" s="1"/>
    </row>
    <row r="6" spans="1:35" s="7" customFormat="1" ht="51" x14ac:dyDescent="0.2">
      <c r="A6" s="7" t="s">
        <v>70</v>
      </c>
      <c r="E6" s="7" t="s">
        <v>74</v>
      </c>
      <c r="H6" s="7" t="s">
        <v>79</v>
      </c>
      <c r="I6" s="7" t="s">
        <v>69</v>
      </c>
      <c r="J6" s="7" t="s">
        <v>75</v>
      </c>
      <c r="L6" s="7" t="s">
        <v>64</v>
      </c>
      <c r="R6" s="7" t="s">
        <v>61</v>
      </c>
      <c r="S6" s="7" t="s">
        <v>56</v>
      </c>
      <c r="T6" s="7" t="s">
        <v>80</v>
      </c>
      <c r="X6" s="7" t="s">
        <v>54</v>
      </c>
      <c r="Y6" s="8" t="s">
        <v>53</v>
      </c>
      <c r="Z6" s="8"/>
    </row>
    <row r="7" spans="1:35" x14ac:dyDescent="0.2">
      <c r="A7" s="3" t="s">
        <v>81</v>
      </c>
      <c r="B7" s="3" t="s">
        <v>82</v>
      </c>
      <c r="C7" s="3" t="s">
        <v>11</v>
      </c>
      <c r="D7" s="3" t="s">
        <v>46</v>
      </c>
      <c r="E7" s="3" t="s">
        <v>27</v>
      </c>
      <c r="F7" s="3" t="s">
        <v>77</v>
      </c>
      <c r="G7" s="3" t="s">
        <v>78</v>
      </c>
      <c r="H7" s="3"/>
      <c r="I7" s="3" t="s">
        <v>68</v>
      </c>
      <c r="J7" s="3" t="s">
        <v>67</v>
      </c>
      <c r="K7" s="3" t="s">
        <v>71</v>
      </c>
      <c r="L7" t="s">
        <v>62</v>
      </c>
      <c r="M7" t="s">
        <v>66</v>
      </c>
      <c r="N7" t="s">
        <v>59</v>
      </c>
      <c r="O7" t="s">
        <v>58</v>
      </c>
      <c r="P7" t="s">
        <v>72</v>
      </c>
      <c r="Q7" t="s">
        <v>73</v>
      </c>
      <c r="R7" t="s">
        <v>57</v>
      </c>
      <c r="S7" t="s">
        <v>43</v>
      </c>
      <c r="T7" s="3" t="s">
        <v>42</v>
      </c>
      <c r="U7" t="s">
        <v>47</v>
      </c>
      <c r="V7" t="s">
        <v>49</v>
      </c>
      <c r="W7" t="s">
        <v>44</v>
      </c>
      <c r="X7" t="s">
        <v>41</v>
      </c>
      <c r="Y7" t="s">
        <v>91</v>
      </c>
      <c r="Z7" t="s">
        <v>92</v>
      </c>
      <c r="AA7" t="s">
        <v>3</v>
      </c>
      <c r="AB7" t="s">
        <v>2</v>
      </c>
      <c r="AC7" t="s">
        <v>95</v>
      </c>
      <c r="AD7" t="s">
        <v>96</v>
      </c>
      <c r="AE7" s="4" t="s">
        <v>93</v>
      </c>
      <c r="AF7" s="4" t="s">
        <v>94</v>
      </c>
      <c r="AH7" t="s">
        <v>9</v>
      </c>
    </row>
    <row r="8" spans="1:35" x14ac:dyDescent="0.2">
      <c r="A8">
        <v>3000</v>
      </c>
      <c r="B8" t="s">
        <v>83</v>
      </c>
      <c r="C8" t="s">
        <v>12</v>
      </c>
      <c r="D8" t="s">
        <v>38</v>
      </c>
      <c r="E8">
        <v>0.8</v>
      </c>
      <c r="F8" s="2" t="s">
        <v>31</v>
      </c>
      <c r="G8" s="2" t="s">
        <v>35</v>
      </c>
      <c r="H8" t="s">
        <v>39</v>
      </c>
      <c r="I8">
        <v>0.2</v>
      </c>
      <c r="J8">
        <v>0.7</v>
      </c>
      <c r="L8">
        <f>IF(ISBLANK(A8),"",J8*(1-I8))</f>
        <v>0.55999999999999994</v>
      </c>
      <c r="N8" cm="1">
        <f t="array" ref="N8">_xlfn.IFS(ISBLANK(A8), "", TRUE, VLOOKUP(F8, $AH$30:$AI$35, 2, FALSE))</f>
        <v>0.01</v>
      </c>
      <c r="O8" cm="1">
        <f t="array" ref="O8">_xlfn.IFS(ISBLANK(A8), "", H8="yes", 0, TRUE, VLOOKUP(G8, $AH$30:$AI$35, 2, FALSE))</f>
        <v>2E-3</v>
      </c>
      <c r="P8" cm="1">
        <f t="array" ref="P8">_xlfn.IFS(ISBLANK(A8), "", TRUE, VLOOKUP($F8, $AH$39:$AI$44, 2, FALSE))</f>
        <v>0.125</v>
      </c>
      <c r="Q8" cm="1">
        <f t="array" ref="Q8">_xlfn.IFS(ISBLANK(A8), "", H8="yes",0, TRUE, VLOOKUP($G8, $AH$39:$AI$44, 2, FALSE))</f>
        <v>0.25</v>
      </c>
      <c r="R8">
        <f>A8*L8</f>
        <v>1679.9999999999998</v>
      </c>
      <c r="S8">
        <f>IF(ISBLANK(A8), "", R8*(1-P8-N8))</f>
        <v>1453.1999999999998</v>
      </c>
      <c r="T8">
        <v>0.5</v>
      </c>
      <c r="U8">
        <f>IF(ISBLANK(A8), "", IF(D8="yes", 1, 0))</f>
        <v>1</v>
      </c>
      <c r="V8">
        <f t="shared" ref="V8:V25" si="0">$AI$13</f>
        <v>0.02</v>
      </c>
      <c r="W8" cm="1">
        <f t="array" ref="W8">_xlfn.IFS(ISBLANK(A8), "",F8="Stockpile (Solid storage)", R8*U8*V8, TRUE, 0)</f>
        <v>0</v>
      </c>
      <c r="X8" cm="1">
        <f t="array" ref="X8">_xlfn.IFS(ISBLANK(A8), "",H8="yes",R8,TRUE, S8*T8)</f>
        <v>726.59999999999991</v>
      </c>
      <c r="Y8">
        <f>IF(ISBLANK(A8), "", (X8*(1-O8-Q8)-W8)*E8)</f>
        <v>434.79743999999994</v>
      </c>
      <c r="Z8">
        <f>IF(ISBLANK(A8), "", (X8*(1-O8-Q8)-W8)*(1 -E8))</f>
        <v>108.69935999999996</v>
      </c>
      <c r="AA8">
        <f>IF(ISBLANK(A8), "", IF(C8="wet", $AI$8, $AI$9))</f>
        <v>6.0000000000000001E-3</v>
      </c>
      <c r="AB8">
        <f>IF(ISBLANK(A8), "", $AI$12)</f>
        <v>1.5714285714285714</v>
      </c>
      <c r="AC8">
        <f>IF(ISBLANK(A8), "", Y8*AA8*AB8 / 1000)</f>
        <v>4.0995187199999988E-3</v>
      </c>
      <c r="AD8">
        <f>IF(ISBLANK(B8), "", Z8*AA8*AB8 / 1000)</f>
        <v>1.0248796799999997E-3</v>
      </c>
      <c r="AE8">
        <f>IF(ISBLANK(A8), "", AC8+AC9)</f>
        <v>1.3856958719999998E-2</v>
      </c>
      <c r="AF8">
        <f>IF(ISBLANK(A8), "", AD8+AD9)</f>
        <v>3.4642396799999986E-3</v>
      </c>
      <c r="AH8" t="s">
        <v>7</v>
      </c>
      <c r="AI8">
        <v>6.0000000000000001E-3</v>
      </c>
    </row>
    <row r="9" spans="1:35" x14ac:dyDescent="0.2">
      <c r="F9" s="2" t="s">
        <v>32</v>
      </c>
      <c r="G9" s="2"/>
      <c r="H9" t="s">
        <v>38</v>
      </c>
      <c r="K9">
        <v>0.3</v>
      </c>
      <c r="M9">
        <f>IF(ISBLANK(A8), "", K9+(J8*I8))</f>
        <v>0.43999999999999995</v>
      </c>
      <c r="N9" cm="1">
        <f t="array" ref="N9">_xlfn.IFS(ISBLANK(A8), "", TRUE, VLOOKUP(F9, $AH$30:$AI$35, 2, FALSE))</f>
        <v>5.0000000000000001E-3</v>
      </c>
      <c r="O9" cm="1">
        <f t="array" ref="O9">_xlfn.IFS(ISBLANK(A8), "", H9="yes", 0, TRUE, VLOOKUP(G9, $AH$30:$AI$35, 2, FALSE))</f>
        <v>0</v>
      </c>
      <c r="P9" cm="1">
        <f t="array" ref="P9">_xlfn.IFS(ISBLANK(A8), "", TRUE, VLOOKUP($F9, $AH$39:$AI$44, 2, FALSE))</f>
        <v>0.2</v>
      </c>
      <c r="Q9" cm="1">
        <f t="array" ref="Q9">_xlfn.IFS(ISBLANK(A8), "", H9="yes",0, TRUE, VLOOKUP($G9, $AH$39:$AI$44, 2, FALSE))</f>
        <v>0</v>
      </c>
      <c r="R9">
        <f>A8*M9</f>
        <v>1319.9999999999998</v>
      </c>
      <c r="S9">
        <f>IF(ISBLANK(A8), "", R9*(1-Q9-N9))</f>
        <v>1313.3999999999999</v>
      </c>
      <c r="T9">
        <v>1</v>
      </c>
      <c r="U9">
        <f>IF(ISBLANK(A8), "", IF(D8="yes", 1, 0))</f>
        <v>1</v>
      </c>
      <c r="V9">
        <f t="shared" si="0"/>
        <v>0.02</v>
      </c>
      <c r="W9" cm="1">
        <f t="array" ref="W9">_xlfn.IFS(ISBLANK(A8), "",F9="Stockpile (Solid storage)", R9*U9*V9, TRUE, 0)</f>
        <v>26.399999999999995</v>
      </c>
      <c r="X9" cm="1">
        <f t="array" ref="X9">_xlfn.IFS(ISBLANK(A8), "",H9="yes",R9,TRUE, S9*T9)</f>
        <v>1319.9999999999998</v>
      </c>
      <c r="Y9">
        <f>IF(ISBLANK(A8), "", (X9*(1-O9-Q9)-W9)*E8)</f>
        <v>1034.8799999999999</v>
      </c>
      <c r="Z9">
        <f>IF(ISBLANK(A8), "", (X9*(1-O9-Q9)-W9)*(1 - E8))</f>
        <v>258.71999999999986</v>
      </c>
      <c r="AA9">
        <f>IF(ISBLANK(A8), "", IF(C8="wet", $AI$8, $AI$9))</f>
        <v>6.0000000000000001E-3</v>
      </c>
      <c r="AB9">
        <f>IF(ISBLANK(A8), "", $AI$12)</f>
        <v>1.5714285714285714</v>
      </c>
      <c r="AC9">
        <f>IF(ISBLANK(A8), "", Y9*AA9*AB9 / 1000)</f>
        <v>9.7574399999999992E-3</v>
      </c>
      <c r="AD9">
        <f>IF(ISBLANK(A8), "", Z9*AA9*AB9 / 1000)</f>
        <v>2.4393599999999989E-3</v>
      </c>
      <c r="AE9" t="str">
        <f>IF(ISBLANK(A9), "", Y9*AA9*AB9 / 1000)</f>
        <v/>
      </c>
      <c r="AH9" t="s">
        <v>8</v>
      </c>
      <c r="AI9">
        <v>5.0000000000000001E-3</v>
      </c>
    </row>
    <row r="10" spans="1:35" x14ac:dyDescent="0.2">
      <c r="A10">
        <v>3000</v>
      </c>
      <c r="B10" t="s">
        <v>84</v>
      </c>
      <c r="C10" t="s">
        <v>13</v>
      </c>
      <c r="D10" t="s">
        <v>38</v>
      </c>
      <c r="E10">
        <v>0.8</v>
      </c>
      <c r="F10" s="2" t="s">
        <v>31</v>
      </c>
      <c r="G10" s="2" t="s">
        <v>35</v>
      </c>
      <c r="H10" t="s">
        <v>39</v>
      </c>
      <c r="I10">
        <v>0.2</v>
      </c>
      <c r="J10">
        <v>0.7</v>
      </c>
      <c r="L10">
        <f>IF(ISBLANK(A10),"",J10*(1-I10))</f>
        <v>0.55999999999999994</v>
      </c>
      <c r="N10" cm="1">
        <f t="array" ref="N10">_xlfn.IFS(ISBLANK(A10), "", TRUE, VLOOKUP(F10, $AH$30:$AI$35, 2, FALSE))</f>
        <v>0.01</v>
      </c>
      <c r="O10" cm="1">
        <f t="array" ref="O10">_xlfn.IFS(ISBLANK(A10), "", H10="yes", 0, TRUE, VLOOKUP(G10, $AH$30:$AI$35, 2, FALSE))</f>
        <v>2E-3</v>
      </c>
      <c r="P10" cm="1">
        <f t="array" ref="P10">_xlfn.IFS(ISBLANK(A10), "", TRUE, VLOOKUP($F10, $AH$39:$AI$44, 2, FALSE))</f>
        <v>0.125</v>
      </c>
      <c r="Q10" cm="1">
        <f t="array" ref="Q10">_xlfn.IFS(ISBLANK(A10), "", H10="yes",0, TRUE, VLOOKUP($G10, $AH$39:$AI$44, 2, FALSE))</f>
        <v>0.25</v>
      </c>
      <c r="R10">
        <f>A10*L10</f>
        <v>1679.9999999999998</v>
      </c>
      <c r="S10">
        <f>IF(ISBLANK(A10), "", R10*(1-P10-N10))</f>
        <v>1453.1999999999998</v>
      </c>
      <c r="T10">
        <v>0.5</v>
      </c>
      <c r="U10">
        <f>IF(ISBLANK(A10), "", IF(D10="yes", 1, 0))</f>
        <v>1</v>
      </c>
      <c r="V10">
        <f t="shared" si="0"/>
        <v>0.02</v>
      </c>
      <c r="W10" cm="1">
        <f t="array" ref="W10">_xlfn.IFS(ISBLANK(A10), "",F10="Stockpile (Solid storage)", R10*U10*V10, TRUE, 0)</f>
        <v>0</v>
      </c>
      <c r="X10" cm="1">
        <f t="array" ref="X10">_xlfn.IFS(ISBLANK(A10), "",H10="yes",R10,TRUE, S10*T10)</f>
        <v>726.59999999999991</v>
      </c>
      <c r="Y10">
        <f>IF(ISBLANK(A10), "", (X10*(1-O10-Q10)-W10)*E10)</f>
        <v>434.79743999999994</v>
      </c>
      <c r="Z10">
        <f>IF(ISBLANK(A10), "", (X10*(1-O10-Q10)-W10)*(1 -E10))</f>
        <v>108.69935999999996</v>
      </c>
      <c r="AA10">
        <f>IF(ISBLANK(A10), "", IF(C10="wet", $AI$8, $AI$9))</f>
        <v>5.0000000000000001E-3</v>
      </c>
      <c r="AB10">
        <f>IF(ISBLANK(A10), "", $AI$12)</f>
        <v>1.5714285714285714</v>
      </c>
      <c r="AC10">
        <f>IF(ISBLANK(A10), "", Y10*AA10*AB10 / 1000)</f>
        <v>3.4162655999999993E-3</v>
      </c>
      <c r="AD10">
        <f>IF(ISBLANK(B10), "", Z10*AA10*AB10 / 1000)</f>
        <v>8.5406639999999971E-4</v>
      </c>
      <c r="AE10">
        <f>IF(ISBLANK(A10), "", AC10+AC11)</f>
        <v>1.1547465599999999E-2</v>
      </c>
      <c r="AF10">
        <f>IF(ISBLANK(A10), "", AD10+AD11)</f>
        <v>2.8868663999999989E-3</v>
      </c>
    </row>
    <row r="11" spans="1:35" x14ac:dyDescent="0.2">
      <c r="F11" s="2" t="s">
        <v>32</v>
      </c>
      <c r="G11" s="2"/>
      <c r="H11" t="s">
        <v>38</v>
      </c>
      <c r="K11">
        <v>0.3</v>
      </c>
      <c r="M11">
        <f>IF(ISBLANK(A10), "", K11+(J10*I10))</f>
        <v>0.43999999999999995</v>
      </c>
      <c r="N11" cm="1">
        <f t="array" ref="N11">_xlfn.IFS(ISBLANK(A10), "", TRUE, VLOOKUP(F11, $AH$30:$AI$35, 2, FALSE))</f>
        <v>5.0000000000000001E-3</v>
      </c>
      <c r="O11" cm="1">
        <f t="array" ref="O11">_xlfn.IFS(ISBLANK(A10), "", H11="yes", 0, TRUE, VLOOKUP(G11, $AH$30:$AI$35, 2, FALSE))</f>
        <v>0</v>
      </c>
      <c r="P11" cm="1">
        <f t="array" ref="P11">_xlfn.IFS(ISBLANK(A10), "", TRUE, VLOOKUP($F11, $AH$39:$AI$44, 2, FALSE))</f>
        <v>0.2</v>
      </c>
      <c r="Q11" cm="1">
        <f t="array" ref="Q11">_xlfn.IFS(ISBLANK(A10), "", H11="yes",0, TRUE, VLOOKUP($G11, $AH$39:$AI$44, 2, FALSE))</f>
        <v>0</v>
      </c>
      <c r="R11">
        <f>A10*M11</f>
        <v>1319.9999999999998</v>
      </c>
      <c r="S11">
        <f>IF(ISBLANK(A10), "", R11*(1-Q11-N11))</f>
        <v>1313.3999999999999</v>
      </c>
      <c r="T11">
        <v>1</v>
      </c>
      <c r="U11">
        <f>IF(ISBLANK(A10), "", IF(D10="yes", 1, 0))</f>
        <v>1</v>
      </c>
      <c r="V11">
        <f t="shared" si="0"/>
        <v>0.02</v>
      </c>
      <c r="W11" cm="1">
        <f t="array" ref="W11">_xlfn.IFS(ISBLANK(A10), "",F11="Stockpile (Solid storage)", R11*U11*V11, TRUE, 0)</f>
        <v>26.399999999999995</v>
      </c>
      <c r="X11" cm="1">
        <f t="array" ref="X11">_xlfn.IFS(ISBLANK(A10), "",H11="yes",R11,TRUE, S11*T11)</f>
        <v>1319.9999999999998</v>
      </c>
      <c r="Y11">
        <f>IF(ISBLANK(A10), "", (X11*(1-O11-Q11)-W11)*E10)</f>
        <v>1034.8799999999999</v>
      </c>
      <c r="Z11">
        <f>IF(ISBLANK(A10), "", (X11*(1-O11-Q11)-W11)*(1 - E10))</f>
        <v>258.71999999999986</v>
      </c>
      <c r="AA11">
        <f>IF(ISBLANK(A10), "", IF(C10="wet", $AI$8, $AI$9))</f>
        <v>5.0000000000000001E-3</v>
      </c>
      <c r="AB11">
        <f>IF(ISBLANK(A10), "", $AI$12)</f>
        <v>1.5714285714285714</v>
      </c>
      <c r="AC11">
        <f>IF(ISBLANK(A10), "", Y11*AA11*AB11 / 1000)</f>
        <v>8.1311999999999999E-3</v>
      </c>
      <c r="AD11">
        <f>IF(ISBLANK(A10), "", Z11*AA11*AB11 / 1000)</f>
        <v>2.0327999999999991E-3</v>
      </c>
      <c r="AE11" t="str">
        <f>IF(ISBLANK(A11), "", Y11*AA11*AB11 / 1000)</f>
        <v/>
      </c>
    </row>
    <row r="12" spans="1:35" x14ac:dyDescent="0.2">
      <c r="A12">
        <v>3000</v>
      </c>
      <c r="B12" t="s">
        <v>85</v>
      </c>
      <c r="C12" t="s">
        <v>12</v>
      </c>
      <c r="D12" t="s">
        <v>39</v>
      </c>
      <c r="E12">
        <v>0.8</v>
      </c>
      <c r="F12" s="2" t="s">
        <v>31</v>
      </c>
      <c r="G12" s="2" t="s">
        <v>35</v>
      </c>
      <c r="H12" t="s">
        <v>39</v>
      </c>
      <c r="I12">
        <v>0.2</v>
      </c>
      <c r="J12">
        <v>0.7</v>
      </c>
      <c r="L12">
        <f>IF(ISBLANK(A12),"",J12*(1-I12))</f>
        <v>0.55999999999999994</v>
      </c>
      <c r="N12" cm="1">
        <f t="array" ref="N12">_xlfn.IFS(ISBLANK(A12), "", TRUE, VLOOKUP(F12, $AH$30:$AI$35, 2, FALSE))</f>
        <v>0.01</v>
      </c>
      <c r="O12" cm="1">
        <f t="array" ref="O12">_xlfn.IFS(ISBLANK(A12), "", H12="yes", 0, TRUE, VLOOKUP(G12, $AH$30:$AI$35, 2, FALSE))</f>
        <v>2E-3</v>
      </c>
      <c r="P12" cm="1">
        <f t="array" ref="P12">_xlfn.IFS(ISBLANK(A12), "", TRUE, VLOOKUP($F12, $AH$39:$AI$44, 2, FALSE))</f>
        <v>0.125</v>
      </c>
      <c r="Q12" cm="1">
        <f t="array" ref="Q12">_xlfn.IFS(ISBLANK(A12), "", H12="yes",0, TRUE, VLOOKUP($G12, $AH$39:$AI$44, 2, FALSE))</f>
        <v>0.25</v>
      </c>
      <c r="R12">
        <f>A12*L12</f>
        <v>1679.9999999999998</v>
      </c>
      <c r="S12">
        <f>IF(ISBLANK(A12), "", R12*(1-P12-N12))</f>
        <v>1453.1999999999998</v>
      </c>
      <c r="T12">
        <v>0.5</v>
      </c>
      <c r="U12">
        <f>IF(ISBLANK(A12), "", IF(D12="yes", 1, 0))</f>
        <v>0</v>
      </c>
      <c r="V12">
        <f t="shared" si="0"/>
        <v>0.02</v>
      </c>
      <c r="W12" cm="1">
        <f t="array" ref="W12">_xlfn.IFS(ISBLANK(A12), "",F12="Stockpile (Solid storage)", R12*U12*V12, TRUE, 0)</f>
        <v>0</v>
      </c>
      <c r="X12" cm="1">
        <f t="array" ref="X12">_xlfn.IFS(ISBLANK(A12), "",H12="yes",R12,TRUE, S12*T12)</f>
        <v>726.59999999999991</v>
      </c>
      <c r="Y12">
        <f>IF(ISBLANK(A12), "", (X12*(1-O12-Q12)-W12)*E12)</f>
        <v>434.79743999999994</v>
      </c>
      <c r="Z12">
        <f>IF(ISBLANK(A12), "", (X12*(1-O12-Q12)-W12)*(1 -E12))</f>
        <v>108.69935999999996</v>
      </c>
      <c r="AA12">
        <f>IF(ISBLANK(A12), "", IF(C12="wet", $AI$8, $AI$9))</f>
        <v>6.0000000000000001E-3</v>
      </c>
      <c r="AB12">
        <f>IF(ISBLANK(A12), "", $AI$12)</f>
        <v>1.5714285714285714</v>
      </c>
      <c r="AC12">
        <f>IF(ISBLANK(A12), "", Y12*AA12*AB12 / 1000)</f>
        <v>4.0995187199999988E-3</v>
      </c>
      <c r="AD12">
        <f>IF(ISBLANK(B12), "", Z12*AA12*AB12 / 1000)</f>
        <v>1.0248796799999997E-3</v>
      </c>
      <c r="AE12">
        <f>IF(ISBLANK(A12), "", AC12+AC13)</f>
        <v>1.4056090148571425E-2</v>
      </c>
      <c r="AF12">
        <f>IF(ISBLANK(A12), "", AD12+AD13)</f>
        <v>3.5140225371428557E-3</v>
      </c>
      <c r="AH12" t="s">
        <v>2</v>
      </c>
      <c r="AI12">
        <f>44/28</f>
        <v>1.5714285714285714</v>
      </c>
    </row>
    <row r="13" spans="1:35" x14ac:dyDescent="0.2">
      <c r="F13" s="2" t="s">
        <v>32</v>
      </c>
      <c r="G13" s="2"/>
      <c r="H13" t="s">
        <v>38</v>
      </c>
      <c r="K13">
        <v>0.3</v>
      </c>
      <c r="M13">
        <f>IF(ISBLANK(A12), "", K13+(J12*I12))</f>
        <v>0.43999999999999995</v>
      </c>
      <c r="N13" cm="1">
        <f t="array" ref="N13">_xlfn.IFS(ISBLANK(A12), "", TRUE, VLOOKUP(F13, $AH$30:$AI$35, 2, FALSE))</f>
        <v>5.0000000000000001E-3</v>
      </c>
      <c r="O13" cm="1">
        <f t="array" ref="O13">_xlfn.IFS(ISBLANK(A12), "", H13="yes", 0, TRUE, VLOOKUP(G13, $AH$30:$AI$35, 2, FALSE))</f>
        <v>0</v>
      </c>
      <c r="P13" cm="1">
        <f t="array" ref="P13">_xlfn.IFS(ISBLANK(A12), "", TRUE, VLOOKUP($F13, $AH$39:$AI$44, 2, FALSE))</f>
        <v>0.2</v>
      </c>
      <c r="Q13" cm="1">
        <f t="array" ref="Q13">_xlfn.IFS(ISBLANK(A12), "", H13="yes",0, TRUE, VLOOKUP($G13, $AH$39:$AI$44, 2, FALSE))</f>
        <v>0</v>
      </c>
      <c r="R13">
        <f>A12*M13</f>
        <v>1319.9999999999998</v>
      </c>
      <c r="S13">
        <f>IF(ISBLANK(A12), "", R13*(1-Q13-N13))</f>
        <v>1313.3999999999999</v>
      </c>
      <c r="T13">
        <v>1</v>
      </c>
      <c r="U13">
        <f>IF(ISBLANK(A12), "", IF(D12="yes", 1, 0))</f>
        <v>0</v>
      </c>
      <c r="V13">
        <f t="shared" si="0"/>
        <v>0.02</v>
      </c>
      <c r="W13" cm="1">
        <f t="array" ref="W13">_xlfn.IFS(ISBLANK(A12), "",F13="Stockpile (Solid storage)", R13*U13*V13, TRUE, 0)</f>
        <v>0</v>
      </c>
      <c r="X13" cm="1">
        <f t="array" ref="X13">_xlfn.IFS(ISBLANK(A12), "",H13="yes",R13,TRUE, S13*T13)</f>
        <v>1319.9999999999998</v>
      </c>
      <c r="Y13">
        <f>IF(ISBLANK(A12), "", (X13*(1-O13-Q13)-W13)*E12)</f>
        <v>1055.9999999999998</v>
      </c>
      <c r="Z13">
        <f>IF(ISBLANK(A12), "", (X13*(1-O13-Q13)-W13)*(1 - E12))</f>
        <v>263.99999999999989</v>
      </c>
      <c r="AA13">
        <f>IF(ISBLANK(A12), "", IF(C12="wet", $AI$8, $AI$9))</f>
        <v>6.0000000000000001E-3</v>
      </c>
      <c r="AB13">
        <f>IF(ISBLANK(A12), "", $AI$12)</f>
        <v>1.5714285714285714</v>
      </c>
      <c r="AC13">
        <f>IF(ISBLANK(A12), "", Y13*AA13*AB13 / 1000)</f>
        <v>9.9565714285714257E-3</v>
      </c>
      <c r="AD13">
        <f>IF(ISBLANK(A12), "", Z13*AA13*AB13 / 1000)</f>
        <v>2.489142857142856E-3</v>
      </c>
      <c r="AE13" t="str">
        <f>IF(ISBLANK(A13), "", Y13*AA13*AB13 / 1000)</f>
        <v/>
      </c>
      <c r="AH13" t="s">
        <v>48</v>
      </c>
      <c r="AI13">
        <v>0.02</v>
      </c>
    </row>
    <row r="14" spans="1:35" x14ac:dyDescent="0.2">
      <c r="A14">
        <v>3000</v>
      </c>
      <c r="B14" t="s">
        <v>86</v>
      </c>
      <c r="C14" t="s">
        <v>13</v>
      </c>
      <c r="D14" t="s">
        <v>38</v>
      </c>
      <c r="E14">
        <v>0.8</v>
      </c>
      <c r="F14" s="2" t="s">
        <v>31</v>
      </c>
      <c r="G14" s="2" t="s">
        <v>30</v>
      </c>
      <c r="H14" t="s">
        <v>39</v>
      </c>
      <c r="I14">
        <v>0.2</v>
      </c>
      <c r="J14">
        <v>0.7</v>
      </c>
      <c r="L14">
        <f>IF(ISBLANK(A14),"",J14*(1-I14))</f>
        <v>0.55999999999999994</v>
      </c>
      <c r="N14" cm="1">
        <f t="array" ref="N14">_xlfn.IFS(ISBLANK(A14), "", TRUE, VLOOKUP(F14, $AH$30:$AI$35, 2, FALSE))</f>
        <v>0.01</v>
      </c>
      <c r="O14" cm="1">
        <f t="array" ref="O14">_xlfn.IFS(ISBLANK(A14), "", H14="yes", 0, TRUE, VLOOKUP(G14, $AH$30:$AI$35, 2, FALSE))</f>
        <v>0.02</v>
      </c>
      <c r="P14" cm="1">
        <f t="array" ref="P14">_xlfn.IFS(ISBLANK(A14), "", TRUE, VLOOKUP($F14, $AH$39:$AI$44, 2, FALSE))</f>
        <v>0.125</v>
      </c>
      <c r="Q14" cm="1">
        <f t="array" ref="Q14">_xlfn.IFS(ISBLANK(A14), "", H14="yes",0, TRUE, VLOOKUP($G14, $AH$39:$AI$44, 2, FALSE))</f>
        <v>0.3</v>
      </c>
      <c r="R14">
        <f>A14*L14</f>
        <v>1679.9999999999998</v>
      </c>
      <c r="S14">
        <f>IF(ISBLANK(A14), "", R14*(1-P14-N14))</f>
        <v>1453.1999999999998</v>
      </c>
      <c r="T14">
        <v>0.5</v>
      </c>
      <c r="U14">
        <f>IF(ISBLANK(A14), "", IF(D14="yes", 1, 0))</f>
        <v>1</v>
      </c>
      <c r="V14">
        <f t="shared" si="0"/>
        <v>0.02</v>
      </c>
      <c r="W14" cm="1">
        <f t="array" ref="W14">_xlfn.IFS(ISBLANK(A14), "",F14="Stockpile (Solid storage)", R14*U14*V14, TRUE, 0)</f>
        <v>0</v>
      </c>
      <c r="X14" cm="1">
        <f t="array" ref="X14">_xlfn.IFS(ISBLANK(A14), "",H14="yes",R14,TRUE, S14*T14)</f>
        <v>726.59999999999991</v>
      </c>
      <c r="Y14">
        <f>IF(ISBLANK(A14), "", (X14*(1-O14-Q14)-W14)*E14)</f>
        <v>395.27039999999994</v>
      </c>
      <c r="Z14">
        <f>IF(ISBLANK(A14), "", (X14*(1-O14-Q14)-W14)*(1 -E14))</f>
        <v>98.817599999999956</v>
      </c>
      <c r="AA14">
        <f>IF(ISBLANK(A14), "", IF(C14="wet", $AI$8, $AI$9))</f>
        <v>5.0000000000000001E-3</v>
      </c>
      <c r="AB14">
        <f>IF(ISBLANK(A14), "", $AI$12)</f>
        <v>1.5714285714285714</v>
      </c>
      <c r="AC14">
        <f>IF(ISBLANK(A14), "", Y14*AA14*AB14 / 1000)</f>
        <v>3.1056959999999994E-3</v>
      </c>
      <c r="AD14">
        <f>IF(ISBLANK(B14), "", Z14*AA14*AB14 / 1000)</f>
        <v>7.7642399999999963E-4</v>
      </c>
      <c r="AE14">
        <f>IF(ISBLANK(A14), "", AC14+AC15)</f>
        <v>1.1236896E-2</v>
      </c>
      <c r="AF14">
        <f>IF(ISBLANK(A14), "", AD14+AD15)</f>
        <v>2.8092239999999986E-3</v>
      </c>
    </row>
    <row r="15" spans="1:35" x14ac:dyDescent="0.2">
      <c r="F15" s="2" t="s">
        <v>32</v>
      </c>
      <c r="G15" s="2"/>
      <c r="H15" t="s">
        <v>38</v>
      </c>
      <c r="K15">
        <v>0.3</v>
      </c>
      <c r="M15">
        <f>IF(ISBLANK(A14), "", K15+(J14*I14))</f>
        <v>0.43999999999999995</v>
      </c>
      <c r="N15" cm="1">
        <f t="array" ref="N15">_xlfn.IFS(ISBLANK(A14), "", TRUE, VLOOKUP(F15, $AH$30:$AI$35, 2, FALSE))</f>
        <v>5.0000000000000001E-3</v>
      </c>
      <c r="O15" cm="1">
        <f t="array" ref="O15">_xlfn.IFS(ISBLANK(A14), "", H15="yes", 0, TRUE, VLOOKUP(G15, $AH$30:$AI$35, 2, FALSE))</f>
        <v>0</v>
      </c>
      <c r="P15" cm="1">
        <f t="array" ref="P15">_xlfn.IFS(ISBLANK(A14), "", TRUE, VLOOKUP($F15, $AH$39:$AI$44, 2, FALSE))</f>
        <v>0.2</v>
      </c>
      <c r="Q15" cm="1">
        <f t="array" ref="Q15">_xlfn.IFS(ISBLANK(A14), "", H15="yes",0, TRUE, VLOOKUP($G15, $AH$39:$AI$44, 2, FALSE))</f>
        <v>0</v>
      </c>
      <c r="R15">
        <f>A14*M15</f>
        <v>1319.9999999999998</v>
      </c>
      <c r="S15">
        <f>IF(ISBLANK(A14), "", R15*(1-Q15-N15))</f>
        <v>1313.3999999999999</v>
      </c>
      <c r="T15">
        <v>1</v>
      </c>
      <c r="U15">
        <f>IF(ISBLANK(A14), "", IF(D14="yes", 1, 0))</f>
        <v>1</v>
      </c>
      <c r="V15">
        <f t="shared" si="0"/>
        <v>0.02</v>
      </c>
      <c r="W15" cm="1">
        <f t="array" ref="W15">_xlfn.IFS(ISBLANK(A14), "",F15="Stockpile (Solid storage)", R15*U15*V15, TRUE, 0)</f>
        <v>26.399999999999995</v>
      </c>
      <c r="X15" cm="1">
        <f t="array" ref="X15">_xlfn.IFS(ISBLANK(A14), "",H15="yes",R15,TRUE, S15*T15)</f>
        <v>1319.9999999999998</v>
      </c>
      <c r="Y15">
        <f>IF(ISBLANK(A14), "", (X15*(1-O15-Q15)-W15)*E14)</f>
        <v>1034.8799999999999</v>
      </c>
      <c r="Z15">
        <f>IF(ISBLANK(A14), "", (X15*(1-O15-Q15)-W15)*(1 - E14))</f>
        <v>258.71999999999986</v>
      </c>
      <c r="AA15">
        <f>IF(ISBLANK(A14), "", IF(C14="wet", $AI$8, $AI$9))</f>
        <v>5.0000000000000001E-3</v>
      </c>
      <c r="AB15">
        <f>IF(ISBLANK(A14), "", $AI$12)</f>
        <v>1.5714285714285714</v>
      </c>
      <c r="AC15">
        <f>IF(ISBLANK(A14), "", Y15*AA15*AB15 / 1000)</f>
        <v>8.1311999999999999E-3</v>
      </c>
      <c r="AD15">
        <f>IF(ISBLANK(A14), "", Z15*AA15*AB15 / 1000)</f>
        <v>2.0327999999999991E-3</v>
      </c>
      <c r="AE15" t="str">
        <f>IF(ISBLANK(A15), "", Y15*AA15*AB15 / 1000)</f>
        <v/>
      </c>
    </row>
    <row r="16" spans="1:35" x14ac:dyDescent="0.2">
      <c r="A16">
        <v>3000</v>
      </c>
      <c r="B16" t="s">
        <v>87</v>
      </c>
      <c r="C16" t="s">
        <v>13</v>
      </c>
      <c r="D16" t="s">
        <v>38</v>
      </c>
      <c r="E16">
        <v>0.8</v>
      </c>
      <c r="F16" s="2" t="s">
        <v>31</v>
      </c>
      <c r="G16" s="2" t="s">
        <v>31</v>
      </c>
      <c r="H16" t="s">
        <v>39</v>
      </c>
      <c r="I16">
        <v>0.2</v>
      </c>
      <c r="J16">
        <v>0.7</v>
      </c>
      <c r="L16">
        <f>IF(ISBLANK(A16),"",J16*(1-I16))</f>
        <v>0.55999999999999994</v>
      </c>
      <c r="N16" cm="1">
        <f t="array" ref="N16">_xlfn.IFS(ISBLANK(A16), "", TRUE, VLOOKUP(F16, $AH$30:$AI$35, 2, FALSE))</f>
        <v>0.01</v>
      </c>
      <c r="O16" cm="1">
        <f t="array" ref="O16">_xlfn.IFS(ISBLANK(A16), "", H16="yes", 0, TRUE, VLOOKUP(G16, $AH$30:$AI$35, 2, FALSE))</f>
        <v>0.01</v>
      </c>
      <c r="P16" cm="1">
        <f t="array" ref="P16">_xlfn.IFS(ISBLANK(A16), "", TRUE, VLOOKUP($F16, $AH$39:$AI$44, 2, FALSE))</f>
        <v>0.125</v>
      </c>
      <c r="Q16" cm="1">
        <f t="array" ref="Q16">_xlfn.IFS(ISBLANK(A16), "", H16="yes",0, TRUE, VLOOKUP($G16, $AH$39:$AI$44, 2, FALSE))</f>
        <v>0.125</v>
      </c>
      <c r="R16">
        <f>A16*L16</f>
        <v>1679.9999999999998</v>
      </c>
      <c r="S16">
        <f>IF(ISBLANK(A16), "", R16*(1-P16-N16))</f>
        <v>1453.1999999999998</v>
      </c>
      <c r="T16">
        <v>0.5</v>
      </c>
      <c r="U16">
        <f>IF(ISBLANK(A16), "", IF(D16="yes", 1, 0))</f>
        <v>1</v>
      </c>
      <c r="V16">
        <f t="shared" si="0"/>
        <v>0.02</v>
      </c>
      <c r="W16" cm="1">
        <f t="array" ref="W16">_xlfn.IFS(ISBLANK(A16), "",F16="Stockpile (Solid storage)", R16*U16*V16, TRUE, 0)</f>
        <v>0</v>
      </c>
      <c r="X16" cm="1">
        <f t="array" ref="X16">_xlfn.IFS(ISBLANK(A16), "",H16="yes",R16,TRUE, S16*T16)</f>
        <v>726.59999999999991</v>
      </c>
      <c r="Y16">
        <f>IF(ISBLANK(A16), "", (X16*(1-O16-Q16)-W16)*E16)</f>
        <v>502.80719999999997</v>
      </c>
      <c r="Z16">
        <f>IF(ISBLANK(A16), "", (X16*(1-O16-Q16)-W16)*(1 -E16))</f>
        <v>125.70179999999995</v>
      </c>
      <c r="AA16">
        <f>IF(ISBLANK(A16), "", IF(C16="wet", $AI$8, $AI$9))</f>
        <v>5.0000000000000001E-3</v>
      </c>
      <c r="AB16">
        <f>IF(ISBLANK(A16), "", $AI$12)</f>
        <v>1.5714285714285714</v>
      </c>
      <c r="AC16">
        <f>IF(ISBLANK(A16), "", Y16*AA16*AB16 / 1000)</f>
        <v>3.9506280000000003E-3</v>
      </c>
      <c r="AD16">
        <f>IF(ISBLANK(B16), "", Z16*AA16*AB16 / 1000)</f>
        <v>9.8765699999999964E-4</v>
      </c>
      <c r="AE16">
        <f>IF(ISBLANK(A16), "", AC16+AC17)</f>
        <v>1.2081827999999999E-2</v>
      </c>
      <c r="AF16">
        <f>IF(ISBLANK(A16), "", AD16+AD17)</f>
        <v>3.020456999999999E-3</v>
      </c>
    </row>
    <row r="17" spans="1:35" x14ac:dyDescent="0.2">
      <c r="F17" s="2" t="s">
        <v>32</v>
      </c>
      <c r="G17" s="2"/>
      <c r="H17" t="s">
        <v>38</v>
      </c>
      <c r="K17">
        <v>0.3</v>
      </c>
      <c r="M17">
        <f>IF(ISBLANK(A16), "", K17+(J16*I16))</f>
        <v>0.43999999999999995</v>
      </c>
      <c r="N17" cm="1">
        <f t="array" ref="N17">_xlfn.IFS(ISBLANK(A16), "", TRUE, VLOOKUP(F17, $AH$30:$AI$35, 2, FALSE))</f>
        <v>5.0000000000000001E-3</v>
      </c>
      <c r="O17" cm="1">
        <f t="array" ref="O17">_xlfn.IFS(ISBLANK(A16), "", H17="yes", 0, TRUE, VLOOKUP(G17, $AH$30:$AI$35, 2, FALSE))</f>
        <v>0</v>
      </c>
      <c r="P17" cm="1">
        <f t="array" ref="P17">_xlfn.IFS(ISBLANK(A16), "", TRUE, VLOOKUP($F17, $AH$39:$AI$44, 2, FALSE))</f>
        <v>0.2</v>
      </c>
      <c r="Q17" cm="1">
        <f t="array" ref="Q17">_xlfn.IFS(ISBLANK(A16), "", H17="yes",0, TRUE, VLOOKUP($G17, $AH$39:$AI$44, 2, FALSE))</f>
        <v>0</v>
      </c>
      <c r="R17">
        <f>A16*M17</f>
        <v>1319.9999999999998</v>
      </c>
      <c r="S17">
        <f>IF(ISBLANK(A16), "", R17*(1-Q17-N17))</f>
        <v>1313.3999999999999</v>
      </c>
      <c r="T17">
        <v>1</v>
      </c>
      <c r="U17">
        <f>IF(ISBLANK(A16), "", IF(D16="yes", 1, 0))</f>
        <v>1</v>
      </c>
      <c r="V17">
        <f t="shared" si="0"/>
        <v>0.02</v>
      </c>
      <c r="W17" cm="1">
        <f t="array" ref="W17">_xlfn.IFS(ISBLANK(A16), "",F17="Stockpile (Solid storage)", R17*U17*V17, TRUE, 0)</f>
        <v>26.399999999999995</v>
      </c>
      <c r="X17" cm="1">
        <f t="array" ref="X17">_xlfn.IFS(ISBLANK(A16), "",H17="yes",R17,TRUE, S17*T17)</f>
        <v>1319.9999999999998</v>
      </c>
      <c r="Y17">
        <f>IF(ISBLANK(A16), "", (X17*(1-O17-Q17)-W17)*E16)</f>
        <v>1034.8799999999999</v>
      </c>
      <c r="Z17">
        <f>IF(ISBLANK(A16), "", (X17*(1-O17-Q17)-W17)*(1 - E16))</f>
        <v>258.71999999999986</v>
      </c>
      <c r="AA17">
        <f>IF(ISBLANK(A16), "", IF(C16="wet", $AI$8, $AI$9))</f>
        <v>5.0000000000000001E-3</v>
      </c>
      <c r="AB17">
        <f>IF(ISBLANK(A16), "", $AI$12)</f>
        <v>1.5714285714285714</v>
      </c>
      <c r="AC17">
        <f>IF(ISBLANK(A16), "", Y17*AA17*AB17 / 1000)</f>
        <v>8.1311999999999999E-3</v>
      </c>
      <c r="AD17">
        <f>IF(ISBLANK(A16), "", Z17*AA17*AB17 / 1000)</f>
        <v>2.0327999999999991E-3</v>
      </c>
      <c r="AE17" t="str">
        <f>IF(ISBLANK(A17), "", Y17*AA17*AB17 / 1000)</f>
        <v/>
      </c>
    </row>
    <row r="18" spans="1:35" x14ac:dyDescent="0.2">
      <c r="A18">
        <v>3000</v>
      </c>
      <c r="B18" t="s">
        <v>88</v>
      </c>
      <c r="C18" t="s">
        <v>13</v>
      </c>
      <c r="D18" t="s">
        <v>38</v>
      </c>
      <c r="E18">
        <v>0.8</v>
      </c>
      <c r="F18" s="2" t="s">
        <v>31</v>
      </c>
      <c r="G18" s="2" t="s">
        <v>33</v>
      </c>
      <c r="H18" t="s">
        <v>39</v>
      </c>
      <c r="I18">
        <v>0.2</v>
      </c>
      <c r="J18">
        <v>0.7</v>
      </c>
      <c r="L18">
        <f>IF(ISBLANK(A18),"",J18*(1-I18))</f>
        <v>0.55999999999999994</v>
      </c>
      <c r="N18" cm="1">
        <f t="array" ref="N18">_xlfn.IFS(ISBLANK(A18), "", TRUE, VLOOKUP(F18, $AH$30:$AI$35, 2, FALSE))</f>
        <v>0.01</v>
      </c>
      <c r="O18" cm="1">
        <f t="array" ref="O18">_xlfn.IFS(ISBLANK(A18), "", H18="yes", 0, TRUE, VLOOKUP(G18, $AH$30:$AI$35, 2, FALSE))</f>
        <v>0</v>
      </c>
      <c r="P18" cm="1">
        <f t="array" ref="P18">_xlfn.IFS(ISBLANK(A18), "", TRUE, VLOOKUP($F18, $AH$39:$AI$44, 2, FALSE))</f>
        <v>0.125</v>
      </c>
      <c r="Q18" cm="1">
        <f t="array" ref="Q18">_xlfn.IFS(ISBLANK(A18), "", H18="yes",0, TRUE, VLOOKUP($G18, $AH$39:$AI$44, 2, FALSE))</f>
        <v>0.55000000000000004</v>
      </c>
      <c r="R18">
        <f>A18*L18</f>
        <v>1679.9999999999998</v>
      </c>
      <c r="S18">
        <f>IF(ISBLANK(A18), "", R18*(1-P18-N18))</f>
        <v>1453.1999999999998</v>
      </c>
      <c r="T18">
        <v>0.5</v>
      </c>
      <c r="U18">
        <f>IF(ISBLANK(A18), "", IF(D18="yes", 1, 0))</f>
        <v>1</v>
      </c>
      <c r="V18">
        <f t="shared" si="0"/>
        <v>0.02</v>
      </c>
      <c r="W18" cm="1">
        <f t="array" ref="W18">_xlfn.IFS(ISBLANK(A18), "",F18="Stockpile (Solid storage)", R18*U18*V18, TRUE, 0)</f>
        <v>0</v>
      </c>
      <c r="X18" cm="1">
        <f t="array" ref="X18">_xlfn.IFS(ISBLANK(A18), "",H18="yes",R18,TRUE, S18*T18)</f>
        <v>726.59999999999991</v>
      </c>
      <c r="Y18">
        <f>IF(ISBLANK(A18), "", (X18*(1-O18-Q18)-W18)*E18)</f>
        <v>261.57599999999996</v>
      </c>
      <c r="Z18">
        <f>IF(ISBLANK(A18), "", (X18*(1-O18-Q18)-W18)*(1 -E18))</f>
        <v>65.393999999999963</v>
      </c>
      <c r="AA18">
        <f>IF(ISBLANK(A18), "", IF(C18="wet", $AI$8, $AI$9))</f>
        <v>5.0000000000000001E-3</v>
      </c>
      <c r="AB18">
        <f>IF(ISBLANK(A18), "", $AI$12)</f>
        <v>1.5714285714285714</v>
      </c>
      <c r="AC18">
        <f>IF(ISBLANK(A18), "", Y18*AA18*AB18 / 1000)</f>
        <v>2.0552399999999998E-3</v>
      </c>
      <c r="AD18">
        <f>IF(ISBLANK(B18), "", Z18*AA18*AB18 / 1000)</f>
        <v>5.1380999999999964E-4</v>
      </c>
      <c r="AE18">
        <f>IF(ISBLANK(A18), "", AC18+AC19)</f>
        <v>1.018644E-2</v>
      </c>
      <c r="AF18">
        <f>IF(ISBLANK(A18), "", AD18+AD19)</f>
        <v>2.5466099999999986E-3</v>
      </c>
      <c r="AH18" t="s">
        <v>14</v>
      </c>
    </row>
    <row r="19" spans="1:35" x14ac:dyDescent="0.2">
      <c r="F19" s="2" t="s">
        <v>32</v>
      </c>
      <c r="G19" s="2"/>
      <c r="H19" t="s">
        <v>38</v>
      </c>
      <c r="K19">
        <v>0.3</v>
      </c>
      <c r="M19">
        <f>IF(ISBLANK(A18), "", K19+(J18*I18))</f>
        <v>0.43999999999999995</v>
      </c>
      <c r="N19" cm="1">
        <f t="array" ref="N19">_xlfn.IFS(ISBLANK(A18), "", TRUE, VLOOKUP(F19, $AH$30:$AI$35, 2, FALSE))</f>
        <v>5.0000000000000001E-3</v>
      </c>
      <c r="O19" cm="1">
        <f t="array" ref="O19">_xlfn.IFS(ISBLANK(A18), "", H19="yes", 0, TRUE, VLOOKUP(G19, $AH$30:$AI$35, 2, FALSE))</f>
        <v>0</v>
      </c>
      <c r="P19" cm="1">
        <f t="array" ref="P19">_xlfn.IFS(ISBLANK(A18), "", TRUE, VLOOKUP($F19, $AH$39:$AI$44, 2, FALSE))</f>
        <v>0.2</v>
      </c>
      <c r="Q19" cm="1">
        <f t="array" ref="Q19">_xlfn.IFS(ISBLANK(A18), "", H19="yes",0, TRUE, VLOOKUP($G19, $AH$39:$AI$44, 2, FALSE))</f>
        <v>0</v>
      </c>
      <c r="R19">
        <f>A18*M19</f>
        <v>1319.9999999999998</v>
      </c>
      <c r="S19">
        <f>IF(ISBLANK(A18), "", R19*(1-Q19-N19))</f>
        <v>1313.3999999999999</v>
      </c>
      <c r="T19">
        <v>1</v>
      </c>
      <c r="U19">
        <f>IF(ISBLANK(A18), "", IF(D18="yes", 1, 0))</f>
        <v>1</v>
      </c>
      <c r="V19">
        <f t="shared" si="0"/>
        <v>0.02</v>
      </c>
      <c r="W19" cm="1">
        <f t="array" ref="W19">_xlfn.IFS(ISBLANK(A18), "",F19="Stockpile (Solid storage)", R19*U19*V19, TRUE, 0)</f>
        <v>26.399999999999995</v>
      </c>
      <c r="X19" cm="1">
        <f t="array" ref="X19">_xlfn.IFS(ISBLANK(A18), "",H19="yes",R19,TRUE, S19*T19)</f>
        <v>1319.9999999999998</v>
      </c>
      <c r="Y19">
        <f>IF(ISBLANK(A18), "", (X19*(1-O19-Q19)-W19)*E18)</f>
        <v>1034.8799999999999</v>
      </c>
      <c r="Z19">
        <f>IF(ISBLANK(A18), "", (X19*(1-O19-Q19)-W19)*(1 - E18))</f>
        <v>258.71999999999986</v>
      </c>
      <c r="AA19">
        <f>IF(ISBLANK(A18), "", IF(C18="wet", $AI$8, $AI$9))</f>
        <v>5.0000000000000001E-3</v>
      </c>
      <c r="AB19">
        <f>IF(ISBLANK(A18), "", $AI$12)</f>
        <v>1.5714285714285714</v>
      </c>
      <c r="AC19">
        <f>IF(ISBLANK(A18), "", Y19*AA19*AB19 / 1000)</f>
        <v>8.1311999999999999E-3</v>
      </c>
      <c r="AD19">
        <f>IF(ISBLANK(A18), "", Z19*AA19*AB19 / 1000)</f>
        <v>2.0327999999999991E-3</v>
      </c>
      <c r="AE19" t="str">
        <f>IF(ISBLANK(A19), "", Y19*AA19*AB19 / 1000)</f>
        <v/>
      </c>
      <c r="AH19" t="s">
        <v>15</v>
      </c>
    </row>
    <row r="20" spans="1:35" x14ac:dyDescent="0.2">
      <c r="A20">
        <v>3000</v>
      </c>
      <c r="B20" t="s">
        <v>89</v>
      </c>
      <c r="C20" t="s">
        <v>13</v>
      </c>
      <c r="D20" t="s">
        <v>38</v>
      </c>
      <c r="E20">
        <v>0.8</v>
      </c>
      <c r="F20" s="2" t="s">
        <v>31</v>
      </c>
      <c r="G20" s="2" t="s">
        <v>34</v>
      </c>
      <c r="H20" t="s">
        <v>39</v>
      </c>
      <c r="I20">
        <v>0.2</v>
      </c>
      <c r="J20">
        <v>0.7</v>
      </c>
      <c r="L20">
        <f>IF(ISBLANK(A20),"",J20*(1-I20))</f>
        <v>0.55999999999999994</v>
      </c>
      <c r="N20" cm="1">
        <f t="array" ref="N20">_xlfn.IFS(ISBLANK(A20), "", TRUE, VLOOKUP(F20, $AH$30:$AI$35, 2, FALSE))</f>
        <v>0.01</v>
      </c>
      <c r="O20" cm="1">
        <f t="array" ref="O20">_xlfn.IFS(ISBLANK(A20), "", H20="yes", 0, TRUE, VLOOKUP(G20, $AH$30:$AI$35, 2, FALSE))</f>
        <v>0</v>
      </c>
      <c r="P20" cm="1">
        <f t="array" ref="P20">_xlfn.IFS(ISBLANK(A20), "", TRUE, VLOOKUP($F20, $AH$39:$AI$44, 2, FALSE))</f>
        <v>0.125</v>
      </c>
      <c r="Q20" cm="1">
        <f t="array" ref="Q20">_xlfn.IFS(ISBLANK(A20), "", H20="yes",0, TRUE, VLOOKUP($G20, $AH$39:$AI$44, 2, FALSE))</f>
        <v>0</v>
      </c>
      <c r="R20">
        <f>A20*L20</f>
        <v>1679.9999999999998</v>
      </c>
      <c r="S20">
        <f>IF(ISBLANK(A20), "", R20*(1-P20-N20))</f>
        <v>1453.1999999999998</v>
      </c>
      <c r="T20">
        <v>0.5</v>
      </c>
      <c r="U20">
        <f>IF(ISBLANK(A20), "", IF(D20="yes", 1, 0))</f>
        <v>1</v>
      </c>
      <c r="V20">
        <f t="shared" si="0"/>
        <v>0.02</v>
      </c>
      <c r="W20" cm="1">
        <f t="array" ref="W20">_xlfn.IFS(ISBLANK(A20), "",F20="Stockpile (Solid storage)", R20*U20*V20, TRUE, 0)</f>
        <v>0</v>
      </c>
      <c r="X20" cm="1">
        <f t="array" ref="X20">_xlfn.IFS(ISBLANK(A20), "",H20="yes",R20,TRUE, S20*T20)</f>
        <v>726.59999999999991</v>
      </c>
      <c r="Y20">
        <f>IF(ISBLANK(A20), "", (X20*(1-O20-Q20)-W20)*E20)</f>
        <v>581.28</v>
      </c>
      <c r="Z20">
        <f>IF(ISBLANK(A20), "", (X20*(1-O20-Q20)-W20)*(1 -E20))</f>
        <v>145.31999999999994</v>
      </c>
      <c r="AA20">
        <f>IF(ISBLANK(A20), "", IF(C20="wet", $AI$8, $AI$9))</f>
        <v>5.0000000000000001E-3</v>
      </c>
      <c r="AB20">
        <f>IF(ISBLANK(A20), "", $AI$12)</f>
        <v>1.5714285714285714</v>
      </c>
      <c r="AC20">
        <f>IF(ISBLANK(A20), "", Y20*AA20*AB20 / 1000)</f>
        <v>4.5671999999999996E-3</v>
      </c>
      <c r="AD20">
        <f>IF(ISBLANK(B20), "", Z20*AA20*AB20 / 1000)</f>
        <v>1.1417999999999995E-3</v>
      </c>
      <c r="AE20">
        <f>IF(ISBLANK(A20), "", AC20+AC21)</f>
        <v>1.2698399999999999E-2</v>
      </c>
      <c r="AF20">
        <f>IF(ISBLANK(A20), "", AD20+AD21)</f>
        <v>3.1745999999999988E-3</v>
      </c>
      <c r="AH20" s="2" t="s">
        <v>19</v>
      </c>
      <c r="AI20" s="2">
        <v>2.9000000000000001E-2</v>
      </c>
    </row>
    <row r="21" spans="1:35" x14ac:dyDescent="0.2">
      <c r="F21" s="2" t="s">
        <v>32</v>
      </c>
      <c r="G21" s="2"/>
      <c r="H21" t="s">
        <v>38</v>
      </c>
      <c r="K21">
        <v>0.3</v>
      </c>
      <c r="M21">
        <f>IF(ISBLANK(A20), "", K21+(J20*I20))</f>
        <v>0.43999999999999995</v>
      </c>
      <c r="N21" cm="1">
        <f t="array" ref="N21">_xlfn.IFS(ISBLANK(A20), "", TRUE, VLOOKUP(F21, $AH$30:$AI$35, 2, FALSE))</f>
        <v>5.0000000000000001E-3</v>
      </c>
      <c r="O21" cm="1">
        <f t="array" ref="O21">_xlfn.IFS(ISBLANK(A20), "", H21="yes", 0, TRUE, VLOOKUP(G21, $AH$30:$AI$35, 2, FALSE))</f>
        <v>0</v>
      </c>
      <c r="P21" cm="1">
        <f t="array" ref="P21">_xlfn.IFS(ISBLANK(A20), "", TRUE, VLOOKUP($F21, $AH$39:$AI$44, 2, FALSE))</f>
        <v>0.2</v>
      </c>
      <c r="Q21" cm="1">
        <f t="array" ref="Q21">_xlfn.IFS(ISBLANK(A20), "", H21="yes",0, TRUE, VLOOKUP($G21, $AH$39:$AI$44, 2, FALSE))</f>
        <v>0</v>
      </c>
      <c r="R21">
        <f>A20*M21</f>
        <v>1319.9999999999998</v>
      </c>
      <c r="S21">
        <f>IF(ISBLANK(A20), "", R21*(1-Q21-N21))</f>
        <v>1313.3999999999999</v>
      </c>
      <c r="T21">
        <v>1</v>
      </c>
      <c r="U21">
        <f>IF(ISBLANK(A20), "", IF(D20="yes", 1, 0))</f>
        <v>1</v>
      </c>
      <c r="V21">
        <f t="shared" si="0"/>
        <v>0.02</v>
      </c>
      <c r="W21" cm="1">
        <f t="array" ref="W21">_xlfn.IFS(ISBLANK(A20), "",F21="Stockpile (Solid storage)", R21*U21*V21, TRUE, 0)</f>
        <v>26.399999999999995</v>
      </c>
      <c r="X21" cm="1">
        <f t="array" ref="X21">_xlfn.IFS(ISBLANK(A20), "",H21="yes",R21,TRUE, S21*T21)</f>
        <v>1319.9999999999998</v>
      </c>
      <c r="Y21">
        <f>IF(ISBLANK(A20), "", (X21*(1-O21-Q21)-W21)*E20)</f>
        <v>1034.8799999999999</v>
      </c>
      <c r="Z21">
        <f>IF(ISBLANK(A20), "", (X21*(1-O21-Q21)-W21)*(1 - E20))</f>
        <v>258.71999999999986</v>
      </c>
      <c r="AA21">
        <f>IF(ISBLANK(A20), "", IF(C20="wet", $AI$8, $AI$9))</f>
        <v>5.0000000000000001E-3</v>
      </c>
      <c r="AB21">
        <f>IF(ISBLANK(A20), "", $AI$12)</f>
        <v>1.5714285714285714</v>
      </c>
      <c r="AC21">
        <f>IF(ISBLANK(A20), "", Y21*AA21*AB21 / 1000)</f>
        <v>8.1311999999999999E-3</v>
      </c>
      <c r="AD21">
        <f>IF(ISBLANK(A20), "", Z21*AA21*AB21 / 1000)</f>
        <v>2.0327999999999991E-3</v>
      </c>
      <c r="AE21" t="str">
        <f>IF(ISBLANK(A21), "", Y21*AA21*AB21 / 1000)</f>
        <v/>
      </c>
      <c r="AH21" s="2" t="s">
        <v>20</v>
      </c>
      <c r="AI21" s="2">
        <v>2.3E-2</v>
      </c>
    </row>
    <row r="22" spans="1:35" x14ac:dyDescent="0.2">
      <c r="A22">
        <v>3000</v>
      </c>
      <c r="B22" t="s">
        <v>90</v>
      </c>
      <c r="C22" t="s">
        <v>12</v>
      </c>
      <c r="D22" t="s">
        <v>38</v>
      </c>
      <c r="E22">
        <v>0.8</v>
      </c>
      <c r="F22" s="2" t="s">
        <v>31</v>
      </c>
      <c r="G22" s="2" t="s">
        <v>34</v>
      </c>
      <c r="H22" t="s">
        <v>39</v>
      </c>
      <c r="I22">
        <v>0</v>
      </c>
      <c r="J22">
        <v>1</v>
      </c>
      <c r="L22">
        <f>IF(ISBLANK(A22),"",J22*(1-I22))</f>
        <v>1</v>
      </c>
      <c r="N22" cm="1">
        <f t="array" ref="N22">_xlfn.IFS(ISBLANK(A22), "", TRUE, VLOOKUP(F22, $AH$30:$AI$35, 2, FALSE))</f>
        <v>0.01</v>
      </c>
      <c r="O22" cm="1">
        <f t="array" ref="O22">_xlfn.IFS(ISBLANK(A22), "", H22="yes", 0, TRUE, VLOOKUP(G22, $AH$30:$AI$35, 2, FALSE))</f>
        <v>0</v>
      </c>
      <c r="P22" cm="1">
        <f t="array" ref="P22">_xlfn.IFS(ISBLANK(A22), "", TRUE, VLOOKUP($F22, $AH$39:$AI$44, 2, FALSE))</f>
        <v>0.125</v>
      </c>
      <c r="Q22" cm="1">
        <f t="array" ref="Q22">_xlfn.IFS(ISBLANK(A22), "", H22="yes",0, TRUE, VLOOKUP($G22, $AH$39:$AI$44, 2, FALSE))</f>
        <v>0</v>
      </c>
      <c r="R22">
        <f>A22*L22</f>
        <v>3000</v>
      </c>
      <c r="S22">
        <f>IF(ISBLANK(A22), "", R22*(1-P22-N22))</f>
        <v>2595</v>
      </c>
      <c r="T22">
        <v>0.5</v>
      </c>
      <c r="U22">
        <f>IF(ISBLANK(A22), "", IF(D22="yes", 1, 0))</f>
        <v>1</v>
      </c>
      <c r="V22">
        <f t="shared" si="0"/>
        <v>0.02</v>
      </c>
      <c r="W22" cm="1">
        <f t="array" ref="W22">_xlfn.IFS(ISBLANK(A22), "",F22="Stockpile (Solid storage)", R22*U22*V22, TRUE, 0)</f>
        <v>0</v>
      </c>
      <c r="X22" cm="1">
        <f t="array" ref="X22">_xlfn.IFS(ISBLANK(A22), "",H22="yes",R22,TRUE, S22*T22)</f>
        <v>1297.5</v>
      </c>
      <c r="Y22">
        <f>IF(ISBLANK(A22), "", (X22*(1-O22-Q22)-W22)*E22)</f>
        <v>1038</v>
      </c>
      <c r="Z22">
        <f>IF(ISBLANK(A22), "", (X22*(1-O22-Q22)-W22)*(1 -E22))</f>
        <v>259.49999999999994</v>
      </c>
      <c r="AA22">
        <f>IF(ISBLANK(A22), "", IF(C22="wet", $AI$8, $AI$9))</f>
        <v>6.0000000000000001E-3</v>
      </c>
      <c r="AB22">
        <f>IF(ISBLANK(A22), "", $AI$12)</f>
        <v>1.5714285714285714</v>
      </c>
      <c r="AC22">
        <f>IF(ISBLANK(A22), "", Y22*AA22*AB22 / 1000)</f>
        <v>9.7868571428571423E-3</v>
      </c>
      <c r="AD22">
        <f>IF(ISBLANK(B22), "", Z22*AA22*AB22 / 1000)</f>
        <v>2.4467142857142851E-3</v>
      </c>
      <c r="AE22">
        <f>IF(ISBLANK(A22), "", AC22+AC23)</f>
        <v>9.7868571428571423E-3</v>
      </c>
      <c r="AF22">
        <f>IF(ISBLANK(A22), "", AD22+AD23)</f>
        <v>2.4467142857142851E-3</v>
      </c>
      <c r="AH22" s="2" t="s">
        <v>17</v>
      </c>
      <c r="AI22" s="2">
        <v>0.51</v>
      </c>
    </row>
    <row r="23" spans="1:35" x14ac:dyDescent="0.2">
      <c r="F23" s="2" t="s">
        <v>32</v>
      </c>
      <c r="G23" s="2"/>
      <c r="H23" t="s">
        <v>38</v>
      </c>
      <c r="K23">
        <v>0</v>
      </c>
      <c r="M23">
        <f>IF(ISBLANK(A22), "", K23+(J22*I22))</f>
        <v>0</v>
      </c>
      <c r="N23" cm="1">
        <f t="array" ref="N23">_xlfn.IFS(ISBLANK(A22), "", TRUE, VLOOKUP(F23, $AH$30:$AI$35, 2, FALSE))</f>
        <v>5.0000000000000001E-3</v>
      </c>
      <c r="O23" cm="1">
        <f t="array" ref="O23">_xlfn.IFS(ISBLANK(A22), "", H23="yes", 0, TRUE, VLOOKUP(G23, $AH$30:$AI$35, 2, FALSE))</f>
        <v>0</v>
      </c>
      <c r="P23" cm="1">
        <f t="array" ref="P23">_xlfn.IFS(ISBLANK(A22), "", TRUE, VLOOKUP($F23, $AH$39:$AI$44, 2, FALSE))</f>
        <v>0.2</v>
      </c>
      <c r="Q23" cm="1">
        <f t="array" ref="Q23">_xlfn.IFS(ISBLANK(A22), "", H23="yes",0, TRUE, VLOOKUP($G23, $AH$39:$AI$44, 2, FALSE))</f>
        <v>0</v>
      </c>
      <c r="R23">
        <f>A22*M23</f>
        <v>0</v>
      </c>
      <c r="S23">
        <f>IF(ISBLANK(A22), "", R23*(1-Q23-N23))</f>
        <v>0</v>
      </c>
      <c r="T23">
        <v>1</v>
      </c>
      <c r="U23">
        <f>IF(ISBLANK(A22), "", IF(D22="yes", 1, 0))</f>
        <v>1</v>
      </c>
      <c r="V23">
        <f t="shared" si="0"/>
        <v>0.02</v>
      </c>
      <c r="W23" cm="1">
        <f t="array" ref="W23">_xlfn.IFS(ISBLANK(A22), "",F23="Stockpile (Solid storage)", R23*U23*V23, TRUE, 0)</f>
        <v>0</v>
      </c>
      <c r="X23" cm="1">
        <f t="array" ref="X23">_xlfn.IFS(ISBLANK(A22), "",H23="yes",R23,TRUE, S23*T23)</f>
        <v>0</v>
      </c>
      <c r="Y23">
        <f>IF(ISBLANK(A22), "", (X23*(1-O23-Q23)-W23)*E22)</f>
        <v>0</v>
      </c>
      <c r="Z23">
        <f>IF(ISBLANK(A22), "", (X23*(1-O23-Q23)-W23)*(1 - E22))</f>
        <v>0</v>
      </c>
      <c r="AA23">
        <f>IF(ISBLANK(A22), "", IF(C22="wet", $AI$8, $AI$9))</f>
        <v>6.0000000000000001E-3</v>
      </c>
      <c r="AB23">
        <f>IF(ISBLANK(A22), "", $AI$12)</f>
        <v>1.5714285714285714</v>
      </c>
      <c r="AC23">
        <f>IF(ISBLANK(A22), "", Y23*AA23*AB23 / 1000)</f>
        <v>0</v>
      </c>
      <c r="AD23">
        <f>IF(ISBLANK(A22), "", Z23*AA23*AB23 / 1000)</f>
        <v>0</v>
      </c>
      <c r="AE23" t="str">
        <f>IF(ISBLANK(A23), "", Y23*AA23*AB23 / 1000)</f>
        <v/>
      </c>
      <c r="AH23" s="2" t="s">
        <v>21</v>
      </c>
      <c r="AI23" s="2">
        <v>0.41</v>
      </c>
    </row>
    <row r="24" spans="1:35" x14ac:dyDescent="0.2">
      <c r="A24">
        <v>3000</v>
      </c>
      <c r="B24" t="s">
        <v>83</v>
      </c>
      <c r="C24" t="s">
        <v>12</v>
      </c>
      <c r="D24" t="s">
        <v>38</v>
      </c>
      <c r="E24">
        <v>0.8</v>
      </c>
      <c r="F24" s="2" t="s">
        <v>31</v>
      </c>
      <c r="G24" s="2"/>
      <c r="H24" t="s">
        <v>38</v>
      </c>
      <c r="I24">
        <v>0.2</v>
      </c>
      <c r="J24">
        <v>0.7</v>
      </c>
      <c r="L24">
        <f>IF(ISBLANK(A24),"",J24*(1-I24))</f>
        <v>0.55999999999999994</v>
      </c>
      <c r="N24" cm="1">
        <f t="array" ref="N24">_xlfn.IFS(ISBLANK(A24), "", TRUE, VLOOKUP(F24, $AH$30:$AI$35, 2, FALSE))</f>
        <v>0.01</v>
      </c>
      <c r="O24" cm="1">
        <f t="array" ref="O24">_xlfn.IFS(ISBLANK(A24), "", H24="yes", 0, TRUE, VLOOKUP(G24, $AH$30:$AI$35, 2, FALSE))</f>
        <v>0</v>
      </c>
      <c r="P24" cm="1">
        <f t="array" ref="P24">_xlfn.IFS(ISBLANK(A24), "", TRUE, VLOOKUP($F24, $AH$39:$AI$44, 2, FALSE))</f>
        <v>0.125</v>
      </c>
      <c r="Q24" cm="1">
        <f t="array" ref="Q24">_xlfn.IFS(ISBLANK(A24), "", H24="yes",0, TRUE, VLOOKUP($G24, $AH$39:$AI$44, 2, FALSE))</f>
        <v>0</v>
      </c>
      <c r="R24">
        <f>A24*L24</f>
        <v>1679.9999999999998</v>
      </c>
      <c r="S24">
        <f>IF(ISBLANK(A24), "", R24*(1-P24-N24))</f>
        <v>1453.1999999999998</v>
      </c>
      <c r="T24">
        <v>0.5</v>
      </c>
      <c r="U24">
        <f>IF(ISBLANK(A24), "", IF(D24="yes", 1, 0))</f>
        <v>1</v>
      </c>
      <c r="V24">
        <f t="shared" si="0"/>
        <v>0.02</v>
      </c>
      <c r="W24" cm="1">
        <f t="array" ref="W24">_xlfn.IFS(ISBLANK(A24), "",F24="Stockpile (Solid storage)", R24*U24*V24, TRUE, 0)</f>
        <v>0</v>
      </c>
      <c r="X24" cm="1">
        <f t="array" ref="X24">_xlfn.IFS(ISBLANK(A24), "",H24="yes",R24,TRUE, S24*T24)</f>
        <v>1679.9999999999998</v>
      </c>
      <c r="Y24">
        <f>IF(ISBLANK(A24), "", (X24*(1-O24-Q24)-W24)*E24)</f>
        <v>1344</v>
      </c>
      <c r="Z24">
        <f>IF(ISBLANK(A24), "", (X24*(1-O24-Q24)-W24)*(1 -E24))</f>
        <v>335.99999999999989</v>
      </c>
      <c r="AA24">
        <f>IF(ISBLANK(A24), "", IF(C24="wet", $AI$8, $AI$9))</f>
        <v>6.0000000000000001E-3</v>
      </c>
      <c r="AB24">
        <f>IF(ISBLANK(A24), "", $AI$12)</f>
        <v>1.5714285714285714</v>
      </c>
      <c r="AC24">
        <f>IF(ISBLANK(A24), "", Y24*AA24*AB24 / 1000)</f>
        <v>1.2672000000000001E-2</v>
      </c>
      <c r="AD24">
        <f>IF(ISBLANK(B24), "", Z24*AA24*AB24 / 1000)</f>
        <v>3.1679999999999994E-3</v>
      </c>
      <c r="AE24">
        <f>IF(ISBLANK(A24), "", AC24+AC25)</f>
        <v>2.2429440000000002E-2</v>
      </c>
      <c r="AF24">
        <f>IF(ISBLANK(A24), "", AD24+AD25)</f>
        <v>5.6073599999999987E-3</v>
      </c>
      <c r="AH24" s="2" t="s">
        <v>22</v>
      </c>
      <c r="AI24" s="2">
        <v>3.3000000000000002E-2</v>
      </c>
    </row>
    <row r="25" spans="1:35" x14ac:dyDescent="0.2">
      <c r="F25" s="2" t="s">
        <v>32</v>
      </c>
      <c r="G25" s="2"/>
      <c r="H25" t="s">
        <v>38</v>
      </c>
      <c r="K25">
        <v>0.3</v>
      </c>
      <c r="M25">
        <f>IF(ISBLANK(A24), "", K25+(J24*I24))</f>
        <v>0.43999999999999995</v>
      </c>
      <c r="N25" cm="1">
        <f t="array" ref="N25">_xlfn.IFS(ISBLANK(A24), "", TRUE, VLOOKUP(F25, $AH$30:$AI$35, 2, FALSE))</f>
        <v>5.0000000000000001E-3</v>
      </c>
      <c r="O25" cm="1">
        <f t="array" ref="O25">_xlfn.IFS(ISBLANK(A24), "", H25="yes", 0, TRUE, VLOOKUP(G25, $AH$30:$AI$35, 2, FALSE))</f>
        <v>0</v>
      </c>
      <c r="P25" cm="1">
        <f t="array" ref="P25">_xlfn.IFS(ISBLANK(A24), "", TRUE, VLOOKUP($F25, $AH$39:$AI$44, 2, FALSE))</f>
        <v>0.2</v>
      </c>
      <c r="Q25" cm="1">
        <f t="array" ref="Q25">_xlfn.IFS(ISBLANK(A24), "", H25="yes",0, TRUE, VLOOKUP($G25, $AH$39:$AI$44, 2, FALSE))</f>
        <v>0</v>
      </c>
      <c r="R25">
        <f>A24*M25</f>
        <v>1319.9999999999998</v>
      </c>
      <c r="S25">
        <f>IF(ISBLANK(A24), "", R25*(1-Q25-N25))</f>
        <v>1313.3999999999999</v>
      </c>
      <c r="T25">
        <v>1</v>
      </c>
      <c r="U25">
        <f>IF(ISBLANK(A24), "", IF(D24="yes", 1, 0))</f>
        <v>1</v>
      </c>
      <c r="V25">
        <f t="shared" si="0"/>
        <v>0.02</v>
      </c>
      <c r="W25" cm="1">
        <f t="array" ref="W25">_xlfn.IFS(ISBLANK(A24), "",F25="Stockpile (Solid storage)", R25*U25*V25, TRUE, 0)</f>
        <v>26.399999999999995</v>
      </c>
      <c r="X25" cm="1">
        <f t="array" ref="X25">_xlfn.IFS(ISBLANK(A24), "",H25="yes",R25,TRUE, S25*T25)</f>
        <v>1319.9999999999998</v>
      </c>
      <c r="Y25">
        <f>IF(ISBLANK(A24), "", (X25*(1-O25-Q25)-W25)*E24)</f>
        <v>1034.8799999999999</v>
      </c>
      <c r="Z25">
        <f>IF(ISBLANK(A24), "", (X25*(1-O25-Q25)-W25)*(1 - E24))</f>
        <v>258.71999999999986</v>
      </c>
      <c r="AA25">
        <f>IF(ISBLANK(A24), "", IF(C24="wet", $AI$8, $AI$9))</f>
        <v>6.0000000000000001E-3</v>
      </c>
      <c r="AB25">
        <f>IF(ISBLANK(A24), "", $AI$12)</f>
        <v>1.5714285714285714</v>
      </c>
      <c r="AC25">
        <f>IF(ISBLANK(A24), "", Y25*AA25*AB25 / 1000)</f>
        <v>9.7574399999999992E-3</v>
      </c>
      <c r="AD25">
        <f>IF(ISBLANK(A24), "", Z25*AA25*AB25 / 1000)</f>
        <v>2.4393599999999989E-3</v>
      </c>
      <c r="AE25" t="str">
        <f>IF(ISBLANK(A25), "", Y25*AA25*AB25 / 1000)</f>
        <v/>
      </c>
      <c r="AH25" s="2" t="s">
        <v>23</v>
      </c>
      <c r="AI25" s="2">
        <v>1.2999999999999999E-2</v>
      </c>
    </row>
    <row r="26" spans="1:35" x14ac:dyDescent="0.2">
      <c r="P26" s="2"/>
      <c r="Y26" t="str">
        <f>IF(ISBLANK(A26), "", A26* IF(ISBLANK(#REF!),#REF!,#REF!))</f>
        <v/>
      </c>
    </row>
    <row r="27" spans="1:35" x14ac:dyDescent="0.2">
      <c r="P27" s="2"/>
      <c r="Y27" t="str">
        <f>IF(ISBLANK(A27), "", A27* IF(ISBLANK(#REF!),#REF!,#REF!))</f>
        <v/>
      </c>
      <c r="AH27" s="6" t="s">
        <v>21</v>
      </c>
    </row>
    <row r="28" spans="1:35" x14ac:dyDescent="0.2">
      <c r="P28" s="2"/>
      <c r="Q28" s="2"/>
      <c r="AH28" s="2" t="s">
        <v>28</v>
      </c>
    </row>
    <row r="29" spans="1:35" x14ac:dyDescent="0.2">
      <c r="P29" s="2"/>
      <c r="Q29" s="2"/>
      <c r="AH29" s="2" t="s">
        <v>29</v>
      </c>
    </row>
    <row r="30" spans="1:35" x14ac:dyDescent="0.2">
      <c r="P30" s="2"/>
      <c r="Q30" s="2"/>
      <c r="AH30" s="2" t="s">
        <v>30</v>
      </c>
      <c r="AI30" s="2">
        <v>0.02</v>
      </c>
    </row>
    <row r="31" spans="1:35" x14ac:dyDescent="0.2">
      <c r="P31" s="2"/>
      <c r="Q31" s="2"/>
      <c r="AH31" s="2" t="s">
        <v>31</v>
      </c>
      <c r="AI31" s="2">
        <v>0.01</v>
      </c>
    </row>
    <row r="32" spans="1:35" x14ac:dyDescent="0.2">
      <c r="P32" s="2"/>
      <c r="Q32" s="2"/>
      <c r="AH32" s="2" t="s">
        <v>32</v>
      </c>
      <c r="AI32" s="2">
        <v>5.0000000000000001E-3</v>
      </c>
    </row>
    <row r="33" spans="6:35" x14ac:dyDescent="0.2">
      <c r="F33" s="2"/>
      <c r="P33" s="2"/>
      <c r="Q33" s="2"/>
      <c r="AH33" s="2" t="s">
        <v>33</v>
      </c>
      <c r="AI33" s="2">
        <v>0</v>
      </c>
    </row>
    <row r="34" spans="6:35" x14ac:dyDescent="0.2">
      <c r="F34" s="2"/>
      <c r="AH34" s="2" t="s">
        <v>34</v>
      </c>
      <c r="AI34" s="2">
        <v>0</v>
      </c>
    </row>
    <row r="35" spans="6:35" x14ac:dyDescent="0.2">
      <c r="F35" s="2"/>
      <c r="AH35" s="2" t="s">
        <v>35</v>
      </c>
      <c r="AI35" s="2">
        <v>2E-3</v>
      </c>
    </row>
    <row r="36" spans="6:35" x14ac:dyDescent="0.2">
      <c r="F36" s="2"/>
    </row>
    <row r="37" spans="6:35" x14ac:dyDescent="0.2">
      <c r="F37" s="2"/>
      <c r="AH37" s="2" t="s">
        <v>36</v>
      </c>
    </row>
    <row r="38" spans="6:35" x14ac:dyDescent="0.2">
      <c r="F38" s="2"/>
      <c r="AH38" s="2" t="s">
        <v>37</v>
      </c>
    </row>
    <row r="39" spans="6:35" x14ac:dyDescent="0.2">
      <c r="AH39" s="2" t="s">
        <v>30</v>
      </c>
      <c r="AI39" s="2">
        <v>0.3</v>
      </c>
    </row>
    <row r="40" spans="6:35" x14ac:dyDescent="0.2">
      <c r="AH40" s="2" t="s">
        <v>31</v>
      </c>
      <c r="AI40" s="2">
        <v>0.125</v>
      </c>
    </row>
    <row r="41" spans="6:35" x14ac:dyDescent="0.2">
      <c r="AH41" s="2" t="s">
        <v>32</v>
      </c>
      <c r="AI41" s="2">
        <v>0.2</v>
      </c>
    </row>
    <row r="42" spans="6:35" x14ac:dyDescent="0.2">
      <c r="AH42" s="2" t="s">
        <v>33</v>
      </c>
      <c r="AI42" s="2">
        <v>0.55000000000000004</v>
      </c>
    </row>
    <row r="43" spans="6:35" x14ac:dyDescent="0.2">
      <c r="AH43" s="2" t="s">
        <v>34</v>
      </c>
      <c r="AI43" s="2">
        <v>0</v>
      </c>
    </row>
    <row r="44" spans="6:35" x14ac:dyDescent="0.2">
      <c r="AH44" s="2" t="s">
        <v>35</v>
      </c>
      <c r="AI44" s="2">
        <v>0.25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29127-4F30-114C-8273-ED3C6335AB51}">
  <dimension ref="A1:AN44"/>
  <sheetViews>
    <sheetView tabSelected="1" topLeftCell="U1" zoomScale="125" zoomScaleNormal="125" workbookViewId="0">
      <selection activeCell="AE12" sqref="AE12"/>
    </sheetView>
  </sheetViews>
  <sheetFormatPr baseColWidth="10" defaultRowHeight="16" x14ac:dyDescent="0.2"/>
  <cols>
    <col min="2" max="2" width="28" customWidth="1"/>
    <col min="4" max="4" width="11.5" customWidth="1"/>
    <col min="5" max="6" width="12.83203125" customWidth="1"/>
    <col min="9" max="9" width="13.83203125" customWidth="1"/>
    <col min="11" max="11" width="13.33203125" customWidth="1"/>
    <col min="12" max="12" width="7.33203125" bestFit="1" customWidth="1"/>
    <col min="13" max="13" width="19.1640625" customWidth="1"/>
    <col min="14" max="14" width="24.6640625" customWidth="1"/>
    <col min="15" max="15" width="25" bestFit="1" customWidth="1"/>
    <col min="16" max="16" width="22.6640625" bestFit="1" customWidth="1"/>
    <col min="17" max="17" width="29.33203125" customWidth="1"/>
    <col min="18" max="18" width="8.6640625" bestFit="1" customWidth="1"/>
    <col min="19" max="19" width="12.33203125" bestFit="1" customWidth="1"/>
    <col min="20" max="20" width="7.33203125" bestFit="1" customWidth="1"/>
    <col min="21" max="21" width="6.83203125" bestFit="1" customWidth="1"/>
    <col min="22" max="22" width="14" bestFit="1" customWidth="1"/>
    <col min="23" max="23" width="14" customWidth="1"/>
    <col min="24" max="24" width="10.1640625" customWidth="1"/>
    <col min="25" max="25" width="13.1640625" customWidth="1"/>
    <col min="26" max="26" width="10.33203125" bestFit="1" customWidth="1"/>
    <col min="27" max="27" width="14" bestFit="1" customWidth="1"/>
    <col min="36" max="36" width="14.6640625" customWidth="1"/>
    <col min="38" max="38" width="37" customWidth="1"/>
    <col min="39" max="39" width="8.5" customWidth="1"/>
  </cols>
  <sheetData>
    <row r="1" spans="1:39" x14ac:dyDescent="0.2">
      <c r="A1" t="s">
        <v>99</v>
      </c>
      <c r="D1" t="s">
        <v>129</v>
      </c>
      <c r="E1" t="s">
        <v>129</v>
      </c>
      <c r="F1" t="s">
        <v>129</v>
      </c>
      <c r="G1" t="s">
        <v>129</v>
      </c>
      <c r="H1" t="s">
        <v>129</v>
      </c>
      <c r="I1" t="s">
        <v>129</v>
      </c>
      <c r="J1" t="s">
        <v>129</v>
      </c>
      <c r="K1" t="s">
        <v>129</v>
      </c>
      <c r="Q1" t="s">
        <v>129</v>
      </c>
      <c r="R1" t="s">
        <v>129</v>
      </c>
      <c r="S1" t="s">
        <v>129</v>
      </c>
      <c r="T1" t="s">
        <v>129</v>
      </c>
      <c r="U1" t="s">
        <v>129</v>
      </c>
      <c r="V1" t="s">
        <v>129</v>
      </c>
      <c r="W1" t="s">
        <v>129</v>
      </c>
      <c r="X1" t="s">
        <v>129</v>
      </c>
      <c r="Y1" t="s">
        <v>129</v>
      </c>
      <c r="Z1" t="s">
        <v>129</v>
      </c>
      <c r="AA1" t="s">
        <v>129</v>
      </c>
      <c r="AB1" t="s">
        <v>129</v>
      </c>
      <c r="AC1" t="s">
        <v>129</v>
      </c>
      <c r="AD1" t="s">
        <v>129</v>
      </c>
      <c r="AE1" t="s">
        <v>129</v>
      </c>
      <c r="AF1" t="s">
        <v>129</v>
      </c>
      <c r="AG1" t="s">
        <v>129</v>
      </c>
      <c r="AH1" t="s">
        <v>129</v>
      </c>
      <c r="AI1" t="s">
        <v>129</v>
      </c>
    </row>
    <row r="2" spans="1:39" x14ac:dyDescent="0.2">
      <c r="AI2" s="1" t="s">
        <v>0</v>
      </c>
    </row>
    <row r="3" spans="1:39" x14ac:dyDescent="0.2">
      <c r="C3" t="s">
        <v>128</v>
      </c>
      <c r="I3" s="1" t="s">
        <v>147</v>
      </c>
      <c r="K3" s="1" t="s">
        <v>146</v>
      </c>
      <c r="W3" s="1" t="s">
        <v>137</v>
      </c>
      <c r="AA3" s="1"/>
    </row>
    <row r="4" spans="1:39" x14ac:dyDescent="0.2">
      <c r="H4" s="1" t="s">
        <v>148</v>
      </c>
      <c r="AB4" s="1" t="s">
        <v>104</v>
      </c>
      <c r="AC4" s="1"/>
      <c r="AD4" s="1"/>
    </row>
    <row r="5" spans="1:39" x14ac:dyDescent="0.2">
      <c r="X5" s="1" t="s">
        <v>136</v>
      </c>
      <c r="AE5" s="1" t="s">
        <v>97</v>
      </c>
      <c r="AF5" s="1"/>
    </row>
    <row r="6" spans="1:39" s="7" customFormat="1" ht="51" x14ac:dyDescent="0.2">
      <c r="A6" s="7" t="s">
        <v>122</v>
      </c>
      <c r="C6" s="7" t="s">
        <v>151</v>
      </c>
      <c r="D6" s="7" t="s">
        <v>121</v>
      </c>
      <c r="E6" s="7" t="s">
        <v>120</v>
      </c>
      <c r="G6" s="7" t="s">
        <v>118</v>
      </c>
      <c r="H6" s="7" t="s">
        <v>116</v>
      </c>
      <c r="I6" s="7" t="s">
        <v>114</v>
      </c>
      <c r="J6" s="7" t="s">
        <v>112</v>
      </c>
      <c r="K6" s="7" t="s">
        <v>70</v>
      </c>
      <c r="M6" s="7" t="s">
        <v>74</v>
      </c>
      <c r="Q6" s="7" t="s">
        <v>144</v>
      </c>
      <c r="AB6" s="7" t="s">
        <v>106</v>
      </c>
      <c r="AE6" s="5" t="s">
        <v>98</v>
      </c>
      <c r="AF6" s="8"/>
    </row>
    <row r="7" spans="1:39" x14ac:dyDescent="0.2">
      <c r="A7" t="s">
        <v>149</v>
      </c>
      <c r="B7" s="3" t="s">
        <v>82</v>
      </c>
      <c r="C7" s="3" t="s">
        <v>119</v>
      </c>
      <c r="D7" t="s">
        <v>150</v>
      </c>
      <c r="E7" s="3" t="s">
        <v>159</v>
      </c>
      <c r="F7" s="11" t="s">
        <v>152</v>
      </c>
      <c r="G7" t="s">
        <v>117</v>
      </c>
      <c r="H7" t="s">
        <v>115</v>
      </c>
      <c r="I7" t="s">
        <v>113</v>
      </c>
      <c r="J7" s="3" t="s">
        <v>111</v>
      </c>
      <c r="K7" t="s">
        <v>81</v>
      </c>
      <c r="L7" s="3" t="s">
        <v>11</v>
      </c>
      <c r="M7" s="3" t="s">
        <v>27</v>
      </c>
      <c r="N7" s="3" t="s">
        <v>78</v>
      </c>
      <c r="O7" s="3" t="s">
        <v>145</v>
      </c>
      <c r="P7" s="3" t="s">
        <v>134</v>
      </c>
      <c r="Q7" t="s">
        <v>133</v>
      </c>
      <c r="R7" t="s">
        <v>138</v>
      </c>
      <c r="S7" t="s">
        <v>139</v>
      </c>
      <c r="T7" t="s">
        <v>140</v>
      </c>
      <c r="U7" t="s">
        <v>132</v>
      </c>
      <c r="V7" t="s">
        <v>73</v>
      </c>
      <c r="W7" t="s">
        <v>135</v>
      </c>
      <c r="X7" t="s">
        <v>41</v>
      </c>
      <c r="Y7" t="s">
        <v>105</v>
      </c>
      <c r="Z7" t="s">
        <v>103</v>
      </c>
      <c r="AA7" t="s">
        <v>101</v>
      </c>
      <c r="AB7" t="s">
        <v>102</v>
      </c>
      <c r="AC7" t="s">
        <v>130</v>
      </c>
      <c r="AD7" t="s">
        <v>131</v>
      </c>
      <c r="AE7" s="5" t="s">
        <v>100</v>
      </c>
      <c r="AF7" t="s">
        <v>92</v>
      </c>
      <c r="AG7" t="s">
        <v>3</v>
      </c>
      <c r="AH7" t="s">
        <v>2</v>
      </c>
      <c r="AI7" s="4" t="s">
        <v>93</v>
      </c>
      <c r="AJ7" s="4" t="s">
        <v>94</v>
      </c>
      <c r="AL7" t="s">
        <v>9</v>
      </c>
    </row>
    <row r="8" spans="1:39" x14ac:dyDescent="0.2">
      <c r="A8">
        <v>100</v>
      </c>
      <c r="B8" t="s">
        <v>83</v>
      </c>
      <c r="D8" cm="1">
        <f t="array" ref="D8">IF(ISBLANK(C8), _xlfn.IFS(A8&lt;=80,10.4,A8&lt;=200,10.8,TRUE,8.2),C8)</f>
        <v>10.8</v>
      </c>
      <c r="F8" cm="1">
        <f t="array" ref="F8">IF(ISBLANK(E8),_xlfn.IFS(A8&lt;=80,14,A8&lt;=200,12,TRUE,12),E8)</f>
        <v>12</v>
      </c>
      <c r="G8" cm="1">
        <f t="array" ref="G8">_xlfn.IFS(A8&lt;=80,20.4,A8&lt;=200,12.7,TRUE,7)</f>
        <v>12.7</v>
      </c>
      <c r="H8">
        <f t="shared" ref="H8:H17" si="0">IF(ISBLANK(J8),"",D8*(F8/100)/6.25)</f>
        <v>0.20736000000000002</v>
      </c>
      <c r="I8">
        <f t="shared" ref="I8:I17" si="1">IF(ISBLANK(J8), "", H8*(1-G8/100))</f>
        <v>0.18102528000000001</v>
      </c>
      <c r="J8">
        <v>500</v>
      </c>
      <c r="K8">
        <f>IF(ISBLANK(J8),"",J8*I8*A8)</f>
        <v>9051.264000000001</v>
      </c>
      <c r="L8" t="s">
        <v>12</v>
      </c>
      <c r="M8">
        <v>0.8</v>
      </c>
      <c r="N8" s="9" t="s">
        <v>142</v>
      </c>
      <c r="O8" s="9" t="s">
        <v>39</v>
      </c>
      <c r="P8" s="9" t="s">
        <v>38</v>
      </c>
      <c r="Q8">
        <v>1</v>
      </c>
      <c r="R8">
        <f t="shared" ref="R8:R17" si="2">IF(ISBLANK(K8),"",K8)</f>
        <v>9051.264000000001</v>
      </c>
      <c r="S8">
        <f t="shared" ref="S8:S17" si="3">IF(ISBLANK(K8),"",VLOOKUP("Dry lot (Feedpad)",$AL$30:$AN$33, 3,FALSE))</f>
        <v>0.6</v>
      </c>
      <c r="T8">
        <f t="shared" ref="T8:T17" si="4">IF(ISBLANK(K8),"",VLOOKUP("Dry lot (Feedpad)",$AL$30:$AN$33, 2,FALSE))</f>
        <v>5.4000000000000003E-3</v>
      </c>
      <c r="U8">
        <f t="shared" ref="U8:U17" si="5">IF(ISBLANK(K8),"",VLOOKUP(N8,$AL$30:$AN$33, 2,FALSE))</f>
        <v>5.0000000000000001E-3</v>
      </c>
      <c r="V8">
        <f t="shared" ref="V8:V17" si="6">IF(ISBLANK(K8),"",VLOOKUP(N8,$AL$30:$AN$33, 3,FALSE))</f>
        <v>0.25</v>
      </c>
      <c r="W8">
        <f t="shared" ref="W8:W17" si="7">IF(ISBLANK(K8),"", (R8*(1-S8-T8))-AB8)</f>
        <v>3390.6034944000007</v>
      </c>
      <c r="X8">
        <f t="shared" ref="X8:X17" si="8">IF(ISBLANK(K8),"",W8*Q8)</f>
        <v>3390.6034944000007</v>
      </c>
      <c r="Y8" cm="1">
        <f t="array" ref="Y8">_xlfn.IFS(ISBLANK(K8),"",P8="yes",0.02,TRUE,0)</f>
        <v>0.02</v>
      </c>
      <c r="Z8">
        <f t="shared" ref="Z8:Z17" si="9">IF(ISBLANK(K8),"",VLOOKUP("Uncovered anaerobic lagoon (Effluent pond)",$AL$30:$AN$33, 2,FALSE))</f>
        <v>0</v>
      </c>
      <c r="AA8">
        <f t="shared" ref="AA8:AA17" si="10">IF(ISBLANK(K8),"",VLOOKUP("Uncovered anaerobic lagoon (Effluent pond)",$AL$30:$AN$33, 3,FALSE))</f>
        <v>0.35</v>
      </c>
      <c r="AB8" cm="1">
        <f t="array" ref="AB8">_xlfn.IFS(ISBLANK(K8), "",TRUE, K8*Y8)</f>
        <v>181.02528000000004</v>
      </c>
      <c r="AC8">
        <f t="shared" ref="AC8:AC17" si="11">IF(ISBLANK(K8),"", X8*(1-U8-V8))</f>
        <v>2525.9996033280004</v>
      </c>
      <c r="AD8">
        <f t="shared" ref="AD8:AD17" si="12">IF(ISBLANK(K8),"", AB8*(1-Z8-AA8))</f>
        <v>117.66643200000003</v>
      </c>
      <c r="AE8" s="5" cm="1">
        <f t="array" ref="AE8">_xlfn.IFS(ISBLANK(K8),"",O8="yes",W8*M8, TRUE, (AC8+AD8)*M8)</f>
        <v>2114.9328282624006</v>
      </c>
      <c r="AF8" cm="1">
        <f t="array" ref="AF8">_xlfn.IFS(ISBLANK(K8),"",O8="yes", W8*(1-M8),TRUE, (AC8+AD8)*(1-M8))</f>
        <v>528.73320706559991</v>
      </c>
      <c r="AG8">
        <f t="shared" ref="AG8:AG17" si="13">IF(ISBLANK(K8), "", IF(L8="wet", $AM$8, $AM$9))</f>
        <v>6.0000000000000001E-3</v>
      </c>
      <c r="AH8">
        <f t="shared" ref="AH8:AH17" si="14">IF(ISBLANK(K8), "", $AM$12)</f>
        <v>1.5714285714285714</v>
      </c>
      <c r="AI8">
        <f>IF(ISBLANK(K8), "", AE8*AG8*AH8/1000)</f>
        <v>1.9940795237902632E-2</v>
      </c>
      <c r="AJ8">
        <f>IF(ISBLANK(K8), "", AF8*AG8*AH8/1000)</f>
        <v>4.9851988094756555E-3</v>
      </c>
      <c r="AL8" t="s">
        <v>7</v>
      </c>
      <c r="AM8">
        <v>6.0000000000000001E-3</v>
      </c>
    </row>
    <row r="9" spans="1:39" x14ac:dyDescent="0.2">
      <c r="A9">
        <v>100</v>
      </c>
      <c r="B9" t="s">
        <v>153</v>
      </c>
      <c r="C9">
        <v>10.1</v>
      </c>
      <c r="D9" cm="1">
        <f t="array" ref="D9">IF(ISBLANK(C9), _xlfn.IFS(A9&lt;=80,10.4,A9&lt;=200,10.8,TRUE,8.2),C9)</f>
        <v>10.1</v>
      </c>
      <c r="F9" cm="1">
        <f t="array" ref="F9">IF(ISBLANK(E9),_xlfn.IFS(A9&lt;=80,14,A9&lt;=200,12,TRUE,12),E9)</f>
        <v>12</v>
      </c>
      <c r="G9" cm="1">
        <f t="array" ref="G9">_xlfn.IFS(A9&lt;=80,20.4,A9&lt;=200,12.7,TRUE,7)</f>
        <v>12.7</v>
      </c>
      <c r="H9">
        <f t="shared" si="0"/>
        <v>0.19391999999999998</v>
      </c>
      <c r="I9">
        <f t="shared" si="1"/>
        <v>0.16929216</v>
      </c>
      <c r="J9">
        <v>500</v>
      </c>
      <c r="K9">
        <f t="shared" ref="K9:K17" si="15">IF(ISBLANK(J9),"",J9*I9*A9)</f>
        <v>8464.6080000000002</v>
      </c>
      <c r="L9" t="s">
        <v>12</v>
      </c>
      <c r="M9">
        <v>0.8</v>
      </c>
      <c r="N9" s="9" t="s">
        <v>142</v>
      </c>
      <c r="O9" s="9" t="s">
        <v>39</v>
      </c>
      <c r="P9" s="9" t="s">
        <v>38</v>
      </c>
      <c r="Q9">
        <v>1</v>
      </c>
      <c r="R9">
        <f t="shared" si="2"/>
        <v>8464.6080000000002</v>
      </c>
      <c r="S9">
        <f t="shared" si="3"/>
        <v>0.6</v>
      </c>
      <c r="T9">
        <f t="shared" si="4"/>
        <v>5.4000000000000003E-3</v>
      </c>
      <c r="U9">
        <f t="shared" si="5"/>
        <v>5.0000000000000001E-3</v>
      </c>
      <c r="V9">
        <f t="shared" si="6"/>
        <v>0.25</v>
      </c>
      <c r="W9">
        <f t="shared" si="7"/>
        <v>3170.8421568000003</v>
      </c>
      <c r="X9">
        <f t="shared" si="8"/>
        <v>3170.8421568000003</v>
      </c>
      <c r="Y9" cm="1">
        <f t="array" ref="Y9">_xlfn.IFS(ISBLANK(K9),"",P9="yes",0.02,TRUE,0)</f>
        <v>0.02</v>
      </c>
      <c r="Z9">
        <f t="shared" si="9"/>
        <v>0</v>
      </c>
      <c r="AA9">
        <f t="shared" si="10"/>
        <v>0.35</v>
      </c>
      <c r="AB9" cm="1">
        <f t="array" ref="AB9">_xlfn.IFS(ISBLANK(K9), "",TRUE, K9*Y9)</f>
        <v>169.29216</v>
      </c>
      <c r="AC9">
        <f t="shared" si="11"/>
        <v>2362.2774068160002</v>
      </c>
      <c r="AD9">
        <f t="shared" si="12"/>
        <v>110.03990400000001</v>
      </c>
      <c r="AE9" s="5" cm="1">
        <f t="array" ref="AE9">_xlfn.IFS(ISBLANK(K9),"",O9="yes",W9*M9, TRUE, (AC9+AD9)*M9)</f>
        <v>1977.8538486528005</v>
      </c>
      <c r="AF9" cm="1">
        <f t="array" ref="AF9">_xlfn.IFS(ISBLANK(K9),"",O9="yes", W9*(1-M9),TRUE, (AC9+AD9)*(1-M9))</f>
        <v>494.46346216319995</v>
      </c>
      <c r="AG9">
        <f t="shared" si="13"/>
        <v>6.0000000000000001E-3</v>
      </c>
      <c r="AH9">
        <f t="shared" si="14"/>
        <v>1.5714285714285714</v>
      </c>
      <c r="AI9">
        <f t="shared" ref="AI9:AI17" si="16">IF(ISBLANK(K9), "", AE9*AG9*AH9/1000)</f>
        <v>1.8648336287297829E-2</v>
      </c>
      <c r="AJ9">
        <f t="shared" ref="AJ9:AJ17" si="17">IF(ISBLANK(K9), "", AF9*AG9*AH9/1000)</f>
        <v>4.6620840718244565E-3</v>
      </c>
      <c r="AL9" t="s">
        <v>8</v>
      </c>
      <c r="AM9">
        <v>5.0000000000000001E-3</v>
      </c>
    </row>
    <row r="10" spans="1:39" x14ac:dyDescent="0.2">
      <c r="A10">
        <v>100</v>
      </c>
      <c r="B10" t="s">
        <v>154</v>
      </c>
      <c r="D10" cm="1">
        <f t="array" ref="D10">IF(ISBLANK(C10), _xlfn.IFS(A10&lt;=80,10.4,A10&lt;=200,10.8,TRUE,8.2),C10)</f>
        <v>10.8</v>
      </c>
      <c r="E10">
        <v>13.5</v>
      </c>
      <c r="F10" cm="1">
        <f t="array" ref="F10">IF(ISBLANK(E10),_xlfn.IFS(A10&lt;=80,14,A10&lt;=200,12,TRUE,12),E10)</f>
        <v>13.5</v>
      </c>
      <c r="G10" cm="1">
        <f t="array" ref="G10">_xlfn.IFS(A10&lt;=80,20.4,A10&lt;=200,12.7,TRUE,7)</f>
        <v>12.7</v>
      </c>
      <c r="H10">
        <f t="shared" si="0"/>
        <v>0.23328000000000004</v>
      </c>
      <c r="I10">
        <f t="shared" si="1"/>
        <v>0.20365344000000005</v>
      </c>
      <c r="J10">
        <v>500</v>
      </c>
      <c r="K10">
        <f t="shared" si="15"/>
        <v>10182.672000000002</v>
      </c>
      <c r="L10" t="s">
        <v>12</v>
      </c>
      <c r="M10">
        <v>0.8</v>
      </c>
      <c r="N10" s="9" t="s">
        <v>142</v>
      </c>
      <c r="O10" s="9" t="s">
        <v>39</v>
      </c>
      <c r="P10" s="9" t="s">
        <v>38</v>
      </c>
      <c r="Q10">
        <v>1</v>
      </c>
      <c r="R10">
        <f t="shared" si="2"/>
        <v>10182.672000000002</v>
      </c>
      <c r="S10">
        <f t="shared" si="3"/>
        <v>0.6</v>
      </c>
      <c r="T10">
        <f t="shared" si="4"/>
        <v>5.4000000000000003E-3</v>
      </c>
      <c r="U10">
        <f t="shared" si="5"/>
        <v>5.0000000000000001E-3</v>
      </c>
      <c r="V10">
        <f t="shared" si="6"/>
        <v>0.25</v>
      </c>
      <c r="W10">
        <f t="shared" si="7"/>
        <v>3814.428931200001</v>
      </c>
      <c r="X10">
        <f t="shared" si="8"/>
        <v>3814.428931200001</v>
      </c>
      <c r="Y10" cm="1">
        <f t="array" ref="Y10">_xlfn.IFS(ISBLANK(K10),"",P10="yes",0.02,TRUE,0)</f>
        <v>0.02</v>
      </c>
      <c r="Z10">
        <f t="shared" si="9"/>
        <v>0</v>
      </c>
      <c r="AA10">
        <f t="shared" si="10"/>
        <v>0.35</v>
      </c>
      <c r="AB10" cm="1">
        <f t="array" ref="AB10">_xlfn.IFS(ISBLANK(K10), "",TRUE, K10*Y10)</f>
        <v>203.65344000000005</v>
      </c>
      <c r="AC10">
        <f t="shared" si="11"/>
        <v>2841.7495537440009</v>
      </c>
      <c r="AD10">
        <f t="shared" si="12"/>
        <v>132.37473600000004</v>
      </c>
      <c r="AE10" s="5" cm="1">
        <f t="array" ref="AE10">_xlfn.IFS(ISBLANK(K10),"",O10="yes",W10*M10, TRUE, (AC10+AD10)*M10)</f>
        <v>2379.2994317952011</v>
      </c>
      <c r="AF10" cm="1">
        <f t="array" ref="AF10">_xlfn.IFS(ISBLANK(K10),"",O10="yes", W10*(1-M10),TRUE, (AC10+AD10)*(1-M10))</f>
        <v>594.82485794880006</v>
      </c>
      <c r="AG10">
        <f t="shared" si="13"/>
        <v>6.0000000000000001E-3</v>
      </c>
      <c r="AH10">
        <f t="shared" si="14"/>
        <v>1.5714285714285714</v>
      </c>
      <c r="AI10">
        <f t="shared" si="16"/>
        <v>2.2433394642640467E-2</v>
      </c>
      <c r="AJ10">
        <f t="shared" si="17"/>
        <v>5.6083486606601151E-3</v>
      </c>
    </row>
    <row r="11" spans="1:39" x14ac:dyDescent="0.2">
      <c r="A11">
        <v>100</v>
      </c>
      <c r="B11" t="s">
        <v>155</v>
      </c>
      <c r="D11" cm="1">
        <f t="array" ref="D11">IF(ISBLANK(C11), _xlfn.IFS(A11&lt;=80,10.4,A11&lt;=200,10.8,TRUE,8.2),C11)</f>
        <v>10.8</v>
      </c>
      <c r="F11" cm="1">
        <f t="array" ref="F11">IF(ISBLANK(E11),_xlfn.IFS(A11&lt;=80,14,A11&lt;=200,12,TRUE,12),E11)</f>
        <v>12</v>
      </c>
      <c r="G11" cm="1">
        <f t="array" ref="G11">_xlfn.IFS(A11&lt;=80,20.4,A11&lt;=200,12.7,TRUE,7)</f>
        <v>12.7</v>
      </c>
      <c r="H11">
        <f t="shared" si="0"/>
        <v>0.20736000000000002</v>
      </c>
      <c r="I11">
        <f t="shared" si="1"/>
        <v>0.18102528000000001</v>
      </c>
      <c r="J11">
        <v>500</v>
      </c>
      <c r="K11">
        <f t="shared" si="15"/>
        <v>9051.264000000001</v>
      </c>
      <c r="L11" t="s">
        <v>13</v>
      </c>
      <c r="M11">
        <v>0.8</v>
      </c>
      <c r="N11" s="9" t="s">
        <v>142</v>
      </c>
      <c r="O11" s="9" t="s">
        <v>39</v>
      </c>
      <c r="P11" s="9" t="s">
        <v>38</v>
      </c>
      <c r="Q11">
        <v>1</v>
      </c>
      <c r="R11">
        <f t="shared" si="2"/>
        <v>9051.264000000001</v>
      </c>
      <c r="S11">
        <f t="shared" si="3"/>
        <v>0.6</v>
      </c>
      <c r="T11">
        <f t="shared" si="4"/>
        <v>5.4000000000000003E-3</v>
      </c>
      <c r="U11">
        <f t="shared" si="5"/>
        <v>5.0000000000000001E-3</v>
      </c>
      <c r="V11">
        <f t="shared" si="6"/>
        <v>0.25</v>
      </c>
      <c r="W11">
        <f t="shared" si="7"/>
        <v>3390.6034944000007</v>
      </c>
      <c r="X11">
        <f t="shared" si="8"/>
        <v>3390.6034944000007</v>
      </c>
      <c r="Y11" cm="1">
        <f t="array" ref="Y11">_xlfn.IFS(ISBLANK(K11),"",P11="yes",0.02,TRUE,0)</f>
        <v>0.02</v>
      </c>
      <c r="Z11">
        <f t="shared" si="9"/>
        <v>0</v>
      </c>
      <c r="AA11">
        <f t="shared" si="10"/>
        <v>0.35</v>
      </c>
      <c r="AB11" cm="1">
        <f t="array" ref="AB11">_xlfn.IFS(ISBLANK(K11), "",TRUE, K11*Y11)</f>
        <v>181.02528000000004</v>
      </c>
      <c r="AC11">
        <f t="shared" si="11"/>
        <v>2525.9996033280004</v>
      </c>
      <c r="AD11">
        <f t="shared" si="12"/>
        <v>117.66643200000003</v>
      </c>
      <c r="AE11" s="5" cm="1">
        <f t="array" ref="AE11">_xlfn.IFS(ISBLANK(K11),"",O11="yes",W11*M11, TRUE, (AC11+AD11)*M11)</f>
        <v>2114.9328282624006</v>
      </c>
      <c r="AF11" cm="1">
        <f t="array" ref="AF11">_xlfn.IFS(ISBLANK(K11),"",O11="yes", W11*(1-M11),TRUE, (AC11+AD11)*(1-M11))</f>
        <v>528.73320706559991</v>
      </c>
      <c r="AG11">
        <f t="shared" si="13"/>
        <v>5.0000000000000001E-3</v>
      </c>
      <c r="AH11">
        <f t="shared" si="14"/>
        <v>1.5714285714285714</v>
      </c>
      <c r="AI11">
        <f t="shared" si="16"/>
        <v>1.6617329364918859E-2</v>
      </c>
      <c r="AJ11">
        <f t="shared" si="17"/>
        <v>4.1543323412297139E-3</v>
      </c>
    </row>
    <row r="12" spans="1:39" x14ac:dyDescent="0.2">
      <c r="A12">
        <v>100</v>
      </c>
      <c r="B12" t="s">
        <v>156</v>
      </c>
      <c r="D12" cm="1">
        <f t="array" ref="D12">IF(ISBLANK(C12), _xlfn.IFS(A12&lt;=80,10.4,A12&lt;=200,10.8,TRUE,8.2),C12)</f>
        <v>10.8</v>
      </c>
      <c r="F12" cm="1">
        <f t="array" ref="F12">IF(ISBLANK(E12),_xlfn.IFS(A12&lt;=80,14,A12&lt;=200,12,TRUE,12),E12)</f>
        <v>12</v>
      </c>
      <c r="G12" cm="1">
        <f t="array" ref="G12">_xlfn.IFS(A12&lt;=80,20.4,A12&lt;=200,12.7,TRUE,7)</f>
        <v>12.7</v>
      </c>
      <c r="H12">
        <f t="shared" si="0"/>
        <v>0.20736000000000002</v>
      </c>
      <c r="I12">
        <f t="shared" si="1"/>
        <v>0.18102528000000001</v>
      </c>
      <c r="J12">
        <v>500</v>
      </c>
      <c r="K12">
        <f t="shared" si="15"/>
        <v>9051.264000000001</v>
      </c>
      <c r="L12" t="s">
        <v>12</v>
      </c>
      <c r="M12">
        <v>0.8</v>
      </c>
      <c r="N12" s="9" t="s">
        <v>143</v>
      </c>
      <c r="O12" s="9" t="s">
        <v>39</v>
      </c>
      <c r="P12" s="9" t="s">
        <v>38</v>
      </c>
      <c r="Q12">
        <v>1</v>
      </c>
      <c r="R12">
        <f t="shared" si="2"/>
        <v>9051.264000000001</v>
      </c>
      <c r="S12">
        <f t="shared" si="3"/>
        <v>0.6</v>
      </c>
      <c r="T12">
        <f t="shared" si="4"/>
        <v>5.4000000000000003E-3</v>
      </c>
      <c r="U12">
        <f t="shared" si="5"/>
        <v>0.01</v>
      </c>
      <c r="V12">
        <f t="shared" si="6"/>
        <v>0.4</v>
      </c>
      <c r="W12">
        <f t="shared" si="7"/>
        <v>3390.6034944000007</v>
      </c>
      <c r="X12">
        <f t="shared" si="8"/>
        <v>3390.6034944000007</v>
      </c>
      <c r="Y12" cm="1">
        <f t="array" ref="Y12">_xlfn.IFS(ISBLANK(K12),"",P12="yes",0.02,TRUE,0)</f>
        <v>0.02</v>
      </c>
      <c r="Z12">
        <f t="shared" si="9"/>
        <v>0</v>
      </c>
      <c r="AA12">
        <f t="shared" si="10"/>
        <v>0.35</v>
      </c>
      <c r="AB12" cm="1">
        <f t="array" ref="AB12">_xlfn.IFS(ISBLANK(K12), "",TRUE, K12*Y12)</f>
        <v>181.02528000000004</v>
      </c>
      <c r="AC12">
        <f t="shared" si="11"/>
        <v>2000.4560616960002</v>
      </c>
      <c r="AD12">
        <f t="shared" si="12"/>
        <v>117.66643200000003</v>
      </c>
      <c r="AE12" s="5" cm="1">
        <f t="array" ref="AE12">_xlfn.IFS(ISBLANK(K12),"",O12="yes",W12*M12, TRUE, (AC12+AD12)*M12)</f>
        <v>1694.4979949568003</v>
      </c>
      <c r="AF12" cm="1">
        <f t="array" ref="AF12">_xlfn.IFS(ISBLANK(K12),"",O12="yes", W12*(1-M12),TRUE, (AC12+AD12)*(1-M12))</f>
        <v>423.62449873919996</v>
      </c>
      <c r="AG12">
        <f t="shared" si="13"/>
        <v>6.0000000000000001E-3</v>
      </c>
      <c r="AH12">
        <f t="shared" si="14"/>
        <v>1.5714285714285714</v>
      </c>
      <c r="AI12">
        <f t="shared" si="16"/>
        <v>1.5976695381021259E-2</v>
      </c>
      <c r="AJ12">
        <f t="shared" si="17"/>
        <v>3.9941738452553138E-3</v>
      </c>
      <c r="AL12" t="s">
        <v>2</v>
      </c>
      <c r="AM12">
        <f>44/28</f>
        <v>1.5714285714285714</v>
      </c>
    </row>
    <row r="13" spans="1:39" x14ac:dyDescent="0.2">
      <c r="A13">
        <v>100</v>
      </c>
      <c r="B13" t="s">
        <v>157</v>
      </c>
      <c r="D13" cm="1">
        <f t="array" ref="D13">IF(ISBLANK(C13), _xlfn.IFS(A13&lt;=80,10.4,A13&lt;=200,10.8,TRUE,8.2),C13)</f>
        <v>10.8</v>
      </c>
      <c r="F13" cm="1">
        <f t="array" ref="F13">IF(ISBLANK(E13),_xlfn.IFS(A13&lt;=80,14,A13&lt;=200,12,TRUE,12),E13)</f>
        <v>12</v>
      </c>
      <c r="G13" cm="1">
        <f t="array" ref="G13">_xlfn.IFS(A13&lt;=80,20.4,A13&lt;=200,12.7,TRUE,7)</f>
        <v>12.7</v>
      </c>
      <c r="H13">
        <f t="shared" si="0"/>
        <v>0.20736000000000002</v>
      </c>
      <c r="I13">
        <f t="shared" si="1"/>
        <v>0.18102528000000001</v>
      </c>
      <c r="J13">
        <v>500</v>
      </c>
      <c r="K13">
        <f t="shared" si="15"/>
        <v>9051.264000000001</v>
      </c>
      <c r="L13" t="s">
        <v>12</v>
      </c>
      <c r="M13">
        <v>0.8</v>
      </c>
      <c r="N13" s="9" t="s">
        <v>142</v>
      </c>
      <c r="O13" s="9" t="s">
        <v>38</v>
      </c>
      <c r="P13" s="9" t="s">
        <v>38</v>
      </c>
      <c r="Q13">
        <v>1</v>
      </c>
      <c r="R13">
        <f t="shared" si="2"/>
        <v>9051.264000000001</v>
      </c>
      <c r="S13">
        <f t="shared" si="3"/>
        <v>0.6</v>
      </c>
      <c r="T13">
        <f t="shared" si="4"/>
        <v>5.4000000000000003E-3</v>
      </c>
      <c r="U13">
        <f t="shared" si="5"/>
        <v>5.0000000000000001E-3</v>
      </c>
      <c r="V13">
        <f t="shared" si="6"/>
        <v>0.25</v>
      </c>
      <c r="W13">
        <f t="shared" si="7"/>
        <v>3390.6034944000007</v>
      </c>
      <c r="X13">
        <f t="shared" si="8"/>
        <v>3390.6034944000007</v>
      </c>
      <c r="Y13" cm="1">
        <f t="array" ref="Y13">_xlfn.IFS(ISBLANK(K13),"",P13="yes",0.02,TRUE,0)</f>
        <v>0.02</v>
      </c>
      <c r="Z13">
        <f t="shared" si="9"/>
        <v>0</v>
      </c>
      <c r="AA13">
        <f t="shared" si="10"/>
        <v>0.35</v>
      </c>
      <c r="AB13" cm="1">
        <f t="array" ref="AB13">_xlfn.IFS(ISBLANK(K13), "",TRUE, K13*Y13)</f>
        <v>181.02528000000004</v>
      </c>
      <c r="AC13">
        <f t="shared" si="11"/>
        <v>2525.9996033280004</v>
      </c>
      <c r="AD13">
        <f t="shared" si="12"/>
        <v>117.66643200000003</v>
      </c>
      <c r="AE13" s="5" cm="1">
        <f t="array" ref="AE13">_xlfn.IFS(ISBLANK(K13),"",O13="yes",W13*M13, TRUE, (AC13+AD13)*M13)</f>
        <v>2712.4827955200008</v>
      </c>
      <c r="AF13" cm="1">
        <f t="array" ref="AF13">_xlfn.IFS(ISBLANK(K13),"",O13="yes", W13*(1-M13),TRUE, (AC13+AD13)*(1-M13))</f>
        <v>678.12069887999996</v>
      </c>
      <c r="AG13">
        <f t="shared" si="13"/>
        <v>6.0000000000000001E-3</v>
      </c>
      <c r="AH13">
        <f t="shared" si="14"/>
        <v>1.5714285714285714</v>
      </c>
      <c r="AI13">
        <f t="shared" si="16"/>
        <v>2.5574837786331437E-2</v>
      </c>
      <c r="AJ13">
        <f t="shared" si="17"/>
        <v>6.3937094465828567E-3</v>
      </c>
      <c r="AL13" t="s">
        <v>48</v>
      </c>
      <c r="AM13">
        <v>0.02</v>
      </c>
    </row>
    <row r="14" spans="1:39" x14ac:dyDescent="0.2">
      <c r="A14">
        <v>100</v>
      </c>
      <c r="B14" t="s">
        <v>158</v>
      </c>
      <c r="D14" cm="1">
        <f t="array" ref="D14">IF(ISBLANK(C14), _xlfn.IFS(A14&lt;=80,10.4,A14&lt;=200,10.8,TRUE,8.2),C14)</f>
        <v>10.8</v>
      </c>
      <c r="F14" cm="1">
        <f t="array" ref="F14">IF(ISBLANK(E14),_xlfn.IFS(A14&lt;=80,14,A14&lt;=200,12,TRUE,12),E14)</f>
        <v>12</v>
      </c>
      <c r="G14" cm="1">
        <f t="array" ref="G14">_xlfn.IFS(A14&lt;=80,20.4,A14&lt;=200,12.7,TRUE,7)</f>
        <v>12.7</v>
      </c>
      <c r="H14">
        <f t="shared" si="0"/>
        <v>0.20736000000000002</v>
      </c>
      <c r="I14">
        <f t="shared" si="1"/>
        <v>0.18102528000000001</v>
      </c>
      <c r="J14">
        <v>500</v>
      </c>
      <c r="K14">
        <f t="shared" si="15"/>
        <v>9051.264000000001</v>
      </c>
      <c r="L14" t="s">
        <v>12</v>
      </c>
      <c r="M14">
        <v>0.8</v>
      </c>
      <c r="N14" s="9" t="s">
        <v>142</v>
      </c>
      <c r="O14" s="9" t="s">
        <v>39</v>
      </c>
      <c r="P14" s="9" t="s">
        <v>39</v>
      </c>
      <c r="Q14">
        <v>1</v>
      </c>
      <c r="R14">
        <f t="shared" si="2"/>
        <v>9051.264000000001</v>
      </c>
      <c r="S14">
        <f t="shared" si="3"/>
        <v>0.6</v>
      </c>
      <c r="T14">
        <f t="shared" si="4"/>
        <v>5.4000000000000003E-3</v>
      </c>
      <c r="U14">
        <f t="shared" si="5"/>
        <v>5.0000000000000001E-3</v>
      </c>
      <c r="V14">
        <f t="shared" si="6"/>
        <v>0.25</v>
      </c>
      <c r="W14">
        <f t="shared" si="7"/>
        <v>3571.6287744000006</v>
      </c>
      <c r="X14">
        <f t="shared" si="8"/>
        <v>3571.6287744000006</v>
      </c>
      <c r="Y14" cm="1">
        <f t="array" ref="Y14">_xlfn.IFS(ISBLANK(K14),"",P14="yes",0.02,TRUE,0)</f>
        <v>0</v>
      </c>
      <c r="Z14">
        <f t="shared" si="9"/>
        <v>0</v>
      </c>
      <c r="AA14">
        <f t="shared" si="10"/>
        <v>0.35</v>
      </c>
      <c r="AB14" cm="1">
        <f t="array" ref="AB14">_xlfn.IFS(ISBLANK(K14), "",TRUE, K14*Y14)</f>
        <v>0</v>
      </c>
      <c r="AC14">
        <f t="shared" si="11"/>
        <v>2660.8634369280003</v>
      </c>
      <c r="AD14">
        <f t="shared" si="12"/>
        <v>0</v>
      </c>
      <c r="AE14" s="5" cm="1">
        <f t="array" ref="AE14">_xlfn.IFS(ISBLANK(K14),"",O14="yes",W14*M14, TRUE, (AC14+AD14)*M14)</f>
        <v>2128.6907495424002</v>
      </c>
      <c r="AF14" cm="1">
        <f t="array" ref="AF14">_xlfn.IFS(ISBLANK(K14),"",O14="yes", W14*(1-M14),TRUE, (AC14+AD14)*(1-M14))</f>
        <v>532.17268738559994</v>
      </c>
      <c r="AG14">
        <f t="shared" si="13"/>
        <v>6.0000000000000001E-3</v>
      </c>
      <c r="AH14">
        <f t="shared" si="14"/>
        <v>1.5714285714285714</v>
      </c>
      <c r="AI14">
        <f t="shared" si="16"/>
        <v>2.0070512781399773E-2</v>
      </c>
      <c r="AJ14">
        <f t="shared" si="17"/>
        <v>5.0176281953499416E-3</v>
      </c>
    </row>
    <row r="15" spans="1:39" x14ac:dyDescent="0.2">
      <c r="A15">
        <v>100</v>
      </c>
      <c r="B15" t="s">
        <v>83</v>
      </c>
      <c r="D15" cm="1">
        <f t="array" ref="D15">IF(ISBLANK(C15), _xlfn.IFS(A15&lt;=80,10.4,A15&lt;=200,10.8,TRUE,8.2),C15)</f>
        <v>10.8</v>
      </c>
      <c r="F15" cm="1">
        <f t="array" ref="F15">IF(ISBLANK(E15),_xlfn.IFS(A15&lt;=80,14,A15&lt;=200,12,TRUE,12),E15)</f>
        <v>12</v>
      </c>
      <c r="G15" cm="1">
        <f t="array" ref="G15">_xlfn.IFS(A15&lt;=80,20.4,A15&lt;=200,12.7,TRUE,7)</f>
        <v>12.7</v>
      </c>
      <c r="H15">
        <f t="shared" si="0"/>
        <v>0.20736000000000002</v>
      </c>
      <c r="I15">
        <f t="shared" si="1"/>
        <v>0.18102528000000001</v>
      </c>
      <c r="J15">
        <v>500</v>
      </c>
      <c r="K15">
        <f t="shared" si="15"/>
        <v>9051.264000000001</v>
      </c>
      <c r="L15" t="s">
        <v>12</v>
      </c>
      <c r="M15">
        <v>0.8</v>
      </c>
      <c r="N15" s="9" t="s">
        <v>142</v>
      </c>
      <c r="O15" s="9" t="s">
        <v>39</v>
      </c>
      <c r="P15" s="9" t="s">
        <v>38</v>
      </c>
      <c r="Q15">
        <v>1</v>
      </c>
      <c r="R15">
        <f t="shared" si="2"/>
        <v>9051.264000000001</v>
      </c>
      <c r="S15">
        <f t="shared" si="3"/>
        <v>0.6</v>
      </c>
      <c r="T15">
        <f t="shared" si="4"/>
        <v>5.4000000000000003E-3</v>
      </c>
      <c r="U15">
        <f t="shared" si="5"/>
        <v>5.0000000000000001E-3</v>
      </c>
      <c r="V15">
        <f t="shared" si="6"/>
        <v>0.25</v>
      </c>
      <c r="W15">
        <f t="shared" si="7"/>
        <v>3390.6034944000007</v>
      </c>
      <c r="X15">
        <f t="shared" si="8"/>
        <v>3390.6034944000007</v>
      </c>
      <c r="Y15" cm="1">
        <f t="array" ref="Y15">_xlfn.IFS(ISBLANK(K15),"",P15="yes",0.02,TRUE,0)</f>
        <v>0.02</v>
      </c>
      <c r="Z15">
        <f t="shared" si="9"/>
        <v>0</v>
      </c>
      <c r="AA15">
        <f t="shared" si="10"/>
        <v>0.35</v>
      </c>
      <c r="AB15" cm="1">
        <f t="array" ref="AB15">_xlfn.IFS(ISBLANK(K15), "",TRUE, K15*Y15)</f>
        <v>181.02528000000004</v>
      </c>
      <c r="AC15">
        <f t="shared" si="11"/>
        <v>2525.9996033280004</v>
      </c>
      <c r="AD15">
        <f t="shared" si="12"/>
        <v>117.66643200000003</v>
      </c>
      <c r="AE15" s="5" cm="1">
        <f t="array" ref="AE15">_xlfn.IFS(ISBLANK(K15),"",O15="yes",W15*M15, TRUE, (AC15+AD15)*M15)</f>
        <v>2114.9328282624006</v>
      </c>
      <c r="AF15" cm="1">
        <f t="array" ref="AF15">_xlfn.IFS(ISBLANK(K15),"",O15="yes", W15*(1-M15),TRUE, (AC15+AD15)*(1-M15))</f>
        <v>528.73320706559991</v>
      </c>
      <c r="AG15">
        <f t="shared" si="13"/>
        <v>6.0000000000000001E-3</v>
      </c>
      <c r="AH15">
        <f t="shared" si="14"/>
        <v>1.5714285714285714</v>
      </c>
      <c r="AI15">
        <f t="shared" si="16"/>
        <v>1.9940795237902632E-2</v>
      </c>
      <c r="AJ15">
        <f t="shared" si="17"/>
        <v>4.9851988094756555E-3</v>
      </c>
    </row>
    <row r="16" spans="1:39" x14ac:dyDescent="0.2">
      <c r="A16">
        <v>100</v>
      </c>
      <c r="B16" t="s">
        <v>83</v>
      </c>
      <c r="D16" cm="1">
        <f t="array" ref="D16">IF(ISBLANK(C16), _xlfn.IFS(A16&lt;=80,10.4,A16&lt;=200,10.8,TRUE,8.2),C16)</f>
        <v>10.8</v>
      </c>
      <c r="F16" cm="1">
        <f t="array" ref="F16">IF(ISBLANK(E16),_xlfn.IFS(A16&lt;=80,14,A16&lt;=200,12,TRUE,12),E16)</f>
        <v>12</v>
      </c>
      <c r="G16" cm="1">
        <f t="array" ref="G16">_xlfn.IFS(A16&lt;=80,20.4,A16&lt;=200,12.7,TRUE,7)</f>
        <v>12.7</v>
      </c>
      <c r="H16">
        <f t="shared" si="0"/>
        <v>0.20736000000000002</v>
      </c>
      <c r="I16">
        <f t="shared" si="1"/>
        <v>0.18102528000000001</v>
      </c>
      <c r="J16">
        <v>500</v>
      </c>
      <c r="K16">
        <f t="shared" si="15"/>
        <v>9051.264000000001</v>
      </c>
      <c r="L16" t="s">
        <v>12</v>
      </c>
      <c r="M16">
        <v>0.8</v>
      </c>
      <c r="N16" s="9" t="s">
        <v>142</v>
      </c>
      <c r="O16" s="9" t="s">
        <v>39</v>
      </c>
      <c r="P16" s="9" t="s">
        <v>38</v>
      </c>
      <c r="Q16">
        <v>1</v>
      </c>
      <c r="R16">
        <f t="shared" si="2"/>
        <v>9051.264000000001</v>
      </c>
      <c r="S16">
        <f t="shared" si="3"/>
        <v>0.6</v>
      </c>
      <c r="T16">
        <f t="shared" si="4"/>
        <v>5.4000000000000003E-3</v>
      </c>
      <c r="U16">
        <f t="shared" si="5"/>
        <v>5.0000000000000001E-3</v>
      </c>
      <c r="V16">
        <f t="shared" si="6"/>
        <v>0.25</v>
      </c>
      <c r="W16">
        <f t="shared" si="7"/>
        <v>3390.6034944000007</v>
      </c>
      <c r="X16">
        <f t="shared" si="8"/>
        <v>3390.6034944000007</v>
      </c>
      <c r="Y16" cm="1">
        <f t="array" ref="Y16">_xlfn.IFS(ISBLANK(K16),"",P16="yes",0.02,TRUE,0)</f>
        <v>0.02</v>
      </c>
      <c r="Z16">
        <f t="shared" si="9"/>
        <v>0</v>
      </c>
      <c r="AA16">
        <f t="shared" si="10"/>
        <v>0.35</v>
      </c>
      <c r="AB16" cm="1">
        <f t="array" ref="AB16">_xlfn.IFS(ISBLANK(K16), "",TRUE, K16*Y16)</f>
        <v>181.02528000000004</v>
      </c>
      <c r="AC16">
        <f t="shared" si="11"/>
        <v>2525.9996033280004</v>
      </c>
      <c r="AD16">
        <f t="shared" si="12"/>
        <v>117.66643200000003</v>
      </c>
      <c r="AE16" s="5" cm="1">
        <f t="array" ref="AE16">_xlfn.IFS(ISBLANK(K16),"",O16="yes",W16*M16, TRUE, (AC16+AD16)*M16)</f>
        <v>2114.9328282624006</v>
      </c>
      <c r="AF16" cm="1">
        <f t="array" ref="AF16">_xlfn.IFS(ISBLANK(K16),"",O16="yes", W16*(1-M16),TRUE, (AC16+AD16)*(1-M16))</f>
        <v>528.73320706559991</v>
      </c>
      <c r="AG16">
        <f t="shared" si="13"/>
        <v>6.0000000000000001E-3</v>
      </c>
      <c r="AH16">
        <f t="shared" si="14"/>
        <v>1.5714285714285714</v>
      </c>
      <c r="AI16">
        <f t="shared" si="16"/>
        <v>1.9940795237902632E-2</v>
      </c>
      <c r="AJ16">
        <f t="shared" si="17"/>
        <v>4.9851988094756555E-3</v>
      </c>
    </row>
    <row r="17" spans="1:40" x14ac:dyDescent="0.2">
      <c r="A17">
        <v>100</v>
      </c>
      <c r="B17" t="s">
        <v>83</v>
      </c>
      <c r="D17" cm="1">
        <f t="array" ref="D17">IF(ISBLANK(C17), _xlfn.IFS(A17&lt;=80,10.4,A17&lt;=200,10.8,TRUE,8.2),C17)</f>
        <v>10.8</v>
      </c>
      <c r="F17" cm="1">
        <f t="array" ref="F17">IF(ISBLANK(E17),_xlfn.IFS(A17&lt;=80,14,A17&lt;=200,12,TRUE,12),E17)</f>
        <v>12</v>
      </c>
      <c r="G17" cm="1">
        <f t="array" ref="G17">_xlfn.IFS(A17&lt;=80,20.4,A17&lt;=200,12.7,TRUE,7)</f>
        <v>12.7</v>
      </c>
      <c r="H17">
        <f t="shared" si="0"/>
        <v>0.20736000000000002</v>
      </c>
      <c r="I17">
        <f t="shared" si="1"/>
        <v>0.18102528000000001</v>
      </c>
      <c r="J17">
        <v>500</v>
      </c>
      <c r="K17">
        <f t="shared" si="15"/>
        <v>9051.264000000001</v>
      </c>
      <c r="L17" t="s">
        <v>12</v>
      </c>
      <c r="M17">
        <v>0.8</v>
      </c>
      <c r="N17" s="9" t="s">
        <v>142</v>
      </c>
      <c r="O17" s="9" t="s">
        <v>39</v>
      </c>
      <c r="P17" s="9" t="s">
        <v>38</v>
      </c>
      <c r="Q17">
        <v>1</v>
      </c>
      <c r="R17">
        <f t="shared" si="2"/>
        <v>9051.264000000001</v>
      </c>
      <c r="S17">
        <f t="shared" si="3"/>
        <v>0.6</v>
      </c>
      <c r="T17">
        <f t="shared" si="4"/>
        <v>5.4000000000000003E-3</v>
      </c>
      <c r="U17">
        <f t="shared" si="5"/>
        <v>5.0000000000000001E-3</v>
      </c>
      <c r="V17">
        <f t="shared" si="6"/>
        <v>0.25</v>
      </c>
      <c r="W17">
        <f t="shared" si="7"/>
        <v>3390.6034944000007</v>
      </c>
      <c r="X17">
        <f t="shared" si="8"/>
        <v>3390.6034944000007</v>
      </c>
      <c r="Y17" cm="1">
        <f t="array" ref="Y17">_xlfn.IFS(ISBLANK(K17),"",P17="yes",0.02,TRUE,0)</f>
        <v>0.02</v>
      </c>
      <c r="Z17">
        <f t="shared" si="9"/>
        <v>0</v>
      </c>
      <c r="AA17">
        <f t="shared" si="10"/>
        <v>0.35</v>
      </c>
      <c r="AB17" cm="1">
        <f t="array" ref="AB17">_xlfn.IFS(ISBLANK(K17), "",TRUE, K17*Y17)</f>
        <v>181.02528000000004</v>
      </c>
      <c r="AC17">
        <f t="shared" si="11"/>
        <v>2525.9996033280004</v>
      </c>
      <c r="AD17">
        <f t="shared" si="12"/>
        <v>117.66643200000003</v>
      </c>
      <c r="AE17" s="5" cm="1">
        <f t="array" ref="AE17">_xlfn.IFS(ISBLANK(K17),"",O17="yes",W17*M17, TRUE, (AC17+AD17)*M17)</f>
        <v>2114.9328282624006</v>
      </c>
      <c r="AF17" cm="1">
        <f t="array" ref="AF17">_xlfn.IFS(ISBLANK(K17),"",O17="yes", W17*(1-M17),TRUE, (AC17+AD17)*(1-M17))</f>
        <v>528.73320706559991</v>
      </c>
      <c r="AG17">
        <f t="shared" si="13"/>
        <v>6.0000000000000001E-3</v>
      </c>
      <c r="AH17">
        <f t="shared" si="14"/>
        <v>1.5714285714285714</v>
      </c>
      <c r="AI17">
        <f t="shared" si="16"/>
        <v>1.9940795237902632E-2</v>
      </c>
      <c r="AJ17">
        <f t="shared" si="17"/>
        <v>4.9851988094756555E-3</v>
      </c>
    </row>
    <row r="18" spans="1:40" x14ac:dyDescent="0.2"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5"/>
      <c r="AF18" s="8"/>
      <c r="AG18" s="7"/>
      <c r="AH18" s="7"/>
      <c r="AI18" s="7"/>
      <c r="AJ18" s="7"/>
    </row>
    <row r="19" spans="1:40" x14ac:dyDescent="0.2">
      <c r="AE19" s="5"/>
    </row>
    <row r="20" spans="1:40" x14ac:dyDescent="0.2">
      <c r="N20" s="2"/>
      <c r="O20" s="2"/>
      <c r="P20" s="2"/>
      <c r="AE20" s="5"/>
      <c r="AL20" s="2"/>
      <c r="AM20" s="2"/>
    </row>
    <row r="21" spans="1:40" x14ac:dyDescent="0.2">
      <c r="N21" s="2"/>
      <c r="O21" s="2"/>
      <c r="P21" s="2"/>
      <c r="AE21" s="1"/>
      <c r="AL21" s="2"/>
      <c r="AM21" s="2"/>
    </row>
    <row r="22" spans="1:40" x14ac:dyDescent="0.2">
      <c r="N22" s="2"/>
      <c r="O22" s="2"/>
      <c r="P22" s="2"/>
      <c r="AL22" s="2"/>
      <c r="AM22" s="2"/>
    </row>
    <row r="23" spans="1:40" x14ac:dyDescent="0.2">
      <c r="N23" s="2"/>
      <c r="O23" s="2"/>
      <c r="P23" s="2"/>
      <c r="AL23" s="2"/>
      <c r="AM23" s="2"/>
    </row>
    <row r="24" spans="1:40" x14ac:dyDescent="0.2">
      <c r="N24" s="2"/>
      <c r="O24" s="2"/>
      <c r="P24" s="2"/>
      <c r="AL24" s="2"/>
      <c r="AM24" s="2"/>
    </row>
    <row r="25" spans="1:40" x14ac:dyDescent="0.2">
      <c r="N25" s="2"/>
      <c r="O25" s="2"/>
      <c r="P25" s="2"/>
      <c r="AL25" s="2"/>
      <c r="AM25" s="2"/>
    </row>
    <row r="26" spans="1:40" x14ac:dyDescent="0.2">
      <c r="AE26" t="str">
        <f>IF(ISBLANK(K26), "", K26* IF(ISBLANK(#REF!),#REF!,#REF!))</f>
        <v/>
      </c>
    </row>
    <row r="27" spans="1:40" x14ac:dyDescent="0.2">
      <c r="AE27" t="str">
        <f>IF(ISBLANK(K27), "", K27* IF(ISBLANK(#REF!),#REF!,#REF!))</f>
        <v/>
      </c>
      <c r="AL27" s="6" t="s">
        <v>108</v>
      </c>
    </row>
    <row r="28" spans="1:40" x14ac:dyDescent="0.2">
      <c r="AM28" s="2" t="s">
        <v>28</v>
      </c>
      <c r="AN28" t="s">
        <v>110</v>
      </c>
    </row>
    <row r="29" spans="1:40" x14ac:dyDescent="0.2">
      <c r="AL29" s="2" t="s">
        <v>109</v>
      </c>
    </row>
    <row r="30" spans="1:40" x14ac:dyDescent="0.2">
      <c r="AL30" s="9" t="s">
        <v>141</v>
      </c>
      <c r="AM30" s="2">
        <v>5.4000000000000003E-3</v>
      </c>
      <c r="AN30">
        <v>0.6</v>
      </c>
    </row>
    <row r="31" spans="1:40" x14ac:dyDescent="0.2">
      <c r="AL31" s="9" t="s">
        <v>142</v>
      </c>
      <c r="AM31" s="2">
        <v>5.0000000000000001E-3</v>
      </c>
      <c r="AN31">
        <v>0.25</v>
      </c>
    </row>
    <row r="32" spans="1:40" x14ac:dyDescent="0.2">
      <c r="AL32" s="9" t="s">
        <v>143</v>
      </c>
      <c r="AM32" s="2">
        <v>0.01</v>
      </c>
      <c r="AN32">
        <v>0.4</v>
      </c>
    </row>
    <row r="33" spans="14:40" x14ac:dyDescent="0.2">
      <c r="N33" s="2"/>
      <c r="O33" s="2"/>
      <c r="AL33" s="9" t="s">
        <v>107</v>
      </c>
      <c r="AM33" s="2">
        <v>0</v>
      </c>
      <c r="AN33">
        <v>0.35</v>
      </c>
    </row>
    <row r="34" spans="14:40" x14ac:dyDescent="0.2">
      <c r="N34" s="2"/>
      <c r="O34" s="2"/>
      <c r="AL34" s="2"/>
      <c r="AM34" s="2"/>
    </row>
    <row r="35" spans="14:40" x14ac:dyDescent="0.2">
      <c r="N35" s="2"/>
      <c r="O35" s="2"/>
      <c r="AL35" s="2"/>
      <c r="AM35" s="2"/>
    </row>
    <row r="36" spans="14:40" x14ac:dyDescent="0.2">
      <c r="N36" s="2"/>
      <c r="O36" s="2"/>
      <c r="AL36" s="9" t="s">
        <v>124</v>
      </c>
    </row>
    <row r="37" spans="14:40" x14ac:dyDescent="0.2">
      <c r="N37" s="2"/>
      <c r="O37" s="2"/>
      <c r="AL37" s="10" t="s">
        <v>123</v>
      </c>
    </row>
    <row r="38" spans="14:40" x14ac:dyDescent="0.2">
      <c r="N38" s="2"/>
      <c r="O38" s="2"/>
      <c r="AL38" s="9" t="s">
        <v>125</v>
      </c>
      <c r="AM38">
        <v>10.4</v>
      </c>
    </row>
    <row r="39" spans="14:40" x14ac:dyDescent="0.2">
      <c r="AL39" s="9" t="s">
        <v>126</v>
      </c>
      <c r="AM39" s="2">
        <v>10.8</v>
      </c>
    </row>
    <row r="40" spans="14:40" x14ac:dyDescent="0.2">
      <c r="AL40" s="9" t="s">
        <v>127</v>
      </c>
      <c r="AM40" s="2">
        <v>8.1999999999999993</v>
      </c>
    </row>
    <row r="41" spans="14:40" x14ac:dyDescent="0.2">
      <c r="AL41" s="2"/>
      <c r="AM41" s="2"/>
    </row>
    <row r="42" spans="14:40" x14ac:dyDescent="0.2">
      <c r="AL42" s="2"/>
      <c r="AM42" s="2"/>
    </row>
    <row r="43" spans="14:40" x14ac:dyDescent="0.2">
      <c r="AL43" s="2"/>
      <c r="AM43" s="2"/>
    </row>
    <row r="44" spans="14:40" x14ac:dyDescent="0.2">
      <c r="AL44" s="2"/>
      <c r="AM4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5.2.1.1 (purchased_untraced)</vt:lpstr>
      <vt:lpstr>5.2.1.1 (swine)</vt:lpstr>
      <vt:lpstr>5.2.1.1 (feedlot)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2026-02-19T23:44:43Z</dcterms:created>
  <dcterms:modified xsi:type="dcterms:W3CDTF">2026-03-12T05:28:54Z</dcterms:modified>
</cp:coreProperties>
</file>