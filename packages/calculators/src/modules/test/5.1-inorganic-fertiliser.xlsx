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8A67C6A3-978A-2F4C-AF7A-67A4C6C55D17}" xr6:coauthVersionLast="47" xr6:coauthVersionMax="47" xr10:uidLastSave="{00000000-0000-0000-0000-000000000000}"/>
  <bookViews>
    <workbookView xWindow="33600" yWindow="-3000" windowWidth="28800" windowHeight="15940" xr2:uid="{5678E890-3691-CF46-80E7-00FB1F103661}"/>
  </bookViews>
  <sheets>
    <sheet name="5.1.1.1" sheetId="1" r:id="rId1"/>
    <sheet name="5.1.1.3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J10" i="1" s="1"/>
  <c r="K10" i="1" s="1"/>
  <c r="L10" i="1" s="1"/>
  <c r="G11" i="1"/>
  <c r="G12" i="1"/>
  <c r="G13" i="1"/>
  <c r="G14" i="1"/>
  <c r="G15" i="1"/>
  <c r="G16" i="1"/>
  <c r="G17" i="1"/>
  <c r="G18" i="1"/>
  <c r="G19" i="1"/>
  <c r="G20" i="1"/>
  <c r="J20" i="1" s="1"/>
  <c r="G21" i="1"/>
  <c r="G22" i="1"/>
  <c r="J22" i="1" s="1"/>
  <c r="J11" i="1"/>
  <c r="K11" i="1" s="1"/>
  <c r="G23" i="1"/>
  <c r="I23" i="1"/>
  <c r="E23" i="1"/>
  <c r="J21" i="1"/>
  <c r="K21" i="1" s="1"/>
  <c r="E22" i="1"/>
  <c r="I22" i="1"/>
  <c r="J15" i="1"/>
  <c r="K15" i="1" s="1"/>
  <c r="J14" i="1"/>
  <c r="L4" i="1"/>
  <c r="J4" i="1"/>
  <c r="I9" i="2"/>
  <c r="I10" i="2"/>
  <c r="I11" i="2"/>
  <c r="I7" i="2"/>
  <c r="H8" i="2"/>
  <c r="I8" i="2" s="1"/>
  <c r="H9" i="2"/>
  <c r="E10" i="2"/>
  <c r="E11" i="2"/>
  <c r="K8" i="2"/>
  <c r="K9" i="2"/>
  <c r="K10" i="2"/>
  <c r="K11" i="2"/>
  <c r="K7" i="2"/>
  <c r="J8" i="2"/>
  <c r="J9" i="2"/>
  <c r="J10" i="2"/>
  <c r="J11" i="2"/>
  <c r="J7" i="2"/>
  <c r="L10" i="2"/>
  <c r="L11" i="2"/>
  <c r="O7" i="2"/>
  <c r="G28" i="2"/>
  <c r="I27" i="2"/>
  <c r="G27" i="2"/>
  <c r="I26" i="2"/>
  <c r="G26" i="2"/>
  <c r="I25" i="2"/>
  <c r="G25" i="2"/>
  <c r="H7" i="2"/>
  <c r="E21" i="1"/>
  <c r="I21" i="1" s="1"/>
  <c r="J6" i="1"/>
  <c r="K6" i="1" s="1"/>
  <c r="E15" i="1"/>
  <c r="I15" i="1" s="1"/>
  <c r="I11" i="1"/>
  <c r="I12" i="1"/>
  <c r="I13" i="1"/>
  <c r="I16" i="1"/>
  <c r="I17" i="1"/>
  <c r="I18" i="1"/>
  <c r="I19" i="1"/>
  <c r="I24" i="1"/>
  <c r="G24" i="1"/>
  <c r="G25" i="1"/>
  <c r="E11" i="1"/>
  <c r="I7" i="1"/>
  <c r="I8" i="1"/>
  <c r="I9" i="1"/>
  <c r="L7" i="1"/>
  <c r="L8" i="1"/>
  <c r="L17" i="1"/>
  <c r="L18" i="1"/>
  <c r="K7" i="1"/>
  <c r="K8" i="1"/>
  <c r="K17" i="1"/>
  <c r="K18" i="1"/>
  <c r="K5" i="1"/>
  <c r="E5" i="1"/>
  <c r="E6" i="1"/>
  <c r="I6" i="1" s="1"/>
  <c r="E7" i="1"/>
  <c r="E8" i="1"/>
  <c r="E9" i="1"/>
  <c r="E10" i="1"/>
  <c r="I10" i="1" s="1"/>
  <c r="E13" i="1"/>
  <c r="E14" i="1"/>
  <c r="I14" i="1" s="1"/>
  <c r="E17" i="1"/>
  <c r="E18" i="1"/>
  <c r="E19" i="1"/>
  <c r="E20" i="1"/>
  <c r="I20" i="1" s="1"/>
  <c r="E4" i="1"/>
  <c r="I4" i="1" s="1"/>
  <c r="J5" i="1"/>
  <c r="O4" i="1"/>
  <c r="K4" i="1" s="1"/>
  <c r="J23" i="1" l="1"/>
  <c r="K22" i="1"/>
  <c r="L22" i="1" s="1"/>
  <c r="L7" i="2"/>
  <c r="L9" i="2"/>
  <c r="L8" i="2"/>
  <c r="L15" i="1"/>
  <c r="L21" i="1"/>
  <c r="L11" i="1"/>
  <c r="L6" i="1"/>
  <c r="K14" i="1"/>
  <c r="L14" i="1" s="1"/>
  <c r="I5" i="1"/>
  <c r="L5" i="1" s="1"/>
  <c r="K20" i="1"/>
  <c r="L20" i="1" s="1"/>
  <c r="K23" i="1" l="1"/>
  <c r="L23" i="1" s="1"/>
</calcChain>
</file>

<file path=xl/sharedStrings.xml><?xml version="1.0" encoding="utf-8"?>
<sst xmlns="http://schemas.openxmlformats.org/spreadsheetml/2006/main" count="97" uniqueCount="60">
  <si>
    <t>MNjf</t>
  </si>
  <si>
    <t>EFjn2o</t>
  </si>
  <si>
    <r>
      <t>𝐸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 xml:space="preserve">= ∑ ∑ (𝑀𝑁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𝑗,𝑁2𝑂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𝑁2𝑂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  <r>
      <rPr>
        <sz val="11"/>
        <color rgb="FF000000"/>
        <rFont val="Helvetica"/>
        <family val="2"/>
      </rPr>
      <t>)</t>
    </r>
  </si>
  <si>
    <t>Cn2o</t>
  </si>
  <si>
    <t>En2o</t>
  </si>
  <si>
    <t>TMjf</t>
  </si>
  <si>
    <r>
      <t xml:space="preserve">𝑀𝑁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= 𝑇𝑀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>× 𝐹𝑁</t>
    </r>
    <r>
      <rPr>
        <sz val="8"/>
        <color rgb="FF000000"/>
        <rFont val="Helvetica"/>
        <family val="2"/>
      </rPr>
      <t>𝑖𝑛𝑜𝑟𝑔𝑎𝑛𝑖𝑐,𝑓</t>
    </r>
  </si>
  <si>
    <t>Fnorganicf</t>
  </si>
  <si>
    <t>Type</t>
  </si>
  <si>
    <t>System</t>
  </si>
  <si>
    <t>Method 1</t>
  </si>
  <si>
    <t>Table A.2.2.6</t>
  </si>
  <si>
    <t>Custom Fnorganicf</t>
  </si>
  <si>
    <t>Urea</t>
  </si>
  <si>
    <t>Total mass applied</t>
  </si>
  <si>
    <t>Table A.2.2.3</t>
  </si>
  <si>
    <t>Area (hectares)</t>
  </si>
  <si>
    <t>Diammonium phosphate (DAP)</t>
  </si>
  <si>
    <t>Monoammonium phosphate (MAP)</t>
  </si>
  <si>
    <t>Diammonium Phosphate (DAP)</t>
  </si>
  <si>
    <t>Irrigated crop</t>
  </si>
  <si>
    <t>Irrigated pasture</t>
  </si>
  <si>
    <t>Irrigated crop (low rainfall)</t>
  </si>
  <si>
    <t>Irrigated crop (high rainfall)</t>
  </si>
  <si>
    <t>Non-irrigated pasture</t>
  </si>
  <si>
    <t>Non-irrigated crops</t>
  </si>
  <si>
    <t>Sugar</t>
  </si>
  <si>
    <t>Cotton</t>
  </si>
  <si>
    <t>Horticultural crops</t>
  </si>
  <si>
    <t>Aquaculture</t>
  </si>
  <si>
    <t>Rice (continuous flooding)</t>
  </si>
  <si>
    <t>Rice (single and multiple drainage, or alternate wetting and drying)</t>
  </si>
  <si>
    <t>Forestry</t>
  </si>
  <si>
    <t>Irrigated crop (maize)</t>
  </si>
  <si>
    <t>Non-irrigated crop (high rainfall zone)</t>
  </si>
  <si>
    <t>Njf</t>
  </si>
  <si>
    <t>Method 2</t>
  </si>
  <si>
    <t>Sulphate of Ammonia (SOA)</t>
  </si>
  <si>
    <t>Ammonium Nitrate (AN)</t>
  </si>
  <si>
    <t>Calcium Ammonium Nitrate (CAN)</t>
  </si>
  <si>
    <t>Sulphate of ammonia (SOA)</t>
  </si>
  <si>
    <t>Urea-ammonium nitrate (UAN)</t>
  </si>
  <si>
    <t>Ammonium nitrate (AN)</t>
  </si>
  <si>
    <t>Calcium ammonium nitrate (CAN)</t>
  </si>
  <si>
    <t>Monoammonium Phosphate (MAP)</t>
  </si>
  <si>
    <r>
      <t xml:space="preserve">𝐸 </t>
    </r>
    <r>
      <rPr>
        <sz val="8"/>
        <color rgb="FF000000"/>
        <rFont val="Helvetica"/>
        <family val="2"/>
      </rPr>
      <t xml:space="preserve">𝑗𝑓,𝐶𝑂2 </t>
    </r>
    <r>
      <rPr>
        <sz val="11"/>
        <color rgb="FF000000"/>
        <rFont val="Helvetica"/>
        <family val="2"/>
      </rPr>
      <t xml:space="preserve">= 𝑀𝑈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𝐸𝐹 </t>
    </r>
    <r>
      <rPr>
        <sz val="8"/>
        <color rgb="FF000000"/>
        <rFont val="Helvetica"/>
        <family val="2"/>
      </rPr>
      <t>𝑢𝑟𝑒𝑎,𝐶𝑂2</t>
    </r>
    <r>
      <rPr>
        <sz val="11"/>
        <color rgb="FF000000"/>
        <rFont val="Helvetica"/>
        <family val="2"/>
      </rPr>
      <t xml:space="preserve"> × 𝐶</t>
    </r>
    <r>
      <rPr>
        <sz val="8"/>
        <color rgb="FF000000"/>
        <rFont val="Helvetica"/>
        <family val="2"/>
      </rPr>
      <t xml:space="preserve">𝐶𝑂2 </t>
    </r>
    <r>
      <rPr>
        <sz val="11"/>
        <color rgb="FF000000"/>
        <rFont val="Helvetica"/>
        <family val="2"/>
      </rPr>
      <t>× 10</t>
    </r>
    <r>
      <rPr>
        <sz val="8"/>
        <color rgb="FF000000"/>
        <rFont val="Helvetica"/>
        <family val="2"/>
      </rPr>
      <t>−3</t>
    </r>
  </si>
  <si>
    <t>EjfCO2</t>
  </si>
  <si>
    <t>Cco2</t>
  </si>
  <si>
    <t>EFureaco2</t>
  </si>
  <si>
    <t>Mujf</t>
  </si>
  <si>
    <r>
      <t xml:space="preserve">𝑀𝑈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= 𝑇𝑀 </t>
    </r>
    <r>
      <rPr>
        <sz val="8"/>
        <color rgb="FF000000"/>
        <rFont val="Helvetica"/>
        <family val="2"/>
      </rPr>
      <t xml:space="preserve">𝑗𝑓 </t>
    </r>
    <r>
      <rPr>
        <sz val="11"/>
        <color rgb="FF000000"/>
        <rFont val="Helvetica"/>
        <family val="2"/>
      </rPr>
      <t xml:space="preserve">× 𝐹𝑈 </t>
    </r>
    <r>
      <rPr>
        <sz val="8"/>
        <color rgb="FF000000"/>
        <rFont val="Helvetica"/>
        <family val="2"/>
      </rPr>
      <t>𝑓</t>
    </r>
  </si>
  <si>
    <t>Table A.2.2.7</t>
  </si>
  <si>
    <t>Fuf</t>
  </si>
  <si>
    <t>Urea-Ammonium Nitrate (UAN)</t>
  </si>
  <si>
    <t>Constants</t>
  </si>
  <si>
    <t>Total mass applied (kg)</t>
  </si>
  <si>
    <t>𝐸𝐹𝑓𝑗=𝑛𝑜𝑛𝑖𝑟𝑟𝑖𝑔𝑎𝑡𝑒𝑑𝑔𝑟𝑎𝑖𝑛𝑠,𝑁2𝑂 = (0.0781 + (0.0075 × 𝑁𝑓𝑗=𝑛𝑜𝑛𝑖𝑟𝑟𝑖𝑔𝑎𝑡𝑒𝑑𝑔𝑟𝑎𝑖𝑛𝑠)) × 10−2</t>
  </si>
  <si>
    <t>𝐸𝐹𝑓𝑗=𝑖𝑟𝑟𝑖𝑔𝑎𝑡𝑒𝑑𝑚𝑎𝑖𝑧𝑒,𝑁2𝑂 = (−0.1474 + (0.0061 × 𝑁𝑓𝑗=𝑖𝑟𝑟𝑖𝑔𝑎𝑡𝑒𝑑𝑚𝑎𝑖𝑧𝑒 )) × 10−2</t>
  </si>
  <si>
    <t>(0.29 + (0.007(𝑒^0.037×𝑁𝑓𝑗=𝑐𝑜𝑡𝑡𝑜𝑛 − 1)) / 𝑁𝑓𝑗=𝑐𝑜𝑡𝑡𝑜𝑛) × 10−2 (Capped at 0.0183)</t>
  </si>
  <si>
    <t>NOTE: I've removed the '0.01' term from below because I believe it is a mistake, confirmation of this is still pending.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</si>
</sst>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"/>
    <numFmt numFmtId="165" formatCode="0.0000000"/>
  </numFmts>
  <fonts count="7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  <font>
      <sz val="12"/>
      <name val="Aptos Narrow"/>
      <scheme val="minor"/>
    </font>
    <font>
      <b/>
      <sz val="12"/>
      <name val="Aptos Narrow"/>
      <scheme val="minor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164" fontId="0" fillId="0" borderId="0" xfId="0" applyNumberFormat="1"/>
    <xf numFmtId="0" fontId="4" fillId="2" borderId="0" xfId="0" applyFont="1" applyFill="1" applyAlignment="1">
      <alignment wrapText="1"/>
    </xf>
    <xf numFmtId="0" fontId="0" fillId="2" borderId="0" xfId="0" applyFill="1"/>
    <xf numFmtId="0" fontId="0" fillId="3" borderId="0" xfId="0" applyFill="1"/>
    <xf numFmtId="0" fontId="6" fillId="0" borderId="0" xfId="0" applyFont="1"/>
    <xf numFmtId="0" fontId="3" fillId="0" borderId="0" xfId="0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655F-5BFE-554E-A3D3-9DFA9517010F}">
  <dimension ref="A1:O30"/>
  <sheetViews>
    <sheetView tabSelected="1" topLeftCell="B5" workbookViewId="0">
      <selection activeCell="J19" sqref="J19"/>
    </sheetView>
  </sheetViews>
  <sheetFormatPr baseColWidth="10" defaultRowHeight="16"/>
  <cols>
    <col min="1" max="1" width="17.33203125" style="3" customWidth="1"/>
    <col min="2" max="3" width="26.6640625" customWidth="1"/>
    <col min="6" max="6" width="16.5" customWidth="1"/>
    <col min="10" max="10" width="18.1640625" customWidth="1"/>
    <col min="12" max="12" width="12.6640625" bestFit="1" customWidth="1"/>
    <col min="14" max="14" width="36" customWidth="1"/>
  </cols>
  <sheetData>
    <row r="1" spans="1:15" ht="17">
      <c r="A1" s="3" t="s">
        <v>10</v>
      </c>
      <c r="I1" s="1" t="s">
        <v>6</v>
      </c>
      <c r="L1" s="1" t="s">
        <v>2</v>
      </c>
    </row>
    <row r="2" spans="1:15">
      <c r="D2" t="s">
        <v>55</v>
      </c>
      <c r="I2" s="1"/>
      <c r="L2" s="1"/>
    </row>
    <row r="3" spans="1:15" ht="17">
      <c r="A3" s="6" t="s">
        <v>9</v>
      </c>
      <c r="B3" s="7" t="s">
        <v>8</v>
      </c>
      <c r="C3" s="7" t="s">
        <v>16</v>
      </c>
      <c r="D3" s="7" t="s">
        <v>5</v>
      </c>
      <c r="E3" t="s">
        <v>7</v>
      </c>
      <c r="F3" s="7" t="s">
        <v>12</v>
      </c>
      <c r="G3" t="s">
        <v>35</v>
      </c>
      <c r="I3" t="s">
        <v>0</v>
      </c>
      <c r="J3" t="s">
        <v>1</v>
      </c>
      <c r="K3" t="s">
        <v>3</v>
      </c>
      <c r="L3" s="8" t="s">
        <v>4</v>
      </c>
      <c r="N3" s="9" t="s">
        <v>54</v>
      </c>
    </row>
    <row r="4" spans="1:15" ht="17">
      <c r="A4" s="3" t="s">
        <v>20</v>
      </c>
      <c r="B4" t="s">
        <v>13</v>
      </c>
      <c r="C4">
        <v>100</v>
      </c>
      <c r="D4">
        <v>50</v>
      </c>
      <c r="E4">
        <f>IF(ISBLANK(B4), "", VLOOKUP(B4,$N$24:$O$30, 2, FALSE))</f>
        <v>0.46</v>
      </c>
      <c r="G4">
        <f t="shared" ref="G4:G22" si="0">IF(ISBLANK(C4), "", (IF(ISNUMBER(F4), F4, E4)*D4)/C4)</f>
        <v>0.23</v>
      </c>
      <c r="I4">
        <f>IF(ISBLANK(B4), "", IF(ISNUMBER(F4), F4*D4, E4*D4))</f>
        <v>23</v>
      </c>
      <c r="J4">
        <f>VLOOKUP(A4, $N$7:$O$21,2, FALSE)</f>
        <v>7.0000000000000001E-3</v>
      </c>
      <c r="K4">
        <f>$O$4</f>
        <v>1.5714285714285714</v>
      </c>
      <c r="L4" s="11">
        <f>I4*J4*K4/1000</f>
        <v>2.5300000000000002E-4</v>
      </c>
      <c r="N4" t="s">
        <v>3</v>
      </c>
      <c r="O4">
        <f>44/28</f>
        <v>1.5714285714285714</v>
      </c>
    </row>
    <row r="5" spans="1:15" ht="17">
      <c r="A5" s="3" t="s">
        <v>21</v>
      </c>
      <c r="B5" t="s">
        <v>19</v>
      </c>
      <c r="C5">
        <v>100</v>
      </c>
      <c r="D5">
        <v>40</v>
      </c>
      <c r="E5">
        <f t="shared" ref="E5:E19" si="1">IF(ISBLANK(B5), "", VLOOKUP(B5,$N$24:$O$30, 2, FALSE))</f>
        <v>0.18</v>
      </c>
      <c r="G5">
        <f t="shared" si="0"/>
        <v>7.1999999999999995E-2</v>
      </c>
      <c r="I5">
        <f t="shared" ref="I5:I24" si="2">IF(ISBLANK(B5), "", IF(ISNUMBER(F5), F5*D5, E5*D5))</f>
        <v>7.1999999999999993</v>
      </c>
      <c r="J5">
        <f>VLOOKUP(A5, $N$7:$O$21,2, FALSE)</f>
        <v>5.8999999999999999E-3</v>
      </c>
      <c r="K5">
        <f>IF(ISBLANK(J5), "",$O$4)</f>
        <v>1.5714285714285714</v>
      </c>
      <c r="L5">
        <f>IF(ISBLANK(A5), "", I5*J5*K5/1000)</f>
        <v>6.6754285714285704E-5</v>
      </c>
    </row>
    <row r="6" spans="1:15">
      <c r="A6" s="2" t="s">
        <v>29</v>
      </c>
      <c r="B6" s="2" t="s">
        <v>37</v>
      </c>
      <c r="C6">
        <v>100</v>
      </c>
      <c r="D6">
        <v>30</v>
      </c>
      <c r="E6">
        <f t="shared" si="1"/>
        <v>0.21</v>
      </c>
      <c r="F6">
        <v>0.25</v>
      </c>
      <c r="G6">
        <f t="shared" si="0"/>
        <v>7.4999999999999997E-2</v>
      </c>
      <c r="I6">
        <f t="shared" si="2"/>
        <v>7.5</v>
      </c>
      <c r="J6">
        <f>VLOOKUP(A6, $N$7:$O$21,2, FALSE)</f>
        <v>2.5999999999999999E-3</v>
      </c>
      <c r="K6">
        <f>IF(ISBLANK(J6), "",$O$4)</f>
        <v>1.5714285714285714</v>
      </c>
      <c r="L6">
        <f>IF(ISBLANK(A6), "", I6*J6*K6/1000)</f>
        <v>3.0642857142857141E-5</v>
      </c>
      <c r="N6" t="s">
        <v>15</v>
      </c>
    </row>
    <row r="7" spans="1:15">
      <c r="E7" t="str">
        <f t="shared" si="1"/>
        <v/>
      </c>
      <c r="G7" t="str">
        <f t="shared" si="0"/>
        <v/>
      </c>
      <c r="I7" t="str">
        <f t="shared" si="2"/>
        <v/>
      </c>
      <c r="K7" t="str">
        <f t="shared" ref="K7:K19" si="3">IF(ISBLANK(J7), "",$O$4)</f>
        <v/>
      </c>
      <c r="L7" t="str">
        <f t="shared" ref="L7:L19" si="4">IF(ISBLANK(A7), "", I7*J7*K7/1000)</f>
        <v/>
      </c>
      <c r="N7" s="2" t="s">
        <v>21</v>
      </c>
      <c r="O7" s="2">
        <v>5.8999999999999999E-3</v>
      </c>
    </row>
    <row r="8" spans="1:15">
      <c r="E8" t="str">
        <f t="shared" si="1"/>
        <v/>
      </c>
      <c r="G8" t="str">
        <f t="shared" si="0"/>
        <v/>
      </c>
      <c r="I8" t="str">
        <f t="shared" si="2"/>
        <v/>
      </c>
      <c r="K8" t="str">
        <f t="shared" si="3"/>
        <v/>
      </c>
      <c r="L8" t="str">
        <f t="shared" si="4"/>
        <v/>
      </c>
      <c r="N8" s="2" t="s">
        <v>22</v>
      </c>
      <c r="O8" s="2">
        <v>2.8999999999999998E-3</v>
      </c>
    </row>
    <row r="9" spans="1:15" ht="17">
      <c r="A9" s="4" t="s">
        <v>36</v>
      </c>
      <c r="E9" t="str">
        <f t="shared" si="1"/>
        <v/>
      </c>
      <c r="G9" t="str">
        <f t="shared" si="0"/>
        <v/>
      </c>
      <c r="I9" t="str">
        <f t="shared" si="2"/>
        <v/>
      </c>
      <c r="J9" s="1" t="s">
        <v>57</v>
      </c>
      <c r="N9" s="2" t="s">
        <v>23</v>
      </c>
      <c r="O9" s="2">
        <v>8.0000000000000002E-3</v>
      </c>
    </row>
    <row r="10" spans="1:15" ht="34">
      <c r="A10" s="3" t="s">
        <v>33</v>
      </c>
      <c r="B10" s="2" t="s">
        <v>37</v>
      </c>
      <c r="C10">
        <v>200</v>
      </c>
      <c r="D10">
        <v>7000</v>
      </c>
      <c r="E10">
        <f t="shared" si="1"/>
        <v>0.21</v>
      </c>
      <c r="G10">
        <f t="shared" si="0"/>
        <v>7.35</v>
      </c>
      <c r="I10">
        <f t="shared" si="2"/>
        <v>1470</v>
      </c>
      <c r="J10">
        <f>(-0.1474 + (0.0061 * G10)) * 10^-2</f>
        <v>-1.0256500000000001E-3</v>
      </c>
      <c r="K10">
        <f t="shared" si="3"/>
        <v>1.5714285714285714</v>
      </c>
      <c r="L10" s="5">
        <f>IF(ISBLANK(A10), "", I10*J10*K10/1000)</f>
        <v>-2.3692515000000003E-3</v>
      </c>
      <c r="N10" s="2" t="s">
        <v>20</v>
      </c>
      <c r="O10" s="2">
        <v>7.0000000000000001E-3</v>
      </c>
    </row>
    <row r="11" spans="1:15" ht="34">
      <c r="A11" s="3" t="s">
        <v>33</v>
      </c>
      <c r="B11" t="s">
        <v>13</v>
      </c>
      <c r="C11">
        <v>100</v>
      </c>
      <c r="D11">
        <v>3000</v>
      </c>
      <c r="E11">
        <f t="shared" si="1"/>
        <v>0.46</v>
      </c>
      <c r="F11">
        <v>0.4</v>
      </c>
      <c r="G11">
        <f t="shared" si="0"/>
        <v>12</v>
      </c>
      <c r="I11">
        <f t="shared" si="2"/>
        <v>1200</v>
      </c>
      <c r="J11">
        <f>(-0.1474 + (0.0061 * G11)) * 10^-2</f>
        <v>-7.4200000000000004E-4</v>
      </c>
      <c r="K11">
        <f t="shared" si="3"/>
        <v>1.5714285714285714</v>
      </c>
      <c r="L11" s="5">
        <f t="shared" ref="L11" si="5">IF(ISBLANK(A11), "", I11*J11*K11/1000)</f>
        <v>-1.3992E-3</v>
      </c>
      <c r="N11" s="2" t="s">
        <v>24</v>
      </c>
      <c r="O11" s="2">
        <v>1.8E-3</v>
      </c>
    </row>
    <row r="12" spans="1:15">
      <c r="G12" t="str">
        <f t="shared" si="0"/>
        <v/>
      </c>
      <c r="I12" t="str">
        <f t="shared" si="2"/>
        <v/>
      </c>
      <c r="N12" s="2" t="s">
        <v>25</v>
      </c>
      <c r="O12" s="2">
        <v>4.1000000000000003E-3</v>
      </c>
    </row>
    <row r="13" spans="1:15">
      <c r="E13" t="str">
        <f t="shared" si="1"/>
        <v/>
      </c>
      <c r="G13" t="str">
        <f t="shared" si="0"/>
        <v/>
      </c>
      <c r="I13" t="str">
        <f t="shared" si="2"/>
        <v/>
      </c>
      <c r="J13" s="1" t="s">
        <v>56</v>
      </c>
      <c r="N13" s="2" t="s">
        <v>26</v>
      </c>
      <c r="O13" s="2">
        <v>1.9900000000000001E-2</v>
      </c>
    </row>
    <row r="14" spans="1:15" ht="34">
      <c r="A14" s="3" t="s">
        <v>34</v>
      </c>
      <c r="B14" s="2" t="s">
        <v>38</v>
      </c>
      <c r="C14">
        <v>50</v>
      </c>
      <c r="D14">
        <v>5000</v>
      </c>
      <c r="E14">
        <f>IF(ISBLANK(B14), "", VLOOKUP(B14,$N$24:$O$30, 2, FALSE))</f>
        <v>0.33700000000000002</v>
      </c>
      <c r="G14">
        <f t="shared" si="0"/>
        <v>33.700000000000003</v>
      </c>
      <c r="I14">
        <f t="shared" si="2"/>
        <v>1685</v>
      </c>
      <c r="J14">
        <f>(0.0781 + (0.0075*G14)) * 10^-2</f>
        <v>3.3085000000000002E-3</v>
      </c>
      <c r="K14">
        <f>IF(ISBLANK(J14), "",$O$4)</f>
        <v>1.5714285714285714</v>
      </c>
      <c r="L14">
        <f>IF(ISBLANK(A14), "", I14*J14*K14/1000)</f>
        <v>8.7604353571428591E-3</v>
      </c>
      <c r="N14" s="2" t="s">
        <v>27</v>
      </c>
      <c r="O14" s="2">
        <v>5.3E-3</v>
      </c>
    </row>
    <row r="15" spans="1:15" ht="34">
      <c r="A15" s="3" t="s">
        <v>34</v>
      </c>
      <c r="B15" s="2" t="s">
        <v>44</v>
      </c>
      <c r="C15">
        <v>20</v>
      </c>
      <c r="D15">
        <v>3000</v>
      </c>
      <c r="E15">
        <f>IF(ISBLANK(B15), "", VLOOKUP(B15,$N$24:$O$30, 2, FALSE))</f>
        <v>0.1</v>
      </c>
      <c r="F15">
        <v>0.2</v>
      </c>
      <c r="G15">
        <f t="shared" si="0"/>
        <v>30</v>
      </c>
      <c r="I15">
        <f t="shared" si="2"/>
        <v>600</v>
      </c>
      <c r="J15">
        <f>(0.0781 + (0.0075*G15)) * 10^-2</f>
        <v>3.0309999999999998E-3</v>
      </c>
      <c r="K15">
        <f>IF(ISBLANK(J15), "",$O$4)</f>
        <v>1.5714285714285714</v>
      </c>
      <c r="L15">
        <f>IF(ISBLANK(A15), "", I15*J15*K15/1000)</f>
        <v>2.8578000000000002E-3</v>
      </c>
      <c r="N15" s="2" t="s">
        <v>28</v>
      </c>
      <c r="O15" s="2">
        <v>6.4000000000000003E-3</v>
      </c>
    </row>
    <row r="16" spans="1:15">
      <c r="G16" t="str">
        <f t="shared" si="0"/>
        <v/>
      </c>
      <c r="I16" t="str">
        <f t="shared" si="2"/>
        <v/>
      </c>
      <c r="N16" s="2" t="s">
        <v>29</v>
      </c>
      <c r="O16" s="2">
        <v>2.5999999999999999E-3</v>
      </c>
    </row>
    <row r="17" spans="1:15">
      <c r="E17" t="str">
        <f t="shared" si="1"/>
        <v/>
      </c>
      <c r="G17" t="str">
        <f t="shared" si="0"/>
        <v/>
      </c>
      <c r="I17" t="str">
        <f t="shared" si="2"/>
        <v/>
      </c>
      <c r="K17" t="str">
        <f t="shared" si="3"/>
        <v/>
      </c>
      <c r="L17" t="str">
        <f t="shared" si="4"/>
        <v/>
      </c>
      <c r="N17" s="2" t="s">
        <v>30</v>
      </c>
      <c r="O17" s="2">
        <v>3.0000000000000001E-3</v>
      </c>
    </row>
    <row r="18" spans="1:15">
      <c r="E18" t="str">
        <f t="shared" si="1"/>
        <v/>
      </c>
      <c r="G18" t="str">
        <f t="shared" si="0"/>
        <v/>
      </c>
      <c r="I18" t="str">
        <f t="shared" si="2"/>
        <v/>
      </c>
      <c r="J18" t="s">
        <v>59</v>
      </c>
      <c r="K18">
        <f t="shared" si="3"/>
        <v>1.5714285714285714</v>
      </c>
      <c r="L18" t="str">
        <f t="shared" si="4"/>
        <v/>
      </c>
      <c r="N18" s="2" t="s">
        <v>31</v>
      </c>
      <c r="O18" s="10">
        <v>5.0000000000000001E-3</v>
      </c>
    </row>
    <row r="19" spans="1:15">
      <c r="E19" t="str">
        <f t="shared" si="1"/>
        <v/>
      </c>
      <c r="G19" t="str">
        <f t="shared" si="0"/>
        <v/>
      </c>
      <c r="I19" t="str">
        <f t="shared" si="2"/>
        <v/>
      </c>
      <c r="J19" t="s">
        <v>58</v>
      </c>
      <c r="N19" s="2"/>
      <c r="O19" s="10"/>
    </row>
    <row r="20" spans="1:15" ht="17">
      <c r="A20" s="3" t="s">
        <v>27</v>
      </c>
      <c r="B20" s="2" t="s">
        <v>39</v>
      </c>
      <c r="C20">
        <v>20</v>
      </c>
      <c r="D20">
        <v>300</v>
      </c>
      <c r="E20">
        <f>IF(ISBLANK(B20), "", VLOOKUP(B20,$N$24:$O$30, 2, FALSE))</f>
        <v>0.27</v>
      </c>
      <c r="G20">
        <f t="shared" si="0"/>
        <v>4.05</v>
      </c>
      <c r="I20">
        <f t="shared" si="2"/>
        <v>81</v>
      </c>
      <c r="J20">
        <f>MIN(((0.29 + (0.007*(EXP(0.037*G20) - 1)/G20)) * 10^-2), 0.0183)</f>
        <v>2.9027941231225501E-3</v>
      </c>
      <c r="K20">
        <f>IF(ISBLANK(J20), "",$O$4)</f>
        <v>1.5714285714285714</v>
      </c>
      <c r="L20">
        <f>IF(ISBLANK(A20), "", I20*J20*K20/1000)</f>
        <v>3.6948422338602751E-4</v>
      </c>
      <c r="N20" s="2" t="s">
        <v>29</v>
      </c>
      <c r="O20" s="2">
        <v>2.5999999999999999E-3</v>
      </c>
    </row>
    <row r="21" spans="1:15" ht="17">
      <c r="A21" s="3" t="s">
        <v>27</v>
      </c>
      <c r="B21" s="2" t="s">
        <v>38</v>
      </c>
      <c r="C21">
        <v>25</v>
      </c>
      <c r="D21">
        <v>350</v>
      </c>
      <c r="E21">
        <f>IF(ISBLANK(B21), "", VLOOKUP(B21,$N$24:$O$30, 2, FALSE))</f>
        <v>0.33700000000000002</v>
      </c>
      <c r="F21">
        <v>0.5</v>
      </c>
      <c r="G21">
        <f t="shared" si="0"/>
        <v>7</v>
      </c>
      <c r="I21">
        <f t="shared" si="2"/>
        <v>175</v>
      </c>
      <c r="J21">
        <f t="shared" ref="J21:J22" si="6">MIN(((0.29 + (0.007*(EXP(0.037*G21) - 1)/G21)) * 10^-2), 0.0183)</f>
        <v>2.9029563380482803E-3</v>
      </c>
      <c r="K21">
        <f>IF(ISBLANK(J21), "",$O$4)</f>
        <v>1.5714285714285714</v>
      </c>
      <c r="L21">
        <f>IF(ISBLANK(A21), "", I21*J21*K21/1000)</f>
        <v>7.9831299296327706E-4</v>
      </c>
      <c r="N21" s="2" t="s">
        <v>32</v>
      </c>
      <c r="O21" s="2">
        <v>1.8E-3</v>
      </c>
    </row>
    <row r="22" spans="1:15" ht="17">
      <c r="A22" s="3" t="s">
        <v>27</v>
      </c>
      <c r="B22" s="2" t="s">
        <v>38</v>
      </c>
      <c r="C22">
        <v>25</v>
      </c>
      <c r="D22">
        <v>22200</v>
      </c>
      <c r="E22">
        <f>IF(ISBLANK(B22), "", VLOOKUP(B22,$N$24:$O$30, 2, FALSE))</f>
        <v>0.33700000000000002</v>
      </c>
      <c r="G22">
        <f t="shared" si="0"/>
        <v>299.25600000000003</v>
      </c>
      <c r="I22">
        <f t="shared" ref="I22" si="7">IF(ISBLANK(B22), "", IF(ISNUMBER(F22), F22*D22, E22*D22))</f>
        <v>7481.4000000000005</v>
      </c>
      <c r="J22">
        <f t="shared" si="6"/>
        <v>1.7957813628911919E-2</v>
      </c>
      <c r="K22">
        <f>IF(ISBLANK(J22), "",$O$4)</f>
        <v>1.5714285714285714</v>
      </c>
      <c r="L22">
        <f>IF(ISBLANK(A22), "", I22*J22*K22/1000)</f>
        <v>0.21112077938810828</v>
      </c>
    </row>
    <row r="23" spans="1:15" ht="17">
      <c r="A23" s="3" t="s">
        <v>27</v>
      </c>
      <c r="B23" s="2" t="s">
        <v>38</v>
      </c>
      <c r="C23">
        <v>25</v>
      </c>
      <c r="D23">
        <v>22300</v>
      </c>
      <c r="E23">
        <f>IF(ISBLANK(B23), "", VLOOKUP(B23,$N$24:$O$30, 2, FALSE))</f>
        <v>0.33700000000000002</v>
      </c>
      <c r="G23">
        <f>IF(ISBLANK(C23), "", (IF(ISNUMBER(F23), F23, E23)*D23)/C23)</f>
        <v>300.60400000000004</v>
      </c>
      <c r="I23">
        <f t="shared" ref="I23" si="8">IF(ISBLANK(B23), "", IF(ISNUMBER(F23), F23*D23, E23*D23))</f>
        <v>7515.1</v>
      </c>
      <c r="J23">
        <f t="shared" ref="J23" si="9">MIN(((0.29 + (0.007*(EXP(0.037*G23) - 1)/G23)) * 10^-2), 0.0183)</f>
        <v>1.83E-2</v>
      </c>
      <c r="K23">
        <f>IF(ISBLANK(J23), "",$O$4)</f>
        <v>1.5714285714285714</v>
      </c>
      <c r="L23">
        <f>IF(ISBLANK(A23), "", I23*J23*K23/1000)</f>
        <v>0.21611280428571428</v>
      </c>
      <c r="N23" s="2" t="s">
        <v>11</v>
      </c>
    </row>
    <row r="24" spans="1:15">
      <c r="G24" t="str">
        <f t="shared" ref="G7:G25" si="10">IF(ISBLANK(C24), "", D24/C24)</f>
        <v/>
      </c>
      <c r="I24" t="str">
        <f t="shared" si="2"/>
        <v/>
      </c>
      <c r="N24" s="2" t="s">
        <v>18</v>
      </c>
      <c r="O24" s="2">
        <v>0.1</v>
      </c>
    </row>
    <row r="25" spans="1:15">
      <c r="G25" t="str">
        <f t="shared" si="10"/>
        <v/>
      </c>
      <c r="N25" s="2" t="s">
        <v>17</v>
      </c>
      <c r="O25" s="2">
        <v>0.18</v>
      </c>
    </row>
    <row r="26" spans="1:15">
      <c r="N26" s="2" t="s">
        <v>13</v>
      </c>
      <c r="O26" s="2">
        <v>0.46</v>
      </c>
    </row>
    <row r="27" spans="1:15">
      <c r="N27" s="2" t="s">
        <v>37</v>
      </c>
      <c r="O27" s="2">
        <v>0.21</v>
      </c>
    </row>
    <row r="28" spans="1:15">
      <c r="N28" s="2" t="s">
        <v>41</v>
      </c>
      <c r="O28" s="2">
        <v>0.32</v>
      </c>
    </row>
    <row r="29" spans="1:15">
      <c r="N29" s="2" t="s">
        <v>42</v>
      </c>
      <c r="O29" s="2">
        <v>0.33700000000000002</v>
      </c>
    </row>
    <row r="30" spans="1:15">
      <c r="N30" s="2" t="s">
        <v>43</v>
      </c>
      <c r="O30" s="2">
        <v>0.27</v>
      </c>
    </row>
  </sheetData>
  <mergeCells count="1">
    <mergeCell ref="O18:O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07551-4123-F246-A800-1F6169EF9022}">
  <dimension ref="A1:O33"/>
  <sheetViews>
    <sheetView workbookViewId="0">
      <selection activeCell="D6" sqref="D6"/>
    </sheetView>
  </sheetViews>
  <sheetFormatPr baseColWidth="10" defaultRowHeight="16"/>
  <cols>
    <col min="1" max="1" width="17.33203125" style="3" customWidth="1"/>
    <col min="2" max="3" width="26.6640625" customWidth="1"/>
    <col min="6" max="6" width="16.5" customWidth="1"/>
    <col min="12" max="12" width="12.1640625" bestFit="1" customWidth="1"/>
    <col min="14" max="14" width="36" customWidth="1"/>
  </cols>
  <sheetData>
    <row r="1" spans="1:15" ht="17">
      <c r="A1" s="3" t="s">
        <v>10</v>
      </c>
      <c r="I1" s="1" t="s">
        <v>50</v>
      </c>
      <c r="L1" s="1" t="s">
        <v>45</v>
      </c>
    </row>
    <row r="2" spans="1:15">
      <c r="I2" s="1"/>
      <c r="L2" s="1"/>
    </row>
    <row r="3" spans="1:15">
      <c r="I3" s="1"/>
      <c r="L3" s="1"/>
    </row>
    <row r="4" spans="1:15">
      <c r="I4" s="1"/>
      <c r="L4" s="1"/>
      <c r="N4" s="9" t="s">
        <v>54</v>
      </c>
    </row>
    <row r="5" spans="1:15">
      <c r="D5" t="s">
        <v>14</v>
      </c>
      <c r="I5" s="1"/>
      <c r="L5" s="1"/>
    </row>
    <row r="6" spans="1:15" ht="17">
      <c r="A6" s="6" t="s">
        <v>9</v>
      </c>
      <c r="B6" s="7" t="s">
        <v>8</v>
      </c>
      <c r="C6" s="7" t="s">
        <v>16</v>
      </c>
      <c r="D6" s="7" t="s">
        <v>5</v>
      </c>
      <c r="H6" t="s">
        <v>52</v>
      </c>
      <c r="I6" t="s">
        <v>49</v>
      </c>
      <c r="J6" t="s">
        <v>48</v>
      </c>
      <c r="K6" t="s">
        <v>47</v>
      </c>
      <c r="L6" s="8" t="s">
        <v>46</v>
      </c>
    </row>
    <row r="7" spans="1:15" ht="17">
      <c r="A7" s="3" t="s">
        <v>20</v>
      </c>
      <c r="B7" t="s">
        <v>13</v>
      </c>
      <c r="C7">
        <v>100</v>
      </c>
      <c r="D7">
        <v>50</v>
      </c>
      <c r="H7">
        <f>IF(ISBLANK(B7), "", VLOOKUP(B7,$N$27:$O$33, 2, FALSE))</f>
        <v>1</v>
      </c>
      <c r="I7">
        <f>IF(ISBLANK(B7), "", D7*H7)</f>
        <v>50</v>
      </c>
      <c r="J7">
        <f>IF(ISBLANK(A7), "", $O$9)</f>
        <v>0.2</v>
      </c>
      <c r="K7">
        <f>IF(ISBLANK(A7), "", $O$7)</f>
        <v>3.6666666666666665</v>
      </c>
      <c r="L7">
        <f>IF(ISBLANK(A7), "", I7*J7*K7/1000)</f>
        <v>3.6666666666666667E-2</v>
      </c>
      <c r="N7" t="s">
        <v>47</v>
      </c>
      <c r="O7">
        <f>44/12</f>
        <v>3.6666666666666665</v>
      </c>
    </row>
    <row r="8" spans="1:15" ht="17">
      <c r="A8" s="3" t="s">
        <v>21</v>
      </c>
      <c r="B8" s="2" t="s">
        <v>53</v>
      </c>
      <c r="C8">
        <v>100</v>
      </c>
      <c r="D8">
        <v>40</v>
      </c>
      <c r="H8">
        <f>IF(ISBLANK(B8), "", VLOOKUP(B8,$N$27:$O$33, 2, FALSE))</f>
        <v>0.35</v>
      </c>
      <c r="I8">
        <f>IF(ISBLANK(B8), "", D8*H8)</f>
        <v>14</v>
      </c>
      <c r="J8">
        <f t="shared" ref="J8:J11" si="0">IF(ISBLANK(A8), "", $O$9)</f>
        <v>0.2</v>
      </c>
      <c r="K8">
        <f t="shared" ref="K8:K11" si="1">IF(ISBLANK(A8), "", $O$7)</f>
        <v>3.6666666666666665</v>
      </c>
      <c r="L8">
        <f t="shared" ref="L8:L11" si="2">IF(ISBLANK(A8), "", I8*J8*K8/1000)</f>
        <v>1.0266666666666667E-2</v>
      </c>
    </row>
    <row r="9" spans="1:15">
      <c r="A9" s="2" t="s">
        <v>29</v>
      </c>
      <c r="B9" s="2" t="s">
        <v>37</v>
      </c>
      <c r="C9">
        <v>100</v>
      </c>
      <c r="D9">
        <v>30</v>
      </c>
      <c r="H9">
        <f>IF(ISBLANK(B9), "", VLOOKUP(B9,$N$27:$O$33, 2, FALSE))</f>
        <v>0</v>
      </c>
      <c r="I9">
        <f>IF(ISBLANK(B9), "", D9*H9)</f>
        <v>0</v>
      </c>
      <c r="J9">
        <f t="shared" si="0"/>
        <v>0.2</v>
      </c>
      <c r="K9">
        <f t="shared" si="1"/>
        <v>3.6666666666666665</v>
      </c>
      <c r="L9">
        <f t="shared" si="2"/>
        <v>0</v>
      </c>
      <c r="N9" t="s">
        <v>48</v>
      </c>
      <c r="O9">
        <v>0.2</v>
      </c>
    </row>
    <row r="10" spans="1:15">
      <c r="E10" t="str">
        <f t="shared" ref="E10:E11" si="3">IF(ISBLANK(B10), "", VLOOKUP(B10,$N$27:$O$33, 2, FALSE))</f>
        <v/>
      </c>
      <c r="I10" t="str">
        <f t="shared" ref="I10:I11" si="4">IF(ISBLANK(B10), "", D10*E10)</f>
        <v/>
      </c>
      <c r="J10" t="str">
        <f t="shared" si="0"/>
        <v/>
      </c>
      <c r="K10" t="str">
        <f t="shared" si="1"/>
        <v/>
      </c>
      <c r="L10" t="str">
        <f t="shared" si="2"/>
        <v/>
      </c>
      <c r="N10" s="2"/>
      <c r="O10" s="2"/>
    </row>
    <row r="11" spans="1:15">
      <c r="E11" t="str">
        <f t="shared" si="3"/>
        <v/>
      </c>
      <c r="I11" t="str">
        <f t="shared" si="4"/>
        <v/>
      </c>
      <c r="J11" t="str">
        <f t="shared" si="0"/>
        <v/>
      </c>
      <c r="K11" t="str">
        <f t="shared" si="1"/>
        <v/>
      </c>
      <c r="L11" t="str">
        <f t="shared" si="2"/>
        <v/>
      </c>
      <c r="N11" s="2"/>
      <c r="O11" s="2"/>
    </row>
    <row r="12" spans="1:15">
      <c r="A12" s="4"/>
      <c r="N12" s="2"/>
      <c r="O12" s="2"/>
    </row>
    <row r="13" spans="1:15">
      <c r="B13" s="2"/>
      <c r="N13" s="2"/>
      <c r="O13" s="2"/>
    </row>
    <row r="14" spans="1:15">
      <c r="N14" s="2"/>
      <c r="O14" s="2"/>
    </row>
    <row r="15" spans="1:15">
      <c r="N15" s="2"/>
      <c r="O15" s="2"/>
    </row>
    <row r="16" spans="1:15">
      <c r="N16" s="2"/>
      <c r="O16" s="2"/>
    </row>
    <row r="17" spans="2:15">
      <c r="B17" s="2"/>
      <c r="N17" s="2"/>
      <c r="O17" s="2"/>
    </row>
    <row r="18" spans="2:15">
      <c r="B18" s="2"/>
      <c r="N18" s="2"/>
      <c r="O18" s="2"/>
    </row>
    <row r="19" spans="2:15">
      <c r="N19" s="2"/>
      <c r="O19" s="2"/>
    </row>
    <row r="20" spans="2:15">
      <c r="N20" s="2"/>
      <c r="O20" s="2"/>
    </row>
    <row r="21" spans="2:15">
      <c r="N21" s="2"/>
      <c r="O21" s="10"/>
    </row>
    <row r="22" spans="2:15">
      <c r="N22" s="2"/>
      <c r="O22" s="10"/>
    </row>
    <row r="23" spans="2:15">
      <c r="B23" s="2"/>
      <c r="N23" s="2"/>
      <c r="O23" s="2"/>
    </row>
    <row r="24" spans="2:15">
      <c r="B24" s="2"/>
      <c r="N24" s="2"/>
      <c r="O24" s="2"/>
    </row>
    <row r="25" spans="2:15">
      <c r="G25" t="str">
        <f t="shared" ref="G25:G28" si="5">IF(ISBLANK(C25), "", D25/C25)</f>
        <v/>
      </c>
      <c r="I25" t="str">
        <f t="shared" ref="I25:I27" si="6">IF(ISBLANK(B25), "", IF(ISNUMBER(F25), F25*D25, E25*D25))</f>
        <v/>
      </c>
    </row>
    <row r="26" spans="2:15">
      <c r="G26" t="str">
        <f t="shared" si="5"/>
        <v/>
      </c>
      <c r="I26" t="str">
        <f t="shared" si="6"/>
        <v/>
      </c>
      <c r="N26" s="2" t="s">
        <v>51</v>
      </c>
    </row>
    <row r="27" spans="2:15">
      <c r="G27" t="str">
        <f t="shared" si="5"/>
        <v/>
      </c>
      <c r="I27" t="str">
        <f t="shared" si="6"/>
        <v/>
      </c>
      <c r="N27" s="2" t="s">
        <v>18</v>
      </c>
      <c r="O27" s="2">
        <v>0</v>
      </c>
    </row>
    <row r="28" spans="2:15">
      <c r="G28" t="str">
        <f t="shared" si="5"/>
        <v/>
      </c>
      <c r="N28" s="2" t="s">
        <v>17</v>
      </c>
      <c r="O28" s="2">
        <v>0</v>
      </c>
    </row>
    <row r="29" spans="2:15">
      <c r="N29" s="2" t="s">
        <v>13</v>
      </c>
      <c r="O29" s="2">
        <v>1</v>
      </c>
    </row>
    <row r="30" spans="2:15">
      <c r="N30" s="2" t="s">
        <v>40</v>
      </c>
      <c r="O30" s="2">
        <v>0</v>
      </c>
    </row>
    <row r="31" spans="2:15">
      <c r="N31" s="2" t="s">
        <v>41</v>
      </c>
      <c r="O31" s="2">
        <v>0.35</v>
      </c>
    </row>
    <row r="32" spans="2:15">
      <c r="N32" s="2" t="s">
        <v>42</v>
      </c>
      <c r="O32" s="2">
        <v>0</v>
      </c>
    </row>
    <row r="33" spans="14:15">
      <c r="N33" s="2" t="s">
        <v>43</v>
      </c>
      <c r="O33" s="2">
        <v>0</v>
      </c>
    </row>
  </sheetData>
  <mergeCells count="1">
    <mergeCell ref="O21:O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5.1.1.1</vt:lpstr>
      <vt:lpstr>5.1.1.3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Mack Cheesman</cp:lastModifiedBy>
  <dcterms:created xsi:type="dcterms:W3CDTF">2026-02-18T00:55:42Z</dcterms:created>
  <dcterms:modified xsi:type="dcterms:W3CDTF">2026-04-17T04:02:34Z</dcterms:modified>
</cp:coreProperties>
</file>