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C2009B18-BAE1-154B-A813-6ECEE66B5086}" xr6:coauthVersionLast="47" xr6:coauthVersionMax="47" xr10:uidLastSave="{00000000-0000-0000-0000-000000000000}"/>
  <bookViews>
    <workbookView xWindow="0" yWindow="660" windowWidth="30240" windowHeight="18980" activeTab="1" xr2:uid="{5678E890-3691-CF46-80E7-00FB1F103661}"/>
  </bookViews>
  <sheets>
    <sheet name="5.1.1.1" sheetId="1" r:id="rId1"/>
    <sheet name="5.1.1.3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2" l="1"/>
  <c r="P4" i="1"/>
  <c r="D20" i="1"/>
  <c r="D21" i="1"/>
  <c r="D22" i="1"/>
  <c r="D23" i="1"/>
  <c r="K23" i="1" s="1"/>
  <c r="C23" i="1"/>
  <c r="C21" i="1"/>
  <c r="C20" i="1"/>
  <c r="D14" i="1"/>
  <c r="D15" i="1"/>
  <c r="K15" i="1" s="1"/>
  <c r="C15" i="1"/>
  <c r="D11" i="1"/>
  <c r="K11" i="1" s="1"/>
  <c r="L11" i="1" s="1"/>
  <c r="D10" i="1"/>
  <c r="K10" i="1" s="1"/>
  <c r="C10" i="1"/>
  <c r="K22" i="1"/>
  <c r="K21" i="1"/>
  <c r="L21" i="1" s="1"/>
  <c r="K20" i="1"/>
  <c r="K14" i="1"/>
  <c r="F23" i="1"/>
  <c r="J23" i="1" s="1"/>
  <c r="F22" i="1"/>
  <c r="J22" i="1" s="1"/>
  <c r="K4" i="1"/>
  <c r="I9" i="2"/>
  <c r="I10" i="2"/>
  <c r="I11" i="2"/>
  <c r="I7" i="2"/>
  <c r="H8" i="2"/>
  <c r="I8" i="2" s="1"/>
  <c r="H9" i="2"/>
  <c r="E10" i="2"/>
  <c r="E11" i="2"/>
  <c r="K10" i="2"/>
  <c r="K11" i="2"/>
  <c r="J8" i="2"/>
  <c r="J9" i="2"/>
  <c r="J10" i="2"/>
  <c r="J11" i="2"/>
  <c r="J7" i="2"/>
  <c r="L10" i="2"/>
  <c r="L11" i="2"/>
  <c r="G28" i="2"/>
  <c r="I27" i="2"/>
  <c r="G27" i="2"/>
  <c r="I26" i="2"/>
  <c r="G26" i="2"/>
  <c r="I25" i="2"/>
  <c r="G25" i="2"/>
  <c r="H7" i="2"/>
  <c r="F21" i="1"/>
  <c r="J21" i="1" s="1"/>
  <c r="K6" i="1"/>
  <c r="L6" i="1" s="1"/>
  <c r="F15" i="1"/>
  <c r="J15" i="1" s="1"/>
  <c r="J11" i="1"/>
  <c r="J12" i="1"/>
  <c r="J13" i="1"/>
  <c r="J16" i="1"/>
  <c r="J17" i="1"/>
  <c r="J18" i="1"/>
  <c r="J19" i="1"/>
  <c r="J24" i="1"/>
  <c r="H24" i="1"/>
  <c r="H25" i="1"/>
  <c r="F11" i="1"/>
  <c r="J7" i="1"/>
  <c r="J8" i="1"/>
  <c r="J9" i="1"/>
  <c r="M7" i="1"/>
  <c r="M8" i="1"/>
  <c r="M17" i="1"/>
  <c r="M18" i="1"/>
  <c r="L7" i="1"/>
  <c r="L8" i="1"/>
  <c r="L17" i="1"/>
  <c r="F5" i="1"/>
  <c r="F6" i="1"/>
  <c r="J6" i="1" s="1"/>
  <c r="F7" i="1"/>
  <c r="F8" i="1"/>
  <c r="F9" i="1"/>
  <c r="F10" i="1"/>
  <c r="J10" i="1" s="1"/>
  <c r="F13" i="1"/>
  <c r="F14" i="1"/>
  <c r="J14" i="1" s="1"/>
  <c r="F17" i="1"/>
  <c r="F18" i="1"/>
  <c r="F19" i="1"/>
  <c r="F20" i="1"/>
  <c r="J20" i="1" s="1"/>
  <c r="F4" i="1"/>
  <c r="J4" i="1" s="1"/>
  <c r="K5" i="1"/>
  <c r="L4" i="1"/>
  <c r="K8" i="2" l="1"/>
  <c r="L8" i="2" s="1"/>
  <c r="K7" i="2"/>
  <c r="L7" i="2" s="1"/>
  <c r="K9" i="2"/>
  <c r="L9" i="2" s="1"/>
  <c r="L5" i="1"/>
  <c r="L18" i="1"/>
  <c r="L15" i="1"/>
  <c r="M15" i="1" s="1"/>
  <c r="M4" i="1"/>
  <c r="L10" i="1"/>
  <c r="M10" i="1" s="1"/>
  <c r="L22" i="1"/>
  <c r="M22" i="1" s="1"/>
  <c r="M21" i="1"/>
  <c r="M11" i="1"/>
  <c r="M6" i="1"/>
  <c r="L14" i="1"/>
  <c r="M14" i="1" s="1"/>
  <c r="J5" i="1"/>
  <c r="M5" i="1" s="1"/>
  <c r="L20" i="1"/>
  <c r="M20" i="1" s="1"/>
  <c r="L23" i="1" l="1"/>
  <c r="M23" i="1" s="1"/>
</calcChain>
</file>

<file path=xl/sharedStrings.xml><?xml version="1.0" encoding="utf-8"?>
<sst xmlns="http://schemas.openxmlformats.org/spreadsheetml/2006/main" count="98" uniqueCount="61">
  <si>
    <t>MNjf</t>
  </si>
  <si>
    <t>EFjn2o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</si>
  <si>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 xml:space="preserve">= ∑ ∑ (𝑀𝑁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𝑗,𝑁2𝑂</t>
    </r>
    <r>
      <rPr>
        <sz val="11"/>
        <color rgb="FF000000"/>
        <rFont val="Helvetica"/>
        <family val="2"/>
      </rPr>
      <t xml:space="preserve"> 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</si>
  <si>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Cn2o</t>
  </si>
  <si>
    <t>En2o</t>
  </si>
  <si>
    <t>TMjf</t>
  </si>
  <si>
    <r>
      <t xml:space="preserve">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= 𝑇𝑀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>× 𝐹𝑁</t>
    </r>
    <r>
      <rPr>
        <sz val="8"/>
        <color rgb="FF000000"/>
        <rFont val="Helvetica"/>
        <family val="2"/>
      </rPr>
      <t>𝑖𝑛𝑜𝑟𝑔𝑎𝑛𝑖𝑐,𝑓</t>
    </r>
  </si>
  <si>
    <t>Fnorganicf</t>
  </si>
  <si>
    <t>Type</t>
  </si>
  <si>
    <t>System</t>
  </si>
  <si>
    <t>Method 1</t>
  </si>
  <si>
    <t>Table A.2.2.6</t>
  </si>
  <si>
    <t>Custom Fnorganicf</t>
  </si>
  <si>
    <t>Urea</t>
  </si>
  <si>
    <t>Total mass applied</t>
  </si>
  <si>
    <t>Table A.2.2.3</t>
  </si>
  <si>
    <t>Area (hectares)</t>
  </si>
  <si>
    <t>Diammonium phosphate (DAP)</t>
  </si>
  <si>
    <t>Monoammonium phosphate (MAP)</t>
  </si>
  <si>
    <t>Diammonium Phosphate (DAP)</t>
  </si>
  <si>
    <t>Irrigated crop</t>
  </si>
  <si>
    <t>Irrigated pasture</t>
  </si>
  <si>
    <t>Non-irrigated pasture</t>
  </si>
  <si>
    <t>Sugar</t>
  </si>
  <si>
    <t>Cotton</t>
  </si>
  <si>
    <t>Horticultural crops</t>
  </si>
  <si>
    <t>Aquaculture</t>
  </si>
  <si>
    <t>Rice (continuous flooding)</t>
  </si>
  <si>
    <t>Rice (single and multiple drainage, or alternate wetting and drying)</t>
  </si>
  <si>
    <t>Forestry</t>
  </si>
  <si>
    <t>Irrigated crop (maize)</t>
  </si>
  <si>
    <t>Sulphate of Ammonia (SOA)</t>
  </si>
  <si>
    <t>Ammonium Nitrate (AN)</t>
  </si>
  <si>
    <t>Calcium Ammonium Nitrate (CAN)</t>
  </si>
  <si>
    <t>Sulphate of ammonia (SOA)</t>
  </si>
  <si>
    <t>Urea-ammonium nitrate (UAN)</t>
  </si>
  <si>
    <t>Ammonium nitrate (AN)</t>
  </si>
  <si>
    <t>Calcium ammonium nitrate (CAN)</t>
  </si>
  <si>
    <t>Monoammonium Phosphate (MAP)</t>
  </si>
  <si>
    <r>
      <t xml:space="preserve">𝐸 </t>
    </r>
    <r>
      <rPr>
        <sz val="8"/>
        <color rgb="FF000000"/>
        <rFont val="Helvetica"/>
        <family val="2"/>
      </rPr>
      <t xml:space="preserve">𝑗𝑓,𝐶𝑂2 </t>
    </r>
    <r>
      <rPr>
        <sz val="11"/>
        <color rgb="FF000000"/>
        <rFont val="Helvetica"/>
        <family val="2"/>
      </rPr>
      <t xml:space="preserve">= 𝑀𝑈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𝑢𝑟𝑒𝑎,𝐶𝑂2</t>
    </r>
    <r>
      <rPr>
        <sz val="11"/>
        <color rgb="FF000000"/>
        <rFont val="Helvetica"/>
        <family val="2"/>
      </rPr>
      <t xml:space="preserve"> × 𝐶</t>
    </r>
    <r>
      <rPr>
        <sz val="8"/>
        <color rgb="FF000000"/>
        <rFont val="Helvetica"/>
        <family val="2"/>
      </rPr>
      <t xml:space="preserve">𝐶𝑂2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</si>
  <si>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t>EjfCO2</t>
  </si>
  <si>
    <t>Cco2</t>
  </si>
  <si>
    <t>EFureaco2</t>
  </si>
  <si>
    <t>Mujf</t>
  </si>
  <si>
    <r>
      <t xml:space="preserve">𝑀𝑈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= 𝑇𝑀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𝐹𝑈 </t>
    </r>
    <r>
      <rPr>
        <sz val="8"/>
        <color rgb="FF000000"/>
        <rFont val="Helvetica"/>
        <family val="2"/>
      </rPr>
      <t>𝑓</t>
    </r>
  </si>
  <si>
    <t>Table A.2.2.7</t>
  </si>
  <si>
    <t>Fuf</t>
  </si>
  <si>
    <t>Urea-Ammonium Nitrate (UAN)</t>
  </si>
  <si>
    <t>Constants</t>
  </si>
  <si>
    <t>Total mass applied (kg)</t>
  </si>
  <si>
    <t>𝐸𝐹𝑓𝑗=𝑛𝑜𝑛𝑖𝑟𝑟𝑖𝑔𝑎𝑡𝑒𝑑𝑔𝑟𝑎𝑖𝑛𝑠,𝑁2𝑂 = (0.0781 + (0.0075 × 𝑁𝑓𝑗=𝑛𝑜𝑛𝑖𝑟𝑟𝑖𝑔𝑎𝑡𝑒𝑑𝑔𝑟𝑎𝑖𝑛𝑠)) × 10−2</t>
  </si>
  <si>
    <t>𝐸𝐹𝑓𝑗=𝑖𝑟𝑟𝑖𝑔𝑎𝑡𝑒𝑑𝑚𝑎𝑖𝑧𝑒,𝑁2𝑂 = (−0.1474 + (0.0061 × 𝑁𝑓𝑗=𝑖𝑟𝑟𝑖𝑔𝑎𝑡𝑒𝑑𝑚𝑎𝑖𝑧𝑒 )) × 10−2</t>
  </si>
  <si>
    <t>(0.29 + (0.007(𝑒^0.037×𝑁𝑓𝑗=𝑐𝑜𝑡𝑡𝑜𝑛 − 1)) / 𝑁𝑓𝑗=𝑐𝑜𝑡𝑡𝑜𝑛) × 10−2 (Capped at 0.0183)</t>
  </si>
  <si>
    <t>NOTE: I've removed the '0.01' term from below because I believe it is a mistake, confirmation of this is still pending.</t>
  </si>
  <si>
    <t>Application rate (kg / hectare)</t>
  </si>
  <si>
    <t>Non-irrigated crop (high rainfall)</t>
  </si>
  <si>
    <t>Non-irrigated crop (low rainfall)</t>
  </si>
  <si>
    <t>Application area</t>
  </si>
  <si>
    <t>Method 2 maize</t>
  </si>
  <si>
    <t>Method 2 grains</t>
  </si>
  <si>
    <t>Method 2 cotton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</si>
</sst>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000000"/>
  </numFmts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164" fontId="0" fillId="0" borderId="0" xfId="0" applyNumberFormat="1"/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6" fillId="0" borderId="0" xfId="0" applyFont="1"/>
    <xf numFmtId="165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on"/>
    </sheetNames>
    <definedNames>
      <definedName name="common_cco2" refersTo="='common'!$B$2"/>
      <definedName name="common_cn2o" refersTo="='common'!$B$4"/>
    </definedNames>
    <sheetDataSet>
      <sheetData sheetId="0">
        <row r="2">
          <cell r="B2">
            <v>3.67</v>
          </cell>
        </row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P30"/>
  <sheetViews>
    <sheetView workbookViewId="0">
      <selection activeCell="A19" sqref="A19"/>
    </sheetView>
  </sheetViews>
  <sheetFormatPr baseColWidth="10" defaultRowHeight="16"/>
  <cols>
    <col min="1" max="1" width="17.33203125" style="3" customWidth="1"/>
    <col min="2" max="4" width="26.6640625" customWidth="1"/>
    <col min="7" max="7" width="16.5" customWidth="1"/>
    <col min="11" max="11" width="18.1640625" customWidth="1"/>
    <col min="13" max="13" width="12.6640625" bestFit="1" customWidth="1"/>
    <col min="15" max="15" width="36" customWidth="1"/>
  </cols>
  <sheetData>
    <row r="1" spans="1:16" ht="17">
      <c r="A1" s="3" t="s">
        <v>10</v>
      </c>
      <c r="J1" s="1" t="s">
        <v>6</v>
      </c>
      <c r="M1" s="1" t="s">
        <v>2</v>
      </c>
    </row>
    <row r="2" spans="1:16">
      <c r="E2" t="s">
        <v>49</v>
      </c>
      <c r="J2" s="1"/>
      <c r="M2" s="1"/>
    </row>
    <row r="3" spans="1:16" ht="17">
      <c r="A3" s="6" t="s">
        <v>9</v>
      </c>
      <c r="B3" s="7" t="s">
        <v>8</v>
      </c>
      <c r="C3" s="7" t="s">
        <v>57</v>
      </c>
      <c r="D3" t="s">
        <v>54</v>
      </c>
      <c r="E3" s="7" t="s">
        <v>5</v>
      </c>
      <c r="F3" t="s">
        <v>7</v>
      </c>
      <c r="G3" s="7" t="s">
        <v>12</v>
      </c>
      <c r="J3" t="s">
        <v>0</v>
      </c>
      <c r="K3" t="s">
        <v>1</v>
      </c>
      <c r="L3" t="s">
        <v>3</v>
      </c>
      <c r="M3" s="8" t="s">
        <v>4</v>
      </c>
      <c r="O3" s="9" t="s">
        <v>48</v>
      </c>
    </row>
    <row r="4" spans="1:16" ht="17">
      <c r="A4" s="3" t="s">
        <v>20</v>
      </c>
      <c r="B4" t="s">
        <v>13</v>
      </c>
      <c r="E4">
        <v>50</v>
      </c>
      <c r="F4">
        <f>IF(ISBLANK(B4), "", VLOOKUP(B4,$O$24:$P$30, 2, FALSE))</f>
        <v>0.46</v>
      </c>
      <c r="J4">
        <f>IF(ISBLANK(B4), "", IF(ISNUMBER(G4), G4*E4, F4*E4))</f>
        <v>23</v>
      </c>
      <c r="K4">
        <f>VLOOKUP(A4, $O$7:$P$19,2, FALSE)</f>
        <v>7.0000000000000001E-3</v>
      </c>
      <c r="L4">
        <f>$P$4</f>
        <v>1.57</v>
      </c>
      <c r="M4" s="10">
        <f>J4*K4*L4/1000</f>
        <v>2.5276999999999998E-4</v>
      </c>
      <c r="O4" t="s">
        <v>3</v>
      </c>
      <c r="P4">
        <f>[1]!common_cn2o</f>
        <v>1.57</v>
      </c>
    </row>
    <row r="5" spans="1:16" ht="17">
      <c r="A5" s="3" t="s">
        <v>21</v>
      </c>
      <c r="B5" t="s">
        <v>19</v>
      </c>
      <c r="E5">
        <v>40</v>
      </c>
      <c r="F5">
        <f t="shared" ref="F5:F19" si="0">IF(ISBLANK(B5), "", VLOOKUP(B5,$O$24:$P$30, 2, FALSE))</f>
        <v>0.18</v>
      </c>
      <c r="J5">
        <f t="shared" ref="J5:J24" si="1">IF(ISBLANK(B5), "", IF(ISNUMBER(G5), G5*E5, F5*E5))</f>
        <v>7.1999999999999993</v>
      </c>
      <c r="K5">
        <f>VLOOKUP(A5, $O$7:$P$19,2, FALSE)</f>
        <v>5.8999999999999999E-3</v>
      </c>
      <c r="L5">
        <f>IF(ISBLANK(K5), "",$P$4)</f>
        <v>1.57</v>
      </c>
      <c r="M5">
        <f>IF(ISBLANK(A5), "", J5*K5*L5/1000)</f>
        <v>6.6693599999999994E-5</v>
      </c>
    </row>
    <row r="6" spans="1:16">
      <c r="A6" s="2" t="s">
        <v>26</v>
      </c>
      <c r="B6" s="2" t="s">
        <v>31</v>
      </c>
      <c r="C6" s="2"/>
      <c r="E6">
        <v>30</v>
      </c>
      <c r="F6">
        <f t="shared" si="0"/>
        <v>0.21</v>
      </c>
      <c r="G6">
        <v>0.25</v>
      </c>
      <c r="J6">
        <f t="shared" si="1"/>
        <v>7.5</v>
      </c>
      <c r="K6">
        <f>VLOOKUP(A6, $O$7:$P$19,2, FALSE)</f>
        <v>2.5999999999999999E-3</v>
      </c>
      <c r="L6">
        <f>IF(ISBLANK(K6), "",$P$4)</f>
        <v>1.57</v>
      </c>
      <c r="M6">
        <f>IF(ISBLANK(A6), "", J6*K6*L6/1000)</f>
        <v>3.0614999999999997E-5</v>
      </c>
      <c r="O6" t="s">
        <v>15</v>
      </c>
    </row>
    <row r="7" spans="1:16">
      <c r="F7" t="str">
        <f t="shared" si="0"/>
        <v/>
      </c>
      <c r="J7" t="str">
        <f t="shared" si="1"/>
        <v/>
      </c>
      <c r="L7" t="str">
        <f t="shared" ref="L7:L18" si="2">IF(ISBLANK(K7), "",$P$4)</f>
        <v/>
      </c>
      <c r="M7" t="str">
        <f t="shared" ref="M7:M18" si="3">IF(ISBLANK(A7), "", J7*K7*L7/1000)</f>
        <v/>
      </c>
      <c r="O7" s="2" t="s">
        <v>21</v>
      </c>
      <c r="P7" s="2">
        <v>5.8999999999999999E-3</v>
      </c>
    </row>
    <row r="8" spans="1:16">
      <c r="F8" t="str">
        <f t="shared" si="0"/>
        <v/>
      </c>
      <c r="J8" t="str">
        <f t="shared" si="1"/>
        <v/>
      </c>
      <c r="L8" t="str">
        <f t="shared" si="2"/>
        <v/>
      </c>
      <c r="M8" t="str">
        <f t="shared" si="3"/>
        <v/>
      </c>
      <c r="O8" s="2" t="s">
        <v>20</v>
      </c>
      <c r="P8" s="2">
        <v>7.0000000000000001E-3</v>
      </c>
    </row>
    <row r="9" spans="1:16" ht="17">
      <c r="A9" s="4" t="s">
        <v>58</v>
      </c>
      <c r="F9" t="str">
        <f t="shared" si="0"/>
        <v/>
      </c>
      <c r="J9" t="str">
        <f t="shared" si="1"/>
        <v/>
      </c>
      <c r="K9" s="1" t="s">
        <v>51</v>
      </c>
      <c r="O9" s="2" t="s">
        <v>22</v>
      </c>
      <c r="P9" s="2">
        <v>1.8E-3</v>
      </c>
    </row>
    <row r="10" spans="1:16" ht="34">
      <c r="A10" s="3" t="s">
        <v>30</v>
      </c>
      <c r="B10" s="2" t="s">
        <v>31</v>
      </c>
      <c r="C10" s="2">
        <f>175</f>
        <v>175</v>
      </c>
      <c r="D10">
        <f>E10/C10</f>
        <v>40</v>
      </c>
      <c r="E10">
        <v>7000</v>
      </c>
      <c r="F10">
        <f t="shared" si="0"/>
        <v>0.21</v>
      </c>
      <c r="J10">
        <f t="shared" si="1"/>
        <v>1470</v>
      </c>
      <c r="K10">
        <f>(-0.1474 + (0.0061 * D10)) * 10^-2</f>
        <v>9.6600000000000017E-4</v>
      </c>
      <c r="L10">
        <f t="shared" si="2"/>
        <v>1.57</v>
      </c>
      <c r="M10" s="5">
        <f>IF(ISBLANK(A10), "", J10*K10*L10/1000)</f>
        <v>2.2294314000000006E-3</v>
      </c>
      <c r="O10" s="2" t="s">
        <v>56</v>
      </c>
      <c r="P10" s="2">
        <v>2.8999999999999998E-3</v>
      </c>
    </row>
    <row r="11" spans="1:16" ht="34">
      <c r="A11" s="3" t="s">
        <v>30</v>
      </c>
      <c r="B11" t="s">
        <v>13</v>
      </c>
      <c r="C11">
        <v>85</v>
      </c>
      <c r="D11">
        <f>E11/C11</f>
        <v>35.294117647058826</v>
      </c>
      <c r="E11">
        <v>3000</v>
      </c>
      <c r="F11">
        <f t="shared" si="0"/>
        <v>0.46</v>
      </c>
      <c r="G11">
        <v>0.4</v>
      </c>
      <c r="J11">
        <f t="shared" si="1"/>
        <v>1200</v>
      </c>
      <c r="K11">
        <f>(-0.1474 + (0.0061 * D11)) * 10^-2</f>
        <v>6.7894117647058854E-4</v>
      </c>
      <c r="L11">
        <f t="shared" si="2"/>
        <v>1.57</v>
      </c>
      <c r="M11" s="5">
        <f t="shared" ref="M11" si="4">IF(ISBLANK(A11), "", J11*K11*L11/1000)</f>
        <v>1.2791251764705889E-3</v>
      </c>
      <c r="O11" s="2" t="s">
        <v>55</v>
      </c>
      <c r="P11" s="2">
        <v>8.0000000000000002E-3</v>
      </c>
    </row>
    <row r="12" spans="1:16">
      <c r="J12" t="str">
        <f t="shared" si="1"/>
        <v/>
      </c>
      <c r="O12" s="2" t="s">
        <v>23</v>
      </c>
      <c r="P12" s="2">
        <v>1.9900000000000001E-2</v>
      </c>
    </row>
    <row r="13" spans="1:16" ht="17">
      <c r="A13" s="4" t="s">
        <v>59</v>
      </c>
      <c r="F13" t="str">
        <f t="shared" si="0"/>
        <v/>
      </c>
      <c r="J13" t="str">
        <f t="shared" si="1"/>
        <v/>
      </c>
      <c r="K13" s="1" t="s">
        <v>50</v>
      </c>
      <c r="O13" s="2" t="s">
        <v>24</v>
      </c>
      <c r="P13" s="2">
        <v>5.3E-3</v>
      </c>
    </row>
    <row r="14" spans="1:16" ht="34">
      <c r="A14" s="3" t="s">
        <v>55</v>
      </c>
      <c r="B14" s="2" t="s">
        <v>32</v>
      </c>
      <c r="C14" s="2">
        <v>100</v>
      </c>
      <c r="D14">
        <f t="shared" ref="D14:D23" si="5">E14/C14</f>
        <v>50</v>
      </c>
      <c r="E14">
        <v>5000</v>
      </c>
      <c r="F14">
        <f>IF(ISBLANK(B14), "", VLOOKUP(B14,$O$24:$P$30, 2, FALSE))</f>
        <v>0.33700000000000002</v>
      </c>
      <c r="J14">
        <f t="shared" si="1"/>
        <v>1685</v>
      </c>
      <c r="K14">
        <f>(0.0781 + (0.0075*D14)) * 10^-2</f>
        <v>4.5310000000000003E-3</v>
      </c>
      <c r="L14">
        <f>IF(ISBLANK(K14), "",$P$4)</f>
        <v>1.57</v>
      </c>
      <c r="M14">
        <f>IF(ISBLANK(A14), "", J14*K14*L14/1000)</f>
        <v>1.1986533950000001E-2</v>
      </c>
      <c r="O14" s="2" t="s">
        <v>25</v>
      </c>
      <c r="P14" s="2">
        <v>6.4000000000000003E-3</v>
      </c>
    </row>
    <row r="15" spans="1:16" ht="34">
      <c r="A15" s="3" t="s">
        <v>55</v>
      </c>
      <c r="B15" s="2" t="s">
        <v>38</v>
      </c>
      <c r="C15" s="2">
        <f>3000 / 20</f>
        <v>150</v>
      </c>
      <c r="D15">
        <f t="shared" si="5"/>
        <v>20</v>
      </c>
      <c r="E15">
        <v>3000</v>
      </c>
      <c r="F15">
        <f>IF(ISBLANK(B15), "", VLOOKUP(B15,$O$24:$P$30, 2, FALSE))</f>
        <v>0.1</v>
      </c>
      <c r="G15">
        <v>0.2</v>
      </c>
      <c r="J15">
        <f t="shared" si="1"/>
        <v>600</v>
      </c>
      <c r="K15">
        <f>(0.0781 + (0.0075*D15)) * 10^-2</f>
        <v>2.281E-3</v>
      </c>
      <c r="L15">
        <f>IF(ISBLANK(K15), "",$P$4)</f>
        <v>1.57</v>
      </c>
      <c r="M15">
        <f>IF(ISBLANK(A15), "", J15*K15*L15/1000)</f>
        <v>2.1487020000000002E-3</v>
      </c>
      <c r="O15" s="2" t="s">
        <v>26</v>
      </c>
      <c r="P15" s="2">
        <v>2.5999999999999999E-3</v>
      </c>
    </row>
    <row r="16" spans="1:16">
      <c r="J16" t="str">
        <f t="shared" si="1"/>
        <v/>
      </c>
      <c r="O16" s="2" t="s">
        <v>27</v>
      </c>
      <c r="P16" s="2">
        <v>3.0000000000000001E-3</v>
      </c>
    </row>
    <row r="17" spans="1:16">
      <c r="F17" t="str">
        <f t="shared" si="0"/>
        <v/>
      </c>
      <c r="J17" t="str">
        <f t="shared" si="1"/>
        <v/>
      </c>
      <c r="L17" t="str">
        <f t="shared" si="2"/>
        <v/>
      </c>
      <c r="M17" t="str">
        <f t="shared" si="3"/>
        <v/>
      </c>
      <c r="O17" s="2" t="s">
        <v>28</v>
      </c>
      <c r="P17" s="2">
        <v>5.0000000000000001E-3</v>
      </c>
    </row>
    <row r="18" spans="1:16">
      <c r="F18" t="str">
        <f t="shared" si="0"/>
        <v/>
      </c>
      <c r="J18" t="str">
        <f t="shared" si="1"/>
        <v/>
      </c>
      <c r="K18" t="s">
        <v>53</v>
      </c>
      <c r="L18">
        <f t="shared" si="2"/>
        <v>1.57</v>
      </c>
      <c r="M18" t="str">
        <f t="shared" si="3"/>
        <v/>
      </c>
      <c r="O18" s="2" t="s">
        <v>26</v>
      </c>
      <c r="P18" s="2">
        <v>2.5999999999999999E-3</v>
      </c>
    </row>
    <row r="19" spans="1:16" ht="17">
      <c r="A19" s="4" t="s">
        <v>60</v>
      </c>
      <c r="F19" t="str">
        <f t="shared" si="0"/>
        <v/>
      </c>
      <c r="J19" t="str">
        <f t="shared" si="1"/>
        <v/>
      </c>
      <c r="K19" t="s">
        <v>52</v>
      </c>
      <c r="O19" s="2" t="s">
        <v>29</v>
      </c>
      <c r="P19" s="2">
        <v>1.8E-3</v>
      </c>
    </row>
    <row r="20" spans="1:16" ht="17">
      <c r="A20" s="3" t="s">
        <v>24</v>
      </c>
      <c r="B20" s="2" t="s">
        <v>33</v>
      </c>
      <c r="C20" s="2">
        <f>300 / 20</f>
        <v>15</v>
      </c>
      <c r="D20">
        <f t="shared" si="5"/>
        <v>20</v>
      </c>
      <c r="E20">
        <v>300</v>
      </c>
      <c r="F20">
        <f>IF(ISBLANK(B20), "", VLOOKUP(B20,$O$24:$P$30, 2, FALSE))</f>
        <v>0.27</v>
      </c>
      <c r="J20">
        <f t="shared" si="1"/>
        <v>81</v>
      </c>
      <c r="K20">
        <f>MIN(((0.29 + (0.007*(EXP(0.037*D20) - 1)/D20)) * 10^-2), 0.0183)</f>
        <v>2.9038357743007299E-3</v>
      </c>
      <c r="L20">
        <f>IF(ISBLANK(K20), "",$P$4)</f>
        <v>1.57</v>
      </c>
      <c r="M20">
        <f>IF(ISBLANK(A20), "", J20*K20*L20/1000)</f>
        <v>3.6928079541782383E-4</v>
      </c>
    </row>
    <row r="21" spans="1:16" ht="17">
      <c r="A21" s="3" t="s">
        <v>24</v>
      </c>
      <c r="B21" s="2" t="s">
        <v>32</v>
      </c>
      <c r="C21" s="2">
        <f>350/25</f>
        <v>14</v>
      </c>
      <c r="D21">
        <f t="shared" si="5"/>
        <v>25</v>
      </c>
      <c r="E21">
        <v>350</v>
      </c>
      <c r="F21">
        <f>IF(ISBLANK(B21), "", VLOOKUP(B21,$O$24:$P$30, 2, FALSE))</f>
        <v>0.33700000000000002</v>
      </c>
      <c r="G21">
        <v>0.5</v>
      </c>
      <c r="J21">
        <f t="shared" si="1"/>
        <v>175</v>
      </c>
      <c r="K21">
        <f>MIN(((0.29 + (0.007*(EXP(0.037*D21) - 1)/D21)) * 10^-2), 0.0183)</f>
        <v>2.9042612311290027E-3</v>
      </c>
      <c r="L21">
        <f>IF(ISBLANK(K21), "",$P$4)</f>
        <v>1.57</v>
      </c>
      <c r="M21">
        <f>IF(ISBLANK(A21), "", J21*K21*L21/1000)</f>
        <v>7.9794577325269353E-4</v>
      </c>
    </row>
    <row r="22" spans="1:16" ht="17">
      <c r="A22" s="3" t="s">
        <v>24</v>
      </c>
      <c r="B22" s="2" t="s">
        <v>13</v>
      </c>
      <c r="C22" s="2">
        <v>800</v>
      </c>
      <c r="D22">
        <f t="shared" si="5"/>
        <v>27.75</v>
      </c>
      <c r="E22">
        <v>22200</v>
      </c>
      <c r="F22">
        <f>IF(ISBLANK(B22), "", VLOOKUP(B22,$O$24:$P$30, 2, FALSE))</f>
        <v>0.46</v>
      </c>
      <c r="J22">
        <f t="shared" ref="J22" si="6">IF(ISBLANK(B22), "", IF(ISNUMBER(G22), G22*E22, F22*E22))</f>
        <v>10212</v>
      </c>
      <c r="K22">
        <f>MIN(((0.29 + (0.007*(EXP(0.037*D22) - 1)/D22)) * 10^-2), 0.0183)</f>
        <v>2.9045203027153032E-3</v>
      </c>
      <c r="L22">
        <f>IF(ISBLANK(K22), "",$P$4)</f>
        <v>1.57</v>
      </c>
      <c r="M22">
        <f>IF(ISBLANK(A22), "", J22*K22*L22/1000)</f>
        <v>4.6567709290186027E-2</v>
      </c>
    </row>
    <row r="23" spans="1:16" ht="17">
      <c r="A23" s="3" t="s">
        <v>24</v>
      </c>
      <c r="B23" s="2" t="s">
        <v>32</v>
      </c>
      <c r="C23" s="2">
        <f>22300/25</f>
        <v>892</v>
      </c>
      <c r="D23">
        <f t="shared" si="5"/>
        <v>25</v>
      </c>
      <c r="E23">
        <v>22300</v>
      </c>
      <c r="F23">
        <f>IF(ISBLANK(B23), "", VLOOKUP(B23,$O$24:$P$30, 2, FALSE))</f>
        <v>0.33700000000000002</v>
      </c>
      <c r="J23">
        <f t="shared" ref="J23" si="7">IF(ISBLANK(B23), "", IF(ISNUMBER(G23), G23*E23, F23*E23))</f>
        <v>7515.1</v>
      </c>
      <c r="K23">
        <f>MIN(((0.29 + (0.007*(EXP(0.037*D23) - 1)/D23)) * 10^-2), 0.0183)</f>
        <v>2.9042612311290027E-3</v>
      </c>
      <c r="L23">
        <f>IF(ISBLANK(K23), "",$P$4)</f>
        <v>1.57</v>
      </c>
      <c r="M23">
        <f>IF(ISBLANK(A23), "", J23*K23*L23/1000)</f>
        <v>3.4266527317550387E-2</v>
      </c>
      <c r="O23" s="2" t="s">
        <v>11</v>
      </c>
    </row>
    <row r="24" spans="1:16">
      <c r="H24" t="str">
        <f t="shared" ref="H24:H25" si="8">IF(ISBLANK(D24), "", E24/D24)</f>
        <v/>
      </c>
      <c r="J24" t="str">
        <f t="shared" si="1"/>
        <v/>
      </c>
      <c r="O24" s="2" t="s">
        <v>18</v>
      </c>
      <c r="P24" s="2">
        <v>0.1</v>
      </c>
    </row>
    <row r="25" spans="1:16">
      <c r="H25" t="str">
        <f t="shared" si="8"/>
        <v/>
      </c>
      <c r="O25" s="2" t="s">
        <v>17</v>
      </c>
      <c r="P25" s="2">
        <v>0.18</v>
      </c>
    </row>
    <row r="26" spans="1:16">
      <c r="O26" s="2" t="s">
        <v>13</v>
      </c>
      <c r="P26" s="2">
        <v>0.46</v>
      </c>
    </row>
    <row r="27" spans="1:16">
      <c r="O27" s="2" t="s">
        <v>31</v>
      </c>
      <c r="P27" s="2">
        <v>0.21</v>
      </c>
    </row>
    <row r="28" spans="1:16">
      <c r="O28" s="2" t="s">
        <v>35</v>
      </c>
      <c r="P28" s="2">
        <v>0.32</v>
      </c>
    </row>
    <row r="29" spans="1:16">
      <c r="O29" s="2" t="s">
        <v>36</v>
      </c>
      <c r="P29" s="2">
        <v>0.33700000000000002</v>
      </c>
    </row>
    <row r="30" spans="1:16">
      <c r="O30" s="2" t="s">
        <v>37</v>
      </c>
      <c r="P30" s="2">
        <v>0.27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7551-4123-F246-A800-1F6169EF9022}">
  <dimension ref="A1:O33"/>
  <sheetViews>
    <sheetView tabSelected="1" workbookViewId="0">
      <selection activeCell="B20" sqref="B20"/>
    </sheetView>
  </sheetViews>
  <sheetFormatPr baseColWidth="10" defaultRowHeight="16"/>
  <cols>
    <col min="1" max="1" width="17.33203125" style="3" customWidth="1"/>
    <col min="2" max="3" width="26.6640625" customWidth="1"/>
    <col min="6" max="6" width="16.5" customWidth="1"/>
    <col min="12" max="12" width="12.1640625" bestFit="1" customWidth="1"/>
    <col min="14" max="14" width="36" customWidth="1"/>
  </cols>
  <sheetData>
    <row r="1" spans="1:15" ht="17">
      <c r="A1" s="3" t="s">
        <v>10</v>
      </c>
      <c r="I1" s="1" t="s">
        <v>44</v>
      </c>
      <c r="L1" s="1" t="s">
        <v>39</v>
      </c>
    </row>
    <row r="2" spans="1:15">
      <c r="I2" s="1"/>
      <c r="L2" s="1"/>
    </row>
    <row r="3" spans="1:15">
      <c r="I3" s="1"/>
      <c r="L3" s="1"/>
    </row>
    <row r="4" spans="1:15">
      <c r="I4" s="1"/>
      <c r="L4" s="1"/>
      <c r="N4" s="9" t="s">
        <v>48</v>
      </c>
    </row>
    <row r="5" spans="1:15">
      <c r="D5" t="s">
        <v>14</v>
      </c>
      <c r="I5" s="1"/>
      <c r="L5" s="1"/>
    </row>
    <row r="6" spans="1:15" ht="17">
      <c r="A6" s="6" t="s">
        <v>9</v>
      </c>
      <c r="B6" s="7" t="s">
        <v>8</v>
      </c>
      <c r="C6" s="7" t="s">
        <v>16</v>
      </c>
      <c r="D6" s="7" t="s">
        <v>5</v>
      </c>
      <c r="H6" t="s">
        <v>46</v>
      </c>
      <c r="I6" t="s">
        <v>43</v>
      </c>
      <c r="J6" t="s">
        <v>42</v>
      </c>
      <c r="K6" t="s">
        <v>41</v>
      </c>
      <c r="L6" s="8" t="s">
        <v>40</v>
      </c>
    </row>
    <row r="7" spans="1:15" ht="17">
      <c r="A7" s="3" t="s">
        <v>20</v>
      </c>
      <c r="B7" t="s">
        <v>13</v>
      </c>
      <c r="C7">
        <v>100</v>
      </c>
      <c r="D7">
        <v>50</v>
      </c>
      <c r="H7">
        <f>IF(ISBLANK(B7), "", VLOOKUP(B7,$N$27:$O$33, 2, FALSE))</f>
        <v>1</v>
      </c>
      <c r="I7">
        <f>IF(ISBLANK(B7), "", D7*H7)</f>
        <v>50</v>
      </c>
      <c r="J7">
        <f>IF(ISBLANK(A7), "", $O$9)</f>
        <v>0.2</v>
      </c>
      <c r="K7">
        <f>IF(ISBLANK(A7), "", $O$7)</f>
        <v>3.67</v>
      </c>
      <c r="L7">
        <f>IF(ISBLANK(A7), "", I7*J7*K7/1000)</f>
        <v>3.6700000000000003E-2</v>
      </c>
      <c r="N7" t="s">
        <v>41</v>
      </c>
      <c r="O7">
        <f>[1]!common_cco2</f>
        <v>3.67</v>
      </c>
    </row>
    <row r="8" spans="1:15" ht="17">
      <c r="A8" s="3" t="s">
        <v>21</v>
      </c>
      <c r="B8" s="2" t="s">
        <v>47</v>
      </c>
      <c r="C8">
        <v>100</v>
      </c>
      <c r="D8">
        <v>40</v>
      </c>
      <c r="H8">
        <f>IF(ISBLANK(B8), "", VLOOKUP(B8,$N$27:$O$33, 2, FALSE))</f>
        <v>0.35</v>
      </c>
      <c r="I8">
        <f>IF(ISBLANK(B8), "", D8*H8)</f>
        <v>14</v>
      </c>
      <c r="J8">
        <f t="shared" ref="J8:J11" si="0">IF(ISBLANK(A8), "", $O$9)</f>
        <v>0.2</v>
      </c>
      <c r="K8">
        <f t="shared" ref="K8:K11" si="1">IF(ISBLANK(A8), "", $O$7)</f>
        <v>3.67</v>
      </c>
      <c r="L8">
        <f t="shared" ref="L8:L11" si="2">IF(ISBLANK(A8), "", I8*J8*K8/1000)</f>
        <v>1.0276000000000002E-2</v>
      </c>
    </row>
    <row r="9" spans="1:15">
      <c r="A9" s="2" t="s">
        <v>26</v>
      </c>
      <c r="B9" s="2" t="s">
        <v>31</v>
      </c>
      <c r="C9">
        <v>100</v>
      </c>
      <c r="D9">
        <v>30</v>
      </c>
      <c r="H9">
        <f>IF(ISBLANK(B9), "", VLOOKUP(B9,$N$27:$O$33, 2, FALSE))</f>
        <v>0</v>
      </c>
      <c r="I9">
        <f>IF(ISBLANK(B9), "", D9*H9)</f>
        <v>0</v>
      </c>
      <c r="J9">
        <f t="shared" si="0"/>
        <v>0.2</v>
      </c>
      <c r="K9">
        <f t="shared" si="1"/>
        <v>3.67</v>
      </c>
      <c r="L9">
        <f t="shared" si="2"/>
        <v>0</v>
      </c>
      <c r="N9" t="s">
        <v>42</v>
      </c>
      <c r="O9">
        <v>0.2</v>
      </c>
    </row>
    <row r="10" spans="1:15">
      <c r="E10" t="str">
        <f t="shared" ref="E10:E11" si="3">IF(ISBLANK(B10), "", VLOOKUP(B10,$N$27:$O$33, 2, FALSE))</f>
        <v/>
      </c>
      <c r="I10" t="str">
        <f t="shared" ref="I10:I11" si="4">IF(ISBLANK(B10), "", D10*E10)</f>
        <v/>
      </c>
      <c r="J10" t="str">
        <f t="shared" si="0"/>
        <v/>
      </c>
      <c r="K10" t="str">
        <f t="shared" si="1"/>
        <v/>
      </c>
      <c r="L10" t="str">
        <f t="shared" si="2"/>
        <v/>
      </c>
      <c r="N10" s="2"/>
      <c r="O10" s="2"/>
    </row>
    <row r="11" spans="1:15">
      <c r="E11" t="str">
        <f t="shared" si="3"/>
        <v/>
      </c>
      <c r="I11" t="str">
        <f t="shared" si="4"/>
        <v/>
      </c>
      <c r="J11" t="str">
        <f t="shared" si="0"/>
        <v/>
      </c>
      <c r="K11" t="str">
        <f t="shared" si="1"/>
        <v/>
      </c>
      <c r="L11" t="str">
        <f t="shared" si="2"/>
        <v/>
      </c>
      <c r="N11" s="2"/>
      <c r="O11" s="2"/>
    </row>
    <row r="12" spans="1:15">
      <c r="A12" s="4"/>
      <c r="N12" s="2"/>
      <c r="O12" s="2"/>
    </row>
    <row r="13" spans="1:15">
      <c r="B13" s="2"/>
      <c r="N13" s="2"/>
      <c r="O13" s="2"/>
    </row>
    <row r="14" spans="1:15">
      <c r="N14" s="2"/>
      <c r="O14" s="2"/>
    </row>
    <row r="15" spans="1:15">
      <c r="N15" s="2"/>
      <c r="O15" s="2"/>
    </row>
    <row r="16" spans="1:15">
      <c r="N16" s="2"/>
      <c r="O16" s="2"/>
    </row>
    <row r="17" spans="2:15">
      <c r="B17" s="2"/>
      <c r="N17" s="2"/>
      <c r="O17" s="2"/>
    </row>
    <row r="18" spans="2:15">
      <c r="B18" s="2"/>
      <c r="N18" s="2"/>
      <c r="O18" s="2"/>
    </row>
    <row r="19" spans="2:15">
      <c r="N19" s="2"/>
      <c r="O19" s="2"/>
    </row>
    <row r="20" spans="2:15">
      <c r="N20" s="2"/>
      <c r="O20" s="2"/>
    </row>
    <row r="21" spans="2:15">
      <c r="N21" s="2"/>
      <c r="O21" s="11"/>
    </row>
    <row r="22" spans="2:15">
      <c r="N22" s="2"/>
      <c r="O22" s="11"/>
    </row>
    <row r="23" spans="2:15">
      <c r="B23" s="2"/>
      <c r="N23" s="2"/>
      <c r="O23" s="2"/>
    </row>
    <row r="24" spans="2:15">
      <c r="B24" s="2"/>
      <c r="N24" s="2"/>
      <c r="O24" s="2"/>
    </row>
    <row r="25" spans="2:15">
      <c r="G25" t="str">
        <f t="shared" ref="G25:G28" si="5">IF(ISBLANK(C25), "", D25/C25)</f>
        <v/>
      </c>
      <c r="I25" t="str">
        <f t="shared" ref="I25:I27" si="6">IF(ISBLANK(B25), "", IF(ISNUMBER(F25), F25*D25, E25*D25))</f>
        <v/>
      </c>
    </row>
    <row r="26" spans="2:15">
      <c r="G26" t="str">
        <f t="shared" si="5"/>
        <v/>
      </c>
      <c r="I26" t="str">
        <f t="shared" si="6"/>
        <v/>
      </c>
      <c r="N26" s="2" t="s">
        <v>45</v>
      </c>
    </row>
    <row r="27" spans="2:15">
      <c r="G27" t="str">
        <f t="shared" si="5"/>
        <v/>
      </c>
      <c r="I27" t="str">
        <f t="shared" si="6"/>
        <v/>
      </c>
      <c r="N27" s="2" t="s">
        <v>18</v>
      </c>
      <c r="O27" s="2">
        <v>0</v>
      </c>
    </row>
    <row r="28" spans="2:15">
      <c r="G28" t="str">
        <f t="shared" si="5"/>
        <v/>
      </c>
      <c r="N28" s="2" t="s">
        <v>17</v>
      </c>
      <c r="O28" s="2">
        <v>0</v>
      </c>
    </row>
    <row r="29" spans="2:15">
      <c r="N29" s="2" t="s">
        <v>13</v>
      </c>
      <c r="O29" s="2">
        <v>1</v>
      </c>
    </row>
    <row r="30" spans="2:15">
      <c r="N30" s="2" t="s">
        <v>34</v>
      </c>
      <c r="O30" s="2">
        <v>0</v>
      </c>
    </row>
    <row r="31" spans="2:15">
      <c r="N31" s="2" t="s">
        <v>35</v>
      </c>
      <c r="O31" s="2">
        <v>0.35</v>
      </c>
    </row>
    <row r="32" spans="2:15">
      <c r="N32" s="2" t="s">
        <v>36</v>
      </c>
      <c r="O32" s="2">
        <v>0</v>
      </c>
    </row>
    <row r="33" spans="14:15">
      <c r="N33" s="2" t="s">
        <v>37</v>
      </c>
      <c r="O33" s="2">
        <v>0</v>
      </c>
    </row>
  </sheetData>
  <mergeCells count="1">
    <mergeCell ref="O21:O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5.1.1.1</vt:lpstr>
      <vt:lpstr>5.1.1.3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2026-10-22T06:06:49Z</dcterms:modified>
</cp:coreProperties>
</file>