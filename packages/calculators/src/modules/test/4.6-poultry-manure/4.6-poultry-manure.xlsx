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6-poultry-manure/"/>
    </mc:Choice>
  </mc:AlternateContent>
  <xr:revisionPtr revIDLastSave="0" documentId="13_ncr:1_{FACA305F-99B4-AC45-BB86-63221D8D6F22}" xr6:coauthVersionLast="47" xr6:coauthVersionMax="47" xr10:uidLastSave="{00000000-0000-0000-0000-000000000000}"/>
  <bookViews>
    <workbookView xWindow="0" yWindow="600" windowWidth="28800" windowHeight="15860" activeTab="3" xr2:uid="{00000000-000D-0000-FFFF-FFFF00000000}"/>
  </bookViews>
  <sheets>
    <sheet name="4.6.1.1" sheetId="5" r:id="rId1"/>
    <sheet name="4.6.1.3" sheetId="1" r:id="rId2"/>
    <sheet name="4.6.1.5" sheetId="6" r:id="rId3"/>
    <sheet name="4.6.1.7" sheetId="7" r:id="rId4"/>
    <sheet name="Input Scenarios" sheetId="3" r:id="rId5"/>
    <sheet name="Constant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7" l="1"/>
  <c r="AC21" i="7" s="1"/>
  <c r="AI12" i="7"/>
  <c r="AI13" i="7"/>
  <c r="AI14" i="7"/>
  <c r="AI15" i="7"/>
  <c r="AI17" i="7"/>
  <c r="AI18" i="7"/>
  <c r="AI19" i="7"/>
  <c r="AI20" i="7"/>
  <c r="AI22" i="7"/>
  <c r="AI23" i="7"/>
  <c r="AI24" i="7"/>
  <c r="AI25" i="7"/>
  <c r="AI26" i="7"/>
  <c r="AI27" i="7"/>
  <c r="AI28" i="7"/>
  <c r="AI29" i="7"/>
  <c r="AI30" i="7"/>
  <c r="AI31" i="7"/>
  <c r="AI11" i="7"/>
  <c r="AH27" i="7"/>
  <c r="AH28" i="7"/>
  <c r="AH29" i="7"/>
  <c r="AH30" i="7"/>
  <c r="AH26" i="7"/>
  <c r="AH22" i="7"/>
  <c r="AH23" i="7"/>
  <c r="AH24" i="7"/>
  <c r="AH25" i="7"/>
  <c r="AH17" i="7"/>
  <c r="AH18" i="7"/>
  <c r="AH19" i="7"/>
  <c r="AH20" i="7"/>
  <c r="AH12" i="7"/>
  <c r="AH13" i="7"/>
  <c r="AH14" i="7"/>
  <c r="AH15" i="7"/>
  <c r="AH11" i="7"/>
  <c r="AG12" i="7"/>
  <c r="AG13" i="7"/>
  <c r="AG14" i="7"/>
  <c r="AG15" i="7"/>
  <c r="AG17" i="7"/>
  <c r="AG18" i="7"/>
  <c r="AG19" i="7"/>
  <c r="AG20" i="7"/>
  <c r="AG22" i="7"/>
  <c r="AG23" i="7"/>
  <c r="AG24" i="7"/>
  <c r="AG25" i="7"/>
  <c r="AG27" i="7"/>
  <c r="AG28" i="7"/>
  <c r="AG29" i="7"/>
  <c r="AG30" i="7"/>
  <c r="AB30" i="7"/>
  <c r="Z30" i="7"/>
  <c r="Y30" i="7"/>
  <c r="U30" i="7"/>
  <c r="T30" i="7"/>
  <c r="S30" i="7"/>
  <c r="R30" i="7"/>
  <c r="K30" i="7"/>
  <c r="J30" i="7"/>
  <c r="I30" i="7"/>
  <c r="H30" i="7"/>
  <c r="G30" i="7"/>
  <c r="F30" i="7"/>
  <c r="Q30" i="7" s="1"/>
  <c r="E30" i="7"/>
  <c r="AD30" i="7" s="1"/>
  <c r="D30" i="7"/>
  <c r="C30" i="7"/>
  <c r="B30" i="7"/>
  <c r="A30" i="7"/>
  <c r="Z29" i="7"/>
  <c r="U29" i="7"/>
  <c r="T29" i="7"/>
  <c r="S29" i="7"/>
  <c r="R29" i="7"/>
  <c r="K29" i="7"/>
  <c r="J29" i="7"/>
  <c r="I29" i="7"/>
  <c r="H29" i="7"/>
  <c r="G29" i="7"/>
  <c r="F29" i="7"/>
  <c r="X29" i="7" s="1"/>
  <c r="E29" i="7"/>
  <c r="AC29" i="7" s="1"/>
  <c r="D29" i="7"/>
  <c r="C29" i="7"/>
  <c r="B29" i="7"/>
  <c r="A29" i="7"/>
  <c r="U28" i="7"/>
  <c r="T28" i="7"/>
  <c r="S28" i="7"/>
  <c r="R28" i="7"/>
  <c r="K28" i="7"/>
  <c r="J28" i="7"/>
  <c r="I28" i="7"/>
  <c r="H28" i="7"/>
  <c r="G28" i="7"/>
  <c r="F28" i="7"/>
  <c r="V28" i="7" s="1"/>
  <c r="E28" i="7"/>
  <c r="AC28" i="7" s="1"/>
  <c r="D28" i="7"/>
  <c r="C28" i="7"/>
  <c r="B28" i="7"/>
  <c r="A28" i="7"/>
  <c r="U27" i="7"/>
  <c r="T27" i="7"/>
  <c r="S27" i="7"/>
  <c r="R27" i="7"/>
  <c r="K27" i="7"/>
  <c r="J27" i="7"/>
  <c r="I27" i="7"/>
  <c r="H27" i="7"/>
  <c r="G27" i="7"/>
  <c r="F27" i="7"/>
  <c r="AA27" i="7" s="1"/>
  <c r="E27" i="7"/>
  <c r="AC27" i="7" s="1"/>
  <c r="D27" i="7"/>
  <c r="C27" i="7"/>
  <c r="B27" i="7"/>
  <c r="A27" i="7"/>
  <c r="U26" i="7"/>
  <c r="T26" i="7"/>
  <c r="S26" i="7"/>
  <c r="R26" i="7"/>
  <c r="H26" i="7"/>
  <c r="G26" i="7"/>
  <c r="F26" i="7"/>
  <c r="Q26" i="7" s="1"/>
  <c r="E26" i="7"/>
  <c r="AD26" i="7" s="1"/>
  <c r="D26" i="7"/>
  <c r="C26" i="7"/>
  <c r="B26" i="7"/>
  <c r="A26" i="7"/>
  <c r="AB25" i="7"/>
  <c r="Z25" i="7"/>
  <c r="Y25" i="7"/>
  <c r="U25" i="7"/>
  <c r="T25" i="7"/>
  <c r="S25" i="7"/>
  <c r="R25" i="7"/>
  <c r="K25" i="7"/>
  <c r="J25" i="7"/>
  <c r="I25" i="7"/>
  <c r="H25" i="7"/>
  <c r="G25" i="7"/>
  <c r="F25" i="7"/>
  <c r="X25" i="7" s="1"/>
  <c r="E25" i="7"/>
  <c r="AC25" i="7" s="1"/>
  <c r="D25" i="7"/>
  <c r="C25" i="7"/>
  <c r="B25" i="7"/>
  <c r="A25" i="7"/>
  <c r="Z24" i="7"/>
  <c r="U24" i="7"/>
  <c r="T24" i="7"/>
  <c r="S24" i="7"/>
  <c r="R24" i="7"/>
  <c r="K24" i="7"/>
  <c r="J24" i="7"/>
  <c r="I24" i="7"/>
  <c r="H24" i="7"/>
  <c r="G24" i="7"/>
  <c r="F24" i="7"/>
  <c r="V24" i="7" s="1"/>
  <c r="E24" i="7"/>
  <c r="AC24" i="7" s="1"/>
  <c r="D24" i="7"/>
  <c r="C24" i="7"/>
  <c r="B24" i="7"/>
  <c r="A24" i="7"/>
  <c r="U23" i="7"/>
  <c r="T23" i="7"/>
  <c r="S23" i="7"/>
  <c r="R23" i="7"/>
  <c r="K23" i="7"/>
  <c r="J23" i="7"/>
  <c r="I23" i="7"/>
  <c r="H23" i="7"/>
  <c r="G23" i="7"/>
  <c r="F23" i="7"/>
  <c r="AA23" i="7" s="1"/>
  <c r="E23" i="7"/>
  <c r="AC23" i="7" s="1"/>
  <c r="D23" i="7"/>
  <c r="C23" i="7"/>
  <c r="B23" i="7"/>
  <c r="A23" i="7"/>
  <c r="U22" i="7"/>
  <c r="T22" i="7"/>
  <c r="S22" i="7"/>
  <c r="R22" i="7"/>
  <c r="K22" i="7"/>
  <c r="J22" i="7"/>
  <c r="I22" i="7"/>
  <c r="H22" i="7"/>
  <c r="G22" i="7"/>
  <c r="F22" i="7"/>
  <c r="X22" i="7" s="1"/>
  <c r="E22" i="7"/>
  <c r="AC22" i="7" s="1"/>
  <c r="D22" i="7"/>
  <c r="C22" i="7"/>
  <c r="B22" i="7"/>
  <c r="A22" i="7"/>
  <c r="U21" i="7"/>
  <c r="T21" i="7"/>
  <c r="S21" i="7"/>
  <c r="R21" i="7"/>
  <c r="H21" i="7"/>
  <c r="G21" i="7"/>
  <c r="F21" i="7"/>
  <c r="AE21" i="7" s="1"/>
  <c r="D21" i="7"/>
  <c r="C21" i="7"/>
  <c r="B21" i="7"/>
  <c r="A21" i="7"/>
  <c r="AB20" i="7"/>
  <c r="Z20" i="7"/>
  <c r="Y20" i="7"/>
  <c r="U20" i="7"/>
  <c r="T20" i="7"/>
  <c r="S20" i="7"/>
  <c r="R20" i="7"/>
  <c r="K20" i="7"/>
  <c r="J20" i="7"/>
  <c r="I20" i="7"/>
  <c r="H20" i="7"/>
  <c r="G20" i="7"/>
  <c r="F20" i="7"/>
  <c r="V20" i="7" s="1"/>
  <c r="E20" i="7"/>
  <c r="AC20" i="7" s="1"/>
  <c r="D20" i="7"/>
  <c r="C20" i="7"/>
  <c r="B20" i="7"/>
  <c r="A20" i="7"/>
  <c r="Z19" i="7"/>
  <c r="U19" i="7"/>
  <c r="T19" i="7"/>
  <c r="S19" i="7"/>
  <c r="R19" i="7"/>
  <c r="K19" i="7"/>
  <c r="J19" i="7"/>
  <c r="I19" i="7"/>
  <c r="H19" i="7"/>
  <c r="G19" i="7"/>
  <c r="F19" i="7"/>
  <c r="Q19" i="7" s="1"/>
  <c r="E19" i="7"/>
  <c r="AC19" i="7" s="1"/>
  <c r="D19" i="7"/>
  <c r="C19" i="7"/>
  <c r="B19" i="7"/>
  <c r="A19" i="7"/>
  <c r="U18" i="7"/>
  <c r="T18" i="7"/>
  <c r="S18" i="7"/>
  <c r="R18" i="7"/>
  <c r="K18" i="7"/>
  <c r="J18" i="7"/>
  <c r="I18" i="7"/>
  <c r="H18" i="7"/>
  <c r="G18" i="7"/>
  <c r="F18" i="7"/>
  <c r="X18" i="7" s="1"/>
  <c r="E18" i="7"/>
  <c r="AC18" i="7" s="1"/>
  <c r="D18" i="7"/>
  <c r="C18" i="7"/>
  <c r="B18" i="7"/>
  <c r="A18" i="7"/>
  <c r="U17" i="7"/>
  <c r="T17" i="7"/>
  <c r="S17" i="7"/>
  <c r="R17" i="7"/>
  <c r="K17" i="7"/>
  <c r="J17" i="7"/>
  <c r="I17" i="7"/>
  <c r="H17" i="7"/>
  <c r="G17" i="7"/>
  <c r="F17" i="7"/>
  <c r="X17" i="7" s="1"/>
  <c r="E17" i="7"/>
  <c r="AC17" i="7" s="1"/>
  <c r="D17" i="7"/>
  <c r="C17" i="7"/>
  <c r="B17" i="7"/>
  <c r="A17" i="7"/>
  <c r="U16" i="7"/>
  <c r="T16" i="7"/>
  <c r="S16" i="7"/>
  <c r="R16" i="7"/>
  <c r="H16" i="7"/>
  <c r="G16" i="7"/>
  <c r="F16" i="7"/>
  <c r="AF16" i="7" s="1"/>
  <c r="AC16" i="7"/>
  <c r="D16" i="7"/>
  <c r="C16" i="7"/>
  <c r="B16" i="7"/>
  <c r="A16" i="7"/>
  <c r="AB15" i="7"/>
  <c r="Z15" i="7"/>
  <c r="Y15" i="7"/>
  <c r="U15" i="7"/>
  <c r="T15" i="7"/>
  <c r="S15" i="7"/>
  <c r="R15" i="7"/>
  <c r="P15" i="7"/>
  <c r="K15" i="7"/>
  <c r="J15" i="7"/>
  <c r="I15" i="7"/>
  <c r="H15" i="7"/>
  <c r="G15" i="7"/>
  <c r="F15" i="7"/>
  <c r="AA15" i="7" s="1"/>
  <c r="E15" i="7"/>
  <c r="AC15" i="7" s="1"/>
  <c r="D15" i="7"/>
  <c r="C15" i="7"/>
  <c r="B15" i="7"/>
  <c r="A15" i="7"/>
  <c r="Z14" i="7"/>
  <c r="U14" i="7"/>
  <c r="T14" i="7"/>
  <c r="S14" i="7"/>
  <c r="R14" i="7"/>
  <c r="K14" i="7"/>
  <c r="J14" i="7"/>
  <c r="I14" i="7"/>
  <c r="H14" i="7"/>
  <c r="G14" i="7"/>
  <c r="F14" i="7"/>
  <c r="X14" i="7" s="1"/>
  <c r="E14" i="7"/>
  <c r="AC14" i="7" s="1"/>
  <c r="D14" i="7"/>
  <c r="C14" i="7"/>
  <c r="B14" i="7"/>
  <c r="A14" i="7"/>
  <c r="U13" i="7"/>
  <c r="T13" i="7"/>
  <c r="S13" i="7"/>
  <c r="R13" i="7"/>
  <c r="K13" i="7"/>
  <c r="J13" i="7"/>
  <c r="I13" i="7"/>
  <c r="H13" i="7"/>
  <c r="G13" i="7"/>
  <c r="F13" i="7"/>
  <c r="X13" i="7" s="1"/>
  <c r="E13" i="7"/>
  <c r="AC13" i="7" s="1"/>
  <c r="D13" i="7"/>
  <c r="C13" i="7"/>
  <c r="B13" i="7"/>
  <c r="A13" i="7"/>
  <c r="U12" i="7"/>
  <c r="T12" i="7"/>
  <c r="S12" i="7"/>
  <c r="R12" i="7"/>
  <c r="K12" i="7"/>
  <c r="J12" i="7"/>
  <c r="I12" i="7"/>
  <c r="H12" i="7"/>
  <c r="G12" i="7"/>
  <c r="F12" i="7"/>
  <c r="V12" i="7" s="1"/>
  <c r="E12" i="7"/>
  <c r="AC12" i="7" s="1"/>
  <c r="D12" i="7"/>
  <c r="C12" i="7"/>
  <c r="B12" i="7"/>
  <c r="A12" i="7"/>
  <c r="U11" i="7"/>
  <c r="T11" i="7"/>
  <c r="S11" i="7"/>
  <c r="R11" i="7"/>
  <c r="H11" i="7"/>
  <c r="G11" i="7"/>
  <c r="F11" i="7"/>
  <c r="I11" i="7" s="1"/>
  <c r="E11" i="7"/>
  <c r="AC11" i="7" s="1"/>
  <c r="D11" i="7"/>
  <c r="C11" i="7"/>
  <c r="B11" i="7"/>
  <c r="A11" i="7"/>
  <c r="AD15" i="6"/>
  <c r="AD20" i="6"/>
  <c r="AD25" i="6"/>
  <c r="AD30" i="6"/>
  <c r="C11" i="6"/>
  <c r="AF11" i="6" s="1"/>
  <c r="AC15" i="6"/>
  <c r="AC20" i="6"/>
  <c r="AC25" i="6"/>
  <c r="AC30" i="6"/>
  <c r="S14" i="6"/>
  <c r="AB30" i="6"/>
  <c r="Z30" i="6"/>
  <c r="Y30" i="6"/>
  <c r="U30" i="6"/>
  <c r="T30" i="6"/>
  <c r="S30" i="6"/>
  <c r="R30" i="6"/>
  <c r="K30" i="6"/>
  <c r="J30" i="6"/>
  <c r="I30" i="6"/>
  <c r="H30" i="6"/>
  <c r="G30" i="6"/>
  <c r="F30" i="6"/>
  <c r="AA30" i="6" s="1"/>
  <c r="E30" i="6"/>
  <c r="D30" i="6"/>
  <c r="C30" i="6"/>
  <c r="AF30" i="6" s="1"/>
  <c r="B30" i="6"/>
  <c r="A30" i="6"/>
  <c r="Z29" i="6"/>
  <c r="U29" i="6"/>
  <c r="T29" i="6"/>
  <c r="S29" i="6"/>
  <c r="R29" i="6"/>
  <c r="K29" i="6"/>
  <c r="J29" i="6"/>
  <c r="I29" i="6"/>
  <c r="H29" i="6"/>
  <c r="G29" i="6"/>
  <c r="F29" i="6"/>
  <c r="AA29" i="6" s="1"/>
  <c r="E29" i="6"/>
  <c r="D29" i="6"/>
  <c r="C29" i="6"/>
  <c r="AF29" i="6" s="1"/>
  <c r="B29" i="6"/>
  <c r="A29" i="6"/>
  <c r="U28" i="6"/>
  <c r="T28" i="6"/>
  <c r="S28" i="6"/>
  <c r="R28" i="6"/>
  <c r="K28" i="6"/>
  <c r="J28" i="6"/>
  <c r="I28" i="6"/>
  <c r="H28" i="6"/>
  <c r="G28" i="6"/>
  <c r="F28" i="6"/>
  <c r="X28" i="6" s="1"/>
  <c r="E28" i="6"/>
  <c r="D28" i="6"/>
  <c r="C28" i="6"/>
  <c r="AF28" i="6" s="1"/>
  <c r="B28" i="6"/>
  <c r="A28" i="6"/>
  <c r="U27" i="6"/>
  <c r="T27" i="6"/>
  <c r="S27" i="6"/>
  <c r="R27" i="6"/>
  <c r="K27" i="6"/>
  <c r="J27" i="6"/>
  <c r="I27" i="6"/>
  <c r="H27" i="6"/>
  <c r="G27" i="6"/>
  <c r="F27" i="6"/>
  <c r="V27" i="6" s="1"/>
  <c r="E27" i="6"/>
  <c r="D27" i="6"/>
  <c r="C27" i="6"/>
  <c r="AF27" i="6" s="1"/>
  <c r="B27" i="6"/>
  <c r="A27" i="6"/>
  <c r="U26" i="6"/>
  <c r="T26" i="6"/>
  <c r="S26" i="6"/>
  <c r="R26" i="6"/>
  <c r="H26" i="6"/>
  <c r="G26" i="6"/>
  <c r="F26" i="6"/>
  <c r="K26" i="6" s="1"/>
  <c r="E26" i="6"/>
  <c r="D26" i="6"/>
  <c r="C26" i="6"/>
  <c r="AF26" i="6" s="1"/>
  <c r="B26" i="6"/>
  <c r="A26" i="6"/>
  <c r="AB25" i="6"/>
  <c r="Z25" i="6"/>
  <c r="Y25" i="6"/>
  <c r="U25" i="6"/>
  <c r="T25" i="6"/>
  <c r="S25" i="6"/>
  <c r="R25" i="6"/>
  <c r="P25" i="6"/>
  <c r="K25" i="6"/>
  <c r="J25" i="6"/>
  <c r="I25" i="6"/>
  <c r="H25" i="6"/>
  <c r="G25" i="6"/>
  <c r="F25" i="6"/>
  <c r="X25" i="6" s="1"/>
  <c r="E25" i="6"/>
  <c r="D25" i="6"/>
  <c r="C25" i="6"/>
  <c r="AF25" i="6" s="1"/>
  <c r="B25" i="6"/>
  <c r="A25" i="6"/>
  <c r="Z24" i="6"/>
  <c r="U24" i="6"/>
  <c r="T24" i="6"/>
  <c r="S24" i="6"/>
  <c r="R24" i="6"/>
  <c r="K24" i="6"/>
  <c r="J24" i="6"/>
  <c r="I24" i="6"/>
  <c r="H24" i="6"/>
  <c r="G24" i="6"/>
  <c r="F24" i="6"/>
  <c r="P24" i="6" s="1"/>
  <c r="E24" i="6"/>
  <c r="D24" i="6"/>
  <c r="C24" i="6"/>
  <c r="AF24" i="6" s="1"/>
  <c r="B24" i="6"/>
  <c r="A24" i="6"/>
  <c r="U23" i="6"/>
  <c r="T23" i="6"/>
  <c r="S23" i="6"/>
  <c r="R23" i="6"/>
  <c r="K23" i="6"/>
  <c r="J23" i="6"/>
  <c r="I23" i="6"/>
  <c r="H23" i="6"/>
  <c r="G23" i="6"/>
  <c r="F23" i="6"/>
  <c r="Q23" i="6" s="1"/>
  <c r="E23" i="6"/>
  <c r="D23" i="6"/>
  <c r="C23" i="6"/>
  <c r="AF23" i="6" s="1"/>
  <c r="B23" i="6"/>
  <c r="A23" i="6"/>
  <c r="U22" i="6"/>
  <c r="T22" i="6"/>
  <c r="S22" i="6"/>
  <c r="R22" i="6"/>
  <c r="K22" i="6"/>
  <c r="J22" i="6"/>
  <c r="I22" i="6"/>
  <c r="H22" i="6"/>
  <c r="G22" i="6"/>
  <c r="F22" i="6"/>
  <c r="AA22" i="6" s="1"/>
  <c r="E22" i="6"/>
  <c r="D22" i="6"/>
  <c r="C22" i="6"/>
  <c r="AF22" i="6" s="1"/>
  <c r="B22" i="6"/>
  <c r="A22" i="6"/>
  <c r="U21" i="6"/>
  <c r="T21" i="6"/>
  <c r="S21" i="6"/>
  <c r="R21" i="6"/>
  <c r="H21" i="6"/>
  <c r="G21" i="6"/>
  <c r="F21" i="6"/>
  <c r="J21" i="6" s="1"/>
  <c r="E21" i="6"/>
  <c r="D21" i="6"/>
  <c r="C21" i="6"/>
  <c r="AF21" i="6" s="1"/>
  <c r="B21" i="6"/>
  <c r="A21" i="6"/>
  <c r="AB20" i="6"/>
  <c r="Z20" i="6"/>
  <c r="Y20" i="6"/>
  <c r="U20" i="6"/>
  <c r="T20" i="6"/>
  <c r="S20" i="6"/>
  <c r="R20" i="6"/>
  <c r="K20" i="6"/>
  <c r="J20" i="6"/>
  <c r="I20" i="6"/>
  <c r="H20" i="6"/>
  <c r="G20" i="6"/>
  <c r="F20" i="6"/>
  <c r="AA20" i="6" s="1"/>
  <c r="E20" i="6"/>
  <c r="D20" i="6"/>
  <c r="C20" i="6"/>
  <c r="AF20" i="6" s="1"/>
  <c r="B20" i="6"/>
  <c r="A20" i="6"/>
  <c r="AA19" i="6"/>
  <c r="Z19" i="6"/>
  <c r="U19" i="6"/>
  <c r="T19" i="6"/>
  <c r="S19" i="6"/>
  <c r="R19" i="6"/>
  <c r="K19" i="6"/>
  <c r="J19" i="6"/>
  <c r="I19" i="6"/>
  <c r="H19" i="6"/>
  <c r="G19" i="6"/>
  <c r="F19" i="6"/>
  <c r="V19" i="6" s="1"/>
  <c r="E19" i="6"/>
  <c r="D19" i="6"/>
  <c r="C19" i="6"/>
  <c r="AF19" i="6" s="1"/>
  <c r="B19" i="6"/>
  <c r="A19" i="6"/>
  <c r="U18" i="6"/>
  <c r="T18" i="6"/>
  <c r="S18" i="6"/>
  <c r="R18" i="6"/>
  <c r="K18" i="6"/>
  <c r="J18" i="6"/>
  <c r="I18" i="6"/>
  <c r="H18" i="6"/>
  <c r="G18" i="6"/>
  <c r="F18" i="6"/>
  <c r="W18" i="6" s="1"/>
  <c r="E18" i="6"/>
  <c r="D18" i="6"/>
  <c r="C18" i="6"/>
  <c r="AF18" i="6" s="1"/>
  <c r="B18" i="6"/>
  <c r="A18" i="6"/>
  <c r="U17" i="6"/>
  <c r="T17" i="6"/>
  <c r="S17" i="6"/>
  <c r="R17" i="6"/>
  <c r="K17" i="6"/>
  <c r="J17" i="6"/>
  <c r="I17" i="6"/>
  <c r="H17" i="6"/>
  <c r="G17" i="6"/>
  <c r="F17" i="6"/>
  <c r="X17" i="6" s="1"/>
  <c r="E17" i="6"/>
  <c r="D17" i="6"/>
  <c r="C17" i="6"/>
  <c r="AF17" i="6" s="1"/>
  <c r="B17" i="6"/>
  <c r="A17" i="6"/>
  <c r="U16" i="6"/>
  <c r="T16" i="6"/>
  <c r="S16" i="6"/>
  <c r="R16" i="6"/>
  <c r="H16" i="6"/>
  <c r="G16" i="6"/>
  <c r="F16" i="6"/>
  <c r="P16" i="6" s="1"/>
  <c r="E16" i="6"/>
  <c r="D16" i="6"/>
  <c r="C16" i="6"/>
  <c r="AF16" i="6" s="1"/>
  <c r="B16" i="6"/>
  <c r="A16" i="6"/>
  <c r="AB15" i="6"/>
  <c r="Z15" i="6"/>
  <c r="Y15" i="6"/>
  <c r="U15" i="6"/>
  <c r="T15" i="6"/>
  <c r="S15" i="6"/>
  <c r="R15" i="6"/>
  <c r="K15" i="6"/>
  <c r="J15" i="6"/>
  <c r="I15" i="6"/>
  <c r="H15" i="6"/>
  <c r="G15" i="6"/>
  <c r="F15" i="6"/>
  <c r="Q15" i="6" s="1"/>
  <c r="E15" i="6"/>
  <c r="D15" i="6"/>
  <c r="C15" i="6"/>
  <c r="AF15" i="6" s="1"/>
  <c r="B15" i="6"/>
  <c r="A15" i="6"/>
  <c r="Z14" i="6"/>
  <c r="U14" i="6"/>
  <c r="T14" i="6"/>
  <c r="R14" i="6"/>
  <c r="K14" i="6"/>
  <c r="J14" i="6"/>
  <c r="I14" i="6"/>
  <c r="H14" i="6"/>
  <c r="G14" i="6"/>
  <c r="F14" i="6"/>
  <c r="AA14" i="6" s="1"/>
  <c r="E14" i="6"/>
  <c r="D14" i="6"/>
  <c r="C14" i="6"/>
  <c r="AF14" i="6" s="1"/>
  <c r="B14" i="6"/>
  <c r="A14" i="6"/>
  <c r="U13" i="6"/>
  <c r="T13" i="6"/>
  <c r="S13" i="6"/>
  <c r="R13" i="6"/>
  <c r="K13" i="6"/>
  <c r="J13" i="6"/>
  <c r="I13" i="6"/>
  <c r="H13" i="6"/>
  <c r="G13" i="6"/>
  <c r="F13" i="6"/>
  <c r="W13" i="6" s="1"/>
  <c r="E13" i="6"/>
  <c r="D13" i="6"/>
  <c r="C13" i="6"/>
  <c r="AF13" i="6" s="1"/>
  <c r="B13" i="6"/>
  <c r="A13" i="6"/>
  <c r="U12" i="6"/>
  <c r="T12" i="6"/>
  <c r="S12" i="6"/>
  <c r="R12" i="6"/>
  <c r="K12" i="6"/>
  <c r="J12" i="6"/>
  <c r="I12" i="6"/>
  <c r="H12" i="6"/>
  <c r="G12" i="6"/>
  <c r="F12" i="6"/>
  <c r="E12" i="6"/>
  <c r="D12" i="6"/>
  <c r="C12" i="6"/>
  <c r="AF12" i="6" s="1"/>
  <c r="B12" i="6"/>
  <c r="A12" i="6"/>
  <c r="U11" i="6"/>
  <c r="T11" i="6"/>
  <c r="S11" i="6"/>
  <c r="R11" i="6"/>
  <c r="H11" i="6"/>
  <c r="G11" i="6"/>
  <c r="F11" i="6"/>
  <c r="E11" i="6"/>
  <c r="D11" i="6"/>
  <c r="B11" i="6"/>
  <c r="A11" i="6"/>
  <c r="AF15" i="1"/>
  <c r="AF20" i="1"/>
  <c r="AF25" i="1"/>
  <c r="AF30" i="1"/>
  <c r="AE15" i="1"/>
  <c r="AE20" i="1"/>
  <c r="AE25" i="1"/>
  <c r="AE30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11" i="1"/>
  <c r="AB30" i="1"/>
  <c r="AB25" i="1"/>
  <c r="AB20" i="1"/>
  <c r="AB15" i="1"/>
  <c r="Z14" i="1"/>
  <c r="Z15" i="1"/>
  <c r="Z19" i="1"/>
  <c r="Z20" i="1"/>
  <c r="Z24" i="1"/>
  <c r="Z25" i="1"/>
  <c r="Z29" i="1"/>
  <c r="Z30" i="1"/>
  <c r="S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J2" i="2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B11" i="1"/>
  <c r="C11" i="1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A12" i="5"/>
  <c r="A13" i="5"/>
  <c r="A14" i="5"/>
  <c r="A15" i="5"/>
  <c r="A16" i="5"/>
  <c r="T16" i="5" s="1"/>
  <c r="A17" i="5"/>
  <c r="A18" i="5"/>
  <c r="A19" i="5"/>
  <c r="A20" i="5"/>
  <c r="A21" i="5"/>
  <c r="U21" i="5" s="1"/>
  <c r="A22" i="5"/>
  <c r="A23" i="5"/>
  <c r="A24" i="5"/>
  <c r="A25" i="5"/>
  <c r="A26" i="5"/>
  <c r="U26" i="5" s="1"/>
  <c r="A27" i="5"/>
  <c r="A28" i="5"/>
  <c r="A29" i="5"/>
  <c r="A30" i="5"/>
  <c r="Y30" i="5"/>
  <c r="X30" i="5"/>
  <c r="W30" i="5"/>
  <c r="V30" i="5"/>
  <c r="K30" i="5"/>
  <c r="J30" i="5"/>
  <c r="I30" i="5"/>
  <c r="H30" i="5"/>
  <c r="G30" i="5"/>
  <c r="F30" i="5"/>
  <c r="AC30" i="5" s="1"/>
  <c r="E30" i="5"/>
  <c r="D30" i="5"/>
  <c r="Y29" i="5"/>
  <c r="X29" i="5"/>
  <c r="K29" i="5"/>
  <c r="J29" i="5"/>
  <c r="I29" i="5"/>
  <c r="H29" i="5"/>
  <c r="G29" i="5"/>
  <c r="F29" i="5"/>
  <c r="AC29" i="5" s="1"/>
  <c r="E29" i="5"/>
  <c r="D29" i="5"/>
  <c r="X28" i="5"/>
  <c r="K28" i="5"/>
  <c r="J28" i="5"/>
  <c r="I28" i="5"/>
  <c r="H28" i="5"/>
  <c r="G28" i="5"/>
  <c r="F28" i="5"/>
  <c r="Q28" i="5" s="1"/>
  <c r="E28" i="5"/>
  <c r="D28" i="5"/>
  <c r="X27" i="5"/>
  <c r="K27" i="5"/>
  <c r="J27" i="5"/>
  <c r="I27" i="5"/>
  <c r="H27" i="5"/>
  <c r="G27" i="5"/>
  <c r="F27" i="5"/>
  <c r="P27" i="5" s="1"/>
  <c r="E27" i="5"/>
  <c r="D27" i="5"/>
  <c r="X26" i="5"/>
  <c r="H26" i="5"/>
  <c r="G26" i="5"/>
  <c r="F26" i="5"/>
  <c r="J26" i="5" s="1"/>
  <c r="E26" i="5"/>
  <c r="D26" i="5"/>
  <c r="Y25" i="5"/>
  <c r="X25" i="5"/>
  <c r="W25" i="5"/>
  <c r="V25" i="5"/>
  <c r="K25" i="5"/>
  <c r="J25" i="5"/>
  <c r="I25" i="5"/>
  <c r="H25" i="5"/>
  <c r="G25" i="5"/>
  <c r="F25" i="5"/>
  <c r="S25" i="5" s="1"/>
  <c r="E25" i="5"/>
  <c r="D25" i="5"/>
  <c r="Y24" i="5"/>
  <c r="X24" i="5"/>
  <c r="K24" i="5"/>
  <c r="J24" i="5"/>
  <c r="I24" i="5"/>
  <c r="H24" i="5"/>
  <c r="G24" i="5"/>
  <c r="F24" i="5"/>
  <c r="R24" i="5" s="1"/>
  <c r="E24" i="5"/>
  <c r="D24" i="5"/>
  <c r="X23" i="5"/>
  <c r="K23" i="5"/>
  <c r="J23" i="5"/>
  <c r="I23" i="5"/>
  <c r="H23" i="5"/>
  <c r="G23" i="5"/>
  <c r="F23" i="5"/>
  <c r="AC23" i="5" s="1"/>
  <c r="E23" i="5"/>
  <c r="D23" i="5"/>
  <c r="X22" i="5"/>
  <c r="K22" i="5"/>
  <c r="J22" i="5"/>
  <c r="I22" i="5"/>
  <c r="H22" i="5"/>
  <c r="G22" i="5"/>
  <c r="F22" i="5"/>
  <c r="Q22" i="5" s="1"/>
  <c r="E22" i="5"/>
  <c r="D22" i="5"/>
  <c r="X21" i="5"/>
  <c r="H21" i="5"/>
  <c r="G21" i="5"/>
  <c r="F21" i="5"/>
  <c r="R21" i="5" s="1"/>
  <c r="E21" i="5"/>
  <c r="D21" i="5"/>
  <c r="Y20" i="5"/>
  <c r="X20" i="5"/>
  <c r="W20" i="5"/>
  <c r="V20" i="5"/>
  <c r="K20" i="5"/>
  <c r="J20" i="5"/>
  <c r="I20" i="5"/>
  <c r="H20" i="5"/>
  <c r="G20" i="5"/>
  <c r="F20" i="5"/>
  <c r="P20" i="5" s="1"/>
  <c r="E20" i="5"/>
  <c r="D20" i="5"/>
  <c r="Y19" i="5"/>
  <c r="X19" i="5"/>
  <c r="K19" i="5"/>
  <c r="J19" i="5"/>
  <c r="I19" i="5"/>
  <c r="H19" i="5"/>
  <c r="G19" i="5"/>
  <c r="F19" i="5"/>
  <c r="Q19" i="5" s="1"/>
  <c r="E19" i="5"/>
  <c r="D19" i="5"/>
  <c r="X18" i="5"/>
  <c r="K18" i="5"/>
  <c r="J18" i="5"/>
  <c r="I18" i="5"/>
  <c r="H18" i="5"/>
  <c r="G18" i="5"/>
  <c r="F18" i="5"/>
  <c r="R18" i="5" s="1"/>
  <c r="E18" i="5"/>
  <c r="D18" i="5"/>
  <c r="X17" i="5"/>
  <c r="K17" i="5"/>
  <c r="J17" i="5"/>
  <c r="I17" i="5"/>
  <c r="H17" i="5"/>
  <c r="G17" i="5"/>
  <c r="F17" i="5"/>
  <c r="Z17" i="5" s="1"/>
  <c r="E17" i="5"/>
  <c r="D17" i="5"/>
  <c r="X16" i="5"/>
  <c r="H16" i="5"/>
  <c r="G16" i="5"/>
  <c r="F16" i="5"/>
  <c r="K16" i="5" s="1"/>
  <c r="E16" i="5"/>
  <c r="D16" i="5"/>
  <c r="Y15" i="5"/>
  <c r="X15" i="5"/>
  <c r="W15" i="5"/>
  <c r="V15" i="5"/>
  <c r="K15" i="5"/>
  <c r="J15" i="5"/>
  <c r="I15" i="5"/>
  <c r="H15" i="5"/>
  <c r="G15" i="5"/>
  <c r="F15" i="5"/>
  <c r="Q15" i="5" s="1"/>
  <c r="E15" i="5"/>
  <c r="D15" i="5"/>
  <c r="Y14" i="5"/>
  <c r="X14" i="5"/>
  <c r="K14" i="5"/>
  <c r="J14" i="5"/>
  <c r="I14" i="5"/>
  <c r="H14" i="5"/>
  <c r="G14" i="5"/>
  <c r="F14" i="5"/>
  <c r="P14" i="5" s="1"/>
  <c r="E14" i="5"/>
  <c r="D14" i="5"/>
  <c r="X13" i="5"/>
  <c r="K13" i="5"/>
  <c r="J13" i="5"/>
  <c r="I13" i="5"/>
  <c r="H13" i="5"/>
  <c r="G13" i="5"/>
  <c r="F13" i="5"/>
  <c r="Q13" i="5" s="1"/>
  <c r="E13" i="5"/>
  <c r="D13" i="5"/>
  <c r="X12" i="5"/>
  <c r="K12" i="5"/>
  <c r="J12" i="5"/>
  <c r="I12" i="5"/>
  <c r="H12" i="5"/>
  <c r="G12" i="5"/>
  <c r="F12" i="5"/>
  <c r="R12" i="5" s="1"/>
  <c r="E12" i="5"/>
  <c r="D12" i="5"/>
  <c r="X11" i="5"/>
  <c r="H11" i="5"/>
  <c r="G11" i="5"/>
  <c r="F11" i="5"/>
  <c r="Q11" i="5" s="1"/>
  <c r="E11" i="5"/>
  <c r="D11" i="5"/>
  <c r="A11" i="5"/>
  <c r="U15" i="5" s="1"/>
  <c r="AC26" i="7" l="1"/>
  <c r="AE25" i="7"/>
  <c r="AD27" i="7"/>
  <c r="AD25" i="7"/>
  <c r="AD19" i="7"/>
  <c r="AD18" i="7"/>
  <c r="AE26" i="7"/>
  <c r="AD17" i="7"/>
  <c r="AC30" i="7"/>
  <c r="AD24" i="7"/>
  <c r="AD16" i="7"/>
  <c r="AH16" i="7" s="1"/>
  <c r="AD11" i="7"/>
  <c r="AD23" i="7"/>
  <c r="AD15" i="7"/>
  <c r="AD22" i="7"/>
  <c r="AD14" i="7"/>
  <c r="P16" i="7"/>
  <c r="V15" i="7"/>
  <c r="W15" i="7"/>
  <c r="AD29" i="7"/>
  <c r="AD21" i="7"/>
  <c r="AH21" i="7" s="1"/>
  <c r="AD13" i="7"/>
  <c r="X15" i="7"/>
  <c r="AF15" i="7"/>
  <c r="AD28" i="7"/>
  <c r="AD20" i="7"/>
  <c r="AD12" i="7"/>
  <c r="V23" i="7"/>
  <c r="AE17" i="7"/>
  <c r="W23" i="7"/>
  <c r="Q22" i="7"/>
  <c r="Q23" i="7"/>
  <c r="AF22" i="7"/>
  <c r="AF21" i="7"/>
  <c r="J11" i="7"/>
  <c r="V11" i="7" s="1"/>
  <c r="Q18" i="7"/>
  <c r="P24" i="7"/>
  <c r="AF11" i="7"/>
  <c r="AF23" i="7"/>
  <c r="AE27" i="7"/>
  <c r="AE19" i="7"/>
  <c r="K11" i="7"/>
  <c r="AF30" i="7"/>
  <c r="AF14" i="7"/>
  <c r="AE18" i="7"/>
  <c r="P11" i="7"/>
  <c r="AF29" i="7"/>
  <c r="AF13" i="7"/>
  <c r="P12" i="7"/>
  <c r="P23" i="7"/>
  <c r="X23" i="7"/>
  <c r="AF28" i="7"/>
  <c r="AF20" i="7"/>
  <c r="AF12" i="7"/>
  <c r="AE24" i="7"/>
  <c r="AE16" i="7"/>
  <c r="X28" i="7"/>
  <c r="AF27" i="7"/>
  <c r="AF19" i="7"/>
  <c r="AE11" i="7"/>
  <c r="AE23" i="7"/>
  <c r="AE15" i="7"/>
  <c r="AF26" i="7"/>
  <c r="AF18" i="7"/>
  <c r="AE30" i="7"/>
  <c r="AE22" i="7"/>
  <c r="AE14" i="7"/>
  <c r="V14" i="7"/>
  <c r="AA18" i="7"/>
  <c r="AF25" i="7"/>
  <c r="AF17" i="7"/>
  <c r="AE29" i="7"/>
  <c r="AE13" i="7"/>
  <c r="W18" i="7"/>
  <c r="X12" i="7"/>
  <c r="W14" i="7"/>
  <c r="P28" i="7"/>
  <c r="AF24" i="7"/>
  <c r="AE28" i="7"/>
  <c r="AE20" i="7"/>
  <c r="AE12" i="7"/>
  <c r="Q11" i="7"/>
  <c r="Q15" i="7"/>
  <c r="X20" i="7"/>
  <c r="V27" i="7"/>
  <c r="V30" i="7"/>
  <c r="Q14" i="7"/>
  <c r="AA14" i="7"/>
  <c r="W19" i="7"/>
  <c r="V22" i="7"/>
  <c r="J26" i="7"/>
  <c r="W27" i="7"/>
  <c r="W30" i="7"/>
  <c r="AA19" i="7"/>
  <c r="V19" i="7"/>
  <c r="P19" i="7"/>
  <c r="X19" i="7"/>
  <c r="W22" i="7"/>
  <c r="K26" i="7"/>
  <c r="P27" i="7"/>
  <c r="X27" i="7"/>
  <c r="I26" i="7"/>
  <c r="V18" i="7"/>
  <c r="P20" i="7"/>
  <c r="X24" i="7"/>
  <c r="Q27" i="7"/>
  <c r="W12" i="7"/>
  <c r="Q13" i="7"/>
  <c r="K16" i="7"/>
  <c r="Q17" i="7"/>
  <c r="W20" i="7"/>
  <c r="Q21" i="7"/>
  <c r="AA22" i="7"/>
  <c r="W24" i="7"/>
  <c r="Q25" i="7"/>
  <c r="W28" i="7"/>
  <c r="Q29" i="7"/>
  <c r="AA30" i="7"/>
  <c r="Q12" i="7"/>
  <c r="AA13" i="7"/>
  <c r="Q16" i="7"/>
  <c r="AA17" i="7"/>
  <c r="Q20" i="7"/>
  <c r="Q24" i="7"/>
  <c r="AA25" i="7"/>
  <c r="Q28" i="7"/>
  <c r="AA29" i="7"/>
  <c r="AA20" i="7"/>
  <c r="I21" i="7"/>
  <c r="AA28" i="7"/>
  <c r="AA24" i="7"/>
  <c r="V13" i="7"/>
  <c r="P14" i="7"/>
  <c r="V17" i="7"/>
  <c r="P18" i="7"/>
  <c r="J21" i="7"/>
  <c r="P22" i="7"/>
  <c r="V25" i="7"/>
  <c r="P26" i="7"/>
  <c r="V29" i="7"/>
  <c r="P30" i="7"/>
  <c r="X30" i="7"/>
  <c r="I16" i="7"/>
  <c r="W17" i="7"/>
  <c r="K21" i="7"/>
  <c r="W25" i="7"/>
  <c r="W29" i="7"/>
  <c r="AA12" i="7"/>
  <c r="W13" i="7"/>
  <c r="P13" i="7"/>
  <c r="J16" i="7"/>
  <c r="P17" i="7"/>
  <c r="P21" i="7"/>
  <c r="P25" i="7"/>
  <c r="P29" i="7"/>
  <c r="AE23" i="6"/>
  <c r="AE22" i="6"/>
  <c r="AE15" i="6"/>
  <c r="AE30" i="6"/>
  <c r="AE14" i="6"/>
  <c r="W28" i="6"/>
  <c r="AE29" i="6"/>
  <c r="AE13" i="6"/>
  <c r="AE28" i="6"/>
  <c r="AE20" i="6"/>
  <c r="AE12" i="6"/>
  <c r="AE27" i="6"/>
  <c r="AE19" i="6"/>
  <c r="AE18" i="6"/>
  <c r="AE25" i="6"/>
  <c r="AE17" i="6"/>
  <c r="AE24" i="6"/>
  <c r="Q19" i="6"/>
  <c r="P23" i="6"/>
  <c r="P28" i="6"/>
  <c r="AA28" i="6"/>
  <c r="Q28" i="6"/>
  <c r="J16" i="6"/>
  <c r="V17" i="6"/>
  <c r="K16" i="6"/>
  <c r="AA17" i="6"/>
  <c r="V23" i="6"/>
  <c r="Q16" i="6"/>
  <c r="P17" i="6"/>
  <c r="W23" i="6"/>
  <c r="V28" i="6"/>
  <c r="I16" i="6"/>
  <c r="Q25" i="6"/>
  <c r="V14" i="6"/>
  <c r="W14" i="6"/>
  <c r="I26" i="6"/>
  <c r="J26" i="6"/>
  <c r="W22" i="6"/>
  <c r="Q13" i="6"/>
  <c r="P14" i="6"/>
  <c r="AA24" i="6"/>
  <c r="Q14" i="6"/>
  <c r="Q24" i="6"/>
  <c r="V25" i="6"/>
  <c r="W25" i="6"/>
  <c r="Q22" i="6"/>
  <c r="V15" i="6"/>
  <c r="AA18" i="6"/>
  <c r="V29" i="6"/>
  <c r="V24" i="6"/>
  <c r="W15" i="6"/>
  <c r="X13" i="6"/>
  <c r="P15" i="6"/>
  <c r="W19" i="6"/>
  <c r="W24" i="6"/>
  <c r="AA27" i="6"/>
  <c r="P29" i="6"/>
  <c r="AA12" i="6"/>
  <c r="X15" i="6"/>
  <c r="Q11" i="6"/>
  <c r="P12" i="6"/>
  <c r="V12" i="6"/>
  <c r="AA15" i="6"/>
  <c r="X18" i="6"/>
  <c r="P20" i="6"/>
  <c r="V20" i="6"/>
  <c r="K21" i="6"/>
  <c r="AA23" i="6"/>
  <c r="Q27" i="6"/>
  <c r="W27" i="6"/>
  <c r="Q12" i="6"/>
  <c r="W12" i="6"/>
  <c r="P13" i="6"/>
  <c r="V13" i="6"/>
  <c r="X19" i="6"/>
  <c r="Q20" i="6"/>
  <c r="W20" i="6"/>
  <c r="P21" i="6"/>
  <c r="X27" i="6"/>
  <c r="X20" i="6"/>
  <c r="Q21" i="6"/>
  <c r="P22" i="6"/>
  <c r="V22" i="6"/>
  <c r="AA25" i="6"/>
  <c r="Q29" i="6"/>
  <c r="W29" i="6"/>
  <c r="P30" i="6"/>
  <c r="V30" i="6"/>
  <c r="X29" i="6"/>
  <c r="Q30" i="6"/>
  <c r="W30" i="6"/>
  <c r="X22" i="6"/>
  <c r="X30" i="6"/>
  <c r="X12" i="6"/>
  <c r="K11" i="6"/>
  <c r="AA13" i="6"/>
  <c r="Q17" i="6"/>
  <c r="W17" i="6"/>
  <c r="P18" i="6"/>
  <c r="V18" i="6"/>
  <c r="I21" i="6"/>
  <c r="V21" i="6" s="1"/>
  <c r="X24" i="6"/>
  <c r="P26" i="6"/>
  <c r="I11" i="6"/>
  <c r="X14" i="6"/>
  <c r="J11" i="6"/>
  <c r="X23" i="6"/>
  <c r="P11" i="6"/>
  <c r="Q18" i="6"/>
  <c r="P19" i="6"/>
  <c r="Q26" i="6"/>
  <c r="P27" i="6"/>
  <c r="R15" i="5"/>
  <c r="Z12" i="5"/>
  <c r="AC17" i="5"/>
  <c r="AC24" i="5"/>
  <c r="Z30" i="5"/>
  <c r="Z29" i="5"/>
  <c r="Z23" i="5"/>
  <c r="Z13" i="5"/>
  <c r="AC25" i="5"/>
  <c r="U12" i="5"/>
  <c r="T14" i="5"/>
  <c r="Z28" i="5"/>
  <c r="Z20" i="5"/>
  <c r="Z27" i="5"/>
  <c r="Z19" i="5"/>
  <c r="AC15" i="5"/>
  <c r="Z18" i="5"/>
  <c r="AC22" i="5"/>
  <c r="AC14" i="5"/>
  <c r="Z25" i="5"/>
  <c r="AC13" i="5"/>
  <c r="Z24" i="5"/>
  <c r="AC28" i="5"/>
  <c r="AC20" i="5"/>
  <c r="AC12" i="5"/>
  <c r="Z15" i="5"/>
  <c r="AC27" i="5"/>
  <c r="AC19" i="5"/>
  <c r="Z22" i="5"/>
  <c r="Z14" i="5"/>
  <c r="AC18" i="5"/>
  <c r="U11" i="5"/>
  <c r="R28" i="5"/>
  <c r="Q25" i="5"/>
  <c r="I26" i="5"/>
  <c r="R13" i="5"/>
  <c r="R14" i="5"/>
  <c r="T26" i="5"/>
  <c r="T13" i="5"/>
  <c r="R20" i="5"/>
  <c r="R16" i="5"/>
  <c r="R19" i="5"/>
  <c r="T21" i="5"/>
  <c r="P13" i="5"/>
  <c r="R22" i="5"/>
  <c r="P28" i="5"/>
  <c r="P22" i="5"/>
  <c r="T23" i="5"/>
  <c r="I16" i="5"/>
  <c r="Q16" i="5"/>
  <c r="J16" i="5"/>
  <c r="U22" i="5"/>
  <c r="Q26" i="5"/>
  <c r="I11" i="5"/>
  <c r="U24" i="5"/>
  <c r="U25" i="5"/>
  <c r="S17" i="5"/>
  <c r="S12" i="5"/>
  <c r="U13" i="5"/>
  <c r="S18" i="5"/>
  <c r="U19" i="5"/>
  <c r="U20" i="5"/>
  <c r="S11" i="5"/>
  <c r="Q12" i="5"/>
  <c r="R17" i="5"/>
  <c r="Q18" i="5"/>
  <c r="P19" i="5"/>
  <c r="K21" i="5"/>
  <c r="T22" i="5"/>
  <c r="R23" i="5"/>
  <c r="Q24" i="5"/>
  <c r="P25" i="5"/>
  <c r="U27" i="5"/>
  <c r="T28" i="5"/>
  <c r="R29" i="5"/>
  <c r="Q30" i="5"/>
  <c r="S29" i="5"/>
  <c r="U18" i="5"/>
  <c r="T19" i="5"/>
  <c r="S23" i="5"/>
  <c r="T11" i="5"/>
  <c r="S14" i="5"/>
  <c r="U16" i="5"/>
  <c r="P17" i="5"/>
  <c r="S20" i="5"/>
  <c r="S21" i="5"/>
  <c r="P23" i="5"/>
  <c r="R27" i="5"/>
  <c r="P29" i="5"/>
  <c r="T17" i="5"/>
  <c r="S27" i="5"/>
  <c r="U28" i="5"/>
  <c r="T29" i="5"/>
  <c r="R30" i="5"/>
  <c r="S30" i="5"/>
  <c r="J11" i="5"/>
  <c r="P12" i="5"/>
  <c r="S15" i="5"/>
  <c r="S16" i="5"/>
  <c r="Q17" i="5"/>
  <c r="P18" i="5"/>
  <c r="I21" i="5"/>
  <c r="Q23" i="5"/>
  <c r="P24" i="5"/>
  <c r="K26" i="5"/>
  <c r="T27" i="5"/>
  <c r="Q29" i="5"/>
  <c r="P30" i="5"/>
  <c r="T12" i="5"/>
  <c r="P15" i="5"/>
  <c r="U17" i="5"/>
  <c r="T18" i="5"/>
  <c r="Q20" i="5"/>
  <c r="Q21" i="5"/>
  <c r="S22" i="5"/>
  <c r="U23" i="5"/>
  <c r="T24" i="5"/>
  <c r="R25" i="5"/>
  <c r="R26" i="5"/>
  <c r="S28" i="5"/>
  <c r="U29" i="5"/>
  <c r="U30" i="5"/>
  <c r="S24" i="5"/>
  <c r="K11" i="5"/>
  <c r="Q14" i="5"/>
  <c r="R11" i="5"/>
  <c r="S13" i="5"/>
  <c r="U14" i="5"/>
  <c r="S19" i="5"/>
  <c r="J21" i="5"/>
  <c r="S26" i="5"/>
  <c r="Q27" i="5"/>
  <c r="K12" i="1"/>
  <c r="K13" i="1"/>
  <c r="K14" i="1"/>
  <c r="K15" i="1"/>
  <c r="K17" i="1"/>
  <c r="K18" i="1"/>
  <c r="K19" i="1"/>
  <c r="K20" i="1"/>
  <c r="K22" i="1"/>
  <c r="K23" i="1"/>
  <c r="K24" i="1"/>
  <c r="K25" i="1"/>
  <c r="K27" i="1"/>
  <c r="K28" i="1"/>
  <c r="K29" i="1"/>
  <c r="K30" i="1"/>
  <c r="I12" i="1"/>
  <c r="I13" i="1"/>
  <c r="I14" i="1"/>
  <c r="I15" i="1"/>
  <c r="I17" i="1"/>
  <c r="I18" i="1"/>
  <c r="I19" i="1"/>
  <c r="I20" i="1"/>
  <c r="I22" i="1"/>
  <c r="I23" i="1"/>
  <c r="I24" i="1"/>
  <c r="I25" i="1"/>
  <c r="I27" i="1"/>
  <c r="I28" i="1"/>
  <c r="I29" i="1"/>
  <c r="I30" i="1"/>
  <c r="J12" i="1"/>
  <c r="J13" i="1"/>
  <c r="J14" i="1"/>
  <c r="J15" i="1"/>
  <c r="J17" i="1"/>
  <c r="J18" i="1"/>
  <c r="J19" i="1"/>
  <c r="J20" i="1"/>
  <c r="J22" i="1"/>
  <c r="J23" i="1"/>
  <c r="J24" i="1"/>
  <c r="J25" i="1"/>
  <c r="J27" i="1"/>
  <c r="J28" i="1"/>
  <c r="J29" i="1"/>
  <c r="J3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D11" i="1"/>
  <c r="AC11" i="1" s="1"/>
  <c r="D12" i="1"/>
  <c r="AC12" i="1" s="1"/>
  <c r="D13" i="1"/>
  <c r="AC13" i="1" s="1"/>
  <c r="D14" i="1"/>
  <c r="AC14" i="1" s="1"/>
  <c r="D15" i="1"/>
  <c r="AC15" i="1" s="1"/>
  <c r="D16" i="1"/>
  <c r="AC16" i="1" s="1"/>
  <c r="D17" i="1"/>
  <c r="AC17" i="1" s="1"/>
  <c r="D18" i="1"/>
  <c r="AC18" i="1" s="1"/>
  <c r="D19" i="1"/>
  <c r="AC19" i="1" s="1"/>
  <c r="D20" i="1"/>
  <c r="AC20" i="1" s="1"/>
  <c r="D21" i="1"/>
  <c r="AC21" i="1" s="1"/>
  <c r="D22" i="1"/>
  <c r="AC22" i="1" s="1"/>
  <c r="D23" i="1"/>
  <c r="AC23" i="1" s="1"/>
  <c r="D24" i="1"/>
  <c r="AC24" i="1" s="1"/>
  <c r="D25" i="1"/>
  <c r="AC25" i="1" s="1"/>
  <c r="D26" i="1"/>
  <c r="AC26" i="1" s="1"/>
  <c r="D27" i="1"/>
  <c r="AC27" i="1" s="1"/>
  <c r="D28" i="1"/>
  <c r="AC28" i="1" s="1"/>
  <c r="D29" i="1"/>
  <c r="AC29" i="1" s="1"/>
  <c r="D30" i="1"/>
  <c r="AC30" i="1" s="1"/>
  <c r="A11" i="1"/>
  <c r="K27" i="3"/>
  <c r="J27" i="3"/>
  <c r="I27" i="3"/>
  <c r="K26" i="3"/>
  <c r="J26" i="3"/>
  <c r="I26" i="3"/>
  <c r="K25" i="3"/>
  <c r="J25" i="3"/>
  <c r="I25" i="3"/>
  <c r="K24" i="3"/>
  <c r="J24" i="3"/>
  <c r="I24" i="3"/>
  <c r="K22" i="3"/>
  <c r="J22" i="3"/>
  <c r="I22" i="3"/>
  <c r="K21" i="3"/>
  <c r="J21" i="3"/>
  <c r="I21" i="3"/>
  <c r="K20" i="3"/>
  <c r="J20" i="3"/>
  <c r="I20" i="3"/>
  <c r="K19" i="3"/>
  <c r="J19" i="3"/>
  <c r="I19" i="3"/>
  <c r="K17" i="3"/>
  <c r="J17" i="3"/>
  <c r="I17" i="3"/>
  <c r="K16" i="3"/>
  <c r="J16" i="3"/>
  <c r="I16" i="3"/>
  <c r="K15" i="3"/>
  <c r="J15" i="3"/>
  <c r="I15" i="3"/>
  <c r="K14" i="3"/>
  <c r="J14" i="3"/>
  <c r="I14" i="3"/>
  <c r="K12" i="3"/>
  <c r="J12" i="3"/>
  <c r="I12" i="3"/>
  <c r="K11" i="3"/>
  <c r="J11" i="3"/>
  <c r="I11" i="3"/>
  <c r="K10" i="3"/>
  <c r="J10" i="3"/>
  <c r="I10" i="3"/>
  <c r="K9" i="3"/>
  <c r="J9" i="3"/>
  <c r="I9" i="3"/>
  <c r="Y30" i="1"/>
  <c r="Y25" i="1"/>
  <c r="Y20" i="1"/>
  <c r="Y15" i="1"/>
  <c r="V21" i="7" l="1"/>
  <c r="W11" i="7"/>
  <c r="X11" i="7" s="1"/>
  <c r="W21" i="7"/>
  <c r="X21" i="7" s="1"/>
  <c r="Y21" i="7" s="1"/>
  <c r="V26" i="7"/>
  <c r="W26" i="7" s="1"/>
  <c r="X26" i="7" s="1"/>
  <c r="Y27" i="7" s="1"/>
  <c r="V16" i="7"/>
  <c r="W16" i="7" s="1"/>
  <c r="X16" i="7" s="1"/>
  <c r="Y19" i="7" s="1"/>
  <c r="Y23" i="7"/>
  <c r="Y24" i="7"/>
  <c r="Y26" i="7"/>
  <c r="AH15" i="1"/>
  <c r="AG15" i="1"/>
  <c r="AG30" i="1"/>
  <c r="AH30" i="1"/>
  <c r="AG28" i="1"/>
  <c r="AI28" i="1" s="1"/>
  <c r="AH28" i="1"/>
  <c r="AH20" i="1"/>
  <c r="AG20" i="1"/>
  <c r="AH12" i="1"/>
  <c r="AG12" i="1"/>
  <c r="AH14" i="1"/>
  <c r="AG14" i="1"/>
  <c r="AG29" i="1"/>
  <c r="AI29" i="1" s="1"/>
  <c r="AH29" i="1"/>
  <c r="AG27" i="1"/>
  <c r="AH27" i="1"/>
  <c r="AH19" i="1"/>
  <c r="AG19" i="1"/>
  <c r="AI19" i="1" s="1"/>
  <c r="AH23" i="1"/>
  <c r="AG23" i="1"/>
  <c r="AH22" i="1"/>
  <c r="AG22" i="1"/>
  <c r="AH13" i="1"/>
  <c r="AG13" i="1"/>
  <c r="AH18" i="1"/>
  <c r="AG18" i="1"/>
  <c r="AI18" i="1" s="1"/>
  <c r="AH25" i="1"/>
  <c r="AG25" i="1"/>
  <c r="AG17" i="1"/>
  <c r="AH17" i="1"/>
  <c r="AH24" i="1"/>
  <c r="AG24" i="1"/>
  <c r="AI24" i="1" s="1"/>
  <c r="V26" i="6"/>
  <c r="W26" i="6" s="1"/>
  <c r="X26" i="6" s="1"/>
  <c r="AG22" i="6"/>
  <c r="AH22" i="6"/>
  <c r="AG23" i="6"/>
  <c r="AH23" i="6"/>
  <c r="AG24" i="6"/>
  <c r="AH24" i="6"/>
  <c r="AG20" i="6"/>
  <c r="AH20" i="6"/>
  <c r="AG17" i="6"/>
  <c r="AH17" i="6"/>
  <c r="AG28" i="6"/>
  <c r="AH28" i="6"/>
  <c r="AG25" i="6"/>
  <c r="AH25" i="6"/>
  <c r="AG13" i="6"/>
  <c r="AH13" i="6"/>
  <c r="AG18" i="6"/>
  <c r="AH18" i="6"/>
  <c r="AG29" i="6"/>
  <c r="AH29" i="6"/>
  <c r="AG19" i="6"/>
  <c r="AH19" i="6"/>
  <c r="AG27" i="6"/>
  <c r="AH27" i="6"/>
  <c r="AG14" i="6"/>
  <c r="AH14" i="6"/>
  <c r="AG30" i="6"/>
  <c r="AH30" i="6"/>
  <c r="AG12" i="6"/>
  <c r="AH12" i="6"/>
  <c r="AG15" i="6"/>
  <c r="AH15" i="6"/>
  <c r="V16" i="6"/>
  <c r="W16" i="6" s="1"/>
  <c r="X16" i="6" s="1"/>
  <c r="W21" i="6"/>
  <c r="X21" i="6" s="1"/>
  <c r="Y24" i="6"/>
  <c r="AC24" i="6" s="1"/>
  <c r="Y23" i="6"/>
  <c r="AC23" i="6" s="1"/>
  <c r="Y22" i="6"/>
  <c r="AC22" i="6" s="1"/>
  <c r="Y21" i="6"/>
  <c r="AC21" i="6" s="1"/>
  <c r="Y29" i="6"/>
  <c r="AC29" i="6" s="1"/>
  <c r="Y28" i="6"/>
  <c r="AC28" i="6" s="1"/>
  <c r="Y27" i="6"/>
  <c r="AC27" i="6" s="1"/>
  <c r="Y26" i="6"/>
  <c r="AC26" i="6" s="1"/>
  <c r="Y16" i="6"/>
  <c r="AC16" i="6" s="1"/>
  <c r="Y19" i="6"/>
  <c r="AC19" i="6" s="1"/>
  <c r="Y18" i="6"/>
  <c r="AC18" i="6" s="1"/>
  <c r="Y17" i="6"/>
  <c r="AC17" i="6" s="1"/>
  <c r="V11" i="6"/>
  <c r="W11" i="6" s="1"/>
  <c r="X11" i="6" s="1"/>
  <c r="X28" i="1"/>
  <c r="X29" i="1"/>
  <c r="X13" i="1"/>
  <c r="AI13" i="1"/>
  <c r="AI12" i="1"/>
  <c r="X12" i="1"/>
  <c r="X19" i="1"/>
  <c r="X17" i="1"/>
  <c r="AI17" i="1"/>
  <c r="X20" i="1"/>
  <c r="AI20" i="1"/>
  <c r="AI27" i="1"/>
  <c r="X27" i="1"/>
  <c r="X18" i="1"/>
  <c r="AI25" i="1"/>
  <c r="X25" i="1"/>
  <c r="X24" i="1"/>
  <c r="X23" i="1"/>
  <c r="AI23" i="1"/>
  <c r="X15" i="1"/>
  <c r="AI15" i="1"/>
  <c r="X30" i="1"/>
  <c r="AI30" i="1"/>
  <c r="AI22" i="1"/>
  <c r="X22" i="1"/>
  <c r="AI14" i="1"/>
  <c r="X14" i="1"/>
  <c r="K26" i="1"/>
  <c r="Q25" i="1"/>
  <c r="P17" i="1"/>
  <c r="K16" i="1"/>
  <c r="Q24" i="1"/>
  <c r="P24" i="1"/>
  <c r="Q23" i="1"/>
  <c r="P23" i="1"/>
  <c r="P15" i="1"/>
  <c r="Q26" i="1"/>
  <c r="P18" i="1"/>
  <c r="Q18" i="1"/>
  <c r="Q17" i="1"/>
  <c r="Q15" i="1"/>
  <c r="P26" i="1"/>
  <c r="P25" i="1"/>
  <c r="Q22" i="1"/>
  <c r="P14" i="1"/>
  <c r="Q30" i="1"/>
  <c r="Q16" i="1"/>
  <c r="P22" i="1"/>
  <c r="Q14" i="1"/>
  <c r="P30" i="1"/>
  <c r="P16" i="1"/>
  <c r="W29" i="1"/>
  <c r="V29" i="1"/>
  <c r="AA29" i="1"/>
  <c r="W13" i="1"/>
  <c r="AA13" i="1"/>
  <c r="V13" i="1"/>
  <c r="W28" i="1"/>
  <c r="AA28" i="1"/>
  <c r="V28" i="1"/>
  <c r="V20" i="1"/>
  <c r="W20" i="1"/>
  <c r="AA20" i="1"/>
  <c r="AA12" i="1"/>
  <c r="W12" i="1"/>
  <c r="V12" i="1"/>
  <c r="J21" i="1"/>
  <c r="I21" i="1"/>
  <c r="W27" i="1"/>
  <c r="V27" i="1"/>
  <c r="AA27" i="1"/>
  <c r="W19" i="1"/>
  <c r="AA19" i="1"/>
  <c r="V19" i="1"/>
  <c r="W18" i="1"/>
  <c r="AA18" i="1"/>
  <c r="V18" i="1"/>
  <c r="Q11" i="1"/>
  <c r="P11" i="1"/>
  <c r="K11" i="1"/>
  <c r="W25" i="1"/>
  <c r="V25" i="1"/>
  <c r="AA25" i="1"/>
  <c r="AA17" i="1"/>
  <c r="W17" i="1"/>
  <c r="V17" i="1"/>
  <c r="J26" i="1"/>
  <c r="I26" i="1"/>
  <c r="V24" i="1"/>
  <c r="AA24" i="1"/>
  <c r="W24" i="1"/>
  <c r="Q29" i="1"/>
  <c r="Q21" i="1"/>
  <c r="Q13" i="1"/>
  <c r="P29" i="1"/>
  <c r="P21" i="1"/>
  <c r="P13" i="1"/>
  <c r="K21" i="1"/>
  <c r="V23" i="1"/>
  <c r="AA23" i="1"/>
  <c r="W23" i="1"/>
  <c r="V15" i="1"/>
  <c r="AA15" i="1"/>
  <c r="W15" i="1"/>
  <c r="Q28" i="1"/>
  <c r="Q20" i="1"/>
  <c r="Q12" i="1"/>
  <c r="J16" i="1"/>
  <c r="P28" i="1"/>
  <c r="P20" i="1"/>
  <c r="P12" i="1"/>
  <c r="I16" i="1"/>
  <c r="AA30" i="1"/>
  <c r="V30" i="1"/>
  <c r="W30" i="1"/>
  <c r="AA22" i="1"/>
  <c r="V22" i="1"/>
  <c r="W22" i="1"/>
  <c r="AA14" i="1"/>
  <c r="V14" i="1"/>
  <c r="W14" i="1"/>
  <c r="Q27" i="1"/>
  <c r="Q19" i="1"/>
  <c r="J11" i="1"/>
  <c r="P27" i="1"/>
  <c r="P19" i="1"/>
  <c r="I11" i="1"/>
  <c r="P16" i="5"/>
  <c r="V18" i="5" s="1"/>
  <c r="W18" i="5" s="1"/>
  <c r="P11" i="5"/>
  <c r="P26" i="5"/>
  <c r="V26" i="5" s="1"/>
  <c r="W26" i="5" s="1"/>
  <c r="P21" i="5"/>
  <c r="V19" i="5"/>
  <c r="W19" i="5" s="1"/>
  <c r="Y22" i="7" l="1"/>
  <c r="Y28" i="7"/>
  <c r="Y29" i="7"/>
  <c r="Y17" i="7"/>
  <c r="Z17" i="7" s="1"/>
  <c r="Y18" i="7"/>
  <c r="Z18" i="7" s="1"/>
  <c r="Y14" i="7"/>
  <c r="Y12" i="7"/>
  <c r="Z12" i="7" s="1"/>
  <c r="Y11" i="7"/>
  <c r="Z11" i="7" s="1"/>
  <c r="Y13" i="7"/>
  <c r="Z13" i="7" s="1"/>
  <c r="Y16" i="7"/>
  <c r="Z16" i="7" s="1"/>
  <c r="Z27" i="7"/>
  <c r="Z23" i="7"/>
  <c r="Z21" i="7"/>
  <c r="Z28" i="7"/>
  <c r="Z26" i="7"/>
  <c r="Z22" i="7"/>
  <c r="Z27" i="6"/>
  <c r="Z22" i="6"/>
  <c r="Z28" i="6"/>
  <c r="Z18" i="6"/>
  <c r="Z16" i="6"/>
  <c r="Z23" i="6"/>
  <c r="Z26" i="6"/>
  <c r="Y13" i="6"/>
  <c r="AC13" i="6" s="1"/>
  <c r="Y12" i="6"/>
  <c r="AC12" i="6" s="1"/>
  <c r="Y11" i="6"/>
  <c r="AC11" i="6" s="1"/>
  <c r="Y14" i="6"/>
  <c r="AC14" i="6" s="1"/>
  <c r="Z17" i="6"/>
  <c r="Z21" i="6"/>
  <c r="V29" i="5"/>
  <c r="W29" i="5" s="1"/>
  <c r="Y16" i="5"/>
  <c r="V17" i="5"/>
  <c r="W17" i="5" s="1"/>
  <c r="V16" i="5"/>
  <c r="W16" i="5" s="1"/>
  <c r="Y18" i="5"/>
  <c r="V14" i="5"/>
  <c r="W14" i="5" s="1"/>
  <c r="V13" i="5"/>
  <c r="W13" i="5" s="1"/>
  <c r="V12" i="5"/>
  <c r="W12" i="5" s="1"/>
  <c r="Y17" i="5"/>
  <c r="Y11" i="5"/>
  <c r="Y12" i="5"/>
  <c r="V21" i="1"/>
  <c r="W21" i="1" s="1"/>
  <c r="X21" i="1" s="1"/>
  <c r="V16" i="1"/>
  <c r="W16" i="1" s="1"/>
  <c r="X16" i="1" s="1"/>
  <c r="V26" i="1"/>
  <c r="W26" i="1" s="1"/>
  <c r="X26" i="1" s="1"/>
  <c r="V11" i="1"/>
  <c r="W11" i="1" s="1"/>
  <c r="X11" i="1" s="1"/>
  <c r="Y14" i="1" s="1"/>
  <c r="V11" i="5"/>
  <c r="W11" i="5" s="1"/>
  <c r="Y13" i="5"/>
  <c r="V27" i="5"/>
  <c r="W27" i="5" s="1"/>
  <c r="V28" i="5"/>
  <c r="W28" i="5" s="1"/>
  <c r="V24" i="5"/>
  <c r="W24" i="5" s="1"/>
  <c r="Y23" i="5"/>
  <c r="Y27" i="5"/>
  <c r="V22" i="5"/>
  <c r="W22" i="5" s="1"/>
  <c r="Y21" i="5"/>
  <c r="Y26" i="5"/>
  <c r="V21" i="5"/>
  <c r="W21" i="5" s="1"/>
  <c r="V23" i="5"/>
  <c r="W23" i="5" s="1"/>
  <c r="Y22" i="5"/>
  <c r="Y28" i="5"/>
  <c r="AA21" i="7" l="1"/>
  <c r="AB23" i="7" s="1"/>
  <c r="AA11" i="7"/>
  <c r="AB13" i="7" s="1"/>
  <c r="AB21" i="7"/>
  <c r="AG21" i="7" s="1"/>
  <c r="AI21" i="7" s="1"/>
  <c r="AB22" i="7"/>
  <c r="AB11" i="7"/>
  <c r="AG11" i="7" s="1"/>
  <c r="AB12" i="7"/>
  <c r="AA26" i="7"/>
  <c r="AA16" i="7"/>
  <c r="AE14" i="1"/>
  <c r="AG11" i="1"/>
  <c r="AA26" i="6"/>
  <c r="AB26" i="6" s="1"/>
  <c r="AD26" i="6" s="1"/>
  <c r="AA21" i="6"/>
  <c r="AB21" i="6" s="1"/>
  <c r="AD21" i="6" s="1"/>
  <c r="AA16" i="6"/>
  <c r="AB29" i="6"/>
  <c r="AD29" i="6" s="1"/>
  <c r="AB28" i="6"/>
  <c r="AD28" i="6" s="1"/>
  <c r="AB27" i="6"/>
  <c r="AD27" i="6" s="1"/>
  <c r="Z11" i="6"/>
  <c r="Z12" i="6"/>
  <c r="Z13" i="6"/>
  <c r="Z16" i="5"/>
  <c r="AA18" i="5" s="1"/>
  <c r="AB18" i="5" s="1"/>
  <c r="Z11" i="5"/>
  <c r="AA14" i="5" s="1"/>
  <c r="AB14" i="5" s="1"/>
  <c r="Z21" i="5"/>
  <c r="Z26" i="5"/>
  <c r="Y28" i="1"/>
  <c r="AE28" i="1" s="1"/>
  <c r="Y29" i="1"/>
  <c r="Y27" i="1"/>
  <c r="AE27" i="1" s="1"/>
  <c r="Y26" i="1"/>
  <c r="AE26" i="1" s="1"/>
  <c r="AA12" i="5"/>
  <c r="AB12" i="5" s="1"/>
  <c r="AA11" i="5"/>
  <c r="AA13" i="5"/>
  <c r="AB13" i="5" s="1"/>
  <c r="AA17" i="5"/>
  <c r="AB17" i="5" s="1"/>
  <c r="AA16" i="5"/>
  <c r="AB16" i="5" s="1"/>
  <c r="AA20" i="5"/>
  <c r="AB20" i="5" s="1"/>
  <c r="AA19" i="5"/>
  <c r="AB19" i="5" s="1"/>
  <c r="Y16" i="1"/>
  <c r="AE16" i="1" s="1"/>
  <c r="Y17" i="1"/>
  <c r="AE17" i="1" s="1"/>
  <c r="Y18" i="1"/>
  <c r="AE18" i="1" s="1"/>
  <c r="Y19" i="1"/>
  <c r="Y22" i="1"/>
  <c r="AE22" i="1" s="1"/>
  <c r="Y23" i="1"/>
  <c r="AE23" i="1" s="1"/>
  <c r="Y24" i="1"/>
  <c r="Y21" i="1"/>
  <c r="AE21" i="1" s="1"/>
  <c r="AB24" i="7" l="1"/>
  <c r="AB14" i="7"/>
  <c r="AB19" i="7"/>
  <c r="AB16" i="7"/>
  <c r="AG16" i="7" s="1"/>
  <c r="AI16" i="7" s="1"/>
  <c r="AB17" i="7"/>
  <c r="AB18" i="7"/>
  <c r="AB27" i="7"/>
  <c r="AB28" i="7"/>
  <c r="AB29" i="7"/>
  <c r="AB26" i="7"/>
  <c r="AG26" i="7" s="1"/>
  <c r="AE19" i="1"/>
  <c r="AG16" i="1"/>
  <c r="AE24" i="1"/>
  <c r="AG21" i="1"/>
  <c r="AE29" i="1"/>
  <c r="AG26" i="1"/>
  <c r="AB22" i="6"/>
  <c r="AD22" i="6" s="1"/>
  <c r="AE26" i="6"/>
  <c r="AB23" i="6"/>
  <c r="AB24" i="6"/>
  <c r="AD24" i="6" s="1"/>
  <c r="AB19" i="6"/>
  <c r="AD19" i="6" s="1"/>
  <c r="AB18" i="6"/>
  <c r="AD18" i="6" s="1"/>
  <c r="AB17" i="6"/>
  <c r="AD17" i="6" s="1"/>
  <c r="AB16" i="6"/>
  <c r="AD16" i="6" s="1"/>
  <c r="AA11" i="6"/>
  <c r="Z27" i="1"/>
  <c r="Z23" i="1"/>
  <c r="Z28" i="1"/>
  <c r="Z22" i="1"/>
  <c r="Z18" i="1"/>
  <c r="Z17" i="1"/>
  <c r="Z21" i="1"/>
  <c r="Z16" i="1"/>
  <c r="Z26" i="1"/>
  <c r="Y12" i="1"/>
  <c r="AE12" i="1" s="1"/>
  <c r="AA15" i="5"/>
  <c r="AB15" i="5" s="1"/>
  <c r="AC16" i="5"/>
  <c r="AB11" i="5"/>
  <c r="AC11" i="5" s="1"/>
  <c r="Y11" i="1"/>
  <c r="AE11" i="1" s="1"/>
  <c r="Y13" i="1"/>
  <c r="AE13" i="1" s="1"/>
  <c r="AA26" i="5"/>
  <c r="AB26" i="5" s="1"/>
  <c r="AA30" i="5"/>
  <c r="AB30" i="5" s="1"/>
  <c r="AA29" i="5"/>
  <c r="AB29" i="5" s="1"/>
  <c r="AA28" i="5"/>
  <c r="AB28" i="5" s="1"/>
  <c r="AA27" i="5"/>
  <c r="AB27" i="5" s="1"/>
  <c r="AA21" i="5"/>
  <c r="AB21" i="5" s="1"/>
  <c r="AA23" i="5"/>
  <c r="AB23" i="5" s="1"/>
  <c r="AA25" i="5"/>
  <c r="AB25" i="5" s="1"/>
  <c r="AA24" i="5"/>
  <c r="AB24" i="5" s="1"/>
  <c r="AA22" i="5"/>
  <c r="AB22" i="5" s="1"/>
  <c r="AD23" i="6" l="1"/>
  <c r="AE21" i="6" s="1"/>
  <c r="AG26" i="6"/>
  <c r="AH26" i="6" s="1"/>
  <c r="AE16" i="6"/>
  <c r="AB13" i="6"/>
  <c r="AD13" i="6" s="1"/>
  <c r="AB12" i="6"/>
  <c r="AD12" i="6" s="1"/>
  <c r="AB14" i="6"/>
  <c r="AD14" i="6" s="1"/>
  <c r="AB11" i="6"/>
  <c r="AA21" i="1"/>
  <c r="Z12" i="1"/>
  <c r="Z13" i="1"/>
  <c r="Z11" i="1"/>
  <c r="AB22" i="1"/>
  <c r="AF22" i="1" s="1"/>
  <c r="AB23" i="1"/>
  <c r="AF23" i="1" s="1"/>
  <c r="AB24" i="1"/>
  <c r="AF24" i="1" s="1"/>
  <c r="AB21" i="1"/>
  <c r="AF21" i="1" s="1"/>
  <c r="AH21" i="1" s="1"/>
  <c r="AA16" i="1"/>
  <c r="AA26" i="1"/>
  <c r="AC21" i="5"/>
  <c r="AC26" i="5"/>
  <c r="AG21" i="6" l="1"/>
  <c r="AH21" i="6"/>
  <c r="AD11" i="6"/>
  <c r="AE11" i="6" s="1"/>
  <c r="AG16" i="6"/>
  <c r="AH16" i="6" s="1"/>
  <c r="AA11" i="1"/>
  <c r="AB11" i="1" s="1"/>
  <c r="AF11" i="1" s="1"/>
  <c r="AH11" i="1" s="1"/>
  <c r="AB26" i="1"/>
  <c r="AF26" i="1" s="1"/>
  <c r="AB27" i="1"/>
  <c r="AF27" i="1" s="1"/>
  <c r="AB28" i="1"/>
  <c r="AF28" i="1" s="1"/>
  <c r="AB29" i="1"/>
  <c r="AF29" i="1" s="1"/>
  <c r="AB19" i="1"/>
  <c r="AF19" i="1" s="1"/>
  <c r="AB17" i="1"/>
  <c r="AF17" i="1" s="1"/>
  <c r="AB16" i="1"/>
  <c r="AF16" i="1" s="1"/>
  <c r="AB18" i="1"/>
  <c r="AF18" i="1" s="1"/>
  <c r="AB12" i="1"/>
  <c r="AF12" i="1" s="1"/>
  <c r="AB13" i="1"/>
  <c r="AF13" i="1" s="1"/>
  <c r="AB14" i="1"/>
  <c r="AF14" i="1" s="1"/>
  <c r="AH26" i="1" l="1"/>
  <c r="AH16" i="1"/>
  <c r="AI16" i="1" s="1"/>
  <c r="AG11" i="6"/>
  <c r="AH11" i="6"/>
  <c r="AI11" i="1"/>
  <c r="AI26" i="1"/>
  <c r="AI21" i="1"/>
</calcChain>
</file>

<file path=xl/sharedStrings.xml><?xml version="1.0" encoding="utf-8"?>
<sst xmlns="http://schemas.openxmlformats.org/spreadsheetml/2006/main" count="635" uniqueCount="138">
  <si>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</si>
  <si>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</si>
  <si>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</si>
  <si>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</si>
  <si>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</si>
  <si>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</si>
  <si>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</si>
  <si>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</si>
  <si>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</si>
  <si>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</si>
  <si>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</si>
  <si>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</si>
  <si>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</si>
  <si>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</si>
  <si>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</si>
  <si>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</si>
  <si>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</si>
  <si>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</si>
  <si>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</si>
  <si>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</si>
  <si>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</si>
  <si>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</si>
  <si>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</si>
  <si>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</si>
  <si>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</si>
  <si>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</si>
  <si>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</si>
  <si>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</si>
  <si>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</si>
  <si>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</si>
  <si>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</si>
  <si>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</si>
  <si>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</si>
  <si>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</si>
  <si>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</si>
  <si>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</si>
  <si>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MMS (T = 1)</t>
  </si>
  <si>
    <t>MMS (T = 2)</t>
  </si>
  <si>
    <t>MMSmT=1</t>
  </si>
  <si>
    <t>mT=2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</si>
  <si>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</si>
  <si>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</si>
  <si>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</si>
  <si>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</si>
  <si>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</si>
  <si>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</si>
  <si>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</si>
  <si>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</si>
  <si>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</si>
  <si>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</si>
  <si>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</si>
  <si>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</si>
  <si>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</si>
  <si>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MMSmT=2</t>
  </si>
  <si>
    <t>4.6.1.1 (5)</t>
  </si>
  <si>
    <t>11a</t>
  </si>
  <si>
    <t>11b</t>
  </si>
  <si>
    <t>Allocation (stage 1)</t>
  </si>
  <si>
    <t>MCFim (T=1)</t>
  </si>
  <si>
    <t>expression</t>
  </si>
  <si>
    <t>Efm (T=1)</t>
  </si>
  <si>
    <t>m (T=1)</t>
  </si>
  <si>
    <t>FracGASMm (T=1)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</si>
  <si>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</si>
  <si>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</si>
  <si>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</si>
  <si>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</si>
  <si>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</si>
  <si>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</si>
  <si>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</si>
  <si>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</si>
  <si>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</si>
  <si>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</si>
  <si>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</si>
  <si>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</si>
  <si>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</si>
  <si>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</si>
  <si>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</si>
  <si>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</si>
  <si>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</si>
  <si>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</si>
  <si>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</si>
  <si>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</si>
  <si>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</si>
  <si>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</si>
  <si>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</si>
  <si>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</si>
  <si>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MjkmT=1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</si>
  <si>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</si>
  <si>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</si>
  <si>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</si>
  <si>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</si>
  <si>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VSLmT=1 (m != 14)</t>
  </si>
  <si>
    <t>VSTjk</t>
  </si>
  <si>
    <t>VSTjkm</t>
  </si>
  <si>
    <t>𝑉𝑆𝑇𝑖𝑗𝑚𝑇=2 = 𝑉𝑆𝑗𝑘 × 𝑀𝑀𝑆𝑗𝑚𝑇=1 × ( 1 − 𝑉𝑆𝐿𝑚𝑇=1)</t>
  </si>
  <si>
    <t>ECH4jm (T=1)</t>
  </si>
  <si>
    <t>MjkmT=2</t>
  </si>
  <si>
    <t>𝑉𝑆𝑇𝑗𝑘 × 𝐵𝑂 × 𝑀𝑀𝑆𝑗𝑚𝑇=2 × 𝑀𝐶𝐹𝑖𝑚 × 𝜌</t>
  </si>
  <si>
    <t>MCFim (T=2)</t>
  </si>
  <si>
    <t>Efm (T=2)</t>
  </si>
  <si>
    <t>FracGASMm (T=2)</t>
  </si>
  <si>
    <t>ECH4jm (T=2)</t>
  </si>
  <si>
    <t>ECH4</t>
  </si>
  <si>
    <t>∑ ∑ ∑ ∑ (𝐷𝑗𝑘 × 𝑀𝑗𝑘𝑚𝑇 × 𝑁𝑗𝑘) × 10−3</t>
  </si>
  <si>
    <t>meatChickenBreeder</t>
  </si>
  <si>
    <t>Nijk</t>
  </si>
  <si>
    <t>NEjk</t>
  </si>
  <si>
    <t>NRjk</t>
  </si>
  <si>
    <t>AEjk</t>
  </si>
  <si>
    <t>MNjkmT=1</t>
  </si>
  <si>
    <t>NTjkmT=2</t>
  </si>
  <si>
    <t>𝑁𝑇𝑗𝑘𝑚 𝑇=2 = (𝑀𝑁𝑗𝑘𝑚𝑇=1 × (1 − 𝐹𝑟𝑎𝑐𝐺𝐴𝑆𝑀𝑚𝑇=1 − 𝐸𝐹𝑚𝑇=1))</t>
  </si>
  <si>
    <t>MNjkmT=2</t>
  </si>
  <si>
    <t>EN2O,dir</t>
  </si>
  <si>
    <t>Method 1 Inputs</t>
  </si>
  <si>
    <t>partial</t>
  </si>
  <si>
    <t>Boj</t>
  </si>
  <si>
    <t>Method 2</t>
  </si>
  <si>
    <t>CN2O</t>
  </si>
  <si>
    <t>Nitrogen leaving primary systems</t>
  </si>
  <si>
    <t>EMN2O,PRP,dir</t>
  </si>
  <si>
    <t>EN2O,dir (total)</t>
  </si>
  <si>
    <t>"NTjkmT=1"</t>
  </si>
  <si>
    <t>𝐸𝑁2𝑂,𝑑𝑖𝑟 = ∑ ∑ ∑ ∑ (𝑀𝑁𝑗𝑘𝑚𝑇 × 𝐸𝐹𝑗𝑚 × 𝐶𝑁2𝑂 ) × 10−3</t>
  </si>
  <si>
    <t>EN2O,dir (per m, T=1)</t>
  </si>
  <si>
    <t>EN2O,dir (per m, T=2)</t>
  </si>
  <si>
    <t>FracGASMsoil</t>
  </si>
  <si>
    <t>EN2O,ad</t>
  </si>
  <si>
    <t>MMSATMOS per m (T=1)</t>
  </si>
  <si>
    <t>MMSATMOS per m (T=2)</t>
  </si>
  <si>
    <t>MMSATMOS</t>
  </si>
  <si>
    <t>EFLeach</t>
  </si>
  <si>
    <t>FracLEACHMS</t>
  </si>
  <si>
    <t>FracWET</t>
  </si>
  <si>
    <t>EN2O,leach</t>
  </si>
  <si>
    <t>MNLeachjm=4</t>
  </si>
  <si>
    <t>MNLeachjm=14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</si>
</sst>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AE32"/>
  <sheetViews>
    <sheetView topLeftCell="T1" workbookViewId="0">
      <selection activeCell="AD10" sqref="AD10"/>
    </sheetView>
  </sheetViews>
  <sheetFormatPr baseColWidth="10" defaultRowHeight="16" x14ac:dyDescent="0.2"/>
  <cols>
    <col min="22" max="22" width="24" customWidth="1"/>
    <col min="27" max="27" width="12.1640625" bestFit="1" customWidth="1"/>
    <col min="31" max="31" width="11.6640625" bestFit="1" customWidth="1"/>
  </cols>
  <sheetData>
    <row r="2" spans="1:31" x14ac:dyDescent="0.2">
      <c r="A2" t="s">
        <v>30</v>
      </c>
    </row>
    <row r="4" spans="1:31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59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116</v>
      </c>
      <c r="X4" t="s">
        <v>52</v>
      </c>
      <c r="Y4" t="s">
        <v>116</v>
      </c>
      <c r="Z4" t="s">
        <v>59</v>
      </c>
      <c r="AA4" t="s">
        <v>59</v>
      </c>
      <c r="AB4" t="s">
        <v>116</v>
      </c>
      <c r="AC4" t="s">
        <v>59</v>
      </c>
    </row>
    <row r="5" spans="1:31" x14ac:dyDescent="0.2">
      <c r="K5" t="s">
        <v>0</v>
      </c>
      <c r="P5" t="s">
        <v>54</v>
      </c>
      <c r="R5" t="s">
        <v>0</v>
      </c>
      <c r="S5" t="s">
        <v>0</v>
      </c>
      <c r="V5" t="s">
        <v>89</v>
      </c>
    </row>
    <row r="6" spans="1:31" x14ac:dyDescent="0.2">
      <c r="V6" t="s">
        <v>88</v>
      </c>
      <c r="Y6" t="s">
        <v>95</v>
      </c>
      <c r="AA6" t="s">
        <v>98</v>
      </c>
      <c r="AC6" t="s">
        <v>104</v>
      </c>
    </row>
    <row r="8" spans="1:31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48</v>
      </c>
      <c r="Q8" t="s">
        <v>45</v>
      </c>
      <c r="R8" t="s">
        <v>47</v>
      </c>
      <c r="S8" t="s">
        <v>51</v>
      </c>
    </row>
    <row r="10" spans="1:31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31</v>
      </c>
      <c r="Q10" s="1" t="s">
        <v>32</v>
      </c>
      <c r="R10" s="1" t="s">
        <v>34</v>
      </c>
      <c r="S10" s="1" t="s">
        <v>117</v>
      </c>
      <c r="T10" s="1" t="s">
        <v>58</v>
      </c>
      <c r="U10" s="1" t="s">
        <v>99</v>
      </c>
      <c r="V10" s="1" t="s">
        <v>87</v>
      </c>
      <c r="W10" s="1" t="s">
        <v>96</v>
      </c>
      <c r="X10" s="1" t="s">
        <v>92</v>
      </c>
      <c r="Y10" s="1" t="s">
        <v>94</v>
      </c>
      <c r="Z10" s="1" t="s">
        <v>93</v>
      </c>
      <c r="AA10" s="1" t="s">
        <v>97</v>
      </c>
      <c r="AB10" s="1" t="s">
        <v>102</v>
      </c>
      <c r="AC10" s="10" t="s">
        <v>103</v>
      </c>
    </row>
    <row r="11" spans="1:31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 t="shared" ref="P11:P30" si="0">IF(F11="", "",I11*(1-Q11)*(1-R11))</f>
        <v>1.4103999999999995E-2</v>
      </c>
      <c r="Q11">
        <f>IF(F11="", "",_xlfn.XLOOKUP(F11,Constants!$A$2:$A$5,Constants!C$2:C$5))</f>
        <v>0.8</v>
      </c>
      <c r="R11">
        <f>IF(F11="", "",_xlfn.XLOOKUP(F11,Constants!$A$2:$A$5,Constants!F$2:F$5))</f>
        <v>0.18</v>
      </c>
      <c r="S11">
        <f>IF(F11="", "",_xlfn.XLOOKUP(F11,Constants!$A$2:$A$5,Constants!G$2:G$5))</f>
        <v>0.39</v>
      </c>
      <c r="T11">
        <f>INDEX(Constants!$F$9:$M$17,MATCH(L11, Constants!$B$9:$B$17, 0), MATCH($A$11, Constants!$F$8:$M$8,0 ))</f>
        <v>1.4999999999999999E-2</v>
      </c>
      <c r="U11">
        <f>INDEX(Constants!$F$9:$M$17,MATCH(N11, Constants!$B$9:$B$17, 0), MATCH($A$11, Constants!$F$8:$M$8,0 ))</f>
        <v>0.02</v>
      </c>
      <c r="V11" s="12">
        <f>IF(ISBLANK(L11),"",$P$11*$S$11*M11*T11*Constants!$I$2)</f>
        <v>5.5973698559999982E-6</v>
      </c>
      <c r="W11">
        <f>IF(ISBLANK(L11), "", $G$11*V11*$H$11)</f>
        <v>1.3993424639999994</v>
      </c>
      <c r="X11">
        <f>IF(OR(ISBLANK(L11), L11="pastureRangeAndPaddock"), "",_xlfn.XLOOKUP(L11,Constants!$B$9:$B$17,Constants!$E$9:$E$17))</f>
        <v>0.15</v>
      </c>
      <c r="Y11">
        <f>IF(OR(ISBLANK(L11), L11="pastureRangeAndPaddock"), "",$P$11*M11*(1-X11))</f>
        <v>1.1988399999999996E-3</v>
      </c>
      <c r="Z11">
        <f t="shared" ref="Z11:Z30" si="1">IF(F11="", "",SUM(Y11:Y13))</f>
        <v>7.4045999999999973E-3</v>
      </c>
      <c r="AA11">
        <f>$Z$11*$S$11*O11*U11*Constants!$I$2</f>
        <v>5.8772383487999972E-6</v>
      </c>
      <c r="AB11">
        <f>$G$11*AA11*$H$11</f>
        <v>1.4693095871999993</v>
      </c>
      <c r="AC11">
        <f t="shared" ref="AC11:AC30" si="2">IF(F11="", "", SUM(W11:W14,AB11:AB15)/1000)</f>
        <v>2.6820730559999995E-2</v>
      </c>
      <c r="AE11" s="12"/>
    </row>
    <row r="12" spans="1:31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 t="shared" si="0"/>
        <v/>
      </c>
      <c r="Q12" t="str">
        <f>IF(F12="", "",_xlfn.XLOOKUP(F12,Constants!$A$2:$A$5,Constants!C$2:C$5))</f>
        <v/>
      </c>
      <c r="R12" t="str">
        <f>IF(F12="", "",_xlfn.XLOOKUP(F12,Constants!$A$2:$A$5,Constants!F$2:F$5))</f>
        <v/>
      </c>
      <c r="S12" t="str">
        <f>IF(F12="", "",_xlfn.XLOOKUP(F12,Constants!$A$2:$A$5,Constants!G$2:G$5))</f>
        <v/>
      </c>
      <c r="T12">
        <f>INDEX(Constants!$F$9:$M$17,MATCH(L12, Constants!$B$9:$B$17, 0), MATCH($A$11, Constants!$F$8:$M$8,0 ))</f>
        <v>1.4999999999999999E-2</v>
      </c>
      <c r="U12">
        <f>INDEX(Constants!$F$9:$M$17,MATCH(N12, Constants!$B$9:$B$17, 0), MATCH($A$11, Constants!$F$8:$M$8,0 ))</f>
        <v>0.01</v>
      </c>
      <c r="V12" s="12">
        <f>IF(ISBLANK(L12),"",$P$11*$S$11*M12*T12*Constants!$I$2)</f>
        <v>1.1194739711999996E-5</v>
      </c>
      <c r="W12">
        <f>IF(ISBLANK(L12), "", $G$11*V12*$H$11)</f>
        <v>2.7986849279999988</v>
      </c>
      <c r="X12">
        <f>IF(OR(ISBLANK(L12), L12="pastureRangeAndPaddock"), "",_xlfn.XLOOKUP(L12,Constants!$B$9:$B$17,Constants!$E$9:$E$17))</f>
        <v>0</v>
      </c>
      <c r="Y12">
        <f>IF(OR(ISBLANK(L12), L12="pastureRangeAndPaddock"), "",$P$11*M12*(1-X12))</f>
        <v>2.8207999999999992E-3</v>
      </c>
      <c r="Z12" t="str">
        <f t="shared" si="1"/>
        <v/>
      </c>
      <c r="AA12">
        <f>$Z$11*$S$11*O12*U12*Constants!$I$2</f>
        <v>3.918158899199999E-6</v>
      </c>
      <c r="AB12">
        <f t="shared" ref="AB12:AB15" si="3">$G$11*AA12*$H$11</f>
        <v>0.97953972479999984</v>
      </c>
      <c r="AC12" t="str">
        <f t="shared" si="2"/>
        <v/>
      </c>
    </row>
    <row r="13" spans="1:31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 t="shared" si="0"/>
        <v/>
      </c>
      <c r="Q13" t="str">
        <f>IF(F13="", "",_xlfn.XLOOKUP(F13,Constants!$A$2:$A$5,Constants!C$2:C$5))</f>
        <v/>
      </c>
      <c r="R13" t="str">
        <f>IF(F13="", "",_xlfn.XLOOKUP(F13,Constants!$A$2:$A$5,Constants!F$2:F$5))</f>
        <v/>
      </c>
      <c r="S13" t="str">
        <f>IF(F13="", "",_xlfn.XLOOKUP(F13,Constants!$A$2:$A$5,Constants!G$2:G$5))</f>
        <v/>
      </c>
      <c r="T13">
        <f>INDEX(Constants!$F$9:$M$17,MATCH(L13, Constants!$B$9:$B$17, 0), MATCH($A$11, Constants!$F$8:$M$8,0 ))</f>
        <v>1.4999999999999999E-2</v>
      </c>
      <c r="U13">
        <f>INDEX(Constants!$F$9:$M$17,MATCH(N13, Constants!$B$9:$B$17, 0), MATCH($A$11, Constants!$F$8:$M$8,0 ))</f>
        <v>0.1</v>
      </c>
      <c r="V13" s="12">
        <f>IF(ISBLANK(L13),"",$P$11*$S$11*M13*T13*Constants!$I$2)</f>
        <v>1.6792109567999992E-5</v>
      </c>
      <c r="W13">
        <f>IF(ISBLANK(L13), "", $G$11*V13*$H$11)</f>
        <v>4.1980273919999975</v>
      </c>
      <c r="X13">
        <f>IF(OR(ISBLANK(L13), L13="pastureRangeAndPaddock"), "",_xlfn.XLOOKUP(L13,Constants!$B$9:$B$17,Constants!$E$9:$E$17))</f>
        <v>0.2</v>
      </c>
      <c r="Y13">
        <f>IF(OR(ISBLANK(L13), L13="pastureRangeAndPaddock"), "",$P$11*M13*(1-X13))</f>
        <v>3.3849599999999989E-3</v>
      </c>
      <c r="Z13" t="str">
        <f t="shared" si="1"/>
        <v/>
      </c>
      <c r="AA13">
        <f>$Z$11*$S$11*O13*U13*Constants!$I$2</f>
        <v>4.8976986239999993E-5</v>
      </c>
      <c r="AB13">
        <f t="shared" si="3"/>
        <v>12.244246559999999</v>
      </c>
      <c r="AC13" t="str">
        <f t="shared" si="2"/>
        <v/>
      </c>
    </row>
    <row r="14" spans="1:31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 t="shared" si="0"/>
        <v/>
      </c>
      <c r="Q14" t="str">
        <f>IF(F14="", "",_xlfn.XLOOKUP(F14,Constants!$A$2:$A$5,Constants!C$2:C$5))</f>
        <v/>
      </c>
      <c r="R14" t="str">
        <f>IF(F14="", "",_xlfn.XLOOKUP(F14,Constants!$A$2:$A$5,Constants!F$2:F$5))</f>
        <v/>
      </c>
      <c r="S14" t="str">
        <f>IF(F14="", "",_xlfn.XLOOKUP(F14,Constants!$A$2:$A$5,Constants!G$2:G$5))</f>
        <v/>
      </c>
      <c r="T14">
        <f>INDEX(Constants!$F$9:$M$17,MATCH(L14, Constants!$B$9:$B$17, 0), MATCH($A$11, Constants!$F$8:$M$8,0 ))</f>
        <v>0.01</v>
      </c>
      <c r="U14">
        <f>INDEX(Constants!$F$9:$M$17,MATCH(N14, Constants!$B$9:$B$17, 0), MATCH($A$11, Constants!$F$8:$M$8,0 ))</f>
        <v>0</v>
      </c>
      <c r="V14" s="12">
        <f>IF(ISBLANK(L14),"",$P$11*$S$11*M14*T14*Constants!$I$2)</f>
        <v>1.4926319615999996E-5</v>
      </c>
      <c r="W14">
        <f>IF(ISBLANK(L14), "", $G$11*V14*$H$11)</f>
        <v>3.7315799039999993</v>
      </c>
      <c r="X14" t="str">
        <f>IF(OR(ISBLANK(L14), L14="pastureRangeAndPaddock"), "",_xlfn.XLOOKUP(L14,Constants!$B$9:$B$17,Constants!$E$9:$E$17))</f>
        <v/>
      </c>
      <c r="Y14" t="str">
        <f>IF(OR(ISBLANK(L14), L14="pastureRangeAndPaddock"), "",$P$11*M14*(1-X14))</f>
        <v/>
      </c>
      <c r="Z14" t="str">
        <f t="shared" si="1"/>
        <v/>
      </c>
      <c r="AA14">
        <f>$Z$11*$S$11*O14*U14*Constants!$I$2</f>
        <v>0</v>
      </c>
      <c r="AB14">
        <f t="shared" si="3"/>
        <v>0</v>
      </c>
      <c r="AC14" t="str">
        <f t="shared" si="2"/>
        <v/>
      </c>
    </row>
    <row r="15" spans="1:31" s="11" customFormat="1" x14ac:dyDescent="0.2">
      <c r="A15" s="11" t="str">
        <f>IF(ISBLANK('Input Scenarios'!A12), "", 'Input Scenarios'!A12)</f>
        <v/>
      </c>
      <c r="B15" s="11" t="str">
        <f>IF(ISBLANK('Input Scenarios'!B12), "", 'Input Scenarios'!B12)</f>
        <v/>
      </c>
      <c r="C15" s="11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 t="shared" si="0"/>
        <v/>
      </c>
      <c r="Q15" s="11" t="str">
        <f>IF(F15="", "",_xlfn.XLOOKUP(F15,Constants!$A$2:$A$5,Constants!C$2:C$5))</f>
        <v/>
      </c>
      <c r="R15" s="11" t="str">
        <f>IF(F15="", "",_xlfn.XLOOKUP(F15,Constants!$A$2:$A$5,Constants!F$2:F$5))</f>
        <v/>
      </c>
      <c r="S15" s="11" t="str">
        <f>IF(F15="", "",_xlfn.XLOOKUP(F15,Constants!$A$2:$A$5,Constants!G$2:G$5))</f>
        <v/>
      </c>
      <c r="U15" s="11">
        <f>INDEX(Constants!$F$9:$M$17,MATCH(N15, Constants!$B$9:$B$17, 0), MATCH($A$11, Constants!$F$8:$M$8,0 ))</f>
        <v>0</v>
      </c>
      <c r="V15" s="11" t="str">
        <f>IF(ISBLANK(L15),"",$P$11*$S$11*M15*T15*Constants!$I$2)</f>
        <v/>
      </c>
      <c r="W15" s="11" t="str">
        <f>IF(ISBLANK(L15), "", $G$11*V15*$H$11)</f>
        <v/>
      </c>
      <c r="X15" s="11" t="str">
        <f>IF(OR(ISBLANK(L15), L15="pastureRangeAndPaddock"), "",_xlfn.XLOOKUP(L15,Constants!$B$9:$B$17,Constants!$E$9:$E$17))</f>
        <v/>
      </c>
      <c r="Y15" s="11" t="str">
        <f>IF(OR(ISBLANK(L15), L15="pastureRangeAndPaddock"), "",$P$11*M15*(1-X15))</f>
        <v/>
      </c>
      <c r="Z15" s="11" t="str">
        <f t="shared" si="1"/>
        <v/>
      </c>
      <c r="AA15" s="11">
        <f>$Z$11*$S$11*O15*U15*Constants!$I$2</f>
        <v>0</v>
      </c>
      <c r="AB15" s="11">
        <f t="shared" si="3"/>
        <v>0</v>
      </c>
      <c r="AC15" s="11" t="str">
        <f t="shared" si="2"/>
        <v/>
      </c>
    </row>
    <row r="16" spans="1:31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 t="shared" si="0"/>
        <v>1.6891999999999997E-2</v>
      </c>
      <c r="Q16">
        <f>IF(F16="", "",_xlfn.XLOOKUP(F16,Constants!$A$2:$A$5,Constants!C$2:C$5))</f>
        <v>0.8</v>
      </c>
      <c r="R16">
        <f>IF(F16="", "",_xlfn.XLOOKUP(F16,Constants!$A$2:$A$5,Constants!F$2:F$5))</f>
        <v>0.18</v>
      </c>
      <c r="S16">
        <f>IF(F16="", "",_xlfn.XLOOKUP(F16,Constants!$A$2:$A$5,Constants!G$2:G$5))</f>
        <v>0.36</v>
      </c>
      <c r="T16">
        <f>INDEX(Constants!$F$9:$M$17,MATCH(L16, Constants!$B$9:$B$17, 0), MATCH($A$16, Constants!$F$8:$M$8,0 ))</f>
        <v>1.4999999999999999E-2</v>
      </c>
      <c r="U16">
        <f>INDEX(Constants!$F$9:$M$17,MATCH(N16, Constants!$B$9:$B$17, 0), MATCH($A$16, Constants!$F$8:$M$8,0 ))</f>
        <v>0.02</v>
      </c>
      <c r="V16">
        <f>IF(ISBLANK(L16),"",$P$16*$S$16*M16*T16*Constants!$I$2)</f>
        <v>2.4752590847999998E-5</v>
      </c>
      <c r="W16">
        <f>IF(ISBLANK(L16), "", $G$16*V16*$H$16)</f>
        <v>6.9616661759999996</v>
      </c>
      <c r="X16">
        <f>IF(OR(ISBLANK(L16), L16="pastureRangeAndPaddock"), "",_xlfn.XLOOKUP(L16,Constants!$B$9:$B$17,Constants!$E$9:$E$17))</f>
        <v>0.15</v>
      </c>
      <c r="Y16">
        <f>IF(OR(ISBLANK(L16), L16="pastureRangeAndPaddock"), "",$P$16*M16*(1-X16))</f>
        <v>5.743279999999999E-3</v>
      </c>
      <c r="Z16">
        <f t="shared" si="1"/>
        <v>1.3513599999999999E-2</v>
      </c>
      <c r="AA16">
        <f>$Z$16*$S$16*O16*U16*Constants!$I$2</f>
        <v>1.3201381785599999E-5</v>
      </c>
      <c r="AB16">
        <f>$G$16*AA16*$H$16</f>
        <v>3.7128886271999995</v>
      </c>
      <c r="AC16">
        <f t="shared" si="2"/>
        <v>4.3742469139199998E-2</v>
      </c>
    </row>
    <row r="17" spans="1:29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 t="shared" si="0"/>
        <v/>
      </c>
      <c r="Q17" t="str">
        <f>IF(F17="", "",_xlfn.XLOOKUP(F17,Constants!$A$2:$A$5,Constants!C$2:C$5))</f>
        <v/>
      </c>
      <c r="R17" t="str">
        <f>IF(F17="", "",_xlfn.XLOOKUP(F17,Constants!$A$2:$A$5,Constants!F$2:F$5))</f>
        <v/>
      </c>
      <c r="S17" t="str">
        <f>IF(F17="", "",_xlfn.XLOOKUP(F17,Constants!$A$2:$A$5,Constants!G$2:G$5))</f>
        <v/>
      </c>
      <c r="T17">
        <f>INDEX(Constants!$F$9:$M$17,MATCH(L17, Constants!$B$9:$B$17, 0), MATCH($A$16, Constants!$F$8:$M$8,0 ))</f>
        <v>1.4999999999999999E-2</v>
      </c>
      <c r="U17">
        <f>INDEX(Constants!$F$9:$M$17,MATCH(N17, Constants!$B$9:$B$17, 0), MATCH($A$16, Constants!$F$8:$M$8,0 ))</f>
        <v>0.01</v>
      </c>
      <c r="V17">
        <f>IF(ISBLANK(L17),"",$P$16*$S$16*M17*T17*Constants!$I$2)</f>
        <v>1.8564443135999995E-5</v>
      </c>
      <c r="W17">
        <f>IF(ISBLANK(L17), "", $G$16*V17*$H$16)</f>
        <v>5.2212496319999993</v>
      </c>
      <c r="X17">
        <f>IF(OR(ISBLANK(L17), L17="pastureRangeAndPaddock"), "",_xlfn.XLOOKUP(L17,Constants!$B$9:$B$17,Constants!$E$9:$E$17))</f>
        <v>0</v>
      </c>
      <c r="Y17">
        <f>IF(OR(ISBLANK(L17), L17="pastureRangeAndPaddock"), "",$P$16*M17*(1-X17))</f>
        <v>5.0675999999999994E-3</v>
      </c>
      <c r="Z17" t="str">
        <f t="shared" si="1"/>
        <v/>
      </c>
      <c r="AA17">
        <f>$Z$16*$S$16*O17*U17*Constants!$I$2</f>
        <v>8.2508636159999994E-6</v>
      </c>
      <c r="AB17">
        <f t="shared" ref="AB17:AB20" si="4">$G$16*AA17*$H$16</f>
        <v>2.3205553919999997</v>
      </c>
      <c r="AC17" t="str">
        <f t="shared" si="2"/>
        <v/>
      </c>
    </row>
    <row r="18" spans="1:29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 t="shared" si="0"/>
        <v/>
      </c>
      <c r="Q18" t="str">
        <f>IF(F18="", "",_xlfn.XLOOKUP(F18,Constants!$A$2:$A$5,Constants!C$2:C$5))</f>
        <v/>
      </c>
      <c r="R18" t="str">
        <f>IF(F18="", "",_xlfn.XLOOKUP(F18,Constants!$A$2:$A$5,Constants!F$2:F$5))</f>
        <v/>
      </c>
      <c r="S18" t="str">
        <f>IF(F18="", "",_xlfn.XLOOKUP(F18,Constants!$A$2:$A$5,Constants!G$2:G$5))</f>
        <v/>
      </c>
      <c r="T18">
        <f>INDEX(Constants!$F$9:$M$17,MATCH(L18, Constants!$B$9:$B$17, 0), MATCH($A$16, Constants!$F$8:$M$8,0 ))</f>
        <v>1.4999999999999999E-2</v>
      </c>
      <c r="U18">
        <f>INDEX(Constants!$F$9:$M$17,MATCH(N18, Constants!$B$9:$B$17, 0), MATCH($A$16, Constants!$F$8:$M$8,0 ))</f>
        <v>0.1</v>
      </c>
      <c r="V18">
        <f>IF(ISBLANK(L18),"",$P$16*$S$16*M18*T18*Constants!$I$2)</f>
        <v>1.2376295423999999E-5</v>
      </c>
      <c r="W18">
        <f>IF(ISBLANK(L18), "", $G$16*V18*$H$16)</f>
        <v>3.4808330879999998</v>
      </c>
      <c r="X18">
        <f>IF(OR(ISBLANK(L18), L18="pastureRangeAndPaddock"), "",_xlfn.XLOOKUP(L18,Constants!$B$9:$B$17,Constants!$E$9:$E$17))</f>
        <v>0.2</v>
      </c>
      <c r="Y18">
        <f>IF(OR(ISBLANK(L18), L18="pastureRangeAndPaddock"), "",$P$16*M18*(1-X18))</f>
        <v>2.70272E-3</v>
      </c>
      <c r="Z18" t="str">
        <f t="shared" si="1"/>
        <v/>
      </c>
      <c r="AA18">
        <f>$Z$16*$S$16*O18*U18*Constants!$I$2</f>
        <v>6.6006908927999995E-5</v>
      </c>
      <c r="AB18">
        <f t="shared" si="4"/>
        <v>18.564443135999998</v>
      </c>
      <c r="AC18" t="str">
        <f t="shared" si="2"/>
        <v/>
      </c>
    </row>
    <row r="19" spans="1:29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 t="shared" si="0"/>
        <v/>
      </c>
      <c r="Q19" t="str">
        <f>IF(F19="", "",_xlfn.XLOOKUP(F19,Constants!$A$2:$A$5,Constants!C$2:C$5))</f>
        <v/>
      </c>
      <c r="R19" t="str">
        <f>IF(F19="", "",_xlfn.XLOOKUP(F19,Constants!$A$2:$A$5,Constants!F$2:F$5))</f>
        <v/>
      </c>
      <c r="S19" t="str">
        <f>IF(F19="", "",_xlfn.XLOOKUP(F19,Constants!$A$2:$A$5,Constants!G$2:G$5))</f>
        <v/>
      </c>
      <c r="T19">
        <f>INDEX(Constants!$F$9:$M$17,MATCH(L19, Constants!$B$9:$B$17, 0), MATCH($A$16, Constants!$F$8:$M$8,0 ))</f>
        <v>0.03</v>
      </c>
      <c r="U19">
        <f>INDEX(Constants!$F$9:$M$17,MATCH(N19, Constants!$B$9:$B$17, 0), MATCH($A$16, Constants!$F$8:$M$8,0 ))</f>
        <v>0</v>
      </c>
      <c r="V19">
        <f>IF(ISBLANK(L19),"",$P$16*$S$16*M19*T19*Constants!$I$2)</f>
        <v>1.2376295423999999E-5</v>
      </c>
      <c r="W19">
        <f>IF(ISBLANK(L19), "", $G$16*V19*$H$16)</f>
        <v>3.4808330879999998</v>
      </c>
      <c r="X19" t="str">
        <f>IF(OR(ISBLANK(L19), L19="pastureRangeAndPaddock"), "",_xlfn.XLOOKUP(L19,Constants!$B$9:$B$17,Constants!$E$9:$E$17))</f>
        <v/>
      </c>
      <c r="Y19" t="str">
        <f>IF(OR(ISBLANK(L19), L19="pastureRangeAndPaddock"), "",$P$16*M19*(1-X19))</f>
        <v/>
      </c>
      <c r="Z19" t="str">
        <f t="shared" si="1"/>
        <v/>
      </c>
      <c r="AA19">
        <f>$Z$16*$S$16*O19*U19*Constants!$I$2</f>
        <v>0</v>
      </c>
      <c r="AB19">
        <f t="shared" si="4"/>
        <v>0</v>
      </c>
      <c r="AC19" t="str">
        <f t="shared" si="2"/>
        <v/>
      </c>
    </row>
    <row r="20" spans="1:29" s="11" customFormat="1" x14ac:dyDescent="0.2">
      <c r="A20" s="11" t="str">
        <f>IF(ISBLANK('Input Scenarios'!A17), "", 'Input Scenarios'!A17)</f>
        <v/>
      </c>
      <c r="B20" s="11" t="str">
        <f>IF(ISBLANK('Input Scenarios'!B17), "", 'Input Scenarios'!B17)</f>
        <v/>
      </c>
      <c r="C20" s="11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 t="shared" si="0"/>
        <v/>
      </c>
      <c r="Q20" s="11" t="str">
        <f>IF(F20="", "",_xlfn.XLOOKUP(F20,Constants!$A$2:$A$5,Constants!C$2:C$5))</f>
        <v/>
      </c>
      <c r="R20" s="11" t="str">
        <f>IF(F20="", "",_xlfn.XLOOKUP(F20,Constants!$A$2:$A$5,Constants!F$2:F$5))</f>
        <v/>
      </c>
      <c r="S20" s="11" t="str">
        <f>IF(F20="", "",_xlfn.XLOOKUP(F20,Constants!$A$2:$A$5,Constants!G$2:G$5))</f>
        <v/>
      </c>
      <c r="U20" s="11">
        <f>INDEX(Constants!$F$9:$M$17,MATCH(N20, Constants!$B$9:$B$17, 0), MATCH($A$16, Constants!$F$8:$M$8,0 ))</f>
        <v>0</v>
      </c>
      <c r="V20" s="11" t="str">
        <f>IF(ISBLANK(L20),"",$P$16*$S$16*M20*T20*Constants!$I$2)</f>
        <v/>
      </c>
      <c r="W20" s="11" t="str">
        <f>IF(ISBLANK(L20), "", $G$16*V20*$H$16)</f>
        <v/>
      </c>
      <c r="X20" s="11" t="str">
        <f>IF(OR(ISBLANK(L20), L20="pastureRangeAndPaddock"), "",_xlfn.XLOOKUP(L20,Constants!$B$9:$B$17,Constants!$E$9:$E$17))</f>
        <v/>
      </c>
      <c r="Y20" s="11" t="str">
        <f>IF(OR(ISBLANK(L20), L20="pastureRangeAndPaddock"), "",$P$16*M20*(1-X20))</f>
        <v/>
      </c>
      <c r="Z20" s="11" t="str">
        <f t="shared" si="1"/>
        <v/>
      </c>
      <c r="AA20" s="11">
        <f>$Z$16*$S$16*O20*U20*Constants!$I$2</f>
        <v>0</v>
      </c>
      <c r="AB20" s="11">
        <f t="shared" si="4"/>
        <v>0</v>
      </c>
      <c r="AC20" s="11" t="str">
        <f t="shared" si="2"/>
        <v/>
      </c>
    </row>
    <row r="21" spans="1:29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 t="shared" si="0"/>
        <v>1.5809999999999994E-2</v>
      </c>
      <c r="Q21">
        <f>IF(F21="", "",_xlfn.XLOOKUP(F21,Constants!$A$2:$A$5,Constants!C$2:C$5))</f>
        <v>0.8</v>
      </c>
      <c r="R21">
        <f>IF(F21="", "",_xlfn.XLOOKUP(F21,Constants!$A$2:$A$5,Constants!F$2:F$5))</f>
        <v>0.15</v>
      </c>
      <c r="S21">
        <f>IF(F21="", "",_xlfn.XLOOKUP(F21,Constants!$A$2:$A$5,Constants!G$2:G$5))</f>
        <v>0.36</v>
      </c>
      <c r="T21">
        <f>INDEX(Constants!$F$9:$M$17,MATCH(L21, Constants!$B$9:$B$17, 0), MATCH($A$21, Constants!$F$8:$M$8,0 ))</f>
        <v>1.4999999999999999E-2</v>
      </c>
      <c r="U21">
        <f>INDEX(Constants!$F$9:$M$17,MATCH(N21, Constants!$B$9:$B$17, 0), MATCH($A$21, Constants!$F$8:$M$8,0 ))</f>
        <v>0.02</v>
      </c>
      <c r="V21">
        <f>IF(ISBLANK(L21),"",$P$21*$S$21*M21*T21*Constants!$I$2)</f>
        <v>0</v>
      </c>
      <c r="W21">
        <f>IF(ISBLANK(L21), "", $G$21*V21*$H$21)</f>
        <v>0</v>
      </c>
      <c r="X21">
        <f>IF(OR(ISBLANK(L21), L21="pastureRangeAndPaddock"), "",_xlfn.XLOOKUP(L21,Constants!$B$9:$B$17,Constants!$E$9:$E$17))</f>
        <v>0.15</v>
      </c>
      <c r="Y21">
        <f t="shared" ref="Y21:Y30" si="5">IF(OR(ISBLANK(L21), L21="pastureRangeAndPaddock"), "",$P$21*M21*(1-X21))</f>
        <v>0</v>
      </c>
      <c r="Z21">
        <f t="shared" si="1"/>
        <v>1.4228999999999995E-2</v>
      </c>
      <c r="AA21">
        <f>$Z$21*$S$21*O21*U21*Constants!$I$2</f>
        <v>2.3630430412799994E-5</v>
      </c>
      <c r="AB21">
        <f>$G$21*AA21*$H$21</f>
        <v>8.7423849268107237</v>
      </c>
      <c r="AC21">
        <f t="shared" si="2"/>
        <v>3.3312486355102297E-2</v>
      </c>
    </row>
    <row r="22" spans="1:29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 t="shared" si="0"/>
        <v/>
      </c>
      <c r="Q22" t="str">
        <f>IF(F22="", "",_xlfn.XLOOKUP(F22,Constants!$A$2:$A$5,Constants!C$2:C$5))</f>
        <v/>
      </c>
      <c r="R22" t="str">
        <f>IF(F22="", "",_xlfn.XLOOKUP(F22,Constants!$A$2:$A$5,Constants!F$2:F$5))</f>
        <v/>
      </c>
      <c r="S22" t="str">
        <f>IF(F22="", "",_xlfn.XLOOKUP(F22,Constants!$A$2:$A$5,Constants!G$2:G$5))</f>
        <v/>
      </c>
      <c r="T22">
        <f>INDEX(Constants!$F$9:$M$17,MATCH(L22, Constants!$B$9:$B$17, 0), MATCH($A$21, Constants!$F$8:$M$8,0 ))</f>
        <v>1.4999999999999999E-2</v>
      </c>
      <c r="U22">
        <f>INDEX(Constants!$F$9:$M$17,MATCH(N22, Constants!$B$9:$B$17, 0), MATCH($A$21, Constants!$F$8:$M$8,0 ))</f>
        <v>5.0000000000000001E-3</v>
      </c>
      <c r="V22">
        <f>IF(ISBLANK(L22),"",$P$21*$S$21*M22*T22*Constants!$I$2)</f>
        <v>5.2125949439999981E-5</v>
      </c>
      <c r="W22">
        <f>IF(ISBLANK(L22), "", $G$21*V22*$H$21)</f>
        <v>19.284672632670713</v>
      </c>
      <c r="X22">
        <f>IF(OR(ISBLANK(L22), L22="pastureRangeAndPaddock"), "",_xlfn.XLOOKUP(L22,Constants!$B$9:$B$17,Constants!$E$9:$E$17))</f>
        <v>0</v>
      </c>
      <c r="Y22">
        <f t="shared" si="5"/>
        <v>1.4228999999999995E-2</v>
      </c>
      <c r="Z22" t="str">
        <f t="shared" si="1"/>
        <v/>
      </c>
      <c r="AA22">
        <f>$Z$21*$S$21*O22*U22*Constants!$I$2</f>
        <v>1.0425189887999997E-5</v>
      </c>
      <c r="AB22">
        <f t="shared" ref="AB22:AB25" si="6">$G$21*AA22*$H$21</f>
        <v>3.8569345265341428</v>
      </c>
      <c r="AC22" t="str">
        <f t="shared" si="2"/>
        <v/>
      </c>
    </row>
    <row r="23" spans="1:29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 t="shared" si="0"/>
        <v/>
      </c>
      <c r="Q23" t="str">
        <f>IF(F23="", "",_xlfn.XLOOKUP(F23,Constants!$A$2:$A$5,Constants!C$2:C$5))</f>
        <v/>
      </c>
      <c r="R23" t="str">
        <f>IF(F23="", "",_xlfn.XLOOKUP(F23,Constants!$A$2:$A$5,Constants!F$2:F$5))</f>
        <v/>
      </c>
      <c r="S23" t="str">
        <f>IF(F23="", "",_xlfn.XLOOKUP(F23,Constants!$A$2:$A$5,Constants!G$2:G$5))</f>
        <v/>
      </c>
      <c r="T23">
        <f>INDEX(Constants!$F$9:$M$17,MATCH(L23, Constants!$B$9:$B$17, 0), MATCH($A$21, Constants!$F$8:$M$8,0 ))</f>
        <v>1.4999999999999999E-2</v>
      </c>
      <c r="U23">
        <f>INDEX(Constants!$F$9:$M$17,MATCH(N23, Constants!$B$9:$B$17, 0), MATCH($A$21, Constants!$F$8:$M$8,0 ))</f>
        <v>0.1</v>
      </c>
      <c r="V23">
        <f>IF(ISBLANK(L23),"",$P$21*$S$21*M23*T23*Constants!$I$2)</f>
        <v>0</v>
      </c>
      <c r="W23">
        <f>IF(ISBLANK(L23), "", $G$21*V23*$H$21)</f>
        <v>0</v>
      </c>
      <c r="X23">
        <f>IF(OR(ISBLANK(L23), L23="pastureRangeAndPaddock"), "",_xlfn.XLOOKUP(L23,Constants!$B$9:$B$17,Constants!$E$9:$E$17))</f>
        <v>0.2</v>
      </c>
      <c r="Y23">
        <f t="shared" si="5"/>
        <v>0</v>
      </c>
      <c r="Z23" t="str">
        <f t="shared" si="1"/>
        <v/>
      </c>
      <c r="AA23">
        <f>$Z$21*$S$21*O23*U23*Constants!$I$2</f>
        <v>0</v>
      </c>
      <c r="AB23">
        <f t="shared" si="6"/>
        <v>0</v>
      </c>
      <c r="AC23" t="str">
        <f t="shared" si="2"/>
        <v/>
      </c>
    </row>
    <row r="24" spans="1:29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 t="shared" si="0"/>
        <v/>
      </c>
      <c r="Q24" t="str">
        <f>IF(F24="", "",_xlfn.XLOOKUP(F24,Constants!$A$2:$A$5,Constants!C$2:C$5))</f>
        <v/>
      </c>
      <c r="R24" t="str">
        <f>IF(F24="", "",_xlfn.XLOOKUP(F24,Constants!$A$2:$A$5,Constants!F$2:F$5))</f>
        <v/>
      </c>
      <c r="S24" t="str">
        <f>IF(F24="", "",_xlfn.XLOOKUP(F24,Constants!$A$2:$A$5,Constants!G$2:G$5))</f>
        <v/>
      </c>
      <c r="T24">
        <f>INDEX(Constants!$F$9:$M$17,MATCH(L24, Constants!$B$9:$B$17, 0), MATCH($A$21, Constants!$F$8:$M$8,0 ))</f>
        <v>0.01</v>
      </c>
      <c r="U24">
        <f>INDEX(Constants!$F$9:$M$17,MATCH(N24, Constants!$B$9:$B$17, 0), MATCH($A$21, Constants!$F$8:$M$8,0 ))</f>
        <v>0</v>
      </c>
      <c r="V24">
        <f>IF(ISBLANK(L24),"",$P$21*$S$21*M24*T24*Constants!$I$2)</f>
        <v>3.8611814399999991E-6</v>
      </c>
      <c r="W24">
        <f>IF(ISBLANK(L24), "", $G$21*V24*$H$21)</f>
        <v>1.4284942690867197</v>
      </c>
      <c r="X24" t="str">
        <f>IF(OR(ISBLANK(L24), L24="pastureRangeAndPaddock"), "",_xlfn.XLOOKUP(L24,Constants!$B$9:$B$17,Constants!$E$9:$E$17))</f>
        <v/>
      </c>
      <c r="Y24" t="str">
        <f t="shared" si="5"/>
        <v/>
      </c>
      <c r="Z24" t="str">
        <f t="shared" si="1"/>
        <v/>
      </c>
      <c r="AA24">
        <f>$Z$21*$S$21*O24*U24*Constants!$I$2</f>
        <v>0</v>
      </c>
      <c r="AB24">
        <f t="shared" si="6"/>
        <v>0</v>
      </c>
      <c r="AC24" t="str">
        <f t="shared" si="2"/>
        <v/>
      </c>
    </row>
    <row r="25" spans="1:29" s="11" customFormat="1" x14ac:dyDescent="0.2">
      <c r="A25" s="11" t="str">
        <f>IF(ISBLANK('Input Scenarios'!A22), "", 'Input Scenarios'!A22)</f>
        <v/>
      </c>
      <c r="B25" s="11" t="str">
        <f>IF(ISBLANK('Input Scenarios'!B22), "", 'Input Scenarios'!B22)</f>
        <v/>
      </c>
      <c r="C25" s="11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 t="shared" si="0"/>
        <v/>
      </c>
      <c r="Q25" s="11" t="str">
        <f>IF(F25="", "",_xlfn.XLOOKUP(F25,Constants!$A$2:$A$5,Constants!C$2:C$5))</f>
        <v/>
      </c>
      <c r="R25" s="11" t="str">
        <f>IF(F25="", "",_xlfn.XLOOKUP(F25,Constants!$A$2:$A$5,Constants!F$2:F$5))</f>
        <v/>
      </c>
      <c r="S25" s="11" t="str">
        <f>IF(F25="", "",_xlfn.XLOOKUP(F25,Constants!$A$2:$A$5,Constants!G$2:G$5))</f>
        <v/>
      </c>
      <c r="U25" s="11">
        <f>INDEX(Constants!$F$9:$M$17,MATCH(N25, Constants!$B$9:$B$17, 0), MATCH($A$21, Constants!$F$8:$M$8,0 ))</f>
        <v>0</v>
      </c>
      <c r="V25" s="11" t="str">
        <f>IF(ISBLANK(L25),"",$P$21*$S$21*M25*T25*Constants!$I$2)</f>
        <v/>
      </c>
      <c r="W25" s="11" t="str">
        <f>IF(ISBLANK(L25), "", $G$21*V25*$H$21)</f>
        <v/>
      </c>
      <c r="X25" s="11" t="str">
        <f>IF(OR(ISBLANK(L25), L25="pastureRangeAndPaddock"), "",_xlfn.XLOOKUP(L25,Constants!$B$9:$B$17,Constants!$E$9:$E$17))</f>
        <v/>
      </c>
      <c r="Y25" s="11" t="str">
        <f t="shared" si="5"/>
        <v/>
      </c>
      <c r="Z25" s="11" t="str">
        <f t="shared" si="1"/>
        <v/>
      </c>
      <c r="AA25" s="11">
        <f>$Z$21*$S$21*O25*U25*Constants!$I$2</f>
        <v>0</v>
      </c>
      <c r="AB25" s="11">
        <f t="shared" si="6"/>
        <v>0</v>
      </c>
      <c r="AC25" s="11" t="str">
        <f t="shared" si="2"/>
        <v/>
      </c>
    </row>
    <row r="26" spans="1:29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 t="shared" si="0"/>
        <v>1.5809999999999994E-2</v>
      </c>
      <c r="Q26">
        <f>IF(F26="", "",_xlfn.XLOOKUP(F26,Constants!$A$2:$A$5,Constants!C$2:C$5))</f>
        <v>0.8</v>
      </c>
      <c r="R26">
        <f>IF(F26="", "",_xlfn.XLOOKUP(F26,Constants!$A$2:$A$5,Constants!F$2:F$5))</f>
        <v>0.15</v>
      </c>
      <c r="S26">
        <f>IF(F26="", "",_xlfn.XLOOKUP(F26,Constants!$A$2:$A$5,Constants!G$2:G$5))</f>
        <v>0.36</v>
      </c>
      <c r="T26">
        <f>INDEX(Constants!$F$9:$M$17,MATCH(L26, Constants!$B$9:$B$17, 0), MATCH($A$26, Constants!$F$8:$M$8,0 ))</f>
        <v>1.4999999999999999E-2</v>
      </c>
      <c r="U26">
        <f>INDEX(Constants!$F$9:$M$17,MATCH(N26, Constants!$B$9:$B$17, 0), MATCH($A$26, Constants!$F$8:$M$8,0 ))</f>
        <v>0.02</v>
      </c>
      <c r="V26">
        <f>IF(ISBLANK(L26),"",$P$26*$S$26*M26*T26*Constants!$I$2)</f>
        <v>5.7917721599999983E-6</v>
      </c>
      <c r="W26">
        <f>IF(ISBLANK(L26), "", $G$26*V26*$H$26)</f>
        <v>1.0720570268159997</v>
      </c>
      <c r="X26">
        <f>IF(OR(ISBLANK(L26), L26="pastureRangeAndPaddock"), "",_xlfn.XLOOKUP(L26,Constants!$B$9:$B$17,Constants!$E$9:$E$17))</f>
        <v>0.15</v>
      </c>
      <c r="Y26">
        <f t="shared" si="5"/>
        <v>1.3438499999999995E-3</v>
      </c>
      <c r="Z26">
        <f t="shared" si="1"/>
        <v>1.3438499999999995E-3</v>
      </c>
      <c r="AA26">
        <f>$Z$26*$S$26*O26*U26*Constants!$I$2</f>
        <v>3.2820042239999993E-6</v>
      </c>
      <c r="AB26">
        <f>$G$26*AA26*$H$26</f>
        <v>0.60749898186239981</v>
      </c>
      <c r="AC26">
        <f t="shared" si="2"/>
        <v>2.2647204691487993E-2</v>
      </c>
    </row>
    <row r="27" spans="1:29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 t="shared" si="0"/>
        <v/>
      </c>
      <c r="Q27" t="str">
        <f>IF(F27="", "",_xlfn.XLOOKUP(F27,Constants!$A$2:$A$5,Constants!C$2:C$5))</f>
        <v/>
      </c>
      <c r="R27" t="str">
        <f>IF(F27="", "",_xlfn.XLOOKUP(F27,Constants!$A$2:$A$5,Constants!F$2:F$5))</f>
        <v/>
      </c>
      <c r="S27" t="str">
        <f>IF(F27="", "",_xlfn.XLOOKUP(F27,Constants!$A$2:$A$5,Constants!G$2:G$5))</f>
        <v/>
      </c>
      <c r="T27">
        <f>INDEX(Constants!$F$9:$M$17,MATCH(L27, Constants!$B$9:$B$17, 0), MATCH($A$26, Constants!$F$8:$M$8,0 ))</f>
        <v>1.4999999999999999E-2</v>
      </c>
      <c r="U27">
        <f>INDEX(Constants!$F$9:$M$17,MATCH(N27, Constants!$B$9:$B$17, 0), MATCH($A$26, Constants!$F$8:$M$8,0 ))</f>
        <v>0.01</v>
      </c>
      <c r="V27">
        <f>IF(ISBLANK(L27),"",$P$26*$S$26*M27*T27*Constants!$I$2)</f>
        <v>0</v>
      </c>
      <c r="W27">
        <f>IF(ISBLANK(L27), "", $G$26*V27*$H$26)</f>
        <v>0</v>
      </c>
      <c r="X27">
        <f>IF(OR(ISBLANK(L27), L27="pastureRangeAndPaddock"), "",_xlfn.XLOOKUP(L27,Constants!$B$9:$B$17,Constants!$E$9:$E$17))</f>
        <v>0</v>
      </c>
      <c r="Y27">
        <f t="shared" si="5"/>
        <v>0</v>
      </c>
      <c r="Z27" t="str">
        <f t="shared" si="1"/>
        <v/>
      </c>
      <c r="AA27">
        <f>$Z$26*$S$26*O27*U27*Constants!$I$2</f>
        <v>8.2050105599999983E-7</v>
      </c>
      <c r="AB27">
        <f t="shared" ref="AB27:AB30" si="7">$G$26*AA27*$H$26</f>
        <v>0.15187474546559995</v>
      </c>
      <c r="AC27" t="str">
        <f t="shared" si="2"/>
        <v/>
      </c>
    </row>
    <row r="28" spans="1:29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 t="shared" si="0"/>
        <v/>
      </c>
      <c r="Q28" t="str">
        <f>IF(F28="", "",_xlfn.XLOOKUP(F28,Constants!$A$2:$A$5,Constants!C$2:C$5))</f>
        <v/>
      </c>
      <c r="R28" t="str">
        <f>IF(F28="", "",_xlfn.XLOOKUP(F28,Constants!$A$2:$A$5,Constants!F$2:F$5))</f>
        <v/>
      </c>
      <c r="S28" t="str">
        <f>IF(F28="", "",_xlfn.XLOOKUP(F28,Constants!$A$2:$A$5,Constants!G$2:G$5))</f>
        <v/>
      </c>
      <c r="T28">
        <f>INDEX(Constants!$F$9:$M$17,MATCH(L28, Constants!$B$9:$B$17, 0), MATCH($A$26, Constants!$F$8:$M$8,0 ))</f>
        <v>1.4999999999999999E-2</v>
      </c>
      <c r="U28">
        <f>INDEX(Constants!$F$9:$M$17,MATCH(N28, Constants!$B$9:$B$17, 0), MATCH($A$26, Constants!$F$8:$M$8,0 ))</f>
        <v>0.1</v>
      </c>
      <c r="V28">
        <f>IF(ISBLANK(L28),"",$P$26*$S$26*M28*T28*Constants!$I$2)</f>
        <v>0</v>
      </c>
      <c r="W28">
        <f>IF(ISBLANK(L28), "", $G$26*V28*$H$26)</f>
        <v>0</v>
      </c>
      <c r="X28">
        <f>IF(OR(ISBLANK(L28), L28="pastureRangeAndPaddock"), "",_xlfn.XLOOKUP(L28,Constants!$B$9:$B$17,Constants!$E$9:$E$17))</f>
        <v>0.2</v>
      </c>
      <c r="Y28">
        <f t="shared" si="5"/>
        <v>0</v>
      </c>
      <c r="Z28" t="str">
        <f t="shared" si="1"/>
        <v/>
      </c>
      <c r="AA28">
        <f>$Z$26*$S$26*O28*U28*Constants!$I$2</f>
        <v>8.2050105599999979E-6</v>
      </c>
      <c r="AB28">
        <f t="shared" si="7"/>
        <v>1.5187474546559996</v>
      </c>
      <c r="AC28" t="str">
        <f t="shared" si="2"/>
        <v/>
      </c>
    </row>
    <row r="29" spans="1:29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 t="shared" si="0"/>
        <v/>
      </c>
      <c r="Q29" t="str">
        <f>IF(F29="", "",_xlfn.XLOOKUP(F29,Constants!$A$2:$A$5,Constants!C$2:C$5))</f>
        <v/>
      </c>
      <c r="R29" t="str">
        <f>IF(F29="", "",_xlfn.XLOOKUP(F29,Constants!$A$2:$A$5,Constants!F$2:F$5))</f>
        <v/>
      </c>
      <c r="S29" t="str">
        <f>IF(F29="", "",_xlfn.XLOOKUP(F29,Constants!$A$2:$A$5,Constants!G$2:G$5))</f>
        <v/>
      </c>
      <c r="T29">
        <f>INDEX(Constants!$F$9:$M$17,MATCH(L29, Constants!$B$9:$B$17, 0), MATCH($A$26, Constants!$F$8:$M$8,0 ))</f>
        <v>0.03</v>
      </c>
      <c r="U29">
        <f>INDEX(Constants!$F$9:$M$17,MATCH(N29, Constants!$B$9:$B$17, 0), MATCH($A$26, Constants!$F$8:$M$8,0 ))</f>
        <v>0</v>
      </c>
      <c r="V29">
        <f>IF(ISBLANK(L29),"",$P$26*$S$26*M29*T29*Constants!$I$2)</f>
        <v>1.0425189887999996E-4</v>
      </c>
      <c r="W29">
        <f>IF(ISBLANK(L29), "", $G$26*V29*$H$26)</f>
        <v>19.29702648268799</v>
      </c>
      <c r="X29" t="str">
        <f>IF(OR(ISBLANK(L29), L29="pastureRangeAndPaddock"), "",_xlfn.XLOOKUP(L29,Constants!$B$9:$B$17,Constants!$E$9:$E$17))</f>
        <v/>
      </c>
      <c r="Y29" t="str">
        <f t="shared" si="5"/>
        <v/>
      </c>
      <c r="Z29" t="str">
        <f t="shared" si="1"/>
        <v/>
      </c>
      <c r="AA29">
        <f>$Z$26*$S$26*O29*U29*Constants!$I$2</f>
        <v>0</v>
      </c>
      <c r="AB29">
        <f t="shared" si="7"/>
        <v>0</v>
      </c>
      <c r="AC29" t="str">
        <f t="shared" si="2"/>
        <v/>
      </c>
    </row>
    <row r="30" spans="1:29" s="11" customFormat="1" x14ac:dyDescent="0.2">
      <c r="A30" s="11" t="str">
        <f>IF(ISBLANK('Input Scenarios'!A27), "", 'Input Scenarios'!A27)</f>
        <v/>
      </c>
      <c r="B30" s="11" t="str">
        <f>IF(ISBLANK('Input Scenarios'!B27), "", 'Input Scenarios'!B27)</f>
        <v/>
      </c>
      <c r="C30" s="11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 t="shared" si="0"/>
        <v/>
      </c>
      <c r="Q30" s="11" t="str">
        <f>IF(F30="", "",_xlfn.XLOOKUP(F30,Constants!$A$2:$A$5,Constants!C$2:C$5))</f>
        <v/>
      </c>
      <c r="R30" s="11" t="str">
        <f>IF(F30="", "",_xlfn.XLOOKUP(F30,Constants!$A$2:$A$5,Constants!F$2:F$5))</f>
        <v/>
      </c>
      <c r="S30" s="11" t="str">
        <f>IF(F30="", "",_xlfn.XLOOKUP(F30,Constants!$A$2:$A$5,Constants!G$2:G$5))</f>
        <v/>
      </c>
      <c r="U30" s="11">
        <f>INDEX(Constants!$F$9:$M$17,MATCH(N30, Constants!$B$9:$B$17, 0), MATCH($A$26, Constants!$F$8:$M$8,0 ))</f>
        <v>0</v>
      </c>
      <c r="V30" s="11" t="str">
        <f>IF(ISBLANK(L30),"",$P$26*$S$26*M30*T30*Constants!$I$2)</f>
        <v/>
      </c>
      <c r="W30" s="11" t="str">
        <f>IF(ISBLANK(L30), "", $G$26*V30*$H$26)</f>
        <v/>
      </c>
      <c r="X30" s="11" t="str">
        <f>IF(OR(ISBLANK(L30), L30="pastureRangeAndPaddock"), "",_xlfn.XLOOKUP(L30,Constants!$B$9:$B$17,Constants!$E$9:$E$17))</f>
        <v/>
      </c>
      <c r="Y30" s="11" t="str">
        <f t="shared" si="5"/>
        <v/>
      </c>
      <c r="Z30" s="11" t="str">
        <f t="shared" si="1"/>
        <v/>
      </c>
      <c r="AA30" s="11">
        <f>$Z$26*$S$26*O30*U30*Constants!$I$2</f>
        <v>0</v>
      </c>
      <c r="AB30" s="11">
        <f t="shared" si="7"/>
        <v>0</v>
      </c>
      <c r="AC30" s="11" t="str">
        <f t="shared" si="2"/>
        <v/>
      </c>
    </row>
    <row r="32" spans="1:29" x14ac:dyDescent="0.2">
      <c r="A32" t="s">
        <v>118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I30"/>
  <sheetViews>
    <sheetView topLeftCell="I2" workbookViewId="0">
      <selection activeCell="R2" sqref="R1:S104857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3" width="12.1640625" customWidth="1"/>
    <col min="34" max="35" width="12.1640625" bestFit="1" customWidth="1"/>
  </cols>
  <sheetData>
    <row r="2" spans="1:35" x14ac:dyDescent="0.2">
      <c r="A2" t="s">
        <v>30</v>
      </c>
    </row>
    <row r="4" spans="1:35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5" x14ac:dyDescent="0.2">
      <c r="K5" t="s">
        <v>0</v>
      </c>
      <c r="Q5" t="s">
        <v>0</v>
      </c>
      <c r="Z5" t="s">
        <v>120</v>
      </c>
    </row>
    <row r="6" spans="1:35" x14ac:dyDescent="0.2">
      <c r="AA6" t="s">
        <v>112</v>
      </c>
      <c r="AG6" t="s">
        <v>124</v>
      </c>
    </row>
    <row r="8" spans="1:35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5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77</v>
      </c>
      <c r="AD10" s="1" t="s">
        <v>119</v>
      </c>
      <c r="AE10" s="1" t="s">
        <v>125</v>
      </c>
      <c r="AF10" s="1" t="s">
        <v>126</v>
      </c>
      <c r="AG10" s="10" t="s">
        <v>121</v>
      </c>
      <c r="AH10" s="10" t="s">
        <v>114</v>
      </c>
      <c r="AI10" s="10" t="s">
        <v>122</v>
      </c>
    </row>
    <row r="11" spans="1:35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 t="shared" ref="V11:V30" si="0">IF(F11="","",I11*J11/6.25)</f>
        <v>2.6144000000000002E-3</v>
      </c>
      <c r="W11">
        <f t="shared" ref="W11:W30" si="1">IF(F11="", "", V11*(1-K11))</f>
        <v>1.6993600000000002E-3</v>
      </c>
      <c r="X11">
        <f t="shared" ref="X11:X30" si="2">IF(F11="", "", G11*W11*H11)</f>
        <v>424.84000000000003</v>
      </c>
      <c r="Y11">
        <f>IF(ISBLANK(L11), "", $X$11*M11)</f>
        <v>42.484000000000009</v>
      </c>
      <c r="Z11">
        <f t="shared" ref="Z11:Z30" si="3">IF(OR(L11="", L11="pastureRangeAndPaddock"), "", Y11*(1-R11-S11))</f>
        <v>29.69631600000001</v>
      </c>
      <c r="AA11">
        <f t="shared" ref="AA11:AA30" si="4">IF(F11="", "",SUM(Z11:Z15))</f>
        <v>186.67469600000001</v>
      </c>
      <c r="AB11">
        <f>IF(N11="directApplication", "", $AA$11*O11)</f>
        <v>28.001204400000002</v>
      </c>
      <c r="AC11">
        <f>IF(D11="", "", _xlfn.XLOOKUP('4.6.1.3'!D11, Constants!$I$5:$I$6, Constants!$J$5:$J$6))</f>
        <v>6.0000000000000001E-3</v>
      </c>
      <c r="AD11">
        <f>Constants!$J$2</f>
        <v>1.5714285714285714</v>
      </c>
      <c r="AE11">
        <f t="shared" ref="AE11:AE30" si="5">IF(L11="", "", Y11*R11*AD11)</f>
        <v>6.6760571428571433E-2</v>
      </c>
      <c r="AF11">
        <f t="shared" ref="AF11:AF30" si="6">IF(N11="directApplication", "", AB11*T11*AD11)</f>
        <v>0.22000946314285716</v>
      </c>
      <c r="AG11">
        <f>IF(F11="", "", Y14*AC11*Constants!$J$2/1000)</f>
        <v>1.6022537142857147E-3</v>
      </c>
      <c r="AH11">
        <f t="shared" ref="AH11:AH30" si="7">IF(F11="","",SUM(AE11:AF15)/1000)</f>
        <v>6.5481105077142866E-3</v>
      </c>
      <c r="AI11">
        <f>IF(AG11="", "", AG11+AH11)</f>
        <v>8.1503642220000019E-3</v>
      </c>
    </row>
    <row r="12" spans="1:35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 t="shared" si="0"/>
        <v/>
      </c>
      <c r="W12" t="str">
        <f t="shared" si="1"/>
        <v/>
      </c>
      <c r="X12" t="str">
        <f t="shared" si="2"/>
        <v/>
      </c>
      <c r="Y12">
        <f>IF(ISBLANK(L12), "", $X$11*M12)</f>
        <v>84.968000000000018</v>
      </c>
      <c r="Z12">
        <f t="shared" si="3"/>
        <v>80.634632000000011</v>
      </c>
      <c r="AA12" t="str">
        <f t="shared" si="4"/>
        <v/>
      </c>
      <c r="AB12">
        <f>IF(N12="directApplication", "", $AA$11*O12)</f>
        <v>37.334939200000001</v>
      </c>
      <c r="AC12" t="str">
        <f>IF(D12="", "", _xlfn.XLOOKUP('4.6.1.3'!D12, Constants!$I$5:$I$6, Constants!$J$5:$J$6))</f>
        <v/>
      </c>
      <c r="AD12">
        <f>Constants!$J$2</f>
        <v>1.5714285714285714</v>
      </c>
      <c r="AE12">
        <f t="shared" si="5"/>
        <v>0.13352114285714287</v>
      </c>
      <c r="AF12">
        <f t="shared" si="6"/>
        <v>0.58669190171428576</v>
      </c>
      <c r="AG12" t="str">
        <f>IF(F12="", "", Y15*AC12*Constants!$J$2/1000)</f>
        <v/>
      </c>
      <c r="AH12" t="str">
        <f t="shared" si="7"/>
        <v/>
      </c>
      <c r="AI12" t="str">
        <f t="shared" ref="AI12:AI30" si="8">IF(AG12="", "", AG12+AH12)</f>
        <v/>
      </c>
    </row>
    <row r="13" spans="1:35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 t="shared" si="0"/>
        <v/>
      </c>
      <c r="W13" t="str">
        <f t="shared" si="1"/>
        <v/>
      </c>
      <c r="X13" t="str">
        <f t="shared" si="2"/>
        <v/>
      </c>
      <c r="Y13">
        <f>IF(ISBLANK(L13), "", $X$11*M13)</f>
        <v>127.452</v>
      </c>
      <c r="Z13">
        <f t="shared" si="3"/>
        <v>76.343747999999991</v>
      </c>
      <c r="AA13" t="str">
        <f t="shared" si="4"/>
        <v/>
      </c>
      <c r="AB13">
        <f>IF(N13="directApplication", "", $AA$11*O13)</f>
        <v>46.668674000000003</v>
      </c>
      <c r="AC13" t="str">
        <f>IF(D13="", "", _xlfn.XLOOKUP('4.6.1.3'!D13, Constants!$I$5:$I$6, Constants!$J$5:$J$6))</f>
        <v/>
      </c>
      <c r="AD13">
        <f>Constants!$J$2</f>
        <v>1.5714285714285714</v>
      </c>
      <c r="AE13">
        <f t="shared" si="5"/>
        <v>0.20028171428571429</v>
      </c>
      <c r="AF13">
        <f t="shared" si="6"/>
        <v>0</v>
      </c>
      <c r="AG13" t="str">
        <f>IF(F13="", "", Y16*AC13*Constants!$J$2/1000)</f>
        <v/>
      </c>
      <c r="AH13" t="str">
        <f t="shared" si="7"/>
        <v/>
      </c>
      <c r="AI13" t="str">
        <f t="shared" si="8"/>
        <v/>
      </c>
    </row>
    <row r="14" spans="1:35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 t="shared" si="0"/>
        <v/>
      </c>
      <c r="W14" t="str">
        <f t="shared" si="1"/>
        <v/>
      </c>
      <c r="X14" t="str">
        <f t="shared" si="2"/>
        <v/>
      </c>
      <c r="Y14">
        <f>IF(ISBLANK(L14), "", $X$11*M14)</f>
        <v>169.93600000000004</v>
      </c>
      <c r="Z14" t="str">
        <f t="shared" si="3"/>
        <v/>
      </c>
      <c r="AA14" t="str">
        <f t="shared" si="4"/>
        <v/>
      </c>
      <c r="AB14">
        <f>IF(N14="directApplication", "", $AA$11*O14)</f>
        <v>31.734698320000003</v>
      </c>
      <c r="AC14" t="str">
        <f>IF(D14="", "", _xlfn.XLOOKUP('4.6.1.3'!D14, Constants!$I$5:$I$6, Constants!$J$5:$J$6))</f>
        <v/>
      </c>
      <c r="AD14">
        <f>Constants!$J$2</f>
        <v>1.5714285714285714</v>
      </c>
      <c r="AE14">
        <f t="shared" si="5"/>
        <v>5.3408457142857158</v>
      </c>
      <c r="AF14">
        <f t="shared" si="6"/>
        <v>0</v>
      </c>
      <c r="AG14" t="str">
        <f>IF(F14="", "", Y17*AC14*Constants!$J$2/1000)</f>
        <v/>
      </c>
      <c r="AH14" t="str">
        <f t="shared" si="7"/>
        <v/>
      </c>
      <c r="AI14" t="str">
        <f t="shared" si="8"/>
        <v/>
      </c>
    </row>
    <row r="15" spans="1:35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 t="shared" si="0"/>
        <v/>
      </c>
      <c r="W15" s="11" t="str">
        <f t="shared" si="1"/>
        <v/>
      </c>
      <c r="X15" t="str">
        <f t="shared" si="2"/>
        <v/>
      </c>
      <c r="Y15" s="11" t="str">
        <f>IF(ISBLANK(L15), "", $X$11*M15)</f>
        <v/>
      </c>
      <c r="Z15" t="str">
        <f t="shared" si="3"/>
        <v/>
      </c>
      <c r="AA15" s="11" t="str">
        <f t="shared" si="4"/>
        <v/>
      </c>
      <c r="AB15" t="str">
        <f>IF(N15="directApplication", "", $AA$11*O15)</f>
        <v/>
      </c>
      <c r="AC15" t="str">
        <f>IF(D15="", "", _xlfn.XLOOKUP('4.6.1.3'!D15, Constants!$I$5:$I$6, Constants!$J$5:$J$6))</f>
        <v/>
      </c>
      <c r="AD15">
        <f>Constants!$J$2</f>
        <v>1.5714285714285714</v>
      </c>
      <c r="AE15" t="str">
        <f t="shared" si="5"/>
        <v/>
      </c>
      <c r="AF15" t="str">
        <f t="shared" si="6"/>
        <v/>
      </c>
      <c r="AG15" t="str">
        <f>IF(F15="", "", Y18*AC15*Constants!$J$2/1000)</f>
        <v/>
      </c>
      <c r="AH15" t="str">
        <f t="shared" si="7"/>
        <v/>
      </c>
      <c r="AI15" t="str">
        <f t="shared" si="8"/>
        <v/>
      </c>
    </row>
    <row r="16" spans="1:35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 t="shared" si="0"/>
        <v>3.1312000000000002E-3</v>
      </c>
      <c r="W16">
        <f t="shared" si="1"/>
        <v>2.1292159999999997E-3</v>
      </c>
      <c r="X16">
        <f t="shared" si="2"/>
        <v>598.84199999999987</v>
      </c>
      <c r="Y16">
        <f>IF(ISBLANK(L16), "", $X$16*M16)</f>
        <v>239.53679999999997</v>
      </c>
      <c r="Z16">
        <f t="shared" si="3"/>
        <v>167.4362232</v>
      </c>
      <c r="AA16">
        <f t="shared" si="4"/>
        <v>409.66781219999996</v>
      </c>
      <c r="AB16">
        <f>IF(N16="directApplication", "", $AA$16*O16)</f>
        <v>81.933562440000003</v>
      </c>
      <c r="AC16">
        <f>IF(D16="", "", _xlfn.XLOOKUP('4.6.1.3'!D16, Constants!$I$5:$I$6, Constants!$J$5:$J$6))</f>
        <v>2E-3</v>
      </c>
      <c r="AD16">
        <f>Constants!$J$2</f>
        <v>1.5714285714285714</v>
      </c>
      <c r="AE16">
        <f t="shared" si="5"/>
        <v>0.37641497142857139</v>
      </c>
      <c r="AF16">
        <f t="shared" si="6"/>
        <v>0.64376370488571433</v>
      </c>
      <c r="AG16">
        <f>IF(F16="", "", Y19*AC16*Constants!$J$2/1000)</f>
        <v>1.8820748571428568E-4</v>
      </c>
      <c r="AH16">
        <f t="shared" si="7"/>
        <v>4.9821815099571429E-3</v>
      </c>
      <c r="AI16">
        <f t="shared" si="8"/>
        <v>5.1703889956714287E-3</v>
      </c>
    </row>
    <row r="17" spans="1:35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 t="shared" si="0"/>
        <v/>
      </c>
      <c r="W17" t="str">
        <f t="shared" si="1"/>
        <v/>
      </c>
      <c r="X17" t="str">
        <f t="shared" si="2"/>
        <v/>
      </c>
      <c r="Y17">
        <f>IF(ISBLANK(L17), "", $X$16*M17)</f>
        <v>179.65259999999995</v>
      </c>
      <c r="Z17">
        <f t="shared" si="3"/>
        <v>170.49031739999995</v>
      </c>
      <c r="AA17" t="str">
        <f t="shared" si="4"/>
        <v/>
      </c>
      <c r="AB17">
        <f>IF(N17="directApplication", "", $AA$16*O17)</f>
        <v>102.41695304999999</v>
      </c>
      <c r="AC17" t="str">
        <f>IF(D17="", "", _xlfn.XLOOKUP('4.6.1.3'!D17, Constants!$I$5:$I$6, Constants!$J$5:$J$6))</f>
        <v/>
      </c>
      <c r="AD17">
        <f>Constants!$J$2</f>
        <v>1.5714285714285714</v>
      </c>
      <c r="AE17">
        <f t="shared" si="5"/>
        <v>0.28231122857142849</v>
      </c>
      <c r="AF17">
        <f t="shared" si="6"/>
        <v>1.6094092622142855</v>
      </c>
      <c r="AG17" t="str">
        <f>IF(F17="", "", Y20*AC17*Constants!$J$2/1000)</f>
        <v/>
      </c>
      <c r="AH17" t="str">
        <f t="shared" si="7"/>
        <v/>
      </c>
      <c r="AI17" t="str">
        <f t="shared" si="8"/>
        <v/>
      </c>
    </row>
    <row r="18" spans="1:35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 t="shared" si="0"/>
        <v/>
      </c>
      <c r="W18" t="str">
        <f t="shared" si="1"/>
        <v/>
      </c>
      <c r="X18" t="str">
        <f t="shared" si="2"/>
        <v/>
      </c>
      <c r="Y18">
        <f>IF(ISBLANK(L18), "", $X$16*M18)</f>
        <v>119.76839999999999</v>
      </c>
      <c r="Z18">
        <f t="shared" si="3"/>
        <v>71.74127159999999</v>
      </c>
      <c r="AA18" t="str">
        <f t="shared" si="4"/>
        <v/>
      </c>
      <c r="AB18">
        <f>IF(N18="directApplication", "", $AA$16*O18)</f>
        <v>81.933562440000003</v>
      </c>
      <c r="AC18" t="str">
        <f>IF(D18="", "", _xlfn.XLOOKUP('4.6.1.3'!D18, Constants!$I$5:$I$6, Constants!$J$5:$J$6))</f>
        <v/>
      </c>
      <c r="AD18">
        <f>Constants!$J$2</f>
        <v>1.5714285714285714</v>
      </c>
      <c r="AE18">
        <f t="shared" si="5"/>
        <v>0.18820748571428569</v>
      </c>
      <c r="AF18">
        <f t="shared" si="6"/>
        <v>0</v>
      </c>
      <c r="AG18" t="str">
        <f>IF(F18="", "", Y21*AC18*Constants!$J$2/1000)</f>
        <v/>
      </c>
      <c r="AH18" t="str">
        <f t="shared" si="7"/>
        <v/>
      </c>
      <c r="AI18" t="str">
        <f t="shared" si="8"/>
        <v/>
      </c>
    </row>
    <row r="19" spans="1:35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 t="shared" si="0"/>
        <v/>
      </c>
      <c r="W19" t="str">
        <f t="shared" si="1"/>
        <v/>
      </c>
      <c r="X19" t="str">
        <f t="shared" si="2"/>
        <v/>
      </c>
      <c r="Y19">
        <f>IF(ISBLANK(L19), "", $X$16*M19)</f>
        <v>59.884199999999993</v>
      </c>
      <c r="Z19" t="str">
        <f t="shared" si="3"/>
        <v/>
      </c>
      <c r="AA19" t="str">
        <f t="shared" si="4"/>
        <v/>
      </c>
      <c r="AB19">
        <f>IF(N19="directApplication", "", $AA$16*O19)</f>
        <v>102.41695304999999</v>
      </c>
      <c r="AC19" t="str">
        <f>IF(D19="", "", _xlfn.XLOOKUP('4.6.1.3'!D19, Constants!$I$5:$I$6, Constants!$J$5:$J$6))</f>
        <v/>
      </c>
      <c r="AD19">
        <f>Constants!$J$2</f>
        <v>1.5714285714285714</v>
      </c>
      <c r="AE19">
        <f t="shared" si="5"/>
        <v>1.8820748571428572</v>
      </c>
      <c r="AF19">
        <f t="shared" si="6"/>
        <v>0</v>
      </c>
      <c r="AG19" t="str">
        <f>IF(F19="", "", Y22*AC19*Constants!$J$2/1000)</f>
        <v/>
      </c>
      <c r="AH19" t="str">
        <f t="shared" si="7"/>
        <v/>
      </c>
      <c r="AI19" t="str">
        <f t="shared" si="8"/>
        <v/>
      </c>
    </row>
    <row r="20" spans="1:35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 t="shared" si="0"/>
        <v/>
      </c>
      <c r="W20" s="11" t="str">
        <f t="shared" si="1"/>
        <v/>
      </c>
      <c r="X20" t="str">
        <f t="shared" si="2"/>
        <v/>
      </c>
      <c r="Y20" s="11" t="str">
        <f>IF(ISBLANK(L20), "", $X$16*M20)</f>
        <v/>
      </c>
      <c r="Z20" t="str">
        <f t="shared" si="3"/>
        <v/>
      </c>
      <c r="AA20" s="11" t="str">
        <f t="shared" si="4"/>
        <v/>
      </c>
      <c r="AB20" t="str">
        <f>IF(N20="directApplication", "", $AA$16*O20)</f>
        <v/>
      </c>
      <c r="AC20" t="str">
        <f>IF(D20="", "", _xlfn.XLOOKUP('4.6.1.3'!D20, Constants!$I$5:$I$6, Constants!$J$5:$J$6))</f>
        <v/>
      </c>
      <c r="AD20">
        <f>Constants!$J$2</f>
        <v>1.5714285714285714</v>
      </c>
      <c r="AE20" t="str">
        <f t="shared" si="5"/>
        <v/>
      </c>
      <c r="AF20" t="str">
        <f t="shared" si="6"/>
        <v/>
      </c>
      <c r="AG20" t="str">
        <f>IF(F20="", "", Y23*AC20*Constants!$J$2/1000)</f>
        <v/>
      </c>
      <c r="AH20" t="str">
        <f t="shared" si="7"/>
        <v/>
      </c>
      <c r="AI20" t="str">
        <f t="shared" si="8"/>
        <v/>
      </c>
    </row>
    <row r="21" spans="1:35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 t="shared" si="0"/>
        <v>3.4223999999999999E-3</v>
      </c>
      <c r="W21">
        <f t="shared" si="1"/>
        <v>1.813872E-3</v>
      </c>
      <c r="X21">
        <f t="shared" si="2"/>
        <v>671.06552673600004</v>
      </c>
      <c r="Y21">
        <f>IF(ISBLANK(L21), "", $X$21*M21)</f>
        <v>0</v>
      </c>
      <c r="Z21">
        <f t="shared" si="3"/>
        <v>0</v>
      </c>
      <c r="AA21">
        <f t="shared" si="4"/>
        <v>573.15706638521772</v>
      </c>
      <c r="AB21">
        <f>IF(N21="directApplication", "", $AA$21*O21)</f>
        <v>194.87340257097404</v>
      </c>
      <c r="AC21">
        <f>IF(D21="", "", _xlfn.XLOOKUP('4.6.1.3'!D21, Constants!$I$5:$I$6, Constants!$J$5:$J$6))</f>
        <v>6.0000000000000001E-3</v>
      </c>
      <c r="AD21">
        <f>Constants!$J$2</f>
        <v>1.5714285714285714</v>
      </c>
      <c r="AE21">
        <f t="shared" si="5"/>
        <v>0</v>
      </c>
      <c r="AF21">
        <f t="shared" si="6"/>
        <v>1.5311481630576531</v>
      </c>
      <c r="AG21">
        <f>IF(F21="", "", Y24*AC21*Constants!$J$2/1000)</f>
        <v>6.327189252082286E-4</v>
      </c>
      <c r="AH21">
        <f t="shared" si="7"/>
        <v>9.9933419751009056E-3</v>
      </c>
      <c r="AI21">
        <f t="shared" si="8"/>
        <v>1.0626060900309134E-2</v>
      </c>
    </row>
    <row r="22" spans="1:35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 t="shared" si="0"/>
        <v/>
      </c>
      <c r="W22" t="str">
        <f t="shared" si="1"/>
        <v/>
      </c>
      <c r="X22" t="str">
        <f t="shared" si="2"/>
        <v/>
      </c>
      <c r="Y22">
        <f>IF(ISBLANK(L22), "", $X$21*M22)</f>
        <v>603.9589740624001</v>
      </c>
      <c r="Z22">
        <f t="shared" si="3"/>
        <v>573.15706638521772</v>
      </c>
      <c r="AA22" t="str">
        <f t="shared" si="4"/>
        <v/>
      </c>
      <c r="AB22">
        <f>IF(N22="directApplication", "", $AA$21*O22)</f>
        <v>343.89423983113062</v>
      </c>
      <c r="AC22" t="str">
        <f>IF(D22="", "", _xlfn.XLOOKUP('4.6.1.3'!D22, Constants!$I$5:$I$6, Constants!$J$5:$J$6))</f>
        <v/>
      </c>
      <c r="AD22">
        <f>Constants!$J$2</f>
        <v>1.5714285714285714</v>
      </c>
      <c r="AE22">
        <f t="shared" si="5"/>
        <v>0.94907838781234299</v>
      </c>
      <c r="AF22">
        <f t="shared" si="6"/>
        <v>5.4040523402034806</v>
      </c>
      <c r="AG22" t="str">
        <f>IF(F22="", "", Y25*AC22*Constants!$J$2/1000)</f>
        <v/>
      </c>
      <c r="AH22" t="str">
        <f t="shared" si="7"/>
        <v/>
      </c>
      <c r="AI22" t="str">
        <f t="shared" si="8"/>
        <v/>
      </c>
    </row>
    <row r="23" spans="1:35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 t="shared" si="0"/>
        <v/>
      </c>
      <c r="W23" t="str">
        <f t="shared" si="1"/>
        <v/>
      </c>
      <c r="X23" t="str">
        <f t="shared" si="2"/>
        <v/>
      </c>
      <c r="Y23">
        <f>IF(ISBLANK(L23), "", $X$21*M23)</f>
        <v>0</v>
      </c>
      <c r="Z23">
        <f t="shared" si="3"/>
        <v>0</v>
      </c>
      <c r="AA23" t="str">
        <f t="shared" si="4"/>
        <v/>
      </c>
      <c r="AB23">
        <f>IF(N23="directApplication", "", $AA$21*O23)</f>
        <v>0</v>
      </c>
      <c r="AC23" t="str">
        <f>IF(D23="", "", _xlfn.XLOOKUP('4.6.1.3'!D23, Constants!$I$5:$I$6, Constants!$J$5:$J$6))</f>
        <v/>
      </c>
      <c r="AD23">
        <f>Constants!$J$2</f>
        <v>1.5714285714285714</v>
      </c>
      <c r="AE23">
        <f t="shared" si="5"/>
        <v>0</v>
      </c>
      <c r="AF23">
        <f t="shared" si="6"/>
        <v>0</v>
      </c>
      <c r="AG23" t="str">
        <f>IF(F23="", "", Y26*AC23*Constants!$J$2/1000)</f>
        <v/>
      </c>
      <c r="AH23" t="str">
        <f t="shared" si="7"/>
        <v/>
      </c>
      <c r="AI23" t="str">
        <f t="shared" si="8"/>
        <v/>
      </c>
    </row>
    <row r="24" spans="1:35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 t="shared" si="0"/>
        <v/>
      </c>
      <c r="W24" t="str">
        <f t="shared" si="1"/>
        <v/>
      </c>
      <c r="X24" t="str">
        <f t="shared" si="2"/>
        <v/>
      </c>
      <c r="Y24">
        <f>IF(ISBLANK(L24), "", $X$21*M24)</f>
        <v>67.106552673600007</v>
      </c>
      <c r="Z24" t="str">
        <f t="shared" si="3"/>
        <v/>
      </c>
      <c r="AA24" t="str">
        <f t="shared" si="4"/>
        <v/>
      </c>
      <c r="AB24">
        <f>IF(N24="directApplication", "", $AA$21*O24)</f>
        <v>0</v>
      </c>
      <c r="AC24" t="str">
        <f>IF(D24="", "", _xlfn.XLOOKUP('4.6.1.3'!D24, Constants!$I$5:$I$6, Constants!$J$5:$J$6))</f>
        <v/>
      </c>
      <c r="AD24">
        <f>Constants!$J$2</f>
        <v>1.5714285714285714</v>
      </c>
      <c r="AE24">
        <f t="shared" si="5"/>
        <v>2.1090630840274289</v>
      </c>
      <c r="AF24">
        <f t="shared" si="6"/>
        <v>0</v>
      </c>
      <c r="AG24" t="str">
        <f>IF(F24="", "", Y27*AC24*Constants!$J$2/1000)</f>
        <v/>
      </c>
      <c r="AH24" t="str">
        <f t="shared" si="7"/>
        <v/>
      </c>
      <c r="AI24" t="str">
        <f t="shared" si="8"/>
        <v/>
      </c>
    </row>
    <row r="25" spans="1:35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 t="shared" si="0"/>
        <v/>
      </c>
      <c r="W25" s="11" t="str">
        <f t="shared" si="1"/>
        <v/>
      </c>
      <c r="X25" t="str">
        <f t="shared" si="2"/>
        <v/>
      </c>
      <c r="Y25" s="11" t="str">
        <f>IF(ISBLANK(L25), "", $X$21*M25)</f>
        <v/>
      </c>
      <c r="Z25" t="str">
        <f t="shared" si="3"/>
        <v/>
      </c>
      <c r="AA25" s="11" t="str">
        <f t="shared" si="4"/>
        <v/>
      </c>
      <c r="AB25" t="str">
        <f>IF(N25="directApplication", "", $AA$21*O25)</f>
        <v/>
      </c>
      <c r="AC25" t="str">
        <f>IF(D25="", "", _xlfn.XLOOKUP('4.6.1.3'!D25, Constants!$I$5:$I$6, Constants!$J$5:$J$6))</f>
        <v/>
      </c>
      <c r="AD25">
        <f>Constants!$J$2</f>
        <v>1.5714285714285714</v>
      </c>
      <c r="AE25" t="str">
        <f t="shared" si="5"/>
        <v/>
      </c>
      <c r="AF25" t="str">
        <f t="shared" si="6"/>
        <v/>
      </c>
      <c r="AG25" t="str">
        <f>IF(F25="", "", Y28*AC25*Constants!$J$2/1000)</f>
        <v/>
      </c>
      <c r="AH25" t="str">
        <f t="shared" si="7"/>
        <v/>
      </c>
      <c r="AI25" t="str">
        <f t="shared" si="8"/>
        <v/>
      </c>
    </row>
    <row r="26" spans="1:35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 t="shared" si="0"/>
        <v>3.4223999999999999E-3</v>
      </c>
      <c r="W26">
        <f t="shared" si="1"/>
        <v>1.813872E-3</v>
      </c>
      <c r="X26">
        <f t="shared" si="2"/>
        <v>335.74770719999998</v>
      </c>
      <c r="Y26">
        <f>IF(ISBLANK(L26), "", $X$26*M26)</f>
        <v>33.574770719999997</v>
      </c>
      <c r="Z26">
        <f t="shared" si="3"/>
        <v>23.46876473328</v>
      </c>
      <c r="AA26">
        <f t="shared" si="4"/>
        <v>23.46876473328</v>
      </c>
      <c r="AB26">
        <f>IF(N26="directApplication", "", $AA$26*O26)</f>
        <v>11.73438236664</v>
      </c>
      <c r="AC26">
        <f>IF(D26="", "", _xlfn.XLOOKUP('4.6.1.3'!D26, Constants!$I$5:$I$6, Constants!$J$5:$J$6))</f>
        <v>2E-3</v>
      </c>
      <c r="AD26">
        <f>Constants!$J$2</f>
        <v>1.5714285714285714</v>
      </c>
      <c r="AE26">
        <f t="shared" si="5"/>
        <v>5.2760353988571415E-2</v>
      </c>
      <c r="AF26">
        <f t="shared" si="6"/>
        <v>9.2198718595028567E-2</v>
      </c>
      <c r="AG26">
        <f>IF(F26="", "", Y29*AC26*Constants!$J$2/1000)</f>
        <v>9.4968637179428561E-4</v>
      </c>
      <c r="AH26">
        <f t="shared" si="7"/>
        <v>9.7340215091214852E-3</v>
      </c>
      <c r="AI26">
        <f t="shared" si="8"/>
        <v>1.0683707880915772E-2</v>
      </c>
    </row>
    <row r="27" spans="1:35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 t="shared" si="0"/>
        <v/>
      </c>
      <c r="W27" t="str">
        <f t="shared" si="1"/>
        <v/>
      </c>
      <c r="X27" t="str">
        <f t="shared" si="2"/>
        <v/>
      </c>
      <c r="Y27">
        <f>IF(ISBLANK(L27), "", $X$26*M27)</f>
        <v>0</v>
      </c>
      <c r="Z27">
        <f t="shared" si="3"/>
        <v>0</v>
      </c>
      <c r="AA27" t="str">
        <f t="shared" si="4"/>
        <v/>
      </c>
      <c r="AB27">
        <f>IF(N27="directApplication", "", $AA$26*O27)</f>
        <v>5.8671911833200001</v>
      </c>
      <c r="AC27" t="str">
        <f>IF(D27="", "", _xlfn.XLOOKUP('4.6.1.3'!D27, Constants!$I$5:$I$6, Constants!$J$5:$J$6))</f>
        <v/>
      </c>
      <c r="AD27">
        <f>Constants!$J$2</f>
        <v>1.5714285714285714</v>
      </c>
      <c r="AE27">
        <f t="shared" si="5"/>
        <v>0</v>
      </c>
      <c r="AF27">
        <f t="shared" si="6"/>
        <v>9.2198718595028567E-2</v>
      </c>
      <c r="AG27" t="str">
        <f>IF(F27="", "", Y30*AC27*Constants!$J$2/1000)</f>
        <v/>
      </c>
      <c r="AH27" t="str">
        <f t="shared" si="7"/>
        <v/>
      </c>
      <c r="AI27" t="str">
        <f t="shared" si="8"/>
        <v/>
      </c>
    </row>
    <row r="28" spans="1:35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 t="shared" si="0"/>
        <v/>
      </c>
      <c r="W28" t="str">
        <f t="shared" si="1"/>
        <v/>
      </c>
      <c r="X28" t="str">
        <f t="shared" si="2"/>
        <v/>
      </c>
      <c r="Y28">
        <f>IF(ISBLANK(L28), "", $X$26*M28)</f>
        <v>0</v>
      </c>
      <c r="Z28">
        <f t="shared" si="3"/>
        <v>0</v>
      </c>
      <c r="AA28" t="str">
        <f t="shared" si="4"/>
        <v/>
      </c>
      <c r="AB28">
        <f>IF(N28="directApplication", "", $AA$26*O28)</f>
        <v>5.8671911833200001</v>
      </c>
      <c r="AC28" t="str">
        <f>IF(D28="", "", _xlfn.XLOOKUP('4.6.1.3'!D28, Constants!$I$5:$I$6, Constants!$J$5:$J$6))</f>
        <v/>
      </c>
      <c r="AD28">
        <f>Constants!$J$2</f>
        <v>1.5714285714285714</v>
      </c>
      <c r="AE28">
        <f t="shared" si="5"/>
        <v>0</v>
      </c>
      <c r="AF28">
        <f t="shared" si="6"/>
        <v>0</v>
      </c>
      <c r="AG28" t="str">
        <f>IF(F28="", "", Y31*AC28*Constants!$J$2/1000)</f>
        <v/>
      </c>
      <c r="AH28" t="str">
        <f t="shared" si="7"/>
        <v/>
      </c>
      <c r="AI28" t="str">
        <f t="shared" si="8"/>
        <v/>
      </c>
    </row>
    <row r="29" spans="1:35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 t="shared" si="0"/>
        <v/>
      </c>
      <c r="W29" t="str">
        <f t="shared" si="1"/>
        <v/>
      </c>
      <c r="X29" t="str">
        <f t="shared" si="2"/>
        <v/>
      </c>
      <c r="Y29">
        <f>IF(ISBLANK(L29), "", $X$26*M29)</f>
        <v>302.17293647999998</v>
      </c>
      <c r="Z29" t="str">
        <f t="shared" si="3"/>
        <v/>
      </c>
      <c r="AA29" t="str">
        <f t="shared" si="4"/>
        <v/>
      </c>
      <c r="AB29">
        <f>IF(N29="directApplication", "", $AA$26*O29)</f>
        <v>0</v>
      </c>
      <c r="AC29" t="str">
        <f>IF(D29="", "", _xlfn.XLOOKUP('4.6.1.3'!D29, Constants!$I$5:$I$6, Constants!$J$5:$J$6))</f>
        <v/>
      </c>
      <c r="AD29">
        <f>Constants!$J$2</f>
        <v>1.5714285714285714</v>
      </c>
      <c r="AE29">
        <f t="shared" si="5"/>
        <v>9.4968637179428566</v>
      </c>
      <c r="AF29">
        <f t="shared" si="6"/>
        <v>0</v>
      </c>
      <c r="AG29" t="str">
        <f>IF(F29="", "", Y32*AC29*Constants!$J$2/1000)</f>
        <v/>
      </c>
      <c r="AH29" t="str">
        <f t="shared" si="7"/>
        <v/>
      </c>
      <c r="AI29" t="str">
        <f t="shared" si="8"/>
        <v/>
      </c>
    </row>
    <row r="30" spans="1:35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 t="shared" si="0"/>
        <v/>
      </c>
      <c r="W30" s="11" t="str">
        <f t="shared" si="1"/>
        <v/>
      </c>
      <c r="X30" t="str">
        <f t="shared" si="2"/>
        <v/>
      </c>
      <c r="Y30" s="11" t="str">
        <f>IF(ISBLANK(L30), "", $X$26*M30)</f>
        <v/>
      </c>
      <c r="Z30" t="str">
        <f t="shared" si="3"/>
        <v/>
      </c>
      <c r="AA30" s="11" t="str">
        <f t="shared" si="4"/>
        <v/>
      </c>
      <c r="AB30" t="str">
        <f>IF(N30="directApplication", "", $AA$26*O30)</f>
        <v/>
      </c>
      <c r="AC30" t="str">
        <f>IF(D30="", "", _xlfn.XLOOKUP('4.6.1.3'!D30, Constants!$I$5:$I$6, Constants!$J$5:$J$6))</f>
        <v/>
      </c>
      <c r="AD30">
        <f>Constants!$J$2</f>
        <v>1.5714285714285714</v>
      </c>
      <c r="AE30" t="str">
        <f t="shared" si="5"/>
        <v/>
      </c>
      <c r="AF30" t="str">
        <f t="shared" si="6"/>
        <v/>
      </c>
      <c r="AG30" t="str">
        <f>IF(F30="", "", Y33*AC30*Constants!$J$2/1000)</f>
        <v/>
      </c>
      <c r="AH30" t="str">
        <f t="shared" si="7"/>
        <v/>
      </c>
      <c r="AI30" t="str">
        <f t="shared" si="8"/>
        <v/>
      </c>
    </row>
  </sheetData>
  <pageMargins left="0.7" right="0.7" top="0.75" bottom="0.75" header="0.3" footer="0.3"/>
  <ignoredErrors>
    <ignoredError sqref="S11:S3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AH30"/>
  <sheetViews>
    <sheetView topLeftCell="J2" workbookViewId="0">
      <selection activeCell="R2" sqref="R1:S104857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</cols>
  <sheetData>
    <row r="2" spans="1:34" x14ac:dyDescent="0.2">
      <c r="A2" t="s">
        <v>30</v>
      </c>
    </row>
    <row r="4" spans="1:34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4" x14ac:dyDescent="0.2">
      <c r="K5" t="s">
        <v>0</v>
      </c>
      <c r="Q5" t="s">
        <v>0</v>
      </c>
      <c r="Z5" t="s">
        <v>120</v>
      </c>
    </row>
    <row r="6" spans="1:34" x14ac:dyDescent="0.2">
      <c r="AA6" t="s">
        <v>112</v>
      </c>
    </row>
    <row r="8" spans="1:34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4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129</v>
      </c>
      <c r="AD10" s="1" t="s">
        <v>130</v>
      </c>
      <c r="AE10" s="1" t="s">
        <v>131</v>
      </c>
      <c r="AF10" s="1" t="s">
        <v>75</v>
      </c>
      <c r="AG10" s="1" t="s">
        <v>119</v>
      </c>
      <c r="AH10" s="10" t="s">
        <v>128</v>
      </c>
    </row>
    <row r="11" spans="1:34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 t="shared" ref="V11:V30" si="0">IF(F11="","",I11*J11/6.25)</f>
        <v>2.6144000000000002E-3</v>
      </c>
      <c r="W11">
        <f t="shared" ref="W11:W30" si="1">IF(F11="", "", V11*(1-K11))</f>
        <v>1.6993600000000002E-3</v>
      </c>
      <c r="X11">
        <f t="shared" ref="X11:X30" si="2">IF(F11="", "", G11*W11*H11)</f>
        <v>424.84000000000003</v>
      </c>
      <c r="Y11">
        <f>IF(ISBLANK(L11), "", $X$11*M11)</f>
        <v>42.484000000000009</v>
      </c>
      <c r="Z11">
        <f t="shared" ref="Z11:Z30" si="3">IF(OR(L11="", L11="pastureRangeAndPaddock"), "", Y11*(1-R11-S11))</f>
        <v>29.69631600000001</v>
      </c>
      <c r="AA11">
        <f t="shared" ref="AA11:AA30" si="4">IF(F11="", "",SUM(Z11:Z15))</f>
        <v>186.67469600000001</v>
      </c>
      <c r="AB11">
        <f>IF(N11="directApplication", "", $AA$11*O11)</f>
        <v>28.001204400000002</v>
      </c>
      <c r="AC11">
        <f>IF(L11="", "",IF( L11="pastureRangeAndPaddock",Y11*Constants!$K$2, Y11*S11))</f>
        <v>12.745200000000002</v>
      </c>
      <c r="AD11">
        <f t="shared" ref="AD11:AD30" si="5">IF(OR(N11="", N11="directApplication"), "",AB11*U11)</f>
        <v>5.6002408800000012</v>
      </c>
      <c r="AE11">
        <f t="shared" ref="AE11:AE30" si="6">IF(F11="", "", SUM(AC11:AD15))</f>
        <v>116.72818872000002</v>
      </c>
      <c r="AF11">
        <f>IF(C11="", "", _xlfn.XLOOKUP(C11,Constants!$A$20:$A$24,Constants!$B$20:$B$24))</f>
        <v>1.8E-3</v>
      </c>
      <c r="AG11">
        <f>IF(AE11="","",Constants!$J$2)</f>
        <v>1.5714285714285714</v>
      </c>
      <c r="AH11">
        <f>IF(AE11="", "", (AE11*AF11*AG11)/1000)</f>
        <v>3.3017401952228578E-4</v>
      </c>
    </row>
    <row r="12" spans="1:34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 t="shared" si="0"/>
        <v/>
      </c>
      <c r="W12" t="str">
        <f t="shared" si="1"/>
        <v/>
      </c>
      <c r="X12" t="str">
        <f t="shared" si="2"/>
        <v/>
      </c>
      <c r="Y12">
        <f>IF(ISBLANK(L12), "", $X$11*M12)</f>
        <v>84.968000000000018</v>
      </c>
      <c r="Z12">
        <f t="shared" si="3"/>
        <v>80.634632000000011</v>
      </c>
      <c r="AA12" t="str">
        <f t="shared" si="4"/>
        <v/>
      </c>
      <c r="AB12">
        <f>IF(N12="directApplication", "", $AA$11*O12)</f>
        <v>37.334939200000001</v>
      </c>
      <c r="AC12">
        <f>IF(L12="", "",IF( L12="pastureRangeAndPaddock",Y12*Constants!$K$2, Y12*S12))</f>
        <v>4.2484000000000011</v>
      </c>
      <c r="AD12">
        <f t="shared" si="5"/>
        <v>7.4669878400000007</v>
      </c>
      <c r="AE12" t="str">
        <f t="shared" si="6"/>
        <v/>
      </c>
      <c r="AF12" t="str">
        <f>IF(C12="", "", _xlfn.XLOOKUP(C12,Constants!$A$20:$A$24,Constants!$B$20:$B$24))</f>
        <v/>
      </c>
      <c r="AG12" t="str">
        <f>IF(AE12="","",Constants!$J$2)</f>
        <v/>
      </c>
      <c r="AH12" t="str">
        <f t="shared" ref="AH12:AH30" si="7">IF(AE12="", "", (AE12*AF12*AG12)/1000)</f>
        <v/>
      </c>
    </row>
    <row r="13" spans="1:34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 t="shared" si="0"/>
        <v/>
      </c>
      <c r="W13" t="str">
        <f t="shared" si="1"/>
        <v/>
      </c>
      <c r="X13" t="str">
        <f t="shared" si="2"/>
        <v/>
      </c>
      <c r="Y13">
        <f>IF(ISBLANK(L13), "", $X$11*M13)</f>
        <v>127.452</v>
      </c>
      <c r="Z13">
        <f t="shared" si="3"/>
        <v>76.343747999999991</v>
      </c>
      <c r="AA13" t="str">
        <f t="shared" si="4"/>
        <v/>
      </c>
      <c r="AB13">
        <f>IF(N13="directApplication", "", $AA$11*O13)</f>
        <v>46.668674000000003</v>
      </c>
      <c r="AC13">
        <f>IF(L13="", "",IF( L13="pastureRangeAndPaddock",Y13*Constants!$K$2, Y13*S13))</f>
        <v>50.980800000000002</v>
      </c>
      <c r="AD13">
        <f t="shared" si="5"/>
        <v>0</v>
      </c>
      <c r="AE13" t="str">
        <f t="shared" si="6"/>
        <v/>
      </c>
      <c r="AF13" t="str">
        <f>IF(C13="", "", _xlfn.XLOOKUP(C13,Constants!$A$20:$A$24,Constants!$B$20:$B$24))</f>
        <v/>
      </c>
      <c r="AG13" t="str">
        <f>IF(AE13="","",Constants!$J$2)</f>
        <v/>
      </c>
      <c r="AH13" t="str">
        <f t="shared" si="7"/>
        <v/>
      </c>
    </row>
    <row r="14" spans="1:34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 t="shared" si="0"/>
        <v/>
      </c>
      <c r="W14" t="str">
        <f t="shared" si="1"/>
        <v/>
      </c>
      <c r="X14" t="str">
        <f t="shared" si="2"/>
        <v/>
      </c>
      <c r="Y14">
        <f>IF(ISBLANK(L14), "", $X$11*M14)</f>
        <v>169.93600000000004</v>
      </c>
      <c r="Z14" t="str">
        <f t="shared" si="3"/>
        <v/>
      </c>
      <c r="AA14" t="str">
        <f t="shared" si="4"/>
        <v/>
      </c>
      <c r="AB14">
        <f>IF(N14="directApplication", "", $AA$11*O14)</f>
        <v>31.734698320000003</v>
      </c>
      <c r="AC14">
        <f>IF(L14="", "",IF( L14="pastureRangeAndPaddock",Y14*Constants!$K$2, Y14*S14))</f>
        <v>35.686560000000007</v>
      </c>
      <c r="AD14">
        <f t="shared" si="5"/>
        <v>0</v>
      </c>
      <c r="AE14" t="str">
        <f t="shared" si="6"/>
        <v/>
      </c>
      <c r="AF14" t="str">
        <f>IF(C14="", "", _xlfn.XLOOKUP(C14,Constants!$A$20:$A$24,Constants!$B$20:$B$24))</f>
        <v/>
      </c>
      <c r="AG14" t="str">
        <f>IF(AE14="","",Constants!$J$2)</f>
        <v/>
      </c>
      <c r="AH14" t="str">
        <f t="shared" si="7"/>
        <v/>
      </c>
    </row>
    <row r="15" spans="1:34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 t="shared" si="0"/>
        <v/>
      </c>
      <c r="W15" s="11" t="str">
        <f t="shared" si="1"/>
        <v/>
      </c>
      <c r="X15" t="str">
        <f t="shared" si="2"/>
        <v/>
      </c>
      <c r="Y15" s="11" t="str">
        <f>IF(ISBLANK(L15), "", $X$11*M15)</f>
        <v/>
      </c>
      <c r="Z15" t="str">
        <f t="shared" si="3"/>
        <v/>
      </c>
      <c r="AA15" s="11" t="str">
        <f t="shared" si="4"/>
        <v/>
      </c>
      <c r="AB15" t="str">
        <f>IF(N15="directApplication", "", $AA$11*O15)</f>
        <v/>
      </c>
      <c r="AC15" t="str">
        <f>IF(L15="", "",IF( L15="pastureRangeAndPaddock",Y15*Constants!$K$2, Y15*S15))</f>
        <v/>
      </c>
      <c r="AD15" t="str">
        <f t="shared" si="5"/>
        <v/>
      </c>
      <c r="AE15" t="str">
        <f t="shared" si="6"/>
        <v/>
      </c>
      <c r="AF15" t="str">
        <f>IF(C15="", "", _xlfn.XLOOKUP(C15,Constants!$A$20:$A$24,Constants!$B$20:$B$24))</f>
        <v/>
      </c>
      <c r="AG15" t="str">
        <f>IF(AE15="","",Constants!$J$2)</f>
        <v/>
      </c>
      <c r="AH15" t="str">
        <f t="shared" si="7"/>
        <v/>
      </c>
    </row>
    <row r="16" spans="1:34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 t="shared" si="0"/>
        <v>3.1312000000000002E-3</v>
      </c>
      <c r="W16">
        <f t="shared" si="1"/>
        <v>2.1292159999999997E-3</v>
      </c>
      <c r="X16">
        <f t="shared" si="2"/>
        <v>598.84199999999987</v>
      </c>
      <c r="Y16">
        <f>IF(ISBLANK(L16), "", $X$16*M16)</f>
        <v>239.53679999999997</v>
      </c>
      <c r="Z16">
        <f t="shared" si="3"/>
        <v>167.4362232</v>
      </c>
      <c r="AA16">
        <f t="shared" si="4"/>
        <v>409.66781219999996</v>
      </c>
      <c r="AB16">
        <f>IF(N16="directApplication", "", $AA$16*O16)</f>
        <v>81.933562440000003</v>
      </c>
      <c r="AC16">
        <f>IF(L16="", "",IF( L16="pastureRangeAndPaddock",Y16*Constants!$K$2, Y16*S16))</f>
        <v>71.861039999999988</v>
      </c>
      <c r="AD16">
        <f t="shared" si="5"/>
        <v>16.386712488000001</v>
      </c>
      <c r="AE16">
        <f t="shared" si="6"/>
        <v>178.19681509799997</v>
      </c>
      <c r="AF16">
        <f>IF(C16="", "", _xlfn.XLOOKUP(C16,Constants!$A$20:$A$24,Constants!$B$20:$B$24))</f>
        <v>7.0000000000000001E-3</v>
      </c>
      <c r="AG16">
        <f>IF(AE16="","",Constants!$J$2)</f>
        <v>1.5714285714285714</v>
      </c>
      <c r="AH16">
        <f t="shared" si="7"/>
        <v>1.9601649660779996E-3</v>
      </c>
    </row>
    <row r="17" spans="1:34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 t="shared" si="0"/>
        <v/>
      </c>
      <c r="W17" t="str">
        <f t="shared" si="1"/>
        <v/>
      </c>
      <c r="X17" t="str">
        <f t="shared" si="2"/>
        <v/>
      </c>
      <c r="Y17">
        <f>IF(ISBLANK(L17), "", $X$16*M17)</f>
        <v>179.65259999999995</v>
      </c>
      <c r="Z17">
        <f t="shared" si="3"/>
        <v>170.49031739999995</v>
      </c>
      <c r="AA17" t="str">
        <f t="shared" si="4"/>
        <v/>
      </c>
      <c r="AB17">
        <f>IF(N17="directApplication", "", $AA$16*O17)</f>
        <v>102.41695304999999</v>
      </c>
      <c r="AC17">
        <f>IF(L17="", "",IF( L17="pastureRangeAndPaddock",Y17*Constants!$K$2, Y17*S17))</f>
        <v>8.9826299999999986</v>
      </c>
      <c r="AD17">
        <f t="shared" si="5"/>
        <v>20.483390610000001</v>
      </c>
      <c r="AE17" t="str">
        <f t="shared" si="6"/>
        <v/>
      </c>
      <c r="AF17" t="str">
        <f>IF(C17="", "", _xlfn.XLOOKUP(C17,Constants!$A$20:$A$24,Constants!$B$20:$B$24))</f>
        <v/>
      </c>
      <c r="AG17" t="str">
        <f>IF(AE17="","",Constants!$J$2)</f>
        <v/>
      </c>
      <c r="AH17" t="str">
        <f t="shared" si="7"/>
        <v/>
      </c>
    </row>
    <row r="18" spans="1:34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 t="shared" si="0"/>
        <v/>
      </c>
      <c r="W18" t="str">
        <f t="shared" si="1"/>
        <v/>
      </c>
      <c r="X18" t="str">
        <f t="shared" si="2"/>
        <v/>
      </c>
      <c r="Y18">
        <f>IF(ISBLANK(L18), "", $X$16*M18)</f>
        <v>119.76839999999999</v>
      </c>
      <c r="Z18">
        <f t="shared" si="3"/>
        <v>71.74127159999999</v>
      </c>
      <c r="AA18" t="str">
        <f t="shared" si="4"/>
        <v/>
      </c>
      <c r="AB18">
        <f>IF(N18="directApplication", "", $AA$16*O18)</f>
        <v>81.933562440000003</v>
      </c>
      <c r="AC18">
        <f>IF(L18="", "",IF( L18="pastureRangeAndPaddock",Y18*Constants!$K$2, Y18*S18))</f>
        <v>47.907359999999997</v>
      </c>
      <c r="AD18">
        <f t="shared" si="5"/>
        <v>0</v>
      </c>
      <c r="AE18" t="str">
        <f t="shared" si="6"/>
        <v/>
      </c>
      <c r="AF18" t="str">
        <f>IF(C18="", "", _xlfn.XLOOKUP(C18,Constants!$A$20:$A$24,Constants!$B$20:$B$24))</f>
        <v/>
      </c>
      <c r="AG18" t="str">
        <f>IF(AE18="","",Constants!$J$2)</f>
        <v/>
      </c>
      <c r="AH18" t="str">
        <f t="shared" si="7"/>
        <v/>
      </c>
    </row>
    <row r="19" spans="1:34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 t="shared" si="0"/>
        <v/>
      </c>
      <c r="W19" t="str">
        <f t="shared" si="1"/>
        <v/>
      </c>
      <c r="X19" t="str">
        <f t="shared" si="2"/>
        <v/>
      </c>
      <c r="Y19">
        <f>IF(ISBLANK(L19), "", $X$16*M19)</f>
        <v>59.884199999999993</v>
      </c>
      <c r="Z19" t="str">
        <f t="shared" si="3"/>
        <v/>
      </c>
      <c r="AA19" t="str">
        <f t="shared" si="4"/>
        <v/>
      </c>
      <c r="AB19">
        <f>IF(N19="directApplication", "", $AA$16*O19)</f>
        <v>102.41695304999999</v>
      </c>
      <c r="AC19">
        <f>IF(L19="", "",IF( L19="pastureRangeAndPaddock",Y19*Constants!$K$2, Y19*S19))</f>
        <v>12.575681999999999</v>
      </c>
      <c r="AD19">
        <f t="shared" si="5"/>
        <v>0</v>
      </c>
      <c r="AE19" t="str">
        <f t="shared" si="6"/>
        <v/>
      </c>
      <c r="AF19" t="str">
        <f>IF(C19="", "", _xlfn.XLOOKUP(C19,Constants!$A$20:$A$24,Constants!$B$20:$B$24))</f>
        <v/>
      </c>
      <c r="AG19" t="str">
        <f>IF(AE19="","",Constants!$J$2)</f>
        <v/>
      </c>
      <c r="AH19" t="str">
        <f t="shared" si="7"/>
        <v/>
      </c>
    </row>
    <row r="20" spans="1:34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 t="shared" si="0"/>
        <v/>
      </c>
      <c r="W20" s="11" t="str">
        <f t="shared" si="1"/>
        <v/>
      </c>
      <c r="X20" t="str">
        <f t="shared" si="2"/>
        <v/>
      </c>
      <c r="Y20" s="11" t="str">
        <f>IF(ISBLANK(L20), "", $X$16*M20)</f>
        <v/>
      </c>
      <c r="Z20" t="str">
        <f t="shared" si="3"/>
        <v/>
      </c>
      <c r="AA20" s="11" t="str">
        <f t="shared" si="4"/>
        <v/>
      </c>
      <c r="AB20" t="str">
        <f>IF(N20="directApplication", "", $AA$16*O20)</f>
        <v/>
      </c>
      <c r="AC20" t="str">
        <f>IF(L20="", "",IF( L20="pastureRangeAndPaddock",Y20*Constants!$K$2, Y20*S20))</f>
        <v/>
      </c>
      <c r="AD20" t="str">
        <f t="shared" si="5"/>
        <v/>
      </c>
      <c r="AE20" t="str">
        <f t="shared" si="6"/>
        <v/>
      </c>
      <c r="AF20" t="str">
        <f>IF(C20="", "", _xlfn.XLOOKUP(C20,Constants!$A$20:$A$24,Constants!$B$20:$B$24))</f>
        <v/>
      </c>
      <c r="AG20" t="str">
        <f>IF(AE20="","",Constants!$J$2)</f>
        <v/>
      </c>
      <c r="AH20" t="str">
        <f t="shared" si="7"/>
        <v/>
      </c>
    </row>
    <row r="21" spans="1:34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 t="shared" si="0"/>
        <v>3.4223999999999999E-3</v>
      </c>
      <c r="W21">
        <f t="shared" si="1"/>
        <v>1.813872E-3</v>
      </c>
      <c r="X21">
        <f t="shared" si="2"/>
        <v>671.06552673600004</v>
      </c>
      <c r="Y21">
        <f>IF(ISBLANK(L21), "", $X$21*M21)</f>
        <v>0</v>
      </c>
      <c r="Z21">
        <f t="shared" si="3"/>
        <v>0</v>
      </c>
      <c r="AA21">
        <f t="shared" si="4"/>
        <v>573.15706638521772</v>
      </c>
      <c r="AB21">
        <f>IF(N21="directApplication", "", $AA$21*O21)</f>
        <v>194.87340257097404</v>
      </c>
      <c r="AC21">
        <f>IF(L21="", "",IF( L21="pastureRangeAndPaddock",Y21*Constants!$K$2, Y21*S21))</f>
        <v>0</v>
      </c>
      <c r="AD21">
        <f t="shared" si="5"/>
        <v>38.974680514194809</v>
      </c>
      <c r="AE21">
        <f t="shared" si="6"/>
        <v>152.04385324499694</v>
      </c>
      <c r="AF21">
        <f>IF(C21="", "", _xlfn.XLOOKUP(C21,Constants!$A$20:$A$24,Constants!$B$20:$B$24))</f>
        <v>5.8999999999999999E-3</v>
      </c>
      <c r="AG21">
        <f>IF(AE21="","",Constants!$J$2)</f>
        <v>1.5714285714285714</v>
      </c>
      <c r="AH21">
        <f t="shared" si="7"/>
        <v>1.4096637250857571E-3</v>
      </c>
    </row>
    <row r="22" spans="1:34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 t="shared" si="0"/>
        <v/>
      </c>
      <c r="W22" t="str">
        <f t="shared" si="1"/>
        <v/>
      </c>
      <c r="X22" t="str">
        <f t="shared" si="2"/>
        <v/>
      </c>
      <c r="Y22">
        <f>IF(ISBLANK(L22), "", $X$21*M22)</f>
        <v>603.9589740624001</v>
      </c>
      <c r="Z22">
        <f t="shared" si="3"/>
        <v>573.15706638521772</v>
      </c>
      <c r="AA22" t="str">
        <f t="shared" si="4"/>
        <v/>
      </c>
      <c r="AB22">
        <f>IF(N22="directApplication", "", $AA$21*O22)</f>
        <v>343.89423983113062</v>
      </c>
      <c r="AC22">
        <f>IF(L22="", "",IF( L22="pastureRangeAndPaddock",Y22*Constants!$K$2, Y22*S22))</f>
        <v>30.197948703120005</v>
      </c>
      <c r="AD22">
        <f t="shared" si="5"/>
        <v>68.778847966226124</v>
      </c>
      <c r="AE22" t="str">
        <f t="shared" si="6"/>
        <v/>
      </c>
      <c r="AF22" t="str">
        <f>IF(C22="", "", _xlfn.XLOOKUP(C22,Constants!$A$20:$A$24,Constants!$B$20:$B$24))</f>
        <v/>
      </c>
      <c r="AG22" t="str">
        <f>IF(AE22="","",Constants!$J$2)</f>
        <v/>
      </c>
      <c r="AH22" t="str">
        <f t="shared" si="7"/>
        <v/>
      </c>
    </row>
    <row r="23" spans="1:34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 t="shared" si="0"/>
        <v/>
      </c>
      <c r="W23" t="str">
        <f t="shared" si="1"/>
        <v/>
      </c>
      <c r="X23" t="str">
        <f t="shared" si="2"/>
        <v/>
      </c>
      <c r="Y23">
        <f>IF(ISBLANK(L23), "", $X$21*M23)</f>
        <v>0</v>
      </c>
      <c r="Z23">
        <f t="shared" si="3"/>
        <v>0</v>
      </c>
      <c r="AA23" t="str">
        <f t="shared" si="4"/>
        <v/>
      </c>
      <c r="AB23">
        <f>IF(N23="directApplication", "", $AA$21*O23)</f>
        <v>0</v>
      </c>
      <c r="AC23">
        <f>IF(L23="", "",IF( L23="pastureRangeAndPaddock",Y23*Constants!$K$2, Y23*S23))</f>
        <v>0</v>
      </c>
      <c r="AD23">
        <f t="shared" si="5"/>
        <v>0</v>
      </c>
      <c r="AE23" t="str">
        <f t="shared" si="6"/>
        <v/>
      </c>
      <c r="AF23" t="str">
        <f>IF(C23="", "", _xlfn.XLOOKUP(C23,Constants!$A$20:$A$24,Constants!$B$20:$B$24))</f>
        <v/>
      </c>
      <c r="AG23" t="str">
        <f>IF(AE23="","",Constants!$J$2)</f>
        <v/>
      </c>
      <c r="AH23" t="str">
        <f t="shared" si="7"/>
        <v/>
      </c>
    </row>
    <row r="24" spans="1:34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 t="shared" si="0"/>
        <v/>
      </c>
      <c r="W24" t="str">
        <f t="shared" si="1"/>
        <v/>
      </c>
      <c r="X24" t="str">
        <f t="shared" si="2"/>
        <v/>
      </c>
      <c r="Y24">
        <f>IF(ISBLANK(L24), "", $X$21*M24)</f>
        <v>67.106552673600007</v>
      </c>
      <c r="Z24" t="str">
        <f t="shared" si="3"/>
        <v/>
      </c>
      <c r="AA24" t="str">
        <f t="shared" si="4"/>
        <v/>
      </c>
      <c r="AB24">
        <f>IF(N24="directApplication", "", $AA$21*O24)</f>
        <v>0</v>
      </c>
      <c r="AC24">
        <f>IF(L24="", "",IF( L24="pastureRangeAndPaddock",Y24*Constants!$K$2, Y24*S24))</f>
        <v>14.092376061456001</v>
      </c>
      <c r="AD24">
        <f t="shared" si="5"/>
        <v>0</v>
      </c>
      <c r="AE24" t="str">
        <f t="shared" si="6"/>
        <v/>
      </c>
      <c r="AF24" t="str">
        <f>IF(C24="", "", _xlfn.XLOOKUP(C24,Constants!$A$20:$A$24,Constants!$B$20:$B$24))</f>
        <v/>
      </c>
      <c r="AG24" t="str">
        <f>IF(AE24="","",Constants!$J$2)</f>
        <v/>
      </c>
      <c r="AH24" t="str">
        <f t="shared" si="7"/>
        <v/>
      </c>
    </row>
    <row r="25" spans="1:34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 t="shared" si="0"/>
        <v/>
      </c>
      <c r="W25" s="11" t="str">
        <f t="shared" si="1"/>
        <v/>
      </c>
      <c r="X25" t="str">
        <f t="shared" si="2"/>
        <v/>
      </c>
      <c r="Y25" s="11" t="str">
        <f>IF(ISBLANK(L25), "", $X$21*M25)</f>
        <v/>
      </c>
      <c r="Z25" t="str">
        <f t="shared" si="3"/>
        <v/>
      </c>
      <c r="AA25" s="11" t="str">
        <f t="shared" si="4"/>
        <v/>
      </c>
      <c r="AB25" t="str">
        <f>IF(N25="directApplication", "", $AA$21*O25)</f>
        <v/>
      </c>
      <c r="AC25" t="str">
        <f>IF(L25="", "",IF( L25="pastureRangeAndPaddock",Y25*Constants!$K$2, Y25*S25))</f>
        <v/>
      </c>
      <c r="AD25" t="str">
        <f t="shared" si="5"/>
        <v/>
      </c>
      <c r="AE25" t="str">
        <f t="shared" si="6"/>
        <v/>
      </c>
      <c r="AF25" t="str">
        <f>IF(C25="", "", _xlfn.XLOOKUP(C25,Constants!$A$20:$A$24,Constants!$B$20:$B$24))</f>
        <v/>
      </c>
      <c r="AG25" t="str">
        <f>IF(AE25="","",Constants!$J$2)</f>
        <v/>
      </c>
      <c r="AH25" t="str">
        <f t="shared" si="7"/>
        <v/>
      </c>
    </row>
    <row r="26" spans="1:34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 t="shared" si="0"/>
        <v>3.4223999999999999E-3</v>
      </c>
      <c r="W26">
        <f t="shared" si="1"/>
        <v>1.813872E-3</v>
      </c>
      <c r="X26">
        <f t="shared" si="2"/>
        <v>335.74770719999998</v>
      </c>
      <c r="Y26">
        <f>IF(ISBLANK(L26), "", $X$26*M26)</f>
        <v>33.574770719999997</v>
      </c>
      <c r="Z26">
        <f t="shared" si="3"/>
        <v>23.46876473328</v>
      </c>
      <c r="AA26">
        <f t="shared" si="4"/>
        <v>23.46876473328</v>
      </c>
      <c r="AB26">
        <f>IF(N26="directApplication", "", $AA$26*O26)</f>
        <v>11.73438236664</v>
      </c>
      <c r="AC26">
        <f>IF(L26="", "",IF( L26="pastureRangeAndPaddock",Y26*Constants!$K$2, Y26*S26))</f>
        <v>10.072431215999998</v>
      </c>
      <c r="AD26">
        <f t="shared" si="5"/>
        <v>2.3468764733280003</v>
      </c>
      <c r="AE26">
        <f t="shared" si="6"/>
        <v>77.04906258679199</v>
      </c>
      <c r="AF26">
        <f>IF(C26="", "", _xlfn.XLOOKUP(C26,Constants!$A$20:$A$24,Constants!$B$20:$B$24))</f>
        <v>8.0000000000000002E-3</v>
      </c>
      <c r="AG26">
        <f>IF(AE26="","",Constants!$J$2)</f>
        <v>1.5714285714285714</v>
      </c>
      <c r="AH26">
        <f t="shared" si="7"/>
        <v>9.68616786805385E-4</v>
      </c>
    </row>
    <row r="27" spans="1:34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 t="shared" si="0"/>
        <v/>
      </c>
      <c r="W27" t="str">
        <f t="shared" si="1"/>
        <v/>
      </c>
      <c r="X27" t="str">
        <f t="shared" si="2"/>
        <v/>
      </c>
      <c r="Y27">
        <f>IF(ISBLANK(L27), "", $X$26*M27)</f>
        <v>0</v>
      </c>
      <c r="Z27">
        <f t="shared" si="3"/>
        <v>0</v>
      </c>
      <c r="AA27" t="str">
        <f t="shared" si="4"/>
        <v/>
      </c>
      <c r="AB27">
        <f>IF(N27="directApplication", "", $AA$26*O27)</f>
        <v>5.8671911833200001</v>
      </c>
      <c r="AC27">
        <f>IF(L27="", "",IF( L27="pastureRangeAndPaddock",Y27*Constants!$K$2, Y27*S27))</f>
        <v>0</v>
      </c>
      <c r="AD27">
        <f t="shared" si="5"/>
        <v>1.1734382366640002</v>
      </c>
      <c r="AE27" t="str">
        <f t="shared" si="6"/>
        <v/>
      </c>
      <c r="AF27" t="str">
        <f>IF(C27="", "", _xlfn.XLOOKUP(C27,Constants!$A$20:$A$24,Constants!$B$20:$B$24))</f>
        <v/>
      </c>
      <c r="AG27" t="str">
        <f>IF(AE27="","",Constants!$J$2)</f>
        <v/>
      </c>
      <c r="AH27" t="str">
        <f t="shared" si="7"/>
        <v/>
      </c>
    </row>
    <row r="28" spans="1:34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 t="shared" si="0"/>
        <v/>
      </c>
      <c r="W28" t="str">
        <f t="shared" si="1"/>
        <v/>
      </c>
      <c r="X28" t="str">
        <f t="shared" si="2"/>
        <v/>
      </c>
      <c r="Y28">
        <f>IF(ISBLANK(L28), "", $X$26*M28)</f>
        <v>0</v>
      </c>
      <c r="Z28">
        <f t="shared" si="3"/>
        <v>0</v>
      </c>
      <c r="AA28" t="str">
        <f t="shared" si="4"/>
        <v/>
      </c>
      <c r="AB28">
        <f>IF(N28="directApplication", "", $AA$26*O28)</f>
        <v>5.8671911833200001</v>
      </c>
      <c r="AC28">
        <f>IF(L28="", "",IF( L28="pastureRangeAndPaddock",Y28*Constants!$K$2, Y28*S28))</f>
        <v>0</v>
      </c>
      <c r="AD28">
        <f t="shared" si="5"/>
        <v>0</v>
      </c>
      <c r="AE28" t="str">
        <f t="shared" si="6"/>
        <v/>
      </c>
      <c r="AF28" t="str">
        <f>IF(C28="", "", _xlfn.XLOOKUP(C28,Constants!$A$20:$A$24,Constants!$B$20:$B$24))</f>
        <v/>
      </c>
      <c r="AG28" t="str">
        <f>IF(AE28="","",Constants!$J$2)</f>
        <v/>
      </c>
      <c r="AH28" t="str">
        <f t="shared" si="7"/>
        <v/>
      </c>
    </row>
    <row r="29" spans="1:34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 t="shared" si="0"/>
        <v/>
      </c>
      <c r="W29" t="str">
        <f t="shared" si="1"/>
        <v/>
      </c>
      <c r="X29" t="str">
        <f t="shared" si="2"/>
        <v/>
      </c>
      <c r="Y29">
        <f>IF(ISBLANK(L29), "", $X$26*M29)</f>
        <v>302.17293647999998</v>
      </c>
      <c r="Z29" t="str">
        <f t="shared" si="3"/>
        <v/>
      </c>
      <c r="AA29" t="str">
        <f t="shared" si="4"/>
        <v/>
      </c>
      <c r="AB29">
        <f>IF(N29="directApplication", "", $AA$26*O29)</f>
        <v>0</v>
      </c>
      <c r="AC29">
        <f>IF(L29="", "",IF( L29="pastureRangeAndPaddock",Y29*Constants!$K$2, Y29*S29))</f>
        <v>63.456316660799992</v>
      </c>
      <c r="AD29">
        <f t="shared" si="5"/>
        <v>0</v>
      </c>
      <c r="AE29" t="str">
        <f t="shared" si="6"/>
        <v/>
      </c>
      <c r="AF29" t="str">
        <f>IF(C29="", "", _xlfn.XLOOKUP(C29,Constants!$A$20:$A$24,Constants!$B$20:$B$24))</f>
        <v/>
      </c>
      <c r="AG29" t="str">
        <f>IF(AE29="","",Constants!$J$2)</f>
        <v/>
      </c>
      <c r="AH29" t="str">
        <f t="shared" si="7"/>
        <v/>
      </c>
    </row>
    <row r="30" spans="1:34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 t="shared" si="0"/>
        <v/>
      </c>
      <c r="W30" s="11" t="str">
        <f t="shared" si="1"/>
        <v/>
      </c>
      <c r="X30" t="str">
        <f t="shared" si="2"/>
        <v/>
      </c>
      <c r="Y30" s="11" t="str">
        <f>IF(ISBLANK(L30), "", $X$26*M30)</f>
        <v/>
      </c>
      <c r="Z30" t="str">
        <f t="shared" si="3"/>
        <v/>
      </c>
      <c r="AA30" s="11" t="str">
        <f t="shared" si="4"/>
        <v/>
      </c>
      <c r="AB30" t="str">
        <f>IF(N30="directApplication", "", $AA$26*O30)</f>
        <v/>
      </c>
      <c r="AC30" t="str">
        <f>IF(L30="", "",IF( L30="pastureRangeAndPaddock",Y30*Constants!$K$2, Y30*S30))</f>
        <v/>
      </c>
      <c r="AD30" t="str">
        <f t="shared" si="5"/>
        <v/>
      </c>
      <c r="AE30" t="str">
        <f t="shared" si="6"/>
        <v/>
      </c>
      <c r="AF30" t="str">
        <f>IF(C30="", "", _xlfn.XLOOKUP(C30,Constants!$A$20:$A$24,Constants!$B$20:$B$24))</f>
        <v/>
      </c>
      <c r="AG30" t="str">
        <f>IF(AE30="","",Constants!$J$2)</f>
        <v/>
      </c>
      <c r="AH30" t="str">
        <f t="shared" si="7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AI31"/>
  <sheetViews>
    <sheetView tabSelected="1" topLeftCell="A6" workbookViewId="0">
      <selection activeCell="E17" sqref="E17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35" x14ac:dyDescent="0.2">
      <c r="A2" t="s">
        <v>30</v>
      </c>
    </row>
    <row r="4" spans="1:35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</row>
    <row r="5" spans="1:35" x14ac:dyDescent="0.2">
      <c r="K5" t="s">
        <v>0</v>
      </c>
      <c r="Q5" t="s">
        <v>0</v>
      </c>
      <c r="Z5" t="s">
        <v>120</v>
      </c>
    </row>
    <row r="6" spans="1:35" x14ac:dyDescent="0.2">
      <c r="AA6" t="s">
        <v>112</v>
      </c>
    </row>
    <row r="8" spans="1:35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</row>
    <row r="10" spans="1:35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60</v>
      </c>
      <c r="S10" s="1" t="s">
        <v>62</v>
      </c>
      <c r="T10" s="1" t="s">
        <v>100</v>
      </c>
      <c r="U10" s="1" t="s">
        <v>101</v>
      </c>
      <c r="V10" s="1" t="s">
        <v>106</v>
      </c>
      <c r="W10" s="1" t="s">
        <v>107</v>
      </c>
      <c r="X10" s="1" t="s">
        <v>109</v>
      </c>
      <c r="Y10" s="1" t="s">
        <v>110</v>
      </c>
      <c r="Z10" s="1" t="s">
        <v>123</v>
      </c>
      <c r="AA10" s="1" t="s">
        <v>111</v>
      </c>
      <c r="AB10" s="1" t="s">
        <v>113</v>
      </c>
      <c r="AC10" s="1" t="s">
        <v>134</v>
      </c>
      <c r="AD10" s="1" t="s">
        <v>133</v>
      </c>
      <c r="AE10" s="1" t="s">
        <v>132</v>
      </c>
      <c r="AF10" s="1" t="s">
        <v>119</v>
      </c>
      <c r="AG10" s="1" t="s">
        <v>136</v>
      </c>
      <c r="AH10" s="1" t="s">
        <v>137</v>
      </c>
      <c r="AI10" s="10" t="s">
        <v>135</v>
      </c>
    </row>
    <row r="11" spans="1:35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IF(L11="", "", _xlfn.XLOOKUP(L11, Constants!$B$9:$B$17,Constants!$D$9:$D$17))</f>
        <v>1E-3</v>
      </c>
      <c r="S11">
        <f>IF(L11="", "", _xlfn.XLOOKUP(L11, Constants!$B$9:$B$17,Constants!$C$9:$C$17))</f>
        <v>0.3</v>
      </c>
      <c r="T11">
        <f>IF(N11="", "", _xlfn.XLOOKUP(N11, Constants!$B$9:$B$17,Constants!$D$9:$D$17))</f>
        <v>5.0000000000000001E-3</v>
      </c>
      <c r="U11">
        <f>IF(N11="", "", _xlfn.XLOOKUP(N11, Constants!$B$9:$B$17,Constants!$C$9:$C$17))</f>
        <v>0.2</v>
      </c>
      <c r="V11">
        <f t="shared" ref="V11:V30" si="0">IF(F11="","",I11*J11/6.25)</f>
        <v>2.6144000000000002E-3</v>
      </c>
      <c r="W11">
        <f t="shared" ref="W11:W30" si="1">IF(F11="", "", V11*(1-K11))</f>
        <v>1.6993600000000002E-3</v>
      </c>
      <c r="X11">
        <f t="shared" ref="X11:X30" si="2">IF(F11="", "", G11*W11*H11)</f>
        <v>424.84000000000003</v>
      </c>
      <c r="Y11">
        <f>IF(ISBLANK(L11), "", $X$11*M11)</f>
        <v>42.484000000000009</v>
      </c>
      <c r="Z11">
        <f t="shared" ref="Z11:Z30" si="3">IF(OR(L11="", L11="pastureRangeAndPaddock"), "", Y11*(1-R11-S11))</f>
        <v>29.69631600000001</v>
      </c>
      <c r="AA11">
        <f t="shared" ref="AA11:AA30" si="4">IF(F11="", "",SUM(Z11:Z15))</f>
        <v>186.67469600000001</v>
      </c>
      <c r="AB11">
        <f>IF(N11="directApplication", "", $AA$11*O11)</f>
        <v>28.001204400000002</v>
      </c>
      <c r="AC11">
        <f>IF(E11="", "", IF(E11, 1, 0))</f>
        <v>1</v>
      </c>
      <c r="AD11">
        <f>IF(E11="","",Constants!$M$2)</f>
        <v>0.02</v>
      </c>
      <c r="AE11">
        <f>IF(F11="","",Constants!$L$2)</f>
        <v>1.0999999999999999E-2</v>
      </c>
      <c r="AF11">
        <f>IF(F11="","",Constants!$J$2)</f>
        <v>1.5714285714285714</v>
      </c>
      <c r="AG11">
        <f>IF(N11="solidStorage", AB11*AC11*AD11, "")</f>
        <v>0.56002408800000003</v>
      </c>
      <c r="AH11">
        <f>IF(L14="pastureRangeAndPaddock", Y14*AD$11*AC$11, "")</f>
        <v>3.3987200000000009</v>
      </c>
      <c r="AI11">
        <f>IF(F11="", "", (AG11+AH11)*AE11*AF11/1000)</f>
        <v>6.8429719235428584E-5</v>
      </c>
    </row>
    <row r="12" spans="1:35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>
        <f>IF(L12="", "", _xlfn.XLOOKUP(L12, Constants!$B$9:$B$17,Constants!$D$9:$D$17))</f>
        <v>1E-3</v>
      </c>
      <c r="S12">
        <f>IF(L12="", "", _xlfn.XLOOKUP(L12, Constants!$B$9:$B$17,Constants!$C$9:$C$17))</f>
        <v>0.05</v>
      </c>
      <c r="T12">
        <f>IF(N12="", "", _xlfn.XLOOKUP(N12, Constants!$B$9:$B$17,Constants!$D$9:$D$17))</f>
        <v>0.01</v>
      </c>
      <c r="U12">
        <f>IF(N12="", "", _xlfn.XLOOKUP(N12, Constants!$B$9:$B$17,Constants!$C$9:$C$17))</f>
        <v>0.2</v>
      </c>
      <c r="V12" t="str">
        <f t="shared" si="0"/>
        <v/>
      </c>
      <c r="W12" t="str">
        <f t="shared" si="1"/>
        <v/>
      </c>
      <c r="X12" t="str">
        <f t="shared" si="2"/>
        <v/>
      </c>
      <c r="Y12">
        <f>IF(ISBLANK(L12), "", $X$11*M12)</f>
        <v>84.968000000000018</v>
      </c>
      <c r="Z12">
        <f t="shared" si="3"/>
        <v>80.634632000000011</v>
      </c>
      <c r="AA12" t="str">
        <f t="shared" si="4"/>
        <v/>
      </c>
      <c r="AB12">
        <f>IF(N12="directApplication", "", $AA$11*O12)</f>
        <v>37.334939200000001</v>
      </c>
      <c r="AC12" t="str">
        <f t="shared" ref="AC12:AC30" si="5">IF(E12="", "", IF(E12, 1, 0))</f>
        <v/>
      </c>
      <c r="AD12" t="str">
        <f>IF(E12="","",Constants!$M$2)</f>
        <v/>
      </c>
      <c r="AE12" t="str">
        <f>IF(F12="","",Constants!$L$2)</f>
        <v/>
      </c>
      <c r="AF12" t="str">
        <f>IF(F12="","",Constants!$J$2)</f>
        <v/>
      </c>
      <c r="AG12" t="str">
        <f t="shared" ref="AG12:AG30" si="6">IF(N12="solidStorage", AB12*AC12*AD12, "")</f>
        <v/>
      </c>
      <c r="AH12" t="str">
        <f t="shared" ref="AH12:AH15" si="7">IF(L15="pastureRangeAndPaddock", Y15*AD$11*AC$11, "")</f>
        <v/>
      </c>
      <c r="AI12" t="str">
        <f t="shared" ref="AI12:AI31" si="8">IF(F12="", "", (AG12+AH12)*AE12*AF12/1000)</f>
        <v/>
      </c>
    </row>
    <row r="13" spans="1:35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>
        <f>IF(L13="", "", _xlfn.XLOOKUP(L13, Constants!$B$9:$B$17,Constants!$D$9:$D$17))</f>
        <v>1E-3</v>
      </c>
      <c r="S13">
        <f>IF(L13="", "", _xlfn.XLOOKUP(L13, Constants!$B$9:$B$17,Constants!$C$9:$C$17))</f>
        <v>0.4</v>
      </c>
      <c r="T13">
        <f>IF(N13="", "", _xlfn.XLOOKUP(N13, Constants!$B$9:$B$17,Constants!$D$9:$D$17))</f>
        <v>0</v>
      </c>
      <c r="U13">
        <f>IF(N13="", "", _xlfn.XLOOKUP(N13, Constants!$B$9:$B$17,Constants!$C$9:$C$17))</f>
        <v>0</v>
      </c>
      <c r="V13" t="str">
        <f t="shared" si="0"/>
        <v/>
      </c>
      <c r="W13" t="str">
        <f t="shared" si="1"/>
        <v/>
      </c>
      <c r="X13" t="str">
        <f t="shared" si="2"/>
        <v/>
      </c>
      <c r="Y13">
        <f>IF(ISBLANK(L13), "", $X$11*M13)</f>
        <v>127.452</v>
      </c>
      <c r="Z13">
        <f t="shared" si="3"/>
        <v>76.343747999999991</v>
      </c>
      <c r="AA13" t="str">
        <f t="shared" si="4"/>
        <v/>
      </c>
      <c r="AB13">
        <f>IF(N13="directApplication", "", $AA$11*O13)</f>
        <v>46.668674000000003</v>
      </c>
      <c r="AC13" t="str">
        <f t="shared" si="5"/>
        <v/>
      </c>
      <c r="AD13" t="str">
        <f>IF(E13="","",Constants!$M$2)</f>
        <v/>
      </c>
      <c r="AE13" t="str">
        <f>IF(F13="","",Constants!$L$2)</f>
        <v/>
      </c>
      <c r="AF13" t="str">
        <f>IF(F13="","",Constants!$J$2)</f>
        <v/>
      </c>
      <c r="AG13" t="str">
        <f t="shared" si="6"/>
        <v/>
      </c>
      <c r="AH13" t="str">
        <f t="shared" si="7"/>
        <v/>
      </c>
      <c r="AI13" t="str">
        <f t="shared" si="8"/>
        <v/>
      </c>
    </row>
    <row r="14" spans="1:35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>
        <f>IF(L14="", "", _xlfn.XLOOKUP(L14, Constants!$B$9:$B$17,Constants!$D$9:$D$17))</f>
        <v>0.02</v>
      </c>
      <c r="S14" t="str">
        <f>IF(L14="", "", _xlfn.XLOOKUP(L14, Constants!$B$9:$B$17,Constants!$C$9:$C$17))</f>
        <v>N/A</v>
      </c>
      <c r="T14">
        <f>IF(N14="", "", _xlfn.XLOOKUP(N14, Constants!$B$9:$B$17,Constants!$D$9:$D$17))</f>
        <v>0</v>
      </c>
      <c r="U14">
        <f>IF(N14="", "", _xlfn.XLOOKUP(N14, Constants!$B$9:$B$17,Constants!$C$9:$C$17))</f>
        <v>0</v>
      </c>
      <c r="V14" t="str">
        <f t="shared" si="0"/>
        <v/>
      </c>
      <c r="W14" t="str">
        <f t="shared" si="1"/>
        <v/>
      </c>
      <c r="X14" t="str">
        <f t="shared" si="2"/>
        <v/>
      </c>
      <c r="Y14">
        <f>IF(ISBLANK(L14), "", $X$11*M14)</f>
        <v>169.93600000000004</v>
      </c>
      <c r="Z14" t="str">
        <f t="shared" si="3"/>
        <v/>
      </c>
      <c r="AA14" t="str">
        <f t="shared" si="4"/>
        <v/>
      </c>
      <c r="AB14">
        <f>IF(N14="directApplication", "", $AA$11*O14)</f>
        <v>31.734698320000003</v>
      </c>
      <c r="AC14" t="str">
        <f t="shared" si="5"/>
        <v/>
      </c>
      <c r="AD14" t="str">
        <f>IF(E14="","",Constants!$M$2)</f>
        <v/>
      </c>
      <c r="AE14" t="str">
        <f>IF(F14="","",Constants!$L$2)</f>
        <v/>
      </c>
      <c r="AF14" t="str">
        <f>IF(F14="","",Constants!$J$2)</f>
        <v/>
      </c>
      <c r="AG14" t="str">
        <f t="shared" si="6"/>
        <v/>
      </c>
      <c r="AH14" t="str">
        <f t="shared" si="7"/>
        <v/>
      </c>
      <c r="AI14" t="str">
        <f t="shared" si="8"/>
        <v/>
      </c>
    </row>
    <row r="15" spans="1:35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t="str">
        <f>IF(L15="", "", _xlfn.XLOOKUP(L15, Constants!$B$9:$B$17,Constants!$D$9:$D$17))</f>
        <v/>
      </c>
      <c r="S15" t="str">
        <f>IF(L15="", "", _xlfn.XLOOKUP(L15, Constants!$B$9:$B$17,Constants!$C$9:$C$17))</f>
        <v/>
      </c>
      <c r="T15" t="str">
        <f>IF(N15="", "", _xlfn.XLOOKUP(N15, Constants!$B$9:$B$17,Constants!$D$9:$D$17))</f>
        <v>N/A</v>
      </c>
      <c r="U15" t="str">
        <f>IF(N15="", "", _xlfn.XLOOKUP(N15, Constants!$B$9:$B$17,Constants!$C$9:$C$17))</f>
        <v>N/A</v>
      </c>
      <c r="V15" s="11" t="str">
        <f t="shared" si="0"/>
        <v/>
      </c>
      <c r="W15" s="11" t="str">
        <f t="shared" si="1"/>
        <v/>
      </c>
      <c r="X15" t="str">
        <f t="shared" si="2"/>
        <v/>
      </c>
      <c r="Y15" s="11" t="str">
        <f>IF(ISBLANK(L15), "", $X$11*M15)</f>
        <v/>
      </c>
      <c r="Z15" t="str">
        <f t="shared" si="3"/>
        <v/>
      </c>
      <c r="AA15" s="11" t="str">
        <f t="shared" si="4"/>
        <v/>
      </c>
      <c r="AB15" t="str">
        <f>IF(N15="directApplication", "", $AA$11*O15)</f>
        <v/>
      </c>
      <c r="AC15" t="str">
        <f t="shared" si="5"/>
        <v/>
      </c>
      <c r="AD15" t="str">
        <f>IF(E15="","",Constants!$M$2)</f>
        <v/>
      </c>
      <c r="AE15" t="str">
        <f>IF(F15="","",Constants!$L$2)</f>
        <v/>
      </c>
      <c r="AF15" t="str">
        <f>IF(F15="","",Constants!$J$2)</f>
        <v/>
      </c>
      <c r="AG15" t="str">
        <f t="shared" si="6"/>
        <v/>
      </c>
      <c r="AH15" t="str">
        <f t="shared" si="7"/>
        <v/>
      </c>
      <c r="AI15" t="str">
        <f t="shared" si="8"/>
        <v/>
      </c>
    </row>
    <row r="16" spans="1:35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v>0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IF(L16="", "", _xlfn.XLOOKUP(L16, Constants!$B$9:$B$17,Constants!$D$9:$D$17))</f>
        <v>1E-3</v>
      </c>
      <c r="S16">
        <f>IF(L16="", "", _xlfn.XLOOKUP(L16, Constants!$B$9:$B$17,Constants!$C$9:$C$17))</f>
        <v>0.3</v>
      </c>
      <c r="T16">
        <f>IF(N16="", "", _xlfn.XLOOKUP(N16, Constants!$B$9:$B$17,Constants!$D$9:$D$17))</f>
        <v>5.0000000000000001E-3</v>
      </c>
      <c r="U16">
        <f>IF(N16="", "", _xlfn.XLOOKUP(N16, Constants!$B$9:$B$17,Constants!$C$9:$C$17))</f>
        <v>0.2</v>
      </c>
      <c r="V16">
        <f t="shared" si="0"/>
        <v>3.1312000000000002E-3</v>
      </c>
      <c r="W16">
        <f t="shared" si="1"/>
        <v>2.1292159999999997E-3</v>
      </c>
      <c r="X16">
        <f t="shared" si="2"/>
        <v>598.84199999999987</v>
      </c>
      <c r="Y16">
        <f>IF(ISBLANK(L16), "", $X$16*M16)</f>
        <v>239.53679999999997</v>
      </c>
      <c r="Z16">
        <f t="shared" si="3"/>
        <v>167.4362232</v>
      </c>
      <c r="AA16">
        <f t="shared" si="4"/>
        <v>409.66781219999996</v>
      </c>
      <c r="AB16">
        <f>IF(N16="directApplication", "", $AA$16*O16)</f>
        <v>81.933562440000003</v>
      </c>
      <c r="AC16">
        <f t="shared" si="5"/>
        <v>0</v>
      </c>
      <c r="AD16">
        <f>IF(E16="","",Constants!$M$2)</f>
        <v>0.02</v>
      </c>
      <c r="AE16">
        <f>IF(F16="","",Constants!$L$2)</f>
        <v>1.0999999999999999E-2</v>
      </c>
      <c r="AF16">
        <f>IF(F16="","",Constants!$J$2)</f>
        <v>1.5714285714285714</v>
      </c>
      <c r="AG16">
        <f t="shared" si="6"/>
        <v>0</v>
      </c>
      <c r="AH16">
        <f>IF(L19="pastureRangeAndPaddock", Y19*AD$16*AC$16, "")</f>
        <v>0</v>
      </c>
      <c r="AI16">
        <f t="shared" si="8"/>
        <v>0</v>
      </c>
    </row>
    <row r="17" spans="1:35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>
        <f>IF(L17="", "", _xlfn.XLOOKUP(L17, Constants!$B$9:$B$17,Constants!$D$9:$D$17))</f>
        <v>1E-3</v>
      </c>
      <c r="S17">
        <f>IF(L17="", "", _xlfn.XLOOKUP(L17, Constants!$B$9:$B$17,Constants!$C$9:$C$17))</f>
        <v>0.05</v>
      </c>
      <c r="T17">
        <f>IF(N17="", "", _xlfn.XLOOKUP(N17, Constants!$B$9:$B$17,Constants!$D$9:$D$17))</f>
        <v>0.01</v>
      </c>
      <c r="U17">
        <f>IF(N17="", "", _xlfn.XLOOKUP(N17, Constants!$B$9:$B$17,Constants!$C$9:$C$17))</f>
        <v>0.2</v>
      </c>
      <c r="V17" t="str">
        <f t="shared" si="0"/>
        <v/>
      </c>
      <c r="W17" t="str">
        <f t="shared" si="1"/>
        <v/>
      </c>
      <c r="X17" t="str">
        <f t="shared" si="2"/>
        <v/>
      </c>
      <c r="Y17">
        <f>IF(ISBLANK(L17), "", $X$16*M17)</f>
        <v>179.65259999999995</v>
      </c>
      <c r="Z17">
        <f t="shared" si="3"/>
        <v>170.49031739999995</v>
      </c>
      <c r="AA17" t="str">
        <f t="shared" si="4"/>
        <v/>
      </c>
      <c r="AB17">
        <f>IF(N17="directApplication", "", $AA$16*O17)</f>
        <v>102.41695304999999</v>
      </c>
      <c r="AC17" t="str">
        <f t="shared" si="5"/>
        <v/>
      </c>
      <c r="AD17" t="str">
        <f>IF(E17="","",Constants!$M$2)</f>
        <v/>
      </c>
      <c r="AE17" t="str">
        <f>IF(F17="","",Constants!$L$2)</f>
        <v/>
      </c>
      <c r="AF17" t="str">
        <f>IF(F17="","",Constants!$J$2)</f>
        <v/>
      </c>
      <c r="AG17" t="str">
        <f t="shared" si="6"/>
        <v/>
      </c>
      <c r="AH17" t="str">
        <f t="shared" ref="AH17:AH20" si="9">IF(L20="pastureRangeAndPaddock", Y20*AD$16*AC$16, "")</f>
        <v/>
      </c>
      <c r="AI17" t="str">
        <f t="shared" si="8"/>
        <v/>
      </c>
    </row>
    <row r="18" spans="1:35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>
        <f>IF(L18="", "", _xlfn.XLOOKUP(L18, Constants!$B$9:$B$17,Constants!$D$9:$D$17))</f>
        <v>1E-3</v>
      </c>
      <c r="S18">
        <f>IF(L18="", "", _xlfn.XLOOKUP(L18, Constants!$B$9:$B$17,Constants!$C$9:$C$17))</f>
        <v>0.4</v>
      </c>
      <c r="T18">
        <f>IF(N18="", "", _xlfn.XLOOKUP(N18, Constants!$B$9:$B$17,Constants!$D$9:$D$17))</f>
        <v>0</v>
      </c>
      <c r="U18">
        <f>IF(N18="", "", _xlfn.XLOOKUP(N18, Constants!$B$9:$B$17,Constants!$C$9:$C$17))</f>
        <v>0</v>
      </c>
      <c r="V18" t="str">
        <f t="shared" si="0"/>
        <v/>
      </c>
      <c r="W18" t="str">
        <f t="shared" si="1"/>
        <v/>
      </c>
      <c r="X18" t="str">
        <f t="shared" si="2"/>
        <v/>
      </c>
      <c r="Y18">
        <f>IF(ISBLANK(L18), "", $X$16*M18)</f>
        <v>119.76839999999999</v>
      </c>
      <c r="Z18">
        <f t="shared" si="3"/>
        <v>71.74127159999999</v>
      </c>
      <c r="AA18" t="str">
        <f t="shared" si="4"/>
        <v/>
      </c>
      <c r="AB18">
        <f>IF(N18="directApplication", "", $AA$16*O18)</f>
        <v>81.933562440000003</v>
      </c>
      <c r="AC18" t="str">
        <f t="shared" si="5"/>
        <v/>
      </c>
      <c r="AD18" t="str">
        <f>IF(E18="","",Constants!$M$2)</f>
        <v/>
      </c>
      <c r="AE18" t="str">
        <f>IF(F18="","",Constants!$L$2)</f>
        <v/>
      </c>
      <c r="AF18" t="str">
        <f>IF(F18="","",Constants!$J$2)</f>
        <v/>
      </c>
      <c r="AG18" t="str">
        <f t="shared" si="6"/>
        <v/>
      </c>
      <c r="AH18" t="str">
        <f t="shared" si="9"/>
        <v/>
      </c>
      <c r="AI18" t="str">
        <f t="shared" si="8"/>
        <v/>
      </c>
    </row>
    <row r="19" spans="1:35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>
        <f>IF(L19="", "", _xlfn.XLOOKUP(L19, Constants!$B$9:$B$17,Constants!$D$9:$D$17))</f>
        <v>0.02</v>
      </c>
      <c r="S19" t="str">
        <f>IF(L19="", "", _xlfn.XLOOKUP(L19, Constants!$B$9:$B$17,Constants!$C$9:$C$17))</f>
        <v>N/A</v>
      </c>
      <c r="T19">
        <f>IF(N19="", "", _xlfn.XLOOKUP(N19, Constants!$B$9:$B$17,Constants!$D$9:$D$17))</f>
        <v>0</v>
      </c>
      <c r="U19">
        <f>IF(N19="", "", _xlfn.XLOOKUP(N19, Constants!$B$9:$B$17,Constants!$C$9:$C$17))</f>
        <v>0</v>
      </c>
      <c r="V19" t="str">
        <f t="shared" si="0"/>
        <v/>
      </c>
      <c r="W19" t="str">
        <f t="shared" si="1"/>
        <v/>
      </c>
      <c r="X19" t="str">
        <f t="shared" si="2"/>
        <v/>
      </c>
      <c r="Y19">
        <f>IF(ISBLANK(L19), "", $X$16*M19)</f>
        <v>59.884199999999993</v>
      </c>
      <c r="Z19" t="str">
        <f t="shared" si="3"/>
        <v/>
      </c>
      <c r="AA19" t="str">
        <f t="shared" si="4"/>
        <v/>
      </c>
      <c r="AB19">
        <f>IF(N19="directApplication", "", $AA$16*O19)</f>
        <v>102.41695304999999</v>
      </c>
      <c r="AC19" t="str">
        <f t="shared" si="5"/>
        <v/>
      </c>
      <c r="AD19" t="str">
        <f>IF(E19="","",Constants!$M$2)</f>
        <v/>
      </c>
      <c r="AE19" t="str">
        <f>IF(F19="","",Constants!$L$2)</f>
        <v/>
      </c>
      <c r="AF19" t="str">
        <f>IF(F19="","",Constants!$J$2)</f>
        <v/>
      </c>
      <c r="AG19" t="str">
        <f t="shared" si="6"/>
        <v/>
      </c>
      <c r="AH19" t="str">
        <f t="shared" si="9"/>
        <v/>
      </c>
      <c r="AI19" t="str">
        <f t="shared" si="8"/>
        <v/>
      </c>
    </row>
    <row r="20" spans="1:35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t="str">
        <f>IF(L20="", "", _xlfn.XLOOKUP(L20, Constants!$B$9:$B$17,Constants!$D$9:$D$17))</f>
        <v/>
      </c>
      <c r="S20" t="str">
        <f>IF(L20="", "", _xlfn.XLOOKUP(L20, Constants!$B$9:$B$17,Constants!$C$9:$C$17))</f>
        <v/>
      </c>
      <c r="T20" t="str">
        <f>IF(N20="", "", _xlfn.XLOOKUP(N20, Constants!$B$9:$B$17,Constants!$D$9:$D$17))</f>
        <v>N/A</v>
      </c>
      <c r="U20" t="str">
        <f>IF(N20="", "", _xlfn.XLOOKUP(N20, Constants!$B$9:$B$17,Constants!$C$9:$C$17))</f>
        <v>N/A</v>
      </c>
      <c r="V20" s="11" t="str">
        <f t="shared" si="0"/>
        <v/>
      </c>
      <c r="W20" s="11" t="str">
        <f t="shared" si="1"/>
        <v/>
      </c>
      <c r="X20" t="str">
        <f t="shared" si="2"/>
        <v/>
      </c>
      <c r="Y20" s="11" t="str">
        <f>IF(ISBLANK(L20), "", $X$16*M20)</f>
        <v/>
      </c>
      <c r="Z20" t="str">
        <f t="shared" si="3"/>
        <v/>
      </c>
      <c r="AA20" s="11" t="str">
        <f t="shared" si="4"/>
        <v/>
      </c>
      <c r="AB20" t="str">
        <f>IF(N20="directApplication", "", $AA$16*O20)</f>
        <v/>
      </c>
      <c r="AC20" t="str">
        <f t="shared" si="5"/>
        <v/>
      </c>
      <c r="AD20" t="str">
        <f>IF(E20="","",Constants!$M$2)</f>
        <v/>
      </c>
      <c r="AE20" t="str">
        <f>IF(F20="","",Constants!$L$2)</f>
        <v/>
      </c>
      <c r="AF20" t="str">
        <f>IF(F20="","",Constants!$J$2)</f>
        <v/>
      </c>
      <c r="AG20" t="str">
        <f t="shared" si="6"/>
        <v/>
      </c>
      <c r="AH20" t="str">
        <f t="shared" si="9"/>
        <v/>
      </c>
      <c r="AI20" t="str">
        <f t="shared" si="8"/>
        <v/>
      </c>
    </row>
    <row r="21" spans="1:35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IF(L21="", "", _xlfn.XLOOKUP(L21, Constants!$B$9:$B$17,Constants!$D$9:$D$17))</f>
        <v>1E-3</v>
      </c>
      <c r="S21">
        <f>IF(L21="", "", _xlfn.XLOOKUP(L21, Constants!$B$9:$B$17,Constants!$C$9:$C$17))</f>
        <v>0.3</v>
      </c>
      <c r="T21">
        <f>IF(N21="", "", _xlfn.XLOOKUP(N21, Constants!$B$9:$B$17,Constants!$D$9:$D$17))</f>
        <v>5.0000000000000001E-3</v>
      </c>
      <c r="U21">
        <f>IF(N21="", "", _xlfn.XLOOKUP(N21, Constants!$B$9:$B$17,Constants!$C$9:$C$17))</f>
        <v>0.2</v>
      </c>
      <c r="V21">
        <f t="shared" si="0"/>
        <v>3.4223999999999999E-3</v>
      </c>
      <c r="W21">
        <f t="shared" si="1"/>
        <v>1.813872E-3</v>
      </c>
      <c r="X21">
        <f t="shared" si="2"/>
        <v>671.06552673600004</v>
      </c>
      <c r="Y21">
        <f>IF(ISBLANK(L21), "", $X$21*M21)</f>
        <v>0</v>
      </c>
      <c r="Z21">
        <f t="shared" si="3"/>
        <v>0</v>
      </c>
      <c r="AA21">
        <f t="shared" si="4"/>
        <v>573.15706638521772</v>
      </c>
      <c r="AB21">
        <f>IF(N21="directApplication", "", $AA$21*O21)</f>
        <v>194.87340257097404</v>
      </c>
      <c r="AC21">
        <f t="shared" si="5"/>
        <v>1</v>
      </c>
      <c r="AD21">
        <f>IF(E21="","",Constants!$M$2)</f>
        <v>0.02</v>
      </c>
      <c r="AE21">
        <f>IF(F21="","",Constants!$L$2)</f>
        <v>1.0999999999999999E-2</v>
      </c>
      <c r="AF21">
        <f>IF(F21="","",Constants!$J$2)</f>
        <v>1.5714285714285714</v>
      </c>
      <c r="AG21">
        <f t="shared" si="6"/>
        <v>3.8974680514194806</v>
      </c>
      <c r="AH21">
        <f>IF(L24="pastureRangeAndPaddock", Y24*AD$21*AC$21, "")</f>
        <v>1.3421310534720001</v>
      </c>
      <c r="AI21">
        <f t="shared" si="8"/>
        <v>9.0570213098838429E-5</v>
      </c>
    </row>
    <row r="22" spans="1:35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>
        <f>IF(L22="", "", _xlfn.XLOOKUP(L22, Constants!$B$9:$B$17,Constants!$D$9:$D$17))</f>
        <v>1E-3</v>
      </c>
      <c r="S22">
        <f>IF(L22="", "", _xlfn.XLOOKUP(L22, Constants!$B$9:$B$17,Constants!$C$9:$C$17))</f>
        <v>0.05</v>
      </c>
      <c r="T22">
        <f>IF(N22="", "", _xlfn.XLOOKUP(N22, Constants!$B$9:$B$17,Constants!$D$9:$D$17))</f>
        <v>0.01</v>
      </c>
      <c r="U22">
        <f>IF(N22="", "", _xlfn.XLOOKUP(N22, Constants!$B$9:$B$17,Constants!$C$9:$C$17))</f>
        <v>0.2</v>
      </c>
      <c r="V22" t="str">
        <f t="shared" si="0"/>
        <v/>
      </c>
      <c r="W22" t="str">
        <f t="shared" si="1"/>
        <v/>
      </c>
      <c r="X22" t="str">
        <f t="shared" si="2"/>
        <v/>
      </c>
      <c r="Y22">
        <f>IF(ISBLANK(L22), "", $X$21*M22)</f>
        <v>603.9589740624001</v>
      </c>
      <c r="Z22">
        <f t="shared" si="3"/>
        <v>573.15706638521772</v>
      </c>
      <c r="AA22" t="str">
        <f t="shared" si="4"/>
        <v/>
      </c>
      <c r="AB22">
        <f>IF(N22="directApplication", "", $AA$21*O22)</f>
        <v>343.89423983113062</v>
      </c>
      <c r="AC22" t="str">
        <f t="shared" si="5"/>
        <v/>
      </c>
      <c r="AD22" t="str">
        <f>IF(E22="","",Constants!$M$2)</f>
        <v/>
      </c>
      <c r="AE22" t="str">
        <f>IF(F22="","",Constants!$L$2)</f>
        <v/>
      </c>
      <c r="AF22" t="str">
        <f>IF(F22="","",Constants!$J$2)</f>
        <v/>
      </c>
      <c r="AG22" t="str">
        <f t="shared" si="6"/>
        <v/>
      </c>
      <c r="AH22" t="str">
        <f t="shared" ref="AH22:AH25" si="10">IF(L25="pastureRangeAndPaddock", Y25*AD$21*AC$21, "")</f>
        <v/>
      </c>
      <c r="AI22" t="str">
        <f t="shared" si="8"/>
        <v/>
      </c>
    </row>
    <row r="23" spans="1:35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>
        <f>IF(L23="", "", _xlfn.XLOOKUP(L23, Constants!$B$9:$B$17,Constants!$D$9:$D$17))</f>
        <v>1E-3</v>
      </c>
      <c r="S23">
        <f>IF(L23="", "", _xlfn.XLOOKUP(L23, Constants!$B$9:$B$17,Constants!$C$9:$C$17))</f>
        <v>0.4</v>
      </c>
      <c r="T23">
        <f>IF(N23="", "", _xlfn.XLOOKUP(N23, Constants!$B$9:$B$17,Constants!$D$9:$D$17))</f>
        <v>0</v>
      </c>
      <c r="U23">
        <f>IF(N23="", "", _xlfn.XLOOKUP(N23, Constants!$B$9:$B$17,Constants!$C$9:$C$17))</f>
        <v>0</v>
      </c>
      <c r="V23" t="str">
        <f t="shared" si="0"/>
        <v/>
      </c>
      <c r="W23" t="str">
        <f t="shared" si="1"/>
        <v/>
      </c>
      <c r="X23" t="str">
        <f t="shared" si="2"/>
        <v/>
      </c>
      <c r="Y23">
        <f>IF(ISBLANK(L23), "", $X$21*M23)</f>
        <v>0</v>
      </c>
      <c r="Z23">
        <f t="shared" si="3"/>
        <v>0</v>
      </c>
      <c r="AA23" t="str">
        <f t="shared" si="4"/>
        <v/>
      </c>
      <c r="AB23">
        <f>IF(N23="directApplication", "", $AA$21*O23)</f>
        <v>0</v>
      </c>
      <c r="AC23" t="str">
        <f t="shared" si="5"/>
        <v/>
      </c>
      <c r="AD23" t="str">
        <f>IF(E23="","",Constants!$M$2)</f>
        <v/>
      </c>
      <c r="AE23" t="str">
        <f>IF(F23="","",Constants!$L$2)</f>
        <v/>
      </c>
      <c r="AF23" t="str">
        <f>IF(F23="","",Constants!$J$2)</f>
        <v/>
      </c>
      <c r="AG23" t="str">
        <f t="shared" si="6"/>
        <v/>
      </c>
      <c r="AH23" t="str">
        <f t="shared" si="10"/>
        <v/>
      </c>
      <c r="AI23" t="str">
        <f t="shared" si="8"/>
        <v/>
      </c>
    </row>
    <row r="24" spans="1:35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>
        <f>IF(L24="", "", _xlfn.XLOOKUP(L24, Constants!$B$9:$B$17,Constants!$D$9:$D$17))</f>
        <v>0.02</v>
      </c>
      <c r="S24" t="str">
        <f>IF(L24="", "", _xlfn.XLOOKUP(L24, Constants!$B$9:$B$17,Constants!$C$9:$C$17))</f>
        <v>N/A</v>
      </c>
      <c r="T24">
        <f>IF(N24="", "", _xlfn.XLOOKUP(N24, Constants!$B$9:$B$17,Constants!$D$9:$D$17))</f>
        <v>0</v>
      </c>
      <c r="U24">
        <f>IF(N24="", "", _xlfn.XLOOKUP(N24, Constants!$B$9:$B$17,Constants!$C$9:$C$17))</f>
        <v>0</v>
      </c>
      <c r="V24" t="str">
        <f t="shared" si="0"/>
        <v/>
      </c>
      <c r="W24" t="str">
        <f t="shared" si="1"/>
        <v/>
      </c>
      <c r="X24" t="str">
        <f t="shared" si="2"/>
        <v/>
      </c>
      <c r="Y24">
        <f>IF(ISBLANK(L24), "", $X$21*M24)</f>
        <v>67.106552673600007</v>
      </c>
      <c r="Z24" t="str">
        <f t="shared" si="3"/>
        <v/>
      </c>
      <c r="AA24" t="str">
        <f t="shared" si="4"/>
        <v/>
      </c>
      <c r="AB24">
        <f>IF(N24="directApplication", "", $AA$21*O24)</f>
        <v>0</v>
      </c>
      <c r="AC24" t="str">
        <f t="shared" si="5"/>
        <v/>
      </c>
      <c r="AD24" t="str">
        <f>IF(E24="","",Constants!$M$2)</f>
        <v/>
      </c>
      <c r="AE24" t="str">
        <f>IF(F24="","",Constants!$L$2)</f>
        <v/>
      </c>
      <c r="AF24" t="str">
        <f>IF(F24="","",Constants!$J$2)</f>
        <v/>
      </c>
      <c r="AG24" t="str">
        <f t="shared" si="6"/>
        <v/>
      </c>
      <c r="AH24" t="str">
        <f t="shared" si="10"/>
        <v/>
      </c>
      <c r="AI24" t="str">
        <f t="shared" si="8"/>
        <v/>
      </c>
    </row>
    <row r="25" spans="1:35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t="str">
        <f>IF(L25="", "", _xlfn.XLOOKUP(L25, Constants!$B$9:$B$17,Constants!$D$9:$D$17))</f>
        <v/>
      </c>
      <c r="S25" t="str">
        <f>IF(L25="", "", _xlfn.XLOOKUP(L25, Constants!$B$9:$B$17,Constants!$C$9:$C$17))</f>
        <v/>
      </c>
      <c r="T25" t="str">
        <f>IF(N25="", "", _xlfn.XLOOKUP(N25, Constants!$B$9:$B$17,Constants!$D$9:$D$17))</f>
        <v>N/A</v>
      </c>
      <c r="U25" t="str">
        <f>IF(N25="", "", _xlfn.XLOOKUP(N25, Constants!$B$9:$B$17,Constants!$C$9:$C$17))</f>
        <v>N/A</v>
      </c>
      <c r="V25" s="11" t="str">
        <f t="shared" si="0"/>
        <v/>
      </c>
      <c r="W25" s="11" t="str">
        <f t="shared" si="1"/>
        <v/>
      </c>
      <c r="X25" t="str">
        <f t="shared" si="2"/>
        <v/>
      </c>
      <c r="Y25" s="11" t="str">
        <f>IF(ISBLANK(L25), "", $X$21*M25)</f>
        <v/>
      </c>
      <c r="Z25" t="str">
        <f t="shared" si="3"/>
        <v/>
      </c>
      <c r="AA25" s="11" t="str">
        <f t="shared" si="4"/>
        <v/>
      </c>
      <c r="AB25" t="str">
        <f>IF(N25="directApplication", "", $AA$21*O25)</f>
        <v/>
      </c>
      <c r="AC25" t="str">
        <f t="shared" si="5"/>
        <v/>
      </c>
      <c r="AD25" t="str">
        <f>IF(E25="","",Constants!$M$2)</f>
        <v/>
      </c>
      <c r="AE25" t="str">
        <f>IF(F25="","",Constants!$L$2)</f>
        <v/>
      </c>
      <c r="AF25" t="str">
        <f>IF(F25="","",Constants!$J$2)</f>
        <v/>
      </c>
      <c r="AG25" t="str">
        <f t="shared" si="6"/>
        <v/>
      </c>
      <c r="AH25" t="str">
        <f t="shared" si="10"/>
        <v/>
      </c>
      <c r="AI25" t="str">
        <f t="shared" si="8"/>
        <v/>
      </c>
    </row>
    <row r="26" spans="1:35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IF(L26="", "", _xlfn.XLOOKUP(L26, Constants!$B$9:$B$17,Constants!$D$9:$D$17))</f>
        <v>1E-3</v>
      </c>
      <c r="S26">
        <f>IF(L26="", "", _xlfn.XLOOKUP(L26, Constants!$B$9:$B$17,Constants!$C$9:$C$17))</f>
        <v>0.3</v>
      </c>
      <c r="T26">
        <f>IF(N26="", "", _xlfn.XLOOKUP(N26, Constants!$B$9:$B$17,Constants!$D$9:$D$17))</f>
        <v>5.0000000000000001E-3</v>
      </c>
      <c r="U26">
        <f>IF(N26="", "", _xlfn.XLOOKUP(N26, Constants!$B$9:$B$17,Constants!$C$9:$C$17))</f>
        <v>0.2</v>
      </c>
      <c r="V26">
        <f t="shared" si="0"/>
        <v>3.4223999999999999E-3</v>
      </c>
      <c r="W26">
        <f t="shared" si="1"/>
        <v>1.813872E-3</v>
      </c>
      <c r="X26">
        <f t="shared" si="2"/>
        <v>335.74770719999998</v>
      </c>
      <c r="Y26">
        <f>IF(ISBLANK(L26), "", $X$26*M26)</f>
        <v>33.574770719999997</v>
      </c>
      <c r="Z26">
        <f t="shared" si="3"/>
        <v>23.46876473328</v>
      </c>
      <c r="AA26">
        <f t="shared" si="4"/>
        <v>23.46876473328</v>
      </c>
      <c r="AB26">
        <f>IF(N26="directApplication", "", $AA$26*O26)</f>
        <v>11.73438236664</v>
      </c>
      <c r="AC26">
        <f t="shared" si="5"/>
        <v>1</v>
      </c>
      <c r="AD26">
        <f>IF(E26="","",Constants!$M$2)</f>
        <v>0.02</v>
      </c>
      <c r="AE26">
        <f>IF(F26="","",Constants!$L$2)</f>
        <v>1.0999999999999999E-2</v>
      </c>
      <c r="AF26">
        <f>IF(F26="","",Constants!$J$2)</f>
        <v>1.5714285714285714</v>
      </c>
      <c r="AG26">
        <f t="shared" si="6"/>
        <v>0.23468764733280001</v>
      </c>
      <c r="AH26">
        <f>IF(L29="pastureRangeAndPaddock", Y29*AD$26*AC$26, "")</f>
        <v>6.0434587295999993</v>
      </c>
      <c r="AI26">
        <f t="shared" si="8"/>
        <v>1.0852224451555266E-4</v>
      </c>
    </row>
    <row r="27" spans="1:35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>
        <f>IF(L27="", "", _xlfn.XLOOKUP(L27, Constants!$B$9:$B$17,Constants!$D$9:$D$17))</f>
        <v>1E-3</v>
      </c>
      <c r="S27">
        <f>IF(L27="", "", _xlfn.XLOOKUP(L27, Constants!$B$9:$B$17,Constants!$C$9:$C$17))</f>
        <v>0.05</v>
      </c>
      <c r="T27">
        <f>IF(N27="", "", _xlfn.XLOOKUP(N27, Constants!$B$9:$B$17,Constants!$D$9:$D$17))</f>
        <v>0.01</v>
      </c>
      <c r="U27">
        <f>IF(N27="", "", _xlfn.XLOOKUP(N27, Constants!$B$9:$B$17,Constants!$C$9:$C$17))</f>
        <v>0.2</v>
      </c>
      <c r="V27" t="str">
        <f t="shared" si="0"/>
        <v/>
      </c>
      <c r="W27" t="str">
        <f t="shared" si="1"/>
        <v/>
      </c>
      <c r="X27" t="str">
        <f t="shared" si="2"/>
        <v/>
      </c>
      <c r="Y27">
        <f>IF(ISBLANK(L27), "", $X$26*M27)</f>
        <v>0</v>
      </c>
      <c r="Z27">
        <f t="shared" si="3"/>
        <v>0</v>
      </c>
      <c r="AA27" t="str">
        <f t="shared" si="4"/>
        <v/>
      </c>
      <c r="AB27">
        <f>IF(N27="directApplication", "", $AA$26*O27)</f>
        <v>5.8671911833200001</v>
      </c>
      <c r="AC27" t="str">
        <f t="shared" si="5"/>
        <v/>
      </c>
      <c r="AD27" t="str">
        <f>IF(E27="","",Constants!$M$2)</f>
        <v/>
      </c>
      <c r="AE27" t="str">
        <f>IF(F27="","",Constants!$L$2)</f>
        <v/>
      </c>
      <c r="AF27" t="str">
        <f>IF(F27="","",Constants!$J$2)</f>
        <v/>
      </c>
      <c r="AG27" t="str">
        <f t="shared" si="6"/>
        <v/>
      </c>
      <c r="AH27" t="str">
        <f t="shared" ref="AH27:AH30" si="11">IF(L30="pastureRangeAndPaddock", Y30*AD$26*AC$26, "")</f>
        <v/>
      </c>
      <c r="AI27" t="str">
        <f t="shared" si="8"/>
        <v/>
      </c>
    </row>
    <row r="28" spans="1:35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>
        <f>IF(L28="", "", _xlfn.XLOOKUP(L28, Constants!$B$9:$B$17,Constants!$D$9:$D$17))</f>
        <v>1E-3</v>
      </c>
      <c r="S28">
        <f>IF(L28="", "", _xlfn.XLOOKUP(L28, Constants!$B$9:$B$17,Constants!$C$9:$C$17))</f>
        <v>0.4</v>
      </c>
      <c r="T28">
        <f>IF(N28="", "", _xlfn.XLOOKUP(N28, Constants!$B$9:$B$17,Constants!$D$9:$D$17))</f>
        <v>0</v>
      </c>
      <c r="U28">
        <f>IF(N28="", "", _xlfn.XLOOKUP(N28, Constants!$B$9:$B$17,Constants!$C$9:$C$17))</f>
        <v>0</v>
      </c>
      <c r="V28" t="str">
        <f t="shared" si="0"/>
        <v/>
      </c>
      <c r="W28" t="str">
        <f t="shared" si="1"/>
        <v/>
      </c>
      <c r="X28" t="str">
        <f t="shared" si="2"/>
        <v/>
      </c>
      <c r="Y28">
        <f>IF(ISBLANK(L28), "", $X$26*M28)</f>
        <v>0</v>
      </c>
      <c r="Z28">
        <f t="shared" si="3"/>
        <v>0</v>
      </c>
      <c r="AA28" t="str">
        <f t="shared" si="4"/>
        <v/>
      </c>
      <c r="AB28">
        <f>IF(N28="directApplication", "", $AA$26*O28)</f>
        <v>5.8671911833200001</v>
      </c>
      <c r="AC28" t="str">
        <f t="shared" si="5"/>
        <v/>
      </c>
      <c r="AD28" t="str">
        <f>IF(E28="","",Constants!$M$2)</f>
        <v/>
      </c>
      <c r="AE28" t="str">
        <f>IF(F28="","",Constants!$L$2)</f>
        <v/>
      </c>
      <c r="AF28" t="str">
        <f>IF(F28="","",Constants!$J$2)</f>
        <v/>
      </c>
      <c r="AG28" t="str">
        <f t="shared" si="6"/>
        <v/>
      </c>
      <c r="AH28" t="str">
        <f t="shared" si="11"/>
        <v/>
      </c>
      <c r="AI28" t="str">
        <f t="shared" si="8"/>
        <v/>
      </c>
    </row>
    <row r="29" spans="1:35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>
        <f>IF(L29="", "", _xlfn.XLOOKUP(L29, Constants!$B$9:$B$17,Constants!$D$9:$D$17))</f>
        <v>0.02</v>
      </c>
      <c r="S29" t="str">
        <f>IF(L29="", "", _xlfn.XLOOKUP(L29, Constants!$B$9:$B$17,Constants!$C$9:$C$17))</f>
        <v>N/A</v>
      </c>
      <c r="T29">
        <f>IF(N29="", "", _xlfn.XLOOKUP(N29, Constants!$B$9:$B$17,Constants!$D$9:$D$17))</f>
        <v>0</v>
      </c>
      <c r="U29">
        <f>IF(N29="", "", _xlfn.XLOOKUP(N29, Constants!$B$9:$B$17,Constants!$C$9:$C$17))</f>
        <v>0</v>
      </c>
      <c r="V29" t="str">
        <f t="shared" si="0"/>
        <v/>
      </c>
      <c r="W29" t="str">
        <f t="shared" si="1"/>
        <v/>
      </c>
      <c r="X29" t="str">
        <f t="shared" si="2"/>
        <v/>
      </c>
      <c r="Y29">
        <f>IF(ISBLANK(L29), "", $X$26*M29)</f>
        <v>302.17293647999998</v>
      </c>
      <c r="Z29" t="str">
        <f t="shared" si="3"/>
        <v/>
      </c>
      <c r="AA29" t="str">
        <f t="shared" si="4"/>
        <v/>
      </c>
      <c r="AB29">
        <f>IF(N29="directApplication", "", $AA$26*O29)</f>
        <v>0</v>
      </c>
      <c r="AC29" t="str">
        <f t="shared" si="5"/>
        <v/>
      </c>
      <c r="AD29" t="str">
        <f>IF(E29="","",Constants!$M$2)</f>
        <v/>
      </c>
      <c r="AE29" t="str">
        <f>IF(F29="","",Constants!$L$2)</f>
        <v/>
      </c>
      <c r="AF29" t="str">
        <f>IF(F29="","",Constants!$J$2)</f>
        <v/>
      </c>
      <c r="AG29" t="str">
        <f t="shared" si="6"/>
        <v/>
      </c>
      <c r="AH29" t="str">
        <f t="shared" si="11"/>
        <v/>
      </c>
      <c r="AI29" t="str">
        <f t="shared" si="8"/>
        <v/>
      </c>
    </row>
    <row r="30" spans="1:35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t="str">
        <f>IF(L30="", "", _xlfn.XLOOKUP(L30, Constants!$B$9:$B$17,Constants!$D$9:$D$17))</f>
        <v/>
      </c>
      <c r="S30" t="str">
        <f>IF(L30="", "", _xlfn.XLOOKUP(L30, Constants!$B$9:$B$17,Constants!$C$9:$C$17))</f>
        <v/>
      </c>
      <c r="T30" t="str">
        <f>IF(N30="", "", _xlfn.XLOOKUP(N30, Constants!$B$9:$B$17,Constants!$D$9:$D$17))</f>
        <v>N/A</v>
      </c>
      <c r="U30" t="str">
        <f>IF(N30="", "", _xlfn.XLOOKUP(N30, Constants!$B$9:$B$17,Constants!$C$9:$C$17))</f>
        <v>N/A</v>
      </c>
      <c r="V30" s="11" t="str">
        <f t="shared" si="0"/>
        <v/>
      </c>
      <c r="W30" s="11" t="str">
        <f t="shared" si="1"/>
        <v/>
      </c>
      <c r="X30" t="str">
        <f t="shared" si="2"/>
        <v/>
      </c>
      <c r="Y30" s="11" t="str">
        <f>IF(ISBLANK(L30), "", $X$26*M30)</f>
        <v/>
      </c>
      <c r="Z30" t="str">
        <f t="shared" si="3"/>
        <v/>
      </c>
      <c r="AA30" s="11" t="str">
        <f t="shared" si="4"/>
        <v/>
      </c>
      <c r="AB30" t="str">
        <f>IF(N30="directApplication", "", $AA$26*O30)</f>
        <v/>
      </c>
      <c r="AC30" t="str">
        <f t="shared" si="5"/>
        <v/>
      </c>
      <c r="AD30" t="str">
        <f>IF(E30="","",Constants!$M$2)</f>
        <v/>
      </c>
      <c r="AE30" t="str">
        <f>IF(F30="","",Constants!$L$2)</f>
        <v/>
      </c>
      <c r="AF30" t="str">
        <f>IF(F30="","",Constants!$J$2)</f>
        <v/>
      </c>
      <c r="AG30" t="str">
        <f t="shared" si="6"/>
        <v/>
      </c>
      <c r="AH30" t="str">
        <f t="shared" si="11"/>
        <v/>
      </c>
      <c r="AI30" t="str">
        <f t="shared" si="8"/>
        <v/>
      </c>
    </row>
    <row r="31" spans="1:35" x14ac:dyDescent="0.2">
      <c r="AI31" t="str">
        <f t="shared" si="8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87875-5D60-8742-BBBA-69D98D824AF5}">
  <dimension ref="A1:O27"/>
  <sheetViews>
    <sheetView workbookViewId="0">
      <selection activeCell="D23" sqref="D23"/>
    </sheetView>
  </sheetViews>
  <sheetFormatPr baseColWidth="10" defaultRowHeight="16" x14ac:dyDescent="0.2"/>
  <sheetData>
    <row r="1" spans="1:15" x14ac:dyDescent="0.2">
      <c r="A1" t="s">
        <v>115</v>
      </c>
    </row>
    <row r="2" spans="1:15" x14ac:dyDescent="0.2">
      <c r="K2" t="s">
        <v>0</v>
      </c>
    </row>
    <row r="3" spans="1:15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J3" t="s">
        <v>1</v>
      </c>
      <c r="K3" t="s">
        <v>1</v>
      </c>
      <c r="L3" t="s">
        <v>1</v>
      </c>
      <c r="M3" t="s">
        <v>1</v>
      </c>
      <c r="N3" t="s">
        <v>1</v>
      </c>
      <c r="O3" t="s">
        <v>1</v>
      </c>
    </row>
    <row r="5" spans="1:15" x14ac:dyDescent="0.2">
      <c r="A5" t="s">
        <v>35</v>
      </c>
      <c r="B5" t="s">
        <v>43</v>
      </c>
      <c r="C5" t="s">
        <v>42</v>
      </c>
      <c r="D5" t="s">
        <v>65</v>
      </c>
      <c r="E5" t="s">
        <v>68</v>
      </c>
      <c r="F5" t="s">
        <v>28</v>
      </c>
      <c r="G5" t="s">
        <v>2</v>
      </c>
      <c r="H5" t="s">
        <v>3</v>
      </c>
      <c r="I5" t="s">
        <v>44</v>
      </c>
      <c r="J5" t="s">
        <v>46</v>
      </c>
      <c r="K5" t="s">
        <v>49</v>
      </c>
      <c r="L5" t="s">
        <v>36</v>
      </c>
      <c r="M5" t="s">
        <v>57</v>
      </c>
      <c r="N5" t="s">
        <v>37</v>
      </c>
      <c r="O5" t="s">
        <v>63</v>
      </c>
    </row>
    <row r="7" spans="1:15" x14ac:dyDescent="0.2">
      <c r="A7" s="1" t="s">
        <v>26</v>
      </c>
      <c r="B7" s="1" t="s">
        <v>26</v>
      </c>
      <c r="C7" s="1"/>
      <c r="D7" s="1" t="s">
        <v>67</v>
      </c>
      <c r="E7" s="1" t="s">
        <v>69</v>
      </c>
      <c r="F7" s="1" t="s">
        <v>25</v>
      </c>
      <c r="G7" s="1" t="s">
        <v>4</v>
      </c>
      <c r="H7" s="1" t="s">
        <v>5</v>
      </c>
      <c r="I7" s="1" t="s">
        <v>6</v>
      </c>
      <c r="J7" s="1" t="s">
        <v>7</v>
      </c>
      <c r="K7" s="1" t="s">
        <v>108</v>
      </c>
      <c r="L7" s="1" t="s">
        <v>61</v>
      </c>
      <c r="M7" s="1" t="s">
        <v>38</v>
      </c>
      <c r="N7" s="1" t="s">
        <v>39</v>
      </c>
      <c r="O7" s="1" t="s">
        <v>53</v>
      </c>
    </row>
    <row r="8" spans="1:15" x14ac:dyDescent="0.2">
      <c r="A8" t="s">
        <v>64</v>
      </c>
      <c r="C8" t="s">
        <v>74</v>
      </c>
      <c r="D8" t="s">
        <v>66</v>
      </c>
      <c r="E8" t="b">
        <v>1</v>
      </c>
      <c r="F8" t="s">
        <v>9</v>
      </c>
      <c r="G8">
        <v>5000</v>
      </c>
      <c r="H8">
        <v>50</v>
      </c>
      <c r="L8" t="s">
        <v>16</v>
      </c>
      <c r="M8">
        <v>0.1</v>
      </c>
      <c r="N8" t="s">
        <v>19</v>
      </c>
      <c r="O8">
        <v>0.15</v>
      </c>
    </row>
    <row r="9" spans="1:15" x14ac:dyDescent="0.2">
      <c r="I9" t="str">
        <f>IF(ISBLANK($F9), "",_xlfn.XLOOKUP($F9,Constants!$A$2:$A$5,Constants!B$2:B$5))</f>
        <v/>
      </c>
      <c r="J9" t="str">
        <f>IF(ISBLANK($F9), "",_xlfn.XLOOKUP($F9,Constants!$A$2:$A$5,Constants!D$2:D$5))</f>
        <v/>
      </c>
      <c r="K9" t="str">
        <f>IF(ISBLANK($F9), "",_xlfn.XLOOKUP($F9,Constants!$A$2:$A$5,Constants!E$2:E$5))</f>
        <v/>
      </c>
      <c r="L9" t="s">
        <v>17</v>
      </c>
      <c r="M9">
        <v>0.2</v>
      </c>
      <c r="N9" t="s">
        <v>20</v>
      </c>
      <c r="O9">
        <v>0.2</v>
      </c>
    </row>
    <row r="10" spans="1:15" x14ac:dyDescent="0.2">
      <c r="I10" t="str">
        <f>IF(ISBLANK($F10), "",_xlfn.XLOOKUP($F10,Constants!$A$2:$A$5,Constants!B$2:B$5))</f>
        <v/>
      </c>
      <c r="J10" t="str">
        <f>IF(ISBLANK($F10), "",_xlfn.XLOOKUP($F10,Constants!$A$2:$A$5,Constants!D$2:D$5))</f>
        <v/>
      </c>
      <c r="K10" t="str">
        <f>IF(ISBLANK($F10), "",_xlfn.XLOOKUP($F10,Constants!$A$2:$A$5,Constants!E$2:E$5))</f>
        <v/>
      </c>
      <c r="L10" t="s">
        <v>18</v>
      </c>
      <c r="M10">
        <v>0.3</v>
      </c>
      <c r="N10" t="s">
        <v>22</v>
      </c>
      <c r="O10">
        <v>0.25</v>
      </c>
    </row>
    <row r="11" spans="1:15" x14ac:dyDescent="0.2">
      <c r="I11" t="str">
        <f>IF(ISBLANK($F11), "",_xlfn.XLOOKUP($F11,Constants!$A$2:$A$5,Constants!B$2:B$5))</f>
        <v/>
      </c>
      <c r="J11" t="str">
        <f>IF(ISBLANK($F11), "",_xlfn.XLOOKUP($F11,Constants!$A$2:$A$5,Constants!D$2:D$5))</f>
        <v/>
      </c>
      <c r="K11" t="str">
        <f>IF(ISBLANK($F11), "",_xlfn.XLOOKUP($F11,Constants!$A$2:$A$5,Constants!E$2:E$5))</f>
        <v/>
      </c>
      <c r="L11" t="s">
        <v>40</v>
      </c>
      <c r="M11">
        <v>0.4</v>
      </c>
      <c r="N11" t="s">
        <v>21</v>
      </c>
      <c r="O11">
        <v>0.17</v>
      </c>
    </row>
    <row r="12" spans="1:15" x14ac:dyDescent="0.2">
      <c r="A12" s="11"/>
      <c r="B12" s="11"/>
      <c r="C12" s="11"/>
      <c r="D12" s="11"/>
      <c r="E12" s="11"/>
      <c r="F12" s="11"/>
      <c r="G12" s="11"/>
      <c r="H12" s="11"/>
      <c r="I12" s="11" t="str">
        <f>IF(ISBLANK($F12), "",_xlfn.XLOOKUP($F12,Constants!$A$2:$A$5,Constants!B$2:B$5))</f>
        <v/>
      </c>
      <c r="J12" s="11" t="str">
        <f>IF(ISBLANK($F12), "",_xlfn.XLOOKUP($F12,Constants!$A$2:$A$5,Constants!D$2:D$5))</f>
        <v/>
      </c>
      <c r="K12" s="11" t="str">
        <f>IF(ISBLANK($F12), "",_xlfn.XLOOKUP($F12,Constants!$A$2:$A$5,Constants!E$2:E$5))</f>
        <v/>
      </c>
      <c r="L12" s="11"/>
      <c r="M12" s="11"/>
      <c r="N12" s="11" t="s">
        <v>41</v>
      </c>
      <c r="O12" s="11">
        <v>0.23</v>
      </c>
    </row>
    <row r="13" spans="1:15" x14ac:dyDescent="0.2">
      <c r="A13" t="s">
        <v>79</v>
      </c>
      <c r="C13" t="s">
        <v>71</v>
      </c>
      <c r="D13" t="s">
        <v>76</v>
      </c>
      <c r="E13" t="b">
        <v>1</v>
      </c>
      <c r="F13" t="s">
        <v>105</v>
      </c>
      <c r="G13">
        <v>2250</v>
      </c>
      <c r="H13">
        <v>125</v>
      </c>
      <c r="L13" t="s">
        <v>16</v>
      </c>
      <c r="M13">
        <v>0.4</v>
      </c>
      <c r="N13" t="s">
        <v>19</v>
      </c>
      <c r="O13">
        <v>0.2</v>
      </c>
    </row>
    <row r="14" spans="1:15" x14ac:dyDescent="0.2">
      <c r="I14" t="str">
        <f>IF(ISBLANK($F14), "",_xlfn.XLOOKUP($F14,Constants!$A$2:$A$5,Constants!B$2:B$5))</f>
        <v/>
      </c>
      <c r="J14" t="str">
        <f>IF(ISBLANK($F14), "",_xlfn.XLOOKUP($F14,Constants!$A$2:$A$5,Constants!D$2:D$5))</f>
        <v/>
      </c>
      <c r="K14" t="str">
        <f>IF(ISBLANK($F14), "",_xlfn.XLOOKUP($F14,Constants!$A$2:$A$5,Constants!E$2:E$5))</f>
        <v/>
      </c>
      <c r="L14" t="s">
        <v>17</v>
      </c>
      <c r="M14">
        <v>0.3</v>
      </c>
      <c r="N14" t="s">
        <v>20</v>
      </c>
      <c r="O14">
        <v>0.25</v>
      </c>
    </row>
    <row r="15" spans="1:15" x14ac:dyDescent="0.2">
      <c r="I15" t="str">
        <f>IF(ISBLANK($F15), "",_xlfn.XLOOKUP($F15,Constants!$A$2:$A$5,Constants!B$2:B$5))</f>
        <v/>
      </c>
      <c r="J15" t="str">
        <f>IF(ISBLANK($F15), "",_xlfn.XLOOKUP($F15,Constants!$A$2:$A$5,Constants!D$2:D$5))</f>
        <v/>
      </c>
      <c r="K15" t="str">
        <f>IF(ISBLANK($F15), "",_xlfn.XLOOKUP($F15,Constants!$A$2:$A$5,Constants!E$2:E$5))</f>
        <v/>
      </c>
      <c r="L15" t="s">
        <v>18</v>
      </c>
      <c r="M15">
        <v>0.2</v>
      </c>
      <c r="N15" t="s">
        <v>22</v>
      </c>
      <c r="O15">
        <v>0.2</v>
      </c>
    </row>
    <row r="16" spans="1:15" x14ac:dyDescent="0.2">
      <c r="I16" t="str">
        <f>IF(ISBLANK($F16), "",_xlfn.XLOOKUP($F16,Constants!$A$2:$A$5,Constants!B$2:B$5))</f>
        <v/>
      </c>
      <c r="J16" t="str">
        <f>IF(ISBLANK($F16), "",_xlfn.XLOOKUP($F16,Constants!$A$2:$A$5,Constants!D$2:D$5))</f>
        <v/>
      </c>
      <c r="K16" t="str">
        <f>IF(ISBLANK($F16), "",_xlfn.XLOOKUP($F16,Constants!$A$2:$A$5,Constants!E$2:E$5))</f>
        <v/>
      </c>
      <c r="L16" t="s">
        <v>40</v>
      </c>
      <c r="M16">
        <v>0.1</v>
      </c>
      <c r="N16" t="s">
        <v>21</v>
      </c>
      <c r="O16">
        <v>0.25</v>
      </c>
    </row>
    <row r="17" spans="1:15" x14ac:dyDescent="0.2">
      <c r="A17" s="11"/>
      <c r="B17" s="11"/>
      <c r="C17" s="11"/>
      <c r="D17" s="11"/>
      <c r="E17" s="11"/>
      <c r="F17" s="11"/>
      <c r="G17" s="11"/>
      <c r="H17" s="11"/>
      <c r="I17" s="11" t="str">
        <f>IF(ISBLANK($F17), "",_xlfn.XLOOKUP($F17,Constants!$A$2:$A$5,Constants!B$2:B$5))</f>
        <v/>
      </c>
      <c r="J17" s="11" t="str">
        <f>IF(ISBLANK($F17), "",_xlfn.XLOOKUP($F17,Constants!$A$2:$A$5,Constants!D$2:D$5))</f>
        <v/>
      </c>
      <c r="K17" s="11" t="str">
        <f>IF(ISBLANK($F17), "",_xlfn.XLOOKUP($F17,Constants!$A$2:$A$5,Constants!E$2:E$5))</f>
        <v/>
      </c>
      <c r="L17" s="11"/>
      <c r="M17" s="11"/>
      <c r="N17" s="11" t="s">
        <v>41</v>
      </c>
      <c r="O17" s="11">
        <v>0.1</v>
      </c>
    </row>
    <row r="18" spans="1:15" x14ac:dyDescent="0.2">
      <c r="A18" t="s">
        <v>84</v>
      </c>
      <c r="C18" t="s">
        <v>70</v>
      </c>
      <c r="D18" t="s">
        <v>66</v>
      </c>
      <c r="E18" t="b">
        <v>1</v>
      </c>
      <c r="F18" t="s">
        <v>10</v>
      </c>
      <c r="G18">
        <v>3333</v>
      </c>
      <c r="H18">
        <v>111</v>
      </c>
      <c r="L18" t="s">
        <v>16</v>
      </c>
      <c r="M18">
        <v>0</v>
      </c>
      <c r="N18" t="s">
        <v>19</v>
      </c>
      <c r="O18">
        <v>0.34</v>
      </c>
    </row>
    <row r="19" spans="1:15" x14ac:dyDescent="0.2">
      <c r="I19" t="str">
        <f>IF(ISBLANK($F19), "",_xlfn.XLOOKUP($F19,Constants!$A$2:$A$5,Constants!B$2:B$5))</f>
        <v/>
      </c>
      <c r="J19" t="str">
        <f>IF(ISBLANK($F19), "",_xlfn.XLOOKUP($F19,Constants!$A$2:$A$5,Constants!D$2:D$5))</f>
        <v/>
      </c>
      <c r="K19" t="str">
        <f>IF(ISBLANK($F19), "",_xlfn.XLOOKUP($F19,Constants!$A$2:$A$5,Constants!E$2:E$5))</f>
        <v/>
      </c>
      <c r="L19" t="s">
        <v>17</v>
      </c>
      <c r="M19">
        <v>0.9</v>
      </c>
      <c r="N19" t="s">
        <v>20</v>
      </c>
      <c r="O19">
        <v>0.6</v>
      </c>
    </row>
    <row r="20" spans="1:15" x14ac:dyDescent="0.2">
      <c r="I20" t="str">
        <f>IF(ISBLANK($F20), "",_xlfn.XLOOKUP($F20,Constants!$A$2:$A$5,Constants!B$2:B$5))</f>
        <v/>
      </c>
      <c r="J20" t="str">
        <f>IF(ISBLANK($F20), "",_xlfn.XLOOKUP($F20,Constants!$A$2:$A$5,Constants!D$2:D$5))</f>
        <v/>
      </c>
      <c r="K20" t="str">
        <f>IF(ISBLANK($F20), "",_xlfn.XLOOKUP($F20,Constants!$A$2:$A$5,Constants!E$2:E$5))</f>
        <v/>
      </c>
      <c r="L20" t="s">
        <v>18</v>
      </c>
      <c r="M20">
        <v>0</v>
      </c>
      <c r="N20" t="s">
        <v>22</v>
      </c>
      <c r="O20">
        <v>0</v>
      </c>
    </row>
    <row r="21" spans="1:15" x14ac:dyDescent="0.2">
      <c r="I21" t="str">
        <f>IF(ISBLANK($F21), "",_xlfn.XLOOKUP($F21,Constants!$A$2:$A$5,Constants!B$2:B$5))</f>
        <v/>
      </c>
      <c r="J21" t="str">
        <f>IF(ISBLANK($F21), "",_xlfn.XLOOKUP($F21,Constants!$A$2:$A$5,Constants!D$2:D$5))</f>
        <v/>
      </c>
      <c r="K21" t="str">
        <f>IF(ISBLANK($F21), "",_xlfn.XLOOKUP($F21,Constants!$A$2:$A$5,Constants!E$2:E$5))</f>
        <v/>
      </c>
      <c r="L21" t="s">
        <v>40</v>
      </c>
      <c r="M21">
        <v>0.1</v>
      </c>
      <c r="N21" t="s">
        <v>21</v>
      </c>
      <c r="O21">
        <v>0</v>
      </c>
    </row>
    <row r="22" spans="1:15" x14ac:dyDescent="0.2">
      <c r="A22" s="11"/>
      <c r="B22" s="11"/>
      <c r="C22" s="11"/>
      <c r="D22" s="11"/>
      <c r="E22" s="11"/>
      <c r="F22" s="11"/>
      <c r="G22" s="11"/>
      <c r="H22" s="11"/>
      <c r="I22" s="11" t="str">
        <f>IF(ISBLANK($F22), "",_xlfn.XLOOKUP($F22,Constants!$A$2:$A$5,Constants!B$2:B$5))</f>
        <v/>
      </c>
      <c r="J22" s="11" t="str">
        <f>IF(ISBLANK($F22), "",_xlfn.XLOOKUP($F22,Constants!$A$2:$A$5,Constants!D$2:D$5))</f>
        <v/>
      </c>
      <c r="K22" s="11" t="str">
        <f>IF(ISBLANK($F22), "",_xlfn.XLOOKUP($F22,Constants!$A$2:$A$5,Constants!E$2:E$5))</f>
        <v/>
      </c>
      <c r="L22" s="11"/>
      <c r="M22" s="11"/>
      <c r="N22" s="11" t="s">
        <v>41</v>
      </c>
      <c r="O22" s="11">
        <v>0.06</v>
      </c>
    </row>
    <row r="23" spans="1:15" x14ac:dyDescent="0.2">
      <c r="A23" t="s">
        <v>80</v>
      </c>
      <c r="C23" t="s">
        <v>73</v>
      </c>
      <c r="D23" t="s">
        <v>76</v>
      </c>
      <c r="E23" t="b">
        <v>1</v>
      </c>
      <c r="F23" t="s">
        <v>11</v>
      </c>
      <c r="G23">
        <v>1234</v>
      </c>
      <c r="H23">
        <v>150</v>
      </c>
      <c r="L23" t="s">
        <v>16</v>
      </c>
      <c r="M23">
        <v>0.1</v>
      </c>
      <c r="N23" t="s">
        <v>19</v>
      </c>
      <c r="O23">
        <v>0.5</v>
      </c>
    </row>
    <row r="24" spans="1:15" x14ac:dyDescent="0.2">
      <c r="I24" t="str">
        <f>IF(ISBLANK($F24), "",_xlfn.XLOOKUP($F24,Constants!$A$2:$A$5,Constants!B$2:B$5))</f>
        <v/>
      </c>
      <c r="J24" t="str">
        <f>IF(ISBLANK($F24), "",_xlfn.XLOOKUP($F24,Constants!$A$2:$A$5,Constants!D$2:D$5))</f>
        <v/>
      </c>
      <c r="K24" t="str">
        <f>IF(ISBLANK($F24), "",_xlfn.XLOOKUP($F24,Constants!$A$2:$A$5,Constants!E$2:E$5))</f>
        <v/>
      </c>
      <c r="L24" t="s">
        <v>17</v>
      </c>
      <c r="M24">
        <v>0</v>
      </c>
      <c r="N24" t="s">
        <v>20</v>
      </c>
      <c r="O24">
        <v>0.25</v>
      </c>
    </row>
    <row r="25" spans="1:15" x14ac:dyDescent="0.2">
      <c r="I25" t="str">
        <f>IF(ISBLANK($F25), "",_xlfn.XLOOKUP($F25,Constants!$A$2:$A$5,Constants!B$2:B$5))</f>
        <v/>
      </c>
      <c r="J25" t="str">
        <f>IF(ISBLANK($F25), "",_xlfn.XLOOKUP($F25,Constants!$A$2:$A$5,Constants!D$2:D$5))</f>
        <v/>
      </c>
      <c r="K25" t="str">
        <f>IF(ISBLANK($F25), "",_xlfn.XLOOKUP($F25,Constants!$A$2:$A$5,Constants!E$2:E$5))</f>
        <v/>
      </c>
      <c r="L25" t="s">
        <v>18</v>
      </c>
      <c r="M25">
        <v>0</v>
      </c>
      <c r="N25" t="s">
        <v>22</v>
      </c>
      <c r="O25">
        <v>0.25</v>
      </c>
    </row>
    <row r="26" spans="1:15" x14ac:dyDescent="0.2">
      <c r="I26" t="str">
        <f>IF(ISBLANK($F26), "",_xlfn.XLOOKUP($F26,Constants!$A$2:$A$5,Constants!B$2:B$5))</f>
        <v/>
      </c>
      <c r="J26" t="str">
        <f>IF(ISBLANK($F26), "",_xlfn.XLOOKUP($F26,Constants!$A$2:$A$5,Constants!D$2:D$5))</f>
        <v/>
      </c>
      <c r="K26" t="str">
        <f>IF(ISBLANK($F26), "",_xlfn.XLOOKUP($F26,Constants!$A$2:$A$5,Constants!E$2:E$5))</f>
        <v/>
      </c>
      <c r="L26" t="s">
        <v>40</v>
      </c>
      <c r="M26">
        <v>0.9</v>
      </c>
      <c r="N26" t="s">
        <v>21</v>
      </c>
      <c r="O26">
        <v>0</v>
      </c>
    </row>
    <row r="27" spans="1:15" x14ac:dyDescent="0.2">
      <c r="A27" s="11"/>
      <c r="B27" s="11"/>
      <c r="C27" s="11"/>
      <c r="D27" s="11"/>
      <c r="E27" s="11"/>
      <c r="F27" s="11"/>
      <c r="G27" s="11"/>
      <c r="H27" s="11"/>
      <c r="I27" s="11" t="str">
        <f>IF(ISBLANK($F27), "",_xlfn.XLOOKUP($F27,Constants!$A$2:$A$5,Constants!B$2:B$5))</f>
        <v/>
      </c>
      <c r="J27" s="11" t="str">
        <f>IF(ISBLANK($F27), "",_xlfn.XLOOKUP($F27,Constants!$A$2:$A$5,Constants!D$2:D$5))</f>
        <v/>
      </c>
      <c r="K27" s="11" t="str">
        <f>IF(ISBLANK($F27), "",_xlfn.XLOOKUP($F27,Constants!$A$2:$A$5,Constants!E$2:E$5))</f>
        <v/>
      </c>
      <c r="L27" s="11"/>
      <c r="M27" s="11"/>
      <c r="N27" s="11" t="s">
        <v>41</v>
      </c>
      <c r="O27" s="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M28"/>
  <sheetViews>
    <sheetView workbookViewId="0">
      <selection activeCell="M2" sqref="M2"/>
    </sheetView>
  </sheetViews>
  <sheetFormatPr baseColWidth="10" defaultRowHeight="16" x14ac:dyDescent="0.2"/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50</v>
      </c>
      <c r="I1" s="2" t="s">
        <v>90</v>
      </c>
      <c r="J1" s="2" t="s">
        <v>119</v>
      </c>
      <c r="K1" s="2" t="s">
        <v>127</v>
      </c>
      <c r="L1" s="2" t="s">
        <v>132</v>
      </c>
      <c r="M1" s="2" t="s">
        <v>133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105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65</v>
      </c>
      <c r="J4" t="s">
        <v>77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66</v>
      </c>
      <c r="J5">
        <v>6.0000000000000001E-3</v>
      </c>
    </row>
    <row r="6" spans="1:13" x14ac:dyDescent="0.2">
      <c r="I6" t="s">
        <v>76</v>
      </c>
      <c r="J6">
        <v>2E-3</v>
      </c>
    </row>
    <row r="7" spans="1:13" x14ac:dyDescent="0.2">
      <c r="F7" t="s">
        <v>86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91</v>
      </c>
      <c r="F8" s="3" t="s">
        <v>64</v>
      </c>
      <c r="G8" s="3" t="s">
        <v>78</v>
      </c>
      <c r="H8" s="3" t="s">
        <v>79</v>
      </c>
      <c r="I8" s="3" t="s">
        <v>80</v>
      </c>
      <c r="J8" s="3" t="s">
        <v>81</v>
      </c>
      <c r="K8" s="3" t="s">
        <v>82</v>
      </c>
      <c r="L8" s="3" t="s">
        <v>83</v>
      </c>
      <c r="M8" s="3" t="s">
        <v>84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55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56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85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85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85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85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40</v>
      </c>
      <c r="C16" s="9" t="s">
        <v>85</v>
      </c>
      <c r="D16" s="9">
        <v>0.02</v>
      </c>
      <c r="E16" s="9" t="s">
        <v>85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3" x14ac:dyDescent="0.2">
      <c r="A17" s="8">
        <v>13</v>
      </c>
      <c r="B17" s="9" t="s">
        <v>41</v>
      </c>
      <c r="C17" s="9" t="s">
        <v>85</v>
      </c>
      <c r="D17" s="9" t="s">
        <v>85</v>
      </c>
      <c r="E17" s="9" t="s">
        <v>85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3" x14ac:dyDescent="0.2">
      <c r="A19" s="2" t="s">
        <v>42</v>
      </c>
      <c r="B19" s="2" t="s">
        <v>75</v>
      </c>
    </row>
    <row r="20" spans="1:13" x14ac:dyDescent="0.2">
      <c r="A20" t="s">
        <v>74</v>
      </c>
      <c r="B20">
        <v>1.8E-3</v>
      </c>
    </row>
    <row r="21" spans="1:13" x14ac:dyDescent="0.2">
      <c r="A21" t="s">
        <v>70</v>
      </c>
      <c r="B21">
        <v>5.8999999999999999E-3</v>
      </c>
    </row>
    <row r="22" spans="1:13" x14ac:dyDescent="0.2">
      <c r="A22" t="s">
        <v>71</v>
      </c>
      <c r="B22">
        <v>7.0000000000000001E-3</v>
      </c>
    </row>
    <row r="23" spans="1:13" x14ac:dyDescent="0.2">
      <c r="A23" t="s">
        <v>72</v>
      </c>
      <c r="B23">
        <v>2.8999999999999998E-3</v>
      </c>
    </row>
    <row r="24" spans="1:13" x14ac:dyDescent="0.2">
      <c r="A24" t="s">
        <v>73</v>
      </c>
      <c r="B24">
        <v>8.0000000000000002E-3</v>
      </c>
    </row>
    <row r="26" spans="1:13" x14ac:dyDescent="0.2">
      <c r="A26" s="2" t="s">
        <v>65</v>
      </c>
      <c r="B26" s="2" t="s">
        <v>77</v>
      </c>
    </row>
    <row r="27" spans="1:13" x14ac:dyDescent="0.2">
      <c r="A27" t="s">
        <v>66</v>
      </c>
      <c r="B27">
        <v>6.0000000000000001E-3</v>
      </c>
    </row>
    <row r="28" spans="1:13" x14ac:dyDescent="0.2">
      <c r="A28" t="s">
        <v>76</v>
      </c>
      <c r="B28">
        <v>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4.6.1.1</vt:lpstr>
      <vt:lpstr>4.6.1.3</vt:lpstr>
      <vt:lpstr>4.6.1.5</vt:lpstr>
      <vt:lpstr>4.6.1.7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2026-06-12T04:00:02Z</dcterms:modified>
</cp:coreProperties>
</file>