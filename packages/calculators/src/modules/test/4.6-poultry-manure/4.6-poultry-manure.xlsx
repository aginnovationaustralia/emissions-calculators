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4.6-poultry-manure/"/>
    </mc:Choice>
  </mc:AlternateContent>
  <xr:revisionPtr revIDLastSave="0" documentId="13_ncr:1_{F14F6D6D-0337-7E4F-9BF6-6A019F3E9DF4}" xr6:coauthVersionLast="47" xr6:coauthVersionMax="47" xr10:uidLastSave="{00000000-0000-0000-0000-000000000000}"/>
  <bookViews>
    <workbookView xWindow="32080" yWindow="-1520" windowWidth="28800" windowHeight="15860" activeTab="2" xr2:uid="{00000000-000D-0000-FFFF-FFFF00000000}"/>
  </bookViews>
  <sheets>
    <sheet name="4.6.1.1" sheetId="5" r:id="rId1"/>
    <sheet name="4.6.1.3" sheetId="1" r:id="rId2"/>
    <sheet name="4.6.1.5" sheetId="6" r:id="rId3"/>
    <sheet name="4.6.1.7" sheetId="7" r:id="rId4"/>
    <sheet name="Input Scenarios (old)" sheetId="3" r:id="rId5"/>
    <sheet name="Input Scenarios" sheetId="8" r:id="rId6"/>
    <sheet name="Constants" sheetId="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W12" i="6" l="1"/>
  <c r="BW13" i="6"/>
  <c r="BW14" i="6"/>
  <c r="BW15" i="6"/>
  <c r="BW16" i="6"/>
  <c r="BW17" i="6"/>
  <c r="BW18" i="6"/>
  <c r="BW19" i="6"/>
  <c r="BW20" i="6"/>
  <c r="BW21" i="6"/>
  <c r="BW22" i="6"/>
  <c r="BW23" i="6"/>
  <c r="BW24" i="6"/>
  <c r="BW25" i="6"/>
  <c r="BW26" i="6"/>
  <c r="BW11" i="6"/>
  <c r="BV11" i="6"/>
  <c r="BV12" i="6"/>
  <c r="BV13" i="6"/>
  <c r="BV14" i="6"/>
  <c r="BV15" i="6"/>
  <c r="BV16" i="6"/>
  <c r="BV17" i="6"/>
  <c r="BV18" i="6"/>
  <c r="BV19" i="6"/>
  <c r="BV20" i="6"/>
  <c r="BV21" i="6"/>
  <c r="BV22" i="6"/>
  <c r="BV23" i="6"/>
  <c r="BV24" i="6"/>
  <c r="BV25" i="6"/>
  <c r="BV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E26" i="6"/>
  <c r="AD26" i="6"/>
  <c r="AC26" i="6"/>
  <c r="AB26" i="6"/>
  <c r="AA26" i="6"/>
  <c r="Z26" i="6"/>
  <c r="Y26" i="6"/>
  <c r="X26" i="6"/>
  <c r="W26" i="6"/>
  <c r="V26" i="6"/>
  <c r="U26" i="6"/>
  <c r="T26" i="6"/>
  <c r="S26" i="6"/>
  <c r="R26" i="6"/>
  <c r="Q26" i="6"/>
  <c r="P26" i="6"/>
  <c r="O26" i="6"/>
  <c r="N26" i="6"/>
  <c r="M26" i="6"/>
  <c r="J26" i="6"/>
  <c r="H26" i="6"/>
  <c r="G26" i="6"/>
  <c r="F26" i="6"/>
  <c r="I26" i="6" s="1"/>
  <c r="E26" i="6"/>
  <c r="D26" i="6"/>
  <c r="C26" i="6"/>
  <c r="BX26" i="6" s="1"/>
  <c r="B26" i="6"/>
  <c r="A26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E25" i="6"/>
  <c r="AD25" i="6"/>
  <c r="AC25" i="6"/>
  <c r="AB25" i="6"/>
  <c r="AA25" i="6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H25" i="6"/>
  <c r="G25" i="6"/>
  <c r="F25" i="6"/>
  <c r="J25" i="6" s="1"/>
  <c r="E25" i="6"/>
  <c r="D25" i="6"/>
  <c r="C25" i="6"/>
  <c r="BX25" i="6" s="1"/>
  <c r="B25" i="6"/>
  <c r="A25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H24" i="6"/>
  <c r="G24" i="6"/>
  <c r="F24" i="6"/>
  <c r="K24" i="6" s="1"/>
  <c r="E24" i="6"/>
  <c r="D24" i="6"/>
  <c r="C24" i="6"/>
  <c r="BX24" i="6" s="1"/>
  <c r="B24" i="6"/>
  <c r="A24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E23" i="6"/>
  <c r="AD23" i="6"/>
  <c r="AC23" i="6"/>
  <c r="AB23" i="6"/>
  <c r="AA23" i="6"/>
  <c r="Z23" i="6"/>
  <c r="Y23" i="6"/>
  <c r="X23" i="6"/>
  <c r="W23" i="6"/>
  <c r="V23" i="6"/>
  <c r="U23" i="6"/>
  <c r="T23" i="6"/>
  <c r="S23" i="6"/>
  <c r="R23" i="6"/>
  <c r="Q23" i="6"/>
  <c r="P23" i="6"/>
  <c r="O23" i="6"/>
  <c r="N23" i="6"/>
  <c r="M23" i="6"/>
  <c r="L23" i="6"/>
  <c r="H23" i="6"/>
  <c r="G23" i="6"/>
  <c r="F23" i="6"/>
  <c r="K23" i="6" s="1"/>
  <c r="E23" i="6"/>
  <c r="D23" i="6"/>
  <c r="C23" i="6"/>
  <c r="BX23" i="6" s="1"/>
  <c r="B23" i="6"/>
  <c r="A23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E22" i="6"/>
  <c r="AD22" i="6"/>
  <c r="AC22" i="6"/>
  <c r="AB22" i="6"/>
  <c r="AA22" i="6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M22" i="6"/>
  <c r="H22" i="6"/>
  <c r="G22" i="6"/>
  <c r="F22" i="6"/>
  <c r="L22" i="6" s="1"/>
  <c r="E22" i="6"/>
  <c r="D22" i="6"/>
  <c r="C22" i="6"/>
  <c r="BX22" i="6" s="1"/>
  <c r="B22" i="6"/>
  <c r="A22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E21" i="6"/>
  <c r="AD21" i="6"/>
  <c r="AC21" i="6"/>
  <c r="AB21" i="6"/>
  <c r="AA21" i="6"/>
  <c r="Z21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H21" i="6"/>
  <c r="G21" i="6"/>
  <c r="F21" i="6"/>
  <c r="L21" i="6" s="1"/>
  <c r="E21" i="6"/>
  <c r="D21" i="6"/>
  <c r="C21" i="6"/>
  <c r="BX21" i="6" s="1"/>
  <c r="B21" i="6"/>
  <c r="A21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E20" i="6"/>
  <c r="AD20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H20" i="6"/>
  <c r="G20" i="6"/>
  <c r="F20" i="6"/>
  <c r="I20" i="6" s="1"/>
  <c r="E20" i="6"/>
  <c r="D20" i="6"/>
  <c r="C20" i="6"/>
  <c r="BX20" i="6" s="1"/>
  <c r="B20" i="6"/>
  <c r="A20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AE19" i="6"/>
  <c r="AD19" i="6"/>
  <c r="AC19" i="6"/>
  <c r="AB19" i="6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H19" i="6"/>
  <c r="G19" i="6"/>
  <c r="F19" i="6"/>
  <c r="L19" i="6" s="1"/>
  <c r="E19" i="6"/>
  <c r="D19" i="6"/>
  <c r="C19" i="6"/>
  <c r="BX19" i="6" s="1"/>
  <c r="B19" i="6"/>
  <c r="A19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H18" i="6"/>
  <c r="G18" i="6"/>
  <c r="F18" i="6"/>
  <c r="I18" i="6" s="1"/>
  <c r="E18" i="6"/>
  <c r="D18" i="6"/>
  <c r="C18" i="6"/>
  <c r="BX18" i="6" s="1"/>
  <c r="B18" i="6"/>
  <c r="A18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H17" i="6"/>
  <c r="G17" i="6"/>
  <c r="F17" i="6"/>
  <c r="J17" i="6" s="1"/>
  <c r="E17" i="6"/>
  <c r="D17" i="6"/>
  <c r="C17" i="6"/>
  <c r="BX17" i="6" s="1"/>
  <c r="B17" i="6"/>
  <c r="A17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H16" i="6"/>
  <c r="G16" i="6"/>
  <c r="F16" i="6"/>
  <c r="K16" i="6" s="1"/>
  <c r="E16" i="6"/>
  <c r="D16" i="6"/>
  <c r="C16" i="6"/>
  <c r="BX16" i="6" s="1"/>
  <c r="B16" i="6"/>
  <c r="A16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H15" i="6"/>
  <c r="G15" i="6"/>
  <c r="F15" i="6"/>
  <c r="K15" i="6" s="1"/>
  <c r="E15" i="6"/>
  <c r="D15" i="6"/>
  <c r="C15" i="6"/>
  <c r="BX15" i="6" s="1"/>
  <c r="B15" i="6"/>
  <c r="A15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H14" i="6"/>
  <c r="G14" i="6"/>
  <c r="F14" i="6"/>
  <c r="J14" i="6" s="1"/>
  <c r="E14" i="6"/>
  <c r="D14" i="6"/>
  <c r="C14" i="6"/>
  <c r="BX14" i="6" s="1"/>
  <c r="B14" i="6"/>
  <c r="A14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H13" i="6"/>
  <c r="G13" i="6"/>
  <c r="F13" i="6"/>
  <c r="L13" i="6" s="1"/>
  <c r="E13" i="6"/>
  <c r="D13" i="6"/>
  <c r="C13" i="6"/>
  <c r="BX13" i="6" s="1"/>
  <c r="B13" i="6"/>
  <c r="A13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H12" i="6"/>
  <c r="G12" i="6"/>
  <c r="F12" i="6"/>
  <c r="K12" i="6" s="1"/>
  <c r="E12" i="6"/>
  <c r="D12" i="6"/>
  <c r="C12" i="6"/>
  <c r="BX12" i="6" s="1"/>
  <c r="B12" i="6"/>
  <c r="A12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H11" i="6"/>
  <c r="G11" i="6"/>
  <c r="F11" i="6"/>
  <c r="I11" i="6" s="1"/>
  <c r="E11" i="6"/>
  <c r="D11" i="6"/>
  <c r="C11" i="6"/>
  <c r="BX11" i="6" s="1"/>
  <c r="B11" i="6"/>
  <c r="A11" i="6"/>
  <c r="BZ23" i="1"/>
  <c r="BZ19" i="1"/>
  <c r="BZ15" i="1"/>
  <c r="BZ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11" i="1"/>
  <c r="BT12" i="1"/>
  <c r="BU12" i="1"/>
  <c r="BV12" i="1"/>
  <c r="BW12" i="1"/>
  <c r="BX12" i="1"/>
  <c r="BT13" i="1"/>
  <c r="BU13" i="1"/>
  <c r="BV13" i="1"/>
  <c r="BW13" i="1"/>
  <c r="BX13" i="1"/>
  <c r="BT14" i="1"/>
  <c r="BU14" i="1"/>
  <c r="BV14" i="1"/>
  <c r="BW14" i="1"/>
  <c r="BX14" i="1"/>
  <c r="BT15" i="1"/>
  <c r="BU15" i="1"/>
  <c r="BV15" i="1"/>
  <c r="BW15" i="1"/>
  <c r="BX15" i="1"/>
  <c r="BT16" i="1"/>
  <c r="BU16" i="1"/>
  <c r="BV16" i="1"/>
  <c r="BW16" i="1"/>
  <c r="BX16" i="1"/>
  <c r="BT17" i="1"/>
  <c r="BU17" i="1"/>
  <c r="BV17" i="1"/>
  <c r="BW17" i="1"/>
  <c r="BX17" i="1"/>
  <c r="BT18" i="1"/>
  <c r="BU18" i="1"/>
  <c r="BV18" i="1"/>
  <c r="BW18" i="1"/>
  <c r="BX18" i="1"/>
  <c r="BT19" i="1"/>
  <c r="BU19" i="1"/>
  <c r="BV19" i="1"/>
  <c r="BW19" i="1"/>
  <c r="BX19" i="1"/>
  <c r="BT20" i="1"/>
  <c r="BU20" i="1"/>
  <c r="BV20" i="1"/>
  <c r="BW20" i="1"/>
  <c r="BX20" i="1"/>
  <c r="BT21" i="1"/>
  <c r="BU21" i="1"/>
  <c r="BV21" i="1"/>
  <c r="BW21" i="1"/>
  <c r="BX21" i="1"/>
  <c r="BT22" i="1"/>
  <c r="BU22" i="1"/>
  <c r="BV22" i="1"/>
  <c r="BW22" i="1"/>
  <c r="BX22" i="1"/>
  <c r="BT23" i="1"/>
  <c r="BU23" i="1"/>
  <c r="BV23" i="1"/>
  <c r="BW23" i="1"/>
  <c r="BX23" i="1"/>
  <c r="BT24" i="1"/>
  <c r="BU24" i="1"/>
  <c r="BV24" i="1"/>
  <c r="BW24" i="1"/>
  <c r="BX24" i="1"/>
  <c r="BT25" i="1"/>
  <c r="BU25" i="1"/>
  <c r="BV25" i="1"/>
  <c r="BW25" i="1"/>
  <c r="BX25" i="1"/>
  <c r="BT26" i="1"/>
  <c r="BU26" i="1"/>
  <c r="BV26" i="1"/>
  <c r="BW26" i="1"/>
  <c r="BX26" i="1"/>
  <c r="BX11" i="1"/>
  <c r="AO12" i="1"/>
  <c r="AP12" i="1"/>
  <c r="AQ12" i="1"/>
  <c r="AR12" i="1"/>
  <c r="AS12" i="1"/>
  <c r="AT12" i="1"/>
  <c r="AU12" i="1"/>
  <c r="AV12" i="1"/>
  <c r="AW12" i="1"/>
  <c r="AX12" i="1"/>
  <c r="AO13" i="1"/>
  <c r="AP13" i="1"/>
  <c r="AQ13" i="1"/>
  <c r="AR13" i="1"/>
  <c r="AS13" i="1"/>
  <c r="AT13" i="1"/>
  <c r="AU13" i="1"/>
  <c r="AV13" i="1"/>
  <c r="AW13" i="1"/>
  <c r="AX13" i="1"/>
  <c r="AO14" i="1"/>
  <c r="AP14" i="1"/>
  <c r="AQ14" i="1"/>
  <c r="AR14" i="1"/>
  <c r="AS14" i="1"/>
  <c r="AT14" i="1"/>
  <c r="AU14" i="1"/>
  <c r="AV14" i="1"/>
  <c r="AW14" i="1"/>
  <c r="AX14" i="1"/>
  <c r="AO15" i="1"/>
  <c r="AP15" i="1"/>
  <c r="AQ15" i="1"/>
  <c r="AR15" i="1"/>
  <c r="AS15" i="1"/>
  <c r="AT15" i="1"/>
  <c r="AU15" i="1"/>
  <c r="AV15" i="1"/>
  <c r="AW15" i="1"/>
  <c r="AX15" i="1"/>
  <c r="AO16" i="1"/>
  <c r="AP16" i="1"/>
  <c r="AQ16" i="1"/>
  <c r="AR16" i="1"/>
  <c r="AS16" i="1"/>
  <c r="AT16" i="1"/>
  <c r="AU16" i="1"/>
  <c r="AV16" i="1"/>
  <c r="AW16" i="1"/>
  <c r="AX16" i="1"/>
  <c r="AO17" i="1"/>
  <c r="AP17" i="1"/>
  <c r="AQ17" i="1"/>
  <c r="AR17" i="1"/>
  <c r="AS17" i="1"/>
  <c r="AT17" i="1"/>
  <c r="AU17" i="1"/>
  <c r="AV17" i="1"/>
  <c r="AW17" i="1"/>
  <c r="AX17" i="1"/>
  <c r="AO18" i="1"/>
  <c r="AP18" i="1"/>
  <c r="AQ18" i="1"/>
  <c r="AR18" i="1"/>
  <c r="AS18" i="1"/>
  <c r="AT18" i="1"/>
  <c r="AU18" i="1"/>
  <c r="AV18" i="1"/>
  <c r="AW18" i="1"/>
  <c r="AX18" i="1"/>
  <c r="AO19" i="1"/>
  <c r="AP19" i="1"/>
  <c r="AQ19" i="1"/>
  <c r="AR19" i="1"/>
  <c r="AS19" i="1"/>
  <c r="AT19" i="1"/>
  <c r="AU19" i="1"/>
  <c r="AV19" i="1"/>
  <c r="AW19" i="1"/>
  <c r="AX19" i="1"/>
  <c r="AO20" i="1"/>
  <c r="AP20" i="1"/>
  <c r="AQ20" i="1"/>
  <c r="AR20" i="1"/>
  <c r="AS20" i="1"/>
  <c r="AT20" i="1"/>
  <c r="AU20" i="1"/>
  <c r="AV20" i="1"/>
  <c r="AW20" i="1"/>
  <c r="AX20" i="1"/>
  <c r="AO21" i="1"/>
  <c r="AP21" i="1"/>
  <c r="AQ21" i="1"/>
  <c r="AR21" i="1"/>
  <c r="AS21" i="1"/>
  <c r="AT21" i="1"/>
  <c r="AU21" i="1"/>
  <c r="AV21" i="1"/>
  <c r="AW21" i="1"/>
  <c r="AX21" i="1"/>
  <c r="AO22" i="1"/>
  <c r="AP22" i="1"/>
  <c r="AQ22" i="1"/>
  <c r="AR22" i="1"/>
  <c r="AS22" i="1"/>
  <c r="AT22" i="1"/>
  <c r="AU22" i="1"/>
  <c r="AV22" i="1"/>
  <c r="AW22" i="1"/>
  <c r="AX22" i="1"/>
  <c r="AO23" i="1"/>
  <c r="AP23" i="1"/>
  <c r="AQ23" i="1"/>
  <c r="AR23" i="1"/>
  <c r="AS23" i="1"/>
  <c r="AT23" i="1"/>
  <c r="AU23" i="1"/>
  <c r="AV23" i="1"/>
  <c r="AW23" i="1"/>
  <c r="AX23" i="1"/>
  <c r="AO24" i="1"/>
  <c r="AP24" i="1"/>
  <c r="AQ24" i="1"/>
  <c r="AR24" i="1"/>
  <c r="AS24" i="1"/>
  <c r="AT24" i="1"/>
  <c r="AU24" i="1"/>
  <c r="AV24" i="1"/>
  <c r="AW24" i="1"/>
  <c r="AX24" i="1"/>
  <c r="AO25" i="1"/>
  <c r="AP25" i="1"/>
  <c r="AQ25" i="1"/>
  <c r="AR25" i="1"/>
  <c r="AS25" i="1"/>
  <c r="AT25" i="1"/>
  <c r="AU25" i="1"/>
  <c r="AV25" i="1"/>
  <c r="AW25" i="1"/>
  <c r="AX25" i="1"/>
  <c r="AO26" i="1"/>
  <c r="AP26" i="1"/>
  <c r="AQ26" i="1"/>
  <c r="AR26" i="1"/>
  <c r="AS26" i="1"/>
  <c r="AT26" i="1"/>
  <c r="AU26" i="1"/>
  <c r="AV26" i="1"/>
  <c r="AW26" i="1"/>
  <c r="AX26" i="1"/>
  <c r="AX11" i="1"/>
  <c r="AW11" i="1"/>
  <c r="AV11" i="1"/>
  <c r="AU11" i="1"/>
  <c r="AT11" i="1"/>
  <c r="AS11" i="1"/>
  <c r="AR11" i="1"/>
  <c r="AQ11" i="1"/>
  <c r="AP11" i="1"/>
  <c r="AO11" i="1"/>
  <c r="AG12" i="1"/>
  <c r="AH12" i="1"/>
  <c r="AI12" i="1"/>
  <c r="AJ12" i="1"/>
  <c r="AK12" i="1"/>
  <c r="AL12" i="1"/>
  <c r="AM12" i="1"/>
  <c r="AN12" i="1"/>
  <c r="AG13" i="1"/>
  <c r="AH13" i="1"/>
  <c r="AI13" i="1"/>
  <c r="AJ13" i="1"/>
  <c r="AK13" i="1"/>
  <c r="AL13" i="1"/>
  <c r="AM13" i="1"/>
  <c r="AN13" i="1"/>
  <c r="AG14" i="1"/>
  <c r="AH14" i="1"/>
  <c r="AI14" i="1"/>
  <c r="AJ14" i="1"/>
  <c r="AK14" i="1"/>
  <c r="AL14" i="1"/>
  <c r="AM14" i="1"/>
  <c r="AN14" i="1"/>
  <c r="AG15" i="1"/>
  <c r="AH15" i="1"/>
  <c r="AI15" i="1"/>
  <c r="AJ15" i="1"/>
  <c r="AK15" i="1"/>
  <c r="AL15" i="1"/>
  <c r="AM15" i="1"/>
  <c r="AN15" i="1"/>
  <c r="AG16" i="1"/>
  <c r="AH16" i="1"/>
  <c r="AI16" i="1"/>
  <c r="AJ16" i="1"/>
  <c r="AK16" i="1"/>
  <c r="AL16" i="1"/>
  <c r="AM16" i="1"/>
  <c r="AN16" i="1"/>
  <c r="AG17" i="1"/>
  <c r="AH17" i="1"/>
  <c r="AI17" i="1"/>
  <c r="AJ17" i="1"/>
  <c r="AK17" i="1"/>
  <c r="AL17" i="1"/>
  <c r="AM17" i="1"/>
  <c r="AN17" i="1"/>
  <c r="AG18" i="1"/>
  <c r="AH18" i="1"/>
  <c r="AI18" i="1"/>
  <c r="AJ18" i="1"/>
  <c r="AK18" i="1"/>
  <c r="AL18" i="1"/>
  <c r="AM18" i="1"/>
  <c r="AN18" i="1"/>
  <c r="AG19" i="1"/>
  <c r="AH19" i="1"/>
  <c r="AI19" i="1"/>
  <c r="AJ19" i="1"/>
  <c r="AK19" i="1"/>
  <c r="AL19" i="1"/>
  <c r="AM19" i="1"/>
  <c r="AN19" i="1"/>
  <c r="AG20" i="1"/>
  <c r="AH20" i="1"/>
  <c r="AI20" i="1"/>
  <c r="AJ20" i="1"/>
  <c r="AK20" i="1"/>
  <c r="AL20" i="1"/>
  <c r="AM20" i="1"/>
  <c r="AN20" i="1"/>
  <c r="AG21" i="1"/>
  <c r="AH21" i="1"/>
  <c r="AI21" i="1"/>
  <c r="AJ21" i="1"/>
  <c r="AK21" i="1"/>
  <c r="AL21" i="1"/>
  <c r="AM21" i="1"/>
  <c r="AN21" i="1"/>
  <c r="AG22" i="1"/>
  <c r="AH22" i="1"/>
  <c r="AI22" i="1"/>
  <c r="AJ22" i="1"/>
  <c r="AK22" i="1"/>
  <c r="AL22" i="1"/>
  <c r="AM22" i="1"/>
  <c r="AN22" i="1"/>
  <c r="AG23" i="1"/>
  <c r="AH23" i="1"/>
  <c r="AI23" i="1"/>
  <c r="AJ23" i="1"/>
  <c r="AK23" i="1"/>
  <c r="AL23" i="1"/>
  <c r="AM23" i="1"/>
  <c r="AN23" i="1"/>
  <c r="AG24" i="1"/>
  <c r="AH24" i="1"/>
  <c r="AI24" i="1"/>
  <c r="AJ24" i="1"/>
  <c r="AK24" i="1"/>
  <c r="AL24" i="1"/>
  <c r="AM24" i="1"/>
  <c r="AN24" i="1"/>
  <c r="AG25" i="1"/>
  <c r="AH25" i="1"/>
  <c r="AI25" i="1"/>
  <c r="AJ25" i="1"/>
  <c r="AK25" i="1"/>
  <c r="AL25" i="1"/>
  <c r="AM25" i="1"/>
  <c r="AN25" i="1"/>
  <c r="AG26" i="1"/>
  <c r="AH26" i="1"/>
  <c r="AI26" i="1"/>
  <c r="AJ26" i="1"/>
  <c r="AK26" i="1"/>
  <c r="AL26" i="1"/>
  <c r="AM26" i="1"/>
  <c r="AN26" i="1"/>
  <c r="AN11" i="1"/>
  <c r="AM11" i="1"/>
  <c r="AL11" i="1"/>
  <c r="AK11" i="1"/>
  <c r="AJ11" i="1"/>
  <c r="AI11" i="1"/>
  <c r="AH11" i="1"/>
  <c r="AG11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H26" i="1"/>
  <c r="G26" i="1"/>
  <c r="F26" i="1"/>
  <c r="L26" i="1" s="1"/>
  <c r="E26" i="1"/>
  <c r="D26" i="1"/>
  <c r="C26" i="1"/>
  <c r="B26" i="1"/>
  <c r="A26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H25" i="1"/>
  <c r="G25" i="1"/>
  <c r="F25" i="1"/>
  <c r="L25" i="1" s="1"/>
  <c r="E25" i="1"/>
  <c r="D25" i="1"/>
  <c r="C25" i="1"/>
  <c r="B25" i="1"/>
  <c r="A25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H24" i="1"/>
  <c r="G24" i="1"/>
  <c r="F24" i="1"/>
  <c r="L24" i="1" s="1"/>
  <c r="E24" i="1"/>
  <c r="D24" i="1"/>
  <c r="C24" i="1"/>
  <c r="B24" i="1"/>
  <c r="A24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H23" i="1"/>
  <c r="G23" i="1"/>
  <c r="F23" i="1"/>
  <c r="L23" i="1" s="1"/>
  <c r="E23" i="1"/>
  <c r="D23" i="1"/>
  <c r="C23" i="1"/>
  <c r="B23" i="1"/>
  <c r="A23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H22" i="1"/>
  <c r="G22" i="1"/>
  <c r="F22" i="1"/>
  <c r="K22" i="1" s="1"/>
  <c r="E22" i="1"/>
  <c r="D22" i="1"/>
  <c r="C22" i="1"/>
  <c r="B22" i="1"/>
  <c r="A22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H21" i="1"/>
  <c r="G21" i="1"/>
  <c r="F21" i="1"/>
  <c r="J21" i="1" s="1"/>
  <c r="E21" i="1"/>
  <c r="D21" i="1"/>
  <c r="C21" i="1"/>
  <c r="B21" i="1"/>
  <c r="A21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H20" i="1"/>
  <c r="G20" i="1"/>
  <c r="F20" i="1"/>
  <c r="I20" i="1" s="1"/>
  <c r="E20" i="1"/>
  <c r="D20" i="1"/>
  <c r="C20" i="1"/>
  <c r="B20" i="1"/>
  <c r="A20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H19" i="1"/>
  <c r="G19" i="1"/>
  <c r="F19" i="1"/>
  <c r="J19" i="1" s="1"/>
  <c r="E19" i="1"/>
  <c r="D19" i="1"/>
  <c r="C19" i="1"/>
  <c r="B19" i="1"/>
  <c r="A19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H18" i="1"/>
  <c r="G18" i="1"/>
  <c r="F18" i="1"/>
  <c r="I18" i="1" s="1"/>
  <c r="E18" i="1"/>
  <c r="D18" i="1"/>
  <c r="C18" i="1"/>
  <c r="B18" i="1"/>
  <c r="A18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H17" i="1"/>
  <c r="G17" i="1"/>
  <c r="F17" i="1"/>
  <c r="L17" i="1" s="1"/>
  <c r="E17" i="1"/>
  <c r="D17" i="1"/>
  <c r="C17" i="1"/>
  <c r="B17" i="1"/>
  <c r="A17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H16" i="1"/>
  <c r="G16" i="1"/>
  <c r="F16" i="1"/>
  <c r="J16" i="1" s="1"/>
  <c r="E16" i="1"/>
  <c r="D16" i="1"/>
  <c r="C16" i="1"/>
  <c r="B16" i="1"/>
  <c r="A16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H15" i="1"/>
  <c r="G15" i="1"/>
  <c r="F15" i="1"/>
  <c r="L15" i="1" s="1"/>
  <c r="E15" i="1"/>
  <c r="D15" i="1"/>
  <c r="C15" i="1"/>
  <c r="B15" i="1"/>
  <c r="A15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H14" i="1"/>
  <c r="G14" i="1"/>
  <c r="F14" i="1"/>
  <c r="K14" i="1" s="1"/>
  <c r="E14" i="1"/>
  <c r="D14" i="1"/>
  <c r="C14" i="1"/>
  <c r="B14" i="1"/>
  <c r="A14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H13" i="1"/>
  <c r="G13" i="1"/>
  <c r="F13" i="1"/>
  <c r="J13" i="1" s="1"/>
  <c r="E13" i="1"/>
  <c r="D13" i="1"/>
  <c r="C13" i="1"/>
  <c r="B13" i="1"/>
  <c r="A13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H12" i="1"/>
  <c r="G12" i="1"/>
  <c r="F12" i="1"/>
  <c r="I12" i="1" s="1"/>
  <c r="E12" i="1"/>
  <c r="D12" i="1"/>
  <c r="C12" i="1"/>
  <c r="B12" i="1"/>
  <c r="A12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H11" i="1"/>
  <c r="G11" i="1"/>
  <c r="F11" i="1"/>
  <c r="L11" i="1" s="1"/>
  <c r="E11" i="1"/>
  <c r="D11" i="1"/>
  <c r="C11" i="1"/>
  <c r="B11" i="1"/>
  <c r="A11" i="1"/>
  <c r="L23" i="5"/>
  <c r="J11" i="5"/>
  <c r="BB12" i="5"/>
  <c r="BC12" i="5"/>
  <c r="BB13" i="5"/>
  <c r="BC13" i="5"/>
  <c r="BB14" i="5"/>
  <c r="BC14" i="5"/>
  <c r="BB15" i="5"/>
  <c r="BC15" i="5"/>
  <c r="BB16" i="5"/>
  <c r="BC16" i="5"/>
  <c r="BB17" i="5"/>
  <c r="BC17" i="5"/>
  <c r="BB18" i="5"/>
  <c r="BC18" i="5"/>
  <c r="BB19" i="5"/>
  <c r="BC19" i="5"/>
  <c r="BB20" i="5"/>
  <c r="BC20" i="5"/>
  <c r="BB21" i="5"/>
  <c r="BC21" i="5"/>
  <c r="BB22" i="5"/>
  <c r="BC22" i="5"/>
  <c r="BB23" i="5"/>
  <c r="BC23" i="5"/>
  <c r="BB24" i="5"/>
  <c r="BC24" i="5"/>
  <c r="BB25" i="5"/>
  <c r="BC25" i="5"/>
  <c r="BB26" i="5"/>
  <c r="BC26" i="5"/>
  <c r="BC11" i="5"/>
  <c r="BB11" i="5"/>
  <c r="BA12" i="5"/>
  <c r="BA13" i="5"/>
  <c r="BA14" i="5"/>
  <c r="BA15" i="5"/>
  <c r="BA16" i="5"/>
  <c r="BA17" i="5"/>
  <c r="BA18" i="5"/>
  <c r="BA19" i="5"/>
  <c r="BA20" i="5"/>
  <c r="BA21" i="5"/>
  <c r="BA22" i="5"/>
  <c r="BA23" i="5"/>
  <c r="BA24" i="5"/>
  <c r="BA25" i="5"/>
  <c r="BA26" i="5"/>
  <c r="BA11" i="5"/>
  <c r="AU30" i="5"/>
  <c r="AU29" i="5"/>
  <c r="AU28" i="5"/>
  <c r="AU27" i="5"/>
  <c r="A26" i="5"/>
  <c r="AI26" i="5" s="1"/>
  <c r="B26" i="5"/>
  <c r="C26" i="5"/>
  <c r="D26" i="5"/>
  <c r="E26" i="5"/>
  <c r="F26" i="5"/>
  <c r="I26" i="5" s="1"/>
  <c r="G26" i="5"/>
  <c r="H26" i="5"/>
  <c r="M26" i="5"/>
  <c r="N26" i="5"/>
  <c r="O26" i="5"/>
  <c r="P26" i="5"/>
  <c r="Q26" i="5"/>
  <c r="R26" i="5"/>
  <c r="S26" i="5"/>
  <c r="T26" i="5"/>
  <c r="U26" i="5"/>
  <c r="V26" i="5"/>
  <c r="W26" i="5"/>
  <c r="X26" i="5"/>
  <c r="Y26" i="5"/>
  <c r="Z26" i="5"/>
  <c r="AA26" i="5"/>
  <c r="AB26" i="5"/>
  <c r="AC26" i="5"/>
  <c r="AD26" i="5"/>
  <c r="AE26" i="5"/>
  <c r="A12" i="5"/>
  <c r="AI12" i="5" s="1"/>
  <c r="B12" i="5"/>
  <c r="C12" i="5"/>
  <c r="D12" i="5"/>
  <c r="E12" i="5"/>
  <c r="F12" i="5"/>
  <c r="AG12" i="5" s="1"/>
  <c r="G12" i="5"/>
  <c r="H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AA12" i="5"/>
  <c r="AB12" i="5"/>
  <c r="AC12" i="5"/>
  <c r="AD12" i="5"/>
  <c r="AE12" i="5"/>
  <c r="A13" i="5"/>
  <c r="AI13" i="5" s="1"/>
  <c r="B13" i="5"/>
  <c r="C13" i="5"/>
  <c r="D13" i="5"/>
  <c r="E13" i="5"/>
  <c r="F13" i="5"/>
  <c r="I13" i="5" s="1"/>
  <c r="G13" i="5"/>
  <c r="H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A14" i="5"/>
  <c r="AI14" i="5" s="1"/>
  <c r="B14" i="5"/>
  <c r="C14" i="5"/>
  <c r="D14" i="5"/>
  <c r="E14" i="5"/>
  <c r="F14" i="5"/>
  <c r="I14" i="5" s="1"/>
  <c r="G14" i="5"/>
  <c r="H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B14" i="5"/>
  <c r="AC14" i="5"/>
  <c r="AD14" i="5"/>
  <c r="AE14" i="5"/>
  <c r="A15" i="5"/>
  <c r="AI15" i="5" s="1"/>
  <c r="B15" i="5"/>
  <c r="C15" i="5"/>
  <c r="D15" i="5"/>
  <c r="E15" i="5"/>
  <c r="F15" i="5"/>
  <c r="I15" i="5" s="1"/>
  <c r="G15" i="5"/>
  <c r="H15" i="5"/>
  <c r="M15" i="5"/>
  <c r="N15" i="5"/>
  <c r="O15" i="5"/>
  <c r="P15" i="5"/>
  <c r="Q15" i="5"/>
  <c r="R15" i="5"/>
  <c r="S15" i="5"/>
  <c r="T15" i="5"/>
  <c r="U15" i="5"/>
  <c r="V15" i="5"/>
  <c r="W15" i="5"/>
  <c r="X15" i="5"/>
  <c r="Y15" i="5"/>
  <c r="Z15" i="5"/>
  <c r="AA15" i="5"/>
  <c r="AB15" i="5"/>
  <c r="AC15" i="5"/>
  <c r="AD15" i="5"/>
  <c r="AE15" i="5"/>
  <c r="A16" i="5"/>
  <c r="AI16" i="5" s="1"/>
  <c r="B16" i="5"/>
  <c r="C16" i="5"/>
  <c r="D16" i="5"/>
  <c r="E16" i="5"/>
  <c r="F16" i="5"/>
  <c r="I16" i="5" s="1"/>
  <c r="G16" i="5"/>
  <c r="H16" i="5"/>
  <c r="M16" i="5"/>
  <c r="N16" i="5"/>
  <c r="O16" i="5"/>
  <c r="P16" i="5"/>
  <c r="Q16" i="5"/>
  <c r="R16" i="5"/>
  <c r="S16" i="5"/>
  <c r="T16" i="5"/>
  <c r="U16" i="5"/>
  <c r="V16" i="5"/>
  <c r="W16" i="5"/>
  <c r="X16" i="5"/>
  <c r="Y16" i="5"/>
  <c r="Z16" i="5"/>
  <c r="AA16" i="5"/>
  <c r="AB16" i="5"/>
  <c r="AC16" i="5"/>
  <c r="AD16" i="5"/>
  <c r="AE16" i="5"/>
  <c r="A17" i="5"/>
  <c r="AI17" i="5" s="1"/>
  <c r="B17" i="5"/>
  <c r="C17" i="5"/>
  <c r="D17" i="5"/>
  <c r="E17" i="5"/>
  <c r="F17" i="5"/>
  <c r="L17" i="5" s="1"/>
  <c r="G17" i="5"/>
  <c r="H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18" i="5"/>
  <c r="AI18" i="5" s="1"/>
  <c r="B18" i="5"/>
  <c r="C18" i="5"/>
  <c r="D18" i="5"/>
  <c r="E18" i="5"/>
  <c r="F18" i="5"/>
  <c r="I18" i="5" s="1"/>
  <c r="G18" i="5"/>
  <c r="H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19" i="5"/>
  <c r="AK19" i="5" s="1"/>
  <c r="B19" i="5"/>
  <c r="C19" i="5"/>
  <c r="D19" i="5"/>
  <c r="E19" i="5"/>
  <c r="F19" i="5"/>
  <c r="J19" i="5" s="1"/>
  <c r="G19" i="5"/>
  <c r="H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20" i="5"/>
  <c r="AI20" i="5" s="1"/>
  <c r="B20" i="5"/>
  <c r="C20" i="5"/>
  <c r="D20" i="5"/>
  <c r="E20" i="5"/>
  <c r="F20" i="5"/>
  <c r="I20" i="5" s="1"/>
  <c r="G20" i="5"/>
  <c r="H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21" i="5"/>
  <c r="AI21" i="5" s="1"/>
  <c r="B21" i="5"/>
  <c r="C21" i="5"/>
  <c r="D21" i="5"/>
  <c r="E21" i="5"/>
  <c r="F21" i="5"/>
  <c r="K21" i="5" s="1"/>
  <c r="G21" i="5"/>
  <c r="H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22" i="5"/>
  <c r="AI22" i="5" s="1"/>
  <c r="B22" i="5"/>
  <c r="C22" i="5"/>
  <c r="D22" i="5"/>
  <c r="E22" i="5"/>
  <c r="F22" i="5"/>
  <c r="I22" i="5" s="1"/>
  <c r="G22" i="5"/>
  <c r="H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AB22" i="5"/>
  <c r="AC22" i="5"/>
  <c r="AD22" i="5"/>
  <c r="AE22" i="5"/>
  <c r="A23" i="5"/>
  <c r="AI23" i="5" s="1"/>
  <c r="B23" i="5"/>
  <c r="C23" i="5"/>
  <c r="D23" i="5"/>
  <c r="E23" i="5"/>
  <c r="F23" i="5"/>
  <c r="I23" i="5" s="1"/>
  <c r="G23" i="5"/>
  <c r="H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AB23" i="5"/>
  <c r="AC23" i="5"/>
  <c r="AD23" i="5"/>
  <c r="AE23" i="5"/>
  <c r="A24" i="5"/>
  <c r="AI24" i="5" s="1"/>
  <c r="B24" i="5"/>
  <c r="C24" i="5"/>
  <c r="D24" i="5"/>
  <c r="E24" i="5"/>
  <c r="F24" i="5"/>
  <c r="I24" i="5" s="1"/>
  <c r="G24" i="5"/>
  <c r="H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AA24" i="5"/>
  <c r="AB24" i="5"/>
  <c r="AC24" i="5"/>
  <c r="AD24" i="5"/>
  <c r="AE24" i="5"/>
  <c r="A25" i="5"/>
  <c r="AK25" i="5" s="1"/>
  <c r="B25" i="5"/>
  <c r="C25" i="5"/>
  <c r="D25" i="5"/>
  <c r="E25" i="5"/>
  <c r="F25" i="5"/>
  <c r="I25" i="5" s="1"/>
  <c r="G25" i="5"/>
  <c r="H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AB25" i="5"/>
  <c r="AC25" i="5"/>
  <c r="AD25" i="5"/>
  <c r="AE25" i="5"/>
  <c r="BA27" i="5"/>
  <c r="B11" i="5"/>
  <c r="C11" i="5"/>
  <c r="D11" i="5"/>
  <c r="E11" i="5"/>
  <c r="F11" i="5"/>
  <c r="G11" i="5"/>
  <c r="H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AB11" i="5"/>
  <c r="AC11" i="5"/>
  <c r="AD11" i="5"/>
  <c r="AE11" i="5"/>
  <c r="A11" i="5"/>
  <c r="AI11" i="5" s="1"/>
  <c r="I37" i="3"/>
  <c r="J37" i="3"/>
  <c r="K37" i="3"/>
  <c r="I38" i="3"/>
  <c r="J38" i="3"/>
  <c r="K38" i="3"/>
  <c r="I39" i="3"/>
  <c r="J39" i="3"/>
  <c r="K39" i="3"/>
  <c r="I40" i="3"/>
  <c r="J40" i="3"/>
  <c r="K40" i="3"/>
  <c r="I42" i="3"/>
  <c r="J42" i="3"/>
  <c r="K42" i="3"/>
  <c r="I43" i="3"/>
  <c r="J43" i="3"/>
  <c r="K43" i="3"/>
  <c r="I44" i="3"/>
  <c r="J44" i="3"/>
  <c r="K44" i="3"/>
  <c r="I45" i="3"/>
  <c r="J45" i="3"/>
  <c r="K45" i="3"/>
  <c r="I47" i="3"/>
  <c r="J47" i="3"/>
  <c r="K47" i="3"/>
  <c r="I48" i="3"/>
  <c r="J48" i="3"/>
  <c r="K48" i="3"/>
  <c r="I49" i="3"/>
  <c r="J49" i="3"/>
  <c r="K49" i="3"/>
  <c r="I50" i="3"/>
  <c r="J50" i="3"/>
  <c r="K50" i="3"/>
  <c r="I52" i="3"/>
  <c r="J52" i="3"/>
  <c r="K52" i="3"/>
  <c r="I53" i="3"/>
  <c r="J53" i="3"/>
  <c r="K53" i="3"/>
  <c r="I54" i="3"/>
  <c r="J54" i="3"/>
  <c r="K54" i="3"/>
  <c r="I55" i="3"/>
  <c r="J55" i="3"/>
  <c r="K55" i="3"/>
  <c r="I57" i="3"/>
  <c r="J57" i="3"/>
  <c r="K57" i="3"/>
  <c r="I58" i="3"/>
  <c r="J58" i="3"/>
  <c r="K58" i="3"/>
  <c r="I59" i="3"/>
  <c r="J59" i="3"/>
  <c r="K59" i="3"/>
  <c r="I60" i="3"/>
  <c r="J60" i="3"/>
  <c r="K60" i="3"/>
  <c r="E21" i="7"/>
  <c r="AC21" i="7" s="1"/>
  <c r="AI28" i="7"/>
  <c r="AI29" i="7"/>
  <c r="AI31" i="7"/>
  <c r="AH27" i="7"/>
  <c r="AH28" i="7"/>
  <c r="AH29" i="7"/>
  <c r="AH30" i="7"/>
  <c r="AH22" i="7"/>
  <c r="AH23" i="7"/>
  <c r="AH24" i="7"/>
  <c r="AH25" i="7"/>
  <c r="AH17" i="7"/>
  <c r="AH18" i="7"/>
  <c r="AH19" i="7"/>
  <c r="AH20" i="7"/>
  <c r="AH12" i="7"/>
  <c r="AH13" i="7"/>
  <c r="AH14" i="7"/>
  <c r="AH15" i="7"/>
  <c r="AG12" i="7"/>
  <c r="AG13" i="7"/>
  <c r="AG14" i="7"/>
  <c r="AG15" i="7"/>
  <c r="AG17" i="7"/>
  <c r="AG18" i="7"/>
  <c r="AG19" i="7"/>
  <c r="AG20" i="7"/>
  <c r="AG22" i="7"/>
  <c r="AG23" i="7"/>
  <c r="AG24" i="7"/>
  <c r="AG25" i="7"/>
  <c r="AG27" i="7"/>
  <c r="AG28" i="7"/>
  <c r="AG29" i="7"/>
  <c r="AG30" i="7"/>
  <c r="AB30" i="7"/>
  <c r="Z30" i="7"/>
  <c r="Y30" i="7"/>
  <c r="U30" i="7"/>
  <c r="T30" i="7"/>
  <c r="S30" i="7"/>
  <c r="R30" i="7"/>
  <c r="H30" i="7"/>
  <c r="G30" i="7"/>
  <c r="F30" i="7"/>
  <c r="Q30" i="7" s="1"/>
  <c r="E30" i="7"/>
  <c r="AD30" i="7" s="1"/>
  <c r="D30" i="7"/>
  <c r="C30" i="7"/>
  <c r="B30" i="7"/>
  <c r="A30" i="7"/>
  <c r="Z29" i="7"/>
  <c r="U29" i="7"/>
  <c r="T29" i="7"/>
  <c r="S29" i="7"/>
  <c r="R29" i="7"/>
  <c r="H29" i="7"/>
  <c r="G29" i="7"/>
  <c r="F29" i="7"/>
  <c r="X29" i="7" s="1"/>
  <c r="E29" i="7"/>
  <c r="AC29" i="7" s="1"/>
  <c r="D29" i="7"/>
  <c r="C29" i="7"/>
  <c r="B29" i="7"/>
  <c r="A29" i="7"/>
  <c r="U28" i="7"/>
  <c r="T28" i="7"/>
  <c r="S28" i="7"/>
  <c r="R28" i="7"/>
  <c r="H28" i="7"/>
  <c r="G28" i="7"/>
  <c r="F28" i="7"/>
  <c r="V28" i="7" s="1"/>
  <c r="E28" i="7"/>
  <c r="AC28" i="7" s="1"/>
  <c r="D28" i="7"/>
  <c r="C28" i="7"/>
  <c r="B28" i="7"/>
  <c r="A28" i="7"/>
  <c r="U27" i="7"/>
  <c r="T27" i="7"/>
  <c r="S27" i="7"/>
  <c r="R27" i="7"/>
  <c r="H27" i="7"/>
  <c r="G27" i="7"/>
  <c r="F27" i="7"/>
  <c r="AA27" i="7" s="1"/>
  <c r="E27" i="7"/>
  <c r="AC27" i="7" s="1"/>
  <c r="D27" i="7"/>
  <c r="C27" i="7"/>
  <c r="B27" i="7"/>
  <c r="A27" i="7"/>
  <c r="U26" i="7"/>
  <c r="T26" i="7"/>
  <c r="S26" i="7"/>
  <c r="R26" i="7"/>
  <c r="H26" i="7"/>
  <c r="G26" i="7"/>
  <c r="F26" i="7"/>
  <c r="Q26" i="7" s="1"/>
  <c r="E26" i="7"/>
  <c r="AD26" i="7" s="1"/>
  <c r="D26" i="7"/>
  <c r="C26" i="7"/>
  <c r="B26" i="7"/>
  <c r="A26" i="7"/>
  <c r="AB25" i="7"/>
  <c r="Z25" i="7"/>
  <c r="Y25" i="7"/>
  <c r="U25" i="7"/>
  <c r="T25" i="7"/>
  <c r="S25" i="7"/>
  <c r="R25" i="7"/>
  <c r="H25" i="7"/>
  <c r="G25" i="7"/>
  <c r="F25" i="7"/>
  <c r="X25" i="7" s="1"/>
  <c r="E25" i="7"/>
  <c r="AC25" i="7" s="1"/>
  <c r="D25" i="7"/>
  <c r="C25" i="7"/>
  <c r="B25" i="7"/>
  <c r="A25" i="7"/>
  <c r="Z24" i="7"/>
  <c r="U24" i="7"/>
  <c r="T24" i="7"/>
  <c r="S24" i="7"/>
  <c r="R24" i="7"/>
  <c r="H24" i="7"/>
  <c r="G24" i="7"/>
  <c r="F24" i="7"/>
  <c r="V24" i="7" s="1"/>
  <c r="E24" i="7"/>
  <c r="AC24" i="7" s="1"/>
  <c r="D24" i="7"/>
  <c r="C24" i="7"/>
  <c r="B24" i="7"/>
  <c r="A24" i="7"/>
  <c r="U23" i="7"/>
  <c r="T23" i="7"/>
  <c r="S23" i="7"/>
  <c r="R23" i="7"/>
  <c r="H23" i="7"/>
  <c r="G23" i="7"/>
  <c r="F23" i="7"/>
  <c r="AA23" i="7" s="1"/>
  <c r="E23" i="7"/>
  <c r="AC23" i="7" s="1"/>
  <c r="D23" i="7"/>
  <c r="C23" i="7"/>
  <c r="B23" i="7"/>
  <c r="A23" i="7"/>
  <c r="U22" i="7"/>
  <c r="T22" i="7"/>
  <c r="S22" i="7"/>
  <c r="R22" i="7"/>
  <c r="H22" i="7"/>
  <c r="G22" i="7"/>
  <c r="F22" i="7"/>
  <c r="X22" i="7" s="1"/>
  <c r="E22" i="7"/>
  <c r="AC22" i="7" s="1"/>
  <c r="D22" i="7"/>
  <c r="C22" i="7"/>
  <c r="B22" i="7"/>
  <c r="A22" i="7"/>
  <c r="U21" i="7"/>
  <c r="T21" i="7"/>
  <c r="S21" i="7"/>
  <c r="R21" i="7"/>
  <c r="H21" i="7"/>
  <c r="G21" i="7"/>
  <c r="F21" i="7"/>
  <c r="AE21" i="7" s="1"/>
  <c r="D21" i="7"/>
  <c r="C21" i="7"/>
  <c r="B21" i="7"/>
  <c r="A21" i="7"/>
  <c r="AB20" i="7"/>
  <c r="Z20" i="7"/>
  <c r="Y20" i="7"/>
  <c r="U20" i="7"/>
  <c r="T20" i="7"/>
  <c r="S20" i="7"/>
  <c r="R20" i="7"/>
  <c r="H20" i="7"/>
  <c r="G20" i="7"/>
  <c r="F20" i="7"/>
  <c r="V20" i="7" s="1"/>
  <c r="E20" i="7"/>
  <c r="AC20" i="7" s="1"/>
  <c r="D20" i="7"/>
  <c r="C20" i="7"/>
  <c r="B20" i="7"/>
  <c r="A20" i="7"/>
  <c r="Z19" i="7"/>
  <c r="U19" i="7"/>
  <c r="T19" i="7"/>
  <c r="S19" i="7"/>
  <c r="R19" i="7"/>
  <c r="H19" i="7"/>
  <c r="G19" i="7"/>
  <c r="F19" i="7"/>
  <c r="Q19" i="7" s="1"/>
  <c r="E19" i="7"/>
  <c r="AC19" i="7" s="1"/>
  <c r="D19" i="7"/>
  <c r="C19" i="7"/>
  <c r="B19" i="7"/>
  <c r="A19" i="7"/>
  <c r="U18" i="7"/>
  <c r="T18" i="7"/>
  <c r="S18" i="7"/>
  <c r="R18" i="7"/>
  <c r="H18" i="7"/>
  <c r="G18" i="7"/>
  <c r="F18" i="7"/>
  <c r="X18" i="7" s="1"/>
  <c r="E18" i="7"/>
  <c r="AC18" i="7" s="1"/>
  <c r="D18" i="7"/>
  <c r="C18" i="7"/>
  <c r="B18" i="7"/>
  <c r="A18" i="7"/>
  <c r="U17" i="7"/>
  <c r="T17" i="7"/>
  <c r="S17" i="7"/>
  <c r="R17" i="7"/>
  <c r="H17" i="7"/>
  <c r="G17" i="7"/>
  <c r="F17" i="7"/>
  <c r="X17" i="7" s="1"/>
  <c r="E17" i="7"/>
  <c r="AC17" i="7" s="1"/>
  <c r="D17" i="7"/>
  <c r="C17" i="7"/>
  <c r="B17" i="7"/>
  <c r="A17" i="7"/>
  <c r="U16" i="7"/>
  <c r="T16" i="7"/>
  <c r="S16" i="7"/>
  <c r="R16" i="7"/>
  <c r="H16" i="7"/>
  <c r="G16" i="7"/>
  <c r="F16" i="7"/>
  <c r="AC16" i="7"/>
  <c r="D16" i="7"/>
  <c r="C16" i="7"/>
  <c r="B16" i="7"/>
  <c r="A16" i="7"/>
  <c r="AB15" i="7"/>
  <c r="Z15" i="7"/>
  <c r="Y15" i="7"/>
  <c r="U15" i="7"/>
  <c r="T15" i="7"/>
  <c r="S15" i="7"/>
  <c r="R15" i="7"/>
  <c r="H15" i="7"/>
  <c r="G15" i="7"/>
  <c r="F15" i="7"/>
  <c r="AA15" i="7" s="1"/>
  <c r="E15" i="7"/>
  <c r="AC15" i="7" s="1"/>
  <c r="D15" i="7"/>
  <c r="C15" i="7"/>
  <c r="B15" i="7"/>
  <c r="A15" i="7"/>
  <c r="Z14" i="7"/>
  <c r="U14" i="7"/>
  <c r="T14" i="7"/>
  <c r="S14" i="7"/>
  <c r="R14" i="7"/>
  <c r="H14" i="7"/>
  <c r="G14" i="7"/>
  <c r="F14" i="7"/>
  <c r="X14" i="7" s="1"/>
  <c r="E14" i="7"/>
  <c r="AC14" i="7" s="1"/>
  <c r="D14" i="7"/>
  <c r="C14" i="7"/>
  <c r="B14" i="7"/>
  <c r="A14" i="7"/>
  <c r="U13" i="7"/>
  <c r="T13" i="7"/>
  <c r="S13" i="7"/>
  <c r="R13" i="7"/>
  <c r="H13" i="7"/>
  <c r="G13" i="7"/>
  <c r="F13" i="7"/>
  <c r="X13" i="7" s="1"/>
  <c r="E13" i="7"/>
  <c r="AC13" i="7" s="1"/>
  <c r="D13" i="7"/>
  <c r="C13" i="7"/>
  <c r="B13" i="7"/>
  <c r="A13" i="7"/>
  <c r="U12" i="7"/>
  <c r="T12" i="7"/>
  <c r="S12" i="7"/>
  <c r="R12" i="7"/>
  <c r="H12" i="7"/>
  <c r="G12" i="7"/>
  <c r="F12" i="7"/>
  <c r="V12" i="7" s="1"/>
  <c r="E12" i="7"/>
  <c r="AC12" i="7" s="1"/>
  <c r="D12" i="7"/>
  <c r="C12" i="7"/>
  <c r="B12" i="7"/>
  <c r="A12" i="7"/>
  <c r="U11" i="7"/>
  <c r="T11" i="7"/>
  <c r="S11" i="7"/>
  <c r="R11" i="7"/>
  <c r="H11" i="7"/>
  <c r="G11" i="7"/>
  <c r="F11" i="7"/>
  <c r="I11" i="7" s="1"/>
  <c r="E11" i="7"/>
  <c r="AC11" i="7" s="1"/>
  <c r="D11" i="7"/>
  <c r="C11" i="7"/>
  <c r="B11" i="7"/>
  <c r="A11" i="7"/>
  <c r="BT30" i="6"/>
  <c r="BS30" i="6"/>
  <c r="BX30" i="6"/>
  <c r="BX29" i="6"/>
  <c r="BX28" i="6"/>
  <c r="BX27" i="6"/>
  <c r="BO16" i="1"/>
  <c r="BO17" i="1"/>
  <c r="BO18" i="1"/>
  <c r="BO24" i="1"/>
  <c r="BO25" i="1"/>
  <c r="BO26" i="1"/>
  <c r="J2" i="2"/>
  <c r="BO12" i="1" s="1"/>
  <c r="BA30" i="5"/>
  <c r="BA29" i="5"/>
  <c r="BA28" i="5"/>
  <c r="AG18" i="5"/>
  <c r="I21" i="6" l="1"/>
  <c r="I22" i="6"/>
  <c r="K21" i="6"/>
  <c r="J21" i="6"/>
  <c r="AF22" i="6"/>
  <c r="L26" i="6"/>
  <c r="L12" i="6"/>
  <c r="BT20" i="6"/>
  <c r="K20" i="6"/>
  <c r="AF12" i="6"/>
  <c r="L20" i="6"/>
  <c r="BS20" i="6" s="1"/>
  <c r="J11" i="6"/>
  <c r="AY11" i="6" s="1"/>
  <c r="AZ11" i="6" s="1"/>
  <c r="BA11" i="6" s="1"/>
  <c r="I12" i="6"/>
  <c r="K11" i="6"/>
  <c r="J12" i="6"/>
  <c r="L11" i="6"/>
  <c r="AF14" i="6"/>
  <c r="AF15" i="6"/>
  <c r="I13" i="6"/>
  <c r="I14" i="6"/>
  <c r="AY14" i="6" s="1"/>
  <c r="L15" i="6"/>
  <c r="BS15" i="6" s="1"/>
  <c r="J13" i="6"/>
  <c r="BT15" i="6"/>
  <c r="J18" i="6"/>
  <c r="AY18" i="6" s="1"/>
  <c r="J19" i="6"/>
  <c r="AF20" i="6"/>
  <c r="BT25" i="6"/>
  <c r="I19" i="6"/>
  <c r="AF11" i="6"/>
  <c r="K13" i="6"/>
  <c r="L18" i="6"/>
  <c r="K19" i="6"/>
  <c r="AY26" i="6"/>
  <c r="I15" i="6"/>
  <c r="AF19" i="6"/>
  <c r="AF23" i="6"/>
  <c r="J20" i="6"/>
  <c r="AY20" i="6" s="1"/>
  <c r="AZ20" i="6" s="1"/>
  <c r="BA20" i="6" s="1"/>
  <c r="I23" i="6"/>
  <c r="L16" i="6"/>
  <c r="K17" i="6"/>
  <c r="L24" i="6"/>
  <c r="K25" i="6"/>
  <c r="AF13" i="6"/>
  <c r="L17" i="6"/>
  <c r="K18" i="6"/>
  <c r="AF21" i="6"/>
  <c r="L25" i="6"/>
  <c r="BS25" i="6" s="1"/>
  <c r="K26" i="6"/>
  <c r="AZ26" i="6" s="1"/>
  <c r="BA26" i="6" s="1"/>
  <c r="J22" i="6"/>
  <c r="AY22" i="6" s="1"/>
  <c r="AZ22" i="6" s="1"/>
  <c r="BA22" i="6" s="1"/>
  <c r="AF24" i="6"/>
  <c r="K14" i="6"/>
  <c r="J15" i="6"/>
  <c r="I16" i="6"/>
  <c r="AF17" i="6"/>
  <c r="K22" i="6"/>
  <c r="J23" i="6"/>
  <c r="I24" i="6"/>
  <c r="AF25" i="6"/>
  <c r="AF16" i="6"/>
  <c r="L14" i="6"/>
  <c r="J16" i="6"/>
  <c r="I17" i="6"/>
  <c r="AY17" i="6" s="1"/>
  <c r="AF18" i="6"/>
  <c r="J24" i="6"/>
  <c r="I25" i="6"/>
  <c r="AY25" i="6" s="1"/>
  <c r="AF26" i="6"/>
  <c r="I25" i="1"/>
  <c r="J26" i="1"/>
  <c r="J25" i="1"/>
  <c r="I26" i="1"/>
  <c r="AY26" i="1" s="1"/>
  <c r="K25" i="1"/>
  <c r="K26" i="1"/>
  <c r="L22" i="1"/>
  <c r="K18" i="1"/>
  <c r="I17" i="1"/>
  <c r="J17" i="1"/>
  <c r="K17" i="1"/>
  <c r="K19" i="1"/>
  <c r="L18" i="1"/>
  <c r="K13" i="1"/>
  <c r="L13" i="1"/>
  <c r="L19" i="1"/>
  <c r="J18" i="1"/>
  <c r="AY18" i="1" s="1"/>
  <c r="J12" i="1"/>
  <c r="AY12" i="1" s="1"/>
  <c r="K21" i="1"/>
  <c r="I11" i="1"/>
  <c r="K12" i="1"/>
  <c r="L21" i="1"/>
  <c r="J11" i="1"/>
  <c r="L12" i="1"/>
  <c r="J20" i="1"/>
  <c r="AY20" i="1" s="1"/>
  <c r="K11" i="1"/>
  <c r="L14" i="1"/>
  <c r="I19" i="1"/>
  <c r="AY19" i="1" s="1"/>
  <c r="AZ19" i="1" s="1"/>
  <c r="BA19" i="1" s="1"/>
  <c r="K20" i="1"/>
  <c r="L20" i="1"/>
  <c r="I16" i="1"/>
  <c r="AY16" i="1" s="1"/>
  <c r="I24" i="1"/>
  <c r="J24" i="1"/>
  <c r="I15" i="1"/>
  <c r="I23" i="1"/>
  <c r="I14" i="1"/>
  <c r="J15" i="1"/>
  <c r="K16" i="1"/>
  <c r="I22" i="1"/>
  <c r="J23" i="1"/>
  <c r="K24" i="1"/>
  <c r="I13" i="1"/>
  <c r="AY13" i="1" s="1"/>
  <c r="J14" i="1"/>
  <c r="K15" i="1"/>
  <c r="L16" i="1"/>
  <c r="I21" i="1"/>
  <c r="AY21" i="1" s="1"/>
  <c r="J22" i="1"/>
  <c r="K23" i="1"/>
  <c r="AF14" i="5"/>
  <c r="J21" i="5"/>
  <c r="L19" i="5"/>
  <c r="L25" i="5"/>
  <c r="K19" i="5"/>
  <c r="L13" i="5"/>
  <c r="I21" i="5"/>
  <c r="J13" i="5"/>
  <c r="AF13" i="5" s="1"/>
  <c r="J23" i="5"/>
  <c r="AF23" i="5" s="1"/>
  <c r="L15" i="5"/>
  <c r="K13" i="5"/>
  <c r="K23" i="5"/>
  <c r="I11" i="5"/>
  <c r="AF11" i="5" s="1"/>
  <c r="K15" i="5"/>
  <c r="L11" i="5"/>
  <c r="L21" i="5"/>
  <c r="J15" i="5"/>
  <c r="AF15" i="5" s="1"/>
  <c r="K11" i="5"/>
  <c r="K25" i="5"/>
  <c r="J25" i="5"/>
  <c r="J17" i="5"/>
  <c r="L26" i="5"/>
  <c r="L24" i="5"/>
  <c r="L22" i="5"/>
  <c r="L20" i="5"/>
  <c r="L18" i="5"/>
  <c r="L16" i="5"/>
  <c r="L14" i="5"/>
  <c r="L12" i="5"/>
  <c r="K17" i="5"/>
  <c r="I17" i="5"/>
  <c r="K26" i="5"/>
  <c r="K24" i="5"/>
  <c r="K22" i="5"/>
  <c r="K20" i="5"/>
  <c r="K18" i="5"/>
  <c r="K16" i="5"/>
  <c r="K14" i="5"/>
  <c r="K12" i="5"/>
  <c r="I19" i="5"/>
  <c r="J26" i="5"/>
  <c r="J24" i="5"/>
  <c r="AF24" i="5" s="1"/>
  <c r="J22" i="5"/>
  <c r="J20" i="5"/>
  <c r="AF20" i="5" s="1"/>
  <c r="J18" i="5"/>
  <c r="AF18" i="5" s="1"/>
  <c r="J16" i="5"/>
  <c r="J14" i="5"/>
  <c r="J12" i="5"/>
  <c r="I12" i="5"/>
  <c r="AF12" i="5" s="1"/>
  <c r="AW16" i="5"/>
  <c r="AW12" i="5"/>
  <c r="AY20" i="5"/>
  <c r="AY24" i="5"/>
  <c r="AV20" i="5"/>
  <c r="AY16" i="5"/>
  <c r="AV12" i="5"/>
  <c r="AY12" i="5"/>
  <c r="AW24" i="5"/>
  <c r="AL20" i="5"/>
  <c r="AW20" i="5"/>
  <c r="AL12" i="5"/>
  <c r="AV11" i="5"/>
  <c r="AV19" i="5"/>
  <c r="AW11" i="5"/>
  <c r="AX23" i="5"/>
  <c r="AX19" i="5"/>
  <c r="AX15" i="5"/>
  <c r="AY11" i="5"/>
  <c r="AZ23" i="5"/>
  <c r="AZ19" i="5"/>
  <c r="AZ15" i="5"/>
  <c r="AL11" i="5"/>
  <c r="AL19" i="5"/>
  <c r="AV26" i="5"/>
  <c r="AV18" i="5"/>
  <c r="AX11" i="5"/>
  <c r="AW23" i="5"/>
  <c r="AW19" i="5"/>
  <c r="AW15" i="5"/>
  <c r="AZ11" i="5"/>
  <c r="AY23" i="5"/>
  <c r="AY19" i="5"/>
  <c r="AY15" i="5"/>
  <c r="AL26" i="5"/>
  <c r="AL18" i="5"/>
  <c r="AV25" i="5"/>
  <c r="AV17" i="5"/>
  <c r="AX26" i="5"/>
  <c r="AX22" i="5"/>
  <c r="AX18" i="5"/>
  <c r="AX14" i="5"/>
  <c r="AZ26" i="5"/>
  <c r="AZ22" i="5"/>
  <c r="AZ18" i="5"/>
  <c r="AZ14" i="5"/>
  <c r="AL25" i="5"/>
  <c r="AL17" i="5"/>
  <c r="AV24" i="5"/>
  <c r="AV16" i="5"/>
  <c r="AW26" i="5"/>
  <c r="AW22" i="5"/>
  <c r="AW18" i="5"/>
  <c r="AW14" i="5"/>
  <c r="AY26" i="5"/>
  <c r="AY22" i="5"/>
  <c r="AY18" i="5"/>
  <c r="AY14" i="5"/>
  <c r="AL24" i="5"/>
  <c r="AL16" i="5"/>
  <c r="AV23" i="5"/>
  <c r="AV15" i="5"/>
  <c r="AX25" i="5"/>
  <c r="AX21" i="5"/>
  <c r="AX17" i="5"/>
  <c r="AX13" i="5"/>
  <c r="AZ25" i="5"/>
  <c r="AZ21" i="5"/>
  <c r="AZ17" i="5"/>
  <c r="AZ13" i="5"/>
  <c r="AL23" i="5"/>
  <c r="AL15" i="5"/>
  <c r="AV22" i="5"/>
  <c r="AV14" i="5"/>
  <c r="AW25" i="5"/>
  <c r="AW21" i="5"/>
  <c r="AW17" i="5"/>
  <c r="AW13" i="5"/>
  <c r="AY25" i="5"/>
  <c r="AY21" i="5"/>
  <c r="AY17" i="5"/>
  <c r="AY13" i="5"/>
  <c r="AL22" i="5"/>
  <c r="AL14" i="5"/>
  <c r="AV21" i="5"/>
  <c r="AV13" i="5"/>
  <c r="AX24" i="5"/>
  <c r="AX20" i="5"/>
  <c r="AX16" i="5"/>
  <c r="AX12" i="5"/>
  <c r="AZ24" i="5"/>
  <c r="AZ20" i="5"/>
  <c r="AZ16" i="5"/>
  <c r="AZ12" i="5"/>
  <c r="AL21" i="5"/>
  <c r="AL13" i="5"/>
  <c r="AJ19" i="5"/>
  <c r="AH25" i="5"/>
  <c r="AI19" i="5"/>
  <c r="AJ25" i="5"/>
  <c r="AI25" i="5"/>
  <c r="AG24" i="5"/>
  <c r="AJ11" i="5"/>
  <c r="AG21" i="5"/>
  <c r="AK11" i="5"/>
  <c r="AK23" i="5"/>
  <c r="AK21" i="5"/>
  <c r="AK17" i="5"/>
  <c r="AK15" i="5"/>
  <c r="AK13" i="5"/>
  <c r="AJ23" i="5"/>
  <c r="AJ21" i="5"/>
  <c r="AJ17" i="5"/>
  <c r="AJ15" i="5"/>
  <c r="AJ13" i="5"/>
  <c r="AK26" i="5"/>
  <c r="AK24" i="5"/>
  <c r="AK22" i="5"/>
  <c r="AK20" i="5"/>
  <c r="AK18" i="5"/>
  <c r="AK16" i="5"/>
  <c r="AK14" i="5"/>
  <c r="AK12" i="5"/>
  <c r="AJ26" i="5"/>
  <c r="AJ24" i="5"/>
  <c r="AJ22" i="5"/>
  <c r="AJ20" i="5"/>
  <c r="AJ18" i="5"/>
  <c r="AJ16" i="5"/>
  <c r="AJ14" i="5"/>
  <c r="AJ12" i="5"/>
  <c r="BO19" i="1"/>
  <c r="BO23" i="1"/>
  <c r="BO22" i="1"/>
  <c r="BO14" i="1"/>
  <c r="BO11" i="1"/>
  <c r="BO15" i="1"/>
  <c r="BO21" i="1"/>
  <c r="BO13" i="1"/>
  <c r="AF16" i="7"/>
  <c r="BO20" i="1"/>
  <c r="AI24" i="7"/>
  <c r="AI14" i="7"/>
  <c r="AI23" i="7"/>
  <c r="AI13" i="7"/>
  <c r="AI22" i="7"/>
  <c r="AI12" i="7"/>
  <c r="P15" i="7"/>
  <c r="AI30" i="7"/>
  <c r="AI20" i="7"/>
  <c r="AI19" i="7"/>
  <c r="AI18" i="7"/>
  <c r="AI27" i="7"/>
  <c r="AI17" i="7"/>
  <c r="AI25" i="7"/>
  <c r="AI15" i="7"/>
  <c r="AC26" i="7"/>
  <c r="AE25" i="7"/>
  <c r="AD27" i="7"/>
  <c r="AD25" i="7"/>
  <c r="AD19" i="7"/>
  <c r="AD18" i="7"/>
  <c r="AE26" i="7"/>
  <c r="AD17" i="7"/>
  <c r="AC30" i="7"/>
  <c r="AD24" i="7"/>
  <c r="AD16" i="7"/>
  <c r="AD11" i="7"/>
  <c r="AD23" i="7"/>
  <c r="AD15" i="7"/>
  <c r="AD22" i="7"/>
  <c r="AD14" i="7"/>
  <c r="P16" i="7"/>
  <c r="V15" i="7"/>
  <c r="W15" i="7"/>
  <c r="AD29" i="7"/>
  <c r="AD21" i="7"/>
  <c r="AD13" i="7"/>
  <c r="X15" i="7"/>
  <c r="AF15" i="7"/>
  <c r="AD28" i="7"/>
  <c r="AD20" i="7"/>
  <c r="AD12" i="7"/>
  <c r="V23" i="7"/>
  <c r="AE17" i="7"/>
  <c r="W23" i="7"/>
  <c r="Q22" i="7"/>
  <c r="Q23" i="7"/>
  <c r="AF22" i="7"/>
  <c r="AF21" i="7"/>
  <c r="J11" i="7"/>
  <c r="V11" i="7" s="1"/>
  <c r="Q18" i="7"/>
  <c r="P24" i="7"/>
  <c r="AF11" i="7"/>
  <c r="AF23" i="7"/>
  <c r="AE27" i="7"/>
  <c r="AE19" i="7"/>
  <c r="K11" i="7"/>
  <c r="AF30" i="7"/>
  <c r="AF14" i="7"/>
  <c r="AE18" i="7"/>
  <c r="P11" i="7"/>
  <c r="AF29" i="7"/>
  <c r="AF13" i="7"/>
  <c r="P12" i="7"/>
  <c r="P23" i="7"/>
  <c r="X23" i="7"/>
  <c r="AF28" i="7"/>
  <c r="AF20" i="7"/>
  <c r="AF12" i="7"/>
  <c r="AE24" i="7"/>
  <c r="AE16" i="7"/>
  <c r="X28" i="7"/>
  <c r="AF27" i="7"/>
  <c r="AF19" i="7"/>
  <c r="AE11" i="7"/>
  <c r="AE23" i="7"/>
  <c r="AE15" i="7"/>
  <c r="AF26" i="7"/>
  <c r="AF18" i="7"/>
  <c r="AE30" i="7"/>
  <c r="AE22" i="7"/>
  <c r="AE14" i="7"/>
  <c r="V14" i="7"/>
  <c r="AA18" i="7"/>
  <c r="AF25" i="7"/>
  <c r="AF17" i="7"/>
  <c r="AE29" i="7"/>
  <c r="AE13" i="7"/>
  <c r="W18" i="7"/>
  <c r="X12" i="7"/>
  <c r="W14" i="7"/>
  <c r="P28" i="7"/>
  <c r="AF24" i="7"/>
  <c r="AE28" i="7"/>
  <c r="AE20" i="7"/>
  <c r="AE12" i="7"/>
  <c r="Q11" i="7"/>
  <c r="Q15" i="7"/>
  <c r="X20" i="7"/>
  <c r="V27" i="7"/>
  <c r="V30" i="7"/>
  <c r="Q14" i="7"/>
  <c r="AA14" i="7"/>
  <c r="W19" i="7"/>
  <c r="V22" i="7"/>
  <c r="J26" i="7"/>
  <c r="W27" i="7"/>
  <c r="W30" i="7"/>
  <c r="AA19" i="7"/>
  <c r="V19" i="7"/>
  <c r="P19" i="7"/>
  <c r="X19" i="7"/>
  <c r="W22" i="7"/>
  <c r="K26" i="7"/>
  <c r="P27" i="7"/>
  <c r="X27" i="7"/>
  <c r="I26" i="7"/>
  <c r="V18" i="7"/>
  <c r="P20" i="7"/>
  <c r="X24" i="7"/>
  <c r="Q27" i="7"/>
  <c r="W12" i="7"/>
  <c r="Q13" i="7"/>
  <c r="K16" i="7"/>
  <c r="Q17" i="7"/>
  <c r="W20" i="7"/>
  <c r="Q21" i="7"/>
  <c r="AA22" i="7"/>
  <c r="W24" i="7"/>
  <c r="Q25" i="7"/>
  <c r="W28" i="7"/>
  <c r="Q29" i="7"/>
  <c r="AA30" i="7"/>
  <c r="Q12" i="7"/>
  <c r="AA13" i="7"/>
  <c r="Q16" i="7"/>
  <c r="AA17" i="7"/>
  <c r="Q20" i="7"/>
  <c r="Q24" i="7"/>
  <c r="AA25" i="7"/>
  <c r="Q28" i="7"/>
  <c r="AA29" i="7"/>
  <c r="AA20" i="7"/>
  <c r="I21" i="7"/>
  <c r="AA28" i="7"/>
  <c r="AA24" i="7"/>
  <c r="V13" i="7"/>
  <c r="P14" i="7"/>
  <c r="V17" i="7"/>
  <c r="P18" i="7"/>
  <c r="J21" i="7"/>
  <c r="P22" i="7"/>
  <c r="V25" i="7"/>
  <c r="P26" i="7"/>
  <c r="V29" i="7"/>
  <c r="P30" i="7"/>
  <c r="X30" i="7"/>
  <c r="I16" i="7"/>
  <c r="W17" i="7"/>
  <c r="K21" i="7"/>
  <c r="W25" i="7"/>
  <c r="W29" i="7"/>
  <c r="AA12" i="7"/>
  <c r="W13" i="7"/>
  <c r="P13" i="7"/>
  <c r="J16" i="7"/>
  <c r="P17" i="7"/>
  <c r="P21" i="7"/>
  <c r="P25" i="7"/>
  <c r="P29" i="7"/>
  <c r="BU30" i="6"/>
  <c r="BU29" i="6"/>
  <c r="BU28" i="6"/>
  <c r="BU27" i="6"/>
  <c r="AG15" i="5"/>
  <c r="AG28" i="5"/>
  <c r="AF28" i="5" s="1"/>
  <c r="AG13" i="5"/>
  <c r="AG14" i="5"/>
  <c r="AG20" i="5"/>
  <c r="AG16" i="5"/>
  <c r="AG19" i="5"/>
  <c r="AG22" i="5"/>
  <c r="AF22" i="5" s="1"/>
  <c r="AH17" i="5"/>
  <c r="AH12" i="5"/>
  <c r="AH18" i="5"/>
  <c r="AH11" i="5"/>
  <c r="AG17" i="5"/>
  <c r="AG23" i="5"/>
  <c r="AG29" i="5"/>
  <c r="AH29" i="5"/>
  <c r="AH23" i="5"/>
  <c r="AH14" i="5"/>
  <c r="AH20" i="5"/>
  <c r="AH21" i="5"/>
  <c r="AG27" i="5"/>
  <c r="AF29" i="5"/>
  <c r="AH27" i="5"/>
  <c r="AG30" i="5"/>
  <c r="AH30" i="5"/>
  <c r="AH15" i="5"/>
  <c r="AH16" i="5"/>
  <c r="AF30" i="5"/>
  <c r="AH22" i="5"/>
  <c r="AG25" i="5"/>
  <c r="AF25" i="5" s="1"/>
  <c r="AG26" i="5"/>
  <c r="AH28" i="5"/>
  <c r="AH24" i="5"/>
  <c r="AG11" i="5"/>
  <c r="AH13" i="5"/>
  <c r="AH19" i="5"/>
  <c r="AH26" i="5"/>
  <c r="BN11" i="1"/>
  <c r="BN12" i="1"/>
  <c r="BN13" i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K27" i="3"/>
  <c r="J27" i="3"/>
  <c r="I27" i="3"/>
  <c r="K26" i="3"/>
  <c r="J26" i="3"/>
  <c r="I26" i="3"/>
  <c r="K25" i="3"/>
  <c r="J25" i="3"/>
  <c r="I25" i="3"/>
  <c r="K24" i="3"/>
  <c r="J24" i="3"/>
  <c r="I24" i="3"/>
  <c r="K22" i="3"/>
  <c r="J22" i="3"/>
  <c r="I22" i="3"/>
  <c r="K21" i="3"/>
  <c r="J21" i="3"/>
  <c r="I21" i="3"/>
  <c r="K20" i="3"/>
  <c r="J20" i="3"/>
  <c r="I20" i="3"/>
  <c r="K19" i="3"/>
  <c r="J19" i="3"/>
  <c r="I19" i="3"/>
  <c r="K17" i="3"/>
  <c r="J17" i="3"/>
  <c r="I17" i="3"/>
  <c r="K16" i="3"/>
  <c r="J16" i="3"/>
  <c r="I16" i="3"/>
  <c r="K15" i="3"/>
  <c r="J15" i="3"/>
  <c r="I15" i="3"/>
  <c r="K14" i="3"/>
  <c r="J14" i="3"/>
  <c r="I14" i="3"/>
  <c r="K12" i="3"/>
  <c r="J12" i="3"/>
  <c r="I12" i="3"/>
  <c r="K11" i="3"/>
  <c r="J11" i="3"/>
  <c r="I11" i="3"/>
  <c r="K10" i="3"/>
  <c r="J10" i="3"/>
  <c r="I10" i="3"/>
  <c r="K9" i="3"/>
  <c r="J9" i="3"/>
  <c r="I9" i="3"/>
  <c r="AY12" i="6" l="1"/>
  <c r="AZ12" i="6" s="1"/>
  <c r="BA12" i="6" s="1"/>
  <c r="AY15" i="6"/>
  <c r="AZ15" i="6" s="1"/>
  <c r="BA15" i="6" s="1"/>
  <c r="BB15" i="6" s="1"/>
  <c r="AY23" i="6"/>
  <c r="AZ23" i="6" s="1"/>
  <c r="BA23" i="6" s="1"/>
  <c r="AY21" i="6"/>
  <c r="AZ21" i="6" s="1"/>
  <c r="BA21" i="6" s="1"/>
  <c r="BB21" i="6" s="1"/>
  <c r="AY19" i="6"/>
  <c r="AZ19" i="6" s="1"/>
  <c r="BA19" i="6" s="1"/>
  <c r="BB19" i="6" s="1"/>
  <c r="AZ18" i="6"/>
  <c r="BA18" i="6" s="1"/>
  <c r="BD18" i="6" s="1"/>
  <c r="BE19" i="6"/>
  <c r="BE11" i="6"/>
  <c r="BD11" i="6"/>
  <c r="BB11" i="6"/>
  <c r="BC11" i="6"/>
  <c r="AZ14" i="6"/>
  <c r="BA14" i="6" s="1"/>
  <c r="BE14" i="6" s="1"/>
  <c r="BC12" i="6"/>
  <c r="BB12" i="6"/>
  <c r="BE12" i="6"/>
  <c r="BD12" i="6"/>
  <c r="AY24" i="6"/>
  <c r="AZ24" i="6" s="1"/>
  <c r="BA24" i="6" s="1"/>
  <c r="BC24" i="6" s="1"/>
  <c r="AY13" i="6"/>
  <c r="AZ13" i="6" s="1"/>
  <c r="BA13" i="6" s="1"/>
  <c r="BC23" i="6"/>
  <c r="BE23" i="6"/>
  <c r="BD23" i="6"/>
  <c r="BB23" i="6"/>
  <c r="BE26" i="6"/>
  <c r="BB26" i="6"/>
  <c r="BD26" i="6"/>
  <c r="BC26" i="6"/>
  <c r="BE22" i="6"/>
  <c r="BD22" i="6"/>
  <c r="BC22" i="6"/>
  <c r="BB22" i="6"/>
  <c r="AZ17" i="6"/>
  <c r="BA17" i="6" s="1"/>
  <c r="AZ25" i="6"/>
  <c r="BA25" i="6" s="1"/>
  <c r="BE15" i="6"/>
  <c r="BC15" i="6"/>
  <c r="BD15" i="6"/>
  <c r="AY16" i="6"/>
  <c r="AZ16" i="6" s="1"/>
  <c r="BA16" i="6" s="1"/>
  <c r="BD21" i="6"/>
  <c r="BC21" i="6"/>
  <c r="BE21" i="6"/>
  <c r="BC20" i="6"/>
  <c r="BB20" i="6"/>
  <c r="BE20" i="6"/>
  <c r="BD20" i="6"/>
  <c r="AZ21" i="1"/>
  <c r="BA21" i="1" s="1"/>
  <c r="BC21" i="1" s="1"/>
  <c r="AZ16" i="1"/>
  <c r="BA16" i="1" s="1"/>
  <c r="BB16" i="1" s="1"/>
  <c r="AZ18" i="1"/>
  <c r="BA18" i="1" s="1"/>
  <c r="BC18" i="1" s="1"/>
  <c r="BD16" i="1"/>
  <c r="BE16" i="1"/>
  <c r="BB21" i="1"/>
  <c r="BD21" i="1"/>
  <c r="BE21" i="1"/>
  <c r="AY14" i="1"/>
  <c r="AZ14" i="1" s="1"/>
  <c r="BA14" i="1" s="1"/>
  <c r="BB19" i="1"/>
  <c r="BC19" i="1"/>
  <c r="BD19" i="1"/>
  <c r="BE19" i="1"/>
  <c r="AZ12" i="1"/>
  <c r="BA12" i="1" s="1"/>
  <c r="AZ20" i="1"/>
  <c r="BA20" i="1" s="1"/>
  <c r="BD18" i="1"/>
  <c r="AY17" i="1"/>
  <c r="AZ17" i="1" s="1"/>
  <c r="BA17" i="1" s="1"/>
  <c r="AY25" i="1"/>
  <c r="AZ25" i="1" s="1"/>
  <c r="BA25" i="1" s="1"/>
  <c r="AZ26" i="1"/>
  <c r="BA26" i="1" s="1"/>
  <c r="AY24" i="1"/>
  <c r="AZ24" i="1" s="1"/>
  <c r="BA24" i="1" s="1"/>
  <c r="AY23" i="1"/>
  <c r="AZ23" i="1" s="1"/>
  <c r="BA23" i="1" s="1"/>
  <c r="AY22" i="1"/>
  <c r="AZ22" i="1" s="1"/>
  <c r="BA22" i="1" s="1"/>
  <c r="AY11" i="1"/>
  <c r="AZ11" i="1" s="1"/>
  <c r="BA11" i="1" s="1"/>
  <c r="AZ13" i="1"/>
  <c r="BA13" i="1" s="1"/>
  <c r="AY15" i="1"/>
  <c r="AZ15" i="1" s="1"/>
  <c r="BA15" i="1" s="1"/>
  <c r="AF19" i="5"/>
  <c r="AF17" i="5"/>
  <c r="AF21" i="5"/>
  <c r="AF26" i="5"/>
  <c r="AF16" i="5"/>
  <c r="BD12" i="5"/>
  <c r="BE12" i="5"/>
  <c r="BF12" i="5"/>
  <c r="BD23" i="5"/>
  <c r="BE23" i="5"/>
  <c r="BF23" i="5"/>
  <c r="AM15" i="5"/>
  <c r="AQ15" i="5" s="1"/>
  <c r="AM12" i="5"/>
  <c r="AQ12" i="5" s="1"/>
  <c r="AM14" i="5"/>
  <c r="AQ14" i="5" s="1"/>
  <c r="AM16" i="5"/>
  <c r="AQ16" i="5" s="1"/>
  <c r="AN22" i="5"/>
  <c r="AR22" i="5" s="1"/>
  <c r="AP12" i="5"/>
  <c r="AT12" i="5" s="1"/>
  <c r="AO21" i="5"/>
  <c r="AS21" i="5" s="1"/>
  <c r="AO23" i="5"/>
  <c r="AS23" i="5" s="1"/>
  <c r="AP19" i="5"/>
  <c r="AT19" i="5" s="1"/>
  <c r="AP23" i="5"/>
  <c r="AT23" i="5" s="1"/>
  <c r="AO12" i="5"/>
  <c r="AS12" i="5" s="1"/>
  <c r="AO14" i="5"/>
  <c r="AS14" i="5" s="1"/>
  <c r="AO22" i="5"/>
  <c r="AS22" i="5" s="1"/>
  <c r="AM19" i="5"/>
  <c r="AQ19" i="5" s="1"/>
  <c r="AM25" i="5"/>
  <c r="AQ25" i="5" s="1"/>
  <c r="AM11" i="5"/>
  <c r="AQ11" i="5" s="1"/>
  <c r="AN13" i="5"/>
  <c r="AR13" i="5" s="1"/>
  <c r="AN19" i="5"/>
  <c r="AR19" i="5" s="1"/>
  <c r="AN21" i="5"/>
  <c r="AR21" i="5" s="1"/>
  <c r="AP22" i="5"/>
  <c r="AT22" i="5" s="1"/>
  <c r="AP24" i="5"/>
  <c r="AT24" i="5" s="1"/>
  <c r="AP26" i="5"/>
  <c r="AT26" i="5" s="1"/>
  <c r="AP13" i="5"/>
  <c r="AT13" i="5" s="1"/>
  <c r="AF27" i="5"/>
  <c r="J17" i="7"/>
  <c r="K23" i="7"/>
  <c r="I30" i="7"/>
  <c r="J13" i="7"/>
  <c r="I27" i="7"/>
  <c r="K13" i="7"/>
  <c r="I20" i="7"/>
  <c r="J27" i="7"/>
  <c r="I14" i="7"/>
  <c r="K17" i="7"/>
  <c r="J20" i="7"/>
  <c r="I24" i="7"/>
  <c r="K27" i="7"/>
  <c r="J30" i="7"/>
  <c r="K30" i="7"/>
  <c r="I12" i="7"/>
  <c r="K14" i="7"/>
  <c r="J18" i="7"/>
  <c r="I22" i="7"/>
  <c r="K24" i="7"/>
  <c r="J28" i="7"/>
  <c r="I28" i="7"/>
  <c r="J24" i="7"/>
  <c r="I17" i="7"/>
  <c r="K19" i="7"/>
  <c r="J23" i="7"/>
  <c r="K29" i="7"/>
  <c r="J14" i="7"/>
  <c r="I18" i="7"/>
  <c r="K20" i="7"/>
  <c r="J12" i="7"/>
  <c r="I15" i="7"/>
  <c r="K18" i="7"/>
  <c r="J22" i="7"/>
  <c r="I25" i="7"/>
  <c r="K28" i="7"/>
  <c r="K12" i="7"/>
  <c r="J15" i="7"/>
  <c r="I19" i="7"/>
  <c r="K22" i="7"/>
  <c r="J25" i="7"/>
  <c r="I29" i="7"/>
  <c r="I13" i="7"/>
  <c r="K15" i="7"/>
  <c r="J19" i="7"/>
  <c r="I23" i="7"/>
  <c r="K25" i="7"/>
  <c r="J29" i="7"/>
  <c r="V21" i="7"/>
  <c r="W11" i="7"/>
  <c r="X11" i="7" s="1"/>
  <c r="W21" i="7"/>
  <c r="X21" i="7" s="1"/>
  <c r="Y21" i="7" s="1"/>
  <c r="V26" i="7"/>
  <c r="W26" i="7" s="1"/>
  <c r="X26" i="7" s="1"/>
  <c r="Y27" i="7" s="1"/>
  <c r="V16" i="7"/>
  <c r="W16" i="7" s="1"/>
  <c r="X16" i="7" s="1"/>
  <c r="Y19" i="7" s="1"/>
  <c r="AH16" i="7" s="1"/>
  <c r="BS29" i="6"/>
  <c r="BY28" i="6"/>
  <c r="BZ28" i="6"/>
  <c r="BY29" i="6"/>
  <c r="BZ29" i="6"/>
  <c r="BY27" i="6"/>
  <c r="BZ27" i="6"/>
  <c r="BY30" i="6"/>
  <c r="BZ30" i="6"/>
  <c r="BS18" i="6"/>
  <c r="BS22" i="6"/>
  <c r="AF25" i="1"/>
  <c r="AF24" i="1"/>
  <c r="AF23" i="1"/>
  <c r="AF26" i="1"/>
  <c r="AF18" i="1"/>
  <c r="AF17" i="1"/>
  <c r="AF15" i="1"/>
  <c r="AF22" i="1"/>
  <c r="AF16" i="1"/>
  <c r="AF14" i="1"/>
  <c r="AF11" i="1"/>
  <c r="AF21" i="1"/>
  <c r="AF13" i="1"/>
  <c r="AF20" i="1"/>
  <c r="AF12" i="1"/>
  <c r="AF19" i="1"/>
  <c r="BB18" i="6" l="1"/>
  <c r="BC19" i="6"/>
  <c r="BC18" i="6"/>
  <c r="BE18" i="6"/>
  <c r="BD19" i="6"/>
  <c r="BP19" i="6" s="1"/>
  <c r="BH18" i="6"/>
  <c r="BP18" i="6"/>
  <c r="BH20" i="6"/>
  <c r="BP20" i="6"/>
  <c r="BF15" i="6"/>
  <c r="BN15" i="6"/>
  <c r="BH26" i="6"/>
  <c r="BP26" i="6"/>
  <c r="BH15" i="6"/>
  <c r="BP15" i="6"/>
  <c r="BF11" i="6"/>
  <c r="BN11" i="6"/>
  <c r="BF22" i="6"/>
  <c r="BN22" i="6"/>
  <c r="BF23" i="6"/>
  <c r="BN23" i="6"/>
  <c r="BG21" i="6"/>
  <c r="BM21" i="6" s="1"/>
  <c r="BO21" i="6"/>
  <c r="BF18" i="6"/>
  <c r="BJ18" i="6" s="1"/>
  <c r="BN18" i="6"/>
  <c r="BH22" i="6"/>
  <c r="BP22" i="6"/>
  <c r="BH23" i="6"/>
  <c r="BP23" i="6"/>
  <c r="BG26" i="6"/>
  <c r="BO26" i="6"/>
  <c r="BG11" i="6"/>
  <c r="BO11" i="6"/>
  <c r="BF20" i="6"/>
  <c r="BN20" i="6"/>
  <c r="BF26" i="6"/>
  <c r="BN26" i="6"/>
  <c r="BG15" i="6"/>
  <c r="BL15" i="6" s="1"/>
  <c r="BO15" i="6"/>
  <c r="BG22" i="6"/>
  <c r="BL22" i="6" s="1"/>
  <c r="BO22" i="6"/>
  <c r="BH12" i="6"/>
  <c r="BP12" i="6"/>
  <c r="BH21" i="6"/>
  <c r="BP21" i="6"/>
  <c r="BG18" i="6"/>
  <c r="BO18" i="6"/>
  <c r="BF12" i="6"/>
  <c r="BL12" i="6" s="1"/>
  <c r="BN12" i="6"/>
  <c r="BG24" i="6"/>
  <c r="BO24" i="6"/>
  <c r="BG19" i="6"/>
  <c r="BO19" i="6"/>
  <c r="BG20" i="6"/>
  <c r="BJ20" i="6" s="1"/>
  <c r="BO20" i="6"/>
  <c r="BH19" i="6"/>
  <c r="BH11" i="6"/>
  <c r="BP11" i="6"/>
  <c r="BF21" i="6"/>
  <c r="BN21" i="6"/>
  <c r="BE24" i="6"/>
  <c r="BG23" i="6"/>
  <c r="BK23" i="6" s="1"/>
  <c r="BO23" i="6"/>
  <c r="BG12" i="6"/>
  <c r="BO12" i="6"/>
  <c r="BF19" i="6"/>
  <c r="BN19" i="6"/>
  <c r="BD14" i="6"/>
  <c r="BB14" i="6"/>
  <c r="BC14" i="6"/>
  <c r="BI11" i="6"/>
  <c r="BD13" i="6"/>
  <c r="BC13" i="6"/>
  <c r="BB13" i="6"/>
  <c r="BE13" i="6"/>
  <c r="BB24" i="6"/>
  <c r="BD24" i="6"/>
  <c r="BI22" i="6"/>
  <c r="BE16" i="6"/>
  <c r="BD16" i="6"/>
  <c r="BB16" i="6"/>
  <c r="BC16" i="6"/>
  <c r="BB25" i="6"/>
  <c r="BE25" i="6"/>
  <c r="BD25" i="6"/>
  <c r="BC25" i="6"/>
  <c r="BJ23" i="6"/>
  <c r="BE17" i="6"/>
  <c r="BC17" i="6"/>
  <c r="BB17" i="6"/>
  <c r="BD17" i="6"/>
  <c r="BG21" i="1"/>
  <c r="BQ21" i="1"/>
  <c r="BS19" i="1"/>
  <c r="BS16" i="1"/>
  <c r="BG19" i="1"/>
  <c r="BI19" i="1" s="1"/>
  <c r="BQ19" i="1"/>
  <c r="BH16" i="1"/>
  <c r="BR16" i="1"/>
  <c r="BE18" i="1"/>
  <c r="BF19" i="1"/>
  <c r="BM19" i="1" s="1"/>
  <c r="BP19" i="1"/>
  <c r="BC16" i="1"/>
  <c r="BH19" i="1"/>
  <c r="BR19" i="1"/>
  <c r="BF21" i="1"/>
  <c r="BP21" i="1"/>
  <c r="BH18" i="1"/>
  <c r="BR18" i="1"/>
  <c r="BG18" i="1"/>
  <c r="BQ18" i="1"/>
  <c r="BB18" i="1"/>
  <c r="BS21" i="1"/>
  <c r="BF16" i="1"/>
  <c r="BP16" i="1"/>
  <c r="BH21" i="1"/>
  <c r="BI21" i="1" s="1"/>
  <c r="BR21" i="1"/>
  <c r="BL21" i="1"/>
  <c r="BM21" i="1"/>
  <c r="BL19" i="1"/>
  <c r="BB23" i="1"/>
  <c r="BC23" i="1"/>
  <c r="BD23" i="1"/>
  <c r="BE23" i="1"/>
  <c r="BB24" i="1"/>
  <c r="BC24" i="1"/>
  <c r="BD24" i="1"/>
  <c r="BE24" i="1"/>
  <c r="BB20" i="1"/>
  <c r="BC20" i="1"/>
  <c r="BD20" i="1"/>
  <c r="BE20" i="1"/>
  <c r="BB26" i="1"/>
  <c r="BC26" i="1"/>
  <c r="BD26" i="1"/>
  <c r="BE26" i="1"/>
  <c r="BB12" i="1"/>
  <c r="BC12" i="1"/>
  <c r="BD12" i="1"/>
  <c r="BE12" i="1"/>
  <c r="BB25" i="1"/>
  <c r="BC25" i="1"/>
  <c r="BD25" i="1"/>
  <c r="BE25" i="1"/>
  <c r="BB13" i="1"/>
  <c r="BC13" i="1"/>
  <c r="BD13" i="1"/>
  <c r="BE13" i="1"/>
  <c r="BB17" i="1"/>
  <c r="BC17" i="1"/>
  <c r="BD17" i="1"/>
  <c r="BE17" i="1"/>
  <c r="BC11" i="1"/>
  <c r="BD11" i="1"/>
  <c r="BE11" i="1"/>
  <c r="BB11" i="1"/>
  <c r="BB15" i="1"/>
  <c r="BC15" i="1"/>
  <c r="BD15" i="1"/>
  <c r="BE15" i="1"/>
  <c r="BB22" i="1"/>
  <c r="BC22" i="1"/>
  <c r="BD22" i="1"/>
  <c r="BE22" i="1"/>
  <c r="BB14" i="1"/>
  <c r="BC14" i="1"/>
  <c r="BD14" i="1"/>
  <c r="BE14" i="1"/>
  <c r="AP20" i="5"/>
  <c r="AT20" i="5" s="1"/>
  <c r="AO18" i="5"/>
  <c r="AS18" i="5" s="1"/>
  <c r="AN24" i="5"/>
  <c r="AR24" i="5" s="1"/>
  <c r="BI23" i="5"/>
  <c r="BH23" i="5"/>
  <c r="BJ23" i="5"/>
  <c r="BK23" i="5"/>
  <c r="BL23" i="5"/>
  <c r="BH12" i="5"/>
  <c r="BI12" i="5"/>
  <c r="BJ12" i="5"/>
  <c r="BL12" i="5"/>
  <c r="BK12" i="5"/>
  <c r="BF24" i="5"/>
  <c r="BE24" i="5"/>
  <c r="BD24" i="5"/>
  <c r="BF21" i="5"/>
  <c r="BD21" i="5"/>
  <c r="BE21" i="5"/>
  <c r="BD13" i="5"/>
  <c r="BE13" i="5"/>
  <c r="BF13" i="5"/>
  <c r="BD20" i="5"/>
  <c r="BE20" i="5"/>
  <c r="BF20" i="5"/>
  <c r="BF22" i="5"/>
  <c r="BD22" i="5"/>
  <c r="BE22" i="5"/>
  <c r="BD15" i="5"/>
  <c r="BE15" i="5"/>
  <c r="BF15" i="5"/>
  <c r="BE17" i="5"/>
  <c r="BD17" i="5"/>
  <c r="BF17" i="5"/>
  <c r="BF14" i="5"/>
  <c r="BD14" i="5"/>
  <c r="BE14" i="5"/>
  <c r="BE25" i="5"/>
  <c r="BF25" i="5"/>
  <c r="BD25" i="5"/>
  <c r="BD18" i="5"/>
  <c r="BE18" i="5"/>
  <c r="BF18" i="5"/>
  <c r="BD26" i="5"/>
  <c r="BE26" i="5"/>
  <c r="BF26" i="5"/>
  <c r="BE16" i="5"/>
  <c r="BF16" i="5"/>
  <c r="BD16" i="5"/>
  <c r="BG23" i="5"/>
  <c r="BE19" i="5"/>
  <c r="BD19" i="5"/>
  <c r="BF19" i="5"/>
  <c r="AM18" i="5"/>
  <c r="AQ18" i="5" s="1"/>
  <c r="BE11" i="5"/>
  <c r="BF11" i="5"/>
  <c r="BD11" i="5"/>
  <c r="BG12" i="5"/>
  <c r="AP18" i="5"/>
  <c r="AT18" i="5" s="1"/>
  <c r="AO26" i="5"/>
  <c r="AS26" i="5" s="1"/>
  <c r="AP15" i="5"/>
  <c r="AT15" i="5" s="1"/>
  <c r="AN16" i="5"/>
  <c r="AR16" i="5" s="1"/>
  <c r="AP14" i="5"/>
  <c r="AT14" i="5" s="1"/>
  <c r="AO24" i="5"/>
  <c r="AS24" i="5" s="1"/>
  <c r="AO25" i="5"/>
  <c r="AS25" i="5" s="1"/>
  <c r="AN14" i="5"/>
  <c r="AR14" i="5" s="1"/>
  <c r="AO17" i="5"/>
  <c r="AS17" i="5" s="1"/>
  <c r="AN25" i="5"/>
  <c r="AR25" i="5" s="1"/>
  <c r="AM13" i="5"/>
  <c r="AQ13" i="5" s="1"/>
  <c r="AP11" i="5"/>
  <c r="AT11" i="5" s="1"/>
  <c r="AO19" i="5"/>
  <c r="AS19" i="5" s="1"/>
  <c r="AU19" i="5" s="1"/>
  <c r="AN12" i="5"/>
  <c r="AR12" i="5" s="1"/>
  <c r="AU12" i="5" s="1"/>
  <c r="AN17" i="5"/>
  <c r="AR17" i="5" s="1"/>
  <c r="AN23" i="5"/>
  <c r="AR23" i="5" s="1"/>
  <c r="AP16" i="5"/>
  <c r="AT16" i="5" s="1"/>
  <c r="AP25" i="5"/>
  <c r="AT25" i="5" s="1"/>
  <c r="AN15" i="5"/>
  <c r="AR15" i="5" s="1"/>
  <c r="AM26" i="5"/>
  <c r="AQ26" i="5" s="1"/>
  <c r="AM24" i="5"/>
  <c r="AQ24" i="5" s="1"/>
  <c r="AN11" i="5"/>
  <c r="AR11" i="5" s="1"/>
  <c r="AP17" i="5"/>
  <c r="AT17" i="5" s="1"/>
  <c r="AM21" i="5"/>
  <c r="AQ21" i="5" s="1"/>
  <c r="AO16" i="5"/>
  <c r="AS16" i="5" s="1"/>
  <c r="AO11" i="5"/>
  <c r="AS11" i="5" s="1"/>
  <c r="AN26" i="5"/>
  <c r="AR26" i="5" s="1"/>
  <c r="AM22" i="5"/>
  <c r="AQ22" i="5" s="1"/>
  <c r="AU22" i="5" s="1"/>
  <c r="AN20" i="5"/>
  <c r="AR20" i="5" s="1"/>
  <c r="AM20" i="5"/>
  <c r="AQ20" i="5" s="1"/>
  <c r="AM17" i="5"/>
  <c r="AQ17" i="5" s="1"/>
  <c r="AO13" i="5"/>
  <c r="AS13" i="5" s="1"/>
  <c r="AM23" i="5"/>
  <c r="AQ23" i="5" s="1"/>
  <c r="AO20" i="5"/>
  <c r="AS20" i="5" s="1"/>
  <c r="AP21" i="5"/>
  <c r="AT21" i="5" s="1"/>
  <c r="AO15" i="5"/>
  <c r="AS15" i="5" s="1"/>
  <c r="AN18" i="5"/>
  <c r="AR18" i="5" s="1"/>
  <c r="BF29" i="5"/>
  <c r="BG29" i="5" s="1"/>
  <c r="BF30" i="5"/>
  <c r="BG30" i="5" s="1"/>
  <c r="AP30" i="5"/>
  <c r="AZ30" i="5" s="1"/>
  <c r="BS23" i="6"/>
  <c r="BS24" i="6"/>
  <c r="BS19" i="6"/>
  <c r="BS27" i="6"/>
  <c r="BS26" i="6"/>
  <c r="BS16" i="6"/>
  <c r="BS28" i="6"/>
  <c r="Y26" i="7"/>
  <c r="Z26" i="7" s="1"/>
  <c r="BS17" i="6"/>
  <c r="BS21" i="6"/>
  <c r="Y24" i="7"/>
  <c r="AH21" i="7" s="1"/>
  <c r="Y23" i="7"/>
  <c r="Z23" i="7" s="1"/>
  <c r="Y22" i="7"/>
  <c r="Z22" i="7" s="1"/>
  <c r="Y28" i="7"/>
  <c r="Z28" i="7" s="1"/>
  <c r="Y29" i="7"/>
  <c r="AH26" i="7" s="1"/>
  <c r="Y17" i="7"/>
  <c r="Z17" i="7" s="1"/>
  <c r="Y18" i="7"/>
  <c r="Z18" i="7" s="1"/>
  <c r="Y14" i="7"/>
  <c r="AH11" i="7" s="1"/>
  <c r="Y12" i="7"/>
  <c r="Z12" i="7" s="1"/>
  <c r="Y11" i="7"/>
  <c r="Z11" i="7" s="1"/>
  <c r="Y13" i="7"/>
  <c r="Z13" i="7" s="1"/>
  <c r="Y16" i="7"/>
  <c r="Z16" i="7" s="1"/>
  <c r="Z27" i="7"/>
  <c r="Z21" i="7"/>
  <c r="BS13" i="6"/>
  <c r="BS12" i="6"/>
  <c r="BS11" i="6"/>
  <c r="BS14" i="6"/>
  <c r="AP29" i="5"/>
  <c r="AZ29" i="5" s="1"/>
  <c r="BO29" i="5" s="1"/>
  <c r="AP27" i="5"/>
  <c r="AZ27" i="5" s="1"/>
  <c r="BO27" i="5" s="1"/>
  <c r="AP28" i="5"/>
  <c r="AZ28" i="5" s="1"/>
  <c r="BO28" i="5" s="1"/>
  <c r="BF27" i="5"/>
  <c r="BG27" i="5" s="1"/>
  <c r="BF28" i="5"/>
  <c r="BG28" i="5" s="1"/>
  <c r="BI18" i="6" l="1"/>
  <c r="BM18" i="6"/>
  <c r="BK20" i="6"/>
  <c r="BJ21" i="6"/>
  <c r="BK19" i="6"/>
  <c r="BI26" i="6"/>
  <c r="BI23" i="6"/>
  <c r="BK18" i="6"/>
  <c r="BJ22" i="6"/>
  <c r="BJ15" i="6"/>
  <c r="BL19" i="6"/>
  <c r="BK22" i="6"/>
  <c r="BM15" i="6"/>
  <c r="BJ12" i="6"/>
  <c r="BI20" i="6"/>
  <c r="BM22" i="6"/>
  <c r="BI15" i="6"/>
  <c r="BJ19" i="6"/>
  <c r="BK12" i="6"/>
  <c r="BH17" i="6"/>
  <c r="BP17" i="6"/>
  <c r="BJ26" i="6"/>
  <c r="BH24" i="6"/>
  <c r="BP24" i="6"/>
  <c r="BH13" i="6"/>
  <c r="BP13" i="6"/>
  <c r="BG14" i="6"/>
  <c r="BO14" i="6"/>
  <c r="BF13" i="6"/>
  <c r="BN13" i="6"/>
  <c r="BM23" i="6"/>
  <c r="BF25" i="6"/>
  <c r="BJ25" i="6" s="1"/>
  <c r="BN25" i="6"/>
  <c r="BG13" i="6"/>
  <c r="BO13" i="6"/>
  <c r="BL23" i="6"/>
  <c r="BG16" i="6"/>
  <c r="BO16" i="6"/>
  <c r="BF17" i="6"/>
  <c r="BL17" i="6" s="1"/>
  <c r="BN17" i="6"/>
  <c r="BK26" i="6"/>
  <c r="BI21" i="6"/>
  <c r="BF14" i="6"/>
  <c r="BN14" i="6"/>
  <c r="BG17" i="6"/>
  <c r="BO17" i="6"/>
  <c r="BL26" i="6"/>
  <c r="BM12" i="6"/>
  <c r="BI12" i="6"/>
  <c r="BL11" i="6"/>
  <c r="BH25" i="6"/>
  <c r="BP25" i="6"/>
  <c r="BK21" i="6"/>
  <c r="BF16" i="6"/>
  <c r="BI16" i="6" s="1"/>
  <c r="BN16" i="6"/>
  <c r="BM19" i="6"/>
  <c r="BH16" i="6"/>
  <c r="BP16" i="6"/>
  <c r="BM20" i="6"/>
  <c r="BM26" i="6"/>
  <c r="BL18" i="6"/>
  <c r="BK15" i="6"/>
  <c r="BF24" i="6"/>
  <c r="BI24" i="6" s="1"/>
  <c r="BN24" i="6"/>
  <c r="BI19" i="6"/>
  <c r="BJ11" i="6"/>
  <c r="BH14" i="6"/>
  <c r="BP14" i="6"/>
  <c r="BL21" i="6"/>
  <c r="BL20" i="6"/>
  <c r="BG25" i="6"/>
  <c r="BO25" i="6"/>
  <c r="BM11" i="6"/>
  <c r="BK11" i="6"/>
  <c r="BL14" i="6"/>
  <c r="BL13" i="6"/>
  <c r="BK13" i="6"/>
  <c r="BK16" i="6"/>
  <c r="BG15" i="1"/>
  <c r="BQ15" i="1"/>
  <c r="BG25" i="1"/>
  <c r="BQ25" i="1"/>
  <c r="BG24" i="1"/>
  <c r="BM24" i="1" s="1"/>
  <c r="BQ24" i="1"/>
  <c r="BF15" i="1"/>
  <c r="BM15" i="1" s="1"/>
  <c r="BP15" i="1"/>
  <c r="BF25" i="1"/>
  <c r="BP25" i="1"/>
  <c r="BF11" i="1"/>
  <c r="BK11" i="1" s="1"/>
  <c r="BV11" i="1" s="1"/>
  <c r="BP11" i="1"/>
  <c r="BS12" i="1"/>
  <c r="BS23" i="1"/>
  <c r="BK19" i="1"/>
  <c r="BH22" i="1"/>
  <c r="BR22" i="1"/>
  <c r="BH13" i="1"/>
  <c r="BR13" i="1"/>
  <c r="BH12" i="1"/>
  <c r="BI12" i="1" s="1"/>
  <c r="BR12" i="1"/>
  <c r="BH23" i="1"/>
  <c r="BK23" i="1" s="1"/>
  <c r="BR23" i="1"/>
  <c r="BJ19" i="1"/>
  <c r="BG22" i="1"/>
  <c r="BQ22" i="1"/>
  <c r="BG13" i="1"/>
  <c r="BK13" i="1" s="1"/>
  <c r="BQ13" i="1"/>
  <c r="BG20" i="1"/>
  <c r="BQ20" i="1"/>
  <c r="BG11" i="1"/>
  <c r="BQ11" i="1"/>
  <c r="BF20" i="1"/>
  <c r="BP20" i="1"/>
  <c r="BK21" i="1"/>
  <c r="BS18" i="1"/>
  <c r="BS14" i="1"/>
  <c r="BS15" i="1"/>
  <c r="BS17" i="1"/>
  <c r="BS25" i="1"/>
  <c r="BS26" i="1"/>
  <c r="BS24" i="1"/>
  <c r="BJ21" i="1"/>
  <c r="BG14" i="1"/>
  <c r="BQ14" i="1"/>
  <c r="BG17" i="1"/>
  <c r="BK17" i="1" s="1"/>
  <c r="BQ17" i="1"/>
  <c r="BG26" i="1"/>
  <c r="BQ26" i="1"/>
  <c r="BF14" i="1"/>
  <c r="BP14" i="1"/>
  <c r="BF17" i="1"/>
  <c r="BP17" i="1"/>
  <c r="BF26" i="1"/>
  <c r="BI26" i="1" s="1"/>
  <c r="BP26" i="1"/>
  <c r="BF24" i="1"/>
  <c r="BP24" i="1"/>
  <c r="BF18" i="1"/>
  <c r="BP18" i="1"/>
  <c r="BS22" i="1"/>
  <c r="BS13" i="1"/>
  <c r="BS20" i="1"/>
  <c r="BG16" i="1"/>
  <c r="BQ16" i="1"/>
  <c r="BS11" i="1"/>
  <c r="BH20" i="1"/>
  <c r="BR20" i="1"/>
  <c r="BH11" i="1"/>
  <c r="BR11" i="1"/>
  <c r="BG12" i="1"/>
  <c r="BQ12" i="1"/>
  <c r="BG23" i="1"/>
  <c r="BQ23" i="1"/>
  <c r="BF22" i="1"/>
  <c r="BK22" i="1" s="1"/>
  <c r="BP22" i="1"/>
  <c r="BF13" i="1"/>
  <c r="BP13" i="1"/>
  <c r="BF12" i="1"/>
  <c r="BP12" i="1"/>
  <c r="BF23" i="1"/>
  <c r="BP23" i="1"/>
  <c r="BH14" i="1"/>
  <c r="BM14" i="1" s="1"/>
  <c r="BR14" i="1"/>
  <c r="BH15" i="1"/>
  <c r="BR15" i="1"/>
  <c r="BH17" i="1"/>
  <c r="BR17" i="1"/>
  <c r="BH25" i="1"/>
  <c r="BK25" i="1" s="1"/>
  <c r="BR25" i="1"/>
  <c r="BH26" i="1"/>
  <c r="BR26" i="1"/>
  <c r="BH24" i="1"/>
  <c r="BR24" i="1"/>
  <c r="BJ11" i="1"/>
  <c r="BU11" i="1" s="1"/>
  <c r="BL11" i="1"/>
  <c r="BW11" i="1" s="1"/>
  <c r="BM11" i="1"/>
  <c r="BI11" i="1"/>
  <c r="BT11" i="1" s="1"/>
  <c r="BK15" i="1"/>
  <c r="BJ24" i="1"/>
  <c r="BK24" i="1"/>
  <c r="BL24" i="1"/>
  <c r="AU24" i="5"/>
  <c r="AU14" i="5"/>
  <c r="AU18" i="5"/>
  <c r="BG16" i="5"/>
  <c r="BL16" i="5"/>
  <c r="BH16" i="5"/>
  <c r="BK16" i="5"/>
  <c r="BI16" i="5"/>
  <c r="BJ16" i="5"/>
  <c r="BG25" i="5"/>
  <c r="BK25" i="5"/>
  <c r="BH25" i="5"/>
  <c r="BI25" i="5"/>
  <c r="BL25" i="5"/>
  <c r="BJ25" i="5"/>
  <c r="BM12" i="5"/>
  <c r="BN12" i="5" s="1"/>
  <c r="BG24" i="5"/>
  <c r="BL24" i="5"/>
  <c r="BH24" i="5"/>
  <c r="BK24" i="5"/>
  <c r="BI24" i="5"/>
  <c r="BJ24" i="5"/>
  <c r="BH20" i="5"/>
  <c r="BL20" i="5"/>
  <c r="BI20" i="5"/>
  <c r="BJ20" i="5"/>
  <c r="BK20" i="5"/>
  <c r="BJ22" i="5"/>
  <c r="BK22" i="5"/>
  <c r="BH22" i="5"/>
  <c r="BI22" i="5"/>
  <c r="BL22" i="5"/>
  <c r="BG11" i="5"/>
  <c r="BJ11" i="5"/>
  <c r="BH11" i="5"/>
  <c r="BL11" i="5"/>
  <c r="BI11" i="5"/>
  <c r="BK11" i="5"/>
  <c r="BK17" i="5"/>
  <c r="BH17" i="5"/>
  <c r="BI17" i="5"/>
  <c r="BL17" i="5"/>
  <c r="BJ17" i="5"/>
  <c r="AU16" i="5"/>
  <c r="BG15" i="5"/>
  <c r="BI15" i="5"/>
  <c r="BJ15" i="5"/>
  <c r="BK15" i="5"/>
  <c r="BH15" i="5"/>
  <c r="BL15" i="5"/>
  <c r="BM23" i="5"/>
  <c r="BK21" i="5"/>
  <c r="BI21" i="5"/>
  <c r="BJ21" i="5"/>
  <c r="BL21" i="5"/>
  <c r="BH21" i="5"/>
  <c r="BJ18" i="5"/>
  <c r="BI18" i="5"/>
  <c r="BK18" i="5"/>
  <c r="BL18" i="5"/>
  <c r="BH18" i="5"/>
  <c r="BI19" i="5"/>
  <c r="BL19" i="5"/>
  <c r="BJ19" i="5"/>
  <c r="BH19" i="5"/>
  <c r="BK19" i="5"/>
  <c r="BJ26" i="5"/>
  <c r="BH26" i="5"/>
  <c r="BK26" i="5"/>
  <c r="BL26" i="5"/>
  <c r="BI26" i="5"/>
  <c r="BL14" i="5"/>
  <c r="BJ14" i="5"/>
  <c r="BH14" i="5"/>
  <c r="BI14" i="5"/>
  <c r="BK14" i="5"/>
  <c r="BK13" i="5"/>
  <c r="BH13" i="5"/>
  <c r="BL13" i="5"/>
  <c r="BI13" i="5"/>
  <c r="BJ13" i="5"/>
  <c r="BG14" i="5"/>
  <c r="BG26" i="5"/>
  <c r="BG19" i="5"/>
  <c r="BG22" i="5"/>
  <c r="AU25" i="5"/>
  <c r="BG17" i="5"/>
  <c r="BG18" i="5"/>
  <c r="AU23" i="5"/>
  <c r="AU26" i="5"/>
  <c r="BG20" i="5"/>
  <c r="BG13" i="5"/>
  <c r="BG21" i="5"/>
  <c r="AU13" i="5"/>
  <c r="AU11" i="5"/>
  <c r="AU15" i="5"/>
  <c r="AU21" i="5"/>
  <c r="AU17" i="5"/>
  <c r="AU20" i="5"/>
  <c r="BT26" i="6"/>
  <c r="BT21" i="6"/>
  <c r="AA21" i="7"/>
  <c r="AB23" i="7" s="1"/>
  <c r="AA11" i="7"/>
  <c r="AB13" i="7" s="1"/>
  <c r="AA26" i="7"/>
  <c r="AA16" i="7"/>
  <c r="BK24" i="6" l="1"/>
  <c r="BJ17" i="6"/>
  <c r="BI25" i="6"/>
  <c r="BJ16" i="6"/>
  <c r="BJ13" i="6"/>
  <c r="BI17" i="6"/>
  <c r="BM17" i="6"/>
  <c r="BJ24" i="6"/>
  <c r="BM16" i="6"/>
  <c r="BI14" i="6"/>
  <c r="BK25" i="6"/>
  <c r="BL25" i="6"/>
  <c r="BL24" i="6"/>
  <c r="BI13" i="6"/>
  <c r="BL16" i="6"/>
  <c r="BK17" i="6"/>
  <c r="BM25" i="6"/>
  <c r="BM13" i="6"/>
  <c r="BM24" i="6"/>
  <c r="BM14" i="6"/>
  <c r="BK14" i="6"/>
  <c r="BJ14" i="6"/>
  <c r="BI20" i="1"/>
  <c r="BI23" i="1"/>
  <c r="BM12" i="1"/>
  <c r="BL12" i="1"/>
  <c r="BJ25" i="1"/>
  <c r="BJ26" i="1"/>
  <c r="BJ22" i="1"/>
  <c r="BJ14" i="1"/>
  <c r="BM26" i="1"/>
  <c r="BI25" i="1"/>
  <c r="BM13" i="1"/>
  <c r="BI22" i="1"/>
  <c r="BJ23" i="1"/>
  <c r="BI17" i="1"/>
  <c r="BJ13" i="1"/>
  <c r="BI13" i="1"/>
  <c r="BI14" i="1"/>
  <c r="BM17" i="1"/>
  <c r="BL15" i="1"/>
  <c r="BL13" i="1"/>
  <c r="BL17" i="1"/>
  <c r="BM20" i="1"/>
  <c r="BJ15" i="1"/>
  <c r="BK26" i="1"/>
  <c r="BL20" i="1"/>
  <c r="BL14" i="1"/>
  <c r="BK20" i="1"/>
  <c r="BJ12" i="1"/>
  <c r="BI24" i="1"/>
  <c r="BM22" i="1"/>
  <c r="BK16" i="1"/>
  <c r="BM16" i="1"/>
  <c r="BJ16" i="1"/>
  <c r="BL16" i="1"/>
  <c r="BI16" i="1"/>
  <c r="BK18" i="1"/>
  <c r="BM18" i="1"/>
  <c r="BJ18" i="1"/>
  <c r="BL18" i="1"/>
  <c r="BI18" i="1"/>
  <c r="BK12" i="1"/>
  <c r="BM23" i="1"/>
  <c r="BL26" i="1"/>
  <c r="BL23" i="1"/>
  <c r="BM25" i="1"/>
  <c r="BJ17" i="1"/>
  <c r="BL25" i="1"/>
  <c r="BK14" i="1"/>
  <c r="BJ20" i="1"/>
  <c r="BI15" i="1"/>
  <c r="BL22" i="1"/>
  <c r="BM11" i="5"/>
  <c r="BM24" i="5"/>
  <c r="BN24" i="5" s="1"/>
  <c r="BM21" i="5"/>
  <c r="BN21" i="5" s="1"/>
  <c r="BN11" i="5"/>
  <c r="BN23" i="5"/>
  <c r="BN25" i="5"/>
  <c r="BM15" i="5"/>
  <c r="BN15" i="5" s="1"/>
  <c r="BM14" i="5"/>
  <c r="BN14" i="5" s="1"/>
  <c r="BM17" i="5"/>
  <c r="BN17" i="5" s="1"/>
  <c r="BM22" i="5"/>
  <c r="BN22" i="5" s="1"/>
  <c r="BM16" i="5"/>
  <c r="BN16" i="5" s="1"/>
  <c r="BM19" i="5"/>
  <c r="BN19" i="5" s="1"/>
  <c r="BM20" i="5"/>
  <c r="BN20" i="5" s="1"/>
  <c r="BM18" i="5"/>
  <c r="BN18" i="5" s="1"/>
  <c r="BM13" i="5"/>
  <c r="BN13" i="5" s="1"/>
  <c r="BM26" i="5"/>
  <c r="BN26" i="5" s="1"/>
  <c r="BM25" i="5"/>
  <c r="BT28" i="6"/>
  <c r="BT27" i="6"/>
  <c r="BT29" i="6"/>
  <c r="AB12" i="7"/>
  <c r="AB11" i="7"/>
  <c r="AG11" i="7" s="1"/>
  <c r="AI11" i="7" s="1"/>
  <c r="AB22" i="7"/>
  <c r="AB21" i="7"/>
  <c r="AG21" i="7" s="1"/>
  <c r="AI21" i="7" s="1"/>
  <c r="AB24" i="7"/>
  <c r="AB14" i="7"/>
  <c r="AB19" i="7"/>
  <c r="AB16" i="7"/>
  <c r="AG16" i="7" s="1"/>
  <c r="AI16" i="7" s="1"/>
  <c r="AB17" i="7"/>
  <c r="AB18" i="7"/>
  <c r="AB27" i="7"/>
  <c r="AB28" i="7"/>
  <c r="AB29" i="7"/>
  <c r="AB26" i="7"/>
  <c r="AG26" i="7" s="1"/>
  <c r="AI26" i="7" s="1"/>
  <c r="BT22" i="6"/>
  <c r="BT24" i="6"/>
  <c r="BU24" i="6" s="1"/>
  <c r="BT19" i="6"/>
  <c r="BT18" i="6"/>
  <c r="BT17" i="6"/>
  <c r="BT16" i="6"/>
  <c r="BO30" i="5"/>
  <c r="BU25" i="6" l="1"/>
  <c r="BY25" i="6" s="1"/>
  <c r="BZ25" i="6" s="1"/>
  <c r="BU15" i="6"/>
  <c r="BY15" i="6" s="1"/>
  <c r="BZ15" i="6" s="1"/>
  <c r="BU17" i="6"/>
  <c r="BU18" i="6"/>
  <c r="BY24" i="6"/>
  <c r="BZ24" i="6" s="1"/>
  <c r="BO15" i="5"/>
  <c r="BO19" i="5"/>
  <c r="BO23" i="5"/>
  <c r="BO11" i="5"/>
  <c r="BU26" i="6"/>
  <c r="BY26" i="6" s="1"/>
  <c r="BZ26" i="6" s="1"/>
  <c r="BT23" i="6"/>
  <c r="BU20" i="6" s="1"/>
  <c r="BU16" i="6"/>
  <c r="BT13" i="6"/>
  <c r="BT12" i="6"/>
  <c r="BT14" i="6"/>
  <c r="BU14" i="6" s="1"/>
  <c r="BU19" i="6" l="1"/>
  <c r="BY18" i="6"/>
  <c r="BZ18" i="6"/>
  <c r="BU13" i="6"/>
  <c r="BY14" i="6"/>
  <c r="BZ14" i="6" s="1"/>
  <c r="BY17" i="6"/>
  <c r="BZ17" i="6" s="1"/>
  <c r="BU12" i="6"/>
  <c r="BY19" i="6"/>
  <c r="BZ19" i="6" s="1"/>
  <c r="BY20" i="6"/>
  <c r="BZ20" i="6" s="1"/>
  <c r="BU21" i="6"/>
  <c r="BU23" i="6"/>
  <c r="BU22" i="6"/>
  <c r="BY21" i="6"/>
  <c r="BZ21" i="6" s="1"/>
  <c r="BT11" i="6"/>
  <c r="BU11" i="6" s="1"/>
  <c r="BY16" i="6"/>
  <c r="BZ16" i="6" s="1"/>
  <c r="BY22" i="6" l="1"/>
  <c r="BZ22" i="6" s="1"/>
  <c r="BY12" i="6"/>
  <c r="BZ12" i="6" s="1"/>
  <c r="BY23" i="6"/>
  <c r="BZ23" i="6" s="1"/>
  <c r="BY13" i="6"/>
  <c r="BZ13" i="6" s="1"/>
  <c r="BY11" i="6"/>
  <c r="BZ11" i="6" s="1"/>
</calcChain>
</file>

<file path=xl/sharedStrings.xml><?xml version="1.0" encoding="utf-8"?>
<sst xmlns="http://schemas.openxmlformats.org/spreadsheetml/2006/main" count="899" uniqueCount="221">
  <si>
    <t/>
  </si>
  <si>
    <t>input</t>
  </si>
  <si>
    <t>Number of poultry in each class j and subclass k</t>
  </si>
  <si>
    <t>Duration of stay for each class and subclass of poultry</t>
  </si>
  <si>
    <t>Njk</t>
  </si>
  <si>
    <t>Djk</t>
  </si>
  <si>
    <t>Ijk</t>
  </si>
  <si>
    <t>CPjk</t>
  </si>
  <si>
    <t>Poultry Class (jk)</t>
  </si>
  <si>
    <t>layers</t>
  </si>
  <si>
    <t>meatChickenGrowers</t>
  </si>
  <si>
    <t>meatOther</t>
  </si>
  <si>
    <t>DMD</t>
  </si>
  <si>
    <t>CP</t>
  </si>
  <si>
    <t>NR</t>
  </si>
  <si>
    <t>MMS</t>
  </si>
  <si>
    <t>manureWithLitter</t>
  </si>
  <si>
    <t>beltManureRemoval</t>
  </si>
  <si>
    <t>manureStoredInHouse</t>
  </si>
  <si>
    <t>solidStorage</t>
  </si>
  <si>
    <t>composting</t>
  </si>
  <si>
    <t>directProcessing</t>
  </si>
  <si>
    <t>digester</t>
  </si>
  <si>
    <t>FracGASM</t>
  </si>
  <si>
    <t>Efm</t>
  </si>
  <si>
    <t>jk</t>
  </si>
  <si>
    <t>i</t>
  </si>
  <si>
    <t>m</t>
  </si>
  <si>
    <t>Poultry class/subclass</t>
  </si>
  <si>
    <t>A</t>
  </si>
  <si>
    <t>Method 1</t>
  </si>
  <si>
    <t>VSjk</t>
  </si>
  <si>
    <t>DMDjk</t>
  </si>
  <si>
    <t>I</t>
  </si>
  <si>
    <t>Ajk</t>
  </si>
  <si>
    <t>State</t>
  </si>
  <si>
    <t>MMS (T = 1)</t>
  </si>
  <si>
    <t>MMS (T = 2)</t>
  </si>
  <si>
    <t>MMSmT=1</t>
  </si>
  <si>
    <t>mT=2</t>
  </si>
  <si>
    <t>pastureRangeAndPaddock</t>
  </si>
  <si>
    <t>directApplication</t>
  </si>
  <si>
    <t>Production system</t>
  </si>
  <si>
    <t>MAT</t>
  </si>
  <si>
    <t>Dry Matter Intake</t>
  </si>
  <si>
    <t>Dry Matter Digestibility</t>
  </si>
  <si>
    <t>Crude Protein</t>
  </si>
  <si>
    <t>Ash Content</t>
  </si>
  <si>
    <t>Volatile Solids</t>
  </si>
  <si>
    <t>Nitrogen Retention Rate</t>
  </si>
  <si>
    <t>B0</t>
  </si>
  <si>
    <t>Emissions Potential</t>
  </si>
  <si>
    <t>constant</t>
  </si>
  <si>
    <t>MMSmT=2</t>
  </si>
  <si>
    <t>4.6.1.1 (5)</t>
  </si>
  <si>
    <t>11a</t>
  </si>
  <si>
    <t>11b</t>
  </si>
  <si>
    <t>Allocation (stage 1)</t>
  </si>
  <si>
    <t>expression</t>
  </si>
  <si>
    <t>Efm (T=1)</t>
  </si>
  <si>
    <t>m (T=1)</t>
  </si>
  <si>
    <t>FracGASMm (T=1)</t>
  </si>
  <si>
    <t>Allocation (stage 2)</t>
  </si>
  <si>
    <t>NSW</t>
  </si>
  <si>
    <t>Climate Zone</t>
  </si>
  <si>
    <t>wet</t>
  </si>
  <si>
    <t>(wet or dry)</t>
  </si>
  <si>
    <t>Leaching zone</t>
  </si>
  <si>
    <t>(true or false)</t>
  </si>
  <si>
    <t>Irrigated pasture</t>
  </si>
  <si>
    <t>Irrigated crop</t>
  </si>
  <si>
    <t>Non-irrigated crop (low rainfall)</t>
  </si>
  <si>
    <t>Non-irrigated crop (high rainfall)</t>
  </si>
  <si>
    <t>Non-irrigated pasture</t>
  </si>
  <si>
    <t>EFN2O</t>
  </si>
  <si>
    <t>dry</t>
  </si>
  <si>
    <t>EFPRP</t>
  </si>
  <si>
    <t>ACT</t>
  </si>
  <si>
    <t>QLD</t>
  </si>
  <si>
    <t>NT</t>
  </si>
  <si>
    <t>VIC</t>
  </si>
  <si>
    <t>SA</t>
  </si>
  <si>
    <t>WA</t>
  </si>
  <si>
    <t>TAS</t>
  </si>
  <si>
    <t>N/A</t>
  </si>
  <si>
    <t>MCFim BY STATE</t>
  </si>
  <si>
    <t>𝑀𝑗𝑘𝑚 𝑇=1 = 𝑉𝑆𝑗𝑘 × 𝐵𝑜𝑗 × 𝑀𝑀𝑆𝑗𝑚 𝑇=1 × 𝑀𝐶𝐹𝑖𝑚 × 𝜌</t>
  </si>
  <si>
    <t>4.6.1.1 (2)</t>
  </si>
  <si>
    <t>Density of methane</t>
  </si>
  <si>
    <t>VSL</t>
  </si>
  <si>
    <t>𝑉𝑆𝑇𝑖𝑗𝑚𝑇=2 = 𝑉𝑆𝑗𝑘 × 𝑀𝑀𝑆𝑗𝑚𝑇=1 × ( 1 − 𝑉𝑆𝐿𝑚𝑇=1)</t>
  </si>
  <si>
    <t>ECH4jm (T=1)</t>
  </si>
  <si>
    <t>𝑉𝑆𝑇𝑗𝑘 × 𝐵𝑂 × 𝑀𝑀𝑆𝑗𝑚𝑇=2 × 𝑀𝐶𝐹𝑖𝑚 × 𝜌</t>
  </si>
  <si>
    <t>Efm (T=2)</t>
  </si>
  <si>
    <t>FracGASMm (T=2)</t>
  </si>
  <si>
    <t>ECH4jm (T=2)</t>
  </si>
  <si>
    <t>ECH4</t>
  </si>
  <si>
    <t>∑ ∑ ∑ ∑ (𝐷𝑗𝑘 × 𝑀𝑗𝑘𝑚𝑇 × 𝑁𝑗𝑘) × 10−3</t>
  </si>
  <si>
    <t>meatChickenBreeder</t>
  </si>
  <si>
    <t>Nijk</t>
  </si>
  <si>
    <t>NEjk</t>
  </si>
  <si>
    <t>NRjk</t>
  </si>
  <si>
    <t>AEjk</t>
  </si>
  <si>
    <t>MNjkmT=1</t>
  </si>
  <si>
    <t>NTjkmT=2</t>
  </si>
  <si>
    <t>𝑁𝑇𝑗𝑘𝑚 𝑇=2 = (𝑀𝑁𝑗𝑘𝑚𝑇=1 × (1 − 𝐹𝑟𝑎𝑐𝐺𝐴𝑆𝑀𝑚𝑇=1 − 𝐸𝐹𝑚𝑇=1))</t>
  </si>
  <si>
    <t>MNjkmT=2</t>
  </si>
  <si>
    <t>EN2O,dir</t>
  </si>
  <si>
    <t>Method 1 Inputs</t>
  </si>
  <si>
    <t>partial</t>
  </si>
  <si>
    <t>Boj</t>
  </si>
  <si>
    <t>CN2O</t>
  </si>
  <si>
    <t>Nitrogen leaving primary systems</t>
  </si>
  <si>
    <t>"NTjkmT=1"</t>
  </si>
  <si>
    <t>𝐸𝑁2𝑂,𝑑𝑖𝑟 = ∑ ∑ ∑ ∑ (𝑀𝑁𝑗𝑘𝑚𝑇 × 𝐸𝐹𝑗𝑚 × 𝐶𝑁2𝑂 ) × 10−3</t>
  </si>
  <si>
    <t>FracGASMsoil</t>
  </si>
  <si>
    <t>EN2O,ad</t>
  </si>
  <si>
    <t>MMSATMOS per m (T=1)</t>
  </si>
  <si>
    <t>MMSATMOS per m (T=2)</t>
  </si>
  <si>
    <t>MMSATMOS</t>
  </si>
  <si>
    <t>EFLeach</t>
  </si>
  <si>
    <t>FracLEACHMS</t>
  </si>
  <si>
    <t>FracWET</t>
  </si>
  <si>
    <t>EN2O,leach</t>
  </si>
  <si>
    <t>MNLeachjm=4</t>
  </si>
  <si>
    <t>MNLeachjm=14</t>
  </si>
  <si>
    <t>MCFim BY MAT</t>
  </si>
  <si>
    <t>10 or below</t>
  </si>
  <si>
    <t>28 or above</t>
  </si>
  <si>
    <t>Method 2 Inputs</t>
  </si>
  <si>
    <t>MMSjm=11aT=1</t>
  </si>
  <si>
    <t>MMSjm=10T=1</t>
  </si>
  <si>
    <t>MMSjm=11bT=1</t>
  </si>
  <si>
    <t>MMSjm=14T=1</t>
  </si>
  <si>
    <t>Stage 1 manure allocations</t>
  </si>
  <si>
    <t>MMSm=4T=2</t>
  </si>
  <si>
    <t>MMSm=6T=2</t>
  </si>
  <si>
    <t>MMSm=7T=2</t>
  </si>
  <si>
    <t>MMSm=12T=2</t>
  </si>
  <si>
    <t>MMSm=13T=2</t>
  </si>
  <si>
    <t>Stage 2 manure allocations FROM manureWithLitter (m=10)</t>
  </si>
  <si>
    <t>Stage 2 manure allocations FROM beltManureRemoval (m=11a)</t>
  </si>
  <si>
    <t>Stage 2 manure allocations FROM beltManureRemoval (m=11b)</t>
  </si>
  <si>
    <t>MCFim=10</t>
  </si>
  <si>
    <t>MCFim=11a</t>
  </si>
  <si>
    <t>MCFim=11b</t>
  </si>
  <si>
    <t>MCFim=14</t>
  </si>
  <si>
    <t>Mjm=10T=1</t>
  </si>
  <si>
    <t>Mjm=11aT=1</t>
  </si>
  <si>
    <t>Mjm=11bT=1</t>
  </si>
  <si>
    <t>Mjm=14T=1</t>
  </si>
  <si>
    <t>ECH4jm=10</t>
  </si>
  <si>
    <t>ECH4jm=11a</t>
  </si>
  <si>
    <t>ECH4jm=11b</t>
  </si>
  <si>
    <t>ECH4jm=14</t>
  </si>
  <si>
    <t>MCFim=4</t>
  </si>
  <si>
    <t>MCFim=13</t>
  </si>
  <si>
    <t>MCFim=12</t>
  </si>
  <si>
    <t>MCFim=7</t>
  </si>
  <si>
    <t>MCFim=6</t>
  </si>
  <si>
    <t>VSLm=10T=1</t>
  </si>
  <si>
    <t>VSLm=11aT=1</t>
  </si>
  <si>
    <t>VSLm=11bT=1</t>
  </si>
  <si>
    <t>Allocation (stage 2) FROM m=10</t>
  </si>
  <si>
    <t>Allocation (stage 2) FROM m=11a</t>
  </si>
  <si>
    <t>VSTjm=10T=2</t>
  </si>
  <si>
    <t>VSTjm=11aT=2</t>
  </si>
  <si>
    <t>VSTjm=11bT=2</t>
  </si>
  <si>
    <t>VSTj</t>
  </si>
  <si>
    <t>Mjm=4T=2</t>
  </si>
  <si>
    <t>Mjm=13T=2</t>
  </si>
  <si>
    <t>Mjm=12T=2</t>
  </si>
  <si>
    <t>Mjm=7T=2</t>
  </si>
  <si>
    <t>Mjm=6T=2</t>
  </si>
  <si>
    <t>ECH4j</t>
  </si>
  <si>
    <t>EFm=10</t>
  </si>
  <si>
    <t>EFm=11a</t>
  </si>
  <si>
    <t>EFm=11b</t>
  </si>
  <si>
    <t>EFm=14</t>
  </si>
  <si>
    <t>FracGASMm=10</t>
  </si>
  <si>
    <t>FracGASMm=11a</t>
  </si>
  <si>
    <t>FracGASMm=11b</t>
  </si>
  <si>
    <t>FracGASMm=14</t>
  </si>
  <si>
    <t>FracGASMm=13</t>
  </si>
  <si>
    <t>FracGASMm=12</t>
  </si>
  <si>
    <t>FracGASMm=7</t>
  </si>
  <si>
    <t>FracGASMm=6</t>
  </si>
  <si>
    <t>FracGASMm=4</t>
  </si>
  <si>
    <t>EFm=4</t>
  </si>
  <si>
    <t>EFm=6</t>
  </si>
  <si>
    <t>EFm=7</t>
  </si>
  <si>
    <t>EFm=12</t>
  </si>
  <si>
    <t>EFm=13</t>
  </si>
  <si>
    <t>NIj</t>
  </si>
  <si>
    <t>NEj</t>
  </si>
  <si>
    <t>MNjkm=10T=1</t>
  </si>
  <si>
    <t>MNjkm=11aT=1</t>
  </si>
  <si>
    <t>MNjkm=11bT=1</t>
  </si>
  <si>
    <t>MNjkm=14T=1</t>
  </si>
  <si>
    <t>NTjkm=10T=2</t>
  </si>
  <si>
    <t>NTjkm=11aT=2</t>
  </si>
  <si>
    <t>NTjkm=11bT=2</t>
  </si>
  <si>
    <t>MNjm=4T=2</t>
  </si>
  <si>
    <t>MNjm=6T=2</t>
  </si>
  <si>
    <t>MNjm=7T=2</t>
  </si>
  <si>
    <t>MNjm=12T=2</t>
  </si>
  <si>
    <t>MNjm=13T=2</t>
  </si>
  <si>
    <t>EN2O,dir m=10</t>
  </si>
  <si>
    <t>EN2O,dir m=11a</t>
  </si>
  <si>
    <t>EN2O,dir m=11b</t>
  </si>
  <si>
    <t>EN2O,dir m=14</t>
  </si>
  <si>
    <t>EN2O,dir m=4</t>
  </si>
  <si>
    <t>EN2O,dir m=12</t>
  </si>
  <si>
    <t>EN2O,dir m=6</t>
  </si>
  <si>
    <t>EN2O,dir m=7</t>
  </si>
  <si>
    <t>EN2O,dir (j)</t>
  </si>
  <si>
    <t>EMN2O,PRP,dir (j)</t>
  </si>
  <si>
    <t>MMSATMOS (m=10)</t>
  </si>
  <si>
    <t>MMSATMOS (m=11a)</t>
  </si>
  <si>
    <t>MMSATMOS (m=11b)</t>
  </si>
  <si>
    <t>Mvol,m=14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</si>
</sst>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AF2D0"/>
        <bgColor rgb="FF000000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0" fillId="3" borderId="0" xfId="0" applyFill="1"/>
    <xf numFmtId="0" fontId="3" fillId="3" borderId="0" xfId="0" applyFont="1" applyFill="1"/>
    <xf numFmtId="0" fontId="1" fillId="4" borderId="0" xfId="0" applyFont="1" applyFill="1" applyAlignment="1">
      <alignment horizontal="left"/>
    </xf>
    <xf numFmtId="0" fontId="1" fillId="4" borderId="0" xfId="0" applyFont="1" applyFill="1"/>
    <xf numFmtId="0" fontId="2" fillId="4" borderId="0" xfId="0" applyFont="1" applyFill="1" applyAlignment="1">
      <alignment horizontal="left"/>
    </xf>
    <xf numFmtId="0" fontId="0" fillId="4" borderId="0" xfId="0" applyFill="1"/>
    <xf numFmtId="0" fontId="0" fillId="5" borderId="0" xfId="0" applyFill="1"/>
    <xf numFmtId="0" fontId="0" fillId="0" borderId="1" xfId="0" applyBorder="1"/>
    <xf numFmtId="164" fontId="0" fillId="0" borderId="0" xfId="0" applyNumberFormat="1"/>
    <xf numFmtId="0" fontId="0" fillId="6" borderId="0" xfId="0" applyFill="1"/>
    <xf numFmtId="0" fontId="0" fillId="0" borderId="0" xfId="0" applyBorder="1"/>
    <xf numFmtId="0" fontId="0" fillId="0" borderId="0" xfId="0" applyFill="1" applyBorder="1"/>
    <xf numFmtId="0" fontId="0" fillId="0" borderId="1" xfId="0" applyFill="1" applyBorder="1"/>
    <xf numFmtId="0" fontId="0" fillId="2" borderId="1" xfId="0" applyFill="1" applyBorder="1"/>
    <xf numFmtId="0" fontId="0" fillId="5" borderId="1" xfId="0" applyFill="1" applyBorder="1"/>
    <xf numFmtId="164" fontId="0" fillId="0" borderId="1" xfId="0" applyNumberFormat="1" applyBorder="1"/>
    <xf numFmtId="0" fontId="3" fillId="7" borderId="0" xfId="0" applyFont="1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C4EF1-51EF-9649-B211-0AE83296A2EB}">
  <dimension ref="A2:BO31"/>
  <sheetViews>
    <sheetView topLeftCell="AX6" workbookViewId="0">
      <selection activeCell="A8" sqref="A8:AE26"/>
    </sheetView>
  </sheetViews>
  <sheetFormatPr baseColWidth="10" defaultRowHeight="16" x14ac:dyDescent="0.2"/>
  <cols>
    <col min="37" max="37" width="24" customWidth="1"/>
    <col min="39" max="39" width="14.1640625" customWidth="1"/>
    <col min="40" max="40" width="13.6640625" customWidth="1"/>
    <col min="41" max="41" width="14.1640625" customWidth="1"/>
    <col min="42" max="46" width="14.83203125" customWidth="1"/>
    <col min="47" max="47" width="12.6640625" bestFit="1" customWidth="1"/>
    <col min="48" max="51" width="16.33203125" customWidth="1"/>
    <col min="53" max="53" width="12.1640625" bestFit="1" customWidth="1"/>
    <col min="54" max="57" width="12.1640625" customWidth="1"/>
    <col min="60" max="60" width="12.1640625" bestFit="1" customWidth="1"/>
    <col min="65" max="65" width="12.1640625" bestFit="1" customWidth="1"/>
    <col min="66" max="66" width="15.1640625" customWidth="1"/>
  </cols>
  <sheetData>
    <row r="2" spans="1:67" x14ac:dyDescent="0.2">
      <c r="A2" t="s">
        <v>30</v>
      </c>
    </row>
    <row r="4" spans="1:67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52</v>
      </c>
      <c r="K4" t="s">
        <v>52</v>
      </c>
      <c r="L4" t="s">
        <v>52</v>
      </c>
      <c r="M4" t="s">
        <v>1</v>
      </c>
      <c r="N4" t="s">
        <v>1</v>
      </c>
      <c r="O4" t="s">
        <v>1</v>
      </c>
      <c r="P4" t="s">
        <v>1</v>
      </c>
      <c r="AF4" t="s">
        <v>58</v>
      </c>
      <c r="AG4" t="s">
        <v>52</v>
      </c>
      <c r="AH4" t="s">
        <v>52</v>
      </c>
      <c r="AI4" t="s">
        <v>52</v>
      </c>
      <c r="AO4" t="s">
        <v>52</v>
      </c>
      <c r="AP4" t="s">
        <v>58</v>
      </c>
      <c r="AU4" t="s">
        <v>109</v>
      </c>
      <c r="AZ4" t="s">
        <v>109</v>
      </c>
      <c r="BA4" t="s">
        <v>52</v>
      </c>
      <c r="BF4" t="s">
        <v>109</v>
      </c>
      <c r="BG4" t="s">
        <v>58</v>
      </c>
      <c r="BL4" t="s">
        <v>58</v>
      </c>
      <c r="BM4" t="s">
        <v>109</v>
      </c>
      <c r="BO4" t="s">
        <v>58</v>
      </c>
    </row>
    <row r="5" spans="1:67" x14ac:dyDescent="0.2">
      <c r="L5" t="s">
        <v>0</v>
      </c>
      <c r="AF5" t="s">
        <v>54</v>
      </c>
      <c r="AG5" t="s">
        <v>0</v>
      </c>
      <c r="AH5" t="s">
        <v>0</v>
      </c>
      <c r="AP5" t="s">
        <v>87</v>
      </c>
    </row>
    <row r="6" spans="1:67" x14ac:dyDescent="0.2">
      <c r="AP6" t="s">
        <v>86</v>
      </c>
      <c r="BD6" t="s">
        <v>90</v>
      </c>
      <c r="BH6" t="s">
        <v>92</v>
      </c>
      <c r="BO6" t="s">
        <v>97</v>
      </c>
    </row>
    <row r="8" spans="1:67" x14ac:dyDescent="0.2">
      <c r="A8" t="s">
        <v>35</v>
      </c>
      <c r="B8" t="s">
        <v>43</v>
      </c>
      <c r="C8" t="s">
        <v>42</v>
      </c>
      <c r="D8" t="s">
        <v>64</v>
      </c>
      <c r="E8" t="s">
        <v>67</v>
      </c>
      <c r="F8" t="s">
        <v>28</v>
      </c>
      <c r="G8" t="s">
        <v>2</v>
      </c>
      <c r="H8" t="s">
        <v>3</v>
      </c>
      <c r="I8" t="s">
        <v>44</v>
      </c>
      <c r="J8" t="s">
        <v>45</v>
      </c>
      <c r="K8" t="s">
        <v>46</v>
      </c>
      <c r="L8" t="s">
        <v>49</v>
      </c>
      <c r="M8" t="s">
        <v>57</v>
      </c>
      <c r="N8" t="s">
        <v>57</v>
      </c>
      <c r="Q8" t="s">
        <v>163</v>
      </c>
      <c r="V8" t="s">
        <v>164</v>
      </c>
      <c r="AA8" t="s">
        <v>62</v>
      </c>
      <c r="AF8" t="s">
        <v>48</v>
      </c>
      <c r="AG8" t="s">
        <v>47</v>
      </c>
      <c r="AH8" t="s">
        <v>51</v>
      </c>
    </row>
    <row r="10" spans="1:67" s="11" customFormat="1" x14ac:dyDescent="0.2">
      <c r="A10" s="17" t="s">
        <v>26</v>
      </c>
      <c r="B10" s="17" t="s">
        <v>26</v>
      </c>
      <c r="C10" s="17"/>
      <c r="D10" s="17" t="s">
        <v>66</v>
      </c>
      <c r="E10" s="17" t="s">
        <v>68</v>
      </c>
      <c r="F10" s="17" t="s">
        <v>25</v>
      </c>
      <c r="G10" s="17" t="s">
        <v>4</v>
      </c>
      <c r="H10" s="17" t="s">
        <v>5</v>
      </c>
      <c r="I10" s="17" t="s">
        <v>6</v>
      </c>
      <c r="J10" s="17" t="s">
        <v>32</v>
      </c>
      <c r="K10" s="17" t="s">
        <v>7</v>
      </c>
      <c r="L10" s="17" t="s">
        <v>101</v>
      </c>
      <c r="M10" s="17" t="s">
        <v>131</v>
      </c>
      <c r="N10" s="17" t="s">
        <v>130</v>
      </c>
      <c r="O10" s="17" t="s">
        <v>132</v>
      </c>
      <c r="P10" s="17" t="s">
        <v>133</v>
      </c>
      <c r="Q10" s="17" t="s">
        <v>135</v>
      </c>
      <c r="R10" s="17" t="s">
        <v>136</v>
      </c>
      <c r="S10" s="17" t="s">
        <v>137</v>
      </c>
      <c r="T10" s="17" t="s">
        <v>138</v>
      </c>
      <c r="U10" s="17" t="s">
        <v>139</v>
      </c>
      <c r="V10" s="17" t="s">
        <v>135</v>
      </c>
      <c r="W10" s="17" t="s">
        <v>136</v>
      </c>
      <c r="X10" s="17" t="s">
        <v>137</v>
      </c>
      <c r="Y10" s="17" t="s">
        <v>138</v>
      </c>
      <c r="Z10" s="17" t="s">
        <v>139</v>
      </c>
      <c r="AA10" s="17" t="s">
        <v>135</v>
      </c>
      <c r="AB10" s="17" t="s">
        <v>136</v>
      </c>
      <c r="AC10" s="17" t="s">
        <v>137</v>
      </c>
      <c r="AD10" s="17" t="s">
        <v>138</v>
      </c>
      <c r="AE10" s="17" t="s">
        <v>139</v>
      </c>
      <c r="AF10" s="17" t="s">
        <v>31</v>
      </c>
      <c r="AG10" s="17" t="s">
        <v>34</v>
      </c>
      <c r="AH10" s="17" t="s">
        <v>110</v>
      </c>
      <c r="AI10" s="17" t="s">
        <v>143</v>
      </c>
      <c r="AJ10" s="17" t="s">
        <v>144</v>
      </c>
      <c r="AK10" s="17" t="s">
        <v>145</v>
      </c>
      <c r="AL10" s="17" t="s">
        <v>146</v>
      </c>
      <c r="AM10" s="17" t="s">
        <v>147</v>
      </c>
      <c r="AN10" s="17" t="s">
        <v>148</v>
      </c>
      <c r="AO10" s="17" t="s">
        <v>149</v>
      </c>
      <c r="AP10" s="17" t="s">
        <v>150</v>
      </c>
      <c r="AQ10" s="17" t="s">
        <v>151</v>
      </c>
      <c r="AR10" s="17" t="s">
        <v>152</v>
      </c>
      <c r="AS10" s="17" t="s">
        <v>153</v>
      </c>
      <c r="AT10" s="17" t="s">
        <v>154</v>
      </c>
      <c r="AU10" s="18" t="s">
        <v>91</v>
      </c>
      <c r="AV10" s="17" t="s">
        <v>155</v>
      </c>
      <c r="AW10" s="17" t="s">
        <v>159</v>
      </c>
      <c r="AX10" s="17" t="s">
        <v>158</v>
      </c>
      <c r="AY10" s="17" t="s">
        <v>157</v>
      </c>
      <c r="AZ10" s="17" t="s">
        <v>156</v>
      </c>
      <c r="BA10" s="17" t="s">
        <v>160</v>
      </c>
      <c r="BB10" s="17" t="s">
        <v>161</v>
      </c>
      <c r="BC10" s="17" t="s">
        <v>162</v>
      </c>
      <c r="BD10" s="17" t="s">
        <v>165</v>
      </c>
      <c r="BE10" s="17" t="s">
        <v>166</v>
      </c>
      <c r="BF10" s="17" t="s">
        <v>167</v>
      </c>
      <c r="BG10" s="17" t="s">
        <v>168</v>
      </c>
      <c r="BH10" s="17" t="s">
        <v>169</v>
      </c>
      <c r="BI10" s="17" t="s">
        <v>173</v>
      </c>
      <c r="BJ10" s="17" t="s">
        <v>172</v>
      </c>
      <c r="BK10" s="17" t="s">
        <v>171</v>
      </c>
      <c r="BL10" s="17" t="s">
        <v>170</v>
      </c>
      <c r="BM10" s="17" t="s">
        <v>95</v>
      </c>
      <c r="BN10" s="18" t="s">
        <v>174</v>
      </c>
      <c r="BO10" s="18" t="s">
        <v>96</v>
      </c>
    </row>
    <row r="11" spans="1:67" x14ac:dyDescent="0.2">
      <c r="A11" t="str">
        <f>'Input Scenarios'!A8</f>
        <v>NSW</v>
      </c>
      <c r="B11">
        <f>'Input Scenarios'!B8</f>
        <v>0</v>
      </c>
      <c r="C11" t="str">
        <f>'Input Scenarios'!C8</f>
        <v>Non-irrigated pasture</v>
      </c>
      <c r="D11" t="str">
        <f>'Input Scenarios'!D8</f>
        <v>wet</v>
      </c>
      <c r="E11" t="b">
        <f>'Input Scenarios'!E8</f>
        <v>1</v>
      </c>
      <c r="F11" t="str">
        <f>'Input Scenarios'!F8</f>
        <v>layers</v>
      </c>
      <c r="G11">
        <f>'Input Scenarios'!G8</f>
        <v>5000</v>
      </c>
      <c r="H11">
        <f>'Input Scenarios'!H8</f>
        <v>50</v>
      </c>
      <c r="I11">
        <f>IF('Input Scenarios'!I8&lt;&gt;"", 'Input Scenarios'!I8,_xlfn.XLOOKUP($F11,Constants!$A$2:$A$5,Constants!B$2:B$5))</f>
        <v>8.5999999999999993E-2</v>
      </c>
      <c r="J11">
        <f>IF('Input Scenarios'!J8&lt;&gt;"", 'Input Scenarios'!J8,_xlfn.XLOOKUP($F11,Constants!$A$2:$A$5,Constants!C$2:C$5))</f>
        <v>0.8</v>
      </c>
      <c r="K11">
        <f>IF('Input Scenarios'!K8&lt;&gt;"", 'Input Scenarios'!K8,_xlfn.XLOOKUP($F11,Constants!$A$2:$A$5,Constants!D$2:D$5))</f>
        <v>0.19</v>
      </c>
      <c r="L11">
        <f>IF('Input Scenarios'!L8&lt;&gt;"", 'Input Scenarios'!L8,_xlfn.XLOOKUP($F11,Constants!$A$2:$A$5,Constants!E$2:E$5))</f>
        <v>0.35</v>
      </c>
      <c r="M11">
        <f>'Input Scenarios'!M8</f>
        <v>0.1</v>
      </c>
      <c r="N11">
        <f>'Input Scenarios'!N8</f>
        <v>0.2</v>
      </c>
      <c r="O11">
        <f>'Input Scenarios'!O8</f>
        <v>0.3</v>
      </c>
      <c r="P11">
        <f>'Input Scenarios'!P8</f>
        <v>0.4</v>
      </c>
      <c r="Q11">
        <f>'Input Scenarios'!Q8</f>
        <v>0.15</v>
      </c>
      <c r="R11">
        <f>'Input Scenarios'!R8</f>
        <v>0.2</v>
      </c>
      <c r="S11">
        <f>'Input Scenarios'!S8</f>
        <v>0.25</v>
      </c>
      <c r="T11">
        <f>'Input Scenarios'!T8</f>
        <v>0.17</v>
      </c>
      <c r="U11">
        <f>'Input Scenarios'!U8</f>
        <v>0.23</v>
      </c>
      <c r="V11">
        <f>'Input Scenarios'!V8</f>
        <v>0.15</v>
      </c>
      <c r="W11">
        <f>'Input Scenarios'!W8</f>
        <v>0.2</v>
      </c>
      <c r="X11">
        <f>'Input Scenarios'!X8</f>
        <v>0.25</v>
      </c>
      <c r="Y11">
        <f>'Input Scenarios'!Y8</f>
        <v>0.17</v>
      </c>
      <c r="Z11">
        <f>'Input Scenarios'!Z8</f>
        <v>0.23</v>
      </c>
      <c r="AA11">
        <f>'Input Scenarios'!AA8</f>
        <v>0.15</v>
      </c>
      <c r="AB11">
        <f>'Input Scenarios'!AB8</f>
        <v>0.2</v>
      </c>
      <c r="AC11">
        <f>'Input Scenarios'!AC8</f>
        <v>0.25</v>
      </c>
      <c r="AD11">
        <f>'Input Scenarios'!AD8</f>
        <v>0.17</v>
      </c>
      <c r="AE11">
        <f>'Input Scenarios'!AE8</f>
        <v>0.23</v>
      </c>
      <c r="AF11">
        <f>I11*(1-J11)*(1-AG11)</f>
        <v>1.4103999999999995E-2</v>
      </c>
      <c r="AG11">
        <f>IF(F11="", "",_xlfn.XLOOKUP(F11,Constants!$A$2:$A$5,Constants!F$2:F$5))</f>
        <v>0.18</v>
      </c>
      <c r="AH11">
        <f>IF(F11="", "",_xlfn.XLOOKUP(F11,Constants!$A$2:$A$5,Constants!G$2:G$5))</f>
        <v>0.39</v>
      </c>
      <c r="AI11">
        <f>_xlfn.XLOOKUP($A11, Constants!$F$8:$M$8,Constants!$F$9:$M$9)</f>
        <v>1.4999999999999999E-2</v>
      </c>
      <c r="AJ11">
        <f>_xlfn.XLOOKUP($A11, Constants!$F$8:$M$8,Constants!$F$10:$M$10)</f>
        <v>1.4999999999999999E-2</v>
      </c>
      <c r="AK11">
        <f>_xlfn.XLOOKUP($A11, Constants!$F$8:$M$8,Constants!$F$11:$M$11)</f>
        <v>1.4999999999999999E-2</v>
      </c>
      <c r="AL11">
        <f>_xlfn.XLOOKUP($A11, Constants!$F$8:$M$8,Constants!$F$16:$M$16)</f>
        <v>0.01</v>
      </c>
      <c r="AM11" s="12">
        <f>$AF$11*$AH$11*M11*AI11*Constants!$I$2</f>
        <v>5.5973698559999982E-6</v>
      </c>
      <c r="AN11" s="12">
        <f>$AF$11*$AH$11*N11*AJ11*Constants!$I$2</f>
        <v>1.1194739711999996E-5</v>
      </c>
      <c r="AO11" s="12">
        <f>$AF$11*$AH$11*O11*AK11*Constants!$I$2</f>
        <v>1.6792109567999992E-5</v>
      </c>
      <c r="AP11" s="12">
        <f>$AF$11*$AH$11*P11*AL11*Constants!$I$2</f>
        <v>1.4926319615999996E-5</v>
      </c>
      <c r="AQ11" s="12">
        <f>AM11*$G11*$H11</f>
        <v>1.3993424639999994</v>
      </c>
      <c r="AR11" s="12">
        <f t="shared" ref="AR11:AT11" si="0">AN11*$G11*$H11</f>
        <v>2.7986849279999988</v>
      </c>
      <c r="AS11" s="12">
        <f t="shared" si="0"/>
        <v>4.1980273919999975</v>
      </c>
      <c r="AT11" s="12">
        <f t="shared" si="0"/>
        <v>3.7315799039999993</v>
      </c>
      <c r="AU11" s="12">
        <f>SUM(AQ11:AT11)</f>
        <v>12.127634687999997</v>
      </c>
      <c r="AV11">
        <f>_xlfn.XLOOKUP($A11, Constants!$F$8:$M$8,Constants!$F$12:$M$12)</f>
        <v>0.02</v>
      </c>
      <c r="AW11">
        <f>_xlfn.XLOOKUP($A11, Constants!$F$8:$M$8,Constants!$F$13:$M$13)</f>
        <v>0.01</v>
      </c>
      <c r="AX11">
        <f>_xlfn.XLOOKUP($A11, Constants!$F$8:$M$8,Constants!$F$15:$M$15)</f>
        <v>0.1</v>
      </c>
      <c r="AY11">
        <f>_xlfn.XLOOKUP($A11, Constants!$F$8:$M$8,Constants!$F$14:$M$14)</f>
        <v>0</v>
      </c>
      <c r="AZ11">
        <f>_xlfn.XLOOKUP($A11, Constants!$F$8:$M$8,Constants!$F$17:$M$17)</f>
        <v>0</v>
      </c>
      <c r="BA11">
        <f>Constants!$E$9</f>
        <v>0.15</v>
      </c>
      <c r="BB11">
        <f>Constants!$E$10</f>
        <v>0</v>
      </c>
      <c r="BC11">
        <f>Constants!$E$11</f>
        <v>0.2</v>
      </c>
      <c r="BD11">
        <f>$AF11*M11*(1-BA11)</f>
        <v>1.1988399999999996E-3</v>
      </c>
      <c r="BE11">
        <f>$AF11*N11*(1-BB11)</f>
        <v>2.8207999999999992E-3</v>
      </c>
      <c r="BF11">
        <f>$AF11*O11*(1-BC11)</f>
        <v>3.3849599999999989E-3</v>
      </c>
      <c r="BG11">
        <f>SUM(BD11:BF11)</f>
        <v>7.4045999999999973E-3</v>
      </c>
      <c r="BH11">
        <f>(($BD11*Q11)+($BE11*V11)+($BF11*AA11))*AV11*$AH11*Constants!$I$2</f>
        <v>5.8772383487999989E-6</v>
      </c>
      <c r="BI11">
        <f>(($BD11*R11)+($BE11*W11)+($BF11*AB11))*AW11*$AH11*Constants!$I$2</f>
        <v>3.918158899199999E-6</v>
      </c>
      <c r="BJ11">
        <f>(($BD11*S11)+($BE11*X11)+($BF11*AC11))*AX11*$AH11*Constants!$I$2</f>
        <v>4.8976986239999979E-5</v>
      </c>
      <c r="BK11">
        <f>(($BD11*T11)+($BE11*Y11)+($BF11*AD11))*AY11*$AH11*Constants!$I$2</f>
        <v>0</v>
      </c>
      <c r="BL11">
        <f>(($BD11*U11)+($BE11*Z11)+($BF11*AE11))*AZ11*$AH11*Constants!$I$2</f>
        <v>0</v>
      </c>
      <c r="BM11">
        <f>SUM(BH11:BL11)</f>
        <v>5.8772383487999981E-5</v>
      </c>
      <c r="BN11" s="12">
        <f>AU11+BM11</f>
        <v>12.127693460383485</v>
      </c>
      <c r="BO11">
        <f>SUM(BN11:BN14)/1000</f>
        <v>4.8510784127149813E-2</v>
      </c>
    </row>
    <row r="12" spans="1:67" x14ac:dyDescent="0.2">
      <c r="A12" t="str">
        <f>'Input Scenarios'!A9</f>
        <v>NSW</v>
      </c>
      <c r="B12">
        <f>'Input Scenarios'!B9</f>
        <v>0</v>
      </c>
      <c r="C12" t="str">
        <f>'Input Scenarios'!C9</f>
        <v>Non-irrigated pasture</v>
      </c>
      <c r="D12" t="str">
        <f>'Input Scenarios'!D9</f>
        <v>wet</v>
      </c>
      <c r="E12" t="b">
        <f>'Input Scenarios'!E9</f>
        <v>1</v>
      </c>
      <c r="F12" t="str">
        <f>'Input Scenarios'!F9</f>
        <v>meatChickenBreeder</v>
      </c>
      <c r="G12">
        <f>'Input Scenarios'!G9</f>
        <v>5000</v>
      </c>
      <c r="H12">
        <f>'Input Scenarios'!H9</f>
        <v>50</v>
      </c>
      <c r="I12">
        <f>IF('Input Scenarios'!I9&lt;&gt;"", 'Input Scenarios'!I9,_xlfn.XLOOKUP($F12,Constants!$A$2:$A$5,Constants!B$2:B$5))</f>
        <v>0.10299999999999999</v>
      </c>
      <c r="J12">
        <f>IF('Input Scenarios'!J9&lt;&gt;"", 'Input Scenarios'!J9,_xlfn.XLOOKUP($F12,Constants!$A$2:$A$5,Constants!C$2:C$5))</f>
        <v>0.8</v>
      </c>
      <c r="K12">
        <f>IF('Input Scenarios'!K9&lt;&gt;"", 'Input Scenarios'!K9,_xlfn.XLOOKUP($F12,Constants!$A$2:$A$5,Constants!D$2:D$5))</f>
        <v>0.19</v>
      </c>
      <c r="L12">
        <f>IF('Input Scenarios'!L9&lt;&gt;"", 'Input Scenarios'!L9,_xlfn.XLOOKUP($F12,Constants!$A$2:$A$5,Constants!E$2:E$5))</f>
        <v>0.32</v>
      </c>
      <c r="M12">
        <f>'Input Scenarios'!M9</f>
        <v>0.1</v>
      </c>
      <c r="N12">
        <f>'Input Scenarios'!N9</f>
        <v>0.2</v>
      </c>
      <c r="O12">
        <f>'Input Scenarios'!O9</f>
        <v>0.3</v>
      </c>
      <c r="P12">
        <f>'Input Scenarios'!P9</f>
        <v>0.4</v>
      </c>
      <c r="Q12">
        <f>'Input Scenarios'!Q9</f>
        <v>0.15</v>
      </c>
      <c r="R12">
        <f>'Input Scenarios'!R9</f>
        <v>0.2</v>
      </c>
      <c r="S12">
        <f>'Input Scenarios'!S9</f>
        <v>0.25</v>
      </c>
      <c r="T12">
        <f>'Input Scenarios'!T9</f>
        <v>0.17</v>
      </c>
      <c r="U12">
        <f>'Input Scenarios'!U9</f>
        <v>0.23</v>
      </c>
      <c r="V12">
        <f>'Input Scenarios'!V9</f>
        <v>0.15</v>
      </c>
      <c r="W12">
        <f>'Input Scenarios'!W9</f>
        <v>0.2</v>
      </c>
      <c r="X12">
        <f>'Input Scenarios'!X9</f>
        <v>0.25</v>
      </c>
      <c r="Y12">
        <f>'Input Scenarios'!Y9</f>
        <v>0.17</v>
      </c>
      <c r="Z12">
        <f>'Input Scenarios'!Z9</f>
        <v>0.23</v>
      </c>
      <c r="AA12">
        <f>'Input Scenarios'!AA9</f>
        <v>0.15</v>
      </c>
      <c r="AB12">
        <f>'Input Scenarios'!AB9</f>
        <v>0.2</v>
      </c>
      <c r="AC12">
        <f>'Input Scenarios'!AC9</f>
        <v>0.25</v>
      </c>
      <c r="AD12">
        <f>'Input Scenarios'!AD9</f>
        <v>0.17</v>
      </c>
      <c r="AE12">
        <f>'Input Scenarios'!AE9</f>
        <v>0.23</v>
      </c>
      <c r="AF12">
        <f>I12*(1-J12)*(1-AG12)</f>
        <v>1.6891999999999997E-2</v>
      </c>
      <c r="AG12">
        <f>IF(F12="", "",_xlfn.XLOOKUP(F12,Constants!$A$2:$A$5,Constants!F$2:F$5))</f>
        <v>0.18</v>
      </c>
      <c r="AH12">
        <f>IF(F12="", "",_xlfn.XLOOKUP(F12,Constants!$A$2:$A$5,Constants!G$2:G$5))</f>
        <v>0.36</v>
      </c>
      <c r="AI12">
        <f>_xlfn.XLOOKUP($A12, Constants!$F$8:$M$8,Constants!$F$9:$M$9)</f>
        <v>1.4999999999999999E-2</v>
      </c>
      <c r="AJ12">
        <f>_xlfn.XLOOKUP($A12, Constants!$F$8:$M$8,Constants!$F$10:$M$10)</f>
        <v>1.4999999999999999E-2</v>
      </c>
      <c r="AK12">
        <f>_xlfn.XLOOKUP($A12, Constants!$F$8:$M$8,Constants!$F$11:$M$11)</f>
        <v>1.4999999999999999E-2</v>
      </c>
      <c r="AL12">
        <f>_xlfn.XLOOKUP($A12, Constants!$F$8:$M$8,Constants!$F$16:$M$16)</f>
        <v>0.01</v>
      </c>
      <c r="AM12" s="12">
        <f>$AF$11*$AH$11*M12*AI12*Constants!$I$2</f>
        <v>5.5973698559999982E-6</v>
      </c>
      <c r="AN12" s="12">
        <f>$AF$11*$AH$11*N12*AJ12*Constants!$I$2</f>
        <v>1.1194739711999996E-5</v>
      </c>
      <c r="AO12" s="12">
        <f>$AF$11*$AH$11*O12*AK12*Constants!$I$2</f>
        <v>1.6792109567999992E-5</v>
      </c>
      <c r="AP12" s="12">
        <f>$AF$11*$AH$11*P12*AL12*Constants!$I$2</f>
        <v>1.4926319615999996E-5</v>
      </c>
      <c r="AQ12" s="12">
        <f t="shared" ref="AQ12:AQ26" si="1">AM12*$G12*$H12</f>
        <v>1.3993424639999994</v>
      </c>
      <c r="AR12" s="12">
        <f t="shared" ref="AR12:AR26" si="2">AN12*$G12*$H12</f>
        <v>2.7986849279999988</v>
      </c>
      <c r="AS12" s="12">
        <f t="shared" ref="AS12:AS26" si="3">AO12*$G12*$H12</f>
        <v>4.1980273919999975</v>
      </c>
      <c r="AT12" s="12">
        <f t="shared" ref="AT12:AT26" si="4">AP12*$G12*$H12</f>
        <v>3.7315799039999993</v>
      </c>
      <c r="AU12" s="12">
        <f t="shared" ref="AU12:AU26" si="5">SUM(AQ12:AT12)</f>
        <v>12.127634687999997</v>
      </c>
      <c r="AV12">
        <f>_xlfn.XLOOKUP($A12, Constants!$F$8:$M$8,Constants!$F$12:$M$12)</f>
        <v>0.02</v>
      </c>
      <c r="AW12">
        <f>_xlfn.XLOOKUP($A12, Constants!$F$8:$M$8,Constants!$F$13:$M$13)</f>
        <v>0.01</v>
      </c>
      <c r="AX12">
        <f>_xlfn.XLOOKUP($A12, Constants!$F$8:$M$8,Constants!$F$15:$M$15)</f>
        <v>0.1</v>
      </c>
      <c r="AY12">
        <f>_xlfn.XLOOKUP($A12, Constants!$F$8:$M$8,Constants!$F$14:$M$14)</f>
        <v>0</v>
      </c>
      <c r="AZ12">
        <f>_xlfn.XLOOKUP($A12, Constants!$F$8:$M$8,Constants!$F$17:$M$17)</f>
        <v>0</v>
      </c>
      <c r="BA12">
        <f>Constants!$E$9</f>
        <v>0.15</v>
      </c>
      <c r="BB12">
        <f>Constants!$E$10</f>
        <v>0</v>
      </c>
      <c r="BC12">
        <f>Constants!$E$11</f>
        <v>0.2</v>
      </c>
      <c r="BD12">
        <f>$AF12*M12*(1-BA12)</f>
        <v>1.4358199999999998E-3</v>
      </c>
      <c r="BE12">
        <f>$AF12*N12*(1-BB12)</f>
        <v>3.3783999999999997E-3</v>
      </c>
      <c r="BF12">
        <f>$AF12*O12*(1-BC12)</f>
        <v>4.0540799999999998E-3</v>
      </c>
      <c r="BG12">
        <f t="shared" ref="BG12:BG26" si="6">SUM(BD12:BF12)</f>
        <v>8.8682999999999991E-3</v>
      </c>
      <c r="BH12">
        <f>(($BD12*Q12)+($BE12*V12)+($BF12*AA12))*AV12*$AH12*Constants!$I$2</f>
        <v>6.4975550975999987E-6</v>
      </c>
      <c r="BI12">
        <f>(($BD12*R12)+($BE12*W12)+($BF12*AB12))*AW12*$AH12*Constants!$I$2</f>
        <v>4.3317033984000005E-6</v>
      </c>
      <c r="BJ12">
        <f>(($BD12*S12)+($BE12*X12)+($BF12*AC12))*AX12*$AH12*Constants!$I$2</f>
        <v>5.414629247999999E-5</v>
      </c>
      <c r="BK12">
        <f>(($BD12*T12)+($BE12*Y12)+($BF12*AD12))*AY12*$AH12*Constants!$I$2</f>
        <v>0</v>
      </c>
      <c r="BL12">
        <f>(($BD12*U12)+($BE12*Z12)+($BF12*AE12))*AZ12*$AH12*Constants!$I$2</f>
        <v>0</v>
      </c>
      <c r="BM12">
        <f t="shared" ref="BM12:BM26" si="7">SUM(BH12:BL12)</f>
        <v>6.4975550975999993E-5</v>
      </c>
      <c r="BN12" s="12">
        <f t="shared" ref="BN12:BN26" si="8">AU12+BM12</f>
        <v>12.127699663550972</v>
      </c>
    </row>
    <row r="13" spans="1:67" x14ac:dyDescent="0.2">
      <c r="A13" t="str">
        <f>'Input Scenarios'!A10</f>
        <v>NSW</v>
      </c>
      <c r="B13">
        <f>'Input Scenarios'!B10</f>
        <v>0</v>
      </c>
      <c r="C13" t="str">
        <f>'Input Scenarios'!C10</f>
        <v>Non-irrigated pasture</v>
      </c>
      <c r="D13" t="str">
        <f>'Input Scenarios'!D10</f>
        <v>wet</v>
      </c>
      <c r="E13" t="b">
        <f>'Input Scenarios'!E10</f>
        <v>1</v>
      </c>
      <c r="F13" t="str">
        <f>'Input Scenarios'!F10</f>
        <v>meatChickenGrowers</v>
      </c>
      <c r="G13">
        <f>'Input Scenarios'!G10</f>
        <v>5000</v>
      </c>
      <c r="H13">
        <f>'Input Scenarios'!H10</f>
        <v>50</v>
      </c>
      <c r="I13">
        <f>IF('Input Scenarios'!I10&lt;&gt;"", 'Input Scenarios'!I10,_xlfn.XLOOKUP($F13,Constants!$A$2:$A$5,Constants!B$2:B$5))</f>
        <v>9.2999999999999999E-2</v>
      </c>
      <c r="J13">
        <f>IF('Input Scenarios'!J10&lt;&gt;"", 'Input Scenarios'!J10,_xlfn.XLOOKUP($F13,Constants!$A$2:$A$5,Constants!C$2:C$5))</f>
        <v>0.8</v>
      </c>
      <c r="K13">
        <f>IF('Input Scenarios'!K10&lt;&gt;"", 'Input Scenarios'!K10,_xlfn.XLOOKUP($F13,Constants!$A$2:$A$5,Constants!D$2:D$5))</f>
        <v>0.23</v>
      </c>
      <c r="L13">
        <f>IF('Input Scenarios'!L10&lt;&gt;"", 'Input Scenarios'!L10,_xlfn.XLOOKUP($F13,Constants!$A$2:$A$5,Constants!E$2:E$5))</f>
        <v>0.47</v>
      </c>
      <c r="M13">
        <f>'Input Scenarios'!M10</f>
        <v>0.1</v>
      </c>
      <c r="N13">
        <f>'Input Scenarios'!N10</f>
        <v>0.2</v>
      </c>
      <c r="O13">
        <f>'Input Scenarios'!O10</f>
        <v>0.3</v>
      </c>
      <c r="P13">
        <f>'Input Scenarios'!P10</f>
        <v>0.4</v>
      </c>
      <c r="Q13">
        <f>'Input Scenarios'!Q10</f>
        <v>0.15</v>
      </c>
      <c r="R13">
        <f>'Input Scenarios'!R10</f>
        <v>0.2</v>
      </c>
      <c r="S13">
        <f>'Input Scenarios'!S10</f>
        <v>0.25</v>
      </c>
      <c r="T13">
        <f>'Input Scenarios'!T10</f>
        <v>0.17</v>
      </c>
      <c r="U13">
        <f>'Input Scenarios'!U10</f>
        <v>0.23</v>
      </c>
      <c r="V13">
        <f>'Input Scenarios'!V10</f>
        <v>0.15</v>
      </c>
      <c r="W13">
        <f>'Input Scenarios'!W10</f>
        <v>0.2</v>
      </c>
      <c r="X13">
        <f>'Input Scenarios'!X10</f>
        <v>0.25</v>
      </c>
      <c r="Y13">
        <f>'Input Scenarios'!Y10</f>
        <v>0.17</v>
      </c>
      <c r="Z13">
        <f>'Input Scenarios'!Z10</f>
        <v>0.23</v>
      </c>
      <c r="AA13">
        <f>'Input Scenarios'!AA10</f>
        <v>0.15</v>
      </c>
      <c r="AB13">
        <f>'Input Scenarios'!AB10</f>
        <v>0.2</v>
      </c>
      <c r="AC13">
        <f>'Input Scenarios'!AC10</f>
        <v>0.25</v>
      </c>
      <c r="AD13">
        <f>'Input Scenarios'!AD10</f>
        <v>0.17</v>
      </c>
      <c r="AE13">
        <f>'Input Scenarios'!AE10</f>
        <v>0.23</v>
      </c>
      <c r="AF13">
        <f>I13*(1-J13)*(1-AG13)</f>
        <v>1.5809999999999994E-2</v>
      </c>
      <c r="AG13">
        <f>IF(F13="", "",_xlfn.XLOOKUP(F13,Constants!$A$2:$A$5,Constants!F$2:F$5))</f>
        <v>0.15</v>
      </c>
      <c r="AH13">
        <f>IF(F13="", "",_xlfn.XLOOKUP(F13,Constants!$A$2:$A$5,Constants!G$2:G$5))</f>
        <v>0.36</v>
      </c>
      <c r="AI13">
        <f>_xlfn.XLOOKUP($A13, Constants!$F$8:$M$8,Constants!$F$9:$M$9)</f>
        <v>1.4999999999999999E-2</v>
      </c>
      <c r="AJ13">
        <f>_xlfn.XLOOKUP($A13, Constants!$F$8:$M$8,Constants!$F$10:$M$10)</f>
        <v>1.4999999999999999E-2</v>
      </c>
      <c r="AK13">
        <f>_xlfn.XLOOKUP($A13, Constants!$F$8:$M$8,Constants!$F$11:$M$11)</f>
        <v>1.4999999999999999E-2</v>
      </c>
      <c r="AL13">
        <f>_xlfn.XLOOKUP($A13, Constants!$F$8:$M$8,Constants!$F$16:$M$16)</f>
        <v>0.01</v>
      </c>
      <c r="AM13" s="12">
        <f>$AF$11*$AH$11*M13*AI13*Constants!$I$2</f>
        <v>5.5973698559999982E-6</v>
      </c>
      <c r="AN13" s="12">
        <f>$AF$11*$AH$11*N13*AJ13*Constants!$I$2</f>
        <v>1.1194739711999996E-5</v>
      </c>
      <c r="AO13" s="12">
        <f>$AF$11*$AH$11*O13*AK13*Constants!$I$2</f>
        <v>1.6792109567999992E-5</v>
      </c>
      <c r="AP13" s="12">
        <f>$AF$11*$AH$11*P13*AL13*Constants!$I$2</f>
        <v>1.4926319615999996E-5</v>
      </c>
      <c r="AQ13" s="12">
        <f t="shared" si="1"/>
        <v>1.3993424639999994</v>
      </c>
      <c r="AR13" s="12">
        <f t="shared" si="2"/>
        <v>2.7986849279999988</v>
      </c>
      <c r="AS13" s="12">
        <f t="shared" si="3"/>
        <v>4.1980273919999975</v>
      </c>
      <c r="AT13" s="12">
        <f t="shared" si="4"/>
        <v>3.7315799039999993</v>
      </c>
      <c r="AU13" s="12">
        <f t="shared" si="5"/>
        <v>12.127634687999997</v>
      </c>
      <c r="AV13">
        <f>_xlfn.XLOOKUP($A13, Constants!$F$8:$M$8,Constants!$F$12:$M$12)</f>
        <v>0.02</v>
      </c>
      <c r="AW13">
        <f>_xlfn.XLOOKUP($A13, Constants!$F$8:$M$8,Constants!$F$13:$M$13)</f>
        <v>0.01</v>
      </c>
      <c r="AX13">
        <f>_xlfn.XLOOKUP($A13, Constants!$F$8:$M$8,Constants!$F$15:$M$15)</f>
        <v>0.1</v>
      </c>
      <c r="AY13">
        <f>_xlfn.XLOOKUP($A13, Constants!$F$8:$M$8,Constants!$F$14:$M$14)</f>
        <v>0</v>
      </c>
      <c r="AZ13">
        <f>_xlfn.XLOOKUP($A13, Constants!$F$8:$M$8,Constants!$F$17:$M$17)</f>
        <v>0</v>
      </c>
      <c r="BA13">
        <f>Constants!$E$9</f>
        <v>0.15</v>
      </c>
      <c r="BB13">
        <f>Constants!$E$10</f>
        <v>0</v>
      </c>
      <c r="BC13">
        <f>Constants!$E$11</f>
        <v>0.2</v>
      </c>
      <c r="BD13">
        <f>$AF13*M13*(1-BA13)</f>
        <v>1.3438499999999995E-3</v>
      </c>
      <c r="BE13">
        <f>$AF13*N13*(1-BB13)</f>
        <v>3.161999999999999E-3</v>
      </c>
      <c r="BF13">
        <f>$AF13*O13*(1-BC13)</f>
        <v>3.7943999999999986E-3</v>
      </c>
      <c r="BG13">
        <f t="shared" si="6"/>
        <v>8.3002499999999969E-3</v>
      </c>
      <c r="BH13">
        <f>(($BD13*Q13)+($BE13*V13)+($BF13*AA13))*AV13*$AH13*Constants!$I$2</f>
        <v>6.0813607679999965E-6</v>
      </c>
      <c r="BI13">
        <f>(($BD13*R13)+($BE13*W13)+($BF13*AB13))*AW13*$AH13*Constants!$I$2</f>
        <v>4.0542405119999988E-6</v>
      </c>
      <c r="BJ13">
        <f>(($BD13*S13)+($BE13*X13)+($BF13*AC13))*AX13*$AH13*Constants!$I$2</f>
        <v>5.0678006399999988E-5</v>
      </c>
      <c r="BK13">
        <f>(($BD13*T13)+($BE13*Y13)+($BF13*AD13))*AY13*$AH13*Constants!$I$2</f>
        <v>0</v>
      </c>
      <c r="BL13">
        <f>(($BD13*U13)+($BE13*Z13)+($BF13*AE13))*AZ13*$AH13*Constants!$I$2</f>
        <v>0</v>
      </c>
      <c r="BM13">
        <f t="shared" si="7"/>
        <v>6.0813607679999984E-5</v>
      </c>
      <c r="BN13" s="12">
        <f t="shared" si="8"/>
        <v>12.127695501607677</v>
      </c>
    </row>
    <row r="14" spans="1:67" s="11" customFormat="1" x14ac:dyDescent="0.2">
      <c r="A14" s="11" t="str">
        <f>'Input Scenarios'!A11</f>
        <v>NSW</v>
      </c>
      <c r="B14" s="11">
        <f>'Input Scenarios'!B11</f>
        <v>0</v>
      </c>
      <c r="C14" s="11" t="str">
        <f>'Input Scenarios'!C11</f>
        <v>Non-irrigated pasture</v>
      </c>
      <c r="D14" s="11" t="str">
        <f>'Input Scenarios'!D11</f>
        <v>wet</v>
      </c>
      <c r="E14" s="11" t="b">
        <f>'Input Scenarios'!E11</f>
        <v>1</v>
      </c>
      <c r="F14" s="11" t="str">
        <f>'Input Scenarios'!F11</f>
        <v>meatOther</v>
      </c>
      <c r="G14" s="11">
        <f>'Input Scenarios'!G11</f>
        <v>5000</v>
      </c>
      <c r="H14" s="11">
        <f>'Input Scenarios'!H11</f>
        <v>50</v>
      </c>
      <c r="I14">
        <f>IF('Input Scenarios'!I11&lt;&gt;"", 'Input Scenarios'!I11,_xlfn.XLOOKUP($F14,Constants!$A$2:$A$5,Constants!B$2:B$5))</f>
        <v>9.2999999999999999E-2</v>
      </c>
      <c r="J14">
        <f>IF('Input Scenarios'!J11&lt;&gt;"", 'Input Scenarios'!J11,_xlfn.XLOOKUP($F14,Constants!$A$2:$A$5,Constants!C$2:C$5))</f>
        <v>0.8</v>
      </c>
      <c r="K14">
        <f>IF('Input Scenarios'!K11&lt;&gt;"", 'Input Scenarios'!K11,_xlfn.XLOOKUP($F14,Constants!$A$2:$A$5,Constants!D$2:D$5))</f>
        <v>0.23</v>
      </c>
      <c r="L14">
        <f>IF('Input Scenarios'!L11&lt;&gt;"", 'Input Scenarios'!L11,_xlfn.XLOOKUP($F14,Constants!$A$2:$A$5,Constants!E$2:E$5))</f>
        <v>0.47</v>
      </c>
      <c r="M14" s="11">
        <f>'Input Scenarios'!M11</f>
        <v>0.1</v>
      </c>
      <c r="N14" s="11">
        <f>'Input Scenarios'!N11</f>
        <v>0.2</v>
      </c>
      <c r="O14" s="11">
        <f>'Input Scenarios'!O11</f>
        <v>0.3</v>
      </c>
      <c r="P14" s="11">
        <f>'Input Scenarios'!P11</f>
        <v>0.4</v>
      </c>
      <c r="Q14" s="11">
        <f>'Input Scenarios'!Q11</f>
        <v>0.15</v>
      </c>
      <c r="R14" s="11">
        <f>'Input Scenarios'!R11</f>
        <v>0.2</v>
      </c>
      <c r="S14" s="11">
        <f>'Input Scenarios'!S11</f>
        <v>0.25</v>
      </c>
      <c r="T14" s="11">
        <f>'Input Scenarios'!T11</f>
        <v>0.17</v>
      </c>
      <c r="U14" s="11">
        <f>'Input Scenarios'!U11</f>
        <v>0.23</v>
      </c>
      <c r="V14" s="11">
        <f>'Input Scenarios'!V11</f>
        <v>0.15</v>
      </c>
      <c r="W14" s="11">
        <f>'Input Scenarios'!W11</f>
        <v>0.2</v>
      </c>
      <c r="X14" s="11">
        <f>'Input Scenarios'!X11</f>
        <v>0.25</v>
      </c>
      <c r="Y14" s="11">
        <f>'Input Scenarios'!Y11</f>
        <v>0.17</v>
      </c>
      <c r="Z14" s="11">
        <f>'Input Scenarios'!Z11</f>
        <v>0.23</v>
      </c>
      <c r="AA14" s="11">
        <f>'Input Scenarios'!AA11</f>
        <v>0.15</v>
      </c>
      <c r="AB14" s="11">
        <f>'Input Scenarios'!AB11</f>
        <v>0.2</v>
      </c>
      <c r="AC14" s="11">
        <f>'Input Scenarios'!AC11</f>
        <v>0.25</v>
      </c>
      <c r="AD14" s="11">
        <f>'Input Scenarios'!AD11</f>
        <v>0.17</v>
      </c>
      <c r="AE14" s="11">
        <f>'Input Scenarios'!AE11</f>
        <v>0.23</v>
      </c>
      <c r="AF14">
        <f>I14*(1-J14)*(1-AG14)</f>
        <v>1.5809999999999994E-2</v>
      </c>
      <c r="AG14" s="11">
        <f>IF(F14="", "",_xlfn.XLOOKUP(F14,Constants!$A$2:$A$5,Constants!F$2:F$5))</f>
        <v>0.15</v>
      </c>
      <c r="AH14" s="11">
        <f>IF(F14="", "",_xlfn.XLOOKUP(F14,Constants!$A$2:$A$5,Constants!G$2:G$5))</f>
        <v>0.36</v>
      </c>
      <c r="AI14" s="11">
        <f>_xlfn.XLOOKUP($A14, Constants!$F$8:$M$8,Constants!$F$9:$M$9)</f>
        <v>1.4999999999999999E-2</v>
      </c>
      <c r="AJ14" s="11">
        <f>_xlfn.XLOOKUP($A14, Constants!$F$8:$M$8,Constants!$F$10:$M$10)</f>
        <v>1.4999999999999999E-2</v>
      </c>
      <c r="AK14" s="11">
        <f>_xlfn.XLOOKUP($A14, Constants!$F$8:$M$8,Constants!$F$11:$M$11)</f>
        <v>1.4999999999999999E-2</v>
      </c>
      <c r="AL14" s="11">
        <f>_xlfn.XLOOKUP($A14, Constants!$F$8:$M$8,Constants!$F$16:$M$16)</f>
        <v>0.01</v>
      </c>
      <c r="AM14" s="19">
        <f>$AF$11*$AH$11*M14*AI14*Constants!$I$2</f>
        <v>5.5973698559999982E-6</v>
      </c>
      <c r="AN14" s="19">
        <f>$AF$11*$AH$11*N14*AJ14*Constants!$I$2</f>
        <v>1.1194739711999996E-5</v>
      </c>
      <c r="AO14" s="19">
        <f>$AF$11*$AH$11*O14*AK14*Constants!$I$2</f>
        <v>1.6792109567999992E-5</v>
      </c>
      <c r="AP14" s="19">
        <f>$AF$11*$AH$11*P14*AL14*Constants!$I$2</f>
        <v>1.4926319615999996E-5</v>
      </c>
      <c r="AQ14" s="19">
        <f t="shared" si="1"/>
        <v>1.3993424639999994</v>
      </c>
      <c r="AR14" s="19">
        <f t="shared" si="2"/>
        <v>2.7986849279999988</v>
      </c>
      <c r="AS14" s="19">
        <f t="shared" si="3"/>
        <v>4.1980273919999975</v>
      </c>
      <c r="AT14" s="19">
        <f t="shared" si="4"/>
        <v>3.7315799039999993</v>
      </c>
      <c r="AU14" s="19">
        <f t="shared" si="5"/>
        <v>12.127634687999997</v>
      </c>
      <c r="AV14" s="11">
        <f>_xlfn.XLOOKUP($A14, Constants!$F$8:$M$8,Constants!$F$12:$M$12)</f>
        <v>0.02</v>
      </c>
      <c r="AW14" s="11">
        <f>_xlfn.XLOOKUP($A14, Constants!$F$8:$M$8,Constants!$F$13:$M$13)</f>
        <v>0.01</v>
      </c>
      <c r="AX14" s="11">
        <f>_xlfn.XLOOKUP($A14, Constants!$F$8:$M$8,Constants!$F$15:$M$15)</f>
        <v>0.1</v>
      </c>
      <c r="AY14" s="11">
        <f>_xlfn.XLOOKUP($A14, Constants!$F$8:$M$8,Constants!$F$14:$M$14)</f>
        <v>0</v>
      </c>
      <c r="AZ14" s="11">
        <f>_xlfn.XLOOKUP($A14, Constants!$F$8:$M$8,Constants!$F$17:$M$17)</f>
        <v>0</v>
      </c>
      <c r="BA14" s="11">
        <f>Constants!$E$9</f>
        <v>0.15</v>
      </c>
      <c r="BB14" s="11">
        <f>Constants!$E$10</f>
        <v>0</v>
      </c>
      <c r="BC14" s="11">
        <f>Constants!$E$11</f>
        <v>0.2</v>
      </c>
      <c r="BD14" s="11">
        <f>$AF14*M14*(1-BA14)</f>
        <v>1.3438499999999995E-3</v>
      </c>
      <c r="BE14" s="11">
        <f>$AF14*N14*(1-BB14)</f>
        <v>3.161999999999999E-3</v>
      </c>
      <c r="BF14" s="11">
        <f>$AF14*O14*(1-BC14)</f>
        <v>3.7943999999999986E-3</v>
      </c>
      <c r="BG14" s="11">
        <f t="shared" si="6"/>
        <v>8.3002499999999969E-3</v>
      </c>
      <c r="BH14" s="11">
        <f>(($BD14*Q14)+($BE14*V14)+($BF14*AA14))*AV14*$AH14*Constants!$I$2</f>
        <v>6.0813607679999965E-6</v>
      </c>
      <c r="BI14" s="11">
        <f>(($BD14*R14)+($BE14*W14)+($BF14*AB14))*AW14*$AH14*Constants!$I$2</f>
        <v>4.0542405119999988E-6</v>
      </c>
      <c r="BJ14" s="11">
        <f>(($BD14*S14)+($BE14*X14)+($BF14*AC14))*AX14*$AH14*Constants!$I$2</f>
        <v>5.0678006399999988E-5</v>
      </c>
      <c r="BK14" s="11">
        <f>(($BD14*T14)+($BE14*Y14)+($BF14*AD14))*AY14*$AH14*Constants!$I$2</f>
        <v>0</v>
      </c>
      <c r="BL14" s="11">
        <f>(($BD14*U14)+($BE14*Z14)+($BF14*AE14))*AZ14*$AH14*Constants!$I$2</f>
        <v>0</v>
      </c>
      <c r="BM14" s="11">
        <f t="shared" si="7"/>
        <v>6.0813607679999984E-5</v>
      </c>
      <c r="BN14" s="19">
        <f t="shared" si="8"/>
        <v>12.127695501607677</v>
      </c>
    </row>
    <row r="15" spans="1:67" s="14" customFormat="1" x14ac:dyDescent="0.2">
      <c r="A15" s="14" t="str">
        <f>'Input Scenarios'!A12</f>
        <v>QLD</v>
      </c>
      <c r="B15" s="14">
        <f>'Input Scenarios'!B12</f>
        <v>0</v>
      </c>
      <c r="C15" s="14" t="str">
        <f>'Input Scenarios'!C12</f>
        <v>Irrigated crop</v>
      </c>
      <c r="D15" s="14" t="str">
        <f>'Input Scenarios'!D12</f>
        <v>dry</v>
      </c>
      <c r="E15" s="14" t="b">
        <f>'Input Scenarios'!E12</f>
        <v>1</v>
      </c>
      <c r="F15" s="14" t="str">
        <f>'Input Scenarios'!F12</f>
        <v>layers</v>
      </c>
      <c r="G15" s="14">
        <f>'Input Scenarios'!G12</f>
        <v>2250</v>
      </c>
      <c r="H15" s="14">
        <f>'Input Scenarios'!H12</f>
        <v>125</v>
      </c>
      <c r="I15">
        <f>IF('Input Scenarios'!I12&lt;&gt;"", 'Input Scenarios'!I12,_xlfn.XLOOKUP($F15,Constants!$A$2:$A$5,Constants!B$2:B$5))</f>
        <v>8.5999999999999993E-2</v>
      </c>
      <c r="J15">
        <f>IF('Input Scenarios'!J12&lt;&gt;"", 'Input Scenarios'!J12,_xlfn.XLOOKUP($F15,Constants!$A$2:$A$5,Constants!C$2:C$5))</f>
        <v>0.8</v>
      </c>
      <c r="K15">
        <f>IF('Input Scenarios'!K12&lt;&gt;"", 'Input Scenarios'!K12,_xlfn.XLOOKUP($F15,Constants!$A$2:$A$5,Constants!D$2:D$5))</f>
        <v>0.19</v>
      </c>
      <c r="L15">
        <f>IF('Input Scenarios'!L12&lt;&gt;"", 'Input Scenarios'!L12,_xlfn.XLOOKUP($F15,Constants!$A$2:$A$5,Constants!E$2:E$5))</f>
        <v>0.35</v>
      </c>
      <c r="M15" s="14">
        <f>'Input Scenarios'!M12</f>
        <v>0.4</v>
      </c>
      <c r="N15" s="14">
        <f>'Input Scenarios'!N12</f>
        <v>0.3</v>
      </c>
      <c r="O15" s="14">
        <f>'Input Scenarios'!O12</f>
        <v>0.2</v>
      </c>
      <c r="P15" s="14">
        <f>'Input Scenarios'!P12</f>
        <v>0.1</v>
      </c>
      <c r="Q15" s="14">
        <f>'Input Scenarios'!Q12</f>
        <v>0.2</v>
      </c>
      <c r="R15" s="14">
        <f>'Input Scenarios'!R12</f>
        <v>0.25</v>
      </c>
      <c r="S15" s="14">
        <f>'Input Scenarios'!S12</f>
        <v>0.2</v>
      </c>
      <c r="T15" s="14">
        <f>'Input Scenarios'!T12</f>
        <v>0.25</v>
      </c>
      <c r="U15" s="14">
        <f>'Input Scenarios'!U12</f>
        <v>0.1</v>
      </c>
      <c r="V15" s="14">
        <f>'Input Scenarios'!V12</f>
        <v>0.2</v>
      </c>
      <c r="W15" s="14">
        <f>'Input Scenarios'!W12</f>
        <v>0.25</v>
      </c>
      <c r="X15" s="14">
        <f>'Input Scenarios'!X12</f>
        <v>0.2</v>
      </c>
      <c r="Y15" s="14">
        <f>'Input Scenarios'!Y12</f>
        <v>0.25</v>
      </c>
      <c r="Z15" s="14">
        <f>'Input Scenarios'!Z12</f>
        <v>0.1</v>
      </c>
      <c r="AA15" s="14">
        <f>'Input Scenarios'!AA12</f>
        <v>0.2</v>
      </c>
      <c r="AB15" s="14">
        <f>'Input Scenarios'!AB12</f>
        <v>0.25</v>
      </c>
      <c r="AC15" s="14">
        <f>'Input Scenarios'!AC12</f>
        <v>0.2</v>
      </c>
      <c r="AD15" s="14">
        <f>'Input Scenarios'!AD12</f>
        <v>0.25</v>
      </c>
      <c r="AE15" s="14">
        <f>'Input Scenarios'!AE12</f>
        <v>0.1</v>
      </c>
      <c r="AF15">
        <f>I15*(1-J15)*(1-AG15)</f>
        <v>1.4103999999999995E-2</v>
      </c>
      <c r="AG15" s="14">
        <f>IF(F15="", "",_xlfn.XLOOKUP(F15,Constants!$A$2:$A$5,Constants!F$2:F$5))</f>
        <v>0.18</v>
      </c>
      <c r="AH15" s="14">
        <f>IF(F15="", "",_xlfn.XLOOKUP(F15,Constants!$A$2:$A$5,Constants!G$2:G$5))</f>
        <v>0.39</v>
      </c>
      <c r="AI15">
        <f>_xlfn.XLOOKUP($A15, Constants!$F$8:$M$8,Constants!$F$9:$M$9)</f>
        <v>1.4999999999999999E-2</v>
      </c>
      <c r="AJ15">
        <f>_xlfn.XLOOKUP($A15, Constants!$F$8:$M$8,Constants!$F$10:$M$10)</f>
        <v>1.4999999999999999E-2</v>
      </c>
      <c r="AK15">
        <f>_xlfn.XLOOKUP($A15, Constants!$F$8:$M$8,Constants!$F$11:$M$11)</f>
        <v>1.4999999999999999E-2</v>
      </c>
      <c r="AL15">
        <f>_xlfn.XLOOKUP($A15, Constants!$F$8:$M$8,Constants!$F$16:$M$16)</f>
        <v>0.03</v>
      </c>
      <c r="AM15" s="12">
        <f>$AF$11*$AH$11*M15*AI15*Constants!$I$2</f>
        <v>2.2389479423999993E-5</v>
      </c>
      <c r="AN15" s="12">
        <f>$AF$11*$AH$11*N15*AJ15*Constants!$I$2</f>
        <v>1.6792109567999992E-5</v>
      </c>
      <c r="AO15" s="12">
        <f>$AF$11*$AH$11*O15*AK15*Constants!$I$2</f>
        <v>1.1194739711999996E-5</v>
      </c>
      <c r="AP15" s="12">
        <f>$AF$11*$AH$11*P15*AL15*Constants!$I$2</f>
        <v>1.1194739711999996E-5</v>
      </c>
      <c r="AQ15" s="12">
        <f t="shared" si="1"/>
        <v>6.2970410879999976</v>
      </c>
      <c r="AR15" s="12">
        <f t="shared" si="2"/>
        <v>4.7227808159999976</v>
      </c>
      <c r="AS15" s="12">
        <f t="shared" si="3"/>
        <v>3.1485205439999988</v>
      </c>
      <c r="AT15" s="12">
        <f t="shared" si="4"/>
        <v>3.1485205439999988</v>
      </c>
      <c r="AU15" s="12">
        <f t="shared" si="5"/>
        <v>17.316862991999994</v>
      </c>
      <c r="AV15">
        <f>_xlfn.XLOOKUP($A15, Constants!$F$8:$M$8,Constants!$F$12:$M$12)</f>
        <v>0.02</v>
      </c>
      <c r="AW15">
        <f>_xlfn.XLOOKUP($A15, Constants!$F$8:$M$8,Constants!$F$13:$M$13)</f>
        <v>0.01</v>
      </c>
      <c r="AX15">
        <f>_xlfn.XLOOKUP($A15, Constants!$F$8:$M$8,Constants!$F$15:$M$15)</f>
        <v>0.1</v>
      </c>
      <c r="AY15">
        <f>_xlfn.XLOOKUP($A15, Constants!$F$8:$M$8,Constants!$F$14:$M$14)</f>
        <v>0</v>
      </c>
      <c r="AZ15">
        <f>_xlfn.XLOOKUP($A15, Constants!$F$8:$M$8,Constants!$F$17:$M$17)</f>
        <v>0</v>
      </c>
      <c r="BA15">
        <f>Constants!$E$9</f>
        <v>0.15</v>
      </c>
      <c r="BB15">
        <f>Constants!$E$10</f>
        <v>0</v>
      </c>
      <c r="BC15">
        <f>Constants!$E$11</f>
        <v>0.2</v>
      </c>
      <c r="BD15">
        <f>$AF15*M15*(1-BA15)</f>
        <v>4.7953599999999985E-3</v>
      </c>
      <c r="BE15">
        <f>$AF15*N15*(1-BB15)</f>
        <v>4.2311999999999983E-3</v>
      </c>
      <c r="BF15">
        <f>$AF15*O15*(1-BC15)</f>
        <v>2.2566399999999994E-3</v>
      </c>
      <c r="BG15">
        <f t="shared" si="6"/>
        <v>1.1283199999999995E-2</v>
      </c>
      <c r="BH15">
        <f>(($BD15*Q15)+($BE15*V15)+($BF15*AA15))*AV15*$AH15*Constants!$I$2</f>
        <v>1.1941055692799998E-5</v>
      </c>
      <c r="BI15">
        <f>(($BD15*R15)+($BE15*W15)+($BF15*AB15))*AW15*$AH15*Constants!$I$2</f>
        <v>7.4631598079999965E-6</v>
      </c>
      <c r="BJ15">
        <f>(($BD15*S15)+($BE15*X15)+($BF15*AC15))*AX15*$AH15*Constants!$I$2</f>
        <v>5.9705278463999992E-5</v>
      </c>
      <c r="BK15">
        <f>(($BD15*T15)+($BE15*Y15)+($BF15*AD15))*AY15*$AH15*Constants!$I$2</f>
        <v>0</v>
      </c>
      <c r="BL15">
        <f>(($BD15*U15)+($BE15*Z15)+($BF15*AE15))*AZ15*$AH15*Constants!$I$2</f>
        <v>0</v>
      </c>
      <c r="BM15">
        <f t="shared" si="7"/>
        <v>7.910949396479999E-5</v>
      </c>
      <c r="BN15" s="12">
        <f t="shared" si="8"/>
        <v>17.316942101493957</v>
      </c>
      <c r="BO15">
        <f>SUM(BN15:BN18)/1000</f>
        <v>6.9267782250741317E-2</v>
      </c>
    </row>
    <row r="16" spans="1:67" s="14" customFormat="1" x14ac:dyDescent="0.2">
      <c r="A16" s="14" t="str">
        <f>'Input Scenarios'!A13</f>
        <v>QLD</v>
      </c>
      <c r="B16" s="14">
        <f>'Input Scenarios'!B13</f>
        <v>0</v>
      </c>
      <c r="C16" s="14" t="str">
        <f>'Input Scenarios'!C13</f>
        <v>Irrigated crop</v>
      </c>
      <c r="D16" s="14" t="str">
        <f>'Input Scenarios'!D13</f>
        <v>dry</v>
      </c>
      <c r="E16" s="14" t="b">
        <f>'Input Scenarios'!E13</f>
        <v>1</v>
      </c>
      <c r="F16" s="14" t="str">
        <f>'Input Scenarios'!F13</f>
        <v>meatChickenBreeder</v>
      </c>
      <c r="G16" s="14">
        <f>'Input Scenarios'!G13</f>
        <v>2250</v>
      </c>
      <c r="H16" s="14">
        <f>'Input Scenarios'!H13</f>
        <v>125</v>
      </c>
      <c r="I16">
        <f>IF('Input Scenarios'!I13&lt;&gt;"", 'Input Scenarios'!I13,_xlfn.XLOOKUP($F16,Constants!$A$2:$A$5,Constants!B$2:B$5))</f>
        <v>0.10299999999999999</v>
      </c>
      <c r="J16">
        <f>IF('Input Scenarios'!J13&lt;&gt;"", 'Input Scenarios'!J13,_xlfn.XLOOKUP($F16,Constants!$A$2:$A$5,Constants!C$2:C$5))</f>
        <v>0.8</v>
      </c>
      <c r="K16">
        <f>IF('Input Scenarios'!K13&lt;&gt;"", 'Input Scenarios'!K13,_xlfn.XLOOKUP($F16,Constants!$A$2:$A$5,Constants!D$2:D$5))</f>
        <v>0.19</v>
      </c>
      <c r="L16">
        <f>IF('Input Scenarios'!L13&lt;&gt;"", 'Input Scenarios'!L13,_xlfn.XLOOKUP($F16,Constants!$A$2:$A$5,Constants!E$2:E$5))</f>
        <v>0.32</v>
      </c>
      <c r="M16" s="14">
        <f>'Input Scenarios'!M13</f>
        <v>0.4</v>
      </c>
      <c r="N16" s="14">
        <f>'Input Scenarios'!N13</f>
        <v>0.3</v>
      </c>
      <c r="O16" s="14">
        <f>'Input Scenarios'!O13</f>
        <v>0.2</v>
      </c>
      <c r="P16" s="14">
        <f>'Input Scenarios'!P13</f>
        <v>0.1</v>
      </c>
      <c r="Q16" s="14">
        <f>'Input Scenarios'!Q13</f>
        <v>0.2</v>
      </c>
      <c r="R16" s="14">
        <f>'Input Scenarios'!R13</f>
        <v>0.25</v>
      </c>
      <c r="S16" s="14">
        <f>'Input Scenarios'!S13</f>
        <v>0.2</v>
      </c>
      <c r="T16" s="14">
        <f>'Input Scenarios'!T13</f>
        <v>0.25</v>
      </c>
      <c r="U16" s="14">
        <f>'Input Scenarios'!U13</f>
        <v>0.1</v>
      </c>
      <c r="V16" s="14">
        <f>'Input Scenarios'!V13</f>
        <v>0.2</v>
      </c>
      <c r="W16" s="14">
        <f>'Input Scenarios'!W13</f>
        <v>0.25</v>
      </c>
      <c r="X16" s="14">
        <f>'Input Scenarios'!X13</f>
        <v>0.2</v>
      </c>
      <c r="Y16" s="14">
        <f>'Input Scenarios'!Y13</f>
        <v>0.25</v>
      </c>
      <c r="Z16" s="14">
        <f>'Input Scenarios'!Z13</f>
        <v>0.1</v>
      </c>
      <c r="AA16" s="14">
        <f>'Input Scenarios'!AA13</f>
        <v>0.2</v>
      </c>
      <c r="AB16" s="14">
        <f>'Input Scenarios'!AB13</f>
        <v>0.25</v>
      </c>
      <c r="AC16" s="14">
        <f>'Input Scenarios'!AC13</f>
        <v>0.2</v>
      </c>
      <c r="AD16" s="14">
        <f>'Input Scenarios'!AD13</f>
        <v>0.25</v>
      </c>
      <c r="AE16" s="14">
        <f>'Input Scenarios'!AE13</f>
        <v>0.1</v>
      </c>
      <c r="AF16">
        <f>I16*(1-J16)*(1-AG16)</f>
        <v>1.6891999999999997E-2</v>
      </c>
      <c r="AG16" s="14">
        <f>IF(F16="", "",_xlfn.XLOOKUP(F16,Constants!$A$2:$A$5,Constants!F$2:F$5))</f>
        <v>0.18</v>
      </c>
      <c r="AH16" s="14">
        <f>IF(F16="", "",_xlfn.XLOOKUP(F16,Constants!$A$2:$A$5,Constants!G$2:G$5))</f>
        <v>0.36</v>
      </c>
      <c r="AI16">
        <f>_xlfn.XLOOKUP($A16, Constants!$F$8:$M$8,Constants!$F$9:$M$9)</f>
        <v>1.4999999999999999E-2</v>
      </c>
      <c r="AJ16">
        <f>_xlfn.XLOOKUP($A16, Constants!$F$8:$M$8,Constants!$F$10:$M$10)</f>
        <v>1.4999999999999999E-2</v>
      </c>
      <c r="AK16">
        <f>_xlfn.XLOOKUP($A16, Constants!$F$8:$M$8,Constants!$F$11:$M$11)</f>
        <v>1.4999999999999999E-2</v>
      </c>
      <c r="AL16">
        <f>_xlfn.XLOOKUP($A16, Constants!$F$8:$M$8,Constants!$F$16:$M$16)</f>
        <v>0.03</v>
      </c>
      <c r="AM16" s="12">
        <f>$AF$11*$AH$11*M16*AI16*Constants!$I$2</f>
        <v>2.2389479423999993E-5</v>
      </c>
      <c r="AN16" s="12">
        <f>$AF$11*$AH$11*N16*AJ16*Constants!$I$2</f>
        <v>1.6792109567999992E-5</v>
      </c>
      <c r="AO16" s="12">
        <f>$AF$11*$AH$11*O16*AK16*Constants!$I$2</f>
        <v>1.1194739711999996E-5</v>
      </c>
      <c r="AP16" s="12">
        <f>$AF$11*$AH$11*P16*AL16*Constants!$I$2</f>
        <v>1.1194739711999996E-5</v>
      </c>
      <c r="AQ16" s="12">
        <f t="shared" si="1"/>
        <v>6.2970410879999976</v>
      </c>
      <c r="AR16" s="12">
        <f t="shared" si="2"/>
        <v>4.7227808159999976</v>
      </c>
      <c r="AS16" s="12">
        <f t="shared" si="3"/>
        <v>3.1485205439999988</v>
      </c>
      <c r="AT16" s="12">
        <f t="shared" si="4"/>
        <v>3.1485205439999988</v>
      </c>
      <c r="AU16" s="12">
        <f t="shared" si="5"/>
        <v>17.316862991999994</v>
      </c>
      <c r="AV16">
        <f>_xlfn.XLOOKUP($A16, Constants!$F$8:$M$8,Constants!$F$12:$M$12)</f>
        <v>0.02</v>
      </c>
      <c r="AW16">
        <f>_xlfn.XLOOKUP($A16, Constants!$F$8:$M$8,Constants!$F$13:$M$13)</f>
        <v>0.01</v>
      </c>
      <c r="AX16">
        <f>_xlfn.XLOOKUP($A16, Constants!$F$8:$M$8,Constants!$F$15:$M$15)</f>
        <v>0.1</v>
      </c>
      <c r="AY16">
        <f>_xlfn.XLOOKUP($A16, Constants!$F$8:$M$8,Constants!$F$14:$M$14)</f>
        <v>0</v>
      </c>
      <c r="AZ16">
        <f>_xlfn.XLOOKUP($A16, Constants!$F$8:$M$8,Constants!$F$17:$M$17)</f>
        <v>0</v>
      </c>
      <c r="BA16">
        <f>Constants!$E$9</f>
        <v>0.15</v>
      </c>
      <c r="BB16">
        <f>Constants!$E$10</f>
        <v>0</v>
      </c>
      <c r="BC16">
        <f>Constants!$E$11</f>
        <v>0.2</v>
      </c>
      <c r="BD16">
        <f>$AF16*M16*(1-BA16)</f>
        <v>5.743279999999999E-3</v>
      </c>
      <c r="BE16">
        <f>$AF16*N16*(1-BB16)</f>
        <v>5.0675999999999994E-3</v>
      </c>
      <c r="BF16">
        <f>$AF16*O16*(1-BC16)</f>
        <v>2.70272E-3</v>
      </c>
      <c r="BG16">
        <f t="shared" si="6"/>
        <v>1.3513599999999999E-2</v>
      </c>
      <c r="BH16">
        <f>(($BD16*Q16)+($BE16*V16)+($BF16*AA16))*AV16*$AH16*Constants!$I$2</f>
        <v>1.3201381785599999E-5</v>
      </c>
      <c r="BI16">
        <f>(($BD16*R16)+($BE16*W16)+($BF16*AB16))*AW16*$AH16*Constants!$I$2</f>
        <v>8.2508636159999994E-6</v>
      </c>
      <c r="BJ16">
        <f>(($BD16*S16)+($BE16*X16)+($BF16*AC16))*AX16*$AH16*Constants!$I$2</f>
        <v>6.6006908927999995E-5</v>
      </c>
      <c r="BK16">
        <f>(($BD16*T16)+($BE16*Y16)+($BF16*AD16))*AY16*$AH16*Constants!$I$2</f>
        <v>0</v>
      </c>
      <c r="BL16">
        <f>(($BD16*U16)+($BE16*Z16)+($BF16*AE16))*AZ16*$AH16*Constants!$I$2</f>
        <v>0</v>
      </c>
      <c r="BM16">
        <f t="shared" si="7"/>
        <v>8.7459154329599993E-5</v>
      </c>
      <c r="BN16" s="12">
        <f t="shared" si="8"/>
        <v>17.316950451154323</v>
      </c>
    </row>
    <row r="17" spans="1:67" s="14" customFormat="1" x14ac:dyDescent="0.2">
      <c r="A17" s="14" t="str">
        <f>'Input Scenarios'!A14</f>
        <v>QLD</v>
      </c>
      <c r="B17" s="14">
        <f>'Input Scenarios'!B14</f>
        <v>0</v>
      </c>
      <c r="C17" s="14" t="str">
        <f>'Input Scenarios'!C14</f>
        <v>Irrigated crop</v>
      </c>
      <c r="D17" s="14" t="str">
        <f>'Input Scenarios'!D14</f>
        <v>dry</v>
      </c>
      <c r="E17" s="14" t="b">
        <f>'Input Scenarios'!E14</f>
        <v>1</v>
      </c>
      <c r="F17" s="14" t="str">
        <f>'Input Scenarios'!F14</f>
        <v>meatChickenGrowers</v>
      </c>
      <c r="G17" s="14">
        <f>'Input Scenarios'!G14</f>
        <v>2250</v>
      </c>
      <c r="H17" s="14">
        <f>'Input Scenarios'!H14</f>
        <v>125</v>
      </c>
      <c r="I17">
        <f>IF('Input Scenarios'!I14&lt;&gt;"", 'Input Scenarios'!I14,_xlfn.XLOOKUP($F17,Constants!$A$2:$A$5,Constants!B$2:B$5))</f>
        <v>9.2999999999999999E-2</v>
      </c>
      <c r="J17">
        <f>IF('Input Scenarios'!J14&lt;&gt;"", 'Input Scenarios'!J14,_xlfn.XLOOKUP($F17,Constants!$A$2:$A$5,Constants!C$2:C$5))</f>
        <v>0.8</v>
      </c>
      <c r="K17">
        <f>IF('Input Scenarios'!K14&lt;&gt;"", 'Input Scenarios'!K14,_xlfn.XLOOKUP($F17,Constants!$A$2:$A$5,Constants!D$2:D$5))</f>
        <v>0.23</v>
      </c>
      <c r="L17">
        <f>IF('Input Scenarios'!L14&lt;&gt;"", 'Input Scenarios'!L14,_xlfn.XLOOKUP($F17,Constants!$A$2:$A$5,Constants!E$2:E$5))</f>
        <v>0.47</v>
      </c>
      <c r="M17" s="14">
        <f>'Input Scenarios'!M14</f>
        <v>0.4</v>
      </c>
      <c r="N17" s="14">
        <f>'Input Scenarios'!N14</f>
        <v>0.3</v>
      </c>
      <c r="O17" s="14">
        <f>'Input Scenarios'!O14</f>
        <v>0.2</v>
      </c>
      <c r="P17" s="14">
        <f>'Input Scenarios'!P14</f>
        <v>0.1</v>
      </c>
      <c r="Q17" s="14">
        <f>'Input Scenarios'!Q14</f>
        <v>0.2</v>
      </c>
      <c r="R17" s="14">
        <f>'Input Scenarios'!R14</f>
        <v>0.25</v>
      </c>
      <c r="S17" s="14">
        <f>'Input Scenarios'!S14</f>
        <v>0.2</v>
      </c>
      <c r="T17" s="14">
        <f>'Input Scenarios'!T14</f>
        <v>0.25</v>
      </c>
      <c r="U17" s="14">
        <f>'Input Scenarios'!U14</f>
        <v>0.1</v>
      </c>
      <c r="V17" s="14">
        <f>'Input Scenarios'!V14</f>
        <v>0.2</v>
      </c>
      <c r="W17" s="14">
        <f>'Input Scenarios'!W14</f>
        <v>0.25</v>
      </c>
      <c r="X17" s="14">
        <f>'Input Scenarios'!X14</f>
        <v>0.2</v>
      </c>
      <c r="Y17" s="14">
        <f>'Input Scenarios'!Y14</f>
        <v>0.25</v>
      </c>
      <c r="Z17" s="14">
        <f>'Input Scenarios'!Z14</f>
        <v>0.1</v>
      </c>
      <c r="AA17" s="14">
        <f>'Input Scenarios'!AA14</f>
        <v>0.2</v>
      </c>
      <c r="AB17" s="14">
        <f>'Input Scenarios'!AB14</f>
        <v>0.25</v>
      </c>
      <c r="AC17" s="14">
        <f>'Input Scenarios'!AC14</f>
        <v>0.2</v>
      </c>
      <c r="AD17" s="14">
        <f>'Input Scenarios'!AD14</f>
        <v>0.25</v>
      </c>
      <c r="AE17" s="14">
        <f>'Input Scenarios'!AE14</f>
        <v>0.1</v>
      </c>
      <c r="AF17">
        <f>I17*(1-J17)*(1-AG17)</f>
        <v>1.5809999999999994E-2</v>
      </c>
      <c r="AG17" s="14">
        <f>IF(F17="", "",_xlfn.XLOOKUP(F17,Constants!$A$2:$A$5,Constants!F$2:F$5))</f>
        <v>0.15</v>
      </c>
      <c r="AH17" s="14">
        <f>IF(F17="", "",_xlfn.XLOOKUP(F17,Constants!$A$2:$A$5,Constants!G$2:G$5))</f>
        <v>0.36</v>
      </c>
      <c r="AI17">
        <f>_xlfn.XLOOKUP($A17, Constants!$F$8:$M$8,Constants!$F$9:$M$9)</f>
        <v>1.4999999999999999E-2</v>
      </c>
      <c r="AJ17">
        <f>_xlfn.XLOOKUP($A17, Constants!$F$8:$M$8,Constants!$F$10:$M$10)</f>
        <v>1.4999999999999999E-2</v>
      </c>
      <c r="AK17">
        <f>_xlfn.XLOOKUP($A17, Constants!$F$8:$M$8,Constants!$F$11:$M$11)</f>
        <v>1.4999999999999999E-2</v>
      </c>
      <c r="AL17">
        <f>_xlfn.XLOOKUP($A17, Constants!$F$8:$M$8,Constants!$F$16:$M$16)</f>
        <v>0.03</v>
      </c>
      <c r="AM17" s="12">
        <f>$AF$11*$AH$11*M17*AI17*Constants!$I$2</f>
        <v>2.2389479423999993E-5</v>
      </c>
      <c r="AN17" s="12">
        <f>$AF$11*$AH$11*N17*AJ17*Constants!$I$2</f>
        <v>1.6792109567999992E-5</v>
      </c>
      <c r="AO17" s="12">
        <f>$AF$11*$AH$11*O17*AK17*Constants!$I$2</f>
        <v>1.1194739711999996E-5</v>
      </c>
      <c r="AP17" s="12">
        <f>$AF$11*$AH$11*P17*AL17*Constants!$I$2</f>
        <v>1.1194739711999996E-5</v>
      </c>
      <c r="AQ17" s="12">
        <f t="shared" si="1"/>
        <v>6.2970410879999976</v>
      </c>
      <c r="AR17" s="12">
        <f t="shared" si="2"/>
        <v>4.7227808159999976</v>
      </c>
      <c r="AS17" s="12">
        <f t="shared" si="3"/>
        <v>3.1485205439999988</v>
      </c>
      <c r="AT17" s="12">
        <f t="shared" si="4"/>
        <v>3.1485205439999988</v>
      </c>
      <c r="AU17" s="12">
        <f t="shared" si="5"/>
        <v>17.316862991999994</v>
      </c>
      <c r="AV17">
        <f>_xlfn.XLOOKUP($A17, Constants!$F$8:$M$8,Constants!$F$12:$M$12)</f>
        <v>0.02</v>
      </c>
      <c r="AW17">
        <f>_xlfn.XLOOKUP($A17, Constants!$F$8:$M$8,Constants!$F$13:$M$13)</f>
        <v>0.01</v>
      </c>
      <c r="AX17">
        <f>_xlfn.XLOOKUP($A17, Constants!$F$8:$M$8,Constants!$F$15:$M$15)</f>
        <v>0.1</v>
      </c>
      <c r="AY17">
        <f>_xlfn.XLOOKUP($A17, Constants!$F$8:$M$8,Constants!$F$14:$M$14)</f>
        <v>0</v>
      </c>
      <c r="AZ17">
        <f>_xlfn.XLOOKUP($A17, Constants!$F$8:$M$8,Constants!$F$17:$M$17)</f>
        <v>0</v>
      </c>
      <c r="BA17">
        <f>Constants!$E$9</f>
        <v>0.15</v>
      </c>
      <c r="BB17">
        <f>Constants!$E$10</f>
        <v>0</v>
      </c>
      <c r="BC17">
        <f>Constants!$E$11</f>
        <v>0.2</v>
      </c>
      <c r="BD17">
        <f>$AF17*M17*(1-BA17)</f>
        <v>5.3753999999999981E-3</v>
      </c>
      <c r="BE17">
        <f>$AF17*N17*(1-BB17)</f>
        <v>4.7429999999999981E-3</v>
      </c>
      <c r="BF17">
        <f>$AF17*O17*(1-BC17)</f>
        <v>2.5295999999999995E-3</v>
      </c>
      <c r="BG17">
        <f t="shared" si="6"/>
        <v>1.2647999999999996E-2</v>
      </c>
      <c r="BH17">
        <f>(($BD17*Q17)+($BE17*V17)+($BF17*AA17))*AV17*$AH17*Constants!$I$2</f>
        <v>1.2355780607999999E-5</v>
      </c>
      <c r="BI17">
        <f>(($BD17*R17)+($BE17*W17)+($BF17*AB17))*AW17*$AH17*Constants!$I$2</f>
        <v>7.7223628799999983E-6</v>
      </c>
      <c r="BJ17">
        <f>(($BD17*S17)+($BE17*X17)+($BF17*AC17))*AX17*$AH17*Constants!$I$2</f>
        <v>6.1778903039999986E-5</v>
      </c>
      <c r="BK17">
        <f>(($BD17*T17)+($BE17*Y17)+($BF17*AD17))*AY17*$AH17*Constants!$I$2</f>
        <v>0</v>
      </c>
      <c r="BL17">
        <f>(($BD17*U17)+($BE17*Z17)+($BF17*AE17))*AZ17*$AH17*Constants!$I$2</f>
        <v>0</v>
      </c>
      <c r="BM17">
        <f t="shared" si="7"/>
        <v>8.1857046527999985E-5</v>
      </c>
      <c r="BN17" s="12">
        <f t="shared" si="8"/>
        <v>17.316944849046521</v>
      </c>
    </row>
    <row r="18" spans="1:67" s="11" customFormat="1" x14ac:dyDescent="0.2">
      <c r="A18" s="11" t="str">
        <f>'Input Scenarios'!A15</f>
        <v>QLD</v>
      </c>
      <c r="B18" s="11">
        <f>'Input Scenarios'!B15</f>
        <v>0</v>
      </c>
      <c r="C18" s="11" t="str">
        <f>'Input Scenarios'!C15</f>
        <v>Irrigated crop</v>
      </c>
      <c r="D18" s="11" t="str">
        <f>'Input Scenarios'!D15</f>
        <v>dry</v>
      </c>
      <c r="E18" s="11" t="b">
        <f>'Input Scenarios'!E15</f>
        <v>1</v>
      </c>
      <c r="F18" s="11" t="str">
        <f>'Input Scenarios'!F15</f>
        <v>meatOther</v>
      </c>
      <c r="G18" s="11">
        <f>'Input Scenarios'!G15</f>
        <v>2250</v>
      </c>
      <c r="H18" s="11">
        <f>'Input Scenarios'!H15</f>
        <v>125</v>
      </c>
      <c r="I18">
        <f>IF('Input Scenarios'!I15&lt;&gt;"", 'Input Scenarios'!I15,_xlfn.XLOOKUP($F18,Constants!$A$2:$A$5,Constants!B$2:B$5))</f>
        <v>9.2999999999999999E-2</v>
      </c>
      <c r="J18">
        <f>IF('Input Scenarios'!J15&lt;&gt;"", 'Input Scenarios'!J15,_xlfn.XLOOKUP($F18,Constants!$A$2:$A$5,Constants!C$2:C$5))</f>
        <v>0.8</v>
      </c>
      <c r="K18">
        <f>IF('Input Scenarios'!K15&lt;&gt;"", 'Input Scenarios'!K15,_xlfn.XLOOKUP($F18,Constants!$A$2:$A$5,Constants!D$2:D$5))</f>
        <v>0.23</v>
      </c>
      <c r="L18">
        <f>IF('Input Scenarios'!L15&lt;&gt;"", 'Input Scenarios'!L15,_xlfn.XLOOKUP($F18,Constants!$A$2:$A$5,Constants!E$2:E$5))</f>
        <v>0.47</v>
      </c>
      <c r="M18" s="11">
        <f>'Input Scenarios'!M15</f>
        <v>0.4</v>
      </c>
      <c r="N18" s="11">
        <f>'Input Scenarios'!N15</f>
        <v>0.3</v>
      </c>
      <c r="O18" s="11">
        <f>'Input Scenarios'!O15</f>
        <v>0.2</v>
      </c>
      <c r="P18" s="11">
        <f>'Input Scenarios'!P15</f>
        <v>0.1</v>
      </c>
      <c r="Q18" s="11">
        <f>'Input Scenarios'!Q15</f>
        <v>0.2</v>
      </c>
      <c r="R18" s="11">
        <f>'Input Scenarios'!R15</f>
        <v>0.25</v>
      </c>
      <c r="S18" s="11">
        <f>'Input Scenarios'!S15</f>
        <v>0.2</v>
      </c>
      <c r="T18" s="11">
        <f>'Input Scenarios'!T15</f>
        <v>0.25</v>
      </c>
      <c r="U18" s="11">
        <f>'Input Scenarios'!U15</f>
        <v>0.1</v>
      </c>
      <c r="V18" s="11">
        <f>'Input Scenarios'!V15</f>
        <v>0.2</v>
      </c>
      <c r="W18" s="11">
        <f>'Input Scenarios'!W15</f>
        <v>0.25</v>
      </c>
      <c r="X18" s="11">
        <f>'Input Scenarios'!X15</f>
        <v>0.2</v>
      </c>
      <c r="Y18" s="11">
        <f>'Input Scenarios'!Y15</f>
        <v>0.25</v>
      </c>
      <c r="Z18" s="11">
        <f>'Input Scenarios'!Z15</f>
        <v>0.1</v>
      </c>
      <c r="AA18" s="11">
        <f>'Input Scenarios'!AA15</f>
        <v>0.2</v>
      </c>
      <c r="AB18" s="11">
        <f>'Input Scenarios'!AB15</f>
        <v>0.25</v>
      </c>
      <c r="AC18" s="11">
        <f>'Input Scenarios'!AC15</f>
        <v>0.2</v>
      </c>
      <c r="AD18" s="11">
        <f>'Input Scenarios'!AD15</f>
        <v>0.25</v>
      </c>
      <c r="AE18" s="11">
        <f>'Input Scenarios'!AE15</f>
        <v>0.1</v>
      </c>
      <c r="AF18">
        <f>I18*(1-J18)*(1-AG18)</f>
        <v>1.5809999999999994E-2</v>
      </c>
      <c r="AG18" s="11">
        <f>IF(F18="", "",_xlfn.XLOOKUP(F18,Constants!$A$2:$A$5,Constants!F$2:F$5))</f>
        <v>0.15</v>
      </c>
      <c r="AH18" s="11">
        <f>IF(F18="", "",_xlfn.XLOOKUP(F18,Constants!$A$2:$A$5,Constants!G$2:G$5))</f>
        <v>0.36</v>
      </c>
      <c r="AI18" s="11">
        <f>_xlfn.XLOOKUP($A18, Constants!$F$8:$M$8,Constants!$F$9:$M$9)</f>
        <v>1.4999999999999999E-2</v>
      </c>
      <c r="AJ18" s="11">
        <f>_xlfn.XLOOKUP($A18, Constants!$F$8:$M$8,Constants!$F$10:$M$10)</f>
        <v>1.4999999999999999E-2</v>
      </c>
      <c r="AK18" s="11">
        <f>_xlfn.XLOOKUP($A18, Constants!$F$8:$M$8,Constants!$F$11:$M$11)</f>
        <v>1.4999999999999999E-2</v>
      </c>
      <c r="AL18" s="11">
        <f>_xlfn.XLOOKUP($A18, Constants!$F$8:$M$8,Constants!$F$16:$M$16)</f>
        <v>0.03</v>
      </c>
      <c r="AM18" s="19">
        <f>$AF$11*$AH$11*M18*AI18*Constants!$I$2</f>
        <v>2.2389479423999993E-5</v>
      </c>
      <c r="AN18" s="19">
        <f>$AF$11*$AH$11*N18*AJ18*Constants!$I$2</f>
        <v>1.6792109567999992E-5</v>
      </c>
      <c r="AO18" s="19">
        <f>$AF$11*$AH$11*O18*AK18*Constants!$I$2</f>
        <v>1.1194739711999996E-5</v>
      </c>
      <c r="AP18" s="19">
        <f>$AF$11*$AH$11*P18*AL18*Constants!$I$2</f>
        <v>1.1194739711999996E-5</v>
      </c>
      <c r="AQ18" s="19">
        <f t="shared" si="1"/>
        <v>6.2970410879999976</v>
      </c>
      <c r="AR18" s="19">
        <f t="shared" si="2"/>
        <v>4.7227808159999976</v>
      </c>
      <c r="AS18" s="19">
        <f t="shared" si="3"/>
        <v>3.1485205439999988</v>
      </c>
      <c r="AT18" s="19">
        <f t="shared" si="4"/>
        <v>3.1485205439999988</v>
      </c>
      <c r="AU18" s="19">
        <f t="shared" si="5"/>
        <v>17.316862991999994</v>
      </c>
      <c r="AV18" s="11">
        <f>_xlfn.XLOOKUP($A18, Constants!$F$8:$M$8,Constants!$F$12:$M$12)</f>
        <v>0.02</v>
      </c>
      <c r="AW18" s="11">
        <f>_xlfn.XLOOKUP($A18, Constants!$F$8:$M$8,Constants!$F$13:$M$13)</f>
        <v>0.01</v>
      </c>
      <c r="AX18" s="11">
        <f>_xlfn.XLOOKUP($A18, Constants!$F$8:$M$8,Constants!$F$15:$M$15)</f>
        <v>0.1</v>
      </c>
      <c r="AY18" s="11">
        <f>_xlfn.XLOOKUP($A18, Constants!$F$8:$M$8,Constants!$F$14:$M$14)</f>
        <v>0</v>
      </c>
      <c r="AZ18" s="11">
        <f>_xlfn.XLOOKUP($A18, Constants!$F$8:$M$8,Constants!$F$17:$M$17)</f>
        <v>0</v>
      </c>
      <c r="BA18" s="11">
        <f>Constants!$E$9</f>
        <v>0.15</v>
      </c>
      <c r="BB18" s="11">
        <f>Constants!$E$10</f>
        <v>0</v>
      </c>
      <c r="BC18" s="11">
        <f>Constants!$E$11</f>
        <v>0.2</v>
      </c>
      <c r="BD18" s="11">
        <f>$AF18*M18*(1-BA18)</f>
        <v>5.3753999999999981E-3</v>
      </c>
      <c r="BE18" s="11">
        <f>$AF18*N18*(1-BB18)</f>
        <v>4.7429999999999981E-3</v>
      </c>
      <c r="BF18" s="11">
        <f>$AF18*O18*(1-BC18)</f>
        <v>2.5295999999999995E-3</v>
      </c>
      <c r="BG18" s="11">
        <f t="shared" si="6"/>
        <v>1.2647999999999996E-2</v>
      </c>
      <c r="BH18" s="11">
        <f>(($BD18*Q18)+($BE18*V18)+($BF18*AA18))*AV18*$AH18*Constants!$I$2</f>
        <v>1.2355780607999999E-5</v>
      </c>
      <c r="BI18" s="11">
        <f>(($BD18*R18)+($BE18*W18)+($BF18*AB18))*AW18*$AH18*Constants!$I$2</f>
        <v>7.7223628799999983E-6</v>
      </c>
      <c r="BJ18" s="11">
        <f>(($BD18*S18)+($BE18*X18)+($BF18*AC18))*AX18*$AH18*Constants!$I$2</f>
        <v>6.1778903039999986E-5</v>
      </c>
      <c r="BK18" s="11">
        <f>(($BD18*T18)+($BE18*Y18)+($BF18*AD18))*AY18*$AH18*Constants!$I$2</f>
        <v>0</v>
      </c>
      <c r="BL18" s="11">
        <f>(($BD18*U18)+($BE18*Z18)+($BF18*AE18))*AZ18*$AH18*Constants!$I$2</f>
        <v>0</v>
      </c>
      <c r="BM18" s="11">
        <f t="shared" si="7"/>
        <v>8.1857046527999985E-5</v>
      </c>
      <c r="BN18" s="19">
        <f t="shared" si="8"/>
        <v>17.316944849046521</v>
      </c>
    </row>
    <row r="19" spans="1:67" s="14" customFormat="1" x14ac:dyDescent="0.2">
      <c r="A19" s="14" t="str">
        <f>'Input Scenarios'!A16</f>
        <v>TAS</v>
      </c>
      <c r="B19" s="14">
        <f>'Input Scenarios'!B16</f>
        <v>0</v>
      </c>
      <c r="C19" s="14" t="str">
        <f>'Input Scenarios'!C16</f>
        <v>Irrigated pasture</v>
      </c>
      <c r="D19" s="14" t="str">
        <f>'Input Scenarios'!D16</f>
        <v>wet</v>
      </c>
      <c r="E19" s="14" t="b">
        <f>'Input Scenarios'!E16</f>
        <v>1</v>
      </c>
      <c r="F19" s="14" t="str">
        <f>'Input Scenarios'!F16</f>
        <v>layers</v>
      </c>
      <c r="G19" s="14">
        <f>'Input Scenarios'!G16</f>
        <v>3333</v>
      </c>
      <c r="H19" s="14">
        <f>'Input Scenarios'!H16</f>
        <v>111</v>
      </c>
      <c r="I19">
        <f>IF('Input Scenarios'!I16&lt;&gt;"", 'Input Scenarios'!I16,_xlfn.XLOOKUP($F19,Constants!$A$2:$A$5,Constants!B$2:B$5))</f>
        <v>8.5999999999999993E-2</v>
      </c>
      <c r="J19">
        <f>IF('Input Scenarios'!J16&lt;&gt;"", 'Input Scenarios'!J16,_xlfn.XLOOKUP($F19,Constants!$A$2:$A$5,Constants!C$2:C$5))</f>
        <v>0.8</v>
      </c>
      <c r="K19">
        <f>IF('Input Scenarios'!K16&lt;&gt;"", 'Input Scenarios'!K16,_xlfn.XLOOKUP($F19,Constants!$A$2:$A$5,Constants!D$2:D$5))</f>
        <v>0.19</v>
      </c>
      <c r="L19">
        <f>IF('Input Scenarios'!L16&lt;&gt;"", 'Input Scenarios'!L16,_xlfn.XLOOKUP($F19,Constants!$A$2:$A$5,Constants!E$2:E$5))</f>
        <v>0.35</v>
      </c>
      <c r="M19" s="14">
        <f>'Input Scenarios'!M16</f>
        <v>0</v>
      </c>
      <c r="N19" s="14">
        <f>'Input Scenarios'!N16</f>
        <v>0.9</v>
      </c>
      <c r="O19" s="14">
        <f>'Input Scenarios'!O16</f>
        <v>0</v>
      </c>
      <c r="P19" s="14">
        <f>'Input Scenarios'!P16</f>
        <v>0.1</v>
      </c>
      <c r="Q19" s="14">
        <f>'Input Scenarios'!Q16</f>
        <v>0.34</v>
      </c>
      <c r="R19" s="14">
        <f>'Input Scenarios'!R16</f>
        <v>0.6</v>
      </c>
      <c r="S19" s="14">
        <f>'Input Scenarios'!S16</f>
        <v>0</v>
      </c>
      <c r="T19" s="14">
        <f>'Input Scenarios'!T16</f>
        <v>0</v>
      </c>
      <c r="U19" s="14">
        <f>'Input Scenarios'!U16</f>
        <v>0.06</v>
      </c>
      <c r="V19" s="14">
        <f>'Input Scenarios'!V16</f>
        <v>0.34</v>
      </c>
      <c r="W19" s="14">
        <f>'Input Scenarios'!W16</f>
        <v>0.6</v>
      </c>
      <c r="X19" s="14">
        <f>'Input Scenarios'!X16</f>
        <v>0</v>
      </c>
      <c r="Y19" s="14">
        <f>'Input Scenarios'!Y16</f>
        <v>0</v>
      </c>
      <c r="Z19" s="14">
        <f>'Input Scenarios'!Z16</f>
        <v>0.06</v>
      </c>
      <c r="AA19" s="14">
        <f>'Input Scenarios'!AA16</f>
        <v>0.34</v>
      </c>
      <c r="AB19" s="14">
        <f>'Input Scenarios'!AB16</f>
        <v>0.6</v>
      </c>
      <c r="AC19" s="14">
        <f>'Input Scenarios'!AC16</f>
        <v>0</v>
      </c>
      <c r="AD19" s="14">
        <f>'Input Scenarios'!AD16</f>
        <v>0</v>
      </c>
      <c r="AE19" s="14">
        <f>'Input Scenarios'!AE16</f>
        <v>0.06</v>
      </c>
      <c r="AF19">
        <f>I19*(1-J19)*(1-AG19)</f>
        <v>1.4103999999999995E-2</v>
      </c>
      <c r="AG19" s="14">
        <f>IF(F19="", "",_xlfn.XLOOKUP(F19,Constants!$A$2:$A$5,Constants!F$2:F$5))</f>
        <v>0.18</v>
      </c>
      <c r="AH19" s="14">
        <f>IF(F19="", "",_xlfn.XLOOKUP(F19,Constants!$A$2:$A$5,Constants!G$2:G$5))</f>
        <v>0.39</v>
      </c>
      <c r="AI19">
        <f>_xlfn.XLOOKUP($A19, Constants!$F$8:$M$8,Constants!$F$9:$M$9)</f>
        <v>1.4999999999999999E-2</v>
      </c>
      <c r="AJ19">
        <f>_xlfn.XLOOKUP($A19, Constants!$F$8:$M$8,Constants!$F$10:$M$10)</f>
        <v>1.4999999999999999E-2</v>
      </c>
      <c r="AK19">
        <f>_xlfn.XLOOKUP($A19, Constants!$F$8:$M$8,Constants!$F$11:$M$11)</f>
        <v>1.4999999999999999E-2</v>
      </c>
      <c r="AL19">
        <f>_xlfn.XLOOKUP($A19, Constants!$F$8:$M$8,Constants!$F$16:$M$16)</f>
        <v>0.01</v>
      </c>
      <c r="AM19" s="12">
        <f>$AF$11*$AH$11*M19*AI19*Constants!$I$2</f>
        <v>0</v>
      </c>
      <c r="AN19" s="12">
        <f>$AF$11*$AH$11*N19*AJ19*Constants!$I$2</f>
        <v>5.0376328703999986E-5</v>
      </c>
      <c r="AO19" s="12">
        <f>$AF$11*$AH$11*O19*AK19*Constants!$I$2</f>
        <v>0</v>
      </c>
      <c r="AP19" s="12">
        <f>$AF$11*$AH$11*P19*AL19*Constants!$I$2</f>
        <v>3.7315799039999991E-6</v>
      </c>
      <c r="AQ19" s="12">
        <f t="shared" si="1"/>
        <v>0</v>
      </c>
      <c r="AR19" s="12">
        <f t="shared" si="2"/>
        <v>18.637377696317948</v>
      </c>
      <c r="AS19" s="12">
        <f t="shared" si="3"/>
        <v>0</v>
      </c>
      <c r="AT19" s="12">
        <f t="shared" si="4"/>
        <v>1.3805464960235518</v>
      </c>
      <c r="AU19" s="12">
        <f t="shared" si="5"/>
        <v>20.0179241923415</v>
      </c>
      <c r="AV19">
        <f>_xlfn.XLOOKUP($A19, Constants!$F$8:$M$8,Constants!$F$12:$M$12)</f>
        <v>0.02</v>
      </c>
      <c r="AW19">
        <f>_xlfn.XLOOKUP($A19, Constants!$F$8:$M$8,Constants!$F$13:$M$13)</f>
        <v>5.0000000000000001E-3</v>
      </c>
      <c r="AX19">
        <f>_xlfn.XLOOKUP($A19, Constants!$F$8:$M$8,Constants!$F$15:$M$15)</f>
        <v>0.1</v>
      </c>
      <c r="AY19">
        <f>_xlfn.XLOOKUP($A19, Constants!$F$8:$M$8,Constants!$F$14:$M$14)</f>
        <v>0</v>
      </c>
      <c r="AZ19">
        <f>_xlfn.XLOOKUP($A19, Constants!$F$8:$M$8,Constants!$F$17:$M$17)</f>
        <v>0</v>
      </c>
      <c r="BA19">
        <f>Constants!$E$9</f>
        <v>0.15</v>
      </c>
      <c r="BB19">
        <f>Constants!$E$10</f>
        <v>0</v>
      </c>
      <c r="BC19">
        <f>Constants!$E$11</f>
        <v>0.2</v>
      </c>
      <c r="BD19">
        <f>$AF19*M19*(1-BA19)</f>
        <v>0</v>
      </c>
      <c r="BE19">
        <f>$AF19*N19*(1-BB19)</f>
        <v>1.2693599999999996E-2</v>
      </c>
      <c r="BF19">
        <f>$AF19*O19*(1-BC19)</f>
        <v>0</v>
      </c>
      <c r="BG19">
        <f t="shared" si="6"/>
        <v>1.2693599999999996E-2</v>
      </c>
      <c r="BH19">
        <f>(($BD19*Q19)+($BE19*V19)+($BF19*AA19))*AV19*$AH19*Constants!$I$2</f>
        <v>2.2837269012479995E-5</v>
      </c>
      <c r="BI19">
        <f>(($BD19*R19)+($BE19*W19)+($BF19*AB19))*AW19*$AH19*Constants!$I$2</f>
        <v>1.0075265740799997E-5</v>
      </c>
      <c r="BJ19">
        <f>(($BD19*S19)+($BE19*X19)+($BF19*AC19))*AX19*$AH19*Constants!$I$2</f>
        <v>0</v>
      </c>
      <c r="BK19">
        <f>(($BD19*T19)+($BE19*Y19)+($BF19*AD19))*AY19*$AH19*Constants!$I$2</f>
        <v>0</v>
      </c>
      <c r="BL19">
        <f>(($BD19*U19)+($BE19*Z19)+($BF19*AE19))*AZ19*$AH19*Constants!$I$2</f>
        <v>0</v>
      </c>
      <c r="BM19">
        <f t="shared" si="7"/>
        <v>3.2912534753279993E-5</v>
      </c>
      <c r="BN19" s="12">
        <f t="shared" si="8"/>
        <v>20.017957104876253</v>
      </c>
      <c r="BO19">
        <f>SUM(BN19:BN22)/1000</f>
        <v>8.0071834179449894E-2</v>
      </c>
    </row>
    <row r="20" spans="1:67" s="14" customFormat="1" x14ac:dyDescent="0.2">
      <c r="A20" s="14" t="str">
        <f>'Input Scenarios'!A17</f>
        <v>TAS</v>
      </c>
      <c r="B20" s="14">
        <f>'Input Scenarios'!B17</f>
        <v>0</v>
      </c>
      <c r="C20" s="14" t="str">
        <f>'Input Scenarios'!C17</f>
        <v>Irrigated pasture</v>
      </c>
      <c r="D20" s="14" t="str">
        <f>'Input Scenarios'!D17</f>
        <v>wet</v>
      </c>
      <c r="E20" s="14" t="b">
        <f>'Input Scenarios'!E17</f>
        <v>1</v>
      </c>
      <c r="F20" s="14" t="str">
        <f>'Input Scenarios'!F17</f>
        <v>meatChickenBreeder</v>
      </c>
      <c r="G20" s="14">
        <f>'Input Scenarios'!G17</f>
        <v>3333</v>
      </c>
      <c r="H20" s="14">
        <f>'Input Scenarios'!H17</f>
        <v>111</v>
      </c>
      <c r="I20">
        <f>IF('Input Scenarios'!I17&lt;&gt;"", 'Input Scenarios'!I17,_xlfn.XLOOKUP($F20,Constants!$A$2:$A$5,Constants!B$2:B$5))</f>
        <v>0.10299999999999999</v>
      </c>
      <c r="J20">
        <f>IF('Input Scenarios'!J17&lt;&gt;"", 'Input Scenarios'!J17,_xlfn.XLOOKUP($F20,Constants!$A$2:$A$5,Constants!C$2:C$5))</f>
        <v>0.8</v>
      </c>
      <c r="K20">
        <f>IF('Input Scenarios'!K17&lt;&gt;"", 'Input Scenarios'!K17,_xlfn.XLOOKUP($F20,Constants!$A$2:$A$5,Constants!D$2:D$5))</f>
        <v>0.19</v>
      </c>
      <c r="L20">
        <f>IF('Input Scenarios'!L17&lt;&gt;"", 'Input Scenarios'!L17,_xlfn.XLOOKUP($F20,Constants!$A$2:$A$5,Constants!E$2:E$5))</f>
        <v>0.32</v>
      </c>
      <c r="M20" s="14">
        <f>'Input Scenarios'!M17</f>
        <v>0</v>
      </c>
      <c r="N20" s="14">
        <f>'Input Scenarios'!N17</f>
        <v>0.9</v>
      </c>
      <c r="O20" s="14">
        <f>'Input Scenarios'!O17</f>
        <v>0</v>
      </c>
      <c r="P20" s="14">
        <f>'Input Scenarios'!P17</f>
        <v>0.1</v>
      </c>
      <c r="Q20" s="14">
        <f>'Input Scenarios'!Q17</f>
        <v>0.34</v>
      </c>
      <c r="R20" s="14">
        <f>'Input Scenarios'!R17</f>
        <v>0.6</v>
      </c>
      <c r="S20" s="14">
        <f>'Input Scenarios'!S17</f>
        <v>0</v>
      </c>
      <c r="T20" s="14">
        <f>'Input Scenarios'!T17</f>
        <v>0</v>
      </c>
      <c r="U20" s="14">
        <f>'Input Scenarios'!U17</f>
        <v>0.06</v>
      </c>
      <c r="V20" s="14">
        <f>'Input Scenarios'!V17</f>
        <v>0.34</v>
      </c>
      <c r="W20" s="14">
        <f>'Input Scenarios'!W17</f>
        <v>0.6</v>
      </c>
      <c r="X20" s="14">
        <f>'Input Scenarios'!X17</f>
        <v>0</v>
      </c>
      <c r="Y20" s="14">
        <f>'Input Scenarios'!Y17</f>
        <v>0</v>
      </c>
      <c r="Z20" s="14">
        <f>'Input Scenarios'!Z17</f>
        <v>0.06</v>
      </c>
      <c r="AA20" s="14">
        <f>'Input Scenarios'!AA17</f>
        <v>0.34</v>
      </c>
      <c r="AB20" s="14">
        <f>'Input Scenarios'!AB17</f>
        <v>0.6</v>
      </c>
      <c r="AC20" s="14">
        <f>'Input Scenarios'!AC17</f>
        <v>0</v>
      </c>
      <c r="AD20" s="14">
        <f>'Input Scenarios'!AD17</f>
        <v>0</v>
      </c>
      <c r="AE20" s="14">
        <f>'Input Scenarios'!AE17</f>
        <v>0.06</v>
      </c>
      <c r="AF20">
        <f>I20*(1-J20)*(1-AG20)</f>
        <v>1.6891999999999997E-2</v>
      </c>
      <c r="AG20" s="14">
        <f>IF(F20="", "",_xlfn.XLOOKUP(F20,Constants!$A$2:$A$5,Constants!F$2:F$5))</f>
        <v>0.18</v>
      </c>
      <c r="AH20" s="14">
        <f>IF(F20="", "",_xlfn.XLOOKUP(F20,Constants!$A$2:$A$5,Constants!G$2:G$5))</f>
        <v>0.36</v>
      </c>
      <c r="AI20">
        <f>_xlfn.XLOOKUP($A20, Constants!$F$8:$M$8,Constants!$F$9:$M$9)</f>
        <v>1.4999999999999999E-2</v>
      </c>
      <c r="AJ20">
        <f>_xlfn.XLOOKUP($A20, Constants!$F$8:$M$8,Constants!$F$10:$M$10)</f>
        <v>1.4999999999999999E-2</v>
      </c>
      <c r="AK20">
        <f>_xlfn.XLOOKUP($A20, Constants!$F$8:$M$8,Constants!$F$11:$M$11)</f>
        <v>1.4999999999999999E-2</v>
      </c>
      <c r="AL20">
        <f>_xlfn.XLOOKUP($A20, Constants!$F$8:$M$8,Constants!$F$16:$M$16)</f>
        <v>0.01</v>
      </c>
      <c r="AM20" s="12">
        <f>$AF$11*$AH$11*M20*AI20*Constants!$I$2</f>
        <v>0</v>
      </c>
      <c r="AN20" s="12">
        <f>$AF$11*$AH$11*N20*AJ20*Constants!$I$2</f>
        <v>5.0376328703999986E-5</v>
      </c>
      <c r="AO20" s="12">
        <f>$AF$11*$AH$11*O20*AK20*Constants!$I$2</f>
        <v>0</v>
      </c>
      <c r="AP20" s="12">
        <f>$AF$11*$AH$11*P20*AL20*Constants!$I$2</f>
        <v>3.7315799039999991E-6</v>
      </c>
      <c r="AQ20" s="12">
        <f t="shared" si="1"/>
        <v>0</v>
      </c>
      <c r="AR20" s="12">
        <f t="shared" si="2"/>
        <v>18.637377696317948</v>
      </c>
      <c r="AS20" s="12">
        <f t="shared" si="3"/>
        <v>0</v>
      </c>
      <c r="AT20" s="12">
        <f t="shared" si="4"/>
        <v>1.3805464960235518</v>
      </c>
      <c r="AU20" s="12">
        <f t="shared" si="5"/>
        <v>20.0179241923415</v>
      </c>
      <c r="AV20">
        <f>_xlfn.XLOOKUP($A20, Constants!$F$8:$M$8,Constants!$F$12:$M$12)</f>
        <v>0.02</v>
      </c>
      <c r="AW20">
        <f>_xlfn.XLOOKUP($A20, Constants!$F$8:$M$8,Constants!$F$13:$M$13)</f>
        <v>5.0000000000000001E-3</v>
      </c>
      <c r="AX20">
        <f>_xlfn.XLOOKUP($A20, Constants!$F$8:$M$8,Constants!$F$15:$M$15)</f>
        <v>0.1</v>
      </c>
      <c r="AY20">
        <f>_xlfn.XLOOKUP($A20, Constants!$F$8:$M$8,Constants!$F$14:$M$14)</f>
        <v>0</v>
      </c>
      <c r="AZ20">
        <f>_xlfn.XLOOKUP($A20, Constants!$F$8:$M$8,Constants!$F$17:$M$17)</f>
        <v>0</v>
      </c>
      <c r="BA20">
        <f>Constants!$E$9</f>
        <v>0.15</v>
      </c>
      <c r="BB20">
        <f>Constants!$E$10</f>
        <v>0</v>
      </c>
      <c r="BC20">
        <f>Constants!$E$11</f>
        <v>0.2</v>
      </c>
      <c r="BD20">
        <f>$AF20*M20*(1-BA20)</f>
        <v>0</v>
      </c>
      <c r="BE20">
        <f>$AF20*N20*(1-BB20)</f>
        <v>1.5202799999999997E-2</v>
      </c>
      <c r="BF20">
        <f>$AF20*O20*(1-BC20)</f>
        <v>0</v>
      </c>
      <c r="BG20">
        <f t="shared" si="6"/>
        <v>1.5202799999999997E-2</v>
      </c>
      <c r="BH20">
        <f>(($BD20*Q20)+($BE20*V20)+($BF20*AA20))*AV20*$AH20*Constants!$I$2</f>
        <v>2.5247642664959993E-5</v>
      </c>
      <c r="BI20">
        <f>(($BD20*R20)+($BE20*W20)+($BF20*AB20))*AW20*$AH20*Constants!$I$2</f>
        <v>1.1138665881599999E-5</v>
      </c>
      <c r="BJ20">
        <f>(($BD20*S20)+($BE20*X20)+($BF20*AC20))*AX20*$AH20*Constants!$I$2</f>
        <v>0</v>
      </c>
      <c r="BK20">
        <f>(($BD20*T20)+($BE20*Y20)+($BF20*AD20))*AY20*$AH20*Constants!$I$2</f>
        <v>0</v>
      </c>
      <c r="BL20">
        <f>(($BD20*U20)+($BE20*Z20)+($BF20*AE20))*AZ20*$AH20*Constants!$I$2</f>
        <v>0</v>
      </c>
      <c r="BM20">
        <f t="shared" si="7"/>
        <v>3.6386308546559992E-5</v>
      </c>
      <c r="BN20" s="12">
        <f t="shared" si="8"/>
        <v>20.017960578650047</v>
      </c>
    </row>
    <row r="21" spans="1:67" s="14" customFormat="1" x14ac:dyDescent="0.2">
      <c r="A21" s="14" t="str">
        <f>'Input Scenarios'!A18</f>
        <v>TAS</v>
      </c>
      <c r="B21" s="14">
        <f>'Input Scenarios'!B18</f>
        <v>0</v>
      </c>
      <c r="C21" s="14" t="str">
        <f>'Input Scenarios'!C18</f>
        <v>Irrigated pasture</v>
      </c>
      <c r="D21" s="14" t="str">
        <f>'Input Scenarios'!D18</f>
        <v>wet</v>
      </c>
      <c r="E21" s="14" t="b">
        <f>'Input Scenarios'!E18</f>
        <v>1</v>
      </c>
      <c r="F21" s="14" t="str">
        <f>'Input Scenarios'!F18</f>
        <v>meatChickenGrowers</v>
      </c>
      <c r="G21" s="14">
        <f>'Input Scenarios'!G18</f>
        <v>3333</v>
      </c>
      <c r="H21" s="14">
        <f>'Input Scenarios'!H18</f>
        <v>111</v>
      </c>
      <c r="I21">
        <f>IF('Input Scenarios'!I18&lt;&gt;"", 'Input Scenarios'!I18,_xlfn.XLOOKUP($F21,Constants!$A$2:$A$5,Constants!B$2:B$5))</f>
        <v>9.2999999999999999E-2</v>
      </c>
      <c r="J21">
        <f>IF('Input Scenarios'!J18&lt;&gt;"", 'Input Scenarios'!J18,_xlfn.XLOOKUP($F21,Constants!$A$2:$A$5,Constants!C$2:C$5))</f>
        <v>0.8</v>
      </c>
      <c r="K21">
        <f>IF('Input Scenarios'!K18&lt;&gt;"", 'Input Scenarios'!K18,_xlfn.XLOOKUP($F21,Constants!$A$2:$A$5,Constants!D$2:D$5))</f>
        <v>0.23</v>
      </c>
      <c r="L21">
        <f>IF('Input Scenarios'!L18&lt;&gt;"", 'Input Scenarios'!L18,_xlfn.XLOOKUP($F21,Constants!$A$2:$A$5,Constants!E$2:E$5))</f>
        <v>0.47</v>
      </c>
      <c r="M21" s="14">
        <f>'Input Scenarios'!M18</f>
        <v>0</v>
      </c>
      <c r="N21" s="14">
        <f>'Input Scenarios'!N18</f>
        <v>0.9</v>
      </c>
      <c r="O21" s="14">
        <f>'Input Scenarios'!O18</f>
        <v>0</v>
      </c>
      <c r="P21" s="14">
        <f>'Input Scenarios'!P18</f>
        <v>0.1</v>
      </c>
      <c r="Q21" s="14">
        <f>'Input Scenarios'!Q18</f>
        <v>0.34</v>
      </c>
      <c r="R21" s="14">
        <f>'Input Scenarios'!R18</f>
        <v>0.6</v>
      </c>
      <c r="S21" s="14">
        <f>'Input Scenarios'!S18</f>
        <v>0</v>
      </c>
      <c r="T21" s="14">
        <f>'Input Scenarios'!T18</f>
        <v>0</v>
      </c>
      <c r="U21" s="14">
        <f>'Input Scenarios'!U18</f>
        <v>0.06</v>
      </c>
      <c r="V21" s="14">
        <f>'Input Scenarios'!V18</f>
        <v>0.34</v>
      </c>
      <c r="W21" s="14">
        <f>'Input Scenarios'!W18</f>
        <v>0.6</v>
      </c>
      <c r="X21" s="14">
        <f>'Input Scenarios'!X18</f>
        <v>0</v>
      </c>
      <c r="Y21" s="14">
        <f>'Input Scenarios'!Y18</f>
        <v>0</v>
      </c>
      <c r="Z21" s="14">
        <f>'Input Scenarios'!Z18</f>
        <v>0.06</v>
      </c>
      <c r="AA21" s="14">
        <f>'Input Scenarios'!AA18</f>
        <v>0.34</v>
      </c>
      <c r="AB21" s="14">
        <f>'Input Scenarios'!AB18</f>
        <v>0.6</v>
      </c>
      <c r="AC21" s="14">
        <f>'Input Scenarios'!AC18</f>
        <v>0</v>
      </c>
      <c r="AD21" s="14">
        <f>'Input Scenarios'!AD18</f>
        <v>0</v>
      </c>
      <c r="AE21" s="14">
        <f>'Input Scenarios'!AE18</f>
        <v>0.06</v>
      </c>
      <c r="AF21">
        <f>I21*(1-J21)*(1-AG21)</f>
        <v>1.5809999999999994E-2</v>
      </c>
      <c r="AG21" s="14">
        <f>IF(F21="", "",_xlfn.XLOOKUP(F21,Constants!$A$2:$A$5,Constants!F$2:F$5))</f>
        <v>0.15</v>
      </c>
      <c r="AH21" s="14">
        <f>IF(F21="", "",_xlfn.XLOOKUP(F21,Constants!$A$2:$A$5,Constants!G$2:G$5))</f>
        <v>0.36</v>
      </c>
      <c r="AI21">
        <f>_xlfn.XLOOKUP($A21, Constants!$F$8:$M$8,Constants!$F$9:$M$9)</f>
        <v>1.4999999999999999E-2</v>
      </c>
      <c r="AJ21">
        <f>_xlfn.XLOOKUP($A21, Constants!$F$8:$M$8,Constants!$F$10:$M$10)</f>
        <v>1.4999999999999999E-2</v>
      </c>
      <c r="AK21">
        <f>_xlfn.XLOOKUP($A21, Constants!$F$8:$M$8,Constants!$F$11:$M$11)</f>
        <v>1.4999999999999999E-2</v>
      </c>
      <c r="AL21">
        <f>_xlfn.XLOOKUP($A21, Constants!$F$8:$M$8,Constants!$F$16:$M$16)</f>
        <v>0.01</v>
      </c>
      <c r="AM21" s="12">
        <f>$AF$11*$AH$11*M21*AI21*Constants!$I$2</f>
        <v>0</v>
      </c>
      <c r="AN21" s="12">
        <f>$AF$11*$AH$11*N21*AJ21*Constants!$I$2</f>
        <v>5.0376328703999986E-5</v>
      </c>
      <c r="AO21" s="12">
        <f>$AF$11*$AH$11*O21*AK21*Constants!$I$2</f>
        <v>0</v>
      </c>
      <c r="AP21" s="12">
        <f>$AF$11*$AH$11*P21*AL21*Constants!$I$2</f>
        <v>3.7315799039999991E-6</v>
      </c>
      <c r="AQ21" s="12">
        <f t="shared" si="1"/>
        <v>0</v>
      </c>
      <c r="AR21" s="12">
        <f t="shared" si="2"/>
        <v>18.637377696317948</v>
      </c>
      <c r="AS21" s="12">
        <f t="shared" si="3"/>
        <v>0</v>
      </c>
      <c r="AT21" s="12">
        <f t="shared" si="4"/>
        <v>1.3805464960235518</v>
      </c>
      <c r="AU21" s="12">
        <f t="shared" si="5"/>
        <v>20.0179241923415</v>
      </c>
      <c r="AV21">
        <f>_xlfn.XLOOKUP($A21, Constants!$F$8:$M$8,Constants!$F$12:$M$12)</f>
        <v>0.02</v>
      </c>
      <c r="AW21">
        <f>_xlfn.XLOOKUP($A21, Constants!$F$8:$M$8,Constants!$F$13:$M$13)</f>
        <v>5.0000000000000001E-3</v>
      </c>
      <c r="AX21">
        <f>_xlfn.XLOOKUP($A21, Constants!$F$8:$M$8,Constants!$F$15:$M$15)</f>
        <v>0.1</v>
      </c>
      <c r="AY21">
        <f>_xlfn.XLOOKUP($A21, Constants!$F$8:$M$8,Constants!$F$14:$M$14)</f>
        <v>0</v>
      </c>
      <c r="AZ21">
        <f>_xlfn.XLOOKUP($A21, Constants!$F$8:$M$8,Constants!$F$17:$M$17)</f>
        <v>0</v>
      </c>
      <c r="BA21">
        <f>Constants!$E$9</f>
        <v>0.15</v>
      </c>
      <c r="BB21">
        <f>Constants!$E$10</f>
        <v>0</v>
      </c>
      <c r="BC21">
        <f>Constants!$E$11</f>
        <v>0.2</v>
      </c>
      <c r="BD21">
        <f>$AF21*M21*(1-BA21)</f>
        <v>0</v>
      </c>
      <c r="BE21">
        <f>$AF21*N21*(1-BB21)</f>
        <v>1.4228999999999995E-2</v>
      </c>
      <c r="BF21">
        <f>$AF21*O21*(1-BC21)</f>
        <v>0</v>
      </c>
      <c r="BG21">
        <f t="shared" si="6"/>
        <v>1.4228999999999995E-2</v>
      </c>
      <c r="BH21">
        <f>(($BD21*Q21)+($BE21*V21)+($BF21*AA21))*AV21*$AH21*Constants!$I$2</f>
        <v>2.3630430412799991E-5</v>
      </c>
      <c r="BI21">
        <f>(($BD21*R21)+($BE21*W21)+($BF21*AB21))*AW21*$AH21*Constants!$I$2</f>
        <v>1.0425189887999997E-5</v>
      </c>
      <c r="BJ21">
        <f>(($BD21*S21)+($BE21*X21)+($BF21*AC21))*AX21*$AH21*Constants!$I$2</f>
        <v>0</v>
      </c>
      <c r="BK21">
        <f>(($BD21*T21)+($BE21*Y21)+($BF21*AD21))*AY21*$AH21*Constants!$I$2</f>
        <v>0</v>
      </c>
      <c r="BL21">
        <f>(($BD21*U21)+($BE21*Z21)+($BF21*AE21))*AZ21*$AH21*Constants!$I$2</f>
        <v>0</v>
      </c>
      <c r="BM21">
        <f t="shared" si="7"/>
        <v>3.4055620300799988E-5</v>
      </c>
      <c r="BN21" s="12">
        <f t="shared" si="8"/>
        <v>20.017958247961801</v>
      </c>
    </row>
    <row r="22" spans="1:67" s="11" customFormat="1" x14ac:dyDescent="0.2">
      <c r="A22" s="11" t="str">
        <f>'Input Scenarios'!A19</f>
        <v>TAS</v>
      </c>
      <c r="B22" s="11">
        <f>'Input Scenarios'!B19</f>
        <v>0</v>
      </c>
      <c r="C22" s="11" t="str">
        <f>'Input Scenarios'!C19</f>
        <v>Irrigated pasture</v>
      </c>
      <c r="D22" s="11" t="str">
        <f>'Input Scenarios'!D19</f>
        <v>wet</v>
      </c>
      <c r="E22" s="11" t="b">
        <f>'Input Scenarios'!E19</f>
        <v>1</v>
      </c>
      <c r="F22" s="11" t="str">
        <f>'Input Scenarios'!F19</f>
        <v>meatOther</v>
      </c>
      <c r="G22" s="11">
        <f>'Input Scenarios'!G19</f>
        <v>3333</v>
      </c>
      <c r="H22" s="11">
        <f>'Input Scenarios'!H19</f>
        <v>111</v>
      </c>
      <c r="I22">
        <f>IF('Input Scenarios'!I19&lt;&gt;"", 'Input Scenarios'!I19,_xlfn.XLOOKUP($F22,Constants!$A$2:$A$5,Constants!B$2:B$5))</f>
        <v>9.2999999999999999E-2</v>
      </c>
      <c r="J22">
        <f>IF('Input Scenarios'!J19&lt;&gt;"", 'Input Scenarios'!J19,_xlfn.XLOOKUP($F22,Constants!$A$2:$A$5,Constants!C$2:C$5))</f>
        <v>0.8</v>
      </c>
      <c r="K22">
        <f>IF('Input Scenarios'!K19&lt;&gt;"", 'Input Scenarios'!K19,_xlfn.XLOOKUP($F22,Constants!$A$2:$A$5,Constants!D$2:D$5))</f>
        <v>0.23</v>
      </c>
      <c r="L22">
        <f>IF('Input Scenarios'!L19&lt;&gt;"", 'Input Scenarios'!L19,_xlfn.XLOOKUP($F22,Constants!$A$2:$A$5,Constants!E$2:E$5))</f>
        <v>0.47</v>
      </c>
      <c r="M22" s="11">
        <f>'Input Scenarios'!M19</f>
        <v>0</v>
      </c>
      <c r="N22" s="11">
        <f>'Input Scenarios'!N19</f>
        <v>0.9</v>
      </c>
      <c r="O22" s="11">
        <f>'Input Scenarios'!O19</f>
        <v>0</v>
      </c>
      <c r="P22" s="11">
        <f>'Input Scenarios'!P19</f>
        <v>0.1</v>
      </c>
      <c r="Q22" s="11">
        <f>'Input Scenarios'!Q19</f>
        <v>0.34</v>
      </c>
      <c r="R22" s="11">
        <f>'Input Scenarios'!R19</f>
        <v>0.6</v>
      </c>
      <c r="S22" s="11">
        <f>'Input Scenarios'!S19</f>
        <v>0</v>
      </c>
      <c r="T22" s="11">
        <f>'Input Scenarios'!T19</f>
        <v>0</v>
      </c>
      <c r="U22" s="11">
        <f>'Input Scenarios'!U19</f>
        <v>0.06</v>
      </c>
      <c r="V22" s="11">
        <f>'Input Scenarios'!V19</f>
        <v>0.34</v>
      </c>
      <c r="W22" s="11">
        <f>'Input Scenarios'!W19</f>
        <v>0.6</v>
      </c>
      <c r="X22" s="11">
        <f>'Input Scenarios'!X19</f>
        <v>0</v>
      </c>
      <c r="Y22" s="11">
        <f>'Input Scenarios'!Y19</f>
        <v>0</v>
      </c>
      <c r="Z22" s="11">
        <f>'Input Scenarios'!Z19</f>
        <v>0.06</v>
      </c>
      <c r="AA22" s="11">
        <f>'Input Scenarios'!AA19</f>
        <v>0.34</v>
      </c>
      <c r="AB22" s="11">
        <f>'Input Scenarios'!AB19</f>
        <v>0.6</v>
      </c>
      <c r="AC22" s="11">
        <f>'Input Scenarios'!AC19</f>
        <v>0</v>
      </c>
      <c r="AD22" s="11">
        <f>'Input Scenarios'!AD19</f>
        <v>0</v>
      </c>
      <c r="AE22" s="11">
        <f>'Input Scenarios'!AE19</f>
        <v>0.06</v>
      </c>
      <c r="AF22">
        <f>I22*(1-J22)*(1-AG22)</f>
        <v>1.5809999999999994E-2</v>
      </c>
      <c r="AG22" s="11">
        <f>IF(F22="", "",_xlfn.XLOOKUP(F22,Constants!$A$2:$A$5,Constants!F$2:F$5))</f>
        <v>0.15</v>
      </c>
      <c r="AH22" s="11">
        <f>IF(F22="", "",_xlfn.XLOOKUP(F22,Constants!$A$2:$A$5,Constants!G$2:G$5))</f>
        <v>0.36</v>
      </c>
      <c r="AI22" s="11">
        <f>_xlfn.XLOOKUP($A22, Constants!$F$8:$M$8,Constants!$F$9:$M$9)</f>
        <v>1.4999999999999999E-2</v>
      </c>
      <c r="AJ22" s="11">
        <f>_xlfn.XLOOKUP($A22, Constants!$F$8:$M$8,Constants!$F$10:$M$10)</f>
        <v>1.4999999999999999E-2</v>
      </c>
      <c r="AK22" s="11">
        <f>_xlfn.XLOOKUP($A22, Constants!$F$8:$M$8,Constants!$F$11:$M$11)</f>
        <v>1.4999999999999999E-2</v>
      </c>
      <c r="AL22" s="11">
        <f>_xlfn.XLOOKUP($A22, Constants!$F$8:$M$8,Constants!$F$16:$M$16)</f>
        <v>0.01</v>
      </c>
      <c r="AM22" s="19">
        <f>$AF$11*$AH$11*M22*AI22*Constants!$I$2</f>
        <v>0</v>
      </c>
      <c r="AN22" s="19">
        <f>$AF$11*$AH$11*N22*AJ22*Constants!$I$2</f>
        <v>5.0376328703999986E-5</v>
      </c>
      <c r="AO22" s="19">
        <f>$AF$11*$AH$11*O22*AK22*Constants!$I$2</f>
        <v>0</v>
      </c>
      <c r="AP22" s="19">
        <f>$AF$11*$AH$11*P22*AL22*Constants!$I$2</f>
        <v>3.7315799039999991E-6</v>
      </c>
      <c r="AQ22" s="19">
        <f t="shared" si="1"/>
        <v>0</v>
      </c>
      <c r="AR22" s="19">
        <f t="shared" si="2"/>
        <v>18.637377696317948</v>
      </c>
      <c r="AS22" s="19">
        <f t="shared" si="3"/>
        <v>0</v>
      </c>
      <c r="AT22" s="19">
        <f t="shared" si="4"/>
        <v>1.3805464960235518</v>
      </c>
      <c r="AU22" s="19">
        <f t="shared" si="5"/>
        <v>20.0179241923415</v>
      </c>
      <c r="AV22" s="11">
        <f>_xlfn.XLOOKUP($A22, Constants!$F$8:$M$8,Constants!$F$12:$M$12)</f>
        <v>0.02</v>
      </c>
      <c r="AW22" s="11">
        <f>_xlfn.XLOOKUP($A22, Constants!$F$8:$M$8,Constants!$F$13:$M$13)</f>
        <v>5.0000000000000001E-3</v>
      </c>
      <c r="AX22" s="11">
        <f>_xlfn.XLOOKUP($A22, Constants!$F$8:$M$8,Constants!$F$15:$M$15)</f>
        <v>0.1</v>
      </c>
      <c r="AY22" s="11">
        <f>_xlfn.XLOOKUP($A22, Constants!$F$8:$M$8,Constants!$F$14:$M$14)</f>
        <v>0</v>
      </c>
      <c r="AZ22" s="11">
        <f>_xlfn.XLOOKUP($A22, Constants!$F$8:$M$8,Constants!$F$17:$M$17)</f>
        <v>0</v>
      </c>
      <c r="BA22" s="11">
        <f>Constants!$E$9</f>
        <v>0.15</v>
      </c>
      <c r="BB22" s="11">
        <f>Constants!$E$10</f>
        <v>0</v>
      </c>
      <c r="BC22" s="11">
        <f>Constants!$E$11</f>
        <v>0.2</v>
      </c>
      <c r="BD22" s="11">
        <f>$AF22*M22*(1-BA22)</f>
        <v>0</v>
      </c>
      <c r="BE22" s="11">
        <f>$AF22*N22*(1-BB22)</f>
        <v>1.4228999999999995E-2</v>
      </c>
      <c r="BF22" s="11">
        <f>$AF22*O22*(1-BC22)</f>
        <v>0</v>
      </c>
      <c r="BG22" s="11">
        <f t="shared" si="6"/>
        <v>1.4228999999999995E-2</v>
      </c>
      <c r="BH22" s="11">
        <f>(($BD22*Q22)+($BE22*V22)+($BF22*AA22))*AV22*$AH22*Constants!$I$2</f>
        <v>2.3630430412799991E-5</v>
      </c>
      <c r="BI22" s="11">
        <f>(($BD22*R22)+($BE22*W22)+($BF22*AB22))*AW22*$AH22*Constants!$I$2</f>
        <v>1.0425189887999997E-5</v>
      </c>
      <c r="BJ22" s="11">
        <f>(($BD22*S22)+($BE22*X22)+($BF22*AC22))*AX22*$AH22*Constants!$I$2</f>
        <v>0</v>
      </c>
      <c r="BK22" s="11">
        <f>(($BD22*T22)+($BE22*Y22)+($BF22*AD22))*AY22*$AH22*Constants!$I$2</f>
        <v>0</v>
      </c>
      <c r="BL22" s="11">
        <f>(($BD22*U22)+($BE22*Z22)+($BF22*AE22))*AZ22*$AH22*Constants!$I$2</f>
        <v>0</v>
      </c>
      <c r="BM22" s="11">
        <f t="shared" si="7"/>
        <v>3.4055620300799988E-5</v>
      </c>
      <c r="BN22" s="19">
        <f t="shared" si="8"/>
        <v>20.017958247961801</v>
      </c>
    </row>
    <row r="23" spans="1:67" s="14" customFormat="1" x14ac:dyDescent="0.2">
      <c r="A23" s="14" t="str">
        <f>'Input Scenarios'!A20</f>
        <v>NT</v>
      </c>
      <c r="B23" s="14">
        <f>'Input Scenarios'!B20</f>
        <v>0</v>
      </c>
      <c r="C23" s="14" t="str">
        <f>'Input Scenarios'!C20</f>
        <v>Non-irrigated crop (high rainfall)</v>
      </c>
      <c r="D23" s="14" t="str">
        <f>'Input Scenarios'!D20</f>
        <v>dry</v>
      </c>
      <c r="E23" s="14" t="b">
        <f>'Input Scenarios'!E20</f>
        <v>1</v>
      </c>
      <c r="F23" s="14" t="str">
        <f>'Input Scenarios'!F20</f>
        <v>layers</v>
      </c>
      <c r="G23" s="14">
        <f>'Input Scenarios'!G20</f>
        <v>1234</v>
      </c>
      <c r="H23" s="14">
        <f>'Input Scenarios'!H20</f>
        <v>150</v>
      </c>
      <c r="I23">
        <f>IF('Input Scenarios'!I20&lt;&gt;"", 'Input Scenarios'!I20,_xlfn.XLOOKUP($F23,Constants!$A$2:$A$5,Constants!B$2:B$5))</f>
        <v>8.5999999999999993E-2</v>
      </c>
      <c r="J23">
        <f>IF('Input Scenarios'!J20&lt;&gt;"", 'Input Scenarios'!J20,_xlfn.XLOOKUP($F23,Constants!$A$2:$A$5,Constants!C$2:C$5))</f>
        <v>0.8</v>
      </c>
      <c r="K23">
        <f>IF('Input Scenarios'!K20&lt;&gt;"", 'Input Scenarios'!K20,_xlfn.XLOOKUP($F23,Constants!$A$2:$A$5,Constants!D$2:D$5))</f>
        <v>0.19</v>
      </c>
      <c r="L23">
        <f>IF('Input Scenarios'!L20&lt;&gt;"", 'Input Scenarios'!L20,_xlfn.XLOOKUP($F23,Constants!$A$2:$A$5,Constants!E$2:E$5))</f>
        <v>0.35</v>
      </c>
      <c r="M23" s="14">
        <f>'Input Scenarios'!M20</f>
        <v>0.1</v>
      </c>
      <c r="N23" s="14">
        <f>'Input Scenarios'!N20</f>
        <v>0</v>
      </c>
      <c r="O23" s="14">
        <f>'Input Scenarios'!O20</f>
        <v>0</v>
      </c>
      <c r="P23" s="14">
        <f>'Input Scenarios'!P20</f>
        <v>0.9</v>
      </c>
      <c r="Q23" s="14">
        <f>'Input Scenarios'!Q20</f>
        <v>0.5</v>
      </c>
      <c r="R23" s="14">
        <f>'Input Scenarios'!R20</f>
        <v>0.25</v>
      </c>
      <c r="S23" s="14">
        <f>'Input Scenarios'!S20</f>
        <v>0.25</v>
      </c>
      <c r="T23" s="14">
        <f>'Input Scenarios'!T20</f>
        <v>0</v>
      </c>
      <c r="U23" s="14">
        <f>'Input Scenarios'!U20</f>
        <v>0</v>
      </c>
      <c r="V23" s="14">
        <f>'Input Scenarios'!V20</f>
        <v>0.5</v>
      </c>
      <c r="W23" s="14">
        <f>'Input Scenarios'!W20</f>
        <v>0.25</v>
      </c>
      <c r="X23" s="14">
        <f>'Input Scenarios'!X20</f>
        <v>0.25</v>
      </c>
      <c r="Y23" s="14">
        <f>'Input Scenarios'!Y20</f>
        <v>0</v>
      </c>
      <c r="Z23" s="14">
        <f>'Input Scenarios'!Z20</f>
        <v>0</v>
      </c>
      <c r="AA23" s="14">
        <f>'Input Scenarios'!AA20</f>
        <v>0.5</v>
      </c>
      <c r="AB23" s="14">
        <f>'Input Scenarios'!AB20</f>
        <v>0.25</v>
      </c>
      <c r="AC23" s="14">
        <f>'Input Scenarios'!AC20</f>
        <v>0.25</v>
      </c>
      <c r="AD23" s="14">
        <f>'Input Scenarios'!AD20</f>
        <v>0</v>
      </c>
      <c r="AE23" s="14">
        <f>'Input Scenarios'!AE20</f>
        <v>0</v>
      </c>
      <c r="AF23">
        <f>I23*(1-J23)*(1-AG23)</f>
        <v>1.4103999999999995E-2</v>
      </c>
      <c r="AG23" s="14">
        <f>IF(F23="", "",_xlfn.XLOOKUP(F23,Constants!$A$2:$A$5,Constants!F$2:F$5))</f>
        <v>0.18</v>
      </c>
      <c r="AH23" s="14">
        <f>IF(F23="", "",_xlfn.XLOOKUP(F23,Constants!$A$2:$A$5,Constants!G$2:G$5))</f>
        <v>0.39</v>
      </c>
      <c r="AI23">
        <f>_xlfn.XLOOKUP($A23, Constants!$F$8:$M$8,Constants!$F$9:$M$9)</f>
        <v>1.4999999999999999E-2</v>
      </c>
      <c r="AJ23">
        <f>_xlfn.XLOOKUP($A23, Constants!$F$8:$M$8,Constants!$F$10:$M$10)</f>
        <v>1.4999999999999999E-2</v>
      </c>
      <c r="AK23">
        <f>_xlfn.XLOOKUP($A23, Constants!$F$8:$M$8,Constants!$F$11:$M$11)</f>
        <v>1.4999999999999999E-2</v>
      </c>
      <c r="AL23">
        <f>_xlfn.XLOOKUP($A23, Constants!$F$8:$M$8,Constants!$F$16:$M$16)</f>
        <v>0.03</v>
      </c>
      <c r="AM23" s="12">
        <f>$AF$11*$AH$11*M23*AI23*Constants!$I$2</f>
        <v>5.5973698559999982E-6</v>
      </c>
      <c r="AN23" s="12">
        <f>$AF$11*$AH$11*N23*AJ23*Constants!$I$2</f>
        <v>0</v>
      </c>
      <c r="AO23" s="12">
        <f>$AF$11*$AH$11*O23*AK23*Constants!$I$2</f>
        <v>0</v>
      </c>
      <c r="AP23" s="12">
        <f>$AF$11*$AH$11*P23*AL23*Constants!$I$2</f>
        <v>1.0075265740799997E-4</v>
      </c>
      <c r="AQ23" s="12">
        <f t="shared" si="1"/>
        <v>1.0360731603455997</v>
      </c>
      <c r="AR23" s="12">
        <f t="shared" si="2"/>
        <v>0</v>
      </c>
      <c r="AS23" s="12">
        <f t="shared" si="3"/>
        <v>0</v>
      </c>
      <c r="AT23" s="12">
        <f t="shared" si="4"/>
        <v>18.649316886220795</v>
      </c>
      <c r="AU23" s="12">
        <f t="shared" si="5"/>
        <v>19.685390046566393</v>
      </c>
      <c r="AV23">
        <f>_xlfn.XLOOKUP($A23, Constants!$F$8:$M$8,Constants!$F$12:$M$12)</f>
        <v>0.02</v>
      </c>
      <c r="AW23">
        <f>_xlfn.XLOOKUP($A23, Constants!$F$8:$M$8,Constants!$F$13:$M$13)</f>
        <v>0.01</v>
      </c>
      <c r="AX23">
        <f>_xlfn.XLOOKUP($A23, Constants!$F$8:$M$8,Constants!$F$15:$M$15)</f>
        <v>0.1</v>
      </c>
      <c r="AY23">
        <f>_xlfn.XLOOKUP($A23, Constants!$F$8:$M$8,Constants!$F$14:$M$14)</f>
        <v>0</v>
      </c>
      <c r="AZ23">
        <f>_xlfn.XLOOKUP($A23, Constants!$F$8:$M$8,Constants!$F$17:$M$17)</f>
        <v>0</v>
      </c>
      <c r="BA23">
        <f>Constants!$E$9</f>
        <v>0.15</v>
      </c>
      <c r="BB23">
        <f>Constants!$E$10</f>
        <v>0</v>
      </c>
      <c r="BC23">
        <f>Constants!$E$11</f>
        <v>0.2</v>
      </c>
      <c r="BD23">
        <f>$AF23*M23*(1-BA23)</f>
        <v>1.1988399999999996E-3</v>
      </c>
      <c r="BE23">
        <f>$AF23*N23*(1-BB23)</f>
        <v>0</v>
      </c>
      <c r="BF23">
        <f>$AF23*O23*(1-BC23)</f>
        <v>0</v>
      </c>
      <c r="BG23">
        <f t="shared" si="6"/>
        <v>1.1988399999999996E-3</v>
      </c>
      <c r="BH23">
        <f>(($BD23*Q23)+($BE23*V23)+($BF23*AA23))*AV23*$AH23*Constants!$I$2</f>
        <v>3.1718429183999993E-6</v>
      </c>
      <c r="BI23">
        <f>(($BD23*R23)+($BE23*W23)+($BF23*AB23))*AW23*$AH23*Constants!$I$2</f>
        <v>7.9296072959999984E-7</v>
      </c>
      <c r="BJ23">
        <f>(($BD23*S23)+($BE23*X23)+($BF23*AC23))*AX23*$AH23*Constants!$I$2</f>
        <v>7.9296072959999971E-6</v>
      </c>
      <c r="BK23">
        <f>(($BD23*T23)+($BE23*Y23)+($BF23*AD23))*AY23*$AH23*Constants!$I$2</f>
        <v>0</v>
      </c>
      <c r="BL23">
        <f>(($BD23*U23)+($BE23*Z23)+($BF23*AE23))*AZ23*$AH23*Constants!$I$2</f>
        <v>0</v>
      </c>
      <c r="BM23">
        <f t="shared" si="7"/>
        <v>1.1894410943999996E-5</v>
      </c>
      <c r="BN23" s="12">
        <f t="shared" si="8"/>
        <v>19.685401940977336</v>
      </c>
      <c r="BO23">
        <f>SUM(BN23:BN26)/1000</f>
        <v>7.8741609845522073E-2</v>
      </c>
    </row>
    <row r="24" spans="1:67" s="14" customFormat="1" x14ac:dyDescent="0.2">
      <c r="A24" s="14" t="str">
        <f>'Input Scenarios'!A21</f>
        <v>NT</v>
      </c>
      <c r="B24" s="14">
        <f>'Input Scenarios'!B21</f>
        <v>0</v>
      </c>
      <c r="C24" s="14" t="str">
        <f>'Input Scenarios'!C21</f>
        <v>Non-irrigated crop (high rainfall)</v>
      </c>
      <c r="D24" s="14" t="str">
        <f>'Input Scenarios'!D21</f>
        <v>dry</v>
      </c>
      <c r="E24" s="14" t="b">
        <f>'Input Scenarios'!E21</f>
        <v>1</v>
      </c>
      <c r="F24" s="14" t="str">
        <f>'Input Scenarios'!F21</f>
        <v>meatChickenBreeder</v>
      </c>
      <c r="G24" s="14">
        <f>'Input Scenarios'!G21</f>
        <v>1234</v>
      </c>
      <c r="H24" s="14">
        <f>'Input Scenarios'!H21</f>
        <v>150</v>
      </c>
      <c r="I24">
        <f>IF('Input Scenarios'!I21&lt;&gt;"", 'Input Scenarios'!I21,_xlfn.XLOOKUP($F24,Constants!$A$2:$A$5,Constants!B$2:B$5))</f>
        <v>0.10299999999999999</v>
      </c>
      <c r="J24">
        <f>IF('Input Scenarios'!J21&lt;&gt;"", 'Input Scenarios'!J21,_xlfn.XLOOKUP($F24,Constants!$A$2:$A$5,Constants!C$2:C$5))</f>
        <v>0.8</v>
      </c>
      <c r="K24">
        <f>IF('Input Scenarios'!K21&lt;&gt;"", 'Input Scenarios'!K21,_xlfn.XLOOKUP($F24,Constants!$A$2:$A$5,Constants!D$2:D$5))</f>
        <v>0.19</v>
      </c>
      <c r="L24">
        <f>IF('Input Scenarios'!L21&lt;&gt;"", 'Input Scenarios'!L21,_xlfn.XLOOKUP($F24,Constants!$A$2:$A$5,Constants!E$2:E$5))</f>
        <v>0.32</v>
      </c>
      <c r="M24" s="14">
        <f>'Input Scenarios'!M21</f>
        <v>0.1</v>
      </c>
      <c r="N24" s="14">
        <f>'Input Scenarios'!N21</f>
        <v>0</v>
      </c>
      <c r="O24" s="14">
        <f>'Input Scenarios'!O21</f>
        <v>0</v>
      </c>
      <c r="P24" s="14">
        <f>'Input Scenarios'!P21</f>
        <v>0.9</v>
      </c>
      <c r="Q24" s="14">
        <f>'Input Scenarios'!Q21</f>
        <v>0.5</v>
      </c>
      <c r="R24" s="14">
        <f>'Input Scenarios'!R21</f>
        <v>0.25</v>
      </c>
      <c r="S24" s="14">
        <f>'Input Scenarios'!S21</f>
        <v>0.25</v>
      </c>
      <c r="T24" s="14">
        <f>'Input Scenarios'!T21</f>
        <v>0</v>
      </c>
      <c r="U24" s="14">
        <f>'Input Scenarios'!U21</f>
        <v>0</v>
      </c>
      <c r="V24" s="14">
        <f>'Input Scenarios'!V21</f>
        <v>0.5</v>
      </c>
      <c r="W24" s="14">
        <f>'Input Scenarios'!W21</f>
        <v>0.25</v>
      </c>
      <c r="X24" s="14">
        <f>'Input Scenarios'!X21</f>
        <v>0.25</v>
      </c>
      <c r="Y24" s="14">
        <f>'Input Scenarios'!Y21</f>
        <v>0</v>
      </c>
      <c r="Z24" s="14">
        <f>'Input Scenarios'!Z21</f>
        <v>0</v>
      </c>
      <c r="AA24" s="14">
        <f>'Input Scenarios'!AA21</f>
        <v>0.5</v>
      </c>
      <c r="AB24" s="14">
        <f>'Input Scenarios'!AB21</f>
        <v>0.25</v>
      </c>
      <c r="AC24" s="14">
        <f>'Input Scenarios'!AC21</f>
        <v>0.25</v>
      </c>
      <c r="AD24" s="14">
        <f>'Input Scenarios'!AD21</f>
        <v>0</v>
      </c>
      <c r="AE24" s="14">
        <f>'Input Scenarios'!AE21</f>
        <v>0</v>
      </c>
      <c r="AF24">
        <f>I24*(1-J24)*(1-AG24)</f>
        <v>1.6891999999999997E-2</v>
      </c>
      <c r="AG24" s="14">
        <f>IF(F24="", "",_xlfn.XLOOKUP(F24,Constants!$A$2:$A$5,Constants!F$2:F$5))</f>
        <v>0.18</v>
      </c>
      <c r="AH24" s="14">
        <f>IF(F24="", "",_xlfn.XLOOKUP(F24,Constants!$A$2:$A$5,Constants!G$2:G$5))</f>
        <v>0.36</v>
      </c>
      <c r="AI24">
        <f>_xlfn.XLOOKUP($A24, Constants!$F$8:$M$8,Constants!$F$9:$M$9)</f>
        <v>1.4999999999999999E-2</v>
      </c>
      <c r="AJ24">
        <f>_xlfn.XLOOKUP($A24, Constants!$F$8:$M$8,Constants!$F$10:$M$10)</f>
        <v>1.4999999999999999E-2</v>
      </c>
      <c r="AK24">
        <f>_xlfn.XLOOKUP($A24, Constants!$F$8:$M$8,Constants!$F$11:$M$11)</f>
        <v>1.4999999999999999E-2</v>
      </c>
      <c r="AL24">
        <f>_xlfn.XLOOKUP($A24, Constants!$F$8:$M$8,Constants!$F$16:$M$16)</f>
        <v>0.03</v>
      </c>
      <c r="AM24" s="12">
        <f>$AF$11*$AH$11*M24*AI24*Constants!$I$2</f>
        <v>5.5973698559999982E-6</v>
      </c>
      <c r="AN24" s="12">
        <f>$AF$11*$AH$11*N24*AJ24*Constants!$I$2</f>
        <v>0</v>
      </c>
      <c r="AO24" s="12">
        <f>$AF$11*$AH$11*O24*AK24*Constants!$I$2</f>
        <v>0</v>
      </c>
      <c r="AP24" s="12">
        <f>$AF$11*$AH$11*P24*AL24*Constants!$I$2</f>
        <v>1.0075265740799997E-4</v>
      </c>
      <c r="AQ24" s="12">
        <f t="shared" si="1"/>
        <v>1.0360731603455997</v>
      </c>
      <c r="AR24" s="12">
        <f t="shared" si="2"/>
        <v>0</v>
      </c>
      <c r="AS24" s="12">
        <f t="shared" si="3"/>
        <v>0</v>
      </c>
      <c r="AT24" s="12">
        <f t="shared" si="4"/>
        <v>18.649316886220795</v>
      </c>
      <c r="AU24" s="12">
        <f t="shared" si="5"/>
        <v>19.685390046566393</v>
      </c>
      <c r="AV24">
        <f>_xlfn.XLOOKUP($A24, Constants!$F$8:$M$8,Constants!$F$12:$M$12)</f>
        <v>0.02</v>
      </c>
      <c r="AW24">
        <f>_xlfn.XLOOKUP($A24, Constants!$F$8:$M$8,Constants!$F$13:$M$13)</f>
        <v>0.01</v>
      </c>
      <c r="AX24">
        <f>_xlfn.XLOOKUP($A24, Constants!$F$8:$M$8,Constants!$F$15:$M$15)</f>
        <v>0.1</v>
      </c>
      <c r="AY24">
        <f>_xlfn.XLOOKUP($A24, Constants!$F$8:$M$8,Constants!$F$14:$M$14)</f>
        <v>0</v>
      </c>
      <c r="AZ24">
        <f>_xlfn.XLOOKUP($A24, Constants!$F$8:$M$8,Constants!$F$17:$M$17)</f>
        <v>0</v>
      </c>
      <c r="BA24">
        <f>Constants!$E$9</f>
        <v>0.15</v>
      </c>
      <c r="BB24">
        <f>Constants!$E$10</f>
        <v>0</v>
      </c>
      <c r="BC24">
        <f>Constants!$E$11</f>
        <v>0.2</v>
      </c>
      <c r="BD24">
        <f>$AF24*M24*(1-BA24)</f>
        <v>1.4358199999999998E-3</v>
      </c>
      <c r="BE24">
        <f>$AF24*N24*(1-BB24)</f>
        <v>0</v>
      </c>
      <c r="BF24">
        <f>$AF24*O24*(1-BC24)</f>
        <v>0</v>
      </c>
      <c r="BG24">
        <f t="shared" si="6"/>
        <v>1.4358199999999998E-3</v>
      </c>
      <c r="BH24">
        <f>(($BD24*Q24)+($BE24*V24)+($BF24*AA24))*AV24*$AH24*Constants!$I$2</f>
        <v>3.5066170367999993E-6</v>
      </c>
      <c r="BI24">
        <f>(($BD24*R24)+($BE24*W24)+($BF24*AB24))*AW24*$AH24*Constants!$I$2</f>
        <v>8.7665425919999983E-7</v>
      </c>
      <c r="BJ24">
        <f>(($BD24*S24)+($BE24*X24)+($BF24*AC24))*AX24*$AH24*Constants!$I$2</f>
        <v>8.7665425919999985E-6</v>
      </c>
      <c r="BK24">
        <f>(($BD24*T24)+($BE24*Y24)+($BF24*AD24))*AY24*$AH24*Constants!$I$2</f>
        <v>0</v>
      </c>
      <c r="BL24">
        <f>(($BD24*U24)+($BE24*Z24)+($BF24*AE24))*AZ24*$AH24*Constants!$I$2</f>
        <v>0</v>
      </c>
      <c r="BM24">
        <f t="shared" si="7"/>
        <v>1.3149813887999997E-5</v>
      </c>
      <c r="BN24" s="12">
        <f t="shared" si="8"/>
        <v>19.685403196380282</v>
      </c>
    </row>
    <row r="25" spans="1:67" s="14" customFormat="1" x14ac:dyDescent="0.2">
      <c r="A25" s="14" t="str">
        <f>'Input Scenarios'!A22</f>
        <v>NT</v>
      </c>
      <c r="B25" s="14">
        <f>'Input Scenarios'!B22</f>
        <v>0</v>
      </c>
      <c r="C25" s="14" t="str">
        <f>'Input Scenarios'!C22</f>
        <v>Non-irrigated crop (high rainfall)</v>
      </c>
      <c r="D25" s="14" t="str">
        <f>'Input Scenarios'!D22</f>
        <v>dry</v>
      </c>
      <c r="E25" s="14" t="b">
        <f>'Input Scenarios'!E22</f>
        <v>1</v>
      </c>
      <c r="F25" s="14" t="str">
        <f>'Input Scenarios'!F22</f>
        <v>meatChickenGrowers</v>
      </c>
      <c r="G25" s="14">
        <f>'Input Scenarios'!G22</f>
        <v>1234</v>
      </c>
      <c r="H25" s="14">
        <f>'Input Scenarios'!H22</f>
        <v>150</v>
      </c>
      <c r="I25">
        <f>IF('Input Scenarios'!I22&lt;&gt;"", 'Input Scenarios'!I22,_xlfn.XLOOKUP($F25,Constants!$A$2:$A$5,Constants!B$2:B$5))</f>
        <v>9.2999999999999999E-2</v>
      </c>
      <c r="J25">
        <f>IF('Input Scenarios'!J22&lt;&gt;"", 'Input Scenarios'!J22,_xlfn.XLOOKUP($F25,Constants!$A$2:$A$5,Constants!C$2:C$5))</f>
        <v>0.8</v>
      </c>
      <c r="K25">
        <f>IF('Input Scenarios'!K22&lt;&gt;"", 'Input Scenarios'!K22,_xlfn.XLOOKUP($F25,Constants!$A$2:$A$5,Constants!D$2:D$5))</f>
        <v>0.23</v>
      </c>
      <c r="L25">
        <f>IF('Input Scenarios'!L22&lt;&gt;"", 'Input Scenarios'!L22,_xlfn.XLOOKUP($F25,Constants!$A$2:$A$5,Constants!E$2:E$5))</f>
        <v>0.47</v>
      </c>
      <c r="M25" s="14">
        <f>'Input Scenarios'!M22</f>
        <v>0.1</v>
      </c>
      <c r="N25" s="14">
        <f>'Input Scenarios'!N22</f>
        <v>0</v>
      </c>
      <c r="O25" s="14">
        <f>'Input Scenarios'!O22</f>
        <v>0</v>
      </c>
      <c r="P25" s="14">
        <f>'Input Scenarios'!P22</f>
        <v>0.9</v>
      </c>
      <c r="Q25" s="14">
        <f>'Input Scenarios'!Q22</f>
        <v>0.5</v>
      </c>
      <c r="R25" s="14">
        <f>'Input Scenarios'!R22</f>
        <v>0.25</v>
      </c>
      <c r="S25" s="14">
        <f>'Input Scenarios'!S22</f>
        <v>0.25</v>
      </c>
      <c r="T25" s="14">
        <f>'Input Scenarios'!T22</f>
        <v>0</v>
      </c>
      <c r="U25" s="14">
        <f>'Input Scenarios'!U22</f>
        <v>0</v>
      </c>
      <c r="V25" s="14">
        <f>'Input Scenarios'!V22</f>
        <v>0.5</v>
      </c>
      <c r="W25" s="14">
        <f>'Input Scenarios'!W22</f>
        <v>0.25</v>
      </c>
      <c r="X25" s="14">
        <f>'Input Scenarios'!X22</f>
        <v>0.25</v>
      </c>
      <c r="Y25" s="14">
        <f>'Input Scenarios'!Y22</f>
        <v>0</v>
      </c>
      <c r="Z25" s="14">
        <f>'Input Scenarios'!Z22</f>
        <v>0</v>
      </c>
      <c r="AA25" s="14">
        <f>'Input Scenarios'!AA22</f>
        <v>0.5</v>
      </c>
      <c r="AB25" s="14">
        <f>'Input Scenarios'!AB22</f>
        <v>0.25</v>
      </c>
      <c r="AC25" s="14">
        <f>'Input Scenarios'!AC22</f>
        <v>0.25</v>
      </c>
      <c r="AD25" s="14">
        <f>'Input Scenarios'!AD22</f>
        <v>0</v>
      </c>
      <c r="AE25" s="14">
        <f>'Input Scenarios'!AE22</f>
        <v>0</v>
      </c>
      <c r="AF25">
        <f>I25*(1-J25)*(1-AG25)</f>
        <v>1.5809999999999994E-2</v>
      </c>
      <c r="AG25" s="14">
        <f>IF(F25="", "",_xlfn.XLOOKUP(F25,Constants!$A$2:$A$5,Constants!F$2:F$5))</f>
        <v>0.15</v>
      </c>
      <c r="AH25" s="14">
        <f>IF(F25="", "",_xlfn.XLOOKUP(F25,Constants!$A$2:$A$5,Constants!G$2:G$5))</f>
        <v>0.36</v>
      </c>
      <c r="AI25">
        <f>_xlfn.XLOOKUP($A25, Constants!$F$8:$M$8,Constants!$F$9:$M$9)</f>
        <v>1.4999999999999999E-2</v>
      </c>
      <c r="AJ25">
        <f>_xlfn.XLOOKUP($A25, Constants!$F$8:$M$8,Constants!$F$10:$M$10)</f>
        <v>1.4999999999999999E-2</v>
      </c>
      <c r="AK25">
        <f>_xlfn.XLOOKUP($A25, Constants!$F$8:$M$8,Constants!$F$11:$M$11)</f>
        <v>1.4999999999999999E-2</v>
      </c>
      <c r="AL25">
        <f>_xlfn.XLOOKUP($A25, Constants!$F$8:$M$8,Constants!$F$16:$M$16)</f>
        <v>0.03</v>
      </c>
      <c r="AM25" s="12">
        <f>$AF$11*$AH$11*M25*AI25*Constants!$I$2</f>
        <v>5.5973698559999982E-6</v>
      </c>
      <c r="AN25" s="12">
        <f>$AF$11*$AH$11*N25*AJ25*Constants!$I$2</f>
        <v>0</v>
      </c>
      <c r="AO25" s="12">
        <f>$AF$11*$AH$11*O25*AK25*Constants!$I$2</f>
        <v>0</v>
      </c>
      <c r="AP25" s="12">
        <f>$AF$11*$AH$11*P25*AL25*Constants!$I$2</f>
        <v>1.0075265740799997E-4</v>
      </c>
      <c r="AQ25" s="12">
        <f t="shared" si="1"/>
        <v>1.0360731603455997</v>
      </c>
      <c r="AR25" s="12">
        <f t="shared" si="2"/>
        <v>0</v>
      </c>
      <c r="AS25" s="12">
        <f t="shared" si="3"/>
        <v>0</v>
      </c>
      <c r="AT25" s="12">
        <f t="shared" si="4"/>
        <v>18.649316886220795</v>
      </c>
      <c r="AU25" s="12">
        <f t="shared" si="5"/>
        <v>19.685390046566393</v>
      </c>
      <c r="AV25">
        <f>_xlfn.XLOOKUP($A25, Constants!$F$8:$M$8,Constants!$F$12:$M$12)</f>
        <v>0.02</v>
      </c>
      <c r="AW25">
        <f>_xlfn.XLOOKUP($A25, Constants!$F$8:$M$8,Constants!$F$13:$M$13)</f>
        <v>0.01</v>
      </c>
      <c r="AX25">
        <f>_xlfn.XLOOKUP($A25, Constants!$F$8:$M$8,Constants!$F$15:$M$15)</f>
        <v>0.1</v>
      </c>
      <c r="AY25">
        <f>_xlfn.XLOOKUP($A25, Constants!$F$8:$M$8,Constants!$F$14:$M$14)</f>
        <v>0</v>
      </c>
      <c r="AZ25">
        <f>_xlfn.XLOOKUP($A25, Constants!$F$8:$M$8,Constants!$F$17:$M$17)</f>
        <v>0</v>
      </c>
      <c r="BA25">
        <f>Constants!$E$9</f>
        <v>0.15</v>
      </c>
      <c r="BB25">
        <f>Constants!$E$10</f>
        <v>0</v>
      </c>
      <c r="BC25">
        <f>Constants!$E$11</f>
        <v>0.2</v>
      </c>
      <c r="BD25">
        <f>$AF25*M25*(1-BA25)</f>
        <v>1.3438499999999995E-3</v>
      </c>
      <c r="BE25">
        <f>$AF25*N25*(1-BB25)</f>
        <v>0</v>
      </c>
      <c r="BF25">
        <f>$AF25*O25*(1-BC25)</f>
        <v>0</v>
      </c>
      <c r="BG25">
        <f t="shared" si="6"/>
        <v>1.3438499999999995E-3</v>
      </c>
      <c r="BH25">
        <f>(($BD25*Q25)+($BE25*V25)+($BF25*AA25))*AV25*$AH25*Constants!$I$2</f>
        <v>3.2820042239999985E-6</v>
      </c>
      <c r="BI25">
        <f>(($BD25*R25)+($BE25*W25)+($BF25*AB25))*AW25*$AH25*Constants!$I$2</f>
        <v>8.2050105599999962E-7</v>
      </c>
      <c r="BJ25">
        <f>(($BD25*S25)+($BE25*X25)+($BF25*AC25))*AX25*$AH25*Constants!$I$2</f>
        <v>8.2050105599999979E-6</v>
      </c>
      <c r="BK25">
        <f>(($BD25*T25)+($BE25*Y25)+($BF25*AD25))*AY25*$AH25*Constants!$I$2</f>
        <v>0</v>
      </c>
      <c r="BL25">
        <f>(($BD25*U25)+($BE25*Z25)+($BF25*AE25))*AZ25*$AH25*Constants!$I$2</f>
        <v>0</v>
      </c>
      <c r="BM25">
        <f t="shared" si="7"/>
        <v>1.2307515839999997E-5</v>
      </c>
      <c r="BN25" s="12">
        <f t="shared" si="8"/>
        <v>19.685402354082232</v>
      </c>
    </row>
    <row r="26" spans="1:67" s="11" customFormat="1" x14ac:dyDescent="0.2">
      <c r="A26" s="11" t="str">
        <f>'Input Scenarios'!A23</f>
        <v>NT</v>
      </c>
      <c r="B26" s="11">
        <f>'Input Scenarios'!B23</f>
        <v>0</v>
      </c>
      <c r="C26" s="11" t="str">
        <f>'Input Scenarios'!C23</f>
        <v>Non-irrigated crop (high rainfall)</v>
      </c>
      <c r="D26" s="11" t="str">
        <f>'Input Scenarios'!D23</f>
        <v>dry</v>
      </c>
      <c r="E26" s="11" t="b">
        <f>'Input Scenarios'!E23</f>
        <v>1</v>
      </c>
      <c r="F26" s="11" t="str">
        <f>'Input Scenarios'!F23</f>
        <v>meatOther</v>
      </c>
      <c r="G26" s="11">
        <f>'Input Scenarios'!G23</f>
        <v>1234</v>
      </c>
      <c r="H26" s="11">
        <f>'Input Scenarios'!H23</f>
        <v>150</v>
      </c>
      <c r="I26">
        <f>IF('Input Scenarios'!I23&lt;&gt;"", 'Input Scenarios'!I23,_xlfn.XLOOKUP($F26,Constants!$A$2:$A$5,Constants!B$2:B$5))</f>
        <v>9.2999999999999999E-2</v>
      </c>
      <c r="J26">
        <f>IF('Input Scenarios'!J23&lt;&gt;"", 'Input Scenarios'!J23,_xlfn.XLOOKUP($F26,Constants!$A$2:$A$5,Constants!C$2:C$5))</f>
        <v>0.8</v>
      </c>
      <c r="K26">
        <f>IF('Input Scenarios'!K23&lt;&gt;"", 'Input Scenarios'!K23,_xlfn.XLOOKUP($F26,Constants!$A$2:$A$5,Constants!D$2:D$5))</f>
        <v>0.23</v>
      </c>
      <c r="L26">
        <f>IF('Input Scenarios'!L23&lt;&gt;"", 'Input Scenarios'!L23,_xlfn.XLOOKUP($F26,Constants!$A$2:$A$5,Constants!E$2:E$5))</f>
        <v>0.47</v>
      </c>
      <c r="M26" s="11">
        <f>'Input Scenarios'!M23</f>
        <v>0.1</v>
      </c>
      <c r="N26" s="11">
        <f>'Input Scenarios'!N23</f>
        <v>0</v>
      </c>
      <c r="O26" s="11">
        <f>'Input Scenarios'!O23</f>
        <v>0</v>
      </c>
      <c r="P26" s="11">
        <f>'Input Scenarios'!P23</f>
        <v>0.9</v>
      </c>
      <c r="Q26" s="11">
        <f>'Input Scenarios'!Q23</f>
        <v>0.5</v>
      </c>
      <c r="R26" s="11">
        <f>'Input Scenarios'!R23</f>
        <v>0.25</v>
      </c>
      <c r="S26" s="11">
        <f>'Input Scenarios'!S23</f>
        <v>0.25</v>
      </c>
      <c r="T26" s="11">
        <f>'Input Scenarios'!T23</f>
        <v>0</v>
      </c>
      <c r="U26" s="11">
        <f>'Input Scenarios'!U23</f>
        <v>0</v>
      </c>
      <c r="V26" s="11">
        <f>'Input Scenarios'!V23</f>
        <v>0.5</v>
      </c>
      <c r="W26" s="11">
        <f>'Input Scenarios'!W23</f>
        <v>0.25</v>
      </c>
      <c r="X26" s="11">
        <f>'Input Scenarios'!X23</f>
        <v>0.25</v>
      </c>
      <c r="Y26" s="11">
        <f>'Input Scenarios'!Y23</f>
        <v>0</v>
      </c>
      <c r="Z26" s="11">
        <f>'Input Scenarios'!Z23</f>
        <v>0</v>
      </c>
      <c r="AA26" s="11">
        <f>'Input Scenarios'!AA23</f>
        <v>0.5</v>
      </c>
      <c r="AB26" s="11">
        <f>'Input Scenarios'!AB23</f>
        <v>0.25</v>
      </c>
      <c r="AC26" s="11">
        <f>'Input Scenarios'!AC23</f>
        <v>0.25</v>
      </c>
      <c r="AD26" s="11">
        <f>'Input Scenarios'!AD23</f>
        <v>0</v>
      </c>
      <c r="AE26" s="11">
        <f>'Input Scenarios'!AE23</f>
        <v>0</v>
      </c>
      <c r="AF26">
        <f>I26*(1-J26)*(1-AG26)</f>
        <v>1.5809999999999994E-2</v>
      </c>
      <c r="AG26" s="11">
        <f>IF(F26="", "",_xlfn.XLOOKUP(F26,Constants!$A$2:$A$5,Constants!F$2:F$5))</f>
        <v>0.15</v>
      </c>
      <c r="AH26" s="11">
        <f>IF(F26="", "",_xlfn.XLOOKUP(F26,Constants!$A$2:$A$5,Constants!G$2:G$5))</f>
        <v>0.36</v>
      </c>
      <c r="AI26" s="11">
        <f>_xlfn.XLOOKUP($A26, Constants!$F$8:$M$8,Constants!$F$9:$M$9)</f>
        <v>1.4999999999999999E-2</v>
      </c>
      <c r="AJ26" s="11">
        <f>_xlfn.XLOOKUP($A26, Constants!$F$8:$M$8,Constants!$F$10:$M$10)</f>
        <v>1.4999999999999999E-2</v>
      </c>
      <c r="AK26" s="11">
        <f>_xlfn.XLOOKUP($A26, Constants!$F$8:$M$8,Constants!$F$11:$M$11)</f>
        <v>1.4999999999999999E-2</v>
      </c>
      <c r="AL26" s="11">
        <f>_xlfn.XLOOKUP($A26, Constants!$F$8:$M$8,Constants!$F$16:$M$16)</f>
        <v>0.03</v>
      </c>
      <c r="AM26" s="19">
        <f>$AF$11*$AH$11*M26*AI26*Constants!$I$2</f>
        <v>5.5973698559999982E-6</v>
      </c>
      <c r="AN26" s="19">
        <f>$AF$11*$AH$11*N26*AJ26*Constants!$I$2</f>
        <v>0</v>
      </c>
      <c r="AO26" s="19">
        <f>$AF$11*$AH$11*O26*AK26*Constants!$I$2</f>
        <v>0</v>
      </c>
      <c r="AP26" s="19">
        <f>$AF$11*$AH$11*P26*AL26*Constants!$I$2</f>
        <v>1.0075265740799997E-4</v>
      </c>
      <c r="AQ26" s="19">
        <f t="shared" si="1"/>
        <v>1.0360731603455997</v>
      </c>
      <c r="AR26" s="19">
        <f t="shared" si="2"/>
        <v>0</v>
      </c>
      <c r="AS26" s="19">
        <f t="shared" si="3"/>
        <v>0</v>
      </c>
      <c r="AT26" s="19">
        <f t="shared" si="4"/>
        <v>18.649316886220795</v>
      </c>
      <c r="AU26" s="19">
        <f t="shared" si="5"/>
        <v>19.685390046566393</v>
      </c>
      <c r="AV26" s="11">
        <f>_xlfn.XLOOKUP($A26, Constants!$F$8:$M$8,Constants!$F$12:$M$12)</f>
        <v>0.02</v>
      </c>
      <c r="AW26" s="11">
        <f>_xlfn.XLOOKUP($A26, Constants!$F$8:$M$8,Constants!$F$13:$M$13)</f>
        <v>0.01</v>
      </c>
      <c r="AX26" s="11">
        <f>_xlfn.XLOOKUP($A26, Constants!$F$8:$M$8,Constants!$F$15:$M$15)</f>
        <v>0.1</v>
      </c>
      <c r="AY26" s="11">
        <f>_xlfn.XLOOKUP($A26, Constants!$F$8:$M$8,Constants!$F$14:$M$14)</f>
        <v>0</v>
      </c>
      <c r="AZ26" s="11">
        <f>_xlfn.XLOOKUP($A26, Constants!$F$8:$M$8,Constants!$F$17:$M$17)</f>
        <v>0</v>
      </c>
      <c r="BA26" s="11">
        <f>Constants!$E$9</f>
        <v>0.15</v>
      </c>
      <c r="BB26" s="11">
        <f>Constants!$E$10</f>
        <v>0</v>
      </c>
      <c r="BC26" s="11">
        <f>Constants!$E$11</f>
        <v>0.2</v>
      </c>
      <c r="BD26" s="11">
        <f>$AF26*M26*(1-BA26)</f>
        <v>1.3438499999999995E-3</v>
      </c>
      <c r="BE26" s="11">
        <f>$AF26*N26*(1-BB26)</f>
        <v>0</v>
      </c>
      <c r="BF26" s="11">
        <f>$AF26*O26*(1-BC26)</f>
        <v>0</v>
      </c>
      <c r="BG26" s="11">
        <f t="shared" si="6"/>
        <v>1.3438499999999995E-3</v>
      </c>
      <c r="BH26" s="11">
        <f>(($BD26*Q26)+($BE26*V26)+($BF26*AA26))*AV26*$AH26*Constants!$I$2</f>
        <v>3.2820042239999985E-6</v>
      </c>
      <c r="BI26" s="11">
        <f>(($BD26*R26)+($BE26*W26)+($BF26*AB26))*AW26*$AH26*Constants!$I$2</f>
        <v>8.2050105599999962E-7</v>
      </c>
      <c r="BJ26" s="11">
        <f>(($BD26*S26)+($BE26*X26)+($BF26*AC26))*AX26*$AH26*Constants!$I$2</f>
        <v>8.2050105599999979E-6</v>
      </c>
      <c r="BK26" s="11">
        <f>(($BD26*T26)+($BE26*Y26)+($BF26*AD26))*AY26*$AH26*Constants!$I$2</f>
        <v>0</v>
      </c>
      <c r="BL26" s="11">
        <f>(($BD26*U26)+($BE26*Z26)+($BF26*AE26))*AZ26*$AH26*Constants!$I$2</f>
        <v>0</v>
      </c>
      <c r="BM26" s="11">
        <f t="shared" si="7"/>
        <v>1.2307515839999997E-5</v>
      </c>
      <c r="BN26" s="19">
        <f t="shared" si="8"/>
        <v>19.685402354082232</v>
      </c>
    </row>
    <row r="27" spans="1:67" s="14" customFormat="1" x14ac:dyDescent="0.2">
      <c r="AF27" s="14" t="str">
        <f>IF(F27="", "",I27*(1-#REF!)*(1-AG27))</f>
        <v/>
      </c>
      <c r="AG27" s="14" t="str">
        <f>IF(F27="", "",_xlfn.XLOOKUP(F27,Constants!$A$2:$A$5,Constants!F$2:F$5))</f>
        <v/>
      </c>
      <c r="AH27" s="14" t="str">
        <f>IF(F27="", "",_xlfn.XLOOKUP(F27,Constants!$A$2:$A$5,Constants!G$2:G$5))</f>
        <v/>
      </c>
      <c r="AP27" s="14" t="str">
        <f>IF(ISBLANK(M27),"",$AF$26*$AH$26*N27*AI27*Constants!$I$2)</f>
        <v/>
      </c>
      <c r="AU27" s="14" t="str">
        <f>IF(ISBLANK(G27), "", $G$26*AK27*$H$26)</f>
        <v/>
      </c>
      <c r="AZ27" s="14" t="str">
        <f>IF(ISBLANK(M27), "", $G$26*AP27*$H$26)</f>
        <v/>
      </c>
      <c r="BA27" s="14" t="str">
        <f>IF(OR(ISBLANK(M27), M27="pastureRangeAndPaddock"), "",_xlfn.XLOOKUP(M27,Constants!$B$9:$B$17,Constants!$E$9:$E$17))</f>
        <v/>
      </c>
      <c r="BF27" s="14" t="str">
        <f>IF(OR(ISBLANK(M27), M27="pastureRangeAndPaddock"), "",$AF$21*N27*(1-BA27))</f>
        <v/>
      </c>
      <c r="BG27" s="14" t="str">
        <f>IF(F27="", "",SUM(BF27:BF29))</f>
        <v/>
      </c>
      <c r="BO27" s="14" t="str">
        <f>IF(F27="", "", SUM(AZ27:AZ30,BM27:BM31)/1000)</f>
        <v/>
      </c>
    </row>
    <row r="28" spans="1:67" s="14" customFormat="1" x14ac:dyDescent="0.2">
      <c r="AF28" s="14" t="str">
        <f>IF(F28="", "",I28*(1-#REF!)*(1-AG28))</f>
        <v/>
      </c>
      <c r="AG28" s="14" t="str">
        <f>IF(F28="", "",_xlfn.XLOOKUP(F28,Constants!$A$2:$A$5,Constants!F$2:F$5))</f>
        <v/>
      </c>
      <c r="AH28" s="14" t="str">
        <f>IF(F28="", "",_xlfn.XLOOKUP(F28,Constants!$A$2:$A$5,Constants!G$2:G$5))</f>
        <v/>
      </c>
      <c r="AP28" s="14" t="str">
        <f>IF(ISBLANK(M28),"",$AF$26*$AH$26*N28*AI28*Constants!$I$2)</f>
        <v/>
      </c>
      <c r="AU28" s="14" t="str">
        <f>IF(ISBLANK(G28), "", $G$26*AK28*$H$26)</f>
        <v/>
      </c>
      <c r="AZ28" s="14" t="str">
        <f>IF(ISBLANK(M28), "", $G$26*AP28*$H$26)</f>
        <v/>
      </c>
      <c r="BA28" s="14" t="str">
        <f>IF(OR(ISBLANK(M28), M28="pastureRangeAndPaddock"), "",_xlfn.XLOOKUP(M28,Constants!$B$9:$B$17,Constants!$E$9:$E$17))</f>
        <v/>
      </c>
      <c r="BF28" s="14" t="str">
        <f>IF(OR(ISBLANK(M28), M28="pastureRangeAndPaddock"), "",$AF$21*N28*(1-BA28))</f>
        <v/>
      </c>
      <c r="BG28" s="14" t="str">
        <f>IF(F28="", "",SUM(BF28:BF30))</f>
        <v/>
      </c>
      <c r="BO28" s="14" t="str">
        <f>IF(F28="", "", SUM(AZ28:AZ31,BF28:BF32)/1000)</f>
        <v/>
      </c>
    </row>
    <row r="29" spans="1:67" s="14" customFormat="1" x14ac:dyDescent="0.2">
      <c r="AF29" s="14" t="str">
        <f>IF(F29="", "",I29*(1-#REF!)*(1-AG29))</f>
        <v/>
      </c>
      <c r="AG29" s="14" t="str">
        <f>IF(F29="", "",_xlfn.XLOOKUP(F29,Constants!$A$2:$A$5,Constants!F$2:F$5))</f>
        <v/>
      </c>
      <c r="AH29" s="14" t="str">
        <f>IF(F29="", "",_xlfn.XLOOKUP(F29,Constants!$A$2:$A$5,Constants!G$2:G$5))</f>
        <v/>
      </c>
      <c r="AP29" s="14" t="str">
        <f>IF(ISBLANK(M29),"",$AF$26*$AH$26*N29*AI29*Constants!$I$2)</f>
        <v/>
      </c>
      <c r="AU29" s="14" t="str">
        <f>IF(ISBLANK(G29), "", $G$26*AK29*$H$26)</f>
        <v/>
      </c>
      <c r="AZ29" s="14" t="str">
        <f>IF(ISBLANK(M29), "", $G$26*AP29*$H$26)</f>
        <v/>
      </c>
      <c r="BA29" s="14" t="str">
        <f>IF(OR(ISBLANK(M29), M29="pastureRangeAndPaddock"), "",_xlfn.XLOOKUP(M29,Constants!$B$9:$B$17,Constants!$E$9:$E$17))</f>
        <v/>
      </c>
      <c r="BF29" s="14" t="str">
        <f>IF(OR(ISBLANK(M29), M29="pastureRangeAndPaddock"), "",$AF$21*N29*(1-BA29))</f>
        <v/>
      </c>
      <c r="BG29" s="14" t="str">
        <f>IF(F29="", "",SUM(BF29:BF31))</f>
        <v/>
      </c>
      <c r="BO29" s="14" t="str">
        <f>IF(F29="", "", SUM(AL29:AL32,BF29:BF33)/1000)</f>
        <v/>
      </c>
    </row>
    <row r="30" spans="1:67" s="14" customFormat="1" x14ac:dyDescent="0.2">
      <c r="AF30" s="14" t="str">
        <f>IF(F30="", "",I30*(1-#REF!)*(1-AG30))</f>
        <v/>
      </c>
      <c r="AG30" s="14" t="str">
        <f>IF(F30="", "",_xlfn.XLOOKUP(F30,Constants!$A$2:$A$5,Constants!F$2:F$5))</f>
        <v/>
      </c>
      <c r="AH30" s="14" t="str">
        <f>IF(F30="", "",_xlfn.XLOOKUP(F30,Constants!$A$2:$A$5,Constants!G$2:G$5))</f>
        <v/>
      </c>
      <c r="AP30" s="14" t="str">
        <f>IF(ISBLANK(M30),"",$AF$26*$AH$26*N30*AI30*Constants!$I$2)</f>
        <v/>
      </c>
      <c r="AU30" s="14" t="str">
        <f>IF(ISBLANK(G30), "", $G$26*AK30*$H$26)</f>
        <v/>
      </c>
      <c r="AZ30" s="14" t="str">
        <f>IF(ISBLANK(M30), "", $G$26*AP30*$H$26)</f>
        <v/>
      </c>
      <c r="BA30" s="14" t="str">
        <f>IF(OR(ISBLANK(M30), M30="pastureRangeAndPaddock"), "",_xlfn.XLOOKUP(M30,Constants!$B$9:$B$17,Constants!$E$9:$E$17))</f>
        <v/>
      </c>
      <c r="BF30" s="14" t="str">
        <f>IF(OR(ISBLANK(M30), M30="pastureRangeAndPaddock"), "",$AF$21*N30*(1-BA30))</f>
        <v/>
      </c>
      <c r="BG30" s="14" t="str">
        <f>IF(F30="", "",SUM(AP30:AP32))</f>
        <v/>
      </c>
      <c r="BO30" s="14" t="str">
        <f>IF(F30="", "", SUM(AL30:AL33,BF30:BF34)/1000)</f>
        <v/>
      </c>
    </row>
    <row r="31" spans="1:67" s="14" customFormat="1" x14ac:dyDescent="0.2"/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I30"/>
  <sheetViews>
    <sheetView topLeftCell="BC1" workbookViewId="0">
      <selection activeCell="BM4" sqref="A4:BM30"/>
    </sheetView>
  </sheetViews>
  <sheetFormatPr baseColWidth="10" defaultRowHeight="16" x14ac:dyDescent="0.2"/>
  <cols>
    <col min="58" max="58" width="12.1640625" bestFit="1" customWidth="1"/>
    <col min="59" max="76" width="12.1640625" customWidth="1"/>
    <col min="77" max="78" width="12.1640625" bestFit="1" customWidth="1"/>
  </cols>
  <sheetData>
    <row r="2" spans="1:87" x14ac:dyDescent="0.2">
      <c r="A2" t="s">
        <v>30</v>
      </c>
    </row>
    <row r="4" spans="1:87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52</v>
      </c>
      <c r="J4" t="s">
        <v>52</v>
      </c>
      <c r="K4" t="s">
        <v>52</v>
      </c>
      <c r="L4" t="s">
        <v>1</v>
      </c>
      <c r="M4" t="s">
        <v>1</v>
      </c>
      <c r="N4" t="s">
        <v>1</v>
      </c>
      <c r="O4" t="s">
        <v>1</v>
      </c>
      <c r="AF4" t="s">
        <v>52</v>
      </c>
      <c r="AY4" t="s">
        <v>58</v>
      </c>
      <c r="AZ4" t="s">
        <v>58</v>
      </c>
      <c r="BA4" t="s">
        <v>58</v>
      </c>
      <c r="BF4" t="s">
        <v>58</v>
      </c>
    </row>
    <row r="5" spans="1:87" x14ac:dyDescent="0.2">
      <c r="K5" t="s">
        <v>0</v>
      </c>
      <c r="AF5" t="s">
        <v>0</v>
      </c>
      <c r="BF5" t="s">
        <v>112</v>
      </c>
    </row>
    <row r="6" spans="1:87" x14ac:dyDescent="0.2">
      <c r="BF6" t="s">
        <v>105</v>
      </c>
      <c r="BX6" t="s">
        <v>114</v>
      </c>
    </row>
    <row r="8" spans="1:87" x14ac:dyDescent="0.2">
      <c r="A8" t="s">
        <v>35</v>
      </c>
      <c r="B8" t="s">
        <v>43</v>
      </c>
      <c r="C8" t="s">
        <v>42</v>
      </c>
      <c r="D8" t="s">
        <v>64</v>
      </c>
      <c r="E8" t="s">
        <v>67</v>
      </c>
      <c r="F8" t="s">
        <v>28</v>
      </c>
      <c r="G8" t="s">
        <v>2</v>
      </c>
      <c r="H8" t="s">
        <v>3</v>
      </c>
      <c r="I8" t="s">
        <v>44</v>
      </c>
      <c r="J8" t="s">
        <v>45</v>
      </c>
      <c r="K8" t="s">
        <v>46</v>
      </c>
      <c r="L8" t="s">
        <v>49</v>
      </c>
      <c r="M8" t="s">
        <v>57</v>
      </c>
      <c r="N8" t="s">
        <v>57</v>
      </c>
      <c r="Q8" t="s">
        <v>163</v>
      </c>
      <c r="V8" t="s">
        <v>164</v>
      </c>
      <c r="AA8" t="s">
        <v>62</v>
      </c>
      <c r="AF8" t="s">
        <v>47</v>
      </c>
    </row>
    <row r="10" spans="1:87" x14ac:dyDescent="0.2">
      <c r="A10" s="17" t="s">
        <v>26</v>
      </c>
      <c r="B10" s="17" t="s">
        <v>26</v>
      </c>
      <c r="C10" s="17"/>
      <c r="D10" s="17" t="s">
        <v>66</v>
      </c>
      <c r="E10" s="17" t="s">
        <v>68</v>
      </c>
      <c r="F10" s="17" t="s">
        <v>25</v>
      </c>
      <c r="G10" s="17" t="s">
        <v>4</v>
      </c>
      <c r="H10" s="17" t="s">
        <v>5</v>
      </c>
      <c r="I10" s="17" t="s">
        <v>6</v>
      </c>
      <c r="J10" s="17" t="s">
        <v>32</v>
      </c>
      <c r="K10" s="17" t="s">
        <v>7</v>
      </c>
      <c r="L10" s="17" t="s">
        <v>101</v>
      </c>
      <c r="M10" s="17" t="s">
        <v>131</v>
      </c>
      <c r="N10" s="17" t="s">
        <v>130</v>
      </c>
      <c r="O10" s="17" t="s">
        <v>132</v>
      </c>
      <c r="P10" s="17" t="s">
        <v>133</v>
      </c>
      <c r="Q10" s="17" t="s">
        <v>135</v>
      </c>
      <c r="R10" s="17" t="s">
        <v>136</v>
      </c>
      <c r="S10" s="17" t="s">
        <v>137</v>
      </c>
      <c r="T10" s="17" t="s">
        <v>138</v>
      </c>
      <c r="U10" s="17" t="s">
        <v>139</v>
      </c>
      <c r="V10" s="17" t="s">
        <v>135</v>
      </c>
      <c r="W10" s="17" t="s">
        <v>136</v>
      </c>
      <c r="X10" s="17" t="s">
        <v>137</v>
      </c>
      <c r="Y10" s="17" t="s">
        <v>138</v>
      </c>
      <c r="Z10" s="17" t="s">
        <v>139</v>
      </c>
      <c r="AA10" s="17" t="s">
        <v>135</v>
      </c>
      <c r="AB10" s="17" t="s">
        <v>136</v>
      </c>
      <c r="AC10" s="17" t="s">
        <v>137</v>
      </c>
      <c r="AD10" s="17" t="s">
        <v>138</v>
      </c>
      <c r="AE10" s="17" t="s">
        <v>139</v>
      </c>
      <c r="AF10" s="1" t="s">
        <v>34</v>
      </c>
      <c r="AG10" s="1" t="s">
        <v>179</v>
      </c>
      <c r="AH10" s="1" t="s">
        <v>180</v>
      </c>
      <c r="AI10" s="1" t="s">
        <v>181</v>
      </c>
      <c r="AJ10" s="1" t="s">
        <v>182</v>
      </c>
      <c r="AK10" s="1" t="s">
        <v>175</v>
      </c>
      <c r="AL10" s="1" t="s">
        <v>176</v>
      </c>
      <c r="AM10" s="1" t="s">
        <v>177</v>
      </c>
      <c r="AN10" s="1" t="s">
        <v>178</v>
      </c>
      <c r="AO10" s="1" t="s">
        <v>187</v>
      </c>
      <c r="AP10" s="1" t="s">
        <v>186</v>
      </c>
      <c r="AQ10" s="1" t="s">
        <v>185</v>
      </c>
      <c r="AR10" s="1" t="s">
        <v>184</v>
      </c>
      <c r="AS10" s="1" t="s">
        <v>183</v>
      </c>
      <c r="AT10" s="1" t="s">
        <v>188</v>
      </c>
      <c r="AU10" s="1" t="s">
        <v>189</v>
      </c>
      <c r="AV10" s="1" t="s">
        <v>190</v>
      </c>
      <c r="AW10" s="1" t="s">
        <v>191</v>
      </c>
      <c r="AX10" s="1" t="s">
        <v>192</v>
      </c>
      <c r="AY10" s="1" t="s">
        <v>193</v>
      </c>
      <c r="AZ10" s="1" t="s">
        <v>194</v>
      </c>
      <c r="BA10" s="1" t="s">
        <v>102</v>
      </c>
      <c r="BB10" s="20" t="s">
        <v>195</v>
      </c>
      <c r="BC10" s="20" t="s">
        <v>196</v>
      </c>
      <c r="BD10" s="20" t="s">
        <v>197</v>
      </c>
      <c r="BE10" s="20" t="s">
        <v>198</v>
      </c>
      <c r="BF10" s="1" t="s">
        <v>199</v>
      </c>
      <c r="BG10" s="1" t="s">
        <v>200</v>
      </c>
      <c r="BH10" s="1" t="s">
        <v>201</v>
      </c>
      <c r="BI10" s="1" t="s">
        <v>202</v>
      </c>
      <c r="BJ10" s="1" t="s">
        <v>203</v>
      </c>
      <c r="BK10" s="1" t="s">
        <v>204</v>
      </c>
      <c r="BL10" s="1" t="s">
        <v>205</v>
      </c>
      <c r="BM10" s="1" t="s">
        <v>206</v>
      </c>
      <c r="BN10" s="1" t="s">
        <v>76</v>
      </c>
      <c r="BO10" s="1" t="s">
        <v>111</v>
      </c>
      <c r="BP10" s="1" t="s">
        <v>207</v>
      </c>
      <c r="BQ10" s="1" t="s">
        <v>208</v>
      </c>
      <c r="BR10" s="20" t="s">
        <v>209</v>
      </c>
      <c r="BS10" s="20" t="s">
        <v>210</v>
      </c>
      <c r="BT10" s="20" t="s">
        <v>211</v>
      </c>
      <c r="BU10" s="20" t="s">
        <v>213</v>
      </c>
      <c r="BV10" s="20" t="s">
        <v>214</v>
      </c>
      <c r="BW10" s="20" t="s">
        <v>212</v>
      </c>
      <c r="BX10" s="10" t="s">
        <v>216</v>
      </c>
      <c r="BY10" s="10" t="s">
        <v>215</v>
      </c>
      <c r="BZ10" s="10" t="s">
        <v>107</v>
      </c>
    </row>
    <row r="11" spans="1:87" x14ac:dyDescent="0.2">
      <c r="A11" t="str">
        <f>'Input Scenarios'!A8</f>
        <v>NSW</v>
      </c>
      <c r="B11">
        <f>'Input Scenarios'!B8</f>
        <v>0</v>
      </c>
      <c r="C11" t="str">
        <f>'Input Scenarios'!C8</f>
        <v>Non-irrigated pasture</v>
      </c>
      <c r="D11" t="str">
        <f>'Input Scenarios'!D8</f>
        <v>wet</v>
      </c>
      <c r="E11" t="b">
        <f>'Input Scenarios'!E8</f>
        <v>1</v>
      </c>
      <c r="F11" t="str">
        <f>'Input Scenarios'!F8</f>
        <v>layers</v>
      </c>
      <c r="G11">
        <f>'Input Scenarios'!G8</f>
        <v>5000</v>
      </c>
      <c r="H11">
        <f>'Input Scenarios'!H8</f>
        <v>50</v>
      </c>
      <c r="I11">
        <f>IF('Input Scenarios'!I8&lt;&gt;"", 'Input Scenarios'!I8,_xlfn.XLOOKUP($F11,Constants!$A$2:$A$5,Constants!B$2:B$5))</f>
        <v>8.5999999999999993E-2</v>
      </c>
      <c r="J11">
        <f>IF('Input Scenarios'!J8&lt;&gt;"", 'Input Scenarios'!J8,_xlfn.XLOOKUP($F11,Constants!$A$2:$A$5,Constants!C$2:C$5))</f>
        <v>0.8</v>
      </c>
      <c r="K11">
        <f>IF('Input Scenarios'!K8&lt;&gt;"", 'Input Scenarios'!K8,_xlfn.XLOOKUP($F11,Constants!$A$2:$A$5,Constants!D$2:D$5))</f>
        <v>0.19</v>
      </c>
      <c r="L11">
        <f>IF('Input Scenarios'!L8&lt;&gt;"", 'Input Scenarios'!L8,_xlfn.XLOOKUP($F11,Constants!$A$2:$A$5,Constants!E$2:E$5))</f>
        <v>0.35</v>
      </c>
      <c r="M11">
        <f>'Input Scenarios'!M8</f>
        <v>0.1</v>
      </c>
      <c r="N11">
        <f>'Input Scenarios'!N8</f>
        <v>0.2</v>
      </c>
      <c r="O11">
        <f>'Input Scenarios'!O8</f>
        <v>0.3</v>
      </c>
      <c r="P11">
        <f>'Input Scenarios'!P8</f>
        <v>0.4</v>
      </c>
      <c r="Q11">
        <f>'Input Scenarios'!Q8</f>
        <v>0.15</v>
      </c>
      <c r="R11">
        <f>'Input Scenarios'!R8</f>
        <v>0.2</v>
      </c>
      <c r="S11">
        <f>'Input Scenarios'!S8</f>
        <v>0.25</v>
      </c>
      <c r="T11">
        <f>'Input Scenarios'!T8</f>
        <v>0.17</v>
      </c>
      <c r="U11">
        <f>'Input Scenarios'!U8</f>
        <v>0.23</v>
      </c>
      <c r="V11">
        <f>'Input Scenarios'!V8</f>
        <v>0.15</v>
      </c>
      <c r="W11">
        <f>'Input Scenarios'!W8</f>
        <v>0.2</v>
      </c>
      <c r="X11">
        <f>'Input Scenarios'!X8</f>
        <v>0.25</v>
      </c>
      <c r="Y11">
        <f>'Input Scenarios'!Y8</f>
        <v>0.17</v>
      </c>
      <c r="Z11">
        <f>'Input Scenarios'!Z8</f>
        <v>0.23</v>
      </c>
      <c r="AA11">
        <f>'Input Scenarios'!AA8</f>
        <v>0.15</v>
      </c>
      <c r="AB11">
        <f>'Input Scenarios'!AB8</f>
        <v>0.2</v>
      </c>
      <c r="AC11">
        <f>'Input Scenarios'!AC8</f>
        <v>0.25</v>
      </c>
      <c r="AD11">
        <f>'Input Scenarios'!AD8</f>
        <v>0.17</v>
      </c>
      <c r="AE11">
        <f>'Input Scenarios'!AE8</f>
        <v>0.23</v>
      </c>
      <c r="AF11" s="14">
        <f>IF(F11="", "",_xlfn.XLOOKUP(F11,Constants!$A$2:$A$5,Constants!F$2:F$5))</f>
        <v>0.18</v>
      </c>
      <c r="AG11" s="14">
        <f>Constants!$C$9</f>
        <v>0.3</v>
      </c>
      <c r="AH11" s="14">
        <f>Constants!$C$10</f>
        <v>0.05</v>
      </c>
      <c r="AI11" s="14">
        <f>Constants!$C$11</f>
        <v>0.4</v>
      </c>
      <c r="AJ11" s="14" t="str">
        <f>Constants!$C$16</f>
        <v>N/A</v>
      </c>
      <c r="AK11" s="14">
        <f>Constants!$D$9</f>
        <v>1E-3</v>
      </c>
      <c r="AL11" s="14">
        <f>Constants!$D$10</f>
        <v>1E-3</v>
      </c>
      <c r="AM11" s="14">
        <f>Constants!$D$11</f>
        <v>1E-3</v>
      </c>
      <c r="AN11" s="14">
        <f>Constants!$D$16</f>
        <v>0.02</v>
      </c>
      <c r="AO11" s="14">
        <f>Constants!$C$12</f>
        <v>0.2</v>
      </c>
      <c r="AP11" s="14">
        <f>Constants!$C$13</f>
        <v>0.2</v>
      </c>
      <c r="AQ11" s="14">
        <f>Constants!$C$15</f>
        <v>0</v>
      </c>
      <c r="AR11" s="14">
        <f>Constants!$C$14</f>
        <v>0</v>
      </c>
      <c r="AS11" s="14" t="str">
        <f>Constants!$C$17</f>
        <v>N/A</v>
      </c>
      <c r="AT11" s="14">
        <f>Constants!$D$12</f>
        <v>5.0000000000000001E-3</v>
      </c>
      <c r="AU11" s="14">
        <f>Constants!$D$13</f>
        <v>0.01</v>
      </c>
      <c r="AV11" s="14">
        <f>Constants!$D$15</f>
        <v>0</v>
      </c>
      <c r="AW11" s="14">
        <f>Constants!$D$14</f>
        <v>0</v>
      </c>
      <c r="AX11" s="14" t="str">
        <f>Constants!$D$17</f>
        <v>N/A</v>
      </c>
      <c r="AY11" s="14">
        <f>I11*J11/6.25</f>
        <v>1.1008E-2</v>
      </c>
      <c r="AZ11" s="14">
        <f>AY11*(1-K11)</f>
        <v>8.9164800000000009E-3</v>
      </c>
      <c r="BA11" s="14">
        <f>G11*AZ11*H11</f>
        <v>2229.1200000000003</v>
      </c>
      <c r="BB11" s="14">
        <f>$BA11*M11</f>
        <v>222.91200000000003</v>
      </c>
      <c r="BC11" s="14">
        <f>$BA11*N11</f>
        <v>445.82400000000007</v>
      </c>
      <c r="BD11" s="14">
        <f>$BA11*O11</f>
        <v>668.7360000000001</v>
      </c>
      <c r="BE11" s="14">
        <f>$BA11*P11</f>
        <v>891.64800000000014</v>
      </c>
      <c r="BF11" s="15">
        <f>(BB11*(1-AG11-AK11))</f>
        <v>155.81548800000002</v>
      </c>
      <c r="BG11" s="15">
        <f>(BC11*(1-AH11-AL11))</f>
        <v>423.08697600000005</v>
      </c>
      <c r="BH11" s="15">
        <f>(BD11*(1-AI11-AM11))</f>
        <v>400.57286400000004</v>
      </c>
      <c r="BI11" s="15">
        <f>($BF11*Q11)+($BG11*V11)+($BH11*AA11)</f>
        <v>146.92129920000002</v>
      </c>
      <c r="BJ11" s="15">
        <f>($BF11*R11)+($BG11*W11)+($BH11*AB11)</f>
        <v>195.89506560000004</v>
      </c>
      <c r="BK11" s="15">
        <f>($BF11*S11)+($BG11*X11)+($BH11*AC11)</f>
        <v>244.868832</v>
      </c>
      <c r="BL11" s="15">
        <f>($BF11*T11)+($BG11*Y11)+($BH11*AD11)</f>
        <v>166.51080576000004</v>
      </c>
      <c r="BM11" s="15">
        <f>($BF11*U11)+($BG11*Z11)+($BH11*AE11)</f>
        <v>225.27932544000004</v>
      </c>
      <c r="BN11" s="14">
        <f>IF(D11="", "", _xlfn.XLOOKUP('4.6.1.3'!D11, Constants!$I$5:$I$6, Constants!$J$5:$J$6))</f>
        <v>6.0000000000000001E-3</v>
      </c>
      <c r="BO11" s="14">
        <f>Constants!$J$2</f>
        <v>1.5714285714285714</v>
      </c>
      <c r="BP11" s="14">
        <f>BB11*AK11*$BO11</f>
        <v>0.35029028571428578</v>
      </c>
      <c r="BQ11" s="14">
        <f t="shared" ref="BQ11:BS11" si="0">BC11*AL11*$BO11</f>
        <v>0.70058057142857155</v>
      </c>
      <c r="BR11" s="14">
        <f t="shared" si="0"/>
        <v>1.0508708571428573</v>
      </c>
      <c r="BS11" s="14">
        <f t="shared" si="0"/>
        <v>28.023222857142862</v>
      </c>
      <c r="BT11" s="15">
        <f>BI11*AT11*$BO11</f>
        <v>1.1543816365714288</v>
      </c>
      <c r="BU11" s="15">
        <f t="shared" ref="BU11:BW11" si="1">BJ11*AU11*$BO11</f>
        <v>3.0783510308571436</v>
      </c>
      <c r="BV11" s="15">
        <f t="shared" si="1"/>
        <v>0</v>
      </c>
      <c r="BW11" s="15">
        <f t="shared" si="1"/>
        <v>0</v>
      </c>
      <c r="BX11" s="14">
        <f>BE11* BN11*BO11</f>
        <v>8.4069668571428586</v>
      </c>
      <c r="BY11" s="14">
        <f>SUM(BP11:BW11)</f>
        <v>34.357697238857149</v>
      </c>
      <c r="BZ11" s="14">
        <f>SUM(BX11:BY14)</f>
        <v>181.90636833600001</v>
      </c>
      <c r="CA11" s="14"/>
      <c r="CB11" s="14"/>
      <c r="CC11" s="14"/>
      <c r="CD11" s="14"/>
      <c r="CE11" s="14"/>
      <c r="CF11" s="14"/>
      <c r="CG11" s="14"/>
      <c r="CH11" s="14"/>
      <c r="CI11" s="14"/>
    </row>
    <row r="12" spans="1:87" x14ac:dyDescent="0.2">
      <c r="A12" t="str">
        <f>'Input Scenarios'!A9</f>
        <v>NSW</v>
      </c>
      <c r="B12">
        <f>'Input Scenarios'!B9</f>
        <v>0</v>
      </c>
      <c r="C12" t="str">
        <f>'Input Scenarios'!C9</f>
        <v>Non-irrigated pasture</v>
      </c>
      <c r="D12" t="str">
        <f>'Input Scenarios'!D9</f>
        <v>wet</v>
      </c>
      <c r="E12" t="b">
        <f>'Input Scenarios'!E9</f>
        <v>1</v>
      </c>
      <c r="F12" t="str">
        <f>'Input Scenarios'!F9</f>
        <v>meatChickenBreeder</v>
      </c>
      <c r="G12">
        <f>'Input Scenarios'!G9</f>
        <v>5000</v>
      </c>
      <c r="H12">
        <f>'Input Scenarios'!H9</f>
        <v>50</v>
      </c>
      <c r="I12">
        <f>IF('Input Scenarios'!I9&lt;&gt;"", 'Input Scenarios'!I9,_xlfn.XLOOKUP($F12,Constants!$A$2:$A$5,Constants!B$2:B$5))</f>
        <v>0.10299999999999999</v>
      </c>
      <c r="J12">
        <f>IF('Input Scenarios'!J9&lt;&gt;"", 'Input Scenarios'!J9,_xlfn.XLOOKUP($F12,Constants!$A$2:$A$5,Constants!C$2:C$5))</f>
        <v>0.8</v>
      </c>
      <c r="K12">
        <f>IF('Input Scenarios'!K9&lt;&gt;"", 'Input Scenarios'!K9,_xlfn.XLOOKUP($F12,Constants!$A$2:$A$5,Constants!D$2:D$5))</f>
        <v>0.19</v>
      </c>
      <c r="L12">
        <f>IF('Input Scenarios'!L9&lt;&gt;"", 'Input Scenarios'!L9,_xlfn.XLOOKUP($F12,Constants!$A$2:$A$5,Constants!E$2:E$5))</f>
        <v>0.32</v>
      </c>
      <c r="M12">
        <f>'Input Scenarios'!M9</f>
        <v>0.1</v>
      </c>
      <c r="N12">
        <f>'Input Scenarios'!N9</f>
        <v>0.2</v>
      </c>
      <c r="O12">
        <f>'Input Scenarios'!O9</f>
        <v>0.3</v>
      </c>
      <c r="P12">
        <f>'Input Scenarios'!P9</f>
        <v>0.4</v>
      </c>
      <c r="Q12">
        <f>'Input Scenarios'!Q9</f>
        <v>0.15</v>
      </c>
      <c r="R12">
        <f>'Input Scenarios'!R9</f>
        <v>0.2</v>
      </c>
      <c r="S12">
        <f>'Input Scenarios'!S9</f>
        <v>0.25</v>
      </c>
      <c r="T12">
        <f>'Input Scenarios'!T9</f>
        <v>0.17</v>
      </c>
      <c r="U12">
        <f>'Input Scenarios'!U9</f>
        <v>0.23</v>
      </c>
      <c r="V12">
        <f>'Input Scenarios'!V9</f>
        <v>0.15</v>
      </c>
      <c r="W12">
        <f>'Input Scenarios'!W9</f>
        <v>0.2</v>
      </c>
      <c r="X12">
        <f>'Input Scenarios'!X9</f>
        <v>0.25</v>
      </c>
      <c r="Y12">
        <f>'Input Scenarios'!Y9</f>
        <v>0.17</v>
      </c>
      <c r="Z12">
        <f>'Input Scenarios'!Z9</f>
        <v>0.23</v>
      </c>
      <c r="AA12">
        <f>'Input Scenarios'!AA9</f>
        <v>0.15</v>
      </c>
      <c r="AB12">
        <f>'Input Scenarios'!AB9</f>
        <v>0.2</v>
      </c>
      <c r="AC12">
        <f>'Input Scenarios'!AC9</f>
        <v>0.25</v>
      </c>
      <c r="AD12">
        <f>'Input Scenarios'!AD9</f>
        <v>0.17</v>
      </c>
      <c r="AE12">
        <f>'Input Scenarios'!AE9</f>
        <v>0.23</v>
      </c>
      <c r="AF12" s="14">
        <f>IF(F12="", "",_xlfn.XLOOKUP(F12,Constants!$A$2:$A$5,Constants!F$2:F$5))</f>
        <v>0.18</v>
      </c>
      <c r="AG12" s="14">
        <f>Constants!$C$9</f>
        <v>0.3</v>
      </c>
      <c r="AH12" s="14">
        <f>Constants!$C$10</f>
        <v>0.05</v>
      </c>
      <c r="AI12" s="14">
        <f>Constants!$C$11</f>
        <v>0.4</v>
      </c>
      <c r="AJ12" s="14" t="str">
        <f>Constants!$C$16</f>
        <v>N/A</v>
      </c>
      <c r="AK12" s="14">
        <f>Constants!$D$9</f>
        <v>1E-3</v>
      </c>
      <c r="AL12" s="14">
        <f>Constants!$D$10</f>
        <v>1E-3</v>
      </c>
      <c r="AM12" s="14">
        <f>Constants!$D$11</f>
        <v>1E-3</v>
      </c>
      <c r="AN12" s="14">
        <f>Constants!$D$16</f>
        <v>0.02</v>
      </c>
      <c r="AO12" s="14">
        <f>Constants!$C$12</f>
        <v>0.2</v>
      </c>
      <c r="AP12" s="14">
        <f>Constants!$C$13</f>
        <v>0.2</v>
      </c>
      <c r="AQ12" s="14">
        <f>Constants!$C$15</f>
        <v>0</v>
      </c>
      <c r="AR12" s="14">
        <f>Constants!$C$14</f>
        <v>0</v>
      </c>
      <c r="AS12" s="14" t="str">
        <f>Constants!$C$17</f>
        <v>N/A</v>
      </c>
      <c r="AT12" s="14">
        <f>Constants!$D$12</f>
        <v>5.0000000000000001E-3</v>
      </c>
      <c r="AU12" s="14">
        <f>Constants!$D$13</f>
        <v>0.01</v>
      </c>
      <c r="AV12" s="14">
        <f>Constants!$D$15</f>
        <v>0</v>
      </c>
      <c r="AW12" s="14">
        <f>Constants!$D$14</f>
        <v>0</v>
      </c>
      <c r="AX12" s="14" t="str">
        <f>Constants!$D$17</f>
        <v>N/A</v>
      </c>
      <c r="AY12" s="14">
        <f>I12*J12/6.25</f>
        <v>1.3184E-2</v>
      </c>
      <c r="AZ12" s="14">
        <f>AY12*(1-K12)</f>
        <v>1.0679040000000001E-2</v>
      </c>
      <c r="BA12" s="14">
        <f>G12*AZ12*H12</f>
        <v>2669.76</v>
      </c>
      <c r="BB12" s="14">
        <f>$BA12*M12</f>
        <v>266.97600000000006</v>
      </c>
      <c r="BC12" s="14">
        <f>$BA12*N12</f>
        <v>533.95200000000011</v>
      </c>
      <c r="BD12" s="14">
        <f>$BA12*O12</f>
        <v>800.928</v>
      </c>
      <c r="BE12" s="14">
        <f>$BA12*P12</f>
        <v>1067.9040000000002</v>
      </c>
      <c r="BF12" s="15">
        <f>(BB12*(1-AG12-AK12))</f>
        <v>186.61622400000002</v>
      </c>
      <c r="BG12" s="15">
        <f>(BC12*(1-AH12-AL12))</f>
        <v>506.72044800000009</v>
      </c>
      <c r="BH12" s="15">
        <f>(BD12*(1-AI12-AM12))</f>
        <v>479.75587199999995</v>
      </c>
      <c r="BI12" s="15">
        <f>($BF12*Q12)+($BG12*V12)+($BH12*AA12)</f>
        <v>175.96388160000001</v>
      </c>
      <c r="BJ12" s="15">
        <f>($BF12*R12)+($BG12*W12)+($BH12*AB12)</f>
        <v>234.61850880000003</v>
      </c>
      <c r="BK12" s="15">
        <f>($BF12*S12)+($BG12*X12)+($BH12*AC12)</f>
        <v>293.27313600000002</v>
      </c>
      <c r="BL12" s="15">
        <f>($BF12*T12)+($BG12*Y12)+($BH12*AD12)</f>
        <v>199.42573248000002</v>
      </c>
      <c r="BM12" s="15">
        <f>($BF12*U12)+($BG12*Z12)+($BH12*AE12)</f>
        <v>269.81128511999998</v>
      </c>
      <c r="BN12" s="14">
        <f>IF(D12="", "", _xlfn.XLOOKUP('4.6.1.3'!D12, Constants!$I$5:$I$6, Constants!$J$5:$J$6))</f>
        <v>6.0000000000000001E-3</v>
      </c>
      <c r="BO12" s="14">
        <f>Constants!$J$2</f>
        <v>1.5714285714285714</v>
      </c>
      <c r="BP12" s="14">
        <f t="shared" ref="BP12:BP26" si="2">BB12*AK12*$BO12</f>
        <v>0.41953371428571434</v>
      </c>
      <c r="BQ12" s="14">
        <f t="shared" ref="BQ12:BQ26" si="3">BC12*AL12*$BO12</f>
        <v>0.83906742857142869</v>
      </c>
      <c r="BR12" s="14">
        <f t="shared" ref="BR12:BR26" si="4">BD12*AM12*$BO12</f>
        <v>1.2586011428571429</v>
      </c>
      <c r="BS12" s="14">
        <f t="shared" ref="BS12:BS26" si="5">BE12*AN12*$BO12</f>
        <v>33.562697142857147</v>
      </c>
      <c r="BT12" s="15">
        <f t="shared" ref="BT12:BT26" si="6">BI12*AT12*$BO12</f>
        <v>1.3825733554285715</v>
      </c>
      <c r="BU12" s="15">
        <f t="shared" ref="BU12:BU26" si="7">BJ12*AU12*$BO12</f>
        <v>3.6868622811428575</v>
      </c>
      <c r="BV12" s="15">
        <f t="shared" ref="BV12:BV26" si="8">BK12*AV12*$BO12</f>
        <v>0</v>
      </c>
      <c r="BW12" s="15">
        <f t="shared" ref="BW12:BW26" si="9">BL12*AW12*$BO12</f>
        <v>0</v>
      </c>
      <c r="BX12" s="14">
        <f t="shared" ref="BX12:BX26" si="10">BE12* BN12*BO12</f>
        <v>10.068809142857145</v>
      </c>
      <c r="BY12" s="14">
        <f t="shared" ref="BY12:BY26" si="11">SUM(BP12:BW12)</f>
        <v>41.149335065142857</v>
      </c>
      <c r="BZ12" s="14"/>
      <c r="CA12" s="14"/>
      <c r="CB12" s="14"/>
      <c r="CC12" s="14"/>
      <c r="CD12" s="14"/>
      <c r="CE12" s="14"/>
      <c r="CF12" s="14"/>
      <c r="CG12" s="14"/>
      <c r="CH12" s="14"/>
      <c r="CI12" s="14"/>
    </row>
    <row r="13" spans="1:87" x14ac:dyDescent="0.2">
      <c r="A13" t="str">
        <f>'Input Scenarios'!A10</f>
        <v>NSW</v>
      </c>
      <c r="B13">
        <f>'Input Scenarios'!B10</f>
        <v>0</v>
      </c>
      <c r="C13" t="str">
        <f>'Input Scenarios'!C10</f>
        <v>Non-irrigated pasture</v>
      </c>
      <c r="D13" t="str">
        <f>'Input Scenarios'!D10</f>
        <v>wet</v>
      </c>
      <c r="E13" t="b">
        <f>'Input Scenarios'!E10</f>
        <v>1</v>
      </c>
      <c r="F13" t="str">
        <f>'Input Scenarios'!F10</f>
        <v>meatChickenGrowers</v>
      </c>
      <c r="G13">
        <f>'Input Scenarios'!G10</f>
        <v>5000</v>
      </c>
      <c r="H13">
        <f>'Input Scenarios'!H10</f>
        <v>50</v>
      </c>
      <c r="I13">
        <f>IF('Input Scenarios'!I10&lt;&gt;"", 'Input Scenarios'!I10,_xlfn.XLOOKUP($F13,Constants!$A$2:$A$5,Constants!B$2:B$5))</f>
        <v>9.2999999999999999E-2</v>
      </c>
      <c r="J13">
        <f>IF('Input Scenarios'!J10&lt;&gt;"", 'Input Scenarios'!J10,_xlfn.XLOOKUP($F13,Constants!$A$2:$A$5,Constants!C$2:C$5))</f>
        <v>0.8</v>
      </c>
      <c r="K13">
        <f>IF('Input Scenarios'!K10&lt;&gt;"", 'Input Scenarios'!K10,_xlfn.XLOOKUP($F13,Constants!$A$2:$A$5,Constants!D$2:D$5))</f>
        <v>0.23</v>
      </c>
      <c r="L13">
        <f>IF('Input Scenarios'!L10&lt;&gt;"", 'Input Scenarios'!L10,_xlfn.XLOOKUP($F13,Constants!$A$2:$A$5,Constants!E$2:E$5))</f>
        <v>0.47</v>
      </c>
      <c r="M13">
        <f>'Input Scenarios'!M10</f>
        <v>0.1</v>
      </c>
      <c r="N13">
        <f>'Input Scenarios'!N10</f>
        <v>0.2</v>
      </c>
      <c r="O13">
        <f>'Input Scenarios'!O10</f>
        <v>0.3</v>
      </c>
      <c r="P13">
        <f>'Input Scenarios'!P10</f>
        <v>0.4</v>
      </c>
      <c r="Q13">
        <f>'Input Scenarios'!Q10</f>
        <v>0.15</v>
      </c>
      <c r="R13">
        <f>'Input Scenarios'!R10</f>
        <v>0.2</v>
      </c>
      <c r="S13">
        <f>'Input Scenarios'!S10</f>
        <v>0.25</v>
      </c>
      <c r="T13">
        <f>'Input Scenarios'!T10</f>
        <v>0.17</v>
      </c>
      <c r="U13">
        <f>'Input Scenarios'!U10</f>
        <v>0.23</v>
      </c>
      <c r="V13">
        <f>'Input Scenarios'!V10</f>
        <v>0.15</v>
      </c>
      <c r="W13">
        <f>'Input Scenarios'!W10</f>
        <v>0.2</v>
      </c>
      <c r="X13">
        <f>'Input Scenarios'!X10</f>
        <v>0.25</v>
      </c>
      <c r="Y13">
        <f>'Input Scenarios'!Y10</f>
        <v>0.17</v>
      </c>
      <c r="Z13">
        <f>'Input Scenarios'!Z10</f>
        <v>0.23</v>
      </c>
      <c r="AA13">
        <f>'Input Scenarios'!AA10</f>
        <v>0.15</v>
      </c>
      <c r="AB13">
        <f>'Input Scenarios'!AB10</f>
        <v>0.2</v>
      </c>
      <c r="AC13">
        <f>'Input Scenarios'!AC10</f>
        <v>0.25</v>
      </c>
      <c r="AD13">
        <f>'Input Scenarios'!AD10</f>
        <v>0.17</v>
      </c>
      <c r="AE13">
        <f>'Input Scenarios'!AE10</f>
        <v>0.23</v>
      </c>
      <c r="AF13" s="14">
        <f>IF(F13="", "",_xlfn.XLOOKUP(F13,Constants!$A$2:$A$5,Constants!F$2:F$5))</f>
        <v>0.15</v>
      </c>
      <c r="AG13" s="14">
        <f>Constants!$C$9</f>
        <v>0.3</v>
      </c>
      <c r="AH13" s="14">
        <f>Constants!$C$10</f>
        <v>0.05</v>
      </c>
      <c r="AI13" s="14">
        <f>Constants!$C$11</f>
        <v>0.4</v>
      </c>
      <c r="AJ13" s="14" t="str">
        <f>Constants!$C$16</f>
        <v>N/A</v>
      </c>
      <c r="AK13" s="14">
        <f>Constants!$D$9</f>
        <v>1E-3</v>
      </c>
      <c r="AL13" s="14">
        <f>Constants!$D$10</f>
        <v>1E-3</v>
      </c>
      <c r="AM13" s="14">
        <f>Constants!$D$11</f>
        <v>1E-3</v>
      </c>
      <c r="AN13" s="14">
        <f>Constants!$D$16</f>
        <v>0.02</v>
      </c>
      <c r="AO13" s="14">
        <f>Constants!$C$12</f>
        <v>0.2</v>
      </c>
      <c r="AP13" s="14">
        <f>Constants!$C$13</f>
        <v>0.2</v>
      </c>
      <c r="AQ13" s="14">
        <f>Constants!$C$15</f>
        <v>0</v>
      </c>
      <c r="AR13" s="14">
        <f>Constants!$C$14</f>
        <v>0</v>
      </c>
      <c r="AS13" s="14" t="str">
        <f>Constants!$C$17</f>
        <v>N/A</v>
      </c>
      <c r="AT13" s="14">
        <f>Constants!$D$12</f>
        <v>5.0000000000000001E-3</v>
      </c>
      <c r="AU13" s="14">
        <f>Constants!$D$13</f>
        <v>0.01</v>
      </c>
      <c r="AV13" s="14">
        <f>Constants!$D$15</f>
        <v>0</v>
      </c>
      <c r="AW13" s="14">
        <f>Constants!$D$14</f>
        <v>0</v>
      </c>
      <c r="AX13" s="14" t="str">
        <f>Constants!$D$17</f>
        <v>N/A</v>
      </c>
      <c r="AY13" s="14">
        <f>I13*J13/6.25</f>
        <v>1.1904000000000001E-2</v>
      </c>
      <c r="AZ13" s="14">
        <f>AY13*(1-K13)</f>
        <v>9.1660800000000018E-3</v>
      </c>
      <c r="BA13" s="14">
        <f>G13*AZ13*H13</f>
        <v>2291.5200000000004</v>
      </c>
      <c r="BB13" s="14">
        <f>$BA13*M13</f>
        <v>229.15200000000004</v>
      </c>
      <c r="BC13" s="14">
        <f>$BA13*N13</f>
        <v>458.30400000000009</v>
      </c>
      <c r="BD13" s="14">
        <f>$BA13*O13</f>
        <v>687.45600000000013</v>
      </c>
      <c r="BE13" s="14">
        <f>$BA13*P13</f>
        <v>916.60800000000017</v>
      </c>
      <c r="BF13" s="15">
        <f>(BB13*(1-AG13-AK13))</f>
        <v>160.17724800000002</v>
      </c>
      <c r="BG13" s="15">
        <f>(BC13*(1-AH13-AL13))</f>
        <v>434.93049600000006</v>
      </c>
      <c r="BH13" s="15">
        <f>(BD13*(1-AI13-AM13))</f>
        <v>411.78614400000004</v>
      </c>
      <c r="BI13" s="15">
        <f>($BF13*Q13)+($BG13*V13)+($BH13*AA13)</f>
        <v>151.0340832</v>
      </c>
      <c r="BJ13" s="15">
        <f>($BF13*R13)+($BG13*W13)+($BH13*AB13)</f>
        <v>201.37877760000003</v>
      </c>
      <c r="BK13" s="15">
        <f>($BF13*S13)+($BG13*X13)+($BH13*AC13)</f>
        <v>251.72347200000004</v>
      </c>
      <c r="BL13" s="15">
        <f>($BF13*T13)+($BG13*Y13)+($BH13*AD13)</f>
        <v>171.17196096000004</v>
      </c>
      <c r="BM13" s="15">
        <f>($BF13*U13)+($BG13*Z13)+($BH13*AE13)</f>
        <v>231.58559424000003</v>
      </c>
      <c r="BN13" s="14">
        <f>IF(D13="", "", _xlfn.XLOOKUP('4.6.1.3'!D13, Constants!$I$5:$I$6, Constants!$J$5:$J$6))</f>
        <v>6.0000000000000001E-3</v>
      </c>
      <c r="BO13" s="14">
        <f>Constants!$J$2</f>
        <v>1.5714285714285714</v>
      </c>
      <c r="BP13" s="14">
        <f t="shared" si="2"/>
        <v>0.36009600000000008</v>
      </c>
      <c r="BQ13" s="14">
        <f t="shared" si="3"/>
        <v>0.72019200000000017</v>
      </c>
      <c r="BR13" s="14">
        <f t="shared" si="4"/>
        <v>1.0802880000000004</v>
      </c>
      <c r="BS13" s="14">
        <f t="shared" si="5"/>
        <v>28.807680000000008</v>
      </c>
      <c r="BT13" s="15">
        <f t="shared" si="6"/>
        <v>1.186696368</v>
      </c>
      <c r="BU13" s="15">
        <f t="shared" si="7"/>
        <v>3.1645236480000007</v>
      </c>
      <c r="BV13" s="15">
        <f t="shared" si="8"/>
        <v>0</v>
      </c>
      <c r="BW13" s="15">
        <f t="shared" si="9"/>
        <v>0</v>
      </c>
      <c r="BX13" s="14">
        <f t="shared" si="10"/>
        <v>8.6423040000000029</v>
      </c>
      <c r="BY13" s="14">
        <f t="shared" si="11"/>
        <v>35.31947601600001</v>
      </c>
      <c r="BZ13" s="14"/>
      <c r="CA13" s="14"/>
      <c r="CB13" s="14"/>
      <c r="CC13" s="14"/>
      <c r="CD13" s="14"/>
      <c r="CE13" s="14"/>
      <c r="CF13" s="14"/>
      <c r="CG13" s="14"/>
      <c r="CH13" s="14"/>
      <c r="CI13" s="14"/>
    </row>
    <row r="14" spans="1:87" x14ac:dyDescent="0.2">
      <c r="A14" s="11" t="str">
        <f>'Input Scenarios'!A11</f>
        <v>NSW</v>
      </c>
      <c r="B14" s="11">
        <f>'Input Scenarios'!B11</f>
        <v>0</v>
      </c>
      <c r="C14" s="11" t="str">
        <f>'Input Scenarios'!C11</f>
        <v>Non-irrigated pasture</v>
      </c>
      <c r="D14" s="11" t="str">
        <f>'Input Scenarios'!D11</f>
        <v>wet</v>
      </c>
      <c r="E14" s="11" t="b">
        <f>'Input Scenarios'!E11</f>
        <v>1</v>
      </c>
      <c r="F14" s="11" t="str">
        <f>'Input Scenarios'!F11</f>
        <v>meatOther</v>
      </c>
      <c r="G14" s="11">
        <f>'Input Scenarios'!G11</f>
        <v>5000</v>
      </c>
      <c r="H14" s="11">
        <f>'Input Scenarios'!H11</f>
        <v>50</v>
      </c>
      <c r="I14">
        <f>IF('Input Scenarios'!I11&lt;&gt;"", 'Input Scenarios'!I11,_xlfn.XLOOKUP($F14,Constants!$A$2:$A$5,Constants!B$2:B$5))</f>
        <v>9.2999999999999999E-2</v>
      </c>
      <c r="J14">
        <f>IF('Input Scenarios'!J11&lt;&gt;"", 'Input Scenarios'!J11,_xlfn.XLOOKUP($F14,Constants!$A$2:$A$5,Constants!C$2:C$5))</f>
        <v>0.8</v>
      </c>
      <c r="K14">
        <f>IF('Input Scenarios'!K11&lt;&gt;"", 'Input Scenarios'!K11,_xlfn.XLOOKUP($F14,Constants!$A$2:$A$5,Constants!D$2:D$5))</f>
        <v>0.23</v>
      </c>
      <c r="L14">
        <f>IF('Input Scenarios'!L11&lt;&gt;"", 'Input Scenarios'!L11,_xlfn.XLOOKUP($F14,Constants!$A$2:$A$5,Constants!E$2:E$5))</f>
        <v>0.47</v>
      </c>
      <c r="M14" s="11">
        <f>'Input Scenarios'!M11</f>
        <v>0.1</v>
      </c>
      <c r="N14" s="11">
        <f>'Input Scenarios'!N11</f>
        <v>0.2</v>
      </c>
      <c r="O14" s="11">
        <f>'Input Scenarios'!O11</f>
        <v>0.3</v>
      </c>
      <c r="P14" s="11">
        <f>'Input Scenarios'!P11</f>
        <v>0.4</v>
      </c>
      <c r="Q14" s="11">
        <f>'Input Scenarios'!Q11</f>
        <v>0.15</v>
      </c>
      <c r="R14" s="11">
        <f>'Input Scenarios'!R11</f>
        <v>0.2</v>
      </c>
      <c r="S14" s="11">
        <f>'Input Scenarios'!S11</f>
        <v>0.25</v>
      </c>
      <c r="T14" s="11">
        <f>'Input Scenarios'!T11</f>
        <v>0.17</v>
      </c>
      <c r="U14" s="11">
        <f>'Input Scenarios'!U11</f>
        <v>0.23</v>
      </c>
      <c r="V14" s="11">
        <f>'Input Scenarios'!V11</f>
        <v>0.15</v>
      </c>
      <c r="W14" s="11">
        <f>'Input Scenarios'!W11</f>
        <v>0.2</v>
      </c>
      <c r="X14" s="11">
        <f>'Input Scenarios'!X11</f>
        <v>0.25</v>
      </c>
      <c r="Y14" s="11">
        <f>'Input Scenarios'!Y11</f>
        <v>0.17</v>
      </c>
      <c r="Z14" s="11">
        <f>'Input Scenarios'!Z11</f>
        <v>0.23</v>
      </c>
      <c r="AA14" s="11">
        <f>'Input Scenarios'!AA11</f>
        <v>0.15</v>
      </c>
      <c r="AB14" s="11">
        <f>'Input Scenarios'!AB11</f>
        <v>0.2</v>
      </c>
      <c r="AC14" s="11">
        <f>'Input Scenarios'!AC11</f>
        <v>0.25</v>
      </c>
      <c r="AD14" s="11">
        <f>'Input Scenarios'!AD11</f>
        <v>0.17</v>
      </c>
      <c r="AE14" s="11">
        <f>'Input Scenarios'!AE11</f>
        <v>0.23</v>
      </c>
      <c r="AF14" s="14">
        <f>IF(F14="", "",_xlfn.XLOOKUP(F14,Constants!$A$2:$A$5,Constants!F$2:F$5))</f>
        <v>0.15</v>
      </c>
      <c r="AG14" s="14">
        <f>Constants!$C$9</f>
        <v>0.3</v>
      </c>
      <c r="AH14" s="14">
        <f>Constants!$C$10</f>
        <v>0.05</v>
      </c>
      <c r="AI14" s="14">
        <f>Constants!$C$11</f>
        <v>0.4</v>
      </c>
      <c r="AJ14" s="14" t="str">
        <f>Constants!$C$16</f>
        <v>N/A</v>
      </c>
      <c r="AK14" s="14">
        <f>Constants!$D$9</f>
        <v>1E-3</v>
      </c>
      <c r="AL14" s="14">
        <f>Constants!$D$10</f>
        <v>1E-3</v>
      </c>
      <c r="AM14" s="14">
        <f>Constants!$D$11</f>
        <v>1E-3</v>
      </c>
      <c r="AN14" s="14">
        <f>Constants!$D$16</f>
        <v>0.02</v>
      </c>
      <c r="AO14" s="14">
        <f>Constants!$C$12</f>
        <v>0.2</v>
      </c>
      <c r="AP14" s="14">
        <f>Constants!$C$13</f>
        <v>0.2</v>
      </c>
      <c r="AQ14" s="14">
        <f>Constants!$C$15</f>
        <v>0</v>
      </c>
      <c r="AR14" s="14">
        <f>Constants!$C$14</f>
        <v>0</v>
      </c>
      <c r="AS14" s="14" t="str">
        <f>Constants!$C$17</f>
        <v>N/A</v>
      </c>
      <c r="AT14" s="14">
        <f>Constants!$D$12</f>
        <v>5.0000000000000001E-3</v>
      </c>
      <c r="AU14" s="14">
        <f>Constants!$D$13</f>
        <v>0.01</v>
      </c>
      <c r="AV14" s="14">
        <f>Constants!$D$15</f>
        <v>0</v>
      </c>
      <c r="AW14" s="14">
        <f>Constants!$D$14</f>
        <v>0</v>
      </c>
      <c r="AX14" s="14" t="str">
        <f>Constants!$D$17</f>
        <v>N/A</v>
      </c>
      <c r="AY14" s="14">
        <f>I14*J14/6.25</f>
        <v>1.1904000000000001E-2</v>
      </c>
      <c r="AZ14" s="14">
        <f>AY14*(1-K14)</f>
        <v>9.1660800000000018E-3</v>
      </c>
      <c r="BA14" s="14">
        <f>G14*AZ14*H14</f>
        <v>2291.5200000000004</v>
      </c>
      <c r="BB14" s="14">
        <f>$BA14*M14</f>
        <v>229.15200000000004</v>
      </c>
      <c r="BC14" s="14">
        <f>$BA14*N14</f>
        <v>458.30400000000009</v>
      </c>
      <c r="BD14" s="14">
        <f>$BA14*O14</f>
        <v>687.45600000000013</v>
      </c>
      <c r="BE14" s="14">
        <f>$BA14*P14</f>
        <v>916.60800000000017</v>
      </c>
      <c r="BF14" s="15">
        <f>(BB14*(1-AG14-AK14))</f>
        <v>160.17724800000002</v>
      </c>
      <c r="BG14" s="15">
        <f>(BC14*(1-AH14-AL14))</f>
        <v>434.93049600000006</v>
      </c>
      <c r="BH14" s="15">
        <f>(BD14*(1-AI14-AM14))</f>
        <v>411.78614400000004</v>
      </c>
      <c r="BI14" s="15">
        <f>($BF14*Q14)+($BG14*V14)+($BH14*AA14)</f>
        <v>151.0340832</v>
      </c>
      <c r="BJ14" s="15">
        <f>($BF14*R14)+($BG14*W14)+($BH14*AB14)</f>
        <v>201.37877760000003</v>
      </c>
      <c r="BK14" s="15">
        <f>($BF14*S14)+($BG14*X14)+($BH14*AC14)</f>
        <v>251.72347200000004</v>
      </c>
      <c r="BL14" s="15">
        <f>($BF14*T14)+($BG14*Y14)+($BH14*AD14)</f>
        <v>171.17196096000004</v>
      </c>
      <c r="BM14" s="15">
        <f>($BF14*U14)+($BG14*Z14)+($BH14*AE14)</f>
        <v>231.58559424000003</v>
      </c>
      <c r="BN14" s="14">
        <f>IF(D14="", "", _xlfn.XLOOKUP('4.6.1.3'!D14, Constants!$I$5:$I$6, Constants!$J$5:$J$6))</f>
        <v>6.0000000000000001E-3</v>
      </c>
      <c r="BO14" s="14">
        <f>Constants!$J$2</f>
        <v>1.5714285714285714</v>
      </c>
      <c r="BP14" s="14">
        <f t="shared" si="2"/>
        <v>0.36009600000000008</v>
      </c>
      <c r="BQ14" s="14">
        <f t="shared" si="3"/>
        <v>0.72019200000000017</v>
      </c>
      <c r="BR14" s="14">
        <f t="shared" si="4"/>
        <v>1.0802880000000004</v>
      </c>
      <c r="BS14" s="14">
        <f t="shared" si="5"/>
        <v>28.807680000000008</v>
      </c>
      <c r="BT14" s="15">
        <f t="shared" si="6"/>
        <v>1.186696368</v>
      </c>
      <c r="BU14" s="15">
        <f t="shared" si="7"/>
        <v>3.1645236480000007</v>
      </c>
      <c r="BV14" s="15">
        <f t="shared" si="8"/>
        <v>0</v>
      </c>
      <c r="BW14" s="15">
        <f t="shared" si="9"/>
        <v>0</v>
      </c>
      <c r="BX14" s="14">
        <f t="shared" si="10"/>
        <v>8.6423040000000029</v>
      </c>
      <c r="BY14" s="14">
        <f t="shared" si="11"/>
        <v>35.31947601600001</v>
      </c>
      <c r="BZ14" s="14"/>
      <c r="CA14" s="14"/>
      <c r="CB14" s="14"/>
      <c r="CC14" s="14"/>
      <c r="CD14" s="14"/>
      <c r="CE14" s="14"/>
      <c r="CF14" s="14"/>
      <c r="CG14" s="14"/>
      <c r="CH14" s="14"/>
      <c r="CI14" s="14"/>
    </row>
    <row r="15" spans="1:87" s="11" customFormat="1" x14ac:dyDescent="0.2">
      <c r="A15" s="14" t="str">
        <f>'Input Scenarios'!A12</f>
        <v>QLD</v>
      </c>
      <c r="B15" s="14">
        <f>'Input Scenarios'!B12</f>
        <v>0</v>
      </c>
      <c r="C15" s="14" t="str">
        <f>'Input Scenarios'!C12</f>
        <v>Irrigated crop</v>
      </c>
      <c r="D15" s="14" t="str">
        <f>'Input Scenarios'!D12</f>
        <v>dry</v>
      </c>
      <c r="E15" s="14" t="b">
        <f>'Input Scenarios'!E12</f>
        <v>1</v>
      </c>
      <c r="F15" s="14" t="str">
        <f>'Input Scenarios'!F12</f>
        <v>layers</v>
      </c>
      <c r="G15" s="14">
        <f>'Input Scenarios'!G12</f>
        <v>2250</v>
      </c>
      <c r="H15" s="14">
        <f>'Input Scenarios'!H12</f>
        <v>125</v>
      </c>
      <c r="I15">
        <f>IF('Input Scenarios'!I12&lt;&gt;"", 'Input Scenarios'!I12,_xlfn.XLOOKUP($F15,Constants!$A$2:$A$5,Constants!B$2:B$5))</f>
        <v>8.5999999999999993E-2</v>
      </c>
      <c r="J15">
        <f>IF('Input Scenarios'!J12&lt;&gt;"", 'Input Scenarios'!J12,_xlfn.XLOOKUP($F15,Constants!$A$2:$A$5,Constants!C$2:C$5))</f>
        <v>0.8</v>
      </c>
      <c r="K15">
        <f>IF('Input Scenarios'!K12&lt;&gt;"", 'Input Scenarios'!K12,_xlfn.XLOOKUP($F15,Constants!$A$2:$A$5,Constants!D$2:D$5))</f>
        <v>0.19</v>
      </c>
      <c r="L15">
        <f>IF('Input Scenarios'!L12&lt;&gt;"", 'Input Scenarios'!L12,_xlfn.XLOOKUP($F15,Constants!$A$2:$A$5,Constants!E$2:E$5))</f>
        <v>0.35</v>
      </c>
      <c r="M15" s="14">
        <f>'Input Scenarios'!M12</f>
        <v>0.4</v>
      </c>
      <c r="N15" s="14">
        <f>'Input Scenarios'!N12</f>
        <v>0.3</v>
      </c>
      <c r="O15" s="14">
        <f>'Input Scenarios'!O12</f>
        <v>0.2</v>
      </c>
      <c r="P15" s="14">
        <f>'Input Scenarios'!P12</f>
        <v>0.1</v>
      </c>
      <c r="Q15" s="14">
        <f>'Input Scenarios'!Q12</f>
        <v>0.2</v>
      </c>
      <c r="R15" s="14">
        <f>'Input Scenarios'!R12</f>
        <v>0.25</v>
      </c>
      <c r="S15" s="14">
        <f>'Input Scenarios'!S12</f>
        <v>0.2</v>
      </c>
      <c r="T15" s="14">
        <f>'Input Scenarios'!T12</f>
        <v>0.25</v>
      </c>
      <c r="U15" s="14">
        <f>'Input Scenarios'!U12</f>
        <v>0.1</v>
      </c>
      <c r="V15" s="14">
        <f>'Input Scenarios'!V12</f>
        <v>0.2</v>
      </c>
      <c r="W15" s="14">
        <f>'Input Scenarios'!W12</f>
        <v>0.25</v>
      </c>
      <c r="X15" s="14">
        <f>'Input Scenarios'!X12</f>
        <v>0.2</v>
      </c>
      <c r="Y15" s="14">
        <f>'Input Scenarios'!Y12</f>
        <v>0.25</v>
      </c>
      <c r="Z15" s="14">
        <f>'Input Scenarios'!Z12</f>
        <v>0.1</v>
      </c>
      <c r="AA15" s="14">
        <f>'Input Scenarios'!AA12</f>
        <v>0.2</v>
      </c>
      <c r="AB15" s="14">
        <f>'Input Scenarios'!AB12</f>
        <v>0.25</v>
      </c>
      <c r="AC15" s="14">
        <f>'Input Scenarios'!AC12</f>
        <v>0.2</v>
      </c>
      <c r="AD15" s="14">
        <f>'Input Scenarios'!AD12</f>
        <v>0.25</v>
      </c>
      <c r="AE15" s="14">
        <f>'Input Scenarios'!AE12</f>
        <v>0.1</v>
      </c>
      <c r="AF15" s="14">
        <f>IF(F15="", "",_xlfn.XLOOKUP(F15,Constants!$A$2:$A$5,Constants!F$2:F$5))</f>
        <v>0.18</v>
      </c>
      <c r="AG15" s="14">
        <f>Constants!$C$9</f>
        <v>0.3</v>
      </c>
      <c r="AH15" s="14">
        <f>Constants!$C$10</f>
        <v>0.05</v>
      </c>
      <c r="AI15" s="14">
        <f>Constants!$C$11</f>
        <v>0.4</v>
      </c>
      <c r="AJ15" s="14" t="str">
        <f>Constants!$C$16</f>
        <v>N/A</v>
      </c>
      <c r="AK15" s="14">
        <f>Constants!$D$9</f>
        <v>1E-3</v>
      </c>
      <c r="AL15" s="14">
        <f>Constants!$D$10</f>
        <v>1E-3</v>
      </c>
      <c r="AM15" s="14">
        <f>Constants!$D$11</f>
        <v>1E-3</v>
      </c>
      <c r="AN15" s="14">
        <f>Constants!$D$16</f>
        <v>0.02</v>
      </c>
      <c r="AO15" s="14">
        <f>Constants!$C$12</f>
        <v>0.2</v>
      </c>
      <c r="AP15" s="14">
        <f>Constants!$C$13</f>
        <v>0.2</v>
      </c>
      <c r="AQ15" s="14">
        <f>Constants!$C$15</f>
        <v>0</v>
      </c>
      <c r="AR15" s="14">
        <f>Constants!$C$14</f>
        <v>0</v>
      </c>
      <c r="AS15" s="14" t="str">
        <f>Constants!$C$17</f>
        <v>N/A</v>
      </c>
      <c r="AT15" s="14">
        <f>Constants!$D$12</f>
        <v>5.0000000000000001E-3</v>
      </c>
      <c r="AU15" s="14">
        <f>Constants!$D$13</f>
        <v>0.01</v>
      </c>
      <c r="AV15" s="14">
        <f>Constants!$D$15</f>
        <v>0</v>
      </c>
      <c r="AW15" s="14">
        <f>Constants!$D$14</f>
        <v>0</v>
      </c>
      <c r="AX15" s="14" t="str">
        <f>Constants!$D$17</f>
        <v>N/A</v>
      </c>
      <c r="AY15" s="14">
        <f>I15*J15/6.25</f>
        <v>1.1008E-2</v>
      </c>
      <c r="AZ15" s="14">
        <f>AY15*(1-K15)</f>
        <v>8.9164800000000009E-3</v>
      </c>
      <c r="BA15" s="14">
        <f>G15*AZ15*H15</f>
        <v>2507.7600000000002</v>
      </c>
      <c r="BB15" s="14">
        <f>$BA15*M15</f>
        <v>1003.1040000000002</v>
      </c>
      <c r="BC15" s="14">
        <f>$BA15*N15</f>
        <v>752.32800000000009</v>
      </c>
      <c r="BD15" s="14">
        <f>$BA15*O15</f>
        <v>501.55200000000008</v>
      </c>
      <c r="BE15" s="14">
        <f>$BA15*P15</f>
        <v>250.77600000000004</v>
      </c>
      <c r="BF15" s="15">
        <f>(BB15*(1-AG15-AK15))</f>
        <v>701.16969600000004</v>
      </c>
      <c r="BG15" s="15">
        <f>(BC15*(1-AH15-AL15))</f>
        <v>713.95927200000006</v>
      </c>
      <c r="BH15" s="15">
        <f>(BD15*(1-AI15-AM15))</f>
        <v>300.42964800000004</v>
      </c>
      <c r="BI15" s="15">
        <f>($BF15*Q15)+($BG15*V15)+($BH15*AA15)</f>
        <v>343.11172320000003</v>
      </c>
      <c r="BJ15" s="15">
        <f>($BF15*R15)+($BG15*W15)+($BH15*AB15)</f>
        <v>428.88965400000001</v>
      </c>
      <c r="BK15" s="15">
        <f>($BF15*S15)+($BG15*X15)+($BH15*AC15)</f>
        <v>343.11172320000003</v>
      </c>
      <c r="BL15" s="15">
        <f>($BF15*T15)+($BG15*Y15)+($BH15*AD15)</f>
        <v>428.88965400000001</v>
      </c>
      <c r="BM15" s="15">
        <f>($BF15*U15)+($BG15*Z15)+($BH15*AE15)</f>
        <v>171.55586160000001</v>
      </c>
      <c r="BN15" s="14">
        <f>IF(D15="", "", _xlfn.XLOOKUP('4.6.1.3'!D15, Constants!$I$5:$I$6, Constants!$J$5:$J$6))</f>
        <v>2E-3</v>
      </c>
      <c r="BO15" s="14">
        <f>Constants!$J$2</f>
        <v>1.5714285714285714</v>
      </c>
      <c r="BP15" s="14">
        <f t="shared" si="2"/>
        <v>1.576306285714286</v>
      </c>
      <c r="BQ15" s="14">
        <f t="shared" si="3"/>
        <v>1.1822297142857143</v>
      </c>
      <c r="BR15" s="14">
        <f t="shared" si="4"/>
        <v>0.788153142857143</v>
      </c>
      <c r="BS15" s="14">
        <f t="shared" si="5"/>
        <v>7.8815314285714306</v>
      </c>
      <c r="BT15" s="15">
        <f t="shared" si="6"/>
        <v>2.6958778251428575</v>
      </c>
      <c r="BU15" s="15">
        <f t="shared" si="7"/>
        <v>6.7396945628571432</v>
      </c>
      <c r="BV15" s="15">
        <f t="shared" si="8"/>
        <v>0</v>
      </c>
      <c r="BW15" s="15">
        <f t="shared" si="9"/>
        <v>0</v>
      </c>
      <c r="BX15" s="14">
        <f t="shared" si="10"/>
        <v>0.788153142857143</v>
      </c>
      <c r="BY15" s="14">
        <f t="shared" si="11"/>
        <v>20.863792959428572</v>
      </c>
      <c r="BZ15" s="14">
        <f>SUM(BX15:BY18)</f>
        <v>92.100030857999997</v>
      </c>
      <c r="CA15" s="14"/>
      <c r="CB15" s="14"/>
      <c r="CC15" s="14"/>
      <c r="CD15" s="14"/>
      <c r="CE15" s="14"/>
      <c r="CF15" s="14"/>
      <c r="CG15" s="14"/>
      <c r="CH15" s="14"/>
      <c r="CI15" s="14"/>
    </row>
    <row r="16" spans="1:87" x14ac:dyDescent="0.2">
      <c r="A16" s="14" t="str">
        <f>'Input Scenarios'!A13</f>
        <v>QLD</v>
      </c>
      <c r="B16" s="14">
        <f>'Input Scenarios'!B13</f>
        <v>0</v>
      </c>
      <c r="C16" s="14" t="str">
        <f>'Input Scenarios'!C13</f>
        <v>Irrigated crop</v>
      </c>
      <c r="D16" s="14" t="str">
        <f>'Input Scenarios'!D13</f>
        <v>dry</v>
      </c>
      <c r="E16" s="14" t="b">
        <f>'Input Scenarios'!E13</f>
        <v>1</v>
      </c>
      <c r="F16" s="14" t="str">
        <f>'Input Scenarios'!F13</f>
        <v>meatChickenBreeder</v>
      </c>
      <c r="G16" s="14">
        <f>'Input Scenarios'!G13</f>
        <v>2250</v>
      </c>
      <c r="H16" s="14">
        <f>'Input Scenarios'!H13</f>
        <v>125</v>
      </c>
      <c r="I16">
        <f>IF('Input Scenarios'!I13&lt;&gt;"", 'Input Scenarios'!I13,_xlfn.XLOOKUP($F16,Constants!$A$2:$A$5,Constants!B$2:B$5))</f>
        <v>0.10299999999999999</v>
      </c>
      <c r="J16">
        <f>IF('Input Scenarios'!J13&lt;&gt;"", 'Input Scenarios'!J13,_xlfn.XLOOKUP($F16,Constants!$A$2:$A$5,Constants!C$2:C$5))</f>
        <v>0.8</v>
      </c>
      <c r="K16">
        <f>IF('Input Scenarios'!K13&lt;&gt;"", 'Input Scenarios'!K13,_xlfn.XLOOKUP($F16,Constants!$A$2:$A$5,Constants!D$2:D$5))</f>
        <v>0.19</v>
      </c>
      <c r="L16">
        <f>IF('Input Scenarios'!L13&lt;&gt;"", 'Input Scenarios'!L13,_xlfn.XLOOKUP($F16,Constants!$A$2:$A$5,Constants!E$2:E$5))</f>
        <v>0.32</v>
      </c>
      <c r="M16" s="14">
        <f>'Input Scenarios'!M13</f>
        <v>0.4</v>
      </c>
      <c r="N16" s="14">
        <f>'Input Scenarios'!N13</f>
        <v>0.3</v>
      </c>
      <c r="O16" s="14">
        <f>'Input Scenarios'!O13</f>
        <v>0.2</v>
      </c>
      <c r="P16" s="14">
        <f>'Input Scenarios'!P13</f>
        <v>0.1</v>
      </c>
      <c r="Q16" s="14">
        <f>'Input Scenarios'!Q13</f>
        <v>0.2</v>
      </c>
      <c r="R16" s="14">
        <f>'Input Scenarios'!R13</f>
        <v>0.25</v>
      </c>
      <c r="S16" s="14">
        <f>'Input Scenarios'!S13</f>
        <v>0.2</v>
      </c>
      <c r="T16" s="14">
        <f>'Input Scenarios'!T13</f>
        <v>0.25</v>
      </c>
      <c r="U16" s="14">
        <f>'Input Scenarios'!U13</f>
        <v>0.1</v>
      </c>
      <c r="V16" s="14">
        <f>'Input Scenarios'!V13</f>
        <v>0.2</v>
      </c>
      <c r="W16" s="14">
        <f>'Input Scenarios'!W13</f>
        <v>0.25</v>
      </c>
      <c r="X16" s="14">
        <f>'Input Scenarios'!X13</f>
        <v>0.2</v>
      </c>
      <c r="Y16" s="14">
        <f>'Input Scenarios'!Y13</f>
        <v>0.25</v>
      </c>
      <c r="Z16" s="14">
        <f>'Input Scenarios'!Z13</f>
        <v>0.1</v>
      </c>
      <c r="AA16" s="14">
        <f>'Input Scenarios'!AA13</f>
        <v>0.2</v>
      </c>
      <c r="AB16" s="14">
        <f>'Input Scenarios'!AB13</f>
        <v>0.25</v>
      </c>
      <c r="AC16" s="14">
        <f>'Input Scenarios'!AC13</f>
        <v>0.2</v>
      </c>
      <c r="AD16" s="14">
        <f>'Input Scenarios'!AD13</f>
        <v>0.25</v>
      </c>
      <c r="AE16" s="14">
        <f>'Input Scenarios'!AE13</f>
        <v>0.1</v>
      </c>
      <c r="AF16" s="14">
        <f>IF(F16="", "",_xlfn.XLOOKUP(F16,Constants!$A$2:$A$5,Constants!F$2:F$5))</f>
        <v>0.18</v>
      </c>
      <c r="AG16" s="14">
        <f>Constants!$C$9</f>
        <v>0.3</v>
      </c>
      <c r="AH16" s="14">
        <f>Constants!$C$10</f>
        <v>0.05</v>
      </c>
      <c r="AI16" s="14">
        <f>Constants!$C$11</f>
        <v>0.4</v>
      </c>
      <c r="AJ16" s="14" t="str">
        <f>Constants!$C$16</f>
        <v>N/A</v>
      </c>
      <c r="AK16" s="14">
        <f>Constants!$D$9</f>
        <v>1E-3</v>
      </c>
      <c r="AL16" s="14">
        <f>Constants!$D$10</f>
        <v>1E-3</v>
      </c>
      <c r="AM16" s="14">
        <f>Constants!$D$11</f>
        <v>1E-3</v>
      </c>
      <c r="AN16" s="14">
        <f>Constants!$D$16</f>
        <v>0.02</v>
      </c>
      <c r="AO16" s="14">
        <f>Constants!$C$12</f>
        <v>0.2</v>
      </c>
      <c r="AP16" s="14">
        <f>Constants!$C$13</f>
        <v>0.2</v>
      </c>
      <c r="AQ16" s="14">
        <f>Constants!$C$15</f>
        <v>0</v>
      </c>
      <c r="AR16" s="14">
        <f>Constants!$C$14</f>
        <v>0</v>
      </c>
      <c r="AS16" s="14" t="str">
        <f>Constants!$C$17</f>
        <v>N/A</v>
      </c>
      <c r="AT16" s="14">
        <f>Constants!$D$12</f>
        <v>5.0000000000000001E-3</v>
      </c>
      <c r="AU16" s="14">
        <f>Constants!$D$13</f>
        <v>0.01</v>
      </c>
      <c r="AV16" s="14">
        <f>Constants!$D$15</f>
        <v>0</v>
      </c>
      <c r="AW16" s="14">
        <f>Constants!$D$14</f>
        <v>0</v>
      </c>
      <c r="AX16" s="14" t="str">
        <f>Constants!$D$17</f>
        <v>N/A</v>
      </c>
      <c r="AY16" s="14">
        <f>I16*J16/6.25</f>
        <v>1.3184E-2</v>
      </c>
      <c r="AZ16" s="14">
        <f>AY16*(1-K16)</f>
        <v>1.0679040000000001E-2</v>
      </c>
      <c r="BA16" s="14">
        <f>G16*AZ16*H16</f>
        <v>3003.48</v>
      </c>
      <c r="BB16" s="14">
        <f>$BA16*M16</f>
        <v>1201.3920000000001</v>
      </c>
      <c r="BC16" s="14">
        <f>$BA16*N16</f>
        <v>901.04399999999998</v>
      </c>
      <c r="BD16" s="14">
        <f>$BA16*O16</f>
        <v>600.69600000000003</v>
      </c>
      <c r="BE16" s="14">
        <f>$BA16*P16</f>
        <v>300.34800000000001</v>
      </c>
      <c r="BF16" s="15">
        <f>(BB16*(1-AG16-AK16))</f>
        <v>839.773008</v>
      </c>
      <c r="BG16" s="15">
        <f>(BC16*(1-AH16-AL16))</f>
        <v>855.09075599999994</v>
      </c>
      <c r="BH16" s="15">
        <f>(BD16*(1-AI16-AM16))</f>
        <v>359.81690400000002</v>
      </c>
      <c r="BI16" s="15">
        <f>($BF16*Q16)+($BG16*V16)+($BH16*AA16)</f>
        <v>410.93613360000006</v>
      </c>
      <c r="BJ16" s="15">
        <f>($BF16*R16)+($BG16*W16)+($BH16*AB16)</f>
        <v>513.67016699999999</v>
      </c>
      <c r="BK16" s="15">
        <f>($BF16*S16)+($BG16*X16)+($BH16*AC16)</f>
        <v>410.93613360000006</v>
      </c>
      <c r="BL16" s="15">
        <f>($BF16*T16)+($BG16*Y16)+($BH16*AD16)</f>
        <v>513.67016699999999</v>
      </c>
      <c r="BM16" s="15">
        <f>($BF16*U16)+($BG16*Z16)+($BH16*AE16)</f>
        <v>205.46806680000003</v>
      </c>
      <c r="BN16" s="14">
        <f>IF(D16="", "", _xlfn.XLOOKUP('4.6.1.3'!D16, Constants!$I$5:$I$6, Constants!$J$5:$J$6))</f>
        <v>2E-3</v>
      </c>
      <c r="BO16" s="14">
        <f>Constants!$J$2</f>
        <v>1.5714285714285714</v>
      </c>
      <c r="BP16" s="14">
        <f t="shared" si="2"/>
        <v>1.8879017142857142</v>
      </c>
      <c r="BQ16" s="14">
        <f t="shared" si="3"/>
        <v>1.4159262857142856</v>
      </c>
      <c r="BR16" s="14">
        <f t="shared" si="4"/>
        <v>0.94395085714285709</v>
      </c>
      <c r="BS16" s="14">
        <f t="shared" si="5"/>
        <v>9.439508571428572</v>
      </c>
      <c r="BT16" s="15">
        <f t="shared" si="6"/>
        <v>3.2287839068571436</v>
      </c>
      <c r="BU16" s="15">
        <f t="shared" si="7"/>
        <v>8.0719597671428573</v>
      </c>
      <c r="BV16" s="15">
        <f t="shared" si="8"/>
        <v>0</v>
      </c>
      <c r="BW16" s="15">
        <f t="shared" si="9"/>
        <v>0</v>
      </c>
      <c r="BX16" s="14">
        <f t="shared" si="10"/>
        <v>0.94395085714285709</v>
      </c>
      <c r="BY16" s="14">
        <f t="shared" si="11"/>
        <v>24.98803110257143</v>
      </c>
      <c r="BZ16" s="14"/>
      <c r="CA16" s="14"/>
      <c r="CB16" s="14"/>
      <c r="CC16" s="14"/>
      <c r="CD16" s="14"/>
      <c r="CE16" s="14"/>
      <c r="CF16" s="14"/>
      <c r="CG16" s="14"/>
      <c r="CH16" s="14"/>
      <c r="CI16" s="14"/>
    </row>
    <row r="17" spans="1:87" x14ac:dyDescent="0.2">
      <c r="A17" s="14" t="str">
        <f>'Input Scenarios'!A14</f>
        <v>QLD</v>
      </c>
      <c r="B17" s="14">
        <f>'Input Scenarios'!B14</f>
        <v>0</v>
      </c>
      <c r="C17" s="14" t="str">
        <f>'Input Scenarios'!C14</f>
        <v>Irrigated crop</v>
      </c>
      <c r="D17" s="14" t="str">
        <f>'Input Scenarios'!D14</f>
        <v>dry</v>
      </c>
      <c r="E17" s="14" t="b">
        <f>'Input Scenarios'!E14</f>
        <v>1</v>
      </c>
      <c r="F17" s="14" t="str">
        <f>'Input Scenarios'!F14</f>
        <v>meatChickenGrowers</v>
      </c>
      <c r="G17" s="14">
        <f>'Input Scenarios'!G14</f>
        <v>2250</v>
      </c>
      <c r="H17" s="14">
        <f>'Input Scenarios'!H14</f>
        <v>125</v>
      </c>
      <c r="I17">
        <f>IF('Input Scenarios'!I14&lt;&gt;"", 'Input Scenarios'!I14,_xlfn.XLOOKUP($F17,Constants!$A$2:$A$5,Constants!B$2:B$5))</f>
        <v>9.2999999999999999E-2</v>
      </c>
      <c r="J17">
        <f>IF('Input Scenarios'!J14&lt;&gt;"", 'Input Scenarios'!J14,_xlfn.XLOOKUP($F17,Constants!$A$2:$A$5,Constants!C$2:C$5))</f>
        <v>0.8</v>
      </c>
      <c r="K17">
        <f>IF('Input Scenarios'!K14&lt;&gt;"", 'Input Scenarios'!K14,_xlfn.XLOOKUP($F17,Constants!$A$2:$A$5,Constants!D$2:D$5))</f>
        <v>0.23</v>
      </c>
      <c r="L17">
        <f>IF('Input Scenarios'!L14&lt;&gt;"", 'Input Scenarios'!L14,_xlfn.XLOOKUP($F17,Constants!$A$2:$A$5,Constants!E$2:E$5))</f>
        <v>0.47</v>
      </c>
      <c r="M17" s="14">
        <f>'Input Scenarios'!M14</f>
        <v>0.4</v>
      </c>
      <c r="N17" s="14">
        <f>'Input Scenarios'!N14</f>
        <v>0.3</v>
      </c>
      <c r="O17" s="14">
        <f>'Input Scenarios'!O14</f>
        <v>0.2</v>
      </c>
      <c r="P17" s="14">
        <f>'Input Scenarios'!P14</f>
        <v>0.1</v>
      </c>
      <c r="Q17" s="14">
        <f>'Input Scenarios'!Q14</f>
        <v>0.2</v>
      </c>
      <c r="R17" s="14">
        <f>'Input Scenarios'!R14</f>
        <v>0.25</v>
      </c>
      <c r="S17" s="14">
        <f>'Input Scenarios'!S14</f>
        <v>0.2</v>
      </c>
      <c r="T17" s="14">
        <f>'Input Scenarios'!T14</f>
        <v>0.25</v>
      </c>
      <c r="U17" s="14">
        <f>'Input Scenarios'!U14</f>
        <v>0.1</v>
      </c>
      <c r="V17" s="14">
        <f>'Input Scenarios'!V14</f>
        <v>0.2</v>
      </c>
      <c r="W17" s="14">
        <f>'Input Scenarios'!W14</f>
        <v>0.25</v>
      </c>
      <c r="X17" s="14">
        <f>'Input Scenarios'!X14</f>
        <v>0.2</v>
      </c>
      <c r="Y17" s="14">
        <f>'Input Scenarios'!Y14</f>
        <v>0.25</v>
      </c>
      <c r="Z17" s="14">
        <f>'Input Scenarios'!Z14</f>
        <v>0.1</v>
      </c>
      <c r="AA17" s="14">
        <f>'Input Scenarios'!AA14</f>
        <v>0.2</v>
      </c>
      <c r="AB17" s="14">
        <f>'Input Scenarios'!AB14</f>
        <v>0.25</v>
      </c>
      <c r="AC17" s="14">
        <f>'Input Scenarios'!AC14</f>
        <v>0.2</v>
      </c>
      <c r="AD17" s="14">
        <f>'Input Scenarios'!AD14</f>
        <v>0.25</v>
      </c>
      <c r="AE17" s="14">
        <f>'Input Scenarios'!AE14</f>
        <v>0.1</v>
      </c>
      <c r="AF17" s="14">
        <f>IF(F17="", "",_xlfn.XLOOKUP(F17,Constants!$A$2:$A$5,Constants!F$2:F$5))</f>
        <v>0.15</v>
      </c>
      <c r="AG17" s="14">
        <f>Constants!$C$9</f>
        <v>0.3</v>
      </c>
      <c r="AH17" s="14">
        <f>Constants!$C$10</f>
        <v>0.05</v>
      </c>
      <c r="AI17" s="14">
        <f>Constants!$C$11</f>
        <v>0.4</v>
      </c>
      <c r="AJ17" s="14" t="str">
        <f>Constants!$C$16</f>
        <v>N/A</v>
      </c>
      <c r="AK17" s="14">
        <f>Constants!$D$9</f>
        <v>1E-3</v>
      </c>
      <c r="AL17" s="14">
        <f>Constants!$D$10</f>
        <v>1E-3</v>
      </c>
      <c r="AM17" s="14">
        <f>Constants!$D$11</f>
        <v>1E-3</v>
      </c>
      <c r="AN17" s="14">
        <f>Constants!$D$16</f>
        <v>0.02</v>
      </c>
      <c r="AO17" s="14">
        <f>Constants!$C$12</f>
        <v>0.2</v>
      </c>
      <c r="AP17" s="14">
        <f>Constants!$C$13</f>
        <v>0.2</v>
      </c>
      <c r="AQ17" s="14">
        <f>Constants!$C$15</f>
        <v>0</v>
      </c>
      <c r="AR17" s="14">
        <f>Constants!$C$14</f>
        <v>0</v>
      </c>
      <c r="AS17" s="14" t="str">
        <f>Constants!$C$17</f>
        <v>N/A</v>
      </c>
      <c r="AT17" s="14">
        <f>Constants!$D$12</f>
        <v>5.0000000000000001E-3</v>
      </c>
      <c r="AU17" s="14">
        <f>Constants!$D$13</f>
        <v>0.01</v>
      </c>
      <c r="AV17" s="14">
        <f>Constants!$D$15</f>
        <v>0</v>
      </c>
      <c r="AW17" s="14">
        <f>Constants!$D$14</f>
        <v>0</v>
      </c>
      <c r="AX17" s="14" t="str">
        <f>Constants!$D$17</f>
        <v>N/A</v>
      </c>
      <c r="AY17" s="14">
        <f>I17*J17/6.25</f>
        <v>1.1904000000000001E-2</v>
      </c>
      <c r="AZ17" s="14">
        <f>AY17*(1-K17)</f>
        <v>9.1660800000000018E-3</v>
      </c>
      <c r="BA17" s="14">
        <f>G17*AZ17*H17</f>
        <v>2577.9600000000005</v>
      </c>
      <c r="BB17" s="14">
        <f>$BA17*M17</f>
        <v>1031.1840000000002</v>
      </c>
      <c r="BC17" s="14">
        <f>$BA17*N17</f>
        <v>773.38800000000015</v>
      </c>
      <c r="BD17" s="14">
        <f>$BA17*O17</f>
        <v>515.5920000000001</v>
      </c>
      <c r="BE17" s="14">
        <f>$BA17*P17</f>
        <v>257.79600000000005</v>
      </c>
      <c r="BF17" s="15">
        <f>(BB17*(1-AG17-AK17))</f>
        <v>720.79761600000006</v>
      </c>
      <c r="BG17" s="15">
        <f>(BC17*(1-AH17-AL17))</f>
        <v>733.94521200000008</v>
      </c>
      <c r="BH17" s="15">
        <f>(BD17*(1-AI17-AM17))</f>
        <v>308.83960800000006</v>
      </c>
      <c r="BI17" s="15">
        <f>($BF17*Q17)+($BG17*V17)+($BH17*AA17)</f>
        <v>352.71648720000007</v>
      </c>
      <c r="BJ17" s="15">
        <f>($BF17*R17)+($BG17*W17)+($BH17*AB17)</f>
        <v>440.89560900000004</v>
      </c>
      <c r="BK17" s="15">
        <f>($BF17*S17)+($BG17*X17)+($BH17*AC17)</f>
        <v>352.71648720000007</v>
      </c>
      <c r="BL17" s="15">
        <f>($BF17*T17)+($BG17*Y17)+($BH17*AD17)</f>
        <v>440.89560900000004</v>
      </c>
      <c r="BM17" s="15">
        <f>($BF17*U17)+($BG17*Z17)+($BH17*AE17)</f>
        <v>176.35824360000004</v>
      </c>
      <c r="BN17" s="14">
        <f>IF(D17="", "", _xlfn.XLOOKUP('4.6.1.3'!D17, Constants!$I$5:$I$6, Constants!$J$5:$J$6))</f>
        <v>2E-3</v>
      </c>
      <c r="BO17" s="14">
        <f>Constants!$J$2</f>
        <v>1.5714285714285714</v>
      </c>
      <c r="BP17" s="14">
        <f t="shared" si="2"/>
        <v>1.6204320000000005</v>
      </c>
      <c r="BQ17" s="14">
        <f t="shared" si="3"/>
        <v>1.2153240000000003</v>
      </c>
      <c r="BR17" s="14">
        <f t="shared" si="4"/>
        <v>0.81021600000000027</v>
      </c>
      <c r="BS17" s="14">
        <f t="shared" si="5"/>
        <v>8.1021600000000014</v>
      </c>
      <c r="BT17" s="15">
        <f t="shared" si="6"/>
        <v>2.7713438280000005</v>
      </c>
      <c r="BU17" s="15">
        <f t="shared" si="7"/>
        <v>6.9283595700000005</v>
      </c>
      <c r="BV17" s="15">
        <f t="shared" si="8"/>
        <v>0</v>
      </c>
      <c r="BW17" s="15">
        <f t="shared" si="9"/>
        <v>0</v>
      </c>
      <c r="BX17" s="14">
        <f t="shared" si="10"/>
        <v>0.81021600000000027</v>
      </c>
      <c r="BY17" s="14">
        <f t="shared" si="11"/>
        <v>21.447835398000002</v>
      </c>
      <c r="BZ17" s="14"/>
      <c r="CA17" s="14"/>
      <c r="CB17" s="14"/>
      <c r="CC17" s="14"/>
      <c r="CD17" s="14"/>
      <c r="CE17" s="14"/>
      <c r="CF17" s="14"/>
      <c r="CG17" s="14"/>
      <c r="CH17" s="14"/>
      <c r="CI17" s="14"/>
    </row>
    <row r="18" spans="1:87" x14ac:dyDescent="0.2">
      <c r="A18" s="11" t="str">
        <f>'Input Scenarios'!A15</f>
        <v>QLD</v>
      </c>
      <c r="B18" s="11">
        <f>'Input Scenarios'!B15</f>
        <v>0</v>
      </c>
      <c r="C18" s="11" t="str">
        <f>'Input Scenarios'!C15</f>
        <v>Irrigated crop</v>
      </c>
      <c r="D18" s="11" t="str">
        <f>'Input Scenarios'!D15</f>
        <v>dry</v>
      </c>
      <c r="E18" s="11" t="b">
        <f>'Input Scenarios'!E15</f>
        <v>1</v>
      </c>
      <c r="F18" s="11" t="str">
        <f>'Input Scenarios'!F15</f>
        <v>meatOther</v>
      </c>
      <c r="G18" s="11">
        <f>'Input Scenarios'!G15</f>
        <v>2250</v>
      </c>
      <c r="H18" s="11">
        <f>'Input Scenarios'!H15</f>
        <v>125</v>
      </c>
      <c r="I18">
        <f>IF('Input Scenarios'!I15&lt;&gt;"", 'Input Scenarios'!I15,_xlfn.XLOOKUP($F18,Constants!$A$2:$A$5,Constants!B$2:B$5))</f>
        <v>9.2999999999999999E-2</v>
      </c>
      <c r="J18">
        <f>IF('Input Scenarios'!J15&lt;&gt;"", 'Input Scenarios'!J15,_xlfn.XLOOKUP($F18,Constants!$A$2:$A$5,Constants!C$2:C$5))</f>
        <v>0.8</v>
      </c>
      <c r="K18">
        <f>IF('Input Scenarios'!K15&lt;&gt;"", 'Input Scenarios'!K15,_xlfn.XLOOKUP($F18,Constants!$A$2:$A$5,Constants!D$2:D$5))</f>
        <v>0.23</v>
      </c>
      <c r="L18">
        <f>IF('Input Scenarios'!L15&lt;&gt;"", 'Input Scenarios'!L15,_xlfn.XLOOKUP($F18,Constants!$A$2:$A$5,Constants!E$2:E$5))</f>
        <v>0.47</v>
      </c>
      <c r="M18" s="11">
        <f>'Input Scenarios'!M15</f>
        <v>0.4</v>
      </c>
      <c r="N18" s="11">
        <f>'Input Scenarios'!N15</f>
        <v>0.3</v>
      </c>
      <c r="O18" s="11">
        <f>'Input Scenarios'!O15</f>
        <v>0.2</v>
      </c>
      <c r="P18" s="11">
        <f>'Input Scenarios'!P15</f>
        <v>0.1</v>
      </c>
      <c r="Q18" s="11">
        <f>'Input Scenarios'!Q15</f>
        <v>0.2</v>
      </c>
      <c r="R18" s="11">
        <f>'Input Scenarios'!R15</f>
        <v>0.25</v>
      </c>
      <c r="S18" s="11">
        <f>'Input Scenarios'!S15</f>
        <v>0.2</v>
      </c>
      <c r="T18" s="11">
        <f>'Input Scenarios'!T15</f>
        <v>0.25</v>
      </c>
      <c r="U18" s="11">
        <f>'Input Scenarios'!U15</f>
        <v>0.1</v>
      </c>
      <c r="V18" s="11">
        <f>'Input Scenarios'!V15</f>
        <v>0.2</v>
      </c>
      <c r="W18" s="11">
        <f>'Input Scenarios'!W15</f>
        <v>0.25</v>
      </c>
      <c r="X18" s="11">
        <f>'Input Scenarios'!X15</f>
        <v>0.2</v>
      </c>
      <c r="Y18" s="11">
        <f>'Input Scenarios'!Y15</f>
        <v>0.25</v>
      </c>
      <c r="Z18" s="11">
        <f>'Input Scenarios'!Z15</f>
        <v>0.1</v>
      </c>
      <c r="AA18" s="11">
        <f>'Input Scenarios'!AA15</f>
        <v>0.2</v>
      </c>
      <c r="AB18" s="11">
        <f>'Input Scenarios'!AB15</f>
        <v>0.25</v>
      </c>
      <c r="AC18" s="11">
        <f>'Input Scenarios'!AC15</f>
        <v>0.2</v>
      </c>
      <c r="AD18" s="11">
        <f>'Input Scenarios'!AD15</f>
        <v>0.25</v>
      </c>
      <c r="AE18" s="11">
        <f>'Input Scenarios'!AE15</f>
        <v>0.1</v>
      </c>
      <c r="AF18" s="14">
        <f>IF(F18="", "",_xlfn.XLOOKUP(F18,Constants!$A$2:$A$5,Constants!F$2:F$5))</f>
        <v>0.15</v>
      </c>
      <c r="AG18" s="14">
        <f>Constants!$C$9</f>
        <v>0.3</v>
      </c>
      <c r="AH18" s="14">
        <f>Constants!$C$10</f>
        <v>0.05</v>
      </c>
      <c r="AI18" s="14">
        <f>Constants!$C$11</f>
        <v>0.4</v>
      </c>
      <c r="AJ18" s="14" t="str">
        <f>Constants!$C$16</f>
        <v>N/A</v>
      </c>
      <c r="AK18" s="14">
        <f>Constants!$D$9</f>
        <v>1E-3</v>
      </c>
      <c r="AL18" s="14">
        <f>Constants!$D$10</f>
        <v>1E-3</v>
      </c>
      <c r="AM18" s="14">
        <f>Constants!$D$11</f>
        <v>1E-3</v>
      </c>
      <c r="AN18" s="14">
        <f>Constants!$D$16</f>
        <v>0.02</v>
      </c>
      <c r="AO18" s="14">
        <f>Constants!$C$12</f>
        <v>0.2</v>
      </c>
      <c r="AP18" s="14">
        <f>Constants!$C$13</f>
        <v>0.2</v>
      </c>
      <c r="AQ18" s="14">
        <f>Constants!$C$15</f>
        <v>0</v>
      </c>
      <c r="AR18" s="14">
        <f>Constants!$C$14</f>
        <v>0</v>
      </c>
      <c r="AS18" s="14" t="str">
        <f>Constants!$C$17</f>
        <v>N/A</v>
      </c>
      <c r="AT18" s="14">
        <f>Constants!$D$12</f>
        <v>5.0000000000000001E-3</v>
      </c>
      <c r="AU18" s="14">
        <f>Constants!$D$13</f>
        <v>0.01</v>
      </c>
      <c r="AV18" s="14">
        <f>Constants!$D$15</f>
        <v>0</v>
      </c>
      <c r="AW18" s="14">
        <f>Constants!$D$14</f>
        <v>0</v>
      </c>
      <c r="AX18" s="14" t="str">
        <f>Constants!$D$17</f>
        <v>N/A</v>
      </c>
      <c r="AY18" s="14">
        <f>I18*J18/6.25</f>
        <v>1.1904000000000001E-2</v>
      </c>
      <c r="AZ18" s="14">
        <f>AY18*(1-K18)</f>
        <v>9.1660800000000018E-3</v>
      </c>
      <c r="BA18" s="14">
        <f>G18*AZ18*H18</f>
        <v>2577.9600000000005</v>
      </c>
      <c r="BB18" s="14">
        <f>$BA18*M18</f>
        <v>1031.1840000000002</v>
      </c>
      <c r="BC18" s="14">
        <f>$BA18*N18</f>
        <v>773.38800000000015</v>
      </c>
      <c r="BD18" s="14">
        <f>$BA18*O18</f>
        <v>515.5920000000001</v>
      </c>
      <c r="BE18" s="14">
        <f>$BA18*P18</f>
        <v>257.79600000000005</v>
      </c>
      <c r="BF18" s="15">
        <f>(BB18*(1-AG18-AK18))</f>
        <v>720.79761600000006</v>
      </c>
      <c r="BG18" s="15">
        <f>(BC18*(1-AH18-AL18))</f>
        <v>733.94521200000008</v>
      </c>
      <c r="BH18" s="15">
        <f>(BD18*(1-AI18-AM18))</f>
        <v>308.83960800000006</v>
      </c>
      <c r="BI18" s="15">
        <f>($BF18*Q18)+($BG18*V18)+($BH18*AA18)</f>
        <v>352.71648720000007</v>
      </c>
      <c r="BJ18" s="15">
        <f>($BF18*R18)+($BG18*W18)+($BH18*AB18)</f>
        <v>440.89560900000004</v>
      </c>
      <c r="BK18" s="15">
        <f>($BF18*S18)+($BG18*X18)+($BH18*AC18)</f>
        <v>352.71648720000007</v>
      </c>
      <c r="BL18" s="15">
        <f>($BF18*T18)+($BG18*Y18)+($BH18*AD18)</f>
        <v>440.89560900000004</v>
      </c>
      <c r="BM18" s="15">
        <f>($BF18*U18)+($BG18*Z18)+($BH18*AE18)</f>
        <v>176.35824360000004</v>
      </c>
      <c r="BN18" s="14">
        <f>IF(D18="", "", _xlfn.XLOOKUP('4.6.1.3'!D18, Constants!$I$5:$I$6, Constants!$J$5:$J$6))</f>
        <v>2E-3</v>
      </c>
      <c r="BO18" s="14">
        <f>Constants!$J$2</f>
        <v>1.5714285714285714</v>
      </c>
      <c r="BP18" s="14">
        <f t="shared" si="2"/>
        <v>1.6204320000000005</v>
      </c>
      <c r="BQ18" s="14">
        <f t="shared" si="3"/>
        <v>1.2153240000000003</v>
      </c>
      <c r="BR18" s="14">
        <f t="shared" si="4"/>
        <v>0.81021600000000027</v>
      </c>
      <c r="BS18" s="14">
        <f t="shared" si="5"/>
        <v>8.1021600000000014</v>
      </c>
      <c r="BT18" s="15">
        <f t="shared" si="6"/>
        <v>2.7713438280000005</v>
      </c>
      <c r="BU18" s="15">
        <f t="shared" si="7"/>
        <v>6.9283595700000005</v>
      </c>
      <c r="BV18" s="15">
        <f t="shared" si="8"/>
        <v>0</v>
      </c>
      <c r="BW18" s="15">
        <f t="shared" si="9"/>
        <v>0</v>
      </c>
      <c r="BX18" s="14">
        <f t="shared" si="10"/>
        <v>0.81021600000000027</v>
      </c>
      <c r="BY18" s="14">
        <f t="shared" si="11"/>
        <v>21.447835398000002</v>
      </c>
      <c r="BZ18" s="14"/>
      <c r="CA18" s="14"/>
      <c r="CB18" s="14"/>
      <c r="CC18" s="14"/>
      <c r="CD18" s="14"/>
      <c r="CE18" s="14"/>
      <c r="CF18" s="14"/>
      <c r="CG18" s="14"/>
      <c r="CH18" s="14"/>
      <c r="CI18" s="14"/>
    </row>
    <row r="19" spans="1:87" x14ac:dyDescent="0.2">
      <c r="A19" s="14" t="str">
        <f>'Input Scenarios'!A16</f>
        <v>TAS</v>
      </c>
      <c r="B19" s="14">
        <f>'Input Scenarios'!B16</f>
        <v>0</v>
      </c>
      <c r="C19" s="14" t="str">
        <f>'Input Scenarios'!C16</f>
        <v>Irrigated pasture</v>
      </c>
      <c r="D19" s="14" t="str">
        <f>'Input Scenarios'!D16</f>
        <v>wet</v>
      </c>
      <c r="E19" s="14" t="b">
        <f>'Input Scenarios'!E16</f>
        <v>1</v>
      </c>
      <c r="F19" s="14" t="str">
        <f>'Input Scenarios'!F16</f>
        <v>layers</v>
      </c>
      <c r="G19" s="14">
        <f>'Input Scenarios'!G16</f>
        <v>3333</v>
      </c>
      <c r="H19" s="14">
        <f>'Input Scenarios'!H16</f>
        <v>111</v>
      </c>
      <c r="I19">
        <f>IF('Input Scenarios'!I16&lt;&gt;"", 'Input Scenarios'!I16,_xlfn.XLOOKUP($F19,Constants!$A$2:$A$5,Constants!B$2:B$5))</f>
        <v>8.5999999999999993E-2</v>
      </c>
      <c r="J19">
        <f>IF('Input Scenarios'!J16&lt;&gt;"", 'Input Scenarios'!J16,_xlfn.XLOOKUP($F19,Constants!$A$2:$A$5,Constants!C$2:C$5))</f>
        <v>0.8</v>
      </c>
      <c r="K19">
        <f>IF('Input Scenarios'!K16&lt;&gt;"", 'Input Scenarios'!K16,_xlfn.XLOOKUP($F19,Constants!$A$2:$A$5,Constants!D$2:D$5))</f>
        <v>0.19</v>
      </c>
      <c r="L19">
        <f>IF('Input Scenarios'!L16&lt;&gt;"", 'Input Scenarios'!L16,_xlfn.XLOOKUP($F19,Constants!$A$2:$A$5,Constants!E$2:E$5))</f>
        <v>0.35</v>
      </c>
      <c r="M19" s="14">
        <f>'Input Scenarios'!M16</f>
        <v>0</v>
      </c>
      <c r="N19" s="14">
        <f>'Input Scenarios'!N16</f>
        <v>0.9</v>
      </c>
      <c r="O19" s="14">
        <f>'Input Scenarios'!O16</f>
        <v>0</v>
      </c>
      <c r="P19" s="14">
        <f>'Input Scenarios'!P16</f>
        <v>0.1</v>
      </c>
      <c r="Q19" s="14">
        <f>'Input Scenarios'!Q16</f>
        <v>0.34</v>
      </c>
      <c r="R19" s="14">
        <f>'Input Scenarios'!R16</f>
        <v>0.6</v>
      </c>
      <c r="S19" s="14">
        <f>'Input Scenarios'!S16</f>
        <v>0</v>
      </c>
      <c r="T19" s="14">
        <f>'Input Scenarios'!T16</f>
        <v>0</v>
      </c>
      <c r="U19" s="14">
        <f>'Input Scenarios'!U16</f>
        <v>0.06</v>
      </c>
      <c r="V19" s="14">
        <f>'Input Scenarios'!V16</f>
        <v>0.34</v>
      </c>
      <c r="W19" s="14">
        <f>'Input Scenarios'!W16</f>
        <v>0.6</v>
      </c>
      <c r="X19" s="14">
        <f>'Input Scenarios'!X16</f>
        <v>0</v>
      </c>
      <c r="Y19" s="14">
        <f>'Input Scenarios'!Y16</f>
        <v>0</v>
      </c>
      <c r="Z19" s="14">
        <f>'Input Scenarios'!Z16</f>
        <v>0.06</v>
      </c>
      <c r="AA19" s="14">
        <f>'Input Scenarios'!AA16</f>
        <v>0.34</v>
      </c>
      <c r="AB19" s="14">
        <f>'Input Scenarios'!AB16</f>
        <v>0.6</v>
      </c>
      <c r="AC19" s="14">
        <f>'Input Scenarios'!AC16</f>
        <v>0</v>
      </c>
      <c r="AD19" s="14">
        <f>'Input Scenarios'!AD16</f>
        <v>0</v>
      </c>
      <c r="AE19" s="14">
        <f>'Input Scenarios'!AE16</f>
        <v>0.06</v>
      </c>
      <c r="AF19" s="14">
        <f>IF(F19="", "",_xlfn.XLOOKUP(F19,Constants!$A$2:$A$5,Constants!F$2:F$5))</f>
        <v>0.18</v>
      </c>
      <c r="AG19" s="14">
        <f>Constants!$C$9</f>
        <v>0.3</v>
      </c>
      <c r="AH19" s="14">
        <f>Constants!$C$10</f>
        <v>0.05</v>
      </c>
      <c r="AI19" s="14">
        <f>Constants!$C$11</f>
        <v>0.4</v>
      </c>
      <c r="AJ19" s="14" t="str">
        <f>Constants!$C$16</f>
        <v>N/A</v>
      </c>
      <c r="AK19" s="14">
        <f>Constants!$D$9</f>
        <v>1E-3</v>
      </c>
      <c r="AL19" s="14">
        <f>Constants!$D$10</f>
        <v>1E-3</v>
      </c>
      <c r="AM19" s="14">
        <f>Constants!$D$11</f>
        <v>1E-3</v>
      </c>
      <c r="AN19" s="14">
        <f>Constants!$D$16</f>
        <v>0.02</v>
      </c>
      <c r="AO19" s="14">
        <f>Constants!$C$12</f>
        <v>0.2</v>
      </c>
      <c r="AP19" s="14">
        <f>Constants!$C$13</f>
        <v>0.2</v>
      </c>
      <c r="AQ19" s="14">
        <f>Constants!$C$15</f>
        <v>0</v>
      </c>
      <c r="AR19" s="14">
        <f>Constants!$C$14</f>
        <v>0</v>
      </c>
      <c r="AS19" s="14" t="str">
        <f>Constants!$C$17</f>
        <v>N/A</v>
      </c>
      <c r="AT19" s="14">
        <f>Constants!$D$12</f>
        <v>5.0000000000000001E-3</v>
      </c>
      <c r="AU19" s="14">
        <f>Constants!$D$13</f>
        <v>0.01</v>
      </c>
      <c r="AV19" s="14">
        <f>Constants!$D$15</f>
        <v>0</v>
      </c>
      <c r="AW19" s="14">
        <f>Constants!$D$14</f>
        <v>0</v>
      </c>
      <c r="AX19" s="14" t="str">
        <f>Constants!$D$17</f>
        <v>N/A</v>
      </c>
      <c r="AY19" s="14">
        <f>I19*J19/6.25</f>
        <v>1.1008E-2</v>
      </c>
      <c r="AZ19" s="14">
        <f>AY19*(1-K19)</f>
        <v>8.9164800000000009E-3</v>
      </c>
      <c r="BA19" s="14">
        <f>G19*AZ19*H19</f>
        <v>3298.7676902400003</v>
      </c>
      <c r="BB19" s="14">
        <f>$BA19*M19</f>
        <v>0</v>
      </c>
      <c r="BC19" s="14">
        <f>$BA19*N19</f>
        <v>2968.8909212160002</v>
      </c>
      <c r="BD19" s="14">
        <f>$BA19*O19</f>
        <v>0</v>
      </c>
      <c r="BE19" s="14">
        <f>$BA19*P19</f>
        <v>329.87676902400005</v>
      </c>
      <c r="BF19" s="15">
        <f>(BB19*(1-AG19-AK19))</f>
        <v>0</v>
      </c>
      <c r="BG19" s="15">
        <f>(BC19*(1-AH19-AL19))</f>
        <v>2817.4774842339839</v>
      </c>
      <c r="BH19" s="15">
        <f>(BD19*(1-AI19-AM19))</f>
        <v>0</v>
      </c>
      <c r="BI19" s="15">
        <f>($BF19*Q19)+($BG19*V19)+($BH19*AA19)</f>
        <v>957.94234463955456</v>
      </c>
      <c r="BJ19" s="15">
        <f>($BF19*R19)+($BG19*W19)+($BH19*AB19)</f>
        <v>1690.4864905403904</v>
      </c>
      <c r="BK19" s="15">
        <f>($BF19*S19)+($BG19*X19)+($BH19*AC19)</f>
        <v>0</v>
      </c>
      <c r="BL19" s="15">
        <f>($BF19*T19)+($BG19*Y19)+($BH19*AD19)</f>
        <v>0</v>
      </c>
      <c r="BM19" s="15">
        <f>($BF19*U19)+($BG19*Z19)+($BH19*AE19)</f>
        <v>169.04864905403903</v>
      </c>
      <c r="BN19" s="14">
        <f>IF(D19="", "", _xlfn.XLOOKUP('4.6.1.3'!D19, Constants!$I$5:$I$6, Constants!$J$5:$J$6))</f>
        <v>6.0000000000000001E-3</v>
      </c>
      <c r="BO19" s="14">
        <f>Constants!$J$2</f>
        <v>1.5714285714285714</v>
      </c>
      <c r="BP19" s="14">
        <f t="shared" si="2"/>
        <v>0</v>
      </c>
      <c r="BQ19" s="14">
        <f t="shared" si="3"/>
        <v>4.665400019053715</v>
      </c>
      <c r="BR19" s="14">
        <f t="shared" si="4"/>
        <v>0</v>
      </c>
      <c r="BS19" s="14">
        <f t="shared" si="5"/>
        <v>10.367555597897145</v>
      </c>
      <c r="BT19" s="15">
        <f t="shared" si="6"/>
        <v>7.5266898507393583</v>
      </c>
      <c r="BU19" s="15">
        <f t="shared" si="7"/>
        <v>26.564787708491849</v>
      </c>
      <c r="BV19" s="15">
        <f t="shared" si="8"/>
        <v>0</v>
      </c>
      <c r="BW19" s="15">
        <f t="shared" si="9"/>
        <v>0</v>
      </c>
      <c r="BX19" s="14">
        <f t="shared" si="10"/>
        <v>3.1102666793691434</v>
      </c>
      <c r="BY19" s="14">
        <f t="shared" si="11"/>
        <v>49.124433176182066</v>
      </c>
      <c r="BZ19" s="14">
        <f>SUM(BX19:BY22)</f>
        <v>222.18868668099884</v>
      </c>
      <c r="CA19" s="14"/>
      <c r="CB19" s="14"/>
      <c r="CC19" s="14"/>
      <c r="CD19" s="14"/>
      <c r="CE19" s="14"/>
      <c r="CF19" s="14"/>
      <c r="CG19" s="14"/>
      <c r="CH19" s="14"/>
      <c r="CI19" s="14"/>
    </row>
    <row r="20" spans="1:87" s="11" customFormat="1" x14ac:dyDescent="0.2">
      <c r="A20" s="14" t="str">
        <f>'Input Scenarios'!A17</f>
        <v>TAS</v>
      </c>
      <c r="B20" s="14">
        <f>'Input Scenarios'!B17</f>
        <v>0</v>
      </c>
      <c r="C20" s="14" t="str">
        <f>'Input Scenarios'!C17</f>
        <v>Irrigated pasture</v>
      </c>
      <c r="D20" s="14" t="str">
        <f>'Input Scenarios'!D17</f>
        <v>wet</v>
      </c>
      <c r="E20" s="14" t="b">
        <f>'Input Scenarios'!E17</f>
        <v>1</v>
      </c>
      <c r="F20" s="14" t="str">
        <f>'Input Scenarios'!F17</f>
        <v>meatChickenBreeder</v>
      </c>
      <c r="G20" s="14">
        <f>'Input Scenarios'!G17</f>
        <v>3333</v>
      </c>
      <c r="H20" s="14">
        <f>'Input Scenarios'!H17</f>
        <v>111</v>
      </c>
      <c r="I20">
        <f>IF('Input Scenarios'!I17&lt;&gt;"", 'Input Scenarios'!I17,_xlfn.XLOOKUP($F20,Constants!$A$2:$A$5,Constants!B$2:B$5))</f>
        <v>0.10299999999999999</v>
      </c>
      <c r="J20">
        <f>IF('Input Scenarios'!J17&lt;&gt;"", 'Input Scenarios'!J17,_xlfn.XLOOKUP($F20,Constants!$A$2:$A$5,Constants!C$2:C$5))</f>
        <v>0.8</v>
      </c>
      <c r="K20">
        <f>IF('Input Scenarios'!K17&lt;&gt;"", 'Input Scenarios'!K17,_xlfn.XLOOKUP($F20,Constants!$A$2:$A$5,Constants!D$2:D$5))</f>
        <v>0.19</v>
      </c>
      <c r="L20">
        <f>IF('Input Scenarios'!L17&lt;&gt;"", 'Input Scenarios'!L17,_xlfn.XLOOKUP($F20,Constants!$A$2:$A$5,Constants!E$2:E$5))</f>
        <v>0.32</v>
      </c>
      <c r="M20" s="14">
        <f>'Input Scenarios'!M17</f>
        <v>0</v>
      </c>
      <c r="N20" s="14">
        <f>'Input Scenarios'!N17</f>
        <v>0.9</v>
      </c>
      <c r="O20" s="14">
        <f>'Input Scenarios'!O17</f>
        <v>0</v>
      </c>
      <c r="P20" s="14">
        <f>'Input Scenarios'!P17</f>
        <v>0.1</v>
      </c>
      <c r="Q20" s="14">
        <f>'Input Scenarios'!Q17</f>
        <v>0.34</v>
      </c>
      <c r="R20" s="14">
        <f>'Input Scenarios'!R17</f>
        <v>0.6</v>
      </c>
      <c r="S20" s="14">
        <f>'Input Scenarios'!S17</f>
        <v>0</v>
      </c>
      <c r="T20" s="14">
        <f>'Input Scenarios'!T17</f>
        <v>0</v>
      </c>
      <c r="U20" s="14">
        <f>'Input Scenarios'!U17</f>
        <v>0.06</v>
      </c>
      <c r="V20" s="14">
        <f>'Input Scenarios'!V17</f>
        <v>0.34</v>
      </c>
      <c r="W20" s="14">
        <f>'Input Scenarios'!W17</f>
        <v>0.6</v>
      </c>
      <c r="X20" s="14">
        <f>'Input Scenarios'!X17</f>
        <v>0</v>
      </c>
      <c r="Y20" s="14">
        <f>'Input Scenarios'!Y17</f>
        <v>0</v>
      </c>
      <c r="Z20" s="14">
        <f>'Input Scenarios'!Z17</f>
        <v>0.06</v>
      </c>
      <c r="AA20" s="14">
        <f>'Input Scenarios'!AA17</f>
        <v>0.34</v>
      </c>
      <c r="AB20" s="14">
        <f>'Input Scenarios'!AB17</f>
        <v>0.6</v>
      </c>
      <c r="AC20" s="14">
        <f>'Input Scenarios'!AC17</f>
        <v>0</v>
      </c>
      <c r="AD20" s="14">
        <f>'Input Scenarios'!AD17</f>
        <v>0</v>
      </c>
      <c r="AE20" s="14">
        <f>'Input Scenarios'!AE17</f>
        <v>0.06</v>
      </c>
      <c r="AF20" s="14">
        <f>IF(F20="", "",_xlfn.XLOOKUP(F20,Constants!$A$2:$A$5,Constants!F$2:F$5))</f>
        <v>0.18</v>
      </c>
      <c r="AG20" s="14">
        <f>Constants!$C$9</f>
        <v>0.3</v>
      </c>
      <c r="AH20" s="14">
        <f>Constants!$C$10</f>
        <v>0.05</v>
      </c>
      <c r="AI20" s="14">
        <f>Constants!$C$11</f>
        <v>0.4</v>
      </c>
      <c r="AJ20" s="14" t="str">
        <f>Constants!$C$16</f>
        <v>N/A</v>
      </c>
      <c r="AK20" s="14">
        <f>Constants!$D$9</f>
        <v>1E-3</v>
      </c>
      <c r="AL20" s="14">
        <f>Constants!$D$10</f>
        <v>1E-3</v>
      </c>
      <c r="AM20" s="14">
        <f>Constants!$D$11</f>
        <v>1E-3</v>
      </c>
      <c r="AN20" s="14">
        <f>Constants!$D$16</f>
        <v>0.02</v>
      </c>
      <c r="AO20" s="14">
        <f>Constants!$C$12</f>
        <v>0.2</v>
      </c>
      <c r="AP20" s="14">
        <f>Constants!$C$13</f>
        <v>0.2</v>
      </c>
      <c r="AQ20" s="14">
        <f>Constants!$C$15</f>
        <v>0</v>
      </c>
      <c r="AR20" s="14">
        <f>Constants!$C$14</f>
        <v>0</v>
      </c>
      <c r="AS20" s="14" t="str">
        <f>Constants!$C$17</f>
        <v>N/A</v>
      </c>
      <c r="AT20" s="14">
        <f>Constants!$D$12</f>
        <v>5.0000000000000001E-3</v>
      </c>
      <c r="AU20" s="14">
        <f>Constants!$D$13</f>
        <v>0.01</v>
      </c>
      <c r="AV20" s="14">
        <f>Constants!$D$15</f>
        <v>0</v>
      </c>
      <c r="AW20" s="14">
        <f>Constants!$D$14</f>
        <v>0</v>
      </c>
      <c r="AX20" s="14" t="str">
        <f>Constants!$D$17</f>
        <v>N/A</v>
      </c>
      <c r="AY20" s="14">
        <f>I20*J20/6.25</f>
        <v>1.3184E-2</v>
      </c>
      <c r="AZ20" s="14">
        <f>AY20*(1-K20)</f>
        <v>1.0679040000000001E-2</v>
      </c>
      <c r="BA20" s="14">
        <f>G20*AZ20*H20</f>
        <v>3950.8496755199999</v>
      </c>
      <c r="BB20" s="14">
        <f>$BA20*M20</f>
        <v>0</v>
      </c>
      <c r="BC20" s="14">
        <f>$BA20*N20</f>
        <v>3555.764707968</v>
      </c>
      <c r="BD20" s="14">
        <f>$BA20*O20</f>
        <v>0</v>
      </c>
      <c r="BE20" s="14">
        <f>$BA20*P20</f>
        <v>395.08496755200002</v>
      </c>
      <c r="BF20" s="15">
        <f>(BB20*(1-AG20-AK20))</f>
        <v>0</v>
      </c>
      <c r="BG20" s="15">
        <f>(BC20*(1-AH20-AL20))</f>
        <v>3374.4207078616319</v>
      </c>
      <c r="BH20" s="15">
        <f>(BD20*(1-AI20-AM20))</f>
        <v>0</v>
      </c>
      <c r="BI20" s="15">
        <f>($BF20*Q20)+($BG20*V20)+($BH20*AA20)</f>
        <v>1147.3030406729549</v>
      </c>
      <c r="BJ20" s="15">
        <f>($BF20*R20)+($BG20*W20)+($BH20*AB20)</f>
        <v>2024.6524247169791</v>
      </c>
      <c r="BK20" s="15">
        <f>($BF20*S20)+($BG20*X20)+($BH20*AC20)</f>
        <v>0</v>
      </c>
      <c r="BL20" s="15">
        <f>($BF20*T20)+($BG20*Y20)+($BH20*AD20)</f>
        <v>0</v>
      </c>
      <c r="BM20" s="15">
        <f>($BF20*U20)+($BG20*Z20)+($BH20*AE20)</f>
        <v>202.46524247169791</v>
      </c>
      <c r="BN20" s="14">
        <f>IF(D20="", "", _xlfn.XLOOKUP('4.6.1.3'!D20, Constants!$I$5:$I$6, Constants!$J$5:$J$6))</f>
        <v>6.0000000000000001E-3</v>
      </c>
      <c r="BO20" s="14">
        <f>Constants!$J$2</f>
        <v>1.5714285714285714</v>
      </c>
      <c r="BP20" s="14">
        <f t="shared" si="2"/>
        <v>0</v>
      </c>
      <c r="BQ20" s="14">
        <f t="shared" si="3"/>
        <v>5.5876302553782855</v>
      </c>
      <c r="BR20" s="14">
        <f t="shared" si="4"/>
        <v>0</v>
      </c>
      <c r="BS20" s="14">
        <f t="shared" si="5"/>
        <v>12.416956123062858</v>
      </c>
      <c r="BT20" s="15">
        <f t="shared" si="6"/>
        <v>9.0145238910017884</v>
      </c>
      <c r="BU20" s="15">
        <f t="shared" si="7"/>
        <v>31.815966674123956</v>
      </c>
      <c r="BV20" s="15">
        <f t="shared" si="8"/>
        <v>0</v>
      </c>
      <c r="BW20" s="15">
        <f t="shared" si="9"/>
        <v>0</v>
      </c>
      <c r="BX20" s="14">
        <f t="shared" si="10"/>
        <v>3.7250868369188579</v>
      </c>
      <c r="BY20" s="14">
        <f t="shared" si="11"/>
        <v>58.835076943566889</v>
      </c>
      <c r="BZ20" s="14"/>
      <c r="CA20" s="14"/>
      <c r="CB20" s="14"/>
      <c r="CC20" s="14"/>
      <c r="CD20" s="14"/>
      <c r="CE20" s="14"/>
      <c r="CF20" s="14"/>
      <c r="CG20" s="14"/>
      <c r="CH20" s="14"/>
      <c r="CI20" s="14"/>
    </row>
    <row r="21" spans="1:87" x14ac:dyDescent="0.2">
      <c r="A21" s="14" t="str">
        <f>'Input Scenarios'!A18</f>
        <v>TAS</v>
      </c>
      <c r="B21" s="14">
        <f>'Input Scenarios'!B18</f>
        <v>0</v>
      </c>
      <c r="C21" s="14" t="str">
        <f>'Input Scenarios'!C18</f>
        <v>Irrigated pasture</v>
      </c>
      <c r="D21" s="14" t="str">
        <f>'Input Scenarios'!D18</f>
        <v>wet</v>
      </c>
      <c r="E21" s="14" t="b">
        <f>'Input Scenarios'!E18</f>
        <v>1</v>
      </c>
      <c r="F21" s="14" t="str">
        <f>'Input Scenarios'!F18</f>
        <v>meatChickenGrowers</v>
      </c>
      <c r="G21" s="14">
        <f>'Input Scenarios'!G18</f>
        <v>3333</v>
      </c>
      <c r="H21" s="14">
        <f>'Input Scenarios'!H18</f>
        <v>111</v>
      </c>
      <c r="I21">
        <f>IF('Input Scenarios'!I18&lt;&gt;"", 'Input Scenarios'!I18,_xlfn.XLOOKUP($F21,Constants!$A$2:$A$5,Constants!B$2:B$5))</f>
        <v>9.2999999999999999E-2</v>
      </c>
      <c r="J21">
        <f>IF('Input Scenarios'!J18&lt;&gt;"", 'Input Scenarios'!J18,_xlfn.XLOOKUP($F21,Constants!$A$2:$A$5,Constants!C$2:C$5))</f>
        <v>0.8</v>
      </c>
      <c r="K21">
        <f>IF('Input Scenarios'!K18&lt;&gt;"", 'Input Scenarios'!K18,_xlfn.XLOOKUP($F21,Constants!$A$2:$A$5,Constants!D$2:D$5))</f>
        <v>0.23</v>
      </c>
      <c r="L21">
        <f>IF('Input Scenarios'!L18&lt;&gt;"", 'Input Scenarios'!L18,_xlfn.XLOOKUP($F21,Constants!$A$2:$A$5,Constants!E$2:E$5))</f>
        <v>0.47</v>
      </c>
      <c r="M21" s="14">
        <f>'Input Scenarios'!M18</f>
        <v>0</v>
      </c>
      <c r="N21" s="14">
        <f>'Input Scenarios'!N18</f>
        <v>0.9</v>
      </c>
      <c r="O21" s="14">
        <f>'Input Scenarios'!O18</f>
        <v>0</v>
      </c>
      <c r="P21" s="14">
        <f>'Input Scenarios'!P18</f>
        <v>0.1</v>
      </c>
      <c r="Q21" s="14">
        <f>'Input Scenarios'!Q18</f>
        <v>0.34</v>
      </c>
      <c r="R21" s="14">
        <f>'Input Scenarios'!R18</f>
        <v>0.6</v>
      </c>
      <c r="S21" s="14">
        <f>'Input Scenarios'!S18</f>
        <v>0</v>
      </c>
      <c r="T21" s="14">
        <f>'Input Scenarios'!T18</f>
        <v>0</v>
      </c>
      <c r="U21" s="14">
        <f>'Input Scenarios'!U18</f>
        <v>0.06</v>
      </c>
      <c r="V21" s="14">
        <f>'Input Scenarios'!V18</f>
        <v>0.34</v>
      </c>
      <c r="W21" s="14">
        <f>'Input Scenarios'!W18</f>
        <v>0.6</v>
      </c>
      <c r="X21" s="14">
        <f>'Input Scenarios'!X18</f>
        <v>0</v>
      </c>
      <c r="Y21" s="14">
        <f>'Input Scenarios'!Y18</f>
        <v>0</v>
      </c>
      <c r="Z21" s="14">
        <f>'Input Scenarios'!Z18</f>
        <v>0.06</v>
      </c>
      <c r="AA21" s="14">
        <f>'Input Scenarios'!AA18</f>
        <v>0.34</v>
      </c>
      <c r="AB21" s="14">
        <f>'Input Scenarios'!AB18</f>
        <v>0.6</v>
      </c>
      <c r="AC21" s="14">
        <f>'Input Scenarios'!AC18</f>
        <v>0</v>
      </c>
      <c r="AD21" s="14">
        <f>'Input Scenarios'!AD18</f>
        <v>0</v>
      </c>
      <c r="AE21" s="14">
        <f>'Input Scenarios'!AE18</f>
        <v>0.06</v>
      </c>
      <c r="AF21" s="14">
        <f>IF(F21="", "",_xlfn.XLOOKUP(F21,Constants!$A$2:$A$5,Constants!F$2:F$5))</f>
        <v>0.15</v>
      </c>
      <c r="AG21" s="14">
        <f>Constants!$C$9</f>
        <v>0.3</v>
      </c>
      <c r="AH21" s="14">
        <f>Constants!$C$10</f>
        <v>0.05</v>
      </c>
      <c r="AI21" s="14">
        <f>Constants!$C$11</f>
        <v>0.4</v>
      </c>
      <c r="AJ21" s="14" t="str">
        <f>Constants!$C$16</f>
        <v>N/A</v>
      </c>
      <c r="AK21" s="14">
        <f>Constants!$D$9</f>
        <v>1E-3</v>
      </c>
      <c r="AL21" s="14">
        <f>Constants!$D$10</f>
        <v>1E-3</v>
      </c>
      <c r="AM21" s="14">
        <f>Constants!$D$11</f>
        <v>1E-3</v>
      </c>
      <c r="AN21" s="14">
        <f>Constants!$D$16</f>
        <v>0.02</v>
      </c>
      <c r="AO21" s="14">
        <f>Constants!$C$12</f>
        <v>0.2</v>
      </c>
      <c r="AP21" s="14">
        <f>Constants!$C$13</f>
        <v>0.2</v>
      </c>
      <c r="AQ21" s="14">
        <f>Constants!$C$15</f>
        <v>0</v>
      </c>
      <c r="AR21" s="14">
        <f>Constants!$C$14</f>
        <v>0</v>
      </c>
      <c r="AS21" s="14" t="str">
        <f>Constants!$C$17</f>
        <v>N/A</v>
      </c>
      <c r="AT21" s="14">
        <f>Constants!$D$12</f>
        <v>5.0000000000000001E-3</v>
      </c>
      <c r="AU21" s="14">
        <f>Constants!$D$13</f>
        <v>0.01</v>
      </c>
      <c r="AV21" s="14">
        <f>Constants!$D$15</f>
        <v>0</v>
      </c>
      <c r="AW21" s="14">
        <f>Constants!$D$14</f>
        <v>0</v>
      </c>
      <c r="AX21" s="14" t="str">
        <f>Constants!$D$17</f>
        <v>N/A</v>
      </c>
      <c r="AY21" s="14">
        <f>I21*J21/6.25</f>
        <v>1.1904000000000001E-2</v>
      </c>
      <c r="AZ21" s="14">
        <f>AY21*(1-K21)</f>
        <v>9.1660800000000018E-3</v>
      </c>
      <c r="BA21" s="14">
        <f>G21*AZ21*H21</f>
        <v>3391.1104550400005</v>
      </c>
      <c r="BB21" s="14">
        <f>$BA21*M21</f>
        <v>0</v>
      </c>
      <c r="BC21" s="14">
        <f>$BA21*N21</f>
        <v>3051.9994095360007</v>
      </c>
      <c r="BD21" s="14">
        <f>$BA21*O21</f>
        <v>0</v>
      </c>
      <c r="BE21" s="14">
        <f>$BA21*P21</f>
        <v>339.11104550400006</v>
      </c>
      <c r="BF21" s="15">
        <f>(BB21*(1-AG21-AK21))</f>
        <v>0</v>
      </c>
      <c r="BG21" s="15">
        <f>(BC21*(1-AH21-AL21))</f>
        <v>2896.3474396496645</v>
      </c>
      <c r="BH21" s="15">
        <f>(BD21*(1-AI21-AM21))</f>
        <v>0</v>
      </c>
      <c r="BI21" s="15">
        <f>($BF21*Q21)+($BG21*V21)+($BH21*AA21)</f>
        <v>984.75812948088594</v>
      </c>
      <c r="BJ21" s="15">
        <f>($BF21*R21)+($BG21*W21)+($BH21*AB21)</f>
        <v>1737.8084637897987</v>
      </c>
      <c r="BK21" s="15">
        <f>($BF21*S21)+($BG21*X21)+($BH21*AC21)</f>
        <v>0</v>
      </c>
      <c r="BL21" s="15">
        <f>($BF21*T21)+($BG21*Y21)+($BH21*AD21)</f>
        <v>0</v>
      </c>
      <c r="BM21" s="15">
        <f>($BF21*U21)+($BG21*Z21)+($BH21*AE21)</f>
        <v>173.78084637897987</v>
      </c>
      <c r="BN21" s="14">
        <f>IF(D21="", "", _xlfn.XLOOKUP('4.6.1.3'!D21, Constants!$I$5:$I$6, Constants!$J$5:$J$6))</f>
        <v>6.0000000000000001E-3</v>
      </c>
      <c r="BO21" s="14">
        <f>Constants!$J$2</f>
        <v>1.5714285714285714</v>
      </c>
      <c r="BP21" s="14">
        <f t="shared" si="2"/>
        <v>0</v>
      </c>
      <c r="BQ21" s="14">
        <f t="shared" si="3"/>
        <v>4.7959990721280006</v>
      </c>
      <c r="BR21" s="14">
        <f t="shared" si="4"/>
        <v>0</v>
      </c>
      <c r="BS21" s="14">
        <f t="shared" si="5"/>
        <v>10.657775715840001</v>
      </c>
      <c r="BT21" s="15">
        <f t="shared" si="6"/>
        <v>7.7373853030641042</v>
      </c>
      <c r="BU21" s="15">
        <f t="shared" si="7"/>
        <v>27.308418716696838</v>
      </c>
      <c r="BV21" s="15">
        <f t="shared" si="8"/>
        <v>0</v>
      </c>
      <c r="BW21" s="15">
        <f t="shared" si="9"/>
        <v>0</v>
      </c>
      <c r="BX21" s="14">
        <f t="shared" si="10"/>
        <v>3.1973327147520005</v>
      </c>
      <c r="BY21" s="14">
        <f t="shared" si="11"/>
        <v>50.499578807728945</v>
      </c>
      <c r="BZ21" s="14"/>
      <c r="CA21" s="14"/>
      <c r="CB21" s="14"/>
      <c r="CC21" s="14"/>
      <c r="CD21" s="14"/>
      <c r="CE21" s="14"/>
      <c r="CF21" s="14"/>
      <c r="CG21" s="14"/>
      <c r="CH21" s="14"/>
      <c r="CI21" s="14"/>
    </row>
    <row r="22" spans="1:87" x14ac:dyDescent="0.2">
      <c r="A22" s="11" t="str">
        <f>'Input Scenarios'!A19</f>
        <v>TAS</v>
      </c>
      <c r="B22" s="11">
        <f>'Input Scenarios'!B19</f>
        <v>0</v>
      </c>
      <c r="C22" s="11" t="str">
        <f>'Input Scenarios'!C19</f>
        <v>Irrigated pasture</v>
      </c>
      <c r="D22" s="11" t="str">
        <f>'Input Scenarios'!D19</f>
        <v>wet</v>
      </c>
      <c r="E22" s="11" t="b">
        <f>'Input Scenarios'!E19</f>
        <v>1</v>
      </c>
      <c r="F22" s="11" t="str">
        <f>'Input Scenarios'!F19</f>
        <v>meatOther</v>
      </c>
      <c r="G22" s="11">
        <f>'Input Scenarios'!G19</f>
        <v>3333</v>
      </c>
      <c r="H22" s="11">
        <f>'Input Scenarios'!H19</f>
        <v>111</v>
      </c>
      <c r="I22">
        <f>IF('Input Scenarios'!I19&lt;&gt;"", 'Input Scenarios'!I19,_xlfn.XLOOKUP($F22,Constants!$A$2:$A$5,Constants!B$2:B$5))</f>
        <v>9.2999999999999999E-2</v>
      </c>
      <c r="J22">
        <f>IF('Input Scenarios'!J19&lt;&gt;"", 'Input Scenarios'!J19,_xlfn.XLOOKUP($F22,Constants!$A$2:$A$5,Constants!C$2:C$5))</f>
        <v>0.8</v>
      </c>
      <c r="K22">
        <f>IF('Input Scenarios'!K19&lt;&gt;"", 'Input Scenarios'!K19,_xlfn.XLOOKUP($F22,Constants!$A$2:$A$5,Constants!D$2:D$5))</f>
        <v>0.23</v>
      </c>
      <c r="L22">
        <f>IF('Input Scenarios'!L19&lt;&gt;"", 'Input Scenarios'!L19,_xlfn.XLOOKUP($F22,Constants!$A$2:$A$5,Constants!E$2:E$5))</f>
        <v>0.47</v>
      </c>
      <c r="M22" s="11">
        <f>'Input Scenarios'!M19</f>
        <v>0</v>
      </c>
      <c r="N22" s="11">
        <f>'Input Scenarios'!N19</f>
        <v>0.9</v>
      </c>
      <c r="O22" s="11">
        <f>'Input Scenarios'!O19</f>
        <v>0</v>
      </c>
      <c r="P22" s="11">
        <f>'Input Scenarios'!P19</f>
        <v>0.1</v>
      </c>
      <c r="Q22" s="11">
        <f>'Input Scenarios'!Q19</f>
        <v>0.34</v>
      </c>
      <c r="R22" s="11">
        <f>'Input Scenarios'!R19</f>
        <v>0.6</v>
      </c>
      <c r="S22" s="11">
        <f>'Input Scenarios'!S19</f>
        <v>0</v>
      </c>
      <c r="T22" s="11">
        <f>'Input Scenarios'!T19</f>
        <v>0</v>
      </c>
      <c r="U22" s="11">
        <f>'Input Scenarios'!U19</f>
        <v>0.06</v>
      </c>
      <c r="V22" s="11">
        <f>'Input Scenarios'!V19</f>
        <v>0.34</v>
      </c>
      <c r="W22" s="11">
        <f>'Input Scenarios'!W19</f>
        <v>0.6</v>
      </c>
      <c r="X22" s="11">
        <f>'Input Scenarios'!X19</f>
        <v>0</v>
      </c>
      <c r="Y22" s="11">
        <f>'Input Scenarios'!Y19</f>
        <v>0</v>
      </c>
      <c r="Z22" s="11">
        <f>'Input Scenarios'!Z19</f>
        <v>0.06</v>
      </c>
      <c r="AA22" s="11">
        <f>'Input Scenarios'!AA19</f>
        <v>0.34</v>
      </c>
      <c r="AB22" s="11">
        <f>'Input Scenarios'!AB19</f>
        <v>0.6</v>
      </c>
      <c r="AC22" s="11">
        <f>'Input Scenarios'!AC19</f>
        <v>0</v>
      </c>
      <c r="AD22" s="11">
        <f>'Input Scenarios'!AD19</f>
        <v>0</v>
      </c>
      <c r="AE22" s="11">
        <f>'Input Scenarios'!AE19</f>
        <v>0.06</v>
      </c>
      <c r="AF22" s="14">
        <f>IF(F22="", "",_xlfn.XLOOKUP(F22,Constants!$A$2:$A$5,Constants!F$2:F$5))</f>
        <v>0.15</v>
      </c>
      <c r="AG22" s="14">
        <f>Constants!$C$9</f>
        <v>0.3</v>
      </c>
      <c r="AH22" s="14">
        <f>Constants!$C$10</f>
        <v>0.05</v>
      </c>
      <c r="AI22" s="14">
        <f>Constants!$C$11</f>
        <v>0.4</v>
      </c>
      <c r="AJ22" s="14" t="str">
        <f>Constants!$C$16</f>
        <v>N/A</v>
      </c>
      <c r="AK22" s="14">
        <f>Constants!$D$9</f>
        <v>1E-3</v>
      </c>
      <c r="AL22" s="14">
        <f>Constants!$D$10</f>
        <v>1E-3</v>
      </c>
      <c r="AM22" s="14">
        <f>Constants!$D$11</f>
        <v>1E-3</v>
      </c>
      <c r="AN22" s="14">
        <f>Constants!$D$16</f>
        <v>0.02</v>
      </c>
      <c r="AO22" s="14">
        <f>Constants!$C$12</f>
        <v>0.2</v>
      </c>
      <c r="AP22" s="14">
        <f>Constants!$C$13</f>
        <v>0.2</v>
      </c>
      <c r="AQ22" s="14">
        <f>Constants!$C$15</f>
        <v>0</v>
      </c>
      <c r="AR22" s="14">
        <f>Constants!$C$14</f>
        <v>0</v>
      </c>
      <c r="AS22" s="14" t="str">
        <f>Constants!$C$17</f>
        <v>N/A</v>
      </c>
      <c r="AT22" s="14">
        <f>Constants!$D$12</f>
        <v>5.0000000000000001E-3</v>
      </c>
      <c r="AU22" s="14">
        <f>Constants!$D$13</f>
        <v>0.01</v>
      </c>
      <c r="AV22" s="14">
        <f>Constants!$D$15</f>
        <v>0</v>
      </c>
      <c r="AW22" s="14">
        <f>Constants!$D$14</f>
        <v>0</v>
      </c>
      <c r="AX22" s="14" t="str">
        <f>Constants!$D$17</f>
        <v>N/A</v>
      </c>
      <c r="AY22" s="14">
        <f>I22*J22/6.25</f>
        <v>1.1904000000000001E-2</v>
      </c>
      <c r="AZ22" s="14">
        <f>AY22*(1-K22)</f>
        <v>9.1660800000000018E-3</v>
      </c>
      <c r="BA22" s="14">
        <f>G22*AZ22*H22</f>
        <v>3391.1104550400005</v>
      </c>
      <c r="BB22" s="14">
        <f>$BA22*M22</f>
        <v>0</v>
      </c>
      <c r="BC22" s="14">
        <f>$BA22*N22</f>
        <v>3051.9994095360007</v>
      </c>
      <c r="BD22" s="14">
        <f>$BA22*O22</f>
        <v>0</v>
      </c>
      <c r="BE22" s="14">
        <f>$BA22*P22</f>
        <v>339.11104550400006</v>
      </c>
      <c r="BF22" s="15">
        <f>(BB22*(1-AG22-AK22))</f>
        <v>0</v>
      </c>
      <c r="BG22" s="15">
        <f>(BC22*(1-AH22-AL22))</f>
        <v>2896.3474396496645</v>
      </c>
      <c r="BH22" s="15">
        <f>(BD22*(1-AI22-AM22))</f>
        <v>0</v>
      </c>
      <c r="BI22" s="15">
        <f>($BF22*Q22)+($BG22*V22)+($BH22*AA22)</f>
        <v>984.75812948088594</v>
      </c>
      <c r="BJ22" s="15">
        <f>($BF22*R22)+($BG22*W22)+($BH22*AB22)</f>
        <v>1737.8084637897987</v>
      </c>
      <c r="BK22" s="15">
        <f>($BF22*S22)+($BG22*X22)+($BH22*AC22)</f>
        <v>0</v>
      </c>
      <c r="BL22" s="15">
        <f>($BF22*T22)+($BG22*Y22)+($BH22*AD22)</f>
        <v>0</v>
      </c>
      <c r="BM22" s="15">
        <f>($BF22*U22)+($BG22*Z22)+($BH22*AE22)</f>
        <v>173.78084637897987</v>
      </c>
      <c r="BN22" s="14">
        <f>IF(D22="", "", _xlfn.XLOOKUP('4.6.1.3'!D22, Constants!$I$5:$I$6, Constants!$J$5:$J$6))</f>
        <v>6.0000000000000001E-3</v>
      </c>
      <c r="BO22" s="14">
        <f>Constants!$J$2</f>
        <v>1.5714285714285714</v>
      </c>
      <c r="BP22" s="14">
        <f t="shared" si="2"/>
        <v>0</v>
      </c>
      <c r="BQ22" s="14">
        <f t="shared" si="3"/>
        <v>4.7959990721280006</v>
      </c>
      <c r="BR22" s="14">
        <f t="shared" si="4"/>
        <v>0</v>
      </c>
      <c r="BS22" s="14">
        <f t="shared" si="5"/>
        <v>10.657775715840001</v>
      </c>
      <c r="BT22" s="15">
        <f t="shared" si="6"/>
        <v>7.7373853030641042</v>
      </c>
      <c r="BU22" s="15">
        <f t="shared" si="7"/>
        <v>27.308418716696838</v>
      </c>
      <c r="BV22" s="15">
        <f t="shared" si="8"/>
        <v>0</v>
      </c>
      <c r="BW22" s="15">
        <f t="shared" si="9"/>
        <v>0</v>
      </c>
      <c r="BX22" s="14">
        <f t="shared" si="10"/>
        <v>3.1973327147520005</v>
      </c>
      <c r="BY22" s="14">
        <f t="shared" si="11"/>
        <v>50.499578807728945</v>
      </c>
      <c r="BZ22" s="14"/>
      <c r="CA22" s="14"/>
      <c r="CB22" s="14"/>
      <c r="CC22" s="14"/>
      <c r="CD22" s="14"/>
      <c r="CE22" s="14"/>
      <c r="CF22" s="14"/>
      <c r="CG22" s="14"/>
      <c r="CH22" s="14"/>
      <c r="CI22" s="14"/>
    </row>
    <row r="23" spans="1:87" x14ac:dyDescent="0.2">
      <c r="A23" s="14" t="str">
        <f>'Input Scenarios'!A20</f>
        <v>NT</v>
      </c>
      <c r="B23" s="14">
        <f>'Input Scenarios'!B20</f>
        <v>0</v>
      </c>
      <c r="C23" s="14" t="str">
        <f>'Input Scenarios'!C20</f>
        <v>Non-irrigated crop (high rainfall)</v>
      </c>
      <c r="D23" s="14" t="str">
        <f>'Input Scenarios'!D20</f>
        <v>dry</v>
      </c>
      <c r="E23" s="14" t="b">
        <f>'Input Scenarios'!E20</f>
        <v>1</v>
      </c>
      <c r="F23" s="14" t="str">
        <f>'Input Scenarios'!F20</f>
        <v>layers</v>
      </c>
      <c r="G23" s="14">
        <f>'Input Scenarios'!G20</f>
        <v>1234</v>
      </c>
      <c r="H23" s="14">
        <f>'Input Scenarios'!H20</f>
        <v>150</v>
      </c>
      <c r="I23">
        <f>IF('Input Scenarios'!I20&lt;&gt;"", 'Input Scenarios'!I20,_xlfn.XLOOKUP($F23,Constants!$A$2:$A$5,Constants!B$2:B$5))</f>
        <v>8.5999999999999993E-2</v>
      </c>
      <c r="J23">
        <f>IF('Input Scenarios'!J20&lt;&gt;"", 'Input Scenarios'!J20,_xlfn.XLOOKUP($F23,Constants!$A$2:$A$5,Constants!C$2:C$5))</f>
        <v>0.8</v>
      </c>
      <c r="K23">
        <f>IF('Input Scenarios'!K20&lt;&gt;"", 'Input Scenarios'!K20,_xlfn.XLOOKUP($F23,Constants!$A$2:$A$5,Constants!D$2:D$5))</f>
        <v>0.19</v>
      </c>
      <c r="L23">
        <f>IF('Input Scenarios'!L20&lt;&gt;"", 'Input Scenarios'!L20,_xlfn.XLOOKUP($F23,Constants!$A$2:$A$5,Constants!E$2:E$5))</f>
        <v>0.35</v>
      </c>
      <c r="M23" s="14">
        <f>'Input Scenarios'!M20</f>
        <v>0.1</v>
      </c>
      <c r="N23" s="14">
        <f>'Input Scenarios'!N20</f>
        <v>0</v>
      </c>
      <c r="O23" s="14">
        <f>'Input Scenarios'!O20</f>
        <v>0</v>
      </c>
      <c r="P23" s="14">
        <f>'Input Scenarios'!P20</f>
        <v>0.9</v>
      </c>
      <c r="Q23" s="14">
        <f>'Input Scenarios'!Q20</f>
        <v>0.5</v>
      </c>
      <c r="R23" s="14">
        <f>'Input Scenarios'!R20</f>
        <v>0.25</v>
      </c>
      <c r="S23" s="14">
        <f>'Input Scenarios'!S20</f>
        <v>0.25</v>
      </c>
      <c r="T23" s="14">
        <f>'Input Scenarios'!T20</f>
        <v>0</v>
      </c>
      <c r="U23" s="14">
        <f>'Input Scenarios'!U20</f>
        <v>0</v>
      </c>
      <c r="V23" s="14">
        <f>'Input Scenarios'!V20</f>
        <v>0.5</v>
      </c>
      <c r="W23" s="14">
        <f>'Input Scenarios'!W20</f>
        <v>0.25</v>
      </c>
      <c r="X23" s="14">
        <f>'Input Scenarios'!X20</f>
        <v>0.25</v>
      </c>
      <c r="Y23" s="14">
        <f>'Input Scenarios'!Y20</f>
        <v>0</v>
      </c>
      <c r="Z23" s="14">
        <f>'Input Scenarios'!Z20</f>
        <v>0</v>
      </c>
      <c r="AA23" s="14">
        <f>'Input Scenarios'!AA20</f>
        <v>0.5</v>
      </c>
      <c r="AB23" s="14">
        <f>'Input Scenarios'!AB20</f>
        <v>0.25</v>
      </c>
      <c r="AC23" s="14">
        <f>'Input Scenarios'!AC20</f>
        <v>0.25</v>
      </c>
      <c r="AD23" s="14">
        <f>'Input Scenarios'!AD20</f>
        <v>0</v>
      </c>
      <c r="AE23" s="14">
        <f>'Input Scenarios'!AE20</f>
        <v>0</v>
      </c>
      <c r="AF23" s="14">
        <f>IF(F23="", "",_xlfn.XLOOKUP(F23,Constants!$A$2:$A$5,Constants!F$2:F$5))</f>
        <v>0.18</v>
      </c>
      <c r="AG23" s="14">
        <f>Constants!$C$9</f>
        <v>0.3</v>
      </c>
      <c r="AH23" s="14">
        <f>Constants!$C$10</f>
        <v>0.05</v>
      </c>
      <c r="AI23" s="14">
        <f>Constants!$C$11</f>
        <v>0.4</v>
      </c>
      <c r="AJ23" s="14" t="str">
        <f>Constants!$C$16</f>
        <v>N/A</v>
      </c>
      <c r="AK23" s="14">
        <f>Constants!$D$9</f>
        <v>1E-3</v>
      </c>
      <c r="AL23" s="14">
        <f>Constants!$D$10</f>
        <v>1E-3</v>
      </c>
      <c r="AM23" s="14">
        <f>Constants!$D$11</f>
        <v>1E-3</v>
      </c>
      <c r="AN23" s="14">
        <f>Constants!$D$16</f>
        <v>0.02</v>
      </c>
      <c r="AO23" s="14">
        <f>Constants!$C$12</f>
        <v>0.2</v>
      </c>
      <c r="AP23" s="14">
        <f>Constants!$C$13</f>
        <v>0.2</v>
      </c>
      <c r="AQ23" s="14">
        <f>Constants!$C$15</f>
        <v>0</v>
      </c>
      <c r="AR23" s="14">
        <f>Constants!$C$14</f>
        <v>0</v>
      </c>
      <c r="AS23" s="14" t="str">
        <f>Constants!$C$17</f>
        <v>N/A</v>
      </c>
      <c r="AT23" s="14">
        <f>Constants!$D$12</f>
        <v>5.0000000000000001E-3</v>
      </c>
      <c r="AU23" s="14">
        <f>Constants!$D$13</f>
        <v>0.01</v>
      </c>
      <c r="AV23" s="14">
        <f>Constants!$D$15</f>
        <v>0</v>
      </c>
      <c r="AW23" s="14">
        <f>Constants!$D$14</f>
        <v>0</v>
      </c>
      <c r="AX23" s="14" t="str">
        <f>Constants!$D$17</f>
        <v>N/A</v>
      </c>
      <c r="AY23" s="14">
        <f>I23*J23/6.25</f>
        <v>1.1008E-2</v>
      </c>
      <c r="AZ23" s="14">
        <f>AY23*(1-K23)</f>
        <v>8.9164800000000009E-3</v>
      </c>
      <c r="BA23" s="14">
        <f>G23*AZ23*H23</f>
        <v>1650.4404480000003</v>
      </c>
      <c r="BB23" s="14">
        <f>$BA23*M23</f>
        <v>165.04404480000005</v>
      </c>
      <c r="BC23" s="14">
        <f>$BA23*N23</f>
        <v>0</v>
      </c>
      <c r="BD23" s="14">
        <f>$BA23*O23</f>
        <v>0</v>
      </c>
      <c r="BE23" s="14">
        <f>$BA23*P23</f>
        <v>1485.3964032000003</v>
      </c>
      <c r="BF23" s="15">
        <f>(BB23*(1-AG23-AK23))</f>
        <v>115.36578731520002</v>
      </c>
      <c r="BG23" s="15">
        <f>(BC23*(1-AH23-AL23))</f>
        <v>0</v>
      </c>
      <c r="BH23" s="15">
        <f>(BD23*(1-AI23-AM23))</f>
        <v>0</v>
      </c>
      <c r="BI23" s="15">
        <f>($BF23*Q23)+($BG23*V23)+($BH23*AA23)</f>
        <v>57.682893657600012</v>
      </c>
      <c r="BJ23" s="15">
        <f>($BF23*R23)+($BG23*W23)+($BH23*AB23)</f>
        <v>28.841446828800006</v>
      </c>
      <c r="BK23" s="15">
        <f>($BF23*S23)+($BG23*X23)+($BH23*AC23)</f>
        <v>28.841446828800006</v>
      </c>
      <c r="BL23" s="15">
        <f>($BF23*T23)+($BG23*Y23)+($BH23*AD23)</f>
        <v>0</v>
      </c>
      <c r="BM23" s="15">
        <f>($BF23*U23)+($BG23*Z23)+($BH23*AE23)</f>
        <v>0</v>
      </c>
      <c r="BN23" s="14">
        <f>IF(D23="", "", _xlfn.XLOOKUP('4.6.1.3'!D23, Constants!$I$5:$I$6, Constants!$J$5:$J$6))</f>
        <v>2E-3</v>
      </c>
      <c r="BO23" s="14">
        <f>Constants!$J$2</f>
        <v>1.5714285714285714</v>
      </c>
      <c r="BP23" s="14">
        <f t="shared" si="2"/>
        <v>0.25935492754285722</v>
      </c>
      <c r="BQ23" s="14">
        <f t="shared" si="3"/>
        <v>0</v>
      </c>
      <c r="BR23" s="14">
        <f t="shared" si="4"/>
        <v>0</v>
      </c>
      <c r="BS23" s="14">
        <f t="shared" si="5"/>
        <v>46.6838869577143</v>
      </c>
      <c r="BT23" s="15">
        <f t="shared" si="6"/>
        <v>0.45322273588114292</v>
      </c>
      <c r="BU23" s="15">
        <f t="shared" si="7"/>
        <v>0.45322273588114292</v>
      </c>
      <c r="BV23" s="15">
        <f t="shared" si="8"/>
        <v>0</v>
      </c>
      <c r="BW23" s="15">
        <f t="shared" si="9"/>
        <v>0</v>
      </c>
      <c r="BX23" s="14">
        <f t="shared" si="10"/>
        <v>4.66838869577143</v>
      </c>
      <c r="BY23" s="14">
        <f t="shared" si="11"/>
        <v>47.849687357019441</v>
      </c>
      <c r="BZ23" s="14">
        <f>SUM(BX23:BY26)</f>
        <v>223.39407285676808</v>
      </c>
      <c r="CA23" s="14"/>
      <c r="CB23" s="14"/>
      <c r="CC23" s="14"/>
      <c r="CD23" s="14"/>
      <c r="CE23" s="14"/>
      <c r="CF23" s="14"/>
      <c r="CG23" s="14"/>
      <c r="CH23" s="14"/>
      <c r="CI23" s="14"/>
    </row>
    <row r="24" spans="1:87" x14ac:dyDescent="0.2">
      <c r="A24" s="14" t="str">
        <f>'Input Scenarios'!A21</f>
        <v>NT</v>
      </c>
      <c r="B24" s="14">
        <f>'Input Scenarios'!B21</f>
        <v>0</v>
      </c>
      <c r="C24" s="14" t="str">
        <f>'Input Scenarios'!C21</f>
        <v>Non-irrigated crop (high rainfall)</v>
      </c>
      <c r="D24" s="14" t="str">
        <f>'Input Scenarios'!D21</f>
        <v>dry</v>
      </c>
      <c r="E24" s="14" t="b">
        <f>'Input Scenarios'!E21</f>
        <v>1</v>
      </c>
      <c r="F24" s="14" t="str">
        <f>'Input Scenarios'!F21</f>
        <v>meatChickenBreeder</v>
      </c>
      <c r="G24" s="14">
        <f>'Input Scenarios'!G21</f>
        <v>1234</v>
      </c>
      <c r="H24" s="14">
        <f>'Input Scenarios'!H21</f>
        <v>150</v>
      </c>
      <c r="I24">
        <f>IF('Input Scenarios'!I21&lt;&gt;"", 'Input Scenarios'!I21,_xlfn.XLOOKUP($F24,Constants!$A$2:$A$5,Constants!B$2:B$5))</f>
        <v>0.10299999999999999</v>
      </c>
      <c r="J24">
        <f>IF('Input Scenarios'!J21&lt;&gt;"", 'Input Scenarios'!J21,_xlfn.XLOOKUP($F24,Constants!$A$2:$A$5,Constants!C$2:C$5))</f>
        <v>0.8</v>
      </c>
      <c r="K24">
        <f>IF('Input Scenarios'!K21&lt;&gt;"", 'Input Scenarios'!K21,_xlfn.XLOOKUP($F24,Constants!$A$2:$A$5,Constants!D$2:D$5))</f>
        <v>0.19</v>
      </c>
      <c r="L24">
        <f>IF('Input Scenarios'!L21&lt;&gt;"", 'Input Scenarios'!L21,_xlfn.XLOOKUP($F24,Constants!$A$2:$A$5,Constants!E$2:E$5))</f>
        <v>0.32</v>
      </c>
      <c r="M24" s="14">
        <f>'Input Scenarios'!M21</f>
        <v>0.1</v>
      </c>
      <c r="N24" s="14">
        <f>'Input Scenarios'!N21</f>
        <v>0</v>
      </c>
      <c r="O24" s="14">
        <f>'Input Scenarios'!O21</f>
        <v>0</v>
      </c>
      <c r="P24" s="14">
        <f>'Input Scenarios'!P21</f>
        <v>0.9</v>
      </c>
      <c r="Q24" s="14">
        <f>'Input Scenarios'!Q21</f>
        <v>0.5</v>
      </c>
      <c r="R24" s="14">
        <f>'Input Scenarios'!R21</f>
        <v>0.25</v>
      </c>
      <c r="S24" s="14">
        <f>'Input Scenarios'!S21</f>
        <v>0.25</v>
      </c>
      <c r="T24" s="14">
        <f>'Input Scenarios'!T21</f>
        <v>0</v>
      </c>
      <c r="U24" s="14">
        <f>'Input Scenarios'!U21</f>
        <v>0</v>
      </c>
      <c r="V24" s="14">
        <f>'Input Scenarios'!V21</f>
        <v>0.5</v>
      </c>
      <c r="W24" s="14">
        <f>'Input Scenarios'!W21</f>
        <v>0.25</v>
      </c>
      <c r="X24" s="14">
        <f>'Input Scenarios'!X21</f>
        <v>0.25</v>
      </c>
      <c r="Y24" s="14">
        <f>'Input Scenarios'!Y21</f>
        <v>0</v>
      </c>
      <c r="Z24" s="14">
        <f>'Input Scenarios'!Z21</f>
        <v>0</v>
      </c>
      <c r="AA24" s="14">
        <f>'Input Scenarios'!AA21</f>
        <v>0.5</v>
      </c>
      <c r="AB24" s="14">
        <f>'Input Scenarios'!AB21</f>
        <v>0.25</v>
      </c>
      <c r="AC24" s="14">
        <f>'Input Scenarios'!AC21</f>
        <v>0.25</v>
      </c>
      <c r="AD24" s="14">
        <f>'Input Scenarios'!AD21</f>
        <v>0</v>
      </c>
      <c r="AE24" s="14">
        <f>'Input Scenarios'!AE21</f>
        <v>0</v>
      </c>
      <c r="AF24" s="14">
        <f>IF(F24="", "",_xlfn.XLOOKUP(F24,Constants!$A$2:$A$5,Constants!F$2:F$5))</f>
        <v>0.18</v>
      </c>
      <c r="AG24" s="14">
        <f>Constants!$C$9</f>
        <v>0.3</v>
      </c>
      <c r="AH24" s="14">
        <f>Constants!$C$10</f>
        <v>0.05</v>
      </c>
      <c r="AI24" s="14">
        <f>Constants!$C$11</f>
        <v>0.4</v>
      </c>
      <c r="AJ24" s="14" t="str">
        <f>Constants!$C$16</f>
        <v>N/A</v>
      </c>
      <c r="AK24" s="14">
        <f>Constants!$D$9</f>
        <v>1E-3</v>
      </c>
      <c r="AL24" s="14">
        <f>Constants!$D$10</f>
        <v>1E-3</v>
      </c>
      <c r="AM24" s="14">
        <f>Constants!$D$11</f>
        <v>1E-3</v>
      </c>
      <c r="AN24" s="14">
        <f>Constants!$D$16</f>
        <v>0.02</v>
      </c>
      <c r="AO24" s="14">
        <f>Constants!$C$12</f>
        <v>0.2</v>
      </c>
      <c r="AP24" s="14">
        <f>Constants!$C$13</f>
        <v>0.2</v>
      </c>
      <c r="AQ24" s="14">
        <f>Constants!$C$15</f>
        <v>0</v>
      </c>
      <c r="AR24" s="14">
        <f>Constants!$C$14</f>
        <v>0</v>
      </c>
      <c r="AS24" s="14" t="str">
        <f>Constants!$C$17</f>
        <v>N/A</v>
      </c>
      <c r="AT24" s="14">
        <f>Constants!$D$12</f>
        <v>5.0000000000000001E-3</v>
      </c>
      <c r="AU24" s="14">
        <f>Constants!$D$13</f>
        <v>0.01</v>
      </c>
      <c r="AV24" s="14">
        <f>Constants!$D$15</f>
        <v>0</v>
      </c>
      <c r="AW24" s="14">
        <f>Constants!$D$14</f>
        <v>0</v>
      </c>
      <c r="AX24" s="14" t="str">
        <f>Constants!$D$17</f>
        <v>N/A</v>
      </c>
      <c r="AY24" s="14">
        <f>I24*J24/6.25</f>
        <v>1.3184E-2</v>
      </c>
      <c r="AZ24" s="14">
        <f>AY24*(1-K24)</f>
        <v>1.0679040000000001E-2</v>
      </c>
      <c r="BA24" s="14">
        <f>G24*AZ24*H24</f>
        <v>1976.6903040000002</v>
      </c>
      <c r="BB24" s="14">
        <f>$BA24*M24</f>
        <v>197.66903040000003</v>
      </c>
      <c r="BC24" s="14">
        <f>$BA24*N24</f>
        <v>0</v>
      </c>
      <c r="BD24" s="14">
        <f>$BA24*O24</f>
        <v>0</v>
      </c>
      <c r="BE24" s="14">
        <f>$BA24*P24</f>
        <v>1779.0212736000003</v>
      </c>
      <c r="BF24" s="15">
        <f>(BB24*(1-AG24-AK24))</f>
        <v>138.17065224960001</v>
      </c>
      <c r="BG24" s="15">
        <f>(BC24*(1-AH24-AL24))</f>
        <v>0</v>
      </c>
      <c r="BH24" s="15">
        <f>(BD24*(1-AI24-AM24))</f>
        <v>0</v>
      </c>
      <c r="BI24" s="15">
        <f>($BF24*Q24)+($BG24*V24)+($BH24*AA24)</f>
        <v>69.085326124800005</v>
      </c>
      <c r="BJ24" s="15">
        <f>($BF24*R24)+($BG24*W24)+($BH24*AB24)</f>
        <v>34.542663062400003</v>
      </c>
      <c r="BK24" s="15">
        <f>($BF24*S24)+($BG24*X24)+($BH24*AC24)</f>
        <v>34.542663062400003</v>
      </c>
      <c r="BL24" s="15">
        <f>($BF24*T24)+($BG24*Y24)+($BH24*AD24)</f>
        <v>0</v>
      </c>
      <c r="BM24" s="15">
        <f>($BF24*U24)+($BG24*Z24)+($BH24*AE24)</f>
        <v>0</v>
      </c>
      <c r="BN24" s="14">
        <f>IF(D24="", "", _xlfn.XLOOKUP('4.6.1.3'!D24, Constants!$I$5:$I$6, Constants!$J$5:$J$6))</f>
        <v>2E-3</v>
      </c>
      <c r="BO24" s="14">
        <f>Constants!$J$2</f>
        <v>1.5714285714285714</v>
      </c>
      <c r="BP24" s="14">
        <f t="shared" si="2"/>
        <v>0.3106227620571429</v>
      </c>
      <c r="BQ24" s="14">
        <f t="shared" si="3"/>
        <v>0</v>
      </c>
      <c r="BR24" s="14">
        <f t="shared" si="4"/>
        <v>0</v>
      </c>
      <c r="BS24" s="14">
        <f t="shared" si="5"/>
        <v>55.912097170285726</v>
      </c>
      <c r="BT24" s="15">
        <f t="shared" si="6"/>
        <v>0.54281327669485713</v>
      </c>
      <c r="BU24" s="15">
        <f t="shared" si="7"/>
        <v>0.54281327669485713</v>
      </c>
      <c r="BV24" s="15">
        <f t="shared" si="8"/>
        <v>0</v>
      </c>
      <c r="BW24" s="15">
        <f t="shared" si="9"/>
        <v>0</v>
      </c>
      <c r="BX24" s="14">
        <f t="shared" si="10"/>
        <v>5.5912097170285726</v>
      </c>
      <c r="BY24" s="14">
        <f t="shared" si="11"/>
        <v>57.308346485732585</v>
      </c>
      <c r="BZ24" s="14"/>
      <c r="CA24" s="14"/>
      <c r="CB24" s="14"/>
      <c r="CC24" s="14"/>
      <c r="CD24" s="14"/>
      <c r="CE24" s="14"/>
      <c r="CF24" s="14"/>
      <c r="CG24" s="14"/>
      <c r="CH24" s="14"/>
      <c r="CI24" s="14"/>
    </row>
    <row r="25" spans="1:87" s="11" customFormat="1" x14ac:dyDescent="0.2">
      <c r="A25" s="14" t="str">
        <f>'Input Scenarios'!A22</f>
        <v>NT</v>
      </c>
      <c r="B25" s="14">
        <f>'Input Scenarios'!B22</f>
        <v>0</v>
      </c>
      <c r="C25" s="14" t="str">
        <f>'Input Scenarios'!C22</f>
        <v>Non-irrigated crop (high rainfall)</v>
      </c>
      <c r="D25" s="14" t="str">
        <f>'Input Scenarios'!D22</f>
        <v>dry</v>
      </c>
      <c r="E25" s="14" t="b">
        <f>'Input Scenarios'!E22</f>
        <v>1</v>
      </c>
      <c r="F25" s="14" t="str">
        <f>'Input Scenarios'!F22</f>
        <v>meatChickenGrowers</v>
      </c>
      <c r="G25" s="14">
        <f>'Input Scenarios'!G22</f>
        <v>1234</v>
      </c>
      <c r="H25" s="14">
        <f>'Input Scenarios'!H22</f>
        <v>150</v>
      </c>
      <c r="I25">
        <f>IF('Input Scenarios'!I22&lt;&gt;"", 'Input Scenarios'!I22,_xlfn.XLOOKUP($F25,Constants!$A$2:$A$5,Constants!B$2:B$5))</f>
        <v>9.2999999999999999E-2</v>
      </c>
      <c r="J25">
        <f>IF('Input Scenarios'!J22&lt;&gt;"", 'Input Scenarios'!J22,_xlfn.XLOOKUP($F25,Constants!$A$2:$A$5,Constants!C$2:C$5))</f>
        <v>0.8</v>
      </c>
      <c r="K25">
        <f>IF('Input Scenarios'!K22&lt;&gt;"", 'Input Scenarios'!K22,_xlfn.XLOOKUP($F25,Constants!$A$2:$A$5,Constants!D$2:D$5))</f>
        <v>0.23</v>
      </c>
      <c r="L25">
        <f>IF('Input Scenarios'!L22&lt;&gt;"", 'Input Scenarios'!L22,_xlfn.XLOOKUP($F25,Constants!$A$2:$A$5,Constants!E$2:E$5))</f>
        <v>0.47</v>
      </c>
      <c r="M25" s="14">
        <f>'Input Scenarios'!M22</f>
        <v>0.1</v>
      </c>
      <c r="N25" s="14">
        <f>'Input Scenarios'!N22</f>
        <v>0</v>
      </c>
      <c r="O25" s="14">
        <f>'Input Scenarios'!O22</f>
        <v>0</v>
      </c>
      <c r="P25" s="14">
        <f>'Input Scenarios'!P22</f>
        <v>0.9</v>
      </c>
      <c r="Q25" s="14">
        <f>'Input Scenarios'!Q22</f>
        <v>0.5</v>
      </c>
      <c r="R25" s="14">
        <f>'Input Scenarios'!R22</f>
        <v>0.25</v>
      </c>
      <c r="S25" s="14">
        <f>'Input Scenarios'!S22</f>
        <v>0.25</v>
      </c>
      <c r="T25" s="14">
        <f>'Input Scenarios'!T22</f>
        <v>0</v>
      </c>
      <c r="U25" s="14">
        <f>'Input Scenarios'!U22</f>
        <v>0</v>
      </c>
      <c r="V25" s="14">
        <f>'Input Scenarios'!V22</f>
        <v>0.5</v>
      </c>
      <c r="W25" s="14">
        <f>'Input Scenarios'!W22</f>
        <v>0.25</v>
      </c>
      <c r="X25" s="14">
        <f>'Input Scenarios'!X22</f>
        <v>0.25</v>
      </c>
      <c r="Y25" s="14">
        <f>'Input Scenarios'!Y22</f>
        <v>0</v>
      </c>
      <c r="Z25" s="14">
        <f>'Input Scenarios'!Z22</f>
        <v>0</v>
      </c>
      <c r="AA25" s="14">
        <f>'Input Scenarios'!AA22</f>
        <v>0.5</v>
      </c>
      <c r="AB25" s="14">
        <f>'Input Scenarios'!AB22</f>
        <v>0.25</v>
      </c>
      <c r="AC25" s="14">
        <f>'Input Scenarios'!AC22</f>
        <v>0.25</v>
      </c>
      <c r="AD25" s="14">
        <f>'Input Scenarios'!AD22</f>
        <v>0</v>
      </c>
      <c r="AE25" s="14">
        <f>'Input Scenarios'!AE22</f>
        <v>0</v>
      </c>
      <c r="AF25" s="14">
        <f>IF(F25="", "",_xlfn.XLOOKUP(F25,Constants!$A$2:$A$5,Constants!F$2:F$5))</f>
        <v>0.15</v>
      </c>
      <c r="AG25" s="14">
        <f>Constants!$C$9</f>
        <v>0.3</v>
      </c>
      <c r="AH25" s="14">
        <f>Constants!$C$10</f>
        <v>0.05</v>
      </c>
      <c r="AI25" s="14">
        <f>Constants!$C$11</f>
        <v>0.4</v>
      </c>
      <c r="AJ25" s="14" t="str">
        <f>Constants!$C$16</f>
        <v>N/A</v>
      </c>
      <c r="AK25" s="14">
        <f>Constants!$D$9</f>
        <v>1E-3</v>
      </c>
      <c r="AL25" s="14">
        <f>Constants!$D$10</f>
        <v>1E-3</v>
      </c>
      <c r="AM25" s="14">
        <f>Constants!$D$11</f>
        <v>1E-3</v>
      </c>
      <c r="AN25" s="14">
        <f>Constants!$D$16</f>
        <v>0.02</v>
      </c>
      <c r="AO25" s="14">
        <f>Constants!$C$12</f>
        <v>0.2</v>
      </c>
      <c r="AP25" s="14">
        <f>Constants!$C$13</f>
        <v>0.2</v>
      </c>
      <c r="AQ25" s="14">
        <f>Constants!$C$15</f>
        <v>0</v>
      </c>
      <c r="AR25" s="14">
        <f>Constants!$C$14</f>
        <v>0</v>
      </c>
      <c r="AS25" s="14" t="str">
        <f>Constants!$C$17</f>
        <v>N/A</v>
      </c>
      <c r="AT25" s="14">
        <f>Constants!$D$12</f>
        <v>5.0000000000000001E-3</v>
      </c>
      <c r="AU25" s="14">
        <f>Constants!$D$13</f>
        <v>0.01</v>
      </c>
      <c r="AV25" s="14">
        <f>Constants!$D$15</f>
        <v>0</v>
      </c>
      <c r="AW25" s="14">
        <f>Constants!$D$14</f>
        <v>0</v>
      </c>
      <c r="AX25" s="14" t="str">
        <f>Constants!$D$17</f>
        <v>N/A</v>
      </c>
      <c r="AY25" s="14">
        <f>I25*J25/6.25</f>
        <v>1.1904000000000001E-2</v>
      </c>
      <c r="AZ25" s="14">
        <f>AY25*(1-K25)</f>
        <v>9.1660800000000018E-3</v>
      </c>
      <c r="BA25" s="14">
        <f>G25*AZ25*H25</f>
        <v>1696.6414080000002</v>
      </c>
      <c r="BB25" s="14">
        <f>$BA25*M25</f>
        <v>169.66414080000004</v>
      </c>
      <c r="BC25" s="14">
        <f>$BA25*N25</f>
        <v>0</v>
      </c>
      <c r="BD25" s="14">
        <f>$BA25*O25</f>
        <v>0</v>
      </c>
      <c r="BE25" s="14">
        <f>$BA25*P25</f>
        <v>1526.9772672000001</v>
      </c>
      <c r="BF25" s="15">
        <f>(BB25*(1-AG25-AK25))</f>
        <v>118.59523441920003</v>
      </c>
      <c r="BG25" s="15">
        <f>(BC25*(1-AH25-AL25))</f>
        <v>0</v>
      </c>
      <c r="BH25" s="15">
        <f>(BD25*(1-AI25-AM25))</f>
        <v>0</v>
      </c>
      <c r="BI25" s="15">
        <f>($BF25*Q25)+($BG25*V25)+($BH25*AA25)</f>
        <v>59.297617209600013</v>
      </c>
      <c r="BJ25" s="15">
        <f>($BF25*R25)+($BG25*W25)+($BH25*AB25)</f>
        <v>29.648808604800006</v>
      </c>
      <c r="BK25" s="15">
        <f>($BF25*S25)+($BG25*X25)+($BH25*AC25)</f>
        <v>29.648808604800006</v>
      </c>
      <c r="BL25" s="15">
        <f>($BF25*T25)+($BG25*Y25)+($BH25*AD25)</f>
        <v>0</v>
      </c>
      <c r="BM25" s="15">
        <f>($BF25*U25)+($BG25*Z25)+($BH25*AE25)</f>
        <v>0</v>
      </c>
      <c r="BN25" s="14">
        <f>IF(D25="", "", _xlfn.XLOOKUP('4.6.1.3'!D25, Constants!$I$5:$I$6, Constants!$J$5:$J$6))</f>
        <v>2E-3</v>
      </c>
      <c r="BO25" s="14">
        <f>Constants!$J$2</f>
        <v>1.5714285714285714</v>
      </c>
      <c r="BP25" s="14">
        <f t="shared" si="2"/>
        <v>0.26661507840000009</v>
      </c>
      <c r="BQ25" s="14">
        <f t="shared" si="3"/>
        <v>0</v>
      </c>
      <c r="BR25" s="14">
        <f t="shared" si="4"/>
        <v>0</v>
      </c>
      <c r="BS25" s="14">
        <f t="shared" si="5"/>
        <v>47.990714112000006</v>
      </c>
      <c r="BT25" s="15">
        <f t="shared" si="6"/>
        <v>0.46590984950400011</v>
      </c>
      <c r="BU25" s="15">
        <f t="shared" si="7"/>
        <v>0.46590984950400011</v>
      </c>
      <c r="BV25" s="15">
        <f t="shared" si="8"/>
        <v>0</v>
      </c>
      <c r="BW25" s="15">
        <f t="shared" si="9"/>
        <v>0</v>
      </c>
      <c r="BX25" s="14">
        <f t="shared" si="10"/>
        <v>4.7990714112000008</v>
      </c>
      <c r="BY25" s="14">
        <f t="shared" si="11"/>
        <v>49.18914888940801</v>
      </c>
      <c r="BZ25" s="14"/>
      <c r="CA25" s="14"/>
      <c r="CB25" s="14"/>
      <c r="CC25" s="14"/>
      <c r="CD25" s="14"/>
      <c r="CE25" s="14"/>
      <c r="CF25" s="14"/>
      <c r="CG25" s="14"/>
      <c r="CH25" s="14"/>
      <c r="CI25" s="14"/>
    </row>
    <row r="26" spans="1:87" x14ac:dyDescent="0.2">
      <c r="A26" s="11" t="str">
        <f>'Input Scenarios'!A23</f>
        <v>NT</v>
      </c>
      <c r="B26" s="11">
        <f>'Input Scenarios'!B23</f>
        <v>0</v>
      </c>
      <c r="C26" s="11" t="str">
        <f>'Input Scenarios'!C23</f>
        <v>Non-irrigated crop (high rainfall)</v>
      </c>
      <c r="D26" s="11" t="str">
        <f>'Input Scenarios'!D23</f>
        <v>dry</v>
      </c>
      <c r="E26" s="11" t="b">
        <f>'Input Scenarios'!E23</f>
        <v>1</v>
      </c>
      <c r="F26" s="11" t="str">
        <f>'Input Scenarios'!F23</f>
        <v>meatOther</v>
      </c>
      <c r="G26" s="11">
        <f>'Input Scenarios'!G23</f>
        <v>1234</v>
      </c>
      <c r="H26" s="11">
        <f>'Input Scenarios'!H23</f>
        <v>150</v>
      </c>
      <c r="I26">
        <f>IF('Input Scenarios'!I23&lt;&gt;"", 'Input Scenarios'!I23,_xlfn.XLOOKUP($F26,Constants!$A$2:$A$5,Constants!B$2:B$5))</f>
        <v>9.2999999999999999E-2</v>
      </c>
      <c r="J26">
        <f>IF('Input Scenarios'!J23&lt;&gt;"", 'Input Scenarios'!J23,_xlfn.XLOOKUP($F26,Constants!$A$2:$A$5,Constants!C$2:C$5))</f>
        <v>0.8</v>
      </c>
      <c r="K26">
        <f>IF('Input Scenarios'!K23&lt;&gt;"", 'Input Scenarios'!K23,_xlfn.XLOOKUP($F26,Constants!$A$2:$A$5,Constants!D$2:D$5))</f>
        <v>0.23</v>
      </c>
      <c r="L26">
        <f>IF('Input Scenarios'!L23&lt;&gt;"", 'Input Scenarios'!L23,_xlfn.XLOOKUP($F26,Constants!$A$2:$A$5,Constants!E$2:E$5))</f>
        <v>0.47</v>
      </c>
      <c r="M26" s="11">
        <f>'Input Scenarios'!M23</f>
        <v>0.1</v>
      </c>
      <c r="N26" s="11">
        <f>'Input Scenarios'!N23</f>
        <v>0</v>
      </c>
      <c r="O26" s="11">
        <f>'Input Scenarios'!O23</f>
        <v>0</v>
      </c>
      <c r="P26" s="11">
        <f>'Input Scenarios'!P23</f>
        <v>0.9</v>
      </c>
      <c r="Q26" s="11">
        <f>'Input Scenarios'!Q23</f>
        <v>0.5</v>
      </c>
      <c r="R26" s="11">
        <f>'Input Scenarios'!R23</f>
        <v>0.25</v>
      </c>
      <c r="S26" s="11">
        <f>'Input Scenarios'!S23</f>
        <v>0.25</v>
      </c>
      <c r="T26" s="11">
        <f>'Input Scenarios'!T23</f>
        <v>0</v>
      </c>
      <c r="U26" s="11">
        <f>'Input Scenarios'!U23</f>
        <v>0</v>
      </c>
      <c r="V26" s="11">
        <f>'Input Scenarios'!V23</f>
        <v>0.5</v>
      </c>
      <c r="W26" s="11">
        <f>'Input Scenarios'!W23</f>
        <v>0.25</v>
      </c>
      <c r="X26" s="11">
        <f>'Input Scenarios'!X23</f>
        <v>0.25</v>
      </c>
      <c r="Y26" s="11">
        <f>'Input Scenarios'!Y23</f>
        <v>0</v>
      </c>
      <c r="Z26" s="11">
        <f>'Input Scenarios'!Z23</f>
        <v>0</v>
      </c>
      <c r="AA26" s="11">
        <f>'Input Scenarios'!AA23</f>
        <v>0.5</v>
      </c>
      <c r="AB26" s="11">
        <f>'Input Scenarios'!AB23</f>
        <v>0.25</v>
      </c>
      <c r="AC26" s="11">
        <f>'Input Scenarios'!AC23</f>
        <v>0.25</v>
      </c>
      <c r="AD26" s="11">
        <f>'Input Scenarios'!AD23</f>
        <v>0</v>
      </c>
      <c r="AE26" s="11">
        <f>'Input Scenarios'!AE23</f>
        <v>0</v>
      </c>
      <c r="AF26" s="14">
        <f>IF(F26="", "",_xlfn.XLOOKUP(F26,Constants!$A$2:$A$5,Constants!F$2:F$5))</f>
        <v>0.15</v>
      </c>
      <c r="AG26" s="14">
        <f>Constants!$C$9</f>
        <v>0.3</v>
      </c>
      <c r="AH26" s="14">
        <f>Constants!$C$10</f>
        <v>0.05</v>
      </c>
      <c r="AI26" s="14">
        <f>Constants!$C$11</f>
        <v>0.4</v>
      </c>
      <c r="AJ26" s="14" t="str">
        <f>Constants!$C$16</f>
        <v>N/A</v>
      </c>
      <c r="AK26" s="14">
        <f>Constants!$D$9</f>
        <v>1E-3</v>
      </c>
      <c r="AL26" s="14">
        <f>Constants!$D$10</f>
        <v>1E-3</v>
      </c>
      <c r="AM26" s="14">
        <f>Constants!$D$11</f>
        <v>1E-3</v>
      </c>
      <c r="AN26" s="14">
        <f>Constants!$D$16</f>
        <v>0.02</v>
      </c>
      <c r="AO26" s="14">
        <f>Constants!$C$12</f>
        <v>0.2</v>
      </c>
      <c r="AP26" s="14">
        <f>Constants!$C$13</f>
        <v>0.2</v>
      </c>
      <c r="AQ26" s="14">
        <f>Constants!$C$15</f>
        <v>0</v>
      </c>
      <c r="AR26" s="14">
        <f>Constants!$C$14</f>
        <v>0</v>
      </c>
      <c r="AS26" s="14" t="str">
        <f>Constants!$C$17</f>
        <v>N/A</v>
      </c>
      <c r="AT26" s="14">
        <f>Constants!$D$12</f>
        <v>5.0000000000000001E-3</v>
      </c>
      <c r="AU26" s="14">
        <f>Constants!$D$13</f>
        <v>0.01</v>
      </c>
      <c r="AV26" s="14">
        <f>Constants!$D$15</f>
        <v>0</v>
      </c>
      <c r="AW26" s="14">
        <f>Constants!$D$14</f>
        <v>0</v>
      </c>
      <c r="AX26" s="14" t="str">
        <f>Constants!$D$17</f>
        <v>N/A</v>
      </c>
      <c r="AY26" s="14">
        <f>I26*J26/6.25</f>
        <v>1.1904000000000001E-2</v>
      </c>
      <c r="AZ26" s="14">
        <f>AY26*(1-K26)</f>
        <v>9.1660800000000018E-3</v>
      </c>
      <c r="BA26" s="14">
        <f>G26*AZ26*H26</f>
        <v>1696.6414080000002</v>
      </c>
      <c r="BB26" s="14">
        <f>$BA26*M26</f>
        <v>169.66414080000004</v>
      </c>
      <c r="BC26" s="14">
        <f>$BA26*N26</f>
        <v>0</v>
      </c>
      <c r="BD26" s="14">
        <f>$BA26*O26</f>
        <v>0</v>
      </c>
      <c r="BE26" s="14">
        <f>$BA26*P26</f>
        <v>1526.9772672000001</v>
      </c>
      <c r="BF26" s="15">
        <f>(BB26*(1-AG26-AK26))</f>
        <v>118.59523441920003</v>
      </c>
      <c r="BG26" s="15">
        <f>(BC26*(1-AH26-AL26))</f>
        <v>0</v>
      </c>
      <c r="BH26" s="15">
        <f>(BD26*(1-AI26-AM26))</f>
        <v>0</v>
      </c>
      <c r="BI26" s="15">
        <f>($BF26*Q26)+($BG26*V26)+($BH26*AA26)</f>
        <v>59.297617209600013</v>
      </c>
      <c r="BJ26" s="15">
        <f>($BF26*R26)+($BG26*W26)+($BH26*AB26)</f>
        <v>29.648808604800006</v>
      </c>
      <c r="BK26" s="15">
        <f>($BF26*S26)+($BG26*X26)+($BH26*AC26)</f>
        <v>29.648808604800006</v>
      </c>
      <c r="BL26" s="15">
        <f>($BF26*T26)+($BG26*Y26)+($BH26*AD26)</f>
        <v>0</v>
      </c>
      <c r="BM26" s="15">
        <f>($BF26*U26)+($BG26*Z26)+($BH26*AE26)</f>
        <v>0</v>
      </c>
      <c r="BN26" s="14">
        <f>IF(D26="", "", _xlfn.XLOOKUP('4.6.1.3'!D26, Constants!$I$5:$I$6, Constants!$J$5:$J$6))</f>
        <v>2E-3</v>
      </c>
      <c r="BO26" s="14">
        <f>Constants!$J$2</f>
        <v>1.5714285714285714</v>
      </c>
      <c r="BP26" s="14">
        <f t="shared" si="2"/>
        <v>0.26661507840000009</v>
      </c>
      <c r="BQ26" s="14">
        <f t="shared" si="3"/>
        <v>0</v>
      </c>
      <c r="BR26" s="14">
        <f t="shared" si="4"/>
        <v>0</v>
      </c>
      <c r="BS26" s="14">
        <f t="shared" si="5"/>
        <v>47.990714112000006</v>
      </c>
      <c r="BT26" s="15">
        <f t="shared" si="6"/>
        <v>0.46590984950400011</v>
      </c>
      <c r="BU26" s="15">
        <f t="shared" si="7"/>
        <v>0.46590984950400011</v>
      </c>
      <c r="BV26" s="15">
        <f t="shared" si="8"/>
        <v>0</v>
      </c>
      <c r="BW26" s="15">
        <f t="shared" si="9"/>
        <v>0</v>
      </c>
      <c r="BX26" s="14">
        <f t="shared" si="10"/>
        <v>4.7990714112000008</v>
      </c>
      <c r="BY26" s="14">
        <f t="shared" si="11"/>
        <v>49.18914888940801</v>
      </c>
      <c r="BZ26" s="14"/>
      <c r="CA26" s="14"/>
      <c r="CB26" s="14"/>
      <c r="CC26" s="14"/>
      <c r="CD26" s="14"/>
      <c r="CE26" s="14"/>
      <c r="CF26" s="14"/>
      <c r="CG26" s="14"/>
      <c r="CH26" s="14"/>
      <c r="CI26" s="14"/>
    </row>
    <row r="27" spans="1:87" x14ac:dyDescent="0.2"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</row>
    <row r="28" spans="1:87" x14ac:dyDescent="0.2"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</row>
    <row r="29" spans="1:87" x14ac:dyDescent="0.2"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</row>
    <row r="30" spans="1:87" s="11" customFormat="1" x14ac:dyDescent="0.2">
      <c r="A30"/>
      <c r="B30"/>
      <c r="C30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4FC7-4E95-334D-BAFB-568C04780500}">
  <dimension ref="A2:BZ30"/>
  <sheetViews>
    <sheetView tabSelected="1" topLeftCell="BL6" workbookViewId="0">
      <selection activeCell="BS10" sqref="BS10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  <col min="29" max="70" width="12.1640625" customWidth="1"/>
  </cols>
  <sheetData>
    <row r="2" spans="1:78" x14ac:dyDescent="0.2">
      <c r="A2" t="s">
        <v>30</v>
      </c>
    </row>
    <row r="4" spans="1:78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52</v>
      </c>
      <c r="J4" t="s">
        <v>52</v>
      </c>
      <c r="K4" t="s">
        <v>52</v>
      </c>
      <c r="L4" t="s">
        <v>1</v>
      </c>
      <c r="M4" t="s">
        <v>1</v>
      </c>
      <c r="N4" t="s">
        <v>1</v>
      </c>
      <c r="O4" t="s">
        <v>1</v>
      </c>
      <c r="AF4" t="s">
        <v>52</v>
      </c>
      <c r="AY4" t="s">
        <v>58</v>
      </c>
      <c r="AZ4" t="s">
        <v>58</v>
      </c>
      <c r="BA4" t="s">
        <v>58</v>
      </c>
      <c r="BF4" t="s">
        <v>58</v>
      </c>
    </row>
    <row r="5" spans="1:78" x14ac:dyDescent="0.2">
      <c r="K5" t="s">
        <v>0</v>
      </c>
      <c r="AF5" t="s">
        <v>0</v>
      </c>
      <c r="BF5" t="s">
        <v>112</v>
      </c>
    </row>
    <row r="6" spans="1:78" x14ac:dyDescent="0.2">
      <c r="BF6" t="s">
        <v>105</v>
      </c>
    </row>
    <row r="8" spans="1:78" x14ac:dyDescent="0.2">
      <c r="A8" t="s">
        <v>35</v>
      </c>
      <c r="B8" t="s">
        <v>43</v>
      </c>
      <c r="C8" t="s">
        <v>42</v>
      </c>
      <c r="D8" t="s">
        <v>64</v>
      </c>
      <c r="E8" t="s">
        <v>67</v>
      </c>
      <c r="F8" t="s">
        <v>28</v>
      </c>
      <c r="G8" t="s">
        <v>2</v>
      </c>
      <c r="H8" t="s">
        <v>3</v>
      </c>
      <c r="I8" t="s">
        <v>44</v>
      </c>
      <c r="J8" t="s">
        <v>45</v>
      </c>
      <c r="K8" t="s">
        <v>46</v>
      </c>
      <c r="L8" t="s">
        <v>49</v>
      </c>
      <c r="M8" t="s">
        <v>57</v>
      </c>
      <c r="N8" t="s">
        <v>57</v>
      </c>
      <c r="Q8" t="s">
        <v>163</v>
      </c>
      <c r="V8" t="s">
        <v>164</v>
      </c>
      <c r="AA8" t="s">
        <v>62</v>
      </c>
      <c r="AF8" t="s">
        <v>47</v>
      </c>
    </row>
    <row r="10" spans="1:78" x14ac:dyDescent="0.2">
      <c r="A10" s="17" t="s">
        <v>26</v>
      </c>
      <c r="B10" s="17" t="s">
        <v>26</v>
      </c>
      <c r="C10" s="17"/>
      <c r="D10" s="17" t="s">
        <v>66</v>
      </c>
      <c r="E10" s="17" t="s">
        <v>68</v>
      </c>
      <c r="F10" s="17" t="s">
        <v>25</v>
      </c>
      <c r="G10" s="17" t="s">
        <v>4</v>
      </c>
      <c r="H10" s="17" t="s">
        <v>5</v>
      </c>
      <c r="I10" s="17" t="s">
        <v>6</v>
      </c>
      <c r="J10" s="17" t="s">
        <v>32</v>
      </c>
      <c r="K10" s="17" t="s">
        <v>7</v>
      </c>
      <c r="L10" s="17" t="s">
        <v>101</v>
      </c>
      <c r="M10" s="17" t="s">
        <v>131</v>
      </c>
      <c r="N10" s="17" t="s">
        <v>130</v>
      </c>
      <c r="O10" s="17" t="s">
        <v>132</v>
      </c>
      <c r="P10" s="17" t="s">
        <v>133</v>
      </c>
      <c r="Q10" s="17" t="s">
        <v>135</v>
      </c>
      <c r="R10" s="17" t="s">
        <v>136</v>
      </c>
      <c r="S10" s="17" t="s">
        <v>137</v>
      </c>
      <c r="T10" s="17" t="s">
        <v>138</v>
      </c>
      <c r="U10" s="17" t="s">
        <v>139</v>
      </c>
      <c r="V10" s="17" t="s">
        <v>135</v>
      </c>
      <c r="W10" s="17" t="s">
        <v>136</v>
      </c>
      <c r="X10" s="17" t="s">
        <v>137</v>
      </c>
      <c r="Y10" s="17" t="s">
        <v>138</v>
      </c>
      <c r="Z10" s="17" t="s">
        <v>139</v>
      </c>
      <c r="AA10" s="17" t="s">
        <v>135</v>
      </c>
      <c r="AB10" s="17" t="s">
        <v>136</v>
      </c>
      <c r="AC10" s="17" t="s">
        <v>137</v>
      </c>
      <c r="AD10" s="17" t="s">
        <v>138</v>
      </c>
      <c r="AE10" s="17" t="s">
        <v>139</v>
      </c>
      <c r="AF10" s="1" t="s">
        <v>34</v>
      </c>
      <c r="AG10" s="1" t="s">
        <v>179</v>
      </c>
      <c r="AH10" s="1" t="s">
        <v>180</v>
      </c>
      <c r="AI10" s="1" t="s">
        <v>181</v>
      </c>
      <c r="AJ10" s="1" t="s">
        <v>182</v>
      </c>
      <c r="AK10" s="1" t="s">
        <v>175</v>
      </c>
      <c r="AL10" s="1" t="s">
        <v>176</v>
      </c>
      <c r="AM10" s="1" t="s">
        <v>177</v>
      </c>
      <c r="AN10" s="1" t="s">
        <v>178</v>
      </c>
      <c r="AO10" s="1" t="s">
        <v>187</v>
      </c>
      <c r="AP10" s="1" t="s">
        <v>186</v>
      </c>
      <c r="AQ10" s="1" t="s">
        <v>185</v>
      </c>
      <c r="AR10" s="1" t="s">
        <v>184</v>
      </c>
      <c r="AS10" s="1" t="s">
        <v>183</v>
      </c>
      <c r="AT10" s="1" t="s">
        <v>188</v>
      </c>
      <c r="AU10" s="1" t="s">
        <v>189</v>
      </c>
      <c r="AV10" s="1" t="s">
        <v>190</v>
      </c>
      <c r="AW10" s="1" t="s">
        <v>191</v>
      </c>
      <c r="AX10" s="1" t="s">
        <v>192</v>
      </c>
      <c r="AY10" s="1" t="s">
        <v>193</v>
      </c>
      <c r="AZ10" s="1" t="s">
        <v>194</v>
      </c>
      <c r="BA10" s="1" t="s">
        <v>102</v>
      </c>
      <c r="BB10" s="20" t="s">
        <v>195</v>
      </c>
      <c r="BC10" s="20" t="s">
        <v>196</v>
      </c>
      <c r="BD10" s="20" t="s">
        <v>197</v>
      </c>
      <c r="BE10" s="20" t="s">
        <v>198</v>
      </c>
      <c r="BF10" s="1" t="s">
        <v>199</v>
      </c>
      <c r="BG10" s="1" t="s">
        <v>200</v>
      </c>
      <c r="BH10" s="1" t="s">
        <v>201</v>
      </c>
      <c r="BI10" s="1" t="s">
        <v>202</v>
      </c>
      <c r="BJ10" s="1" t="s">
        <v>203</v>
      </c>
      <c r="BK10" s="1" t="s">
        <v>204</v>
      </c>
      <c r="BL10" s="1" t="s">
        <v>205</v>
      </c>
      <c r="BM10" s="1" t="s">
        <v>206</v>
      </c>
      <c r="BN10" s="1" t="s">
        <v>217</v>
      </c>
      <c r="BO10" s="1" t="s">
        <v>218</v>
      </c>
      <c r="BP10" s="1" t="s">
        <v>219</v>
      </c>
      <c r="BQ10" s="1"/>
      <c r="BR10" s="1"/>
      <c r="BS10" s="1" t="s">
        <v>117</v>
      </c>
      <c r="BT10" s="1" t="s">
        <v>118</v>
      </c>
      <c r="BU10" s="1" t="s">
        <v>119</v>
      </c>
      <c r="BV10" s="1" t="s">
        <v>115</v>
      </c>
      <c r="BW10" s="1" t="s">
        <v>220</v>
      </c>
      <c r="BX10" s="1" t="s">
        <v>74</v>
      </c>
      <c r="BY10" s="1" t="s">
        <v>111</v>
      </c>
      <c r="BZ10" s="10" t="s">
        <v>116</v>
      </c>
    </row>
    <row r="11" spans="1:78" x14ac:dyDescent="0.2">
      <c r="A11" t="str">
        <f>'Input Scenarios'!A8</f>
        <v>NSW</v>
      </c>
      <c r="B11">
        <f>'Input Scenarios'!B8</f>
        <v>0</v>
      </c>
      <c r="C11" t="str">
        <f>'Input Scenarios'!C8</f>
        <v>Non-irrigated pasture</v>
      </c>
      <c r="D11" t="str">
        <f>'Input Scenarios'!D8</f>
        <v>wet</v>
      </c>
      <c r="E11" t="b">
        <f>'Input Scenarios'!E8</f>
        <v>1</v>
      </c>
      <c r="F11" t="str">
        <f>'Input Scenarios'!F8</f>
        <v>layers</v>
      </c>
      <c r="G11">
        <f>'Input Scenarios'!G8</f>
        <v>5000</v>
      </c>
      <c r="H11">
        <f>'Input Scenarios'!H8</f>
        <v>50</v>
      </c>
      <c r="I11">
        <f>IF('Input Scenarios'!I8&lt;&gt;"", 'Input Scenarios'!I8,_xlfn.XLOOKUP($F11,Constants!$A$2:$A$5,Constants!B$2:B$5))</f>
        <v>8.5999999999999993E-2</v>
      </c>
      <c r="J11">
        <f>IF('Input Scenarios'!J8&lt;&gt;"", 'Input Scenarios'!J8,_xlfn.XLOOKUP($F11,Constants!$A$2:$A$5,Constants!C$2:C$5))</f>
        <v>0.8</v>
      </c>
      <c r="K11">
        <f>IF('Input Scenarios'!K8&lt;&gt;"", 'Input Scenarios'!K8,_xlfn.XLOOKUP($F11,Constants!$A$2:$A$5,Constants!D$2:D$5))</f>
        <v>0.19</v>
      </c>
      <c r="L11">
        <f>IF('Input Scenarios'!L8&lt;&gt;"", 'Input Scenarios'!L8,_xlfn.XLOOKUP($F11,Constants!$A$2:$A$5,Constants!E$2:E$5))</f>
        <v>0.35</v>
      </c>
      <c r="M11">
        <f>'Input Scenarios'!M8</f>
        <v>0.1</v>
      </c>
      <c r="N11">
        <f>'Input Scenarios'!N8</f>
        <v>0.2</v>
      </c>
      <c r="O11">
        <f>'Input Scenarios'!O8</f>
        <v>0.3</v>
      </c>
      <c r="P11">
        <f>'Input Scenarios'!P8</f>
        <v>0.4</v>
      </c>
      <c r="Q11">
        <f>'Input Scenarios'!Q8</f>
        <v>0.15</v>
      </c>
      <c r="R11">
        <f>'Input Scenarios'!R8</f>
        <v>0.2</v>
      </c>
      <c r="S11">
        <f>'Input Scenarios'!S8</f>
        <v>0.25</v>
      </c>
      <c r="T11">
        <f>'Input Scenarios'!T8</f>
        <v>0.17</v>
      </c>
      <c r="U11">
        <f>'Input Scenarios'!U8</f>
        <v>0.23</v>
      </c>
      <c r="V11">
        <f>'Input Scenarios'!V8</f>
        <v>0.15</v>
      </c>
      <c r="W11">
        <f>'Input Scenarios'!W8</f>
        <v>0.2</v>
      </c>
      <c r="X11">
        <f>'Input Scenarios'!X8</f>
        <v>0.25</v>
      </c>
      <c r="Y11">
        <f>'Input Scenarios'!Y8</f>
        <v>0.17</v>
      </c>
      <c r="Z11">
        <f>'Input Scenarios'!Z8</f>
        <v>0.23</v>
      </c>
      <c r="AA11">
        <f>'Input Scenarios'!AA8</f>
        <v>0.15</v>
      </c>
      <c r="AB11">
        <f>'Input Scenarios'!AB8</f>
        <v>0.2</v>
      </c>
      <c r="AC11">
        <f>'Input Scenarios'!AC8</f>
        <v>0.25</v>
      </c>
      <c r="AD11">
        <f>'Input Scenarios'!AD8</f>
        <v>0.17</v>
      </c>
      <c r="AE11">
        <f>'Input Scenarios'!AE8</f>
        <v>0.23</v>
      </c>
      <c r="AF11" s="14">
        <f>IF(F11="", "",_xlfn.XLOOKUP(F11,Constants!$A$2:$A$5,Constants!F$2:F$5))</f>
        <v>0.18</v>
      </c>
      <c r="AG11" s="14">
        <f>Constants!$C$9</f>
        <v>0.3</v>
      </c>
      <c r="AH11" s="14">
        <f>Constants!$C$10</f>
        <v>0.05</v>
      </c>
      <c r="AI11" s="14">
        <f>Constants!$C$11</f>
        <v>0.4</v>
      </c>
      <c r="AJ11" s="14" t="str">
        <f>Constants!$C$16</f>
        <v>N/A</v>
      </c>
      <c r="AK11" s="14">
        <f>Constants!$D$9</f>
        <v>1E-3</v>
      </c>
      <c r="AL11" s="14">
        <f>Constants!$D$10</f>
        <v>1E-3</v>
      </c>
      <c r="AM11" s="14">
        <f>Constants!$D$11</f>
        <v>1E-3</v>
      </c>
      <c r="AN11" s="14">
        <f>Constants!$D$16</f>
        <v>0.02</v>
      </c>
      <c r="AO11" s="14">
        <f>Constants!$C$12</f>
        <v>0.2</v>
      </c>
      <c r="AP11" s="14">
        <f>Constants!$C$13</f>
        <v>0.2</v>
      </c>
      <c r="AQ11" s="14">
        <f>Constants!$C$15</f>
        <v>0</v>
      </c>
      <c r="AR11" s="14">
        <f>Constants!$C$14</f>
        <v>0</v>
      </c>
      <c r="AS11" s="14" t="str">
        <f>Constants!$C$17</f>
        <v>N/A</v>
      </c>
      <c r="AT11" s="14">
        <f>Constants!$D$12</f>
        <v>5.0000000000000001E-3</v>
      </c>
      <c r="AU11" s="14">
        <f>Constants!$D$13</f>
        <v>0.01</v>
      </c>
      <c r="AV11" s="14">
        <f>Constants!$D$15</f>
        <v>0</v>
      </c>
      <c r="AW11" s="14">
        <f>Constants!$D$14</f>
        <v>0</v>
      </c>
      <c r="AX11" s="14" t="str">
        <f>Constants!$D$17</f>
        <v>N/A</v>
      </c>
      <c r="AY11" s="14">
        <f>I11*J11/6.25</f>
        <v>1.1008E-2</v>
      </c>
      <c r="AZ11" s="14">
        <f>AY11*(1-K11)</f>
        <v>8.9164800000000009E-3</v>
      </c>
      <c r="BA11" s="14">
        <f>G11*AZ11*H11</f>
        <v>2229.1200000000003</v>
      </c>
      <c r="BB11" s="14">
        <f>$BA11*M11</f>
        <v>222.91200000000003</v>
      </c>
      <c r="BC11" s="14">
        <f>$BA11*N11</f>
        <v>445.82400000000007</v>
      </c>
      <c r="BD11" s="14">
        <f>$BA11*O11</f>
        <v>668.7360000000001</v>
      </c>
      <c r="BE11" s="14">
        <f>$BA11*P11</f>
        <v>891.64800000000014</v>
      </c>
      <c r="BF11" s="15">
        <f>(BB11*(1-AG11-AK11))</f>
        <v>155.81548800000002</v>
      </c>
      <c r="BG11" s="15">
        <f>(BC11*(1-AH11-AL11))</f>
        <v>423.08697600000005</v>
      </c>
      <c r="BH11" s="15">
        <f>(BD11*(1-AI11-AM11))</f>
        <v>400.57286400000004</v>
      </c>
      <c r="BI11" s="15">
        <f>($BF11*Q11)+($BG11*V11)+($BH11*AA11)</f>
        <v>146.92129920000002</v>
      </c>
      <c r="BJ11" s="15">
        <f>($BF11*R11)+($BG11*W11)+($BH11*AB11)</f>
        <v>195.89506560000004</v>
      </c>
      <c r="BK11" s="15">
        <f>($BF11*S11)+($BG11*X11)+($BH11*AC11)</f>
        <v>244.868832</v>
      </c>
      <c r="BL11" s="15">
        <f>($BF11*T11)+($BG11*Y11)+($BH11*AD11)</f>
        <v>166.51080576000004</v>
      </c>
      <c r="BM11" s="15">
        <f>($BF11*U11)+($BG11*Z11)+($BH11*AE11)</f>
        <v>225.27932544000004</v>
      </c>
      <c r="BN11" s="15">
        <f>BB11*AG11</f>
        <v>66.87360000000001</v>
      </c>
      <c r="BO11" s="15">
        <f t="shared" ref="BO11:BP11" si="0">BC11*AH11</f>
        <v>22.291200000000003</v>
      </c>
      <c r="BP11" s="15">
        <f t="shared" si="0"/>
        <v>267.49440000000004</v>
      </c>
      <c r="BS11">
        <f>IF(L11="", "",IF( L11="pastureRangeAndPaddock",Y11*Constants!$K$2, Y11*S11))</f>
        <v>4.2500000000000003E-2</v>
      </c>
      <c r="BT11">
        <f>IF(OR(N11="", N11="directApplication"), "",AB11*U11)</f>
        <v>4.6000000000000006E-2</v>
      </c>
      <c r="BU11">
        <f>IF(F11="", "", SUM(BS11:BT15))</f>
        <v>0.42899999999999999</v>
      </c>
      <c r="BV11">
        <f>Constants!$K$2</f>
        <v>0.21</v>
      </c>
      <c r="BW11">
        <f>BE11*BV11</f>
        <v>187.24608000000003</v>
      </c>
      <c r="BX11">
        <f>IF(C11="", "", _xlfn.XLOOKUP(C11,Constants!$A$20:$A$24,Constants!$B$20:$B$24))</f>
        <v>1.8E-3</v>
      </c>
      <c r="BY11">
        <f>IF(BU11="","",Constants!$J$2)</f>
        <v>1.5714285714285714</v>
      </c>
      <c r="BZ11">
        <f>IF(BU11="", "", (BU11*BX11*BY11)/1000)</f>
        <v>1.2134571428571428E-6</v>
      </c>
    </row>
    <row r="12" spans="1:78" x14ac:dyDescent="0.2">
      <c r="A12" t="str">
        <f>'Input Scenarios'!A9</f>
        <v>NSW</v>
      </c>
      <c r="B12">
        <f>'Input Scenarios'!B9</f>
        <v>0</v>
      </c>
      <c r="C12" t="str">
        <f>'Input Scenarios'!C9</f>
        <v>Non-irrigated pasture</v>
      </c>
      <c r="D12" t="str">
        <f>'Input Scenarios'!D9</f>
        <v>wet</v>
      </c>
      <c r="E12" t="b">
        <f>'Input Scenarios'!E9</f>
        <v>1</v>
      </c>
      <c r="F12" t="str">
        <f>'Input Scenarios'!F9</f>
        <v>meatChickenBreeder</v>
      </c>
      <c r="G12">
        <f>'Input Scenarios'!G9</f>
        <v>5000</v>
      </c>
      <c r="H12">
        <f>'Input Scenarios'!H9</f>
        <v>50</v>
      </c>
      <c r="I12">
        <f>IF('Input Scenarios'!I9&lt;&gt;"", 'Input Scenarios'!I9,_xlfn.XLOOKUP($F12,Constants!$A$2:$A$5,Constants!B$2:B$5))</f>
        <v>0.10299999999999999</v>
      </c>
      <c r="J12">
        <f>IF('Input Scenarios'!J9&lt;&gt;"", 'Input Scenarios'!J9,_xlfn.XLOOKUP($F12,Constants!$A$2:$A$5,Constants!C$2:C$5))</f>
        <v>0.8</v>
      </c>
      <c r="K12">
        <f>IF('Input Scenarios'!K9&lt;&gt;"", 'Input Scenarios'!K9,_xlfn.XLOOKUP($F12,Constants!$A$2:$A$5,Constants!D$2:D$5))</f>
        <v>0.19</v>
      </c>
      <c r="L12">
        <f>IF('Input Scenarios'!L9&lt;&gt;"", 'Input Scenarios'!L9,_xlfn.XLOOKUP($F12,Constants!$A$2:$A$5,Constants!E$2:E$5))</f>
        <v>0.32</v>
      </c>
      <c r="M12">
        <f>'Input Scenarios'!M9</f>
        <v>0.1</v>
      </c>
      <c r="N12">
        <f>'Input Scenarios'!N9</f>
        <v>0.2</v>
      </c>
      <c r="O12">
        <f>'Input Scenarios'!O9</f>
        <v>0.3</v>
      </c>
      <c r="P12">
        <f>'Input Scenarios'!P9</f>
        <v>0.4</v>
      </c>
      <c r="Q12">
        <f>'Input Scenarios'!Q9</f>
        <v>0.15</v>
      </c>
      <c r="R12">
        <f>'Input Scenarios'!R9</f>
        <v>0.2</v>
      </c>
      <c r="S12">
        <f>'Input Scenarios'!S9</f>
        <v>0.25</v>
      </c>
      <c r="T12">
        <f>'Input Scenarios'!T9</f>
        <v>0.17</v>
      </c>
      <c r="U12">
        <f>'Input Scenarios'!U9</f>
        <v>0.23</v>
      </c>
      <c r="V12">
        <f>'Input Scenarios'!V9</f>
        <v>0.15</v>
      </c>
      <c r="W12">
        <f>'Input Scenarios'!W9</f>
        <v>0.2</v>
      </c>
      <c r="X12">
        <f>'Input Scenarios'!X9</f>
        <v>0.25</v>
      </c>
      <c r="Y12">
        <f>'Input Scenarios'!Y9</f>
        <v>0.17</v>
      </c>
      <c r="Z12">
        <f>'Input Scenarios'!Z9</f>
        <v>0.23</v>
      </c>
      <c r="AA12">
        <f>'Input Scenarios'!AA9</f>
        <v>0.15</v>
      </c>
      <c r="AB12">
        <f>'Input Scenarios'!AB9</f>
        <v>0.2</v>
      </c>
      <c r="AC12">
        <f>'Input Scenarios'!AC9</f>
        <v>0.25</v>
      </c>
      <c r="AD12">
        <f>'Input Scenarios'!AD9</f>
        <v>0.17</v>
      </c>
      <c r="AE12">
        <f>'Input Scenarios'!AE9</f>
        <v>0.23</v>
      </c>
      <c r="AF12" s="14">
        <f>IF(F12="", "",_xlfn.XLOOKUP(F12,Constants!$A$2:$A$5,Constants!F$2:F$5))</f>
        <v>0.18</v>
      </c>
      <c r="AG12" s="14">
        <f>Constants!$C$9</f>
        <v>0.3</v>
      </c>
      <c r="AH12" s="14">
        <f>Constants!$C$10</f>
        <v>0.05</v>
      </c>
      <c r="AI12" s="14">
        <f>Constants!$C$11</f>
        <v>0.4</v>
      </c>
      <c r="AJ12" s="14" t="str">
        <f>Constants!$C$16</f>
        <v>N/A</v>
      </c>
      <c r="AK12" s="14">
        <f>Constants!$D$9</f>
        <v>1E-3</v>
      </c>
      <c r="AL12" s="14">
        <f>Constants!$D$10</f>
        <v>1E-3</v>
      </c>
      <c r="AM12" s="14">
        <f>Constants!$D$11</f>
        <v>1E-3</v>
      </c>
      <c r="AN12" s="14">
        <f>Constants!$D$16</f>
        <v>0.02</v>
      </c>
      <c r="AO12" s="14">
        <f>Constants!$C$12</f>
        <v>0.2</v>
      </c>
      <c r="AP12" s="14">
        <f>Constants!$C$13</f>
        <v>0.2</v>
      </c>
      <c r="AQ12" s="14">
        <f>Constants!$C$15</f>
        <v>0</v>
      </c>
      <c r="AR12" s="14">
        <f>Constants!$C$14</f>
        <v>0</v>
      </c>
      <c r="AS12" s="14" t="str">
        <f>Constants!$C$17</f>
        <v>N/A</v>
      </c>
      <c r="AT12" s="14">
        <f>Constants!$D$12</f>
        <v>5.0000000000000001E-3</v>
      </c>
      <c r="AU12" s="14">
        <f>Constants!$D$13</f>
        <v>0.01</v>
      </c>
      <c r="AV12" s="14">
        <f>Constants!$D$15</f>
        <v>0</v>
      </c>
      <c r="AW12" s="14">
        <f>Constants!$D$14</f>
        <v>0</v>
      </c>
      <c r="AX12" s="14" t="str">
        <f>Constants!$D$17</f>
        <v>N/A</v>
      </c>
      <c r="AY12" s="14">
        <f>I12*J12/6.25</f>
        <v>1.3184E-2</v>
      </c>
      <c r="AZ12" s="14">
        <f>AY12*(1-K12)</f>
        <v>1.0679040000000001E-2</v>
      </c>
      <c r="BA12" s="14">
        <f>G12*AZ12*H12</f>
        <v>2669.76</v>
      </c>
      <c r="BB12" s="14">
        <f>$BA12*M12</f>
        <v>266.97600000000006</v>
      </c>
      <c r="BC12" s="14">
        <f>$BA12*N12</f>
        <v>533.95200000000011</v>
      </c>
      <c r="BD12" s="14">
        <f>$BA12*O12</f>
        <v>800.928</v>
      </c>
      <c r="BE12" s="14">
        <f>$BA12*P12</f>
        <v>1067.9040000000002</v>
      </c>
      <c r="BF12" s="15">
        <f>(BB12*(1-AG12-AK12))</f>
        <v>186.61622400000002</v>
      </c>
      <c r="BG12" s="15">
        <f>(BC12*(1-AH12-AL12))</f>
        <v>506.72044800000009</v>
      </c>
      <c r="BH12" s="15">
        <f>(BD12*(1-AI12-AM12))</f>
        <v>479.75587199999995</v>
      </c>
      <c r="BI12" s="15">
        <f>($BF12*Q12)+($BG12*V12)+($BH12*AA12)</f>
        <v>175.96388160000001</v>
      </c>
      <c r="BJ12" s="15">
        <f>($BF12*R12)+($BG12*W12)+($BH12*AB12)</f>
        <v>234.61850880000003</v>
      </c>
      <c r="BK12" s="15">
        <f>($BF12*S12)+($BG12*X12)+($BH12*AC12)</f>
        <v>293.27313600000002</v>
      </c>
      <c r="BL12" s="15">
        <f>($BF12*T12)+($BG12*Y12)+($BH12*AD12)</f>
        <v>199.42573248000002</v>
      </c>
      <c r="BM12" s="15">
        <f>($BF12*U12)+($BG12*Z12)+($BH12*AE12)</f>
        <v>269.81128511999998</v>
      </c>
      <c r="BN12" s="15">
        <f t="shared" ref="BN12:BN26" si="1">BB12*AG12</f>
        <v>80.092800000000011</v>
      </c>
      <c r="BO12" s="15">
        <f t="shared" ref="BO12:BO26" si="2">BC12*AH12</f>
        <v>26.697600000000008</v>
      </c>
      <c r="BP12" s="15">
        <f t="shared" ref="BP12:BP26" si="3">BD12*AI12</f>
        <v>320.37120000000004</v>
      </c>
      <c r="BS12">
        <f>IF(L12="", "",IF( L12="pastureRangeAndPaddock",Y12*Constants!$K$2, Y12*S12))</f>
        <v>4.2500000000000003E-2</v>
      </c>
      <c r="BT12">
        <f>IF(OR(N12="", N12="directApplication"), "",AB12*U12)</f>
        <v>4.6000000000000006E-2</v>
      </c>
      <c r="BU12">
        <f>IF(F12="", "", SUM(BS12:BT16))</f>
        <v>0.41550000000000004</v>
      </c>
      <c r="BV12">
        <f>Constants!$K$2</f>
        <v>0.21</v>
      </c>
      <c r="BW12">
        <f t="shared" ref="BW12:BW26" si="4">BE12*BV12</f>
        <v>224.25984000000003</v>
      </c>
      <c r="BX12">
        <f>IF(C12="", "", _xlfn.XLOOKUP(C12,Constants!$A$20:$A$24,Constants!$B$20:$B$24))</f>
        <v>1.8E-3</v>
      </c>
      <c r="BY12">
        <f>IF(BU12="","",Constants!$J$2)</f>
        <v>1.5714285714285714</v>
      </c>
      <c r="BZ12">
        <f t="shared" ref="BZ12:BZ30" si="5">IF(BU12="", "", (BU12*BX12*BY12)/1000)</f>
        <v>1.1752714285714287E-6</v>
      </c>
    </row>
    <row r="13" spans="1:78" x14ac:dyDescent="0.2">
      <c r="A13" t="str">
        <f>'Input Scenarios'!A10</f>
        <v>NSW</v>
      </c>
      <c r="B13">
        <f>'Input Scenarios'!B10</f>
        <v>0</v>
      </c>
      <c r="C13" t="str">
        <f>'Input Scenarios'!C10</f>
        <v>Non-irrigated pasture</v>
      </c>
      <c r="D13" t="str">
        <f>'Input Scenarios'!D10</f>
        <v>wet</v>
      </c>
      <c r="E13" t="b">
        <f>'Input Scenarios'!E10</f>
        <v>1</v>
      </c>
      <c r="F13" t="str">
        <f>'Input Scenarios'!F10</f>
        <v>meatChickenGrowers</v>
      </c>
      <c r="G13">
        <f>'Input Scenarios'!G10</f>
        <v>5000</v>
      </c>
      <c r="H13">
        <f>'Input Scenarios'!H10</f>
        <v>50</v>
      </c>
      <c r="I13">
        <f>IF('Input Scenarios'!I10&lt;&gt;"", 'Input Scenarios'!I10,_xlfn.XLOOKUP($F13,Constants!$A$2:$A$5,Constants!B$2:B$5))</f>
        <v>9.2999999999999999E-2</v>
      </c>
      <c r="J13">
        <f>IF('Input Scenarios'!J10&lt;&gt;"", 'Input Scenarios'!J10,_xlfn.XLOOKUP($F13,Constants!$A$2:$A$5,Constants!C$2:C$5))</f>
        <v>0.8</v>
      </c>
      <c r="K13">
        <f>IF('Input Scenarios'!K10&lt;&gt;"", 'Input Scenarios'!K10,_xlfn.XLOOKUP($F13,Constants!$A$2:$A$5,Constants!D$2:D$5))</f>
        <v>0.23</v>
      </c>
      <c r="L13">
        <f>IF('Input Scenarios'!L10&lt;&gt;"", 'Input Scenarios'!L10,_xlfn.XLOOKUP($F13,Constants!$A$2:$A$5,Constants!E$2:E$5))</f>
        <v>0.47</v>
      </c>
      <c r="M13">
        <f>'Input Scenarios'!M10</f>
        <v>0.1</v>
      </c>
      <c r="N13">
        <f>'Input Scenarios'!N10</f>
        <v>0.2</v>
      </c>
      <c r="O13">
        <f>'Input Scenarios'!O10</f>
        <v>0.3</v>
      </c>
      <c r="P13">
        <f>'Input Scenarios'!P10</f>
        <v>0.4</v>
      </c>
      <c r="Q13">
        <f>'Input Scenarios'!Q10</f>
        <v>0.15</v>
      </c>
      <c r="R13">
        <f>'Input Scenarios'!R10</f>
        <v>0.2</v>
      </c>
      <c r="S13">
        <f>'Input Scenarios'!S10</f>
        <v>0.25</v>
      </c>
      <c r="T13">
        <f>'Input Scenarios'!T10</f>
        <v>0.17</v>
      </c>
      <c r="U13">
        <f>'Input Scenarios'!U10</f>
        <v>0.23</v>
      </c>
      <c r="V13">
        <f>'Input Scenarios'!V10</f>
        <v>0.15</v>
      </c>
      <c r="W13">
        <f>'Input Scenarios'!W10</f>
        <v>0.2</v>
      </c>
      <c r="X13">
        <f>'Input Scenarios'!X10</f>
        <v>0.25</v>
      </c>
      <c r="Y13">
        <f>'Input Scenarios'!Y10</f>
        <v>0.17</v>
      </c>
      <c r="Z13">
        <f>'Input Scenarios'!Z10</f>
        <v>0.23</v>
      </c>
      <c r="AA13">
        <f>'Input Scenarios'!AA10</f>
        <v>0.15</v>
      </c>
      <c r="AB13">
        <f>'Input Scenarios'!AB10</f>
        <v>0.2</v>
      </c>
      <c r="AC13">
        <f>'Input Scenarios'!AC10</f>
        <v>0.25</v>
      </c>
      <c r="AD13">
        <f>'Input Scenarios'!AD10</f>
        <v>0.17</v>
      </c>
      <c r="AE13">
        <f>'Input Scenarios'!AE10</f>
        <v>0.23</v>
      </c>
      <c r="AF13" s="14">
        <f>IF(F13="", "",_xlfn.XLOOKUP(F13,Constants!$A$2:$A$5,Constants!F$2:F$5))</f>
        <v>0.15</v>
      </c>
      <c r="AG13" s="14">
        <f>Constants!$C$9</f>
        <v>0.3</v>
      </c>
      <c r="AH13" s="14">
        <f>Constants!$C$10</f>
        <v>0.05</v>
      </c>
      <c r="AI13" s="14">
        <f>Constants!$C$11</f>
        <v>0.4</v>
      </c>
      <c r="AJ13" s="14" t="str">
        <f>Constants!$C$16</f>
        <v>N/A</v>
      </c>
      <c r="AK13" s="14">
        <f>Constants!$D$9</f>
        <v>1E-3</v>
      </c>
      <c r="AL13" s="14">
        <f>Constants!$D$10</f>
        <v>1E-3</v>
      </c>
      <c r="AM13" s="14">
        <f>Constants!$D$11</f>
        <v>1E-3</v>
      </c>
      <c r="AN13" s="14">
        <f>Constants!$D$16</f>
        <v>0.02</v>
      </c>
      <c r="AO13" s="14">
        <f>Constants!$C$12</f>
        <v>0.2</v>
      </c>
      <c r="AP13" s="14">
        <f>Constants!$C$13</f>
        <v>0.2</v>
      </c>
      <c r="AQ13" s="14">
        <f>Constants!$C$15</f>
        <v>0</v>
      </c>
      <c r="AR13" s="14">
        <f>Constants!$C$14</f>
        <v>0</v>
      </c>
      <c r="AS13" s="14" t="str">
        <f>Constants!$C$17</f>
        <v>N/A</v>
      </c>
      <c r="AT13" s="14">
        <f>Constants!$D$12</f>
        <v>5.0000000000000001E-3</v>
      </c>
      <c r="AU13" s="14">
        <f>Constants!$D$13</f>
        <v>0.01</v>
      </c>
      <c r="AV13" s="14">
        <f>Constants!$D$15</f>
        <v>0</v>
      </c>
      <c r="AW13" s="14">
        <f>Constants!$D$14</f>
        <v>0</v>
      </c>
      <c r="AX13" s="14" t="str">
        <f>Constants!$D$17</f>
        <v>N/A</v>
      </c>
      <c r="AY13" s="14">
        <f>I13*J13/6.25</f>
        <v>1.1904000000000001E-2</v>
      </c>
      <c r="AZ13" s="14">
        <f>AY13*(1-K13)</f>
        <v>9.1660800000000018E-3</v>
      </c>
      <c r="BA13" s="14">
        <f>G13*AZ13*H13</f>
        <v>2291.5200000000004</v>
      </c>
      <c r="BB13" s="14">
        <f>$BA13*M13</f>
        <v>229.15200000000004</v>
      </c>
      <c r="BC13" s="14">
        <f>$BA13*N13</f>
        <v>458.30400000000009</v>
      </c>
      <c r="BD13" s="14">
        <f>$BA13*O13</f>
        <v>687.45600000000013</v>
      </c>
      <c r="BE13" s="14">
        <f>$BA13*P13</f>
        <v>916.60800000000017</v>
      </c>
      <c r="BF13" s="15">
        <f>(BB13*(1-AG13-AK13))</f>
        <v>160.17724800000002</v>
      </c>
      <c r="BG13" s="15">
        <f>(BC13*(1-AH13-AL13))</f>
        <v>434.93049600000006</v>
      </c>
      <c r="BH13" s="15">
        <f>(BD13*(1-AI13-AM13))</f>
        <v>411.78614400000004</v>
      </c>
      <c r="BI13" s="15">
        <f>($BF13*Q13)+($BG13*V13)+($BH13*AA13)</f>
        <v>151.0340832</v>
      </c>
      <c r="BJ13" s="15">
        <f>($BF13*R13)+($BG13*W13)+($BH13*AB13)</f>
        <v>201.37877760000003</v>
      </c>
      <c r="BK13" s="15">
        <f>($BF13*S13)+($BG13*X13)+($BH13*AC13)</f>
        <v>251.72347200000004</v>
      </c>
      <c r="BL13" s="15">
        <f>($BF13*T13)+($BG13*Y13)+($BH13*AD13)</f>
        <v>171.17196096000004</v>
      </c>
      <c r="BM13" s="15">
        <f>($BF13*U13)+($BG13*Z13)+($BH13*AE13)</f>
        <v>231.58559424000003</v>
      </c>
      <c r="BN13" s="15">
        <f t="shared" si="1"/>
        <v>68.74560000000001</v>
      </c>
      <c r="BO13" s="15">
        <f t="shared" si="2"/>
        <v>22.915200000000006</v>
      </c>
      <c r="BP13" s="15">
        <f t="shared" si="3"/>
        <v>274.98240000000004</v>
      </c>
      <c r="BS13">
        <f>IF(L13="", "",IF( L13="pastureRangeAndPaddock",Y13*Constants!$K$2, Y13*S13))</f>
        <v>4.2500000000000003E-2</v>
      </c>
      <c r="BT13">
        <f>IF(OR(N13="", N13="directApplication"), "",AB13*U13)</f>
        <v>4.6000000000000006E-2</v>
      </c>
      <c r="BU13">
        <f>IF(F13="", "", SUM(BS13:BT17))</f>
        <v>0.40200000000000008</v>
      </c>
      <c r="BV13">
        <f>Constants!$K$2</f>
        <v>0.21</v>
      </c>
      <c r="BW13">
        <f t="shared" si="4"/>
        <v>192.48768000000004</v>
      </c>
      <c r="BX13">
        <f>IF(C13="", "", _xlfn.XLOOKUP(C13,Constants!$A$20:$A$24,Constants!$B$20:$B$24))</f>
        <v>1.8E-3</v>
      </c>
      <c r="BY13">
        <f>IF(BU13="","",Constants!$J$2)</f>
        <v>1.5714285714285714</v>
      </c>
      <c r="BZ13">
        <f t="shared" si="5"/>
        <v>1.1370857142857145E-6</v>
      </c>
    </row>
    <row r="14" spans="1:78" x14ac:dyDescent="0.2">
      <c r="A14" s="11" t="str">
        <f>'Input Scenarios'!A11</f>
        <v>NSW</v>
      </c>
      <c r="B14" s="11">
        <f>'Input Scenarios'!B11</f>
        <v>0</v>
      </c>
      <c r="C14" s="11" t="str">
        <f>'Input Scenarios'!C11</f>
        <v>Non-irrigated pasture</v>
      </c>
      <c r="D14" s="11" t="str">
        <f>'Input Scenarios'!D11</f>
        <v>wet</v>
      </c>
      <c r="E14" s="11" t="b">
        <f>'Input Scenarios'!E11</f>
        <v>1</v>
      </c>
      <c r="F14" s="11" t="str">
        <f>'Input Scenarios'!F11</f>
        <v>meatOther</v>
      </c>
      <c r="G14" s="11">
        <f>'Input Scenarios'!G11</f>
        <v>5000</v>
      </c>
      <c r="H14" s="11">
        <f>'Input Scenarios'!H11</f>
        <v>50</v>
      </c>
      <c r="I14">
        <f>IF('Input Scenarios'!I11&lt;&gt;"", 'Input Scenarios'!I11,_xlfn.XLOOKUP($F14,Constants!$A$2:$A$5,Constants!B$2:B$5))</f>
        <v>9.2999999999999999E-2</v>
      </c>
      <c r="J14">
        <f>IF('Input Scenarios'!J11&lt;&gt;"", 'Input Scenarios'!J11,_xlfn.XLOOKUP($F14,Constants!$A$2:$A$5,Constants!C$2:C$5))</f>
        <v>0.8</v>
      </c>
      <c r="K14">
        <f>IF('Input Scenarios'!K11&lt;&gt;"", 'Input Scenarios'!K11,_xlfn.XLOOKUP($F14,Constants!$A$2:$A$5,Constants!D$2:D$5))</f>
        <v>0.23</v>
      </c>
      <c r="L14">
        <f>IF('Input Scenarios'!L11&lt;&gt;"", 'Input Scenarios'!L11,_xlfn.XLOOKUP($F14,Constants!$A$2:$A$5,Constants!E$2:E$5))</f>
        <v>0.47</v>
      </c>
      <c r="M14" s="11">
        <f>'Input Scenarios'!M11</f>
        <v>0.1</v>
      </c>
      <c r="N14" s="11">
        <f>'Input Scenarios'!N11</f>
        <v>0.2</v>
      </c>
      <c r="O14" s="11">
        <f>'Input Scenarios'!O11</f>
        <v>0.3</v>
      </c>
      <c r="P14" s="11">
        <f>'Input Scenarios'!P11</f>
        <v>0.4</v>
      </c>
      <c r="Q14" s="11">
        <f>'Input Scenarios'!Q11</f>
        <v>0.15</v>
      </c>
      <c r="R14" s="11">
        <f>'Input Scenarios'!R11</f>
        <v>0.2</v>
      </c>
      <c r="S14" s="11">
        <f>'Input Scenarios'!S11</f>
        <v>0.25</v>
      </c>
      <c r="T14" s="11">
        <f>'Input Scenarios'!T11</f>
        <v>0.17</v>
      </c>
      <c r="U14" s="11">
        <f>'Input Scenarios'!U11</f>
        <v>0.23</v>
      </c>
      <c r="V14" s="11">
        <f>'Input Scenarios'!V11</f>
        <v>0.15</v>
      </c>
      <c r="W14" s="11">
        <f>'Input Scenarios'!W11</f>
        <v>0.2</v>
      </c>
      <c r="X14" s="11">
        <f>'Input Scenarios'!X11</f>
        <v>0.25</v>
      </c>
      <c r="Y14" s="11">
        <f>'Input Scenarios'!Y11</f>
        <v>0.17</v>
      </c>
      <c r="Z14" s="11">
        <f>'Input Scenarios'!Z11</f>
        <v>0.23</v>
      </c>
      <c r="AA14" s="11">
        <f>'Input Scenarios'!AA11</f>
        <v>0.15</v>
      </c>
      <c r="AB14" s="11">
        <f>'Input Scenarios'!AB11</f>
        <v>0.2</v>
      </c>
      <c r="AC14" s="11">
        <f>'Input Scenarios'!AC11</f>
        <v>0.25</v>
      </c>
      <c r="AD14" s="11">
        <f>'Input Scenarios'!AD11</f>
        <v>0.17</v>
      </c>
      <c r="AE14" s="11">
        <f>'Input Scenarios'!AE11</f>
        <v>0.23</v>
      </c>
      <c r="AF14" s="14">
        <f>IF(F14="", "",_xlfn.XLOOKUP(F14,Constants!$A$2:$A$5,Constants!F$2:F$5))</f>
        <v>0.15</v>
      </c>
      <c r="AG14" s="14">
        <f>Constants!$C$9</f>
        <v>0.3</v>
      </c>
      <c r="AH14" s="14">
        <f>Constants!$C$10</f>
        <v>0.05</v>
      </c>
      <c r="AI14" s="14">
        <f>Constants!$C$11</f>
        <v>0.4</v>
      </c>
      <c r="AJ14" s="14" t="str">
        <f>Constants!$C$16</f>
        <v>N/A</v>
      </c>
      <c r="AK14" s="14">
        <f>Constants!$D$9</f>
        <v>1E-3</v>
      </c>
      <c r="AL14" s="14">
        <f>Constants!$D$10</f>
        <v>1E-3</v>
      </c>
      <c r="AM14" s="14">
        <f>Constants!$D$11</f>
        <v>1E-3</v>
      </c>
      <c r="AN14" s="14">
        <f>Constants!$D$16</f>
        <v>0.02</v>
      </c>
      <c r="AO14" s="14">
        <f>Constants!$C$12</f>
        <v>0.2</v>
      </c>
      <c r="AP14" s="14">
        <f>Constants!$C$13</f>
        <v>0.2</v>
      </c>
      <c r="AQ14" s="14">
        <f>Constants!$C$15</f>
        <v>0</v>
      </c>
      <c r="AR14" s="14">
        <f>Constants!$C$14</f>
        <v>0</v>
      </c>
      <c r="AS14" s="14" t="str">
        <f>Constants!$C$17</f>
        <v>N/A</v>
      </c>
      <c r="AT14" s="14">
        <f>Constants!$D$12</f>
        <v>5.0000000000000001E-3</v>
      </c>
      <c r="AU14" s="14">
        <f>Constants!$D$13</f>
        <v>0.01</v>
      </c>
      <c r="AV14" s="14">
        <f>Constants!$D$15</f>
        <v>0</v>
      </c>
      <c r="AW14" s="14">
        <f>Constants!$D$14</f>
        <v>0</v>
      </c>
      <c r="AX14" s="14" t="str">
        <f>Constants!$D$17</f>
        <v>N/A</v>
      </c>
      <c r="AY14" s="14">
        <f>I14*J14/6.25</f>
        <v>1.1904000000000001E-2</v>
      </c>
      <c r="AZ14" s="14">
        <f>AY14*(1-K14)</f>
        <v>9.1660800000000018E-3</v>
      </c>
      <c r="BA14" s="14">
        <f>G14*AZ14*H14</f>
        <v>2291.5200000000004</v>
      </c>
      <c r="BB14" s="14">
        <f>$BA14*M14</f>
        <v>229.15200000000004</v>
      </c>
      <c r="BC14" s="14">
        <f>$BA14*N14</f>
        <v>458.30400000000009</v>
      </c>
      <c r="BD14" s="14">
        <f>$BA14*O14</f>
        <v>687.45600000000013</v>
      </c>
      <c r="BE14" s="14">
        <f>$BA14*P14</f>
        <v>916.60800000000017</v>
      </c>
      <c r="BF14" s="15">
        <f>(BB14*(1-AG14-AK14))</f>
        <v>160.17724800000002</v>
      </c>
      <c r="BG14" s="15">
        <f>(BC14*(1-AH14-AL14))</f>
        <v>434.93049600000006</v>
      </c>
      <c r="BH14" s="15">
        <f>(BD14*(1-AI14-AM14))</f>
        <v>411.78614400000004</v>
      </c>
      <c r="BI14" s="15">
        <f>($BF14*Q14)+($BG14*V14)+($BH14*AA14)</f>
        <v>151.0340832</v>
      </c>
      <c r="BJ14" s="15">
        <f>($BF14*R14)+($BG14*W14)+($BH14*AB14)</f>
        <v>201.37877760000003</v>
      </c>
      <c r="BK14" s="15">
        <f>($BF14*S14)+($BG14*X14)+($BH14*AC14)</f>
        <v>251.72347200000004</v>
      </c>
      <c r="BL14" s="15">
        <f>($BF14*T14)+($BG14*Y14)+($BH14*AD14)</f>
        <v>171.17196096000004</v>
      </c>
      <c r="BM14" s="15">
        <f>($BF14*U14)+($BG14*Z14)+($BH14*AE14)</f>
        <v>231.58559424000003</v>
      </c>
      <c r="BN14" s="15">
        <f t="shared" si="1"/>
        <v>68.74560000000001</v>
      </c>
      <c r="BO14" s="15">
        <f t="shared" si="2"/>
        <v>22.915200000000006</v>
      </c>
      <c r="BP14" s="15">
        <f t="shared" si="3"/>
        <v>274.98240000000004</v>
      </c>
      <c r="BS14">
        <f>IF(L14="", "",IF( L14="pastureRangeAndPaddock",Y14*Constants!$K$2, Y14*S14))</f>
        <v>4.2500000000000003E-2</v>
      </c>
      <c r="BT14">
        <f>IF(OR(N14="", N14="directApplication"), "",AB14*U14)</f>
        <v>4.6000000000000006E-2</v>
      </c>
      <c r="BU14">
        <f>IF(F14="", "", SUM(BS14:BT18))</f>
        <v>0.38850000000000007</v>
      </c>
      <c r="BV14">
        <f>Constants!$K$2</f>
        <v>0.21</v>
      </c>
      <c r="BW14">
        <f t="shared" si="4"/>
        <v>192.48768000000004</v>
      </c>
      <c r="BX14">
        <f>IF(C14="", "", _xlfn.XLOOKUP(C14,Constants!$A$20:$A$24,Constants!$B$20:$B$24))</f>
        <v>1.8E-3</v>
      </c>
      <c r="BY14">
        <f>IF(BU14="","",Constants!$J$2)</f>
        <v>1.5714285714285714</v>
      </c>
      <c r="BZ14">
        <f t="shared" si="5"/>
        <v>1.0989000000000002E-6</v>
      </c>
    </row>
    <row r="15" spans="1:78" s="11" customFormat="1" x14ac:dyDescent="0.2">
      <c r="A15" s="14" t="str">
        <f>'Input Scenarios'!A12</f>
        <v>QLD</v>
      </c>
      <c r="B15" s="14">
        <f>'Input Scenarios'!B12</f>
        <v>0</v>
      </c>
      <c r="C15" s="14" t="str">
        <f>'Input Scenarios'!C12</f>
        <v>Irrigated crop</v>
      </c>
      <c r="D15" s="14" t="str">
        <f>'Input Scenarios'!D12</f>
        <v>dry</v>
      </c>
      <c r="E15" s="14" t="b">
        <f>'Input Scenarios'!E12</f>
        <v>1</v>
      </c>
      <c r="F15" s="14" t="str">
        <f>'Input Scenarios'!F12</f>
        <v>layers</v>
      </c>
      <c r="G15" s="14">
        <f>'Input Scenarios'!G12</f>
        <v>2250</v>
      </c>
      <c r="H15" s="14">
        <f>'Input Scenarios'!H12</f>
        <v>125</v>
      </c>
      <c r="I15">
        <f>IF('Input Scenarios'!I12&lt;&gt;"", 'Input Scenarios'!I12,_xlfn.XLOOKUP($F15,Constants!$A$2:$A$5,Constants!B$2:B$5))</f>
        <v>8.5999999999999993E-2</v>
      </c>
      <c r="J15">
        <f>IF('Input Scenarios'!J12&lt;&gt;"", 'Input Scenarios'!J12,_xlfn.XLOOKUP($F15,Constants!$A$2:$A$5,Constants!C$2:C$5))</f>
        <v>0.8</v>
      </c>
      <c r="K15">
        <f>IF('Input Scenarios'!K12&lt;&gt;"", 'Input Scenarios'!K12,_xlfn.XLOOKUP($F15,Constants!$A$2:$A$5,Constants!D$2:D$5))</f>
        <v>0.19</v>
      </c>
      <c r="L15">
        <f>IF('Input Scenarios'!L12&lt;&gt;"", 'Input Scenarios'!L12,_xlfn.XLOOKUP($F15,Constants!$A$2:$A$5,Constants!E$2:E$5))</f>
        <v>0.35</v>
      </c>
      <c r="M15" s="14">
        <f>'Input Scenarios'!M12</f>
        <v>0.4</v>
      </c>
      <c r="N15" s="14">
        <f>'Input Scenarios'!N12</f>
        <v>0.3</v>
      </c>
      <c r="O15" s="14">
        <f>'Input Scenarios'!O12</f>
        <v>0.2</v>
      </c>
      <c r="P15" s="14">
        <f>'Input Scenarios'!P12</f>
        <v>0.1</v>
      </c>
      <c r="Q15" s="14">
        <f>'Input Scenarios'!Q12</f>
        <v>0.2</v>
      </c>
      <c r="R15" s="14">
        <f>'Input Scenarios'!R12</f>
        <v>0.25</v>
      </c>
      <c r="S15" s="14">
        <f>'Input Scenarios'!S12</f>
        <v>0.2</v>
      </c>
      <c r="T15" s="14">
        <f>'Input Scenarios'!T12</f>
        <v>0.25</v>
      </c>
      <c r="U15" s="14">
        <f>'Input Scenarios'!U12</f>
        <v>0.1</v>
      </c>
      <c r="V15" s="14">
        <f>'Input Scenarios'!V12</f>
        <v>0.2</v>
      </c>
      <c r="W15" s="14">
        <f>'Input Scenarios'!W12</f>
        <v>0.25</v>
      </c>
      <c r="X15" s="14">
        <f>'Input Scenarios'!X12</f>
        <v>0.2</v>
      </c>
      <c r="Y15" s="14">
        <f>'Input Scenarios'!Y12</f>
        <v>0.25</v>
      </c>
      <c r="Z15" s="14">
        <f>'Input Scenarios'!Z12</f>
        <v>0.1</v>
      </c>
      <c r="AA15" s="14">
        <f>'Input Scenarios'!AA12</f>
        <v>0.2</v>
      </c>
      <c r="AB15" s="14">
        <f>'Input Scenarios'!AB12</f>
        <v>0.25</v>
      </c>
      <c r="AC15" s="14">
        <f>'Input Scenarios'!AC12</f>
        <v>0.2</v>
      </c>
      <c r="AD15" s="14">
        <f>'Input Scenarios'!AD12</f>
        <v>0.25</v>
      </c>
      <c r="AE15" s="14">
        <f>'Input Scenarios'!AE12</f>
        <v>0.1</v>
      </c>
      <c r="AF15" s="14">
        <f>IF(F15="", "",_xlfn.XLOOKUP(F15,Constants!$A$2:$A$5,Constants!F$2:F$5))</f>
        <v>0.18</v>
      </c>
      <c r="AG15" s="14">
        <f>Constants!$C$9</f>
        <v>0.3</v>
      </c>
      <c r="AH15" s="14">
        <f>Constants!$C$10</f>
        <v>0.05</v>
      </c>
      <c r="AI15" s="14">
        <f>Constants!$C$11</f>
        <v>0.4</v>
      </c>
      <c r="AJ15" s="14" t="str">
        <f>Constants!$C$16</f>
        <v>N/A</v>
      </c>
      <c r="AK15" s="14">
        <f>Constants!$D$9</f>
        <v>1E-3</v>
      </c>
      <c r="AL15" s="14">
        <f>Constants!$D$10</f>
        <v>1E-3</v>
      </c>
      <c r="AM15" s="14">
        <f>Constants!$D$11</f>
        <v>1E-3</v>
      </c>
      <c r="AN15" s="14">
        <f>Constants!$D$16</f>
        <v>0.02</v>
      </c>
      <c r="AO15" s="14">
        <f>Constants!$C$12</f>
        <v>0.2</v>
      </c>
      <c r="AP15" s="14">
        <f>Constants!$C$13</f>
        <v>0.2</v>
      </c>
      <c r="AQ15" s="14">
        <f>Constants!$C$15</f>
        <v>0</v>
      </c>
      <c r="AR15" s="14">
        <f>Constants!$C$14</f>
        <v>0</v>
      </c>
      <c r="AS15" s="14" t="str">
        <f>Constants!$C$17</f>
        <v>N/A</v>
      </c>
      <c r="AT15" s="14">
        <f>Constants!$D$12</f>
        <v>5.0000000000000001E-3</v>
      </c>
      <c r="AU15" s="14">
        <f>Constants!$D$13</f>
        <v>0.01</v>
      </c>
      <c r="AV15" s="14">
        <f>Constants!$D$15</f>
        <v>0</v>
      </c>
      <c r="AW15" s="14">
        <f>Constants!$D$14</f>
        <v>0</v>
      </c>
      <c r="AX15" s="14" t="str">
        <f>Constants!$D$17</f>
        <v>N/A</v>
      </c>
      <c r="AY15" s="14">
        <f>I15*J15/6.25</f>
        <v>1.1008E-2</v>
      </c>
      <c r="AZ15" s="14">
        <f>AY15*(1-K15)</f>
        <v>8.9164800000000009E-3</v>
      </c>
      <c r="BA15" s="14">
        <f>G15*AZ15*H15</f>
        <v>2507.7600000000002</v>
      </c>
      <c r="BB15" s="14">
        <f>$BA15*M15</f>
        <v>1003.1040000000002</v>
      </c>
      <c r="BC15" s="14">
        <f>$BA15*N15</f>
        <v>752.32800000000009</v>
      </c>
      <c r="BD15" s="14">
        <f>$BA15*O15</f>
        <v>501.55200000000008</v>
      </c>
      <c r="BE15" s="14">
        <f>$BA15*P15</f>
        <v>250.77600000000004</v>
      </c>
      <c r="BF15" s="15">
        <f>(BB15*(1-AG15-AK15))</f>
        <v>701.16969600000004</v>
      </c>
      <c r="BG15" s="15">
        <f>(BC15*(1-AH15-AL15))</f>
        <v>713.95927200000006</v>
      </c>
      <c r="BH15" s="15">
        <f>(BD15*(1-AI15-AM15))</f>
        <v>300.42964800000004</v>
      </c>
      <c r="BI15" s="15">
        <f>($BF15*Q15)+($BG15*V15)+($BH15*AA15)</f>
        <v>343.11172320000003</v>
      </c>
      <c r="BJ15" s="15">
        <f>($BF15*R15)+($BG15*W15)+($BH15*AB15)</f>
        <v>428.88965400000001</v>
      </c>
      <c r="BK15" s="15">
        <f>($BF15*S15)+($BG15*X15)+($BH15*AC15)</f>
        <v>343.11172320000003</v>
      </c>
      <c r="BL15" s="15">
        <f>($BF15*T15)+($BG15*Y15)+($BH15*AD15)</f>
        <v>428.88965400000001</v>
      </c>
      <c r="BM15" s="15">
        <f>($BF15*U15)+($BG15*Z15)+($BH15*AE15)</f>
        <v>171.55586160000001</v>
      </c>
      <c r="BN15" s="15">
        <f t="shared" si="1"/>
        <v>300.93120000000005</v>
      </c>
      <c r="BO15" s="15">
        <f t="shared" si="2"/>
        <v>37.616400000000006</v>
      </c>
      <c r="BP15" s="15">
        <f t="shared" si="3"/>
        <v>200.62080000000003</v>
      </c>
      <c r="BQ15"/>
      <c r="BR15"/>
      <c r="BS15">
        <f>IF(L15="", "",IF( L15="pastureRangeAndPaddock",Y15*Constants!$K$2, Y15*S15))</f>
        <v>0.05</v>
      </c>
      <c r="BT15">
        <f>IF(OR(N15="", N15="directApplication"), "",AB15*U15)</f>
        <v>2.5000000000000001E-2</v>
      </c>
      <c r="BU15">
        <f>IF(F15="", "", SUM(BS15:BT19))</f>
        <v>0.33600000000000002</v>
      </c>
      <c r="BV15">
        <f>Constants!$K$2</f>
        <v>0.21</v>
      </c>
      <c r="BW15">
        <f t="shared" si="4"/>
        <v>52.662960000000005</v>
      </c>
      <c r="BX15">
        <f>IF(C15="", "", _xlfn.XLOOKUP(C15,Constants!$A$20:$A$24,Constants!$B$20:$B$24))</f>
        <v>7.0000000000000001E-3</v>
      </c>
      <c r="BY15">
        <f>IF(BU15="","",Constants!$J$2)</f>
        <v>1.5714285714285714</v>
      </c>
      <c r="BZ15">
        <f t="shared" si="5"/>
        <v>3.6960000000000007E-6</v>
      </c>
    </row>
    <row r="16" spans="1:78" x14ac:dyDescent="0.2">
      <c r="A16" s="14" t="str">
        <f>'Input Scenarios'!A13</f>
        <v>QLD</v>
      </c>
      <c r="B16" s="14">
        <f>'Input Scenarios'!B13</f>
        <v>0</v>
      </c>
      <c r="C16" s="14" t="str">
        <f>'Input Scenarios'!C13</f>
        <v>Irrigated crop</v>
      </c>
      <c r="D16" s="14" t="str">
        <f>'Input Scenarios'!D13</f>
        <v>dry</v>
      </c>
      <c r="E16" s="14" t="b">
        <f>'Input Scenarios'!E13</f>
        <v>1</v>
      </c>
      <c r="F16" s="14" t="str">
        <f>'Input Scenarios'!F13</f>
        <v>meatChickenBreeder</v>
      </c>
      <c r="G16" s="14">
        <f>'Input Scenarios'!G13</f>
        <v>2250</v>
      </c>
      <c r="H16" s="14">
        <f>'Input Scenarios'!H13</f>
        <v>125</v>
      </c>
      <c r="I16">
        <f>IF('Input Scenarios'!I13&lt;&gt;"", 'Input Scenarios'!I13,_xlfn.XLOOKUP($F16,Constants!$A$2:$A$5,Constants!B$2:B$5))</f>
        <v>0.10299999999999999</v>
      </c>
      <c r="J16">
        <f>IF('Input Scenarios'!J13&lt;&gt;"", 'Input Scenarios'!J13,_xlfn.XLOOKUP($F16,Constants!$A$2:$A$5,Constants!C$2:C$5))</f>
        <v>0.8</v>
      </c>
      <c r="K16">
        <f>IF('Input Scenarios'!K13&lt;&gt;"", 'Input Scenarios'!K13,_xlfn.XLOOKUP($F16,Constants!$A$2:$A$5,Constants!D$2:D$5))</f>
        <v>0.19</v>
      </c>
      <c r="L16">
        <f>IF('Input Scenarios'!L13&lt;&gt;"", 'Input Scenarios'!L13,_xlfn.XLOOKUP($F16,Constants!$A$2:$A$5,Constants!E$2:E$5))</f>
        <v>0.32</v>
      </c>
      <c r="M16" s="14">
        <f>'Input Scenarios'!M13</f>
        <v>0.4</v>
      </c>
      <c r="N16" s="14">
        <f>'Input Scenarios'!N13</f>
        <v>0.3</v>
      </c>
      <c r="O16" s="14">
        <f>'Input Scenarios'!O13</f>
        <v>0.2</v>
      </c>
      <c r="P16" s="14">
        <f>'Input Scenarios'!P13</f>
        <v>0.1</v>
      </c>
      <c r="Q16" s="14">
        <f>'Input Scenarios'!Q13</f>
        <v>0.2</v>
      </c>
      <c r="R16" s="14">
        <f>'Input Scenarios'!R13</f>
        <v>0.25</v>
      </c>
      <c r="S16" s="14">
        <f>'Input Scenarios'!S13</f>
        <v>0.2</v>
      </c>
      <c r="T16" s="14">
        <f>'Input Scenarios'!T13</f>
        <v>0.25</v>
      </c>
      <c r="U16" s="14">
        <f>'Input Scenarios'!U13</f>
        <v>0.1</v>
      </c>
      <c r="V16" s="14">
        <f>'Input Scenarios'!V13</f>
        <v>0.2</v>
      </c>
      <c r="W16" s="14">
        <f>'Input Scenarios'!W13</f>
        <v>0.25</v>
      </c>
      <c r="X16" s="14">
        <f>'Input Scenarios'!X13</f>
        <v>0.2</v>
      </c>
      <c r="Y16" s="14">
        <f>'Input Scenarios'!Y13</f>
        <v>0.25</v>
      </c>
      <c r="Z16" s="14">
        <f>'Input Scenarios'!Z13</f>
        <v>0.1</v>
      </c>
      <c r="AA16" s="14">
        <f>'Input Scenarios'!AA13</f>
        <v>0.2</v>
      </c>
      <c r="AB16" s="14">
        <f>'Input Scenarios'!AB13</f>
        <v>0.25</v>
      </c>
      <c r="AC16" s="14">
        <f>'Input Scenarios'!AC13</f>
        <v>0.2</v>
      </c>
      <c r="AD16" s="14">
        <f>'Input Scenarios'!AD13</f>
        <v>0.25</v>
      </c>
      <c r="AE16" s="14">
        <f>'Input Scenarios'!AE13</f>
        <v>0.1</v>
      </c>
      <c r="AF16" s="14">
        <f>IF(F16="", "",_xlfn.XLOOKUP(F16,Constants!$A$2:$A$5,Constants!F$2:F$5))</f>
        <v>0.18</v>
      </c>
      <c r="AG16" s="14">
        <f>Constants!$C$9</f>
        <v>0.3</v>
      </c>
      <c r="AH16" s="14">
        <f>Constants!$C$10</f>
        <v>0.05</v>
      </c>
      <c r="AI16" s="14">
        <f>Constants!$C$11</f>
        <v>0.4</v>
      </c>
      <c r="AJ16" s="14" t="str">
        <f>Constants!$C$16</f>
        <v>N/A</v>
      </c>
      <c r="AK16" s="14">
        <f>Constants!$D$9</f>
        <v>1E-3</v>
      </c>
      <c r="AL16" s="14">
        <f>Constants!$D$10</f>
        <v>1E-3</v>
      </c>
      <c r="AM16" s="14">
        <f>Constants!$D$11</f>
        <v>1E-3</v>
      </c>
      <c r="AN16" s="14">
        <f>Constants!$D$16</f>
        <v>0.02</v>
      </c>
      <c r="AO16" s="14">
        <f>Constants!$C$12</f>
        <v>0.2</v>
      </c>
      <c r="AP16" s="14">
        <f>Constants!$C$13</f>
        <v>0.2</v>
      </c>
      <c r="AQ16" s="14">
        <f>Constants!$C$15</f>
        <v>0</v>
      </c>
      <c r="AR16" s="14">
        <f>Constants!$C$14</f>
        <v>0</v>
      </c>
      <c r="AS16" s="14" t="str">
        <f>Constants!$C$17</f>
        <v>N/A</v>
      </c>
      <c r="AT16" s="14">
        <f>Constants!$D$12</f>
        <v>5.0000000000000001E-3</v>
      </c>
      <c r="AU16" s="14">
        <f>Constants!$D$13</f>
        <v>0.01</v>
      </c>
      <c r="AV16" s="14">
        <f>Constants!$D$15</f>
        <v>0</v>
      </c>
      <c r="AW16" s="14">
        <f>Constants!$D$14</f>
        <v>0</v>
      </c>
      <c r="AX16" s="14" t="str">
        <f>Constants!$D$17</f>
        <v>N/A</v>
      </c>
      <c r="AY16" s="14">
        <f>I16*J16/6.25</f>
        <v>1.3184E-2</v>
      </c>
      <c r="AZ16" s="14">
        <f>AY16*(1-K16)</f>
        <v>1.0679040000000001E-2</v>
      </c>
      <c r="BA16" s="14">
        <f>G16*AZ16*H16</f>
        <v>3003.48</v>
      </c>
      <c r="BB16" s="14">
        <f>$BA16*M16</f>
        <v>1201.3920000000001</v>
      </c>
      <c r="BC16" s="14">
        <f>$BA16*N16</f>
        <v>901.04399999999998</v>
      </c>
      <c r="BD16" s="14">
        <f>$BA16*O16</f>
        <v>600.69600000000003</v>
      </c>
      <c r="BE16" s="14">
        <f>$BA16*P16</f>
        <v>300.34800000000001</v>
      </c>
      <c r="BF16" s="15">
        <f>(BB16*(1-AG16-AK16))</f>
        <v>839.773008</v>
      </c>
      <c r="BG16" s="15">
        <f>(BC16*(1-AH16-AL16))</f>
        <v>855.09075599999994</v>
      </c>
      <c r="BH16" s="15">
        <f>(BD16*(1-AI16-AM16))</f>
        <v>359.81690400000002</v>
      </c>
      <c r="BI16" s="15">
        <f>($BF16*Q16)+($BG16*V16)+($BH16*AA16)</f>
        <v>410.93613360000006</v>
      </c>
      <c r="BJ16" s="15">
        <f>($BF16*R16)+($BG16*W16)+($BH16*AB16)</f>
        <v>513.67016699999999</v>
      </c>
      <c r="BK16" s="15">
        <f>($BF16*S16)+($BG16*X16)+($BH16*AC16)</f>
        <v>410.93613360000006</v>
      </c>
      <c r="BL16" s="15">
        <f>($BF16*T16)+($BG16*Y16)+($BH16*AD16)</f>
        <v>513.67016699999999</v>
      </c>
      <c r="BM16" s="15">
        <f>($BF16*U16)+($BG16*Z16)+($BH16*AE16)</f>
        <v>205.46806680000003</v>
      </c>
      <c r="BN16" s="15">
        <f t="shared" si="1"/>
        <v>360.41759999999999</v>
      </c>
      <c r="BO16" s="15">
        <f t="shared" si="2"/>
        <v>45.052199999999999</v>
      </c>
      <c r="BP16" s="15">
        <f t="shared" si="3"/>
        <v>240.27840000000003</v>
      </c>
      <c r="BS16">
        <f>IF(L16="", "",IF( L16="pastureRangeAndPaddock",Y16*Constants!$K$2, Y16*S16))</f>
        <v>0.05</v>
      </c>
      <c r="BT16">
        <f>IF(OR(N16="", N16="directApplication"), "",AB16*U16)</f>
        <v>2.5000000000000001E-2</v>
      </c>
      <c r="BU16">
        <f>IF(F16="", "", SUM(BS16:BT20))</f>
        <v>0.29699999999999999</v>
      </c>
      <c r="BV16">
        <f>Constants!$K$2</f>
        <v>0.21</v>
      </c>
      <c r="BW16">
        <f t="shared" si="4"/>
        <v>63.073079999999997</v>
      </c>
      <c r="BX16">
        <f>IF(C16="", "", _xlfn.XLOOKUP(C16,Constants!$A$20:$A$24,Constants!$B$20:$B$24))</f>
        <v>7.0000000000000001E-3</v>
      </c>
      <c r="BY16">
        <f>IF(BU16="","",Constants!$J$2)</f>
        <v>1.5714285714285714</v>
      </c>
      <c r="BZ16">
        <f t="shared" si="5"/>
        <v>3.2669999999999998E-6</v>
      </c>
    </row>
    <row r="17" spans="1:78" x14ac:dyDescent="0.2">
      <c r="A17" s="14" t="str">
        <f>'Input Scenarios'!A14</f>
        <v>QLD</v>
      </c>
      <c r="B17" s="14">
        <f>'Input Scenarios'!B14</f>
        <v>0</v>
      </c>
      <c r="C17" s="14" t="str">
        <f>'Input Scenarios'!C14</f>
        <v>Irrigated crop</v>
      </c>
      <c r="D17" s="14" t="str">
        <f>'Input Scenarios'!D14</f>
        <v>dry</v>
      </c>
      <c r="E17" s="14" t="b">
        <f>'Input Scenarios'!E14</f>
        <v>1</v>
      </c>
      <c r="F17" s="14" t="str">
        <f>'Input Scenarios'!F14</f>
        <v>meatChickenGrowers</v>
      </c>
      <c r="G17" s="14">
        <f>'Input Scenarios'!G14</f>
        <v>2250</v>
      </c>
      <c r="H17" s="14">
        <f>'Input Scenarios'!H14</f>
        <v>125</v>
      </c>
      <c r="I17">
        <f>IF('Input Scenarios'!I14&lt;&gt;"", 'Input Scenarios'!I14,_xlfn.XLOOKUP($F17,Constants!$A$2:$A$5,Constants!B$2:B$5))</f>
        <v>9.2999999999999999E-2</v>
      </c>
      <c r="J17">
        <f>IF('Input Scenarios'!J14&lt;&gt;"", 'Input Scenarios'!J14,_xlfn.XLOOKUP($F17,Constants!$A$2:$A$5,Constants!C$2:C$5))</f>
        <v>0.8</v>
      </c>
      <c r="K17">
        <f>IF('Input Scenarios'!K14&lt;&gt;"", 'Input Scenarios'!K14,_xlfn.XLOOKUP($F17,Constants!$A$2:$A$5,Constants!D$2:D$5))</f>
        <v>0.23</v>
      </c>
      <c r="L17">
        <f>IF('Input Scenarios'!L14&lt;&gt;"", 'Input Scenarios'!L14,_xlfn.XLOOKUP($F17,Constants!$A$2:$A$5,Constants!E$2:E$5))</f>
        <v>0.47</v>
      </c>
      <c r="M17" s="14">
        <f>'Input Scenarios'!M14</f>
        <v>0.4</v>
      </c>
      <c r="N17" s="14">
        <f>'Input Scenarios'!N14</f>
        <v>0.3</v>
      </c>
      <c r="O17" s="14">
        <f>'Input Scenarios'!O14</f>
        <v>0.2</v>
      </c>
      <c r="P17" s="14">
        <f>'Input Scenarios'!P14</f>
        <v>0.1</v>
      </c>
      <c r="Q17" s="14">
        <f>'Input Scenarios'!Q14</f>
        <v>0.2</v>
      </c>
      <c r="R17" s="14">
        <f>'Input Scenarios'!R14</f>
        <v>0.25</v>
      </c>
      <c r="S17" s="14">
        <f>'Input Scenarios'!S14</f>
        <v>0.2</v>
      </c>
      <c r="T17" s="14">
        <f>'Input Scenarios'!T14</f>
        <v>0.25</v>
      </c>
      <c r="U17" s="14">
        <f>'Input Scenarios'!U14</f>
        <v>0.1</v>
      </c>
      <c r="V17" s="14">
        <f>'Input Scenarios'!V14</f>
        <v>0.2</v>
      </c>
      <c r="W17" s="14">
        <f>'Input Scenarios'!W14</f>
        <v>0.25</v>
      </c>
      <c r="X17" s="14">
        <f>'Input Scenarios'!X14</f>
        <v>0.2</v>
      </c>
      <c r="Y17" s="14">
        <f>'Input Scenarios'!Y14</f>
        <v>0.25</v>
      </c>
      <c r="Z17" s="14">
        <f>'Input Scenarios'!Z14</f>
        <v>0.1</v>
      </c>
      <c r="AA17" s="14">
        <f>'Input Scenarios'!AA14</f>
        <v>0.2</v>
      </c>
      <c r="AB17" s="14">
        <f>'Input Scenarios'!AB14</f>
        <v>0.25</v>
      </c>
      <c r="AC17" s="14">
        <f>'Input Scenarios'!AC14</f>
        <v>0.2</v>
      </c>
      <c r="AD17" s="14">
        <f>'Input Scenarios'!AD14</f>
        <v>0.25</v>
      </c>
      <c r="AE17" s="14">
        <f>'Input Scenarios'!AE14</f>
        <v>0.1</v>
      </c>
      <c r="AF17" s="14">
        <f>IF(F17="", "",_xlfn.XLOOKUP(F17,Constants!$A$2:$A$5,Constants!F$2:F$5))</f>
        <v>0.15</v>
      </c>
      <c r="AG17" s="14">
        <f>Constants!$C$9</f>
        <v>0.3</v>
      </c>
      <c r="AH17" s="14">
        <f>Constants!$C$10</f>
        <v>0.05</v>
      </c>
      <c r="AI17" s="14">
        <f>Constants!$C$11</f>
        <v>0.4</v>
      </c>
      <c r="AJ17" s="14" t="str">
        <f>Constants!$C$16</f>
        <v>N/A</v>
      </c>
      <c r="AK17" s="14">
        <f>Constants!$D$9</f>
        <v>1E-3</v>
      </c>
      <c r="AL17" s="14">
        <f>Constants!$D$10</f>
        <v>1E-3</v>
      </c>
      <c r="AM17" s="14">
        <f>Constants!$D$11</f>
        <v>1E-3</v>
      </c>
      <c r="AN17" s="14">
        <f>Constants!$D$16</f>
        <v>0.02</v>
      </c>
      <c r="AO17" s="14">
        <f>Constants!$C$12</f>
        <v>0.2</v>
      </c>
      <c r="AP17" s="14">
        <f>Constants!$C$13</f>
        <v>0.2</v>
      </c>
      <c r="AQ17" s="14">
        <f>Constants!$C$15</f>
        <v>0</v>
      </c>
      <c r="AR17" s="14">
        <f>Constants!$C$14</f>
        <v>0</v>
      </c>
      <c r="AS17" s="14" t="str">
        <f>Constants!$C$17</f>
        <v>N/A</v>
      </c>
      <c r="AT17" s="14">
        <f>Constants!$D$12</f>
        <v>5.0000000000000001E-3</v>
      </c>
      <c r="AU17" s="14">
        <f>Constants!$D$13</f>
        <v>0.01</v>
      </c>
      <c r="AV17" s="14">
        <f>Constants!$D$15</f>
        <v>0</v>
      </c>
      <c r="AW17" s="14">
        <f>Constants!$D$14</f>
        <v>0</v>
      </c>
      <c r="AX17" s="14" t="str">
        <f>Constants!$D$17</f>
        <v>N/A</v>
      </c>
      <c r="AY17" s="14">
        <f>I17*J17/6.25</f>
        <v>1.1904000000000001E-2</v>
      </c>
      <c r="AZ17" s="14">
        <f>AY17*(1-K17)</f>
        <v>9.1660800000000018E-3</v>
      </c>
      <c r="BA17" s="14">
        <f>G17*AZ17*H17</f>
        <v>2577.9600000000005</v>
      </c>
      <c r="BB17" s="14">
        <f>$BA17*M17</f>
        <v>1031.1840000000002</v>
      </c>
      <c r="BC17" s="14">
        <f>$BA17*N17</f>
        <v>773.38800000000015</v>
      </c>
      <c r="BD17" s="14">
        <f>$BA17*O17</f>
        <v>515.5920000000001</v>
      </c>
      <c r="BE17" s="14">
        <f>$BA17*P17</f>
        <v>257.79600000000005</v>
      </c>
      <c r="BF17" s="15">
        <f>(BB17*(1-AG17-AK17))</f>
        <v>720.79761600000006</v>
      </c>
      <c r="BG17" s="15">
        <f>(BC17*(1-AH17-AL17))</f>
        <v>733.94521200000008</v>
      </c>
      <c r="BH17" s="15">
        <f>(BD17*(1-AI17-AM17))</f>
        <v>308.83960800000006</v>
      </c>
      <c r="BI17" s="15">
        <f>($BF17*Q17)+($BG17*V17)+($BH17*AA17)</f>
        <v>352.71648720000007</v>
      </c>
      <c r="BJ17" s="15">
        <f>($BF17*R17)+($BG17*W17)+($BH17*AB17)</f>
        <v>440.89560900000004</v>
      </c>
      <c r="BK17" s="15">
        <f>($BF17*S17)+($BG17*X17)+($BH17*AC17)</f>
        <v>352.71648720000007</v>
      </c>
      <c r="BL17" s="15">
        <f>($BF17*T17)+($BG17*Y17)+($BH17*AD17)</f>
        <v>440.89560900000004</v>
      </c>
      <c r="BM17" s="15">
        <f>($BF17*U17)+($BG17*Z17)+($BH17*AE17)</f>
        <v>176.35824360000004</v>
      </c>
      <c r="BN17" s="15">
        <f t="shared" si="1"/>
        <v>309.35520000000002</v>
      </c>
      <c r="BO17" s="15">
        <f t="shared" si="2"/>
        <v>38.66940000000001</v>
      </c>
      <c r="BP17" s="15">
        <f t="shared" si="3"/>
        <v>206.23680000000004</v>
      </c>
      <c r="BS17">
        <f>IF(L17="", "",IF( L17="pastureRangeAndPaddock",Y17*Constants!$K$2, Y17*S17))</f>
        <v>0.05</v>
      </c>
      <c r="BT17">
        <f>IF(OR(N17="", N17="directApplication"), "",AB17*U17)</f>
        <v>2.5000000000000001E-2</v>
      </c>
      <c r="BU17">
        <f>IF(F17="", "", SUM(BS17:BT21))</f>
        <v>0.25800000000000001</v>
      </c>
      <c r="BV17">
        <f>Constants!$K$2</f>
        <v>0.21</v>
      </c>
      <c r="BW17">
        <f t="shared" si="4"/>
        <v>54.137160000000009</v>
      </c>
      <c r="BX17">
        <f>IF(C17="", "", _xlfn.XLOOKUP(C17,Constants!$A$20:$A$24,Constants!$B$20:$B$24))</f>
        <v>7.0000000000000001E-3</v>
      </c>
      <c r="BY17">
        <f>IF(BU17="","",Constants!$J$2)</f>
        <v>1.5714285714285714</v>
      </c>
      <c r="BZ17">
        <f t="shared" si="5"/>
        <v>2.8380000000000002E-6</v>
      </c>
    </row>
    <row r="18" spans="1:78" x14ac:dyDescent="0.2">
      <c r="A18" s="11" t="str">
        <f>'Input Scenarios'!A15</f>
        <v>QLD</v>
      </c>
      <c r="B18" s="11">
        <f>'Input Scenarios'!B15</f>
        <v>0</v>
      </c>
      <c r="C18" s="11" t="str">
        <f>'Input Scenarios'!C15</f>
        <v>Irrigated crop</v>
      </c>
      <c r="D18" s="11" t="str">
        <f>'Input Scenarios'!D15</f>
        <v>dry</v>
      </c>
      <c r="E18" s="11" t="b">
        <f>'Input Scenarios'!E15</f>
        <v>1</v>
      </c>
      <c r="F18" s="11" t="str">
        <f>'Input Scenarios'!F15</f>
        <v>meatOther</v>
      </c>
      <c r="G18" s="11">
        <f>'Input Scenarios'!G15</f>
        <v>2250</v>
      </c>
      <c r="H18" s="11">
        <f>'Input Scenarios'!H15</f>
        <v>125</v>
      </c>
      <c r="I18">
        <f>IF('Input Scenarios'!I15&lt;&gt;"", 'Input Scenarios'!I15,_xlfn.XLOOKUP($F18,Constants!$A$2:$A$5,Constants!B$2:B$5))</f>
        <v>9.2999999999999999E-2</v>
      </c>
      <c r="J18">
        <f>IF('Input Scenarios'!J15&lt;&gt;"", 'Input Scenarios'!J15,_xlfn.XLOOKUP($F18,Constants!$A$2:$A$5,Constants!C$2:C$5))</f>
        <v>0.8</v>
      </c>
      <c r="K18">
        <f>IF('Input Scenarios'!K15&lt;&gt;"", 'Input Scenarios'!K15,_xlfn.XLOOKUP($F18,Constants!$A$2:$A$5,Constants!D$2:D$5))</f>
        <v>0.23</v>
      </c>
      <c r="L18">
        <f>IF('Input Scenarios'!L15&lt;&gt;"", 'Input Scenarios'!L15,_xlfn.XLOOKUP($F18,Constants!$A$2:$A$5,Constants!E$2:E$5))</f>
        <v>0.47</v>
      </c>
      <c r="M18" s="11">
        <f>'Input Scenarios'!M15</f>
        <v>0.4</v>
      </c>
      <c r="N18" s="11">
        <f>'Input Scenarios'!N15</f>
        <v>0.3</v>
      </c>
      <c r="O18" s="11">
        <f>'Input Scenarios'!O15</f>
        <v>0.2</v>
      </c>
      <c r="P18" s="11">
        <f>'Input Scenarios'!P15</f>
        <v>0.1</v>
      </c>
      <c r="Q18" s="11">
        <f>'Input Scenarios'!Q15</f>
        <v>0.2</v>
      </c>
      <c r="R18" s="11">
        <f>'Input Scenarios'!R15</f>
        <v>0.25</v>
      </c>
      <c r="S18" s="11">
        <f>'Input Scenarios'!S15</f>
        <v>0.2</v>
      </c>
      <c r="T18" s="11">
        <f>'Input Scenarios'!T15</f>
        <v>0.25</v>
      </c>
      <c r="U18" s="11">
        <f>'Input Scenarios'!U15</f>
        <v>0.1</v>
      </c>
      <c r="V18" s="11">
        <f>'Input Scenarios'!V15</f>
        <v>0.2</v>
      </c>
      <c r="W18" s="11">
        <f>'Input Scenarios'!W15</f>
        <v>0.25</v>
      </c>
      <c r="X18" s="11">
        <f>'Input Scenarios'!X15</f>
        <v>0.2</v>
      </c>
      <c r="Y18" s="11">
        <f>'Input Scenarios'!Y15</f>
        <v>0.25</v>
      </c>
      <c r="Z18" s="11">
        <f>'Input Scenarios'!Z15</f>
        <v>0.1</v>
      </c>
      <c r="AA18" s="11">
        <f>'Input Scenarios'!AA15</f>
        <v>0.2</v>
      </c>
      <c r="AB18" s="11">
        <f>'Input Scenarios'!AB15</f>
        <v>0.25</v>
      </c>
      <c r="AC18" s="11">
        <f>'Input Scenarios'!AC15</f>
        <v>0.2</v>
      </c>
      <c r="AD18" s="11">
        <f>'Input Scenarios'!AD15</f>
        <v>0.25</v>
      </c>
      <c r="AE18" s="11">
        <f>'Input Scenarios'!AE15</f>
        <v>0.1</v>
      </c>
      <c r="AF18" s="14">
        <f>IF(F18="", "",_xlfn.XLOOKUP(F18,Constants!$A$2:$A$5,Constants!F$2:F$5))</f>
        <v>0.15</v>
      </c>
      <c r="AG18" s="14">
        <f>Constants!$C$9</f>
        <v>0.3</v>
      </c>
      <c r="AH18" s="14">
        <f>Constants!$C$10</f>
        <v>0.05</v>
      </c>
      <c r="AI18" s="14">
        <f>Constants!$C$11</f>
        <v>0.4</v>
      </c>
      <c r="AJ18" s="14" t="str">
        <f>Constants!$C$16</f>
        <v>N/A</v>
      </c>
      <c r="AK18" s="14">
        <f>Constants!$D$9</f>
        <v>1E-3</v>
      </c>
      <c r="AL18" s="14">
        <f>Constants!$D$10</f>
        <v>1E-3</v>
      </c>
      <c r="AM18" s="14">
        <f>Constants!$D$11</f>
        <v>1E-3</v>
      </c>
      <c r="AN18" s="14">
        <f>Constants!$D$16</f>
        <v>0.02</v>
      </c>
      <c r="AO18" s="14">
        <f>Constants!$C$12</f>
        <v>0.2</v>
      </c>
      <c r="AP18" s="14">
        <f>Constants!$C$13</f>
        <v>0.2</v>
      </c>
      <c r="AQ18" s="14">
        <f>Constants!$C$15</f>
        <v>0</v>
      </c>
      <c r="AR18" s="14">
        <f>Constants!$C$14</f>
        <v>0</v>
      </c>
      <c r="AS18" s="14" t="str">
        <f>Constants!$C$17</f>
        <v>N/A</v>
      </c>
      <c r="AT18" s="14">
        <f>Constants!$D$12</f>
        <v>5.0000000000000001E-3</v>
      </c>
      <c r="AU18" s="14">
        <f>Constants!$D$13</f>
        <v>0.01</v>
      </c>
      <c r="AV18" s="14">
        <f>Constants!$D$15</f>
        <v>0</v>
      </c>
      <c r="AW18" s="14">
        <f>Constants!$D$14</f>
        <v>0</v>
      </c>
      <c r="AX18" s="14" t="str">
        <f>Constants!$D$17</f>
        <v>N/A</v>
      </c>
      <c r="AY18" s="14">
        <f>I18*J18/6.25</f>
        <v>1.1904000000000001E-2</v>
      </c>
      <c r="AZ18" s="14">
        <f>AY18*(1-K18)</f>
        <v>9.1660800000000018E-3</v>
      </c>
      <c r="BA18" s="14">
        <f>G18*AZ18*H18</f>
        <v>2577.9600000000005</v>
      </c>
      <c r="BB18" s="14">
        <f>$BA18*M18</f>
        <v>1031.1840000000002</v>
      </c>
      <c r="BC18" s="14">
        <f>$BA18*N18</f>
        <v>773.38800000000015</v>
      </c>
      <c r="BD18" s="14">
        <f>$BA18*O18</f>
        <v>515.5920000000001</v>
      </c>
      <c r="BE18" s="14">
        <f>$BA18*P18</f>
        <v>257.79600000000005</v>
      </c>
      <c r="BF18" s="15">
        <f>(BB18*(1-AG18-AK18))</f>
        <v>720.79761600000006</v>
      </c>
      <c r="BG18" s="15">
        <f>(BC18*(1-AH18-AL18))</f>
        <v>733.94521200000008</v>
      </c>
      <c r="BH18" s="15">
        <f>(BD18*(1-AI18-AM18))</f>
        <v>308.83960800000006</v>
      </c>
      <c r="BI18" s="15">
        <f>($BF18*Q18)+($BG18*V18)+($BH18*AA18)</f>
        <v>352.71648720000007</v>
      </c>
      <c r="BJ18" s="15">
        <f>($BF18*R18)+($BG18*W18)+($BH18*AB18)</f>
        <v>440.89560900000004</v>
      </c>
      <c r="BK18" s="15">
        <f>($BF18*S18)+($BG18*X18)+($BH18*AC18)</f>
        <v>352.71648720000007</v>
      </c>
      <c r="BL18" s="15">
        <f>($BF18*T18)+($BG18*Y18)+($BH18*AD18)</f>
        <v>440.89560900000004</v>
      </c>
      <c r="BM18" s="15">
        <f>($BF18*U18)+($BG18*Z18)+($BH18*AE18)</f>
        <v>176.35824360000004</v>
      </c>
      <c r="BN18" s="15">
        <f t="shared" si="1"/>
        <v>309.35520000000002</v>
      </c>
      <c r="BO18" s="15">
        <f t="shared" si="2"/>
        <v>38.66940000000001</v>
      </c>
      <c r="BP18" s="15">
        <f t="shared" si="3"/>
        <v>206.23680000000004</v>
      </c>
      <c r="BS18">
        <f>IF(L18="", "",IF( L18="pastureRangeAndPaddock",Y18*Constants!$K$2, Y18*S18))</f>
        <v>0.05</v>
      </c>
      <c r="BT18">
        <f>IF(OR(N18="", N18="directApplication"), "",AB18*U18)</f>
        <v>2.5000000000000001E-2</v>
      </c>
      <c r="BU18">
        <f>IF(F18="", "", SUM(BS18:BT22))</f>
        <v>0.21900000000000003</v>
      </c>
      <c r="BV18">
        <f>Constants!$K$2</f>
        <v>0.21</v>
      </c>
      <c r="BW18">
        <f t="shared" si="4"/>
        <v>54.137160000000009</v>
      </c>
      <c r="BX18">
        <f>IF(C18="", "", _xlfn.XLOOKUP(C18,Constants!$A$20:$A$24,Constants!$B$20:$B$24))</f>
        <v>7.0000000000000001E-3</v>
      </c>
      <c r="BY18">
        <f>IF(BU18="","",Constants!$J$2)</f>
        <v>1.5714285714285714</v>
      </c>
      <c r="BZ18">
        <f t="shared" si="5"/>
        <v>2.4090000000000006E-6</v>
      </c>
    </row>
    <row r="19" spans="1:78" x14ac:dyDescent="0.2">
      <c r="A19" s="14" t="str">
        <f>'Input Scenarios'!A16</f>
        <v>TAS</v>
      </c>
      <c r="B19" s="14">
        <f>'Input Scenarios'!B16</f>
        <v>0</v>
      </c>
      <c r="C19" s="14" t="str">
        <f>'Input Scenarios'!C16</f>
        <v>Irrigated pasture</v>
      </c>
      <c r="D19" s="14" t="str">
        <f>'Input Scenarios'!D16</f>
        <v>wet</v>
      </c>
      <c r="E19" s="14" t="b">
        <f>'Input Scenarios'!E16</f>
        <v>1</v>
      </c>
      <c r="F19" s="14" t="str">
        <f>'Input Scenarios'!F16</f>
        <v>layers</v>
      </c>
      <c r="G19" s="14">
        <f>'Input Scenarios'!G16</f>
        <v>3333</v>
      </c>
      <c r="H19" s="14">
        <f>'Input Scenarios'!H16</f>
        <v>111</v>
      </c>
      <c r="I19">
        <f>IF('Input Scenarios'!I16&lt;&gt;"", 'Input Scenarios'!I16,_xlfn.XLOOKUP($F19,Constants!$A$2:$A$5,Constants!B$2:B$5))</f>
        <v>8.5999999999999993E-2</v>
      </c>
      <c r="J19">
        <f>IF('Input Scenarios'!J16&lt;&gt;"", 'Input Scenarios'!J16,_xlfn.XLOOKUP($F19,Constants!$A$2:$A$5,Constants!C$2:C$5))</f>
        <v>0.8</v>
      </c>
      <c r="K19">
        <f>IF('Input Scenarios'!K16&lt;&gt;"", 'Input Scenarios'!K16,_xlfn.XLOOKUP($F19,Constants!$A$2:$A$5,Constants!D$2:D$5))</f>
        <v>0.19</v>
      </c>
      <c r="L19">
        <f>IF('Input Scenarios'!L16&lt;&gt;"", 'Input Scenarios'!L16,_xlfn.XLOOKUP($F19,Constants!$A$2:$A$5,Constants!E$2:E$5))</f>
        <v>0.35</v>
      </c>
      <c r="M19" s="14">
        <f>'Input Scenarios'!M16</f>
        <v>0</v>
      </c>
      <c r="N19" s="14">
        <f>'Input Scenarios'!N16</f>
        <v>0.9</v>
      </c>
      <c r="O19" s="14">
        <f>'Input Scenarios'!O16</f>
        <v>0</v>
      </c>
      <c r="P19" s="14">
        <f>'Input Scenarios'!P16</f>
        <v>0.1</v>
      </c>
      <c r="Q19" s="14">
        <f>'Input Scenarios'!Q16</f>
        <v>0.34</v>
      </c>
      <c r="R19" s="14">
        <f>'Input Scenarios'!R16</f>
        <v>0.6</v>
      </c>
      <c r="S19" s="14">
        <f>'Input Scenarios'!S16</f>
        <v>0</v>
      </c>
      <c r="T19" s="14">
        <f>'Input Scenarios'!T16</f>
        <v>0</v>
      </c>
      <c r="U19" s="14">
        <f>'Input Scenarios'!U16</f>
        <v>0.06</v>
      </c>
      <c r="V19" s="14">
        <f>'Input Scenarios'!V16</f>
        <v>0.34</v>
      </c>
      <c r="W19" s="14">
        <f>'Input Scenarios'!W16</f>
        <v>0.6</v>
      </c>
      <c r="X19" s="14">
        <f>'Input Scenarios'!X16</f>
        <v>0</v>
      </c>
      <c r="Y19" s="14">
        <f>'Input Scenarios'!Y16</f>
        <v>0</v>
      </c>
      <c r="Z19" s="14">
        <f>'Input Scenarios'!Z16</f>
        <v>0.06</v>
      </c>
      <c r="AA19" s="14">
        <f>'Input Scenarios'!AA16</f>
        <v>0.34</v>
      </c>
      <c r="AB19" s="14">
        <f>'Input Scenarios'!AB16</f>
        <v>0.6</v>
      </c>
      <c r="AC19" s="14">
        <f>'Input Scenarios'!AC16</f>
        <v>0</v>
      </c>
      <c r="AD19" s="14">
        <f>'Input Scenarios'!AD16</f>
        <v>0</v>
      </c>
      <c r="AE19" s="14">
        <f>'Input Scenarios'!AE16</f>
        <v>0.06</v>
      </c>
      <c r="AF19" s="14">
        <f>IF(F19="", "",_xlfn.XLOOKUP(F19,Constants!$A$2:$A$5,Constants!F$2:F$5))</f>
        <v>0.18</v>
      </c>
      <c r="AG19" s="14">
        <f>Constants!$C$9</f>
        <v>0.3</v>
      </c>
      <c r="AH19" s="14">
        <f>Constants!$C$10</f>
        <v>0.05</v>
      </c>
      <c r="AI19" s="14">
        <f>Constants!$C$11</f>
        <v>0.4</v>
      </c>
      <c r="AJ19" s="14" t="str">
        <f>Constants!$C$16</f>
        <v>N/A</v>
      </c>
      <c r="AK19" s="14">
        <f>Constants!$D$9</f>
        <v>1E-3</v>
      </c>
      <c r="AL19" s="14">
        <f>Constants!$D$10</f>
        <v>1E-3</v>
      </c>
      <c r="AM19" s="14">
        <f>Constants!$D$11</f>
        <v>1E-3</v>
      </c>
      <c r="AN19" s="14">
        <f>Constants!$D$16</f>
        <v>0.02</v>
      </c>
      <c r="AO19" s="14">
        <f>Constants!$C$12</f>
        <v>0.2</v>
      </c>
      <c r="AP19" s="14">
        <f>Constants!$C$13</f>
        <v>0.2</v>
      </c>
      <c r="AQ19" s="14">
        <f>Constants!$C$15</f>
        <v>0</v>
      </c>
      <c r="AR19" s="14">
        <f>Constants!$C$14</f>
        <v>0</v>
      </c>
      <c r="AS19" s="14" t="str">
        <f>Constants!$C$17</f>
        <v>N/A</v>
      </c>
      <c r="AT19" s="14">
        <f>Constants!$D$12</f>
        <v>5.0000000000000001E-3</v>
      </c>
      <c r="AU19" s="14">
        <f>Constants!$D$13</f>
        <v>0.01</v>
      </c>
      <c r="AV19" s="14">
        <f>Constants!$D$15</f>
        <v>0</v>
      </c>
      <c r="AW19" s="14">
        <f>Constants!$D$14</f>
        <v>0</v>
      </c>
      <c r="AX19" s="14" t="str">
        <f>Constants!$D$17</f>
        <v>N/A</v>
      </c>
      <c r="AY19" s="14">
        <f>I19*J19/6.25</f>
        <v>1.1008E-2</v>
      </c>
      <c r="AZ19" s="14">
        <f>AY19*(1-K19)</f>
        <v>8.9164800000000009E-3</v>
      </c>
      <c r="BA19" s="14">
        <f>G19*AZ19*H19</f>
        <v>3298.7676902400003</v>
      </c>
      <c r="BB19" s="14">
        <f>$BA19*M19</f>
        <v>0</v>
      </c>
      <c r="BC19" s="14">
        <f>$BA19*N19</f>
        <v>2968.8909212160002</v>
      </c>
      <c r="BD19" s="14">
        <f>$BA19*O19</f>
        <v>0</v>
      </c>
      <c r="BE19" s="14">
        <f>$BA19*P19</f>
        <v>329.87676902400005</v>
      </c>
      <c r="BF19" s="15">
        <f>(BB19*(1-AG19-AK19))</f>
        <v>0</v>
      </c>
      <c r="BG19" s="15">
        <f>(BC19*(1-AH19-AL19))</f>
        <v>2817.4774842339839</v>
      </c>
      <c r="BH19" s="15">
        <f>(BD19*(1-AI19-AM19))</f>
        <v>0</v>
      </c>
      <c r="BI19" s="15">
        <f>($BF19*Q19)+($BG19*V19)+($BH19*AA19)</f>
        <v>957.94234463955456</v>
      </c>
      <c r="BJ19" s="15">
        <f>($BF19*R19)+($BG19*W19)+($BH19*AB19)</f>
        <v>1690.4864905403904</v>
      </c>
      <c r="BK19" s="15">
        <f>($BF19*S19)+($BG19*X19)+($BH19*AC19)</f>
        <v>0</v>
      </c>
      <c r="BL19" s="15">
        <f>($BF19*T19)+($BG19*Y19)+($BH19*AD19)</f>
        <v>0</v>
      </c>
      <c r="BM19" s="15">
        <f>($BF19*U19)+($BG19*Z19)+($BH19*AE19)</f>
        <v>169.04864905403903</v>
      </c>
      <c r="BN19" s="15">
        <f t="shared" si="1"/>
        <v>0</v>
      </c>
      <c r="BO19" s="15">
        <f t="shared" si="2"/>
        <v>148.44454606080001</v>
      </c>
      <c r="BP19" s="15">
        <f t="shared" si="3"/>
        <v>0</v>
      </c>
      <c r="BS19">
        <f>IF(L19="", "",IF( L19="pastureRangeAndPaddock",Y19*Constants!$K$2, Y19*S19))</f>
        <v>0</v>
      </c>
      <c r="BT19">
        <f>IF(OR(N19="", N19="directApplication"), "",AB19*U19)</f>
        <v>3.5999999999999997E-2</v>
      </c>
      <c r="BU19">
        <f>IF(F19="", "", SUM(BS19:BT23))</f>
        <v>0.14399999999999999</v>
      </c>
      <c r="BV19">
        <f>Constants!$K$2</f>
        <v>0.21</v>
      </c>
      <c r="BW19">
        <f t="shared" si="4"/>
        <v>69.274121495040006</v>
      </c>
      <c r="BX19">
        <f>IF(C19="", "", _xlfn.XLOOKUP(C19,Constants!$A$20:$A$24,Constants!$B$20:$B$24))</f>
        <v>5.8999999999999999E-3</v>
      </c>
      <c r="BY19">
        <f>IF(BU19="","",Constants!$J$2)</f>
        <v>1.5714285714285714</v>
      </c>
      <c r="BZ19">
        <f t="shared" si="5"/>
        <v>1.3350857142857142E-6</v>
      </c>
    </row>
    <row r="20" spans="1:78" s="11" customFormat="1" x14ac:dyDescent="0.2">
      <c r="A20" s="14" t="str">
        <f>'Input Scenarios'!A17</f>
        <v>TAS</v>
      </c>
      <c r="B20" s="14">
        <f>'Input Scenarios'!B17</f>
        <v>0</v>
      </c>
      <c r="C20" s="14" t="str">
        <f>'Input Scenarios'!C17</f>
        <v>Irrigated pasture</v>
      </c>
      <c r="D20" s="14" t="str">
        <f>'Input Scenarios'!D17</f>
        <v>wet</v>
      </c>
      <c r="E20" s="14" t="b">
        <f>'Input Scenarios'!E17</f>
        <v>1</v>
      </c>
      <c r="F20" s="14" t="str">
        <f>'Input Scenarios'!F17</f>
        <v>meatChickenBreeder</v>
      </c>
      <c r="G20" s="14">
        <f>'Input Scenarios'!G17</f>
        <v>3333</v>
      </c>
      <c r="H20" s="14">
        <f>'Input Scenarios'!H17</f>
        <v>111</v>
      </c>
      <c r="I20">
        <f>IF('Input Scenarios'!I17&lt;&gt;"", 'Input Scenarios'!I17,_xlfn.XLOOKUP($F20,Constants!$A$2:$A$5,Constants!B$2:B$5))</f>
        <v>0.10299999999999999</v>
      </c>
      <c r="J20">
        <f>IF('Input Scenarios'!J17&lt;&gt;"", 'Input Scenarios'!J17,_xlfn.XLOOKUP($F20,Constants!$A$2:$A$5,Constants!C$2:C$5))</f>
        <v>0.8</v>
      </c>
      <c r="K20">
        <f>IF('Input Scenarios'!K17&lt;&gt;"", 'Input Scenarios'!K17,_xlfn.XLOOKUP($F20,Constants!$A$2:$A$5,Constants!D$2:D$5))</f>
        <v>0.19</v>
      </c>
      <c r="L20">
        <f>IF('Input Scenarios'!L17&lt;&gt;"", 'Input Scenarios'!L17,_xlfn.XLOOKUP($F20,Constants!$A$2:$A$5,Constants!E$2:E$5))</f>
        <v>0.32</v>
      </c>
      <c r="M20" s="14">
        <f>'Input Scenarios'!M17</f>
        <v>0</v>
      </c>
      <c r="N20" s="14">
        <f>'Input Scenarios'!N17</f>
        <v>0.9</v>
      </c>
      <c r="O20" s="14">
        <f>'Input Scenarios'!O17</f>
        <v>0</v>
      </c>
      <c r="P20" s="14">
        <f>'Input Scenarios'!P17</f>
        <v>0.1</v>
      </c>
      <c r="Q20" s="14">
        <f>'Input Scenarios'!Q17</f>
        <v>0.34</v>
      </c>
      <c r="R20" s="14">
        <f>'Input Scenarios'!R17</f>
        <v>0.6</v>
      </c>
      <c r="S20" s="14">
        <f>'Input Scenarios'!S17</f>
        <v>0</v>
      </c>
      <c r="T20" s="14">
        <f>'Input Scenarios'!T17</f>
        <v>0</v>
      </c>
      <c r="U20" s="14">
        <f>'Input Scenarios'!U17</f>
        <v>0.06</v>
      </c>
      <c r="V20" s="14">
        <f>'Input Scenarios'!V17</f>
        <v>0.34</v>
      </c>
      <c r="W20" s="14">
        <f>'Input Scenarios'!W17</f>
        <v>0.6</v>
      </c>
      <c r="X20" s="14">
        <f>'Input Scenarios'!X17</f>
        <v>0</v>
      </c>
      <c r="Y20" s="14">
        <f>'Input Scenarios'!Y17</f>
        <v>0</v>
      </c>
      <c r="Z20" s="14">
        <f>'Input Scenarios'!Z17</f>
        <v>0.06</v>
      </c>
      <c r="AA20" s="14">
        <f>'Input Scenarios'!AA17</f>
        <v>0.34</v>
      </c>
      <c r="AB20" s="14">
        <f>'Input Scenarios'!AB17</f>
        <v>0.6</v>
      </c>
      <c r="AC20" s="14">
        <f>'Input Scenarios'!AC17</f>
        <v>0</v>
      </c>
      <c r="AD20" s="14">
        <f>'Input Scenarios'!AD17</f>
        <v>0</v>
      </c>
      <c r="AE20" s="14">
        <f>'Input Scenarios'!AE17</f>
        <v>0.06</v>
      </c>
      <c r="AF20" s="14">
        <f>IF(F20="", "",_xlfn.XLOOKUP(F20,Constants!$A$2:$A$5,Constants!F$2:F$5))</f>
        <v>0.18</v>
      </c>
      <c r="AG20" s="14">
        <f>Constants!$C$9</f>
        <v>0.3</v>
      </c>
      <c r="AH20" s="14">
        <f>Constants!$C$10</f>
        <v>0.05</v>
      </c>
      <c r="AI20" s="14">
        <f>Constants!$C$11</f>
        <v>0.4</v>
      </c>
      <c r="AJ20" s="14" t="str">
        <f>Constants!$C$16</f>
        <v>N/A</v>
      </c>
      <c r="AK20" s="14">
        <f>Constants!$D$9</f>
        <v>1E-3</v>
      </c>
      <c r="AL20" s="14">
        <f>Constants!$D$10</f>
        <v>1E-3</v>
      </c>
      <c r="AM20" s="14">
        <f>Constants!$D$11</f>
        <v>1E-3</v>
      </c>
      <c r="AN20" s="14">
        <f>Constants!$D$16</f>
        <v>0.02</v>
      </c>
      <c r="AO20" s="14">
        <f>Constants!$C$12</f>
        <v>0.2</v>
      </c>
      <c r="AP20" s="14">
        <f>Constants!$C$13</f>
        <v>0.2</v>
      </c>
      <c r="AQ20" s="14">
        <f>Constants!$C$15</f>
        <v>0</v>
      </c>
      <c r="AR20" s="14">
        <f>Constants!$C$14</f>
        <v>0</v>
      </c>
      <c r="AS20" s="14" t="str">
        <f>Constants!$C$17</f>
        <v>N/A</v>
      </c>
      <c r="AT20" s="14">
        <f>Constants!$D$12</f>
        <v>5.0000000000000001E-3</v>
      </c>
      <c r="AU20" s="14">
        <f>Constants!$D$13</f>
        <v>0.01</v>
      </c>
      <c r="AV20" s="14">
        <f>Constants!$D$15</f>
        <v>0</v>
      </c>
      <c r="AW20" s="14">
        <f>Constants!$D$14</f>
        <v>0</v>
      </c>
      <c r="AX20" s="14" t="str">
        <f>Constants!$D$17</f>
        <v>N/A</v>
      </c>
      <c r="AY20" s="14">
        <f>I20*J20/6.25</f>
        <v>1.3184E-2</v>
      </c>
      <c r="AZ20" s="14">
        <f>AY20*(1-K20)</f>
        <v>1.0679040000000001E-2</v>
      </c>
      <c r="BA20" s="14">
        <f>G20*AZ20*H20</f>
        <v>3950.8496755199999</v>
      </c>
      <c r="BB20" s="14">
        <f>$BA20*M20</f>
        <v>0</v>
      </c>
      <c r="BC20" s="14">
        <f>$BA20*N20</f>
        <v>3555.764707968</v>
      </c>
      <c r="BD20" s="14">
        <f>$BA20*O20</f>
        <v>0</v>
      </c>
      <c r="BE20" s="14">
        <f>$BA20*P20</f>
        <v>395.08496755200002</v>
      </c>
      <c r="BF20" s="15">
        <f>(BB20*(1-AG20-AK20))</f>
        <v>0</v>
      </c>
      <c r="BG20" s="15">
        <f>(BC20*(1-AH20-AL20))</f>
        <v>3374.4207078616319</v>
      </c>
      <c r="BH20" s="15">
        <f>(BD20*(1-AI20-AM20))</f>
        <v>0</v>
      </c>
      <c r="BI20" s="15">
        <f>($BF20*Q20)+($BG20*V20)+($BH20*AA20)</f>
        <v>1147.3030406729549</v>
      </c>
      <c r="BJ20" s="15">
        <f>($BF20*R20)+($BG20*W20)+($BH20*AB20)</f>
        <v>2024.6524247169791</v>
      </c>
      <c r="BK20" s="15">
        <f>($BF20*S20)+($BG20*X20)+($BH20*AC20)</f>
        <v>0</v>
      </c>
      <c r="BL20" s="15">
        <f>($BF20*T20)+($BG20*Y20)+($BH20*AD20)</f>
        <v>0</v>
      </c>
      <c r="BM20" s="15">
        <f>($BF20*U20)+($BG20*Z20)+($BH20*AE20)</f>
        <v>202.46524247169791</v>
      </c>
      <c r="BN20" s="15">
        <f t="shared" si="1"/>
        <v>0</v>
      </c>
      <c r="BO20" s="15">
        <f t="shared" si="2"/>
        <v>177.78823539840002</v>
      </c>
      <c r="BP20" s="15">
        <f t="shared" si="3"/>
        <v>0</v>
      </c>
      <c r="BQ20"/>
      <c r="BR20"/>
      <c r="BS20">
        <f>IF(L20="", "",IF( L20="pastureRangeAndPaddock",Y20*Constants!$K$2, Y20*S20))</f>
        <v>0</v>
      </c>
      <c r="BT20">
        <f>IF(OR(N20="", N20="directApplication"), "",AB20*U20)</f>
        <v>3.5999999999999997E-2</v>
      </c>
      <c r="BU20">
        <f>IF(F20="", "", SUM(BS20:BT24))</f>
        <v>0.10799999999999998</v>
      </c>
      <c r="BV20">
        <f>Constants!$K$2</f>
        <v>0.21</v>
      </c>
      <c r="BW20">
        <f t="shared" si="4"/>
        <v>82.967843185920003</v>
      </c>
      <c r="BX20">
        <f>IF(C20="", "", _xlfn.XLOOKUP(C20,Constants!$A$20:$A$24,Constants!$B$20:$B$24))</f>
        <v>5.8999999999999999E-3</v>
      </c>
      <c r="BY20">
        <f>IF(BU20="","",Constants!$J$2)</f>
        <v>1.5714285714285714</v>
      </c>
      <c r="BZ20">
        <f t="shared" si="5"/>
        <v>1.0013142857142854E-6</v>
      </c>
    </row>
    <row r="21" spans="1:78" x14ac:dyDescent="0.2">
      <c r="A21" s="14" t="str">
        <f>'Input Scenarios'!A18</f>
        <v>TAS</v>
      </c>
      <c r="B21" s="14">
        <f>'Input Scenarios'!B18</f>
        <v>0</v>
      </c>
      <c r="C21" s="14" t="str">
        <f>'Input Scenarios'!C18</f>
        <v>Irrigated pasture</v>
      </c>
      <c r="D21" s="14" t="str">
        <f>'Input Scenarios'!D18</f>
        <v>wet</v>
      </c>
      <c r="E21" s="14" t="b">
        <f>'Input Scenarios'!E18</f>
        <v>1</v>
      </c>
      <c r="F21" s="14" t="str">
        <f>'Input Scenarios'!F18</f>
        <v>meatChickenGrowers</v>
      </c>
      <c r="G21" s="14">
        <f>'Input Scenarios'!G18</f>
        <v>3333</v>
      </c>
      <c r="H21" s="14">
        <f>'Input Scenarios'!H18</f>
        <v>111</v>
      </c>
      <c r="I21">
        <f>IF('Input Scenarios'!I18&lt;&gt;"", 'Input Scenarios'!I18,_xlfn.XLOOKUP($F21,Constants!$A$2:$A$5,Constants!B$2:B$5))</f>
        <v>9.2999999999999999E-2</v>
      </c>
      <c r="J21">
        <f>IF('Input Scenarios'!J18&lt;&gt;"", 'Input Scenarios'!J18,_xlfn.XLOOKUP($F21,Constants!$A$2:$A$5,Constants!C$2:C$5))</f>
        <v>0.8</v>
      </c>
      <c r="K21">
        <f>IF('Input Scenarios'!K18&lt;&gt;"", 'Input Scenarios'!K18,_xlfn.XLOOKUP($F21,Constants!$A$2:$A$5,Constants!D$2:D$5))</f>
        <v>0.23</v>
      </c>
      <c r="L21">
        <f>IF('Input Scenarios'!L18&lt;&gt;"", 'Input Scenarios'!L18,_xlfn.XLOOKUP($F21,Constants!$A$2:$A$5,Constants!E$2:E$5))</f>
        <v>0.47</v>
      </c>
      <c r="M21" s="14">
        <f>'Input Scenarios'!M18</f>
        <v>0</v>
      </c>
      <c r="N21" s="14">
        <f>'Input Scenarios'!N18</f>
        <v>0.9</v>
      </c>
      <c r="O21" s="14">
        <f>'Input Scenarios'!O18</f>
        <v>0</v>
      </c>
      <c r="P21" s="14">
        <f>'Input Scenarios'!P18</f>
        <v>0.1</v>
      </c>
      <c r="Q21" s="14">
        <f>'Input Scenarios'!Q18</f>
        <v>0.34</v>
      </c>
      <c r="R21" s="14">
        <f>'Input Scenarios'!R18</f>
        <v>0.6</v>
      </c>
      <c r="S21" s="14">
        <f>'Input Scenarios'!S18</f>
        <v>0</v>
      </c>
      <c r="T21" s="14">
        <f>'Input Scenarios'!T18</f>
        <v>0</v>
      </c>
      <c r="U21" s="14">
        <f>'Input Scenarios'!U18</f>
        <v>0.06</v>
      </c>
      <c r="V21" s="14">
        <f>'Input Scenarios'!V18</f>
        <v>0.34</v>
      </c>
      <c r="W21" s="14">
        <f>'Input Scenarios'!W18</f>
        <v>0.6</v>
      </c>
      <c r="X21" s="14">
        <f>'Input Scenarios'!X18</f>
        <v>0</v>
      </c>
      <c r="Y21" s="14">
        <f>'Input Scenarios'!Y18</f>
        <v>0</v>
      </c>
      <c r="Z21" s="14">
        <f>'Input Scenarios'!Z18</f>
        <v>0.06</v>
      </c>
      <c r="AA21" s="14">
        <f>'Input Scenarios'!AA18</f>
        <v>0.34</v>
      </c>
      <c r="AB21" s="14">
        <f>'Input Scenarios'!AB18</f>
        <v>0.6</v>
      </c>
      <c r="AC21" s="14">
        <f>'Input Scenarios'!AC18</f>
        <v>0</v>
      </c>
      <c r="AD21" s="14">
        <f>'Input Scenarios'!AD18</f>
        <v>0</v>
      </c>
      <c r="AE21" s="14">
        <f>'Input Scenarios'!AE18</f>
        <v>0.06</v>
      </c>
      <c r="AF21" s="14">
        <f>IF(F21="", "",_xlfn.XLOOKUP(F21,Constants!$A$2:$A$5,Constants!F$2:F$5))</f>
        <v>0.15</v>
      </c>
      <c r="AG21" s="14">
        <f>Constants!$C$9</f>
        <v>0.3</v>
      </c>
      <c r="AH21" s="14">
        <f>Constants!$C$10</f>
        <v>0.05</v>
      </c>
      <c r="AI21" s="14">
        <f>Constants!$C$11</f>
        <v>0.4</v>
      </c>
      <c r="AJ21" s="14" t="str">
        <f>Constants!$C$16</f>
        <v>N/A</v>
      </c>
      <c r="AK21" s="14">
        <f>Constants!$D$9</f>
        <v>1E-3</v>
      </c>
      <c r="AL21" s="14">
        <f>Constants!$D$10</f>
        <v>1E-3</v>
      </c>
      <c r="AM21" s="14">
        <f>Constants!$D$11</f>
        <v>1E-3</v>
      </c>
      <c r="AN21" s="14">
        <f>Constants!$D$16</f>
        <v>0.02</v>
      </c>
      <c r="AO21" s="14">
        <f>Constants!$C$12</f>
        <v>0.2</v>
      </c>
      <c r="AP21" s="14">
        <f>Constants!$C$13</f>
        <v>0.2</v>
      </c>
      <c r="AQ21" s="14">
        <f>Constants!$C$15</f>
        <v>0</v>
      </c>
      <c r="AR21" s="14">
        <f>Constants!$C$14</f>
        <v>0</v>
      </c>
      <c r="AS21" s="14" t="str">
        <f>Constants!$C$17</f>
        <v>N/A</v>
      </c>
      <c r="AT21" s="14">
        <f>Constants!$D$12</f>
        <v>5.0000000000000001E-3</v>
      </c>
      <c r="AU21" s="14">
        <f>Constants!$D$13</f>
        <v>0.01</v>
      </c>
      <c r="AV21" s="14">
        <f>Constants!$D$15</f>
        <v>0</v>
      </c>
      <c r="AW21" s="14">
        <f>Constants!$D$14</f>
        <v>0</v>
      </c>
      <c r="AX21" s="14" t="str">
        <f>Constants!$D$17</f>
        <v>N/A</v>
      </c>
      <c r="AY21" s="14">
        <f>I21*J21/6.25</f>
        <v>1.1904000000000001E-2</v>
      </c>
      <c r="AZ21" s="14">
        <f>AY21*(1-K21)</f>
        <v>9.1660800000000018E-3</v>
      </c>
      <c r="BA21" s="14">
        <f>G21*AZ21*H21</f>
        <v>3391.1104550400005</v>
      </c>
      <c r="BB21" s="14">
        <f>$BA21*M21</f>
        <v>0</v>
      </c>
      <c r="BC21" s="14">
        <f>$BA21*N21</f>
        <v>3051.9994095360007</v>
      </c>
      <c r="BD21" s="14">
        <f>$BA21*O21</f>
        <v>0</v>
      </c>
      <c r="BE21" s="14">
        <f>$BA21*P21</f>
        <v>339.11104550400006</v>
      </c>
      <c r="BF21" s="15">
        <f>(BB21*(1-AG21-AK21))</f>
        <v>0</v>
      </c>
      <c r="BG21" s="15">
        <f>(BC21*(1-AH21-AL21))</f>
        <v>2896.3474396496645</v>
      </c>
      <c r="BH21" s="15">
        <f>(BD21*(1-AI21-AM21))</f>
        <v>0</v>
      </c>
      <c r="BI21" s="15">
        <f>($BF21*Q21)+($BG21*V21)+($BH21*AA21)</f>
        <v>984.75812948088594</v>
      </c>
      <c r="BJ21" s="15">
        <f>($BF21*R21)+($BG21*W21)+($BH21*AB21)</f>
        <v>1737.8084637897987</v>
      </c>
      <c r="BK21" s="15">
        <f>($BF21*S21)+($BG21*X21)+($BH21*AC21)</f>
        <v>0</v>
      </c>
      <c r="BL21" s="15">
        <f>($BF21*T21)+($BG21*Y21)+($BH21*AD21)</f>
        <v>0</v>
      </c>
      <c r="BM21" s="15">
        <f>($BF21*U21)+($BG21*Z21)+($BH21*AE21)</f>
        <v>173.78084637897987</v>
      </c>
      <c r="BN21" s="15">
        <f t="shared" si="1"/>
        <v>0</v>
      </c>
      <c r="BO21" s="15">
        <f t="shared" si="2"/>
        <v>152.59997047680005</v>
      </c>
      <c r="BP21" s="15">
        <f t="shared" si="3"/>
        <v>0</v>
      </c>
      <c r="BS21">
        <f>IF(L21="", "",IF( L21="pastureRangeAndPaddock",Y21*Constants!$K$2, Y21*S21))</f>
        <v>0</v>
      </c>
      <c r="BT21">
        <f>IF(OR(N21="", N21="directApplication"), "",AB21*U21)</f>
        <v>3.5999999999999997E-2</v>
      </c>
      <c r="BU21">
        <f>IF(F21="", "", SUM(BS21:BT25))</f>
        <v>7.1999999999999995E-2</v>
      </c>
      <c r="BV21">
        <f>Constants!$K$2</f>
        <v>0.21</v>
      </c>
      <c r="BW21">
        <f t="shared" si="4"/>
        <v>71.213319555840016</v>
      </c>
      <c r="BX21">
        <f>IF(C21="", "", _xlfn.XLOOKUP(C21,Constants!$A$20:$A$24,Constants!$B$20:$B$24))</f>
        <v>5.8999999999999999E-3</v>
      </c>
      <c r="BY21">
        <f>IF(BU21="","",Constants!$J$2)</f>
        <v>1.5714285714285714</v>
      </c>
      <c r="BZ21">
        <f t="shared" si="5"/>
        <v>6.6754285714285708E-7</v>
      </c>
    </row>
    <row r="22" spans="1:78" x14ac:dyDescent="0.2">
      <c r="A22" s="11" t="str">
        <f>'Input Scenarios'!A19</f>
        <v>TAS</v>
      </c>
      <c r="B22" s="11">
        <f>'Input Scenarios'!B19</f>
        <v>0</v>
      </c>
      <c r="C22" s="11" t="str">
        <f>'Input Scenarios'!C19</f>
        <v>Irrigated pasture</v>
      </c>
      <c r="D22" s="11" t="str">
        <f>'Input Scenarios'!D19</f>
        <v>wet</v>
      </c>
      <c r="E22" s="11" t="b">
        <f>'Input Scenarios'!E19</f>
        <v>1</v>
      </c>
      <c r="F22" s="11" t="str">
        <f>'Input Scenarios'!F19</f>
        <v>meatOther</v>
      </c>
      <c r="G22" s="11">
        <f>'Input Scenarios'!G19</f>
        <v>3333</v>
      </c>
      <c r="H22" s="11">
        <f>'Input Scenarios'!H19</f>
        <v>111</v>
      </c>
      <c r="I22">
        <f>IF('Input Scenarios'!I19&lt;&gt;"", 'Input Scenarios'!I19,_xlfn.XLOOKUP($F22,Constants!$A$2:$A$5,Constants!B$2:B$5))</f>
        <v>9.2999999999999999E-2</v>
      </c>
      <c r="J22">
        <f>IF('Input Scenarios'!J19&lt;&gt;"", 'Input Scenarios'!J19,_xlfn.XLOOKUP($F22,Constants!$A$2:$A$5,Constants!C$2:C$5))</f>
        <v>0.8</v>
      </c>
      <c r="K22">
        <f>IF('Input Scenarios'!K19&lt;&gt;"", 'Input Scenarios'!K19,_xlfn.XLOOKUP($F22,Constants!$A$2:$A$5,Constants!D$2:D$5))</f>
        <v>0.23</v>
      </c>
      <c r="L22">
        <f>IF('Input Scenarios'!L19&lt;&gt;"", 'Input Scenarios'!L19,_xlfn.XLOOKUP($F22,Constants!$A$2:$A$5,Constants!E$2:E$5))</f>
        <v>0.47</v>
      </c>
      <c r="M22" s="11">
        <f>'Input Scenarios'!M19</f>
        <v>0</v>
      </c>
      <c r="N22" s="11">
        <f>'Input Scenarios'!N19</f>
        <v>0.9</v>
      </c>
      <c r="O22" s="11">
        <f>'Input Scenarios'!O19</f>
        <v>0</v>
      </c>
      <c r="P22" s="11">
        <f>'Input Scenarios'!P19</f>
        <v>0.1</v>
      </c>
      <c r="Q22" s="11">
        <f>'Input Scenarios'!Q19</f>
        <v>0.34</v>
      </c>
      <c r="R22" s="11">
        <f>'Input Scenarios'!R19</f>
        <v>0.6</v>
      </c>
      <c r="S22" s="11">
        <f>'Input Scenarios'!S19</f>
        <v>0</v>
      </c>
      <c r="T22" s="11">
        <f>'Input Scenarios'!T19</f>
        <v>0</v>
      </c>
      <c r="U22" s="11">
        <f>'Input Scenarios'!U19</f>
        <v>0.06</v>
      </c>
      <c r="V22" s="11">
        <f>'Input Scenarios'!V19</f>
        <v>0.34</v>
      </c>
      <c r="W22" s="11">
        <f>'Input Scenarios'!W19</f>
        <v>0.6</v>
      </c>
      <c r="X22" s="11">
        <f>'Input Scenarios'!X19</f>
        <v>0</v>
      </c>
      <c r="Y22" s="11">
        <f>'Input Scenarios'!Y19</f>
        <v>0</v>
      </c>
      <c r="Z22" s="11">
        <f>'Input Scenarios'!Z19</f>
        <v>0.06</v>
      </c>
      <c r="AA22" s="11">
        <f>'Input Scenarios'!AA19</f>
        <v>0.34</v>
      </c>
      <c r="AB22" s="11">
        <f>'Input Scenarios'!AB19</f>
        <v>0.6</v>
      </c>
      <c r="AC22" s="11">
        <f>'Input Scenarios'!AC19</f>
        <v>0</v>
      </c>
      <c r="AD22" s="11">
        <f>'Input Scenarios'!AD19</f>
        <v>0</v>
      </c>
      <c r="AE22" s="11">
        <f>'Input Scenarios'!AE19</f>
        <v>0.06</v>
      </c>
      <c r="AF22" s="14">
        <f>IF(F22="", "",_xlfn.XLOOKUP(F22,Constants!$A$2:$A$5,Constants!F$2:F$5))</f>
        <v>0.15</v>
      </c>
      <c r="AG22" s="14">
        <f>Constants!$C$9</f>
        <v>0.3</v>
      </c>
      <c r="AH22" s="14">
        <f>Constants!$C$10</f>
        <v>0.05</v>
      </c>
      <c r="AI22" s="14">
        <f>Constants!$C$11</f>
        <v>0.4</v>
      </c>
      <c r="AJ22" s="14" t="str">
        <f>Constants!$C$16</f>
        <v>N/A</v>
      </c>
      <c r="AK22" s="14">
        <f>Constants!$D$9</f>
        <v>1E-3</v>
      </c>
      <c r="AL22" s="14">
        <f>Constants!$D$10</f>
        <v>1E-3</v>
      </c>
      <c r="AM22" s="14">
        <f>Constants!$D$11</f>
        <v>1E-3</v>
      </c>
      <c r="AN22" s="14">
        <f>Constants!$D$16</f>
        <v>0.02</v>
      </c>
      <c r="AO22" s="14">
        <f>Constants!$C$12</f>
        <v>0.2</v>
      </c>
      <c r="AP22" s="14">
        <f>Constants!$C$13</f>
        <v>0.2</v>
      </c>
      <c r="AQ22" s="14">
        <f>Constants!$C$15</f>
        <v>0</v>
      </c>
      <c r="AR22" s="14">
        <f>Constants!$C$14</f>
        <v>0</v>
      </c>
      <c r="AS22" s="14" t="str">
        <f>Constants!$C$17</f>
        <v>N/A</v>
      </c>
      <c r="AT22" s="14">
        <f>Constants!$D$12</f>
        <v>5.0000000000000001E-3</v>
      </c>
      <c r="AU22" s="14">
        <f>Constants!$D$13</f>
        <v>0.01</v>
      </c>
      <c r="AV22" s="14">
        <f>Constants!$D$15</f>
        <v>0</v>
      </c>
      <c r="AW22" s="14">
        <f>Constants!$D$14</f>
        <v>0</v>
      </c>
      <c r="AX22" s="14" t="str">
        <f>Constants!$D$17</f>
        <v>N/A</v>
      </c>
      <c r="AY22" s="14">
        <f>I22*J22/6.25</f>
        <v>1.1904000000000001E-2</v>
      </c>
      <c r="AZ22" s="14">
        <f>AY22*(1-K22)</f>
        <v>9.1660800000000018E-3</v>
      </c>
      <c r="BA22" s="14">
        <f>G22*AZ22*H22</f>
        <v>3391.1104550400005</v>
      </c>
      <c r="BB22" s="14">
        <f>$BA22*M22</f>
        <v>0</v>
      </c>
      <c r="BC22" s="14">
        <f>$BA22*N22</f>
        <v>3051.9994095360007</v>
      </c>
      <c r="BD22" s="14">
        <f>$BA22*O22</f>
        <v>0</v>
      </c>
      <c r="BE22" s="14">
        <f>$BA22*P22</f>
        <v>339.11104550400006</v>
      </c>
      <c r="BF22" s="15">
        <f>(BB22*(1-AG22-AK22))</f>
        <v>0</v>
      </c>
      <c r="BG22" s="15">
        <f>(BC22*(1-AH22-AL22))</f>
        <v>2896.3474396496645</v>
      </c>
      <c r="BH22" s="15">
        <f>(BD22*(1-AI22-AM22))</f>
        <v>0</v>
      </c>
      <c r="BI22" s="15">
        <f>($BF22*Q22)+($BG22*V22)+($BH22*AA22)</f>
        <v>984.75812948088594</v>
      </c>
      <c r="BJ22" s="15">
        <f>($BF22*R22)+($BG22*W22)+($BH22*AB22)</f>
        <v>1737.8084637897987</v>
      </c>
      <c r="BK22" s="15">
        <f>($BF22*S22)+($BG22*X22)+($BH22*AC22)</f>
        <v>0</v>
      </c>
      <c r="BL22" s="15">
        <f>($BF22*T22)+($BG22*Y22)+($BH22*AD22)</f>
        <v>0</v>
      </c>
      <c r="BM22" s="15">
        <f>($BF22*U22)+($BG22*Z22)+($BH22*AE22)</f>
        <v>173.78084637897987</v>
      </c>
      <c r="BN22" s="15">
        <f t="shared" si="1"/>
        <v>0</v>
      </c>
      <c r="BO22" s="15">
        <f t="shared" si="2"/>
        <v>152.59997047680005</v>
      </c>
      <c r="BP22" s="15">
        <f t="shared" si="3"/>
        <v>0</v>
      </c>
      <c r="BS22">
        <f>IF(L22="", "",IF( L22="pastureRangeAndPaddock",Y22*Constants!$K$2, Y22*S22))</f>
        <v>0</v>
      </c>
      <c r="BT22">
        <f>IF(OR(N22="", N22="directApplication"), "",AB22*U22)</f>
        <v>3.5999999999999997E-2</v>
      </c>
      <c r="BU22">
        <f>IF(F22="", "", SUM(BS22:BT26))</f>
        <v>3.5999999999999997E-2</v>
      </c>
      <c r="BV22">
        <f>Constants!$K$2</f>
        <v>0.21</v>
      </c>
      <c r="BW22">
        <f t="shared" si="4"/>
        <v>71.213319555840016</v>
      </c>
      <c r="BX22">
        <f>IF(C22="", "", _xlfn.XLOOKUP(C22,Constants!$A$20:$A$24,Constants!$B$20:$B$24))</f>
        <v>5.8999999999999999E-3</v>
      </c>
      <c r="BY22">
        <f>IF(BU22="","",Constants!$J$2)</f>
        <v>1.5714285714285714</v>
      </c>
      <c r="BZ22">
        <f t="shared" si="5"/>
        <v>3.3377142857142854E-7</v>
      </c>
    </row>
    <row r="23" spans="1:78" x14ac:dyDescent="0.2">
      <c r="A23" s="14" t="str">
        <f>'Input Scenarios'!A20</f>
        <v>NT</v>
      </c>
      <c r="B23" s="14">
        <f>'Input Scenarios'!B20</f>
        <v>0</v>
      </c>
      <c r="C23" s="14" t="str">
        <f>'Input Scenarios'!C20</f>
        <v>Non-irrigated crop (high rainfall)</v>
      </c>
      <c r="D23" s="14" t="str">
        <f>'Input Scenarios'!D20</f>
        <v>dry</v>
      </c>
      <c r="E23" s="14" t="b">
        <f>'Input Scenarios'!E20</f>
        <v>1</v>
      </c>
      <c r="F23" s="14" t="str">
        <f>'Input Scenarios'!F20</f>
        <v>layers</v>
      </c>
      <c r="G23" s="14">
        <f>'Input Scenarios'!G20</f>
        <v>1234</v>
      </c>
      <c r="H23" s="14">
        <f>'Input Scenarios'!H20</f>
        <v>150</v>
      </c>
      <c r="I23">
        <f>IF('Input Scenarios'!I20&lt;&gt;"", 'Input Scenarios'!I20,_xlfn.XLOOKUP($F23,Constants!$A$2:$A$5,Constants!B$2:B$5))</f>
        <v>8.5999999999999993E-2</v>
      </c>
      <c r="J23">
        <f>IF('Input Scenarios'!J20&lt;&gt;"", 'Input Scenarios'!J20,_xlfn.XLOOKUP($F23,Constants!$A$2:$A$5,Constants!C$2:C$5))</f>
        <v>0.8</v>
      </c>
      <c r="K23">
        <f>IF('Input Scenarios'!K20&lt;&gt;"", 'Input Scenarios'!K20,_xlfn.XLOOKUP($F23,Constants!$A$2:$A$5,Constants!D$2:D$5))</f>
        <v>0.19</v>
      </c>
      <c r="L23">
        <f>IF('Input Scenarios'!L20&lt;&gt;"", 'Input Scenarios'!L20,_xlfn.XLOOKUP($F23,Constants!$A$2:$A$5,Constants!E$2:E$5))</f>
        <v>0.35</v>
      </c>
      <c r="M23" s="14">
        <f>'Input Scenarios'!M20</f>
        <v>0.1</v>
      </c>
      <c r="N23" s="14">
        <f>'Input Scenarios'!N20</f>
        <v>0</v>
      </c>
      <c r="O23" s="14">
        <f>'Input Scenarios'!O20</f>
        <v>0</v>
      </c>
      <c r="P23" s="14">
        <f>'Input Scenarios'!P20</f>
        <v>0.9</v>
      </c>
      <c r="Q23" s="14">
        <f>'Input Scenarios'!Q20</f>
        <v>0.5</v>
      </c>
      <c r="R23" s="14">
        <f>'Input Scenarios'!R20</f>
        <v>0.25</v>
      </c>
      <c r="S23" s="14">
        <f>'Input Scenarios'!S20</f>
        <v>0.25</v>
      </c>
      <c r="T23" s="14">
        <f>'Input Scenarios'!T20</f>
        <v>0</v>
      </c>
      <c r="U23" s="14">
        <f>'Input Scenarios'!U20</f>
        <v>0</v>
      </c>
      <c r="V23" s="14">
        <f>'Input Scenarios'!V20</f>
        <v>0.5</v>
      </c>
      <c r="W23" s="14">
        <f>'Input Scenarios'!W20</f>
        <v>0.25</v>
      </c>
      <c r="X23" s="14">
        <f>'Input Scenarios'!X20</f>
        <v>0.25</v>
      </c>
      <c r="Y23" s="14">
        <f>'Input Scenarios'!Y20</f>
        <v>0</v>
      </c>
      <c r="Z23" s="14">
        <f>'Input Scenarios'!Z20</f>
        <v>0</v>
      </c>
      <c r="AA23" s="14">
        <f>'Input Scenarios'!AA20</f>
        <v>0.5</v>
      </c>
      <c r="AB23" s="14">
        <f>'Input Scenarios'!AB20</f>
        <v>0.25</v>
      </c>
      <c r="AC23" s="14">
        <f>'Input Scenarios'!AC20</f>
        <v>0.25</v>
      </c>
      <c r="AD23" s="14">
        <f>'Input Scenarios'!AD20</f>
        <v>0</v>
      </c>
      <c r="AE23" s="14">
        <f>'Input Scenarios'!AE20</f>
        <v>0</v>
      </c>
      <c r="AF23" s="14">
        <f>IF(F23="", "",_xlfn.XLOOKUP(F23,Constants!$A$2:$A$5,Constants!F$2:F$5))</f>
        <v>0.18</v>
      </c>
      <c r="AG23" s="14">
        <f>Constants!$C$9</f>
        <v>0.3</v>
      </c>
      <c r="AH23" s="14">
        <f>Constants!$C$10</f>
        <v>0.05</v>
      </c>
      <c r="AI23" s="14">
        <f>Constants!$C$11</f>
        <v>0.4</v>
      </c>
      <c r="AJ23" s="14" t="str">
        <f>Constants!$C$16</f>
        <v>N/A</v>
      </c>
      <c r="AK23" s="14">
        <f>Constants!$D$9</f>
        <v>1E-3</v>
      </c>
      <c r="AL23" s="14">
        <f>Constants!$D$10</f>
        <v>1E-3</v>
      </c>
      <c r="AM23" s="14">
        <f>Constants!$D$11</f>
        <v>1E-3</v>
      </c>
      <c r="AN23" s="14">
        <f>Constants!$D$16</f>
        <v>0.02</v>
      </c>
      <c r="AO23" s="14">
        <f>Constants!$C$12</f>
        <v>0.2</v>
      </c>
      <c r="AP23" s="14">
        <f>Constants!$C$13</f>
        <v>0.2</v>
      </c>
      <c r="AQ23" s="14">
        <f>Constants!$C$15</f>
        <v>0</v>
      </c>
      <c r="AR23" s="14">
        <f>Constants!$C$14</f>
        <v>0</v>
      </c>
      <c r="AS23" s="14" t="str">
        <f>Constants!$C$17</f>
        <v>N/A</v>
      </c>
      <c r="AT23" s="14">
        <f>Constants!$D$12</f>
        <v>5.0000000000000001E-3</v>
      </c>
      <c r="AU23" s="14">
        <f>Constants!$D$13</f>
        <v>0.01</v>
      </c>
      <c r="AV23" s="14">
        <f>Constants!$D$15</f>
        <v>0</v>
      </c>
      <c r="AW23" s="14">
        <f>Constants!$D$14</f>
        <v>0</v>
      </c>
      <c r="AX23" s="14" t="str">
        <f>Constants!$D$17</f>
        <v>N/A</v>
      </c>
      <c r="AY23" s="14">
        <f>I23*J23/6.25</f>
        <v>1.1008E-2</v>
      </c>
      <c r="AZ23" s="14">
        <f>AY23*(1-K23)</f>
        <v>8.9164800000000009E-3</v>
      </c>
      <c r="BA23" s="14">
        <f>G23*AZ23*H23</f>
        <v>1650.4404480000003</v>
      </c>
      <c r="BB23" s="14">
        <f>$BA23*M23</f>
        <v>165.04404480000005</v>
      </c>
      <c r="BC23" s="14">
        <f>$BA23*N23</f>
        <v>0</v>
      </c>
      <c r="BD23" s="14">
        <f>$BA23*O23</f>
        <v>0</v>
      </c>
      <c r="BE23" s="14">
        <f>$BA23*P23</f>
        <v>1485.3964032000003</v>
      </c>
      <c r="BF23" s="15">
        <f>(BB23*(1-AG23-AK23))</f>
        <v>115.36578731520002</v>
      </c>
      <c r="BG23" s="15">
        <f>(BC23*(1-AH23-AL23))</f>
        <v>0</v>
      </c>
      <c r="BH23" s="15">
        <f>(BD23*(1-AI23-AM23))</f>
        <v>0</v>
      </c>
      <c r="BI23" s="15">
        <f>($BF23*Q23)+($BG23*V23)+($BH23*AA23)</f>
        <v>57.682893657600012</v>
      </c>
      <c r="BJ23" s="15">
        <f>($BF23*R23)+($BG23*W23)+($BH23*AB23)</f>
        <v>28.841446828800006</v>
      </c>
      <c r="BK23" s="15">
        <f>($BF23*S23)+($BG23*X23)+($BH23*AC23)</f>
        <v>28.841446828800006</v>
      </c>
      <c r="BL23" s="15">
        <f>($BF23*T23)+($BG23*Y23)+($BH23*AD23)</f>
        <v>0</v>
      </c>
      <c r="BM23" s="15">
        <f>($BF23*U23)+($BG23*Z23)+($BH23*AE23)</f>
        <v>0</v>
      </c>
      <c r="BN23" s="15">
        <f t="shared" si="1"/>
        <v>49.513213440000015</v>
      </c>
      <c r="BO23" s="15">
        <f t="shared" si="2"/>
        <v>0</v>
      </c>
      <c r="BP23" s="15">
        <f t="shared" si="3"/>
        <v>0</v>
      </c>
      <c r="BS23">
        <f>IF(L23="", "",IF( L23="pastureRangeAndPaddock",Y23*Constants!$K$2, Y23*S23))</f>
        <v>0</v>
      </c>
      <c r="BT23">
        <f>IF(OR(N23="", N23="directApplication"), "",AB23*U23)</f>
        <v>0</v>
      </c>
      <c r="BU23">
        <f>IF(F23="", "", SUM(BS23:BT27))</f>
        <v>0</v>
      </c>
      <c r="BV23">
        <f>Constants!$K$2</f>
        <v>0.21</v>
      </c>
      <c r="BW23">
        <f t="shared" si="4"/>
        <v>311.93324467200006</v>
      </c>
      <c r="BX23">
        <f>IF(C23="", "", _xlfn.XLOOKUP(C23,Constants!$A$20:$A$24,Constants!$B$20:$B$24))</f>
        <v>8.0000000000000002E-3</v>
      </c>
      <c r="BY23">
        <f>IF(BU23="","",Constants!$J$2)</f>
        <v>1.5714285714285714</v>
      </c>
      <c r="BZ23">
        <f t="shared" si="5"/>
        <v>0</v>
      </c>
    </row>
    <row r="24" spans="1:78" x14ac:dyDescent="0.2">
      <c r="A24" s="14" t="str">
        <f>'Input Scenarios'!A21</f>
        <v>NT</v>
      </c>
      <c r="B24" s="14">
        <f>'Input Scenarios'!B21</f>
        <v>0</v>
      </c>
      <c r="C24" s="14" t="str">
        <f>'Input Scenarios'!C21</f>
        <v>Non-irrigated crop (high rainfall)</v>
      </c>
      <c r="D24" s="14" t="str">
        <f>'Input Scenarios'!D21</f>
        <v>dry</v>
      </c>
      <c r="E24" s="14" t="b">
        <f>'Input Scenarios'!E21</f>
        <v>1</v>
      </c>
      <c r="F24" s="14" t="str">
        <f>'Input Scenarios'!F21</f>
        <v>meatChickenBreeder</v>
      </c>
      <c r="G24" s="14">
        <f>'Input Scenarios'!G21</f>
        <v>1234</v>
      </c>
      <c r="H24" s="14">
        <f>'Input Scenarios'!H21</f>
        <v>150</v>
      </c>
      <c r="I24">
        <f>IF('Input Scenarios'!I21&lt;&gt;"", 'Input Scenarios'!I21,_xlfn.XLOOKUP($F24,Constants!$A$2:$A$5,Constants!B$2:B$5))</f>
        <v>0.10299999999999999</v>
      </c>
      <c r="J24">
        <f>IF('Input Scenarios'!J21&lt;&gt;"", 'Input Scenarios'!J21,_xlfn.XLOOKUP($F24,Constants!$A$2:$A$5,Constants!C$2:C$5))</f>
        <v>0.8</v>
      </c>
      <c r="K24">
        <f>IF('Input Scenarios'!K21&lt;&gt;"", 'Input Scenarios'!K21,_xlfn.XLOOKUP($F24,Constants!$A$2:$A$5,Constants!D$2:D$5))</f>
        <v>0.19</v>
      </c>
      <c r="L24">
        <f>IF('Input Scenarios'!L21&lt;&gt;"", 'Input Scenarios'!L21,_xlfn.XLOOKUP($F24,Constants!$A$2:$A$5,Constants!E$2:E$5))</f>
        <v>0.32</v>
      </c>
      <c r="M24" s="14">
        <f>'Input Scenarios'!M21</f>
        <v>0.1</v>
      </c>
      <c r="N24" s="14">
        <f>'Input Scenarios'!N21</f>
        <v>0</v>
      </c>
      <c r="O24" s="14">
        <f>'Input Scenarios'!O21</f>
        <v>0</v>
      </c>
      <c r="P24" s="14">
        <f>'Input Scenarios'!P21</f>
        <v>0.9</v>
      </c>
      <c r="Q24" s="14">
        <f>'Input Scenarios'!Q21</f>
        <v>0.5</v>
      </c>
      <c r="R24" s="14">
        <f>'Input Scenarios'!R21</f>
        <v>0.25</v>
      </c>
      <c r="S24" s="14">
        <f>'Input Scenarios'!S21</f>
        <v>0.25</v>
      </c>
      <c r="T24" s="14">
        <f>'Input Scenarios'!T21</f>
        <v>0</v>
      </c>
      <c r="U24" s="14">
        <f>'Input Scenarios'!U21</f>
        <v>0</v>
      </c>
      <c r="V24" s="14">
        <f>'Input Scenarios'!V21</f>
        <v>0.5</v>
      </c>
      <c r="W24" s="14">
        <f>'Input Scenarios'!W21</f>
        <v>0.25</v>
      </c>
      <c r="X24" s="14">
        <f>'Input Scenarios'!X21</f>
        <v>0.25</v>
      </c>
      <c r="Y24" s="14">
        <f>'Input Scenarios'!Y21</f>
        <v>0</v>
      </c>
      <c r="Z24" s="14">
        <f>'Input Scenarios'!Z21</f>
        <v>0</v>
      </c>
      <c r="AA24" s="14">
        <f>'Input Scenarios'!AA21</f>
        <v>0.5</v>
      </c>
      <c r="AB24" s="14">
        <f>'Input Scenarios'!AB21</f>
        <v>0.25</v>
      </c>
      <c r="AC24" s="14">
        <f>'Input Scenarios'!AC21</f>
        <v>0.25</v>
      </c>
      <c r="AD24" s="14">
        <f>'Input Scenarios'!AD21</f>
        <v>0</v>
      </c>
      <c r="AE24" s="14">
        <f>'Input Scenarios'!AE21</f>
        <v>0</v>
      </c>
      <c r="AF24" s="14">
        <f>IF(F24="", "",_xlfn.XLOOKUP(F24,Constants!$A$2:$A$5,Constants!F$2:F$5))</f>
        <v>0.18</v>
      </c>
      <c r="AG24" s="14">
        <f>Constants!$C$9</f>
        <v>0.3</v>
      </c>
      <c r="AH24" s="14">
        <f>Constants!$C$10</f>
        <v>0.05</v>
      </c>
      <c r="AI24" s="14">
        <f>Constants!$C$11</f>
        <v>0.4</v>
      </c>
      <c r="AJ24" s="14" t="str">
        <f>Constants!$C$16</f>
        <v>N/A</v>
      </c>
      <c r="AK24" s="14">
        <f>Constants!$D$9</f>
        <v>1E-3</v>
      </c>
      <c r="AL24" s="14">
        <f>Constants!$D$10</f>
        <v>1E-3</v>
      </c>
      <c r="AM24" s="14">
        <f>Constants!$D$11</f>
        <v>1E-3</v>
      </c>
      <c r="AN24" s="14">
        <f>Constants!$D$16</f>
        <v>0.02</v>
      </c>
      <c r="AO24" s="14">
        <f>Constants!$C$12</f>
        <v>0.2</v>
      </c>
      <c r="AP24" s="14">
        <f>Constants!$C$13</f>
        <v>0.2</v>
      </c>
      <c r="AQ24" s="14">
        <f>Constants!$C$15</f>
        <v>0</v>
      </c>
      <c r="AR24" s="14">
        <f>Constants!$C$14</f>
        <v>0</v>
      </c>
      <c r="AS24" s="14" t="str">
        <f>Constants!$C$17</f>
        <v>N/A</v>
      </c>
      <c r="AT24" s="14">
        <f>Constants!$D$12</f>
        <v>5.0000000000000001E-3</v>
      </c>
      <c r="AU24" s="14">
        <f>Constants!$D$13</f>
        <v>0.01</v>
      </c>
      <c r="AV24" s="14">
        <f>Constants!$D$15</f>
        <v>0</v>
      </c>
      <c r="AW24" s="14">
        <f>Constants!$D$14</f>
        <v>0</v>
      </c>
      <c r="AX24" s="14" t="str">
        <f>Constants!$D$17</f>
        <v>N/A</v>
      </c>
      <c r="AY24" s="14">
        <f>I24*J24/6.25</f>
        <v>1.3184E-2</v>
      </c>
      <c r="AZ24" s="14">
        <f>AY24*(1-K24)</f>
        <v>1.0679040000000001E-2</v>
      </c>
      <c r="BA24" s="14">
        <f>G24*AZ24*H24</f>
        <v>1976.6903040000002</v>
      </c>
      <c r="BB24" s="14">
        <f>$BA24*M24</f>
        <v>197.66903040000003</v>
      </c>
      <c r="BC24" s="14">
        <f>$BA24*N24</f>
        <v>0</v>
      </c>
      <c r="BD24" s="14">
        <f>$BA24*O24</f>
        <v>0</v>
      </c>
      <c r="BE24" s="14">
        <f>$BA24*P24</f>
        <v>1779.0212736000003</v>
      </c>
      <c r="BF24" s="15">
        <f>(BB24*(1-AG24-AK24))</f>
        <v>138.17065224960001</v>
      </c>
      <c r="BG24" s="15">
        <f>(BC24*(1-AH24-AL24))</f>
        <v>0</v>
      </c>
      <c r="BH24" s="15">
        <f>(BD24*(1-AI24-AM24))</f>
        <v>0</v>
      </c>
      <c r="BI24" s="15">
        <f>($BF24*Q24)+($BG24*V24)+($BH24*AA24)</f>
        <v>69.085326124800005</v>
      </c>
      <c r="BJ24" s="15">
        <f>($BF24*R24)+($BG24*W24)+($BH24*AB24)</f>
        <v>34.542663062400003</v>
      </c>
      <c r="BK24" s="15">
        <f>($BF24*S24)+($BG24*X24)+($BH24*AC24)</f>
        <v>34.542663062400003</v>
      </c>
      <c r="BL24" s="15">
        <f>($BF24*T24)+($BG24*Y24)+($BH24*AD24)</f>
        <v>0</v>
      </c>
      <c r="BM24" s="15">
        <f>($BF24*U24)+($BG24*Z24)+($BH24*AE24)</f>
        <v>0</v>
      </c>
      <c r="BN24" s="15">
        <f t="shared" si="1"/>
        <v>59.300709120000008</v>
      </c>
      <c r="BO24" s="15">
        <f t="shared" si="2"/>
        <v>0</v>
      </c>
      <c r="BP24" s="15">
        <f t="shared" si="3"/>
        <v>0</v>
      </c>
      <c r="BS24">
        <f>IF(L24="", "",IF( L24="pastureRangeAndPaddock",Y24*Constants!$K$2, Y24*S24))</f>
        <v>0</v>
      </c>
      <c r="BT24">
        <f>IF(OR(N24="", N24="directApplication"), "",AB24*U24)</f>
        <v>0</v>
      </c>
      <c r="BU24">
        <f>IF(F24="", "", SUM(BS24:BT28))</f>
        <v>0</v>
      </c>
      <c r="BV24">
        <f>Constants!$K$2</f>
        <v>0.21</v>
      </c>
      <c r="BW24">
        <f t="shared" si="4"/>
        <v>373.59446745600007</v>
      </c>
      <c r="BX24">
        <f>IF(C24="", "", _xlfn.XLOOKUP(C24,Constants!$A$20:$A$24,Constants!$B$20:$B$24))</f>
        <v>8.0000000000000002E-3</v>
      </c>
      <c r="BY24">
        <f>IF(BU24="","",Constants!$J$2)</f>
        <v>1.5714285714285714</v>
      </c>
      <c r="BZ24">
        <f t="shared" si="5"/>
        <v>0</v>
      </c>
    </row>
    <row r="25" spans="1:78" s="11" customFormat="1" x14ac:dyDescent="0.2">
      <c r="A25" s="14" t="str">
        <f>'Input Scenarios'!A22</f>
        <v>NT</v>
      </c>
      <c r="B25" s="14">
        <f>'Input Scenarios'!B22</f>
        <v>0</v>
      </c>
      <c r="C25" s="14" t="str">
        <f>'Input Scenarios'!C22</f>
        <v>Non-irrigated crop (high rainfall)</v>
      </c>
      <c r="D25" s="14" t="str">
        <f>'Input Scenarios'!D22</f>
        <v>dry</v>
      </c>
      <c r="E25" s="14" t="b">
        <f>'Input Scenarios'!E22</f>
        <v>1</v>
      </c>
      <c r="F25" s="14" t="str">
        <f>'Input Scenarios'!F22</f>
        <v>meatChickenGrowers</v>
      </c>
      <c r="G25" s="14">
        <f>'Input Scenarios'!G22</f>
        <v>1234</v>
      </c>
      <c r="H25" s="14">
        <f>'Input Scenarios'!H22</f>
        <v>150</v>
      </c>
      <c r="I25">
        <f>IF('Input Scenarios'!I22&lt;&gt;"", 'Input Scenarios'!I22,_xlfn.XLOOKUP($F25,Constants!$A$2:$A$5,Constants!B$2:B$5))</f>
        <v>9.2999999999999999E-2</v>
      </c>
      <c r="J25">
        <f>IF('Input Scenarios'!J22&lt;&gt;"", 'Input Scenarios'!J22,_xlfn.XLOOKUP($F25,Constants!$A$2:$A$5,Constants!C$2:C$5))</f>
        <v>0.8</v>
      </c>
      <c r="K25">
        <f>IF('Input Scenarios'!K22&lt;&gt;"", 'Input Scenarios'!K22,_xlfn.XLOOKUP($F25,Constants!$A$2:$A$5,Constants!D$2:D$5))</f>
        <v>0.23</v>
      </c>
      <c r="L25">
        <f>IF('Input Scenarios'!L22&lt;&gt;"", 'Input Scenarios'!L22,_xlfn.XLOOKUP($F25,Constants!$A$2:$A$5,Constants!E$2:E$5))</f>
        <v>0.47</v>
      </c>
      <c r="M25" s="14">
        <f>'Input Scenarios'!M22</f>
        <v>0.1</v>
      </c>
      <c r="N25" s="14">
        <f>'Input Scenarios'!N22</f>
        <v>0</v>
      </c>
      <c r="O25" s="14">
        <f>'Input Scenarios'!O22</f>
        <v>0</v>
      </c>
      <c r="P25" s="14">
        <f>'Input Scenarios'!P22</f>
        <v>0.9</v>
      </c>
      <c r="Q25" s="14">
        <f>'Input Scenarios'!Q22</f>
        <v>0.5</v>
      </c>
      <c r="R25" s="14">
        <f>'Input Scenarios'!R22</f>
        <v>0.25</v>
      </c>
      <c r="S25" s="14">
        <f>'Input Scenarios'!S22</f>
        <v>0.25</v>
      </c>
      <c r="T25" s="14">
        <f>'Input Scenarios'!T22</f>
        <v>0</v>
      </c>
      <c r="U25" s="14">
        <f>'Input Scenarios'!U22</f>
        <v>0</v>
      </c>
      <c r="V25" s="14">
        <f>'Input Scenarios'!V22</f>
        <v>0.5</v>
      </c>
      <c r="W25" s="14">
        <f>'Input Scenarios'!W22</f>
        <v>0.25</v>
      </c>
      <c r="X25" s="14">
        <f>'Input Scenarios'!X22</f>
        <v>0.25</v>
      </c>
      <c r="Y25" s="14">
        <f>'Input Scenarios'!Y22</f>
        <v>0</v>
      </c>
      <c r="Z25" s="14">
        <f>'Input Scenarios'!Z22</f>
        <v>0</v>
      </c>
      <c r="AA25" s="14">
        <f>'Input Scenarios'!AA22</f>
        <v>0.5</v>
      </c>
      <c r="AB25" s="14">
        <f>'Input Scenarios'!AB22</f>
        <v>0.25</v>
      </c>
      <c r="AC25" s="14">
        <f>'Input Scenarios'!AC22</f>
        <v>0.25</v>
      </c>
      <c r="AD25" s="14">
        <f>'Input Scenarios'!AD22</f>
        <v>0</v>
      </c>
      <c r="AE25" s="14">
        <f>'Input Scenarios'!AE22</f>
        <v>0</v>
      </c>
      <c r="AF25" s="14">
        <f>IF(F25="", "",_xlfn.XLOOKUP(F25,Constants!$A$2:$A$5,Constants!F$2:F$5))</f>
        <v>0.15</v>
      </c>
      <c r="AG25" s="14">
        <f>Constants!$C$9</f>
        <v>0.3</v>
      </c>
      <c r="AH25" s="14">
        <f>Constants!$C$10</f>
        <v>0.05</v>
      </c>
      <c r="AI25" s="14">
        <f>Constants!$C$11</f>
        <v>0.4</v>
      </c>
      <c r="AJ25" s="14" t="str">
        <f>Constants!$C$16</f>
        <v>N/A</v>
      </c>
      <c r="AK25" s="14">
        <f>Constants!$D$9</f>
        <v>1E-3</v>
      </c>
      <c r="AL25" s="14">
        <f>Constants!$D$10</f>
        <v>1E-3</v>
      </c>
      <c r="AM25" s="14">
        <f>Constants!$D$11</f>
        <v>1E-3</v>
      </c>
      <c r="AN25" s="14">
        <f>Constants!$D$16</f>
        <v>0.02</v>
      </c>
      <c r="AO25" s="14">
        <f>Constants!$C$12</f>
        <v>0.2</v>
      </c>
      <c r="AP25" s="14">
        <f>Constants!$C$13</f>
        <v>0.2</v>
      </c>
      <c r="AQ25" s="14">
        <f>Constants!$C$15</f>
        <v>0</v>
      </c>
      <c r="AR25" s="14">
        <f>Constants!$C$14</f>
        <v>0</v>
      </c>
      <c r="AS25" s="14" t="str">
        <f>Constants!$C$17</f>
        <v>N/A</v>
      </c>
      <c r="AT25" s="14">
        <f>Constants!$D$12</f>
        <v>5.0000000000000001E-3</v>
      </c>
      <c r="AU25" s="14">
        <f>Constants!$D$13</f>
        <v>0.01</v>
      </c>
      <c r="AV25" s="14">
        <f>Constants!$D$15</f>
        <v>0</v>
      </c>
      <c r="AW25" s="14">
        <f>Constants!$D$14</f>
        <v>0</v>
      </c>
      <c r="AX25" s="14" t="str">
        <f>Constants!$D$17</f>
        <v>N/A</v>
      </c>
      <c r="AY25" s="14">
        <f>I25*J25/6.25</f>
        <v>1.1904000000000001E-2</v>
      </c>
      <c r="AZ25" s="14">
        <f>AY25*(1-K25)</f>
        <v>9.1660800000000018E-3</v>
      </c>
      <c r="BA25" s="14">
        <f>G25*AZ25*H25</f>
        <v>1696.6414080000002</v>
      </c>
      <c r="BB25" s="14">
        <f>$BA25*M25</f>
        <v>169.66414080000004</v>
      </c>
      <c r="BC25" s="14">
        <f>$BA25*N25</f>
        <v>0</v>
      </c>
      <c r="BD25" s="14">
        <f>$BA25*O25</f>
        <v>0</v>
      </c>
      <c r="BE25" s="14">
        <f>$BA25*P25</f>
        <v>1526.9772672000001</v>
      </c>
      <c r="BF25" s="15">
        <f>(BB25*(1-AG25-AK25))</f>
        <v>118.59523441920003</v>
      </c>
      <c r="BG25" s="15">
        <f>(BC25*(1-AH25-AL25))</f>
        <v>0</v>
      </c>
      <c r="BH25" s="15">
        <f>(BD25*(1-AI25-AM25))</f>
        <v>0</v>
      </c>
      <c r="BI25" s="15">
        <f>($BF25*Q25)+($BG25*V25)+($BH25*AA25)</f>
        <v>59.297617209600013</v>
      </c>
      <c r="BJ25" s="15">
        <f>($BF25*R25)+($BG25*W25)+($BH25*AB25)</f>
        <v>29.648808604800006</v>
      </c>
      <c r="BK25" s="15">
        <f>($BF25*S25)+($BG25*X25)+($BH25*AC25)</f>
        <v>29.648808604800006</v>
      </c>
      <c r="BL25" s="15">
        <f>($BF25*T25)+($BG25*Y25)+($BH25*AD25)</f>
        <v>0</v>
      </c>
      <c r="BM25" s="15">
        <f>($BF25*U25)+($BG25*Z25)+($BH25*AE25)</f>
        <v>0</v>
      </c>
      <c r="BN25" s="15">
        <f t="shared" si="1"/>
        <v>50.899242240000014</v>
      </c>
      <c r="BO25" s="15">
        <f t="shared" si="2"/>
        <v>0</v>
      </c>
      <c r="BP25" s="15">
        <f t="shared" si="3"/>
        <v>0</v>
      </c>
      <c r="BQ25"/>
      <c r="BR25"/>
      <c r="BS25">
        <f>IF(L25="", "",IF( L25="pastureRangeAndPaddock",Y25*Constants!$K$2, Y25*S25))</f>
        <v>0</v>
      </c>
      <c r="BT25">
        <f>IF(OR(N25="", N25="directApplication"), "",AB25*U25)</f>
        <v>0</v>
      </c>
      <c r="BU25">
        <f>IF(F25="", "", SUM(BS25:BT29))</f>
        <v>0</v>
      </c>
      <c r="BV25">
        <f>Constants!$K$2</f>
        <v>0.21</v>
      </c>
      <c r="BW25">
        <f t="shared" si="4"/>
        <v>320.66522611200003</v>
      </c>
      <c r="BX25">
        <f>IF(C25="", "", _xlfn.XLOOKUP(C25,Constants!$A$20:$A$24,Constants!$B$20:$B$24))</f>
        <v>8.0000000000000002E-3</v>
      </c>
      <c r="BY25">
        <f>IF(BU25="","",Constants!$J$2)</f>
        <v>1.5714285714285714</v>
      </c>
      <c r="BZ25">
        <f t="shared" si="5"/>
        <v>0</v>
      </c>
    </row>
    <row r="26" spans="1:78" x14ac:dyDescent="0.2">
      <c r="A26" s="11" t="str">
        <f>'Input Scenarios'!A23</f>
        <v>NT</v>
      </c>
      <c r="B26" s="11">
        <f>'Input Scenarios'!B23</f>
        <v>0</v>
      </c>
      <c r="C26" s="11" t="str">
        <f>'Input Scenarios'!C23</f>
        <v>Non-irrigated crop (high rainfall)</v>
      </c>
      <c r="D26" s="11" t="str">
        <f>'Input Scenarios'!D23</f>
        <v>dry</v>
      </c>
      <c r="E26" s="11" t="b">
        <f>'Input Scenarios'!E23</f>
        <v>1</v>
      </c>
      <c r="F26" s="11" t="str">
        <f>'Input Scenarios'!F23</f>
        <v>meatOther</v>
      </c>
      <c r="G26" s="11">
        <f>'Input Scenarios'!G23</f>
        <v>1234</v>
      </c>
      <c r="H26" s="11">
        <f>'Input Scenarios'!H23</f>
        <v>150</v>
      </c>
      <c r="I26">
        <f>IF('Input Scenarios'!I23&lt;&gt;"", 'Input Scenarios'!I23,_xlfn.XLOOKUP($F26,Constants!$A$2:$A$5,Constants!B$2:B$5))</f>
        <v>9.2999999999999999E-2</v>
      </c>
      <c r="J26">
        <f>IF('Input Scenarios'!J23&lt;&gt;"", 'Input Scenarios'!J23,_xlfn.XLOOKUP($F26,Constants!$A$2:$A$5,Constants!C$2:C$5))</f>
        <v>0.8</v>
      </c>
      <c r="K26">
        <f>IF('Input Scenarios'!K23&lt;&gt;"", 'Input Scenarios'!K23,_xlfn.XLOOKUP($F26,Constants!$A$2:$A$5,Constants!D$2:D$5))</f>
        <v>0.23</v>
      </c>
      <c r="L26">
        <f>IF('Input Scenarios'!L23&lt;&gt;"", 'Input Scenarios'!L23,_xlfn.XLOOKUP($F26,Constants!$A$2:$A$5,Constants!E$2:E$5))</f>
        <v>0.47</v>
      </c>
      <c r="M26" s="11">
        <f>'Input Scenarios'!M23</f>
        <v>0.1</v>
      </c>
      <c r="N26" s="11">
        <f>'Input Scenarios'!N23</f>
        <v>0</v>
      </c>
      <c r="O26" s="11">
        <f>'Input Scenarios'!O23</f>
        <v>0</v>
      </c>
      <c r="P26" s="11">
        <f>'Input Scenarios'!P23</f>
        <v>0.9</v>
      </c>
      <c r="Q26" s="11">
        <f>'Input Scenarios'!Q23</f>
        <v>0.5</v>
      </c>
      <c r="R26" s="11">
        <f>'Input Scenarios'!R23</f>
        <v>0.25</v>
      </c>
      <c r="S26" s="11">
        <f>'Input Scenarios'!S23</f>
        <v>0.25</v>
      </c>
      <c r="T26" s="11">
        <f>'Input Scenarios'!T23</f>
        <v>0</v>
      </c>
      <c r="U26" s="11">
        <f>'Input Scenarios'!U23</f>
        <v>0</v>
      </c>
      <c r="V26" s="11">
        <f>'Input Scenarios'!V23</f>
        <v>0.5</v>
      </c>
      <c r="W26" s="11">
        <f>'Input Scenarios'!W23</f>
        <v>0.25</v>
      </c>
      <c r="X26" s="11">
        <f>'Input Scenarios'!X23</f>
        <v>0.25</v>
      </c>
      <c r="Y26" s="11">
        <f>'Input Scenarios'!Y23</f>
        <v>0</v>
      </c>
      <c r="Z26" s="11">
        <f>'Input Scenarios'!Z23</f>
        <v>0</v>
      </c>
      <c r="AA26" s="11">
        <f>'Input Scenarios'!AA23</f>
        <v>0.5</v>
      </c>
      <c r="AB26" s="11">
        <f>'Input Scenarios'!AB23</f>
        <v>0.25</v>
      </c>
      <c r="AC26" s="11">
        <f>'Input Scenarios'!AC23</f>
        <v>0.25</v>
      </c>
      <c r="AD26" s="11">
        <f>'Input Scenarios'!AD23</f>
        <v>0</v>
      </c>
      <c r="AE26" s="11">
        <f>'Input Scenarios'!AE23</f>
        <v>0</v>
      </c>
      <c r="AF26" s="14">
        <f>IF(F26="", "",_xlfn.XLOOKUP(F26,Constants!$A$2:$A$5,Constants!F$2:F$5))</f>
        <v>0.15</v>
      </c>
      <c r="AG26" s="14">
        <f>Constants!$C$9</f>
        <v>0.3</v>
      </c>
      <c r="AH26" s="14">
        <f>Constants!$C$10</f>
        <v>0.05</v>
      </c>
      <c r="AI26" s="14">
        <f>Constants!$C$11</f>
        <v>0.4</v>
      </c>
      <c r="AJ26" s="14" t="str">
        <f>Constants!$C$16</f>
        <v>N/A</v>
      </c>
      <c r="AK26" s="14">
        <f>Constants!$D$9</f>
        <v>1E-3</v>
      </c>
      <c r="AL26" s="14">
        <f>Constants!$D$10</f>
        <v>1E-3</v>
      </c>
      <c r="AM26" s="14">
        <f>Constants!$D$11</f>
        <v>1E-3</v>
      </c>
      <c r="AN26" s="14">
        <f>Constants!$D$16</f>
        <v>0.02</v>
      </c>
      <c r="AO26" s="14">
        <f>Constants!$C$12</f>
        <v>0.2</v>
      </c>
      <c r="AP26" s="14">
        <f>Constants!$C$13</f>
        <v>0.2</v>
      </c>
      <c r="AQ26" s="14">
        <f>Constants!$C$15</f>
        <v>0</v>
      </c>
      <c r="AR26" s="14">
        <f>Constants!$C$14</f>
        <v>0</v>
      </c>
      <c r="AS26" s="14" t="str">
        <f>Constants!$C$17</f>
        <v>N/A</v>
      </c>
      <c r="AT26" s="14">
        <f>Constants!$D$12</f>
        <v>5.0000000000000001E-3</v>
      </c>
      <c r="AU26" s="14">
        <f>Constants!$D$13</f>
        <v>0.01</v>
      </c>
      <c r="AV26" s="14">
        <f>Constants!$D$15</f>
        <v>0</v>
      </c>
      <c r="AW26" s="14">
        <f>Constants!$D$14</f>
        <v>0</v>
      </c>
      <c r="AX26" s="14" t="str">
        <f>Constants!$D$17</f>
        <v>N/A</v>
      </c>
      <c r="AY26" s="14">
        <f>I26*J26/6.25</f>
        <v>1.1904000000000001E-2</v>
      </c>
      <c r="AZ26" s="14">
        <f>AY26*(1-K26)</f>
        <v>9.1660800000000018E-3</v>
      </c>
      <c r="BA26" s="14">
        <f>G26*AZ26*H26</f>
        <v>1696.6414080000002</v>
      </c>
      <c r="BB26" s="14">
        <f>$BA26*M26</f>
        <v>169.66414080000004</v>
      </c>
      <c r="BC26" s="14">
        <f>$BA26*N26</f>
        <v>0</v>
      </c>
      <c r="BD26" s="14">
        <f>$BA26*O26</f>
        <v>0</v>
      </c>
      <c r="BE26" s="14">
        <f>$BA26*P26</f>
        <v>1526.9772672000001</v>
      </c>
      <c r="BF26" s="15">
        <f>(BB26*(1-AG26-AK26))</f>
        <v>118.59523441920003</v>
      </c>
      <c r="BG26" s="15">
        <f>(BC26*(1-AH26-AL26))</f>
        <v>0</v>
      </c>
      <c r="BH26" s="15">
        <f>(BD26*(1-AI26-AM26))</f>
        <v>0</v>
      </c>
      <c r="BI26" s="15">
        <f>($BF26*Q26)+($BG26*V26)+($BH26*AA26)</f>
        <v>59.297617209600013</v>
      </c>
      <c r="BJ26" s="15">
        <f>($BF26*R26)+($BG26*W26)+($BH26*AB26)</f>
        <v>29.648808604800006</v>
      </c>
      <c r="BK26" s="15">
        <f>($BF26*S26)+($BG26*X26)+($BH26*AC26)</f>
        <v>29.648808604800006</v>
      </c>
      <c r="BL26" s="15">
        <f>($BF26*T26)+($BG26*Y26)+($BH26*AD26)</f>
        <v>0</v>
      </c>
      <c r="BM26" s="15">
        <f>($BF26*U26)+($BG26*Z26)+($BH26*AE26)</f>
        <v>0</v>
      </c>
      <c r="BN26" s="15">
        <f t="shared" si="1"/>
        <v>50.899242240000014</v>
      </c>
      <c r="BO26" s="15">
        <f t="shared" si="2"/>
        <v>0</v>
      </c>
      <c r="BP26" s="15">
        <f t="shared" si="3"/>
        <v>0</v>
      </c>
      <c r="BS26">
        <f>IF(L26="", "",IF( L26="pastureRangeAndPaddock",Y26*Constants!$K$2, Y26*S26))</f>
        <v>0</v>
      </c>
      <c r="BT26">
        <f>IF(OR(N26="", N26="directApplication"), "",AB26*U26)</f>
        <v>0</v>
      </c>
      <c r="BU26">
        <f>IF(F26="", "", SUM(BS26:BT30))</f>
        <v>0</v>
      </c>
      <c r="BV26">
        <f>Constants!$K$2</f>
        <v>0.21</v>
      </c>
      <c r="BW26">
        <f t="shared" si="4"/>
        <v>320.66522611200003</v>
      </c>
      <c r="BX26">
        <f>IF(C26="", "", _xlfn.XLOOKUP(C26,Constants!$A$20:$A$24,Constants!$B$20:$B$24))</f>
        <v>8.0000000000000002E-3</v>
      </c>
      <c r="BY26">
        <f>IF(BU26="","",Constants!$J$2)</f>
        <v>1.5714285714285714</v>
      </c>
      <c r="BZ26">
        <f t="shared" si="5"/>
        <v>0</v>
      </c>
    </row>
    <row r="27" spans="1:78" x14ac:dyDescent="0.2"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G27" s="14"/>
      <c r="BH27" s="14"/>
      <c r="BI27" s="14"/>
      <c r="BJ27" s="14"/>
      <c r="BK27" s="14"/>
      <c r="BL27" s="14"/>
      <c r="BM27" s="14"/>
      <c r="BS27" t="str">
        <f>IF(L27="", "",IF( L27="pastureRangeAndPaddock",Y27*Constants!$K$2, Y27*S27))</f>
        <v/>
      </c>
      <c r="BT27" t="str">
        <f>IF(OR(N27="", N27="directApplication"), "",AB27*U27)</f>
        <v/>
      </c>
      <c r="BU27" t="str">
        <f>IF(F27="", "", SUM(BS27:BT31))</f>
        <v/>
      </c>
      <c r="BX27" t="str">
        <f>IF(C27="", "", _xlfn.XLOOKUP(C27,Constants!$A$20:$A$24,Constants!$B$20:$B$24))</f>
        <v/>
      </c>
      <c r="BY27" t="str">
        <f>IF(BU27="","",Constants!$J$2)</f>
        <v/>
      </c>
      <c r="BZ27" t="str">
        <f t="shared" si="5"/>
        <v/>
      </c>
    </row>
    <row r="28" spans="1:78" x14ac:dyDescent="0.2"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G28" s="14"/>
      <c r="BH28" s="14"/>
      <c r="BI28" s="14"/>
      <c r="BJ28" s="14"/>
      <c r="BK28" s="14"/>
      <c r="BL28" s="14"/>
      <c r="BM28" s="14"/>
      <c r="BS28" t="str">
        <f>IF(L28="", "",IF( L28="pastureRangeAndPaddock",Y28*Constants!$K$2, Y28*S28))</f>
        <v/>
      </c>
      <c r="BT28" t="str">
        <f>IF(OR(N28="", N28="directApplication"), "",AB28*U28)</f>
        <v/>
      </c>
      <c r="BU28" t="str">
        <f>IF(F28="", "", SUM(BS28:BT32))</f>
        <v/>
      </c>
      <c r="BX28" t="str">
        <f>IF(C28="", "", _xlfn.XLOOKUP(C28,Constants!$A$20:$A$24,Constants!$B$20:$B$24))</f>
        <v/>
      </c>
      <c r="BY28" t="str">
        <f>IF(BU28="","",Constants!$J$2)</f>
        <v/>
      </c>
      <c r="BZ28" t="str">
        <f t="shared" si="5"/>
        <v/>
      </c>
    </row>
    <row r="29" spans="1:78" x14ac:dyDescent="0.2"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G29" s="14"/>
      <c r="BH29" s="14"/>
      <c r="BI29" s="14"/>
      <c r="BJ29" s="14"/>
      <c r="BK29" s="14"/>
      <c r="BL29" s="14"/>
      <c r="BM29" s="14"/>
      <c r="BS29" t="str">
        <f>IF(L29="", "",IF( L29="pastureRangeAndPaddock",Y29*Constants!$K$2, Y29*S29))</f>
        <v/>
      </c>
      <c r="BT29" t="str">
        <f>IF(OR(N29="", N29="directApplication"), "",AB29*U29)</f>
        <v/>
      </c>
      <c r="BU29" t="str">
        <f>IF(F29="", "", SUM(BS29:BT33))</f>
        <v/>
      </c>
      <c r="BX29" t="str">
        <f>IF(C29="", "", _xlfn.XLOOKUP(C29,Constants!$A$20:$A$24,Constants!$B$20:$B$24))</f>
        <v/>
      </c>
      <c r="BY29" t="str">
        <f>IF(BU29="","",Constants!$J$2)</f>
        <v/>
      </c>
      <c r="BZ29" t="str">
        <f t="shared" si="5"/>
        <v/>
      </c>
    </row>
    <row r="30" spans="1:78" s="11" customFormat="1" x14ac:dyDescent="0.2">
      <c r="A30"/>
      <c r="B30"/>
      <c r="C30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/>
      <c r="BO30"/>
      <c r="BP30"/>
      <c r="BQ30"/>
      <c r="BR30"/>
      <c r="BS30" t="str">
        <f>IF(L30="", "",IF( L30="pastureRangeAndPaddock",Y30*Constants!$K$2, Y30*S30))</f>
        <v/>
      </c>
      <c r="BT30" t="str">
        <f>IF(OR(N30="", N30="directApplication"), "",AB30*U30)</f>
        <v/>
      </c>
      <c r="BU30" t="str">
        <f>IF(F30="", "", SUM(BS30:BT34))</f>
        <v/>
      </c>
      <c r="BV30"/>
      <c r="BW30"/>
      <c r="BX30" t="str">
        <f>IF(C30="", "", _xlfn.XLOOKUP(C30,Constants!$A$20:$A$24,Constants!$B$20:$B$24))</f>
        <v/>
      </c>
      <c r="BY30" t="str">
        <f>IF(BU30="","",Constants!$J$2)</f>
        <v/>
      </c>
      <c r="BZ30" t="str">
        <f t="shared" si="5"/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B6793-AC5B-024D-9741-D6649CB824BC}">
  <dimension ref="A2:AI31"/>
  <sheetViews>
    <sheetView topLeftCell="U5" workbookViewId="0">
      <selection activeCell="S14" sqref="S14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  <col min="29" max="30" width="12.1640625" customWidth="1"/>
    <col min="35" max="35" width="12.1640625" bestFit="1" customWidth="1"/>
  </cols>
  <sheetData>
    <row r="2" spans="1:35" x14ac:dyDescent="0.2">
      <c r="A2" t="s">
        <v>30</v>
      </c>
    </row>
    <row r="4" spans="1:35" x14ac:dyDescent="0.2">
      <c r="A4" t="s">
        <v>1</v>
      </c>
      <c r="B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52</v>
      </c>
      <c r="J4" t="s">
        <v>52</v>
      </c>
      <c r="K4" t="s">
        <v>52</v>
      </c>
      <c r="L4" t="s">
        <v>1</v>
      </c>
      <c r="M4" t="s">
        <v>1</v>
      </c>
      <c r="N4" t="s">
        <v>1</v>
      </c>
      <c r="O4" t="s">
        <v>1</v>
      </c>
      <c r="P4" t="s">
        <v>52</v>
      </c>
      <c r="Q4" t="s">
        <v>52</v>
      </c>
      <c r="R4" t="s">
        <v>52</v>
      </c>
      <c r="S4" t="s">
        <v>52</v>
      </c>
      <c r="T4" t="s">
        <v>52</v>
      </c>
      <c r="U4" t="s">
        <v>52</v>
      </c>
      <c r="V4" t="s">
        <v>58</v>
      </c>
      <c r="W4" t="s">
        <v>58</v>
      </c>
      <c r="X4" t="s">
        <v>58</v>
      </c>
      <c r="Y4" t="s">
        <v>58</v>
      </c>
      <c r="Z4" t="s">
        <v>58</v>
      </c>
    </row>
    <row r="5" spans="1:35" x14ac:dyDescent="0.2">
      <c r="K5" t="s">
        <v>0</v>
      </c>
      <c r="Q5" t="s">
        <v>0</v>
      </c>
      <c r="Z5" t="s">
        <v>112</v>
      </c>
    </row>
    <row r="6" spans="1:35" x14ac:dyDescent="0.2">
      <c r="AA6" t="s">
        <v>105</v>
      </c>
    </row>
    <row r="8" spans="1:35" x14ac:dyDescent="0.2">
      <c r="A8" t="s">
        <v>35</v>
      </c>
      <c r="B8" t="s">
        <v>43</v>
      </c>
      <c r="C8" t="s">
        <v>42</v>
      </c>
      <c r="D8" t="s">
        <v>64</v>
      </c>
      <c r="E8" t="s">
        <v>67</v>
      </c>
      <c r="F8" t="s">
        <v>28</v>
      </c>
      <c r="G8" t="s">
        <v>2</v>
      </c>
      <c r="H8" t="s">
        <v>3</v>
      </c>
      <c r="I8" t="s">
        <v>44</v>
      </c>
      <c r="J8" t="s">
        <v>46</v>
      </c>
      <c r="K8" t="s">
        <v>49</v>
      </c>
      <c r="L8" t="s">
        <v>36</v>
      </c>
      <c r="M8" t="s">
        <v>57</v>
      </c>
      <c r="N8" t="s">
        <v>37</v>
      </c>
      <c r="O8" t="s">
        <v>62</v>
      </c>
      <c r="P8" t="s">
        <v>45</v>
      </c>
      <c r="Q8" t="s">
        <v>47</v>
      </c>
    </row>
    <row r="10" spans="1:35" x14ac:dyDescent="0.2">
      <c r="A10" s="1" t="s">
        <v>26</v>
      </c>
      <c r="B10" s="1" t="s">
        <v>26</v>
      </c>
      <c r="C10" s="1"/>
      <c r="D10" s="1" t="s">
        <v>66</v>
      </c>
      <c r="E10" s="1" t="s">
        <v>68</v>
      </c>
      <c r="F10" s="1" t="s">
        <v>25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101</v>
      </c>
      <c r="L10" s="1" t="s">
        <v>60</v>
      </c>
      <c r="M10" s="1" t="s">
        <v>38</v>
      </c>
      <c r="N10" s="1" t="s">
        <v>39</v>
      </c>
      <c r="O10" s="1" t="s">
        <v>53</v>
      </c>
      <c r="P10" s="1" t="s">
        <v>32</v>
      </c>
      <c r="Q10" s="1" t="s">
        <v>34</v>
      </c>
      <c r="R10" s="1" t="s">
        <v>59</v>
      </c>
      <c r="S10" s="1" t="s">
        <v>61</v>
      </c>
      <c r="T10" s="1" t="s">
        <v>93</v>
      </c>
      <c r="U10" s="1" t="s">
        <v>94</v>
      </c>
      <c r="V10" s="1" t="s">
        <v>99</v>
      </c>
      <c r="W10" s="1" t="s">
        <v>100</v>
      </c>
      <c r="X10" s="1" t="s">
        <v>102</v>
      </c>
      <c r="Y10" s="1" t="s">
        <v>103</v>
      </c>
      <c r="Z10" s="1" t="s">
        <v>113</v>
      </c>
      <c r="AA10" s="1" t="s">
        <v>104</v>
      </c>
      <c r="AB10" s="1" t="s">
        <v>106</v>
      </c>
      <c r="AC10" s="1" t="s">
        <v>122</v>
      </c>
      <c r="AD10" s="1" t="s">
        <v>121</v>
      </c>
      <c r="AE10" s="1" t="s">
        <v>120</v>
      </c>
      <c r="AF10" s="1" t="s">
        <v>111</v>
      </c>
      <c r="AG10" s="1" t="s">
        <v>124</v>
      </c>
      <c r="AH10" s="1" t="s">
        <v>125</v>
      </c>
      <c r="AI10" s="10" t="s">
        <v>123</v>
      </c>
    </row>
    <row r="11" spans="1:35" x14ac:dyDescent="0.2">
      <c r="A11" t="str">
        <f>IF(ISBLANK('Input Scenarios (old)'!A8), "", 'Input Scenarios (old)'!A8)</f>
        <v>NSW</v>
      </c>
      <c r="B11" t="str">
        <f>IF(ISBLANK('Input Scenarios (old)'!B8), "", 'Input Scenarios (old)'!B8)</f>
        <v/>
      </c>
      <c r="C11" t="str">
        <f>IF(ISBLANK('Input Scenarios (old)'!C8), "", 'Input Scenarios (old)'!C8)</f>
        <v>Non-irrigated pasture</v>
      </c>
      <c r="D11" t="str">
        <f>IF(ISBLANK('Input Scenarios (old)'!D8), "", 'Input Scenarios (old)'!D8)</f>
        <v>wet</v>
      </c>
      <c r="E11" t="b">
        <f>IF(ISBLANK('Input Scenarios (old)'!E8), "", 'Input Scenarios (old)'!E8)</f>
        <v>1</v>
      </c>
      <c r="F11" t="str">
        <f>IF(ISBLANK('Input Scenarios (old)'!F8), "", 'Input Scenarios (old)'!F8)</f>
        <v>layers</v>
      </c>
      <c r="G11">
        <f>IF(ISBLANK('Input Scenarios (old)'!G8), "", 'Input Scenarios (old)'!G8)</f>
        <v>5000</v>
      </c>
      <c r="H11">
        <f>IF(ISBLANK('Input Scenarios (old)'!H8), "", 'Input Scenarios (old)'!H8)</f>
        <v>50</v>
      </c>
      <c r="I11">
        <f>IF(ISBLANK('Input Scenarios (old)'!I8),_xlfn.XLOOKUP(F11,Constants!$A$2:$A$5,Constants!B$2:B$5), 'Input Scenarios (old)'!I8)</f>
        <v>8.5999999999999993E-2</v>
      </c>
      <c r="J11">
        <f>IF(ISBLANK('Input Scenarios (old)'!J8),_xlfn.XLOOKUP(F11,Constants!$A$2:$A$5,Constants!D$2:D$5), 'Input Scenarios (old)'!J8)</f>
        <v>0.19</v>
      </c>
      <c r="K11">
        <f>IF(ISBLANK('Input Scenarios (old)'!K8),_xlfn.XLOOKUP(F11,Constants!$A$2:$A$5,Constants!E$2:E$5), 'Input Scenarios (old)'!K8)</f>
        <v>0.35</v>
      </c>
      <c r="L11" t="s">
        <v>16</v>
      </c>
      <c r="M11">
        <v>0.1</v>
      </c>
      <c r="N11" t="s">
        <v>19</v>
      </c>
      <c r="O11">
        <v>0.15</v>
      </c>
      <c r="P11">
        <f>IF(F11="", "",_xlfn.XLOOKUP(F11,Constants!$A$2:$A$5,Constants!C$2:C$5))</f>
        <v>0.8</v>
      </c>
      <c r="Q11">
        <f>IF(F11="", "",_xlfn.XLOOKUP(F11,Constants!$A$2:$A$5,Constants!F$2:F$5))</f>
        <v>0.18</v>
      </c>
      <c r="R11">
        <f>IF(L11="", "", _xlfn.XLOOKUP(L11, Constants!$B$9:$B$17,Constants!$D$9:$D$17))</f>
        <v>1E-3</v>
      </c>
      <c r="S11">
        <f>IF(L11="", "", _xlfn.XLOOKUP(L11, Constants!$B$9:$B$17,Constants!$C$9:$C$17))</f>
        <v>0.3</v>
      </c>
      <c r="T11">
        <f>IF(N11="", "", _xlfn.XLOOKUP(N11, Constants!$B$9:$B$17,Constants!$D$9:$D$17))</f>
        <v>5.0000000000000001E-3</v>
      </c>
      <c r="U11">
        <f>IF(N11="", "", _xlfn.XLOOKUP(N11, Constants!$B$9:$B$17,Constants!$C$9:$C$17))</f>
        <v>0.2</v>
      </c>
      <c r="V11">
        <f t="shared" ref="V11:V30" si="0">IF(F11="","",I11*J11/6.25)</f>
        <v>2.6144000000000002E-3</v>
      </c>
      <c r="W11">
        <f t="shared" ref="W11:W30" si="1">IF(F11="", "", V11*(1-K11))</f>
        <v>1.6993600000000002E-3</v>
      </c>
      <c r="X11">
        <f t="shared" ref="X11:X30" si="2">IF(F11="", "", G11*W11*H11)</f>
        <v>424.84000000000003</v>
      </c>
      <c r="Y11">
        <f>IF(ISBLANK(L11), "", $X$11*M11)</f>
        <v>42.484000000000009</v>
      </c>
      <c r="Z11">
        <f t="shared" ref="Z11:Z30" si="3">IF(OR(L11="", L11="pastureRangeAndPaddock"), "", Y11*(1-R11-S11))</f>
        <v>29.69631600000001</v>
      </c>
      <c r="AA11">
        <f t="shared" ref="AA11:AA30" si="4">IF(F11="", "",SUM(Z11:Z15))</f>
        <v>186.67469600000001</v>
      </c>
      <c r="AB11">
        <f>IF(N11="directApplication", "", $AA$11*O11)</f>
        <v>28.001204400000002</v>
      </c>
      <c r="AC11">
        <f>IF(E11="", "", IF(E11, 1, 0))</f>
        <v>1</v>
      </c>
      <c r="AD11">
        <f>IF(E11="","",Constants!$M$2)</f>
        <v>0.02</v>
      </c>
      <c r="AE11">
        <f>IF(F11="","",Constants!$L$2)</f>
        <v>1.0999999999999999E-2</v>
      </c>
      <c r="AF11">
        <f>IF(F11="","",Constants!$J$2)</f>
        <v>1.5714285714285714</v>
      </c>
      <c r="AG11">
        <f>IF(N11="solidStorage", AB11*AC11*AD11, "")</f>
        <v>0.56002408800000003</v>
      </c>
      <c r="AH11">
        <f>IF(L14="pastureRangeAndPaddock", Y14*AD$11*AC$11, "")</f>
        <v>3.3987200000000009</v>
      </c>
      <c r="AI11">
        <f>IF(F11="", "", (AG11+AH11)*AE11*AF11/1000)</f>
        <v>6.8429719235428584E-5</v>
      </c>
    </row>
    <row r="12" spans="1:35" x14ac:dyDescent="0.2">
      <c r="A12" t="str">
        <f>IF(ISBLANK('Input Scenarios (old)'!A9), "", 'Input Scenarios (old)'!A9)</f>
        <v/>
      </c>
      <c r="B12" t="str">
        <f>IF(ISBLANK('Input Scenarios (old)'!B9), "", 'Input Scenarios (old)'!B9)</f>
        <v/>
      </c>
      <c r="C12" t="str">
        <f>IF(ISBLANK('Input Scenarios (old)'!C9), "", 'Input Scenarios (old)'!C9)</f>
        <v/>
      </c>
      <c r="D12" t="str">
        <f>IF(ISBLANK('Input Scenarios (old)'!D9), "", 'Input Scenarios (old)'!D9)</f>
        <v/>
      </c>
      <c r="E12" t="str">
        <f>IF(ISBLANK('Input Scenarios (old)'!E9), "", 'Input Scenarios (old)'!E9)</f>
        <v/>
      </c>
      <c r="F12" t="str">
        <f>IF(ISBLANK('Input Scenarios (old)'!F9), "", 'Input Scenarios (old)'!F9)</f>
        <v/>
      </c>
      <c r="G12" t="str">
        <f>IF(ISBLANK('Input Scenarios (old)'!G9), "", 'Input Scenarios (old)'!G9)</f>
        <v/>
      </c>
      <c r="H12" t="str">
        <f>IF(ISBLANK('Input Scenarios (old)'!H9), "", 'Input Scenarios (old)'!H9)</f>
        <v/>
      </c>
      <c r="I12" t="str">
        <f>IF(ISBLANK('Input Scenarios (old)'!I9),_xlfn.XLOOKUP(F12,Constants!$A$2:$A$5,Constants!B$2:B$5), 'Input Scenarios (old)'!I9)</f>
        <v/>
      </c>
      <c r="J12" t="str">
        <f>IF(ISBLANK('Input Scenarios (old)'!J9),_xlfn.XLOOKUP(F12,Constants!$A$2:$A$5,Constants!D$2:D$5), 'Input Scenarios (old)'!J9)</f>
        <v/>
      </c>
      <c r="K12" t="str">
        <f>IF(ISBLANK('Input Scenarios (old)'!K9),_xlfn.XLOOKUP(F12,Constants!$A$2:$A$5,Constants!E$2:E$5), 'Input Scenarios (old)'!K9)</f>
        <v/>
      </c>
      <c r="L12" t="s">
        <v>17</v>
      </c>
      <c r="M12">
        <v>0.2</v>
      </c>
      <c r="N12" t="s">
        <v>20</v>
      </c>
      <c r="O12">
        <v>0.2</v>
      </c>
      <c r="P12" t="str">
        <f>IF(F12="", "",_xlfn.XLOOKUP(F12,Constants!$A$2:$A$5,Constants!C$2:C$5))</f>
        <v/>
      </c>
      <c r="Q12" t="str">
        <f>IF(F12="", "",_xlfn.XLOOKUP(F12,Constants!$A$2:$A$5,Constants!F$2:F$5))</f>
        <v/>
      </c>
      <c r="R12">
        <f>IF(L12="", "", _xlfn.XLOOKUP(L12, Constants!$B$9:$B$17,Constants!$D$9:$D$17))</f>
        <v>1E-3</v>
      </c>
      <c r="S12">
        <f>IF(L12="", "", _xlfn.XLOOKUP(L12, Constants!$B$9:$B$17,Constants!$C$9:$C$17))</f>
        <v>0.05</v>
      </c>
      <c r="T12">
        <f>IF(N12="", "", _xlfn.XLOOKUP(N12, Constants!$B$9:$B$17,Constants!$D$9:$D$17))</f>
        <v>0.01</v>
      </c>
      <c r="U12">
        <f>IF(N12="", "", _xlfn.XLOOKUP(N12, Constants!$B$9:$B$17,Constants!$C$9:$C$17))</f>
        <v>0.2</v>
      </c>
      <c r="V12" t="str">
        <f t="shared" si="0"/>
        <v/>
      </c>
      <c r="W12" t="str">
        <f t="shared" si="1"/>
        <v/>
      </c>
      <c r="X12" t="str">
        <f t="shared" si="2"/>
        <v/>
      </c>
      <c r="Y12">
        <f>IF(ISBLANK(L12), "", $X$11*M12)</f>
        <v>84.968000000000018</v>
      </c>
      <c r="Z12">
        <f t="shared" si="3"/>
        <v>80.634632000000011</v>
      </c>
      <c r="AA12" t="str">
        <f t="shared" si="4"/>
        <v/>
      </c>
      <c r="AB12">
        <f>IF(N12="directApplication", "", $AA$11*O12)</f>
        <v>37.334939200000001</v>
      </c>
      <c r="AC12" t="str">
        <f t="shared" ref="AC12:AC30" si="5">IF(E12="", "", IF(E12, 1, 0))</f>
        <v/>
      </c>
      <c r="AD12" t="str">
        <f>IF(E12="","",Constants!$M$2)</f>
        <v/>
      </c>
      <c r="AE12" t="str">
        <f>IF(F12="","",Constants!$L$2)</f>
        <v/>
      </c>
      <c r="AF12" t="str">
        <f>IF(F12="","",Constants!$J$2)</f>
        <v/>
      </c>
      <c r="AG12" t="str">
        <f t="shared" ref="AG12:AG30" si="6">IF(N12="solidStorage", AB12*AC12*AD12, "")</f>
        <v/>
      </c>
      <c r="AH12" t="str">
        <f t="shared" ref="AH12:AH15" si="7">IF(L15="pastureRangeAndPaddock", Y15*AD$11*AC$11, "")</f>
        <v/>
      </c>
      <c r="AI12" t="str">
        <f t="shared" ref="AI12:AI31" si="8">IF(F12="", "", (AG12+AH12)*AE12*AF12/1000)</f>
        <v/>
      </c>
    </row>
    <row r="13" spans="1:35" x14ac:dyDescent="0.2">
      <c r="A13" t="str">
        <f>IF(ISBLANK('Input Scenarios (old)'!A10), "", 'Input Scenarios (old)'!A10)</f>
        <v/>
      </c>
      <c r="B13" t="str">
        <f>IF(ISBLANK('Input Scenarios (old)'!B10), "", 'Input Scenarios (old)'!B10)</f>
        <v/>
      </c>
      <c r="C13" t="str">
        <f>IF(ISBLANK('Input Scenarios (old)'!C10), "", 'Input Scenarios (old)'!C10)</f>
        <v/>
      </c>
      <c r="D13" t="str">
        <f>IF(ISBLANK('Input Scenarios (old)'!D10), "", 'Input Scenarios (old)'!D10)</f>
        <v/>
      </c>
      <c r="E13" t="str">
        <f>IF(ISBLANK('Input Scenarios (old)'!E10), "", 'Input Scenarios (old)'!E10)</f>
        <v/>
      </c>
      <c r="F13" t="str">
        <f>IF(ISBLANK('Input Scenarios (old)'!F10), "", 'Input Scenarios (old)'!F10)</f>
        <v/>
      </c>
      <c r="G13" t="str">
        <f>IF(ISBLANK('Input Scenarios (old)'!G10), "", 'Input Scenarios (old)'!G10)</f>
        <v/>
      </c>
      <c r="H13" t="str">
        <f>IF(ISBLANK('Input Scenarios (old)'!H10), "", 'Input Scenarios (old)'!H10)</f>
        <v/>
      </c>
      <c r="I13" t="str">
        <f>IF(ISBLANK('Input Scenarios (old)'!I10),_xlfn.XLOOKUP(F13,Constants!$A$2:$A$5,Constants!B$2:B$5), 'Input Scenarios (old)'!I10)</f>
        <v/>
      </c>
      <c r="J13" t="str">
        <f>IF(ISBLANK('Input Scenarios (old)'!J10),_xlfn.XLOOKUP(F13,Constants!$A$2:$A$5,Constants!D$2:D$5), 'Input Scenarios (old)'!J10)</f>
        <v/>
      </c>
      <c r="K13" t="str">
        <f>IF(ISBLANK('Input Scenarios (old)'!K10),_xlfn.XLOOKUP(F13,Constants!$A$2:$A$5,Constants!E$2:E$5), 'Input Scenarios (old)'!K10)</f>
        <v/>
      </c>
      <c r="L13" t="s">
        <v>18</v>
      </c>
      <c r="M13">
        <v>0.3</v>
      </c>
      <c r="N13" t="s">
        <v>22</v>
      </c>
      <c r="O13">
        <v>0.25</v>
      </c>
      <c r="P13" t="str">
        <f>IF(F13="", "",_xlfn.XLOOKUP(F13,Constants!$A$2:$A$5,Constants!C$2:C$5))</f>
        <v/>
      </c>
      <c r="Q13" t="str">
        <f>IF(F13="", "",_xlfn.XLOOKUP(F13,Constants!$A$2:$A$5,Constants!F$2:F$5))</f>
        <v/>
      </c>
      <c r="R13">
        <f>IF(L13="", "", _xlfn.XLOOKUP(L13, Constants!$B$9:$B$17,Constants!$D$9:$D$17))</f>
        <v>1E-3</v>
      </c>
      <c r="S13">
        <f>IF(L13="", "", _xlfn.XLOOKUP(L13, Constants!$B$9:$B$17,Constants!$C$9:$C$17))</f>
        <v>0.4</v>
      </c>
      <c r="T13">
        <f>IF(N13="", "", _xlfn.XLOOKUP(N13, Constants!$B$9:$B$17,Constants!$D$9:$D$17))</f>
        <v>0</v>
      </c>
      <c r="U13">
        <f>IF(N13="", "", _xlfn.XLOOKUP(N13, Constants!$B$9:$B$17,Constants!$C$9:$C$17))</f>
        <v>0</v>
      </c>
      <c r="V13" t="str">
        <f t="shared" si="0"/>
        <v/>
      </c>
      <c r="W13" t="str">
        <f t="shared" si="1"/>
        <v/>
      </c>
      <c r="X13" t="str">
        <f t="shared" si="2"/>
        <v/>
      </c>
      <c r="Y13">
        <f>IF(ISBLANK(L13), "", $X$11*M13)</f>
        <v>127.452</v>
      </c>
      <c r="Z13">
        <f t="shared" si="3"/>
        <v>76.343747999999991</v>
      </c>
      <c r="AA13" t="str">
        <f t="shared" si="4"/>
        <v/>
      </c>
      <c r="AB13">
        <f>IF(N13="directApplication", "", $AA$11*O13)</f>
        <v>46.668674000000003</v>
      </c>
      <c r="AC13" t="str">
        <f t="shared" si="5"/>
        <v/>
      </c>
      <c r="AD13" t="str">
        <f>IF(E13="","",Constants!$M$2)</f>
        <v/>
      </c>
      <c r="AE13" t="str">
        <f>IF(F13="","",Constants!$L$2)</f>
        <v/>
      </c>
      <c r="AF13" t="str">
        <f>IF(F13="","",Constants!$J$2)</f>
        <v/>
      </c>
      <c r="AG13" t="str">
        <f t="shared" si="6"/>
        <v/>
      </c>
      <c r="AH13" t="str">
        <f t="shared" si="7"/>
        <v/>
      </c>
      <c r="AI13" t="str">
        <f t="shared" si="8"/>
        <v/>
      </c>
    </row>
    <row r="14" spans="1:35" x14ac:dyDescent="0.2">
      <c r="A14" t="str">
        <f>IF(ISBLANK('Input Scenarios (old)'!A11), "", 'Input Scenarios (old)'!A11)</f>
        <v/>
      </c>
      <c r="B14" t="str">
        <f>IF(ISBLANK('Input Scenarios (old)'!B11), "", 'Input Scenarios (old)'!B11)</f>
        <v/>
      </c>
      <c r="C14" t="str">
        <f>IF(ISBLANK('Input Scenarios (old)'!C11), "", 'Input Scenarios (old)'!C11)</f>
        <v/>
      </c>
      <c r="D14" t="str">
        <f>IF(ISBLANK('Input Scenarios (old)'!D11), "", 'Input Scenarios (old)'!D11)</f>
        <v/>
      </c>
      <c r="E14" t="str">
        <f>IF(ISBLANK('Input Scenarios (old)'!E11), "", 'Input Scenarios (old)'!E11)</f>
        <v/>
      </c>
      <c r="F14" t="str">
        <f>IF(ISBLANK('Input Scenarios (old)'!F11), "", 'Input Scenarios (old)'!F11)</f>
        <v/>
      </c>
      <c r="G14" t="str">
        <f>IF(ISBLANK('Input Scenarios (old)'!G11), "", 'Input Scenarios (old)'!G11)</f>
        <v/>
      </c>
      <c r="H14" t="str">
        <f>IF(ISBLANK('Input Scenarios (old)'!H11), "", 'Input Scenarios (old)'!H11)</f>
        <v/>
      </c>
      <c r="I14" t="str">
        <f>IF(ISBLANK('Input Scenarios (old)'!I11),_xlfn.XLOOKUP(F14,Constants!$A$2:$A$5,Constants!B$2:B$5), 'Input Scenarios (old)'!I11)</f>
        <v/>
      </c>
      <c r="J14" t="str">
        <f>IF(ISBLANK('Input Scenarios (old)'!J11),_xlfn.XLOOKUP(F14,Constants!$A$2:$A$5,Constants!D$2:D$5), 'Input Scenarios (old)'!J11)</f>
        <v/>
      </c>
      <c r="K14" t="str">
        <f>IF(ISBLANK('Input Scenarios (old)'!K11),_xlfn.XLOOKUP(F14,Constants!$A$2:$A$5,Constants!E$2:E$5), 'Input Scenarios (old)'!K11)</f>
        <v/>
      </c>
      <c r="L14" t="s">
        <v>40</v>
      </c>
      <c r="M14">
        <v>0.4</v>
      </c>
      <c r="N14" t="s">
        <v>21</v>
      </c>
      <c r="O14">
        <v>0.17</v>
      </c>
      <c r="P14" t="str">
        <f>IF(F14="", "",_xlfn.XLOOKUP(F14,Constants!$A$2:$A$5,Constants!C$2:C$5))</f>
        <v/>
      </c>
      <c r="Q14" t="str">
        <f>IF(F14="", "",_xlfn.XLOOKUP(F14,Constants!$A$2:$A$5,Constants!F$2:F$5))</f>
        <v/>
      </c>
      <c r="R14">
        <f>IF(L14="", "", _xlfn.XLOOKUP(L14, Constants!$B$9:$B$17,Constants!$D$9:$D$17))</f>
        <v>0.02</v>
      </c>
      <c r="S14" t="str">
        <f>IF(L14="", "", _xlfn.XLOOKUP(L14, Constants!$B$9:$B$17,Constants!$C$9:$C$17))</f>
        <v>N/A</v>
      </c>
      <c r="T14">
        <f>IF(N14="", "", _xlfn.XLOOKUP(N14, Constants!$B$9:$B$17,Constants!$D$9:$D$17))</f>
        <v>0</v>
      </c>
      <c r="U14">
        <f>IF(N14="", "", _xlfn.XLOOKUP(N14, Constants!$B$9:$B$17,Constants!$C$9:$C$17))</f>
        <v>0</v>
      </c>
      <c r="V14" t="str">
        <f t="shared" si="0"/>
        <v/>
      </c>
      <c r="W14" t="str">
        <f t="shared" si="1"/>
        <v/>
      </c>
      <c r="X14" t="str">
        <f t="shared" si="2"/>
        <v/>
      </c>
      <c r="Y14">
        <f>IF(ISBLANK(L14), "", $X$11*M14)</f>
        <v>169.93600000000004</v>
      </c>
      <c r="Z14" t="str">
        <f t="shared" si="3"/>
        <v/>
      </c>
      <c r="AA14" t="str">
        <f t="shared" si="4"/>
        <v/>
      </c>
      <c r="AB14">
        <f>IF(N14="directApplication", "", $AA$11*O14)</f>
        <v>31.734698320000003</v>
      </c>
      <c r="AC14" t="str">
        <f t="shared" si="5"/>
        <v/>
      </c>
      <c r="AD14" t="str">
        <f>IF(E14="","",Constants!$M$2)</f>
        <v/>
      </c>
      <c r="AE14" t="str">
        <f>IF(F14="","",Constants!$L$2)</f>
        <v/>
      </c>
      <c r="AF14" t="str">
        <f>IF(F14="","",Constants!$J$2)</f>
        <v/>
      </c>
      <c r="AG14" t="str">
        <f t="shared" si="6"/>
        <v/>
      </c>
      <c r="AH14" t="str">
        <f t="shared" si="7"/>
        <v/>
      </c>
      <c r="AI14" t="str">
        <f t="shared" si="8"/>
        <v/>
      </c>
    </row>
    <row r="15" spans="1:35" s="11" customFormat="1" x14ac:dyDescent="0.2">
      <c r="A15" t="str">
        <f>IF(ISBLANK('Input Scenarios (old)'!A12), "", 'Input Scenarios (old)'!A12)</f>
        <v/>
      </c>
      <c r="B15" t="str">
        <f>IF(ISBLANK('Input Scenarios (old)'!B12), "", 'Input Scenarios (old)'!B12)</f>
        <v/>
      </c>
      <c r="C15" t="str">
        <f>IF(ISBLANK('Input Scenarios (old)'!C12), "", 'Input Scenarios (old)'!C12)</f>
        <v/>
      </c>
      <c r="D15" s="11" t="str">
        <f>IF(ISBLANK('Input Scenarios (old)'!D12), "", 'Input Scenarios (old)'!D12)</f>
        <v/>
      </c>
      <c r="E15" s="11" t="str">
        <f>IF(ISBLANK('Input Scenarios (old)'!E12), "", 'Input Scenarios (old)'!E12)</f>
        <v/>
      </c>
      <c r="F15" s="11" t="str">
        <f>IF(ISBLANK('Input Scenarios (old)'!F12), "", 'Input Scenarios (old)'!F12)</f>
        <v/>
      </c>
      <c r="G15" s="11" t="str">
        <f>IF(ISBLANK('Input Scenarios (old)'!G12), "", 'Input Scenarios (old)'!G12)</f>
        <v/>
      </c>
      <c r="H15" s="11" t="str">
        <f>IF(ISBLANK('Input Scenarios (old)'!H12), "", 'Input Scenarios (old)'!H12)</f>
        <v/>
      </c>
      <c r="I15" s="11" t="str">
        <f>IF(ISBLANK('Input Scenarios (old)'!I12),_xlfn.XLOOKUP(F15,Constants!$A$2:$A$5,Constants!B$2:B$5), 'Input Scenarios (old)'!I12)</f>
        <v/>
      </c>
      <c r="J15" s="11" t="str">
        <f>IF(ISBLANK('Input Scenarios (old)'!J12),_xlfn.XLOOKUP(F15,Constants!$A$2:$A$5,Constants!D$2:D$5), 'Input Scenarios (old)'!J12)</f>
        <v/>
      </c>
      <c r="K15" s="11" t="str">
        <f>IF(ISBLANK('Input Scenarios (old)'!K12),_xlfn.XLOOKUP(F15,Constants!$A$2:$A$5,Constants!E$2:E$5), 'Input Scenarios (old)'!K12)</f>
        <v/>
      </c>
      <c r="N15" s="11" t="s">
        <v>41</v>
      </c>
      <c r="O15" s="11">
        <v>0.23</v>
      </c>
      <c r="P15" s="11" t="str">
        <f>IF(F15="", "",_xlfn.XLOOKUP(F15,Constants!$A$2:$A$5,Constants!C$2:C$5))</f>
        <v/>
      </c>
      <c r="Q15" s="11" t="str">
        <f>IF(F15="", "",_xlfn.XLOOKUP(F15,Constants!$A$2:$A$5,Constants!F$2:F$5))</f>
        <v/>
      </c>
      <c r="R15" t="str">
        <f>IF(L15="", "", _xlfn.XLOOKUP(L15, Constants!$B$9:$B$17,Constants!$D$9:$D$17))</f>
        <v/>
      </c>
      <c r="S15" t="str">
        <f>IF(L15="", "", _xlfn.XLOOKUP(L15, Constants!$B$9:$B$17,Constants!$C$9:$C$17))</f>
        <v/>
      </c>
      <c r="T15" t="str">
        <f>IF(N15="", "", _xlfn.XLOOKUP(N15, Constants!$B$9:$B$17,Constants!$D$9:$D$17))</f>
        <v>N/A</v>
      </c>
      <c r="U15" t="str">
        <f>IF(N15="", "", _xlfn.XLOOKUP(N15, Constants!$B$9:$B$17,Constants!$C$9:$C$17))</f>
        <v>N/A</v>
      </c>
      <c r="V15" s="11" t="str">
        <f t="shared" si="0"/>
        <v/>
      </c>
      <c r="W15" s="11" t="str">
        <f t="shared" si="1"/>
        <v/>
      </c>
      <c r="X15" t="str">
        <f t="shared" si="2"/>
        <v/>
      </c>
      <c r="Y15" s="11" t="str">
        <f>IF(ISBLANK(L15), "", $X$11*M15)</f>
        <v/>
      </c>
      <c r="Z15" t="str">
        <f t="shared" si="3"/>
        <v/>
      </c>
      <c r="AA15" s="11" t="str">
        <f t="shared" si="4"/>
        <v/>
      </c>
      <c r="AB15" t="str">
        <f>IF(N15="directApplication", "", $AA$11*O15)</f>
        <v/>
      </c>
      <c r="AC15" t="str">
        <f t="shared" si="5"/>
        <v/>
      </c>
      <c r="AD15" t="str">
        <f>IF(E15="","",Constants!$M$2)</f>
        <v/>
      </c>
      <c r="AE15" t="str">
        <f>IF(F15="","",Constants!$L$2)</f>
        <v/>
      </c>
      <c r="AF15" t="str">
        <f>IF(F15="","",Constants!$J$2)</f>
        <v/>
      </c>
      <c r="AG15" t="str">
        <f t="shared" si="6"/>
        <v/>
      </c>
      <c r="AH15" t="str">
        <f t="shared" si="7"/>
        <v/>
      </c>
      <c r="AI15" t="str">
        <f t="shared" si="8"/>
        <v/>
      </c>
    </row>
    <row r="16" spans="1:35" x14ac:dyDescent="0.2">
      <c r="A16" t="str">
        <f>IF(ISBLANK('Input Scenarios (old)'!A13), "", 'Input Scenarios (old)'!A13)</f>
        <v>QLD</v>
      </c>
      <c r="B16" t="str">
        <f>IF(ISBLANK('Input Scenarios (old)'!B13), "", 'Input Scenarios (old)'!B13)</f>
        <v/>
      </c>
      <c r="C16" t="str">
        <f>IF(ISBLANK('Input Scenarios (old)'!C13), "", 'Input Scenarios (old)'!C13)</f>
        <v>Irrigated crop</v>
      </c>
      <c r="D16" t="str">
        <f>IF(ISBLANK('Input Scenarios (old)'!D13), "", 'Input Scenarios (old)'!D13)</f>
        <v>dry</v>
      </c>
      <c r="E16" t="b">
        <v>0</v>
      </c>
      <c r="F16" t="str">
        <f>IF(ISBLANK('Input Scenarios (old)'!F13), "", 'Input Scenarios (old)'!F13)</f>
        <v>meatChickenBreeder</v>
      </c>
      <c r="G16">
        <f>IF(ISBLANK('Input Scenarios (old)'!G13), "", 'Input Scenarios (old)'!G13)</f>
        <v>2250</v>
      </c>
      <c r="H16">
        <f>IF(ISBLANK('Input Scenarios (old)'!H13), "", 'Input Scenarios (old)'!H13)</f>
        <v>125</v>
      </c>
      <c r="I16">
        <f>IF(ISBLANK('Input Scenarios (old)'!I13),_xlfn.XLOOKUP(F16,Constants!$A$2:$A$5,Constants!B$2:B$5), 'Input Scenarios (old)'!I13)</f>
        <v>0.10299999999999999</v>
      </c>
      <c r="J16">
        <f>IF(ISBLANK('Input Scenarios (old)'!J13),_xlfn.XLOOKUP(F16,Constants!$A$2:$A$5,Constants!D$2:D$5), 'Input Scenarios (old)'!J13)</f>
        <v>0.19</v>
      </c>
      <c r="K16">
        <f>IF(ISBLANK('Input Scenarios (old)'!K13),_xlfn.XLOOKUP(F16,Constants!$A$2:$A$5,Constants!E$2:E$5), 'Input Scenarios (old)'!K13)</f>
        <v>0.32</v>
      </c>
      <c r="L16" t="s">
        <v>16</v>
      </c>
      <c r="M16">
        <v>0.4</v>
      </c>
      <c r="N16" t="s">
        <v>19</v>
      </c>
      <c r="O16">
        <v>0.2</v>
      </c>
      <c r="P16">
        <f>IF(F16="", "",_xlfn.XLOOKUP(F16,Constants!$A$2:$A$5,Constants!C$2:C$5))</f>
        <v>0.8</v>
      </c>
      <c r="Q16">
        <f>IF(F16="", "",_xlfn.XLOOKUP(F16,Constants!$A$2:$A$5,Constants!F$2:F$5))</f>
        <v>0.18</v>
      </c>
      <c r="R16">
        <f>IF(L16="", "", _xlfn.XLOOKUP(L16, Constants!$B$9:$B$17,Constants!$D$9:$D$17))</f>
        <v>1E-3</v>
      </c>
      <c r="S16">
        <f>IF(L16="", "", _xlfn.XLOOKUP(L16, Constants!$B$9:$B$17,Constants!$C$9:$C$17))</f>
        <v>0.3</v>
      </c>
      <c r="T16">
        <f>IF(N16="", "", _xlfn.XLOOKUP(N16, Constants!$B$9:$B$17,Constants!$D$9:$D$17))</f>
        <v>5.0000000000000001E-3</v>
      </c>
      <c r="U16">
        <f>IF(N16="", "", _xlfn.XLOOKUP(N16, Constants!$B$9:$B$17,Constants!$C$9:$C$17))</f>
        <v>0.2</v>
      </c>
      <c r="V16">
        <f t="shared" si="0"/>
        <v>3.1312000000000002E-3</v>
      </c>
      <c r="W16">
        <f t="shared" si="1"/>
        <v>2.1292159999999997E-3</v>
      </c>
      <c r="X16">
        <f t="shared" si="2"/>
        <v>598.84199999999987</v>
      </c>
      <c r="Y16">
        <f>IF(ISBLANK(L16), "", $X$16*M16)</f>
        <v>239.53679999999997</v>
      </c>
      <c r="Z16">
        <f t="shared" si="3"/>
        <v>167.4362232</v>
      </c>
      <c r="AA16">
        <f t="shared" si="4"/>
        <v>409.66781219999996</v>
      </c>
      <c r="AB16">
        <f>IF(N16="directApplication", "", $AA$16*O16)</f>
        <v>81.933562440000003</v>
      </c>
      <c r="AC16">
        <f t="shared" si="5"/>
        <v>0</v>
      </c>
      <c r="AD16">
        <f>IF(E16="","",Constants!$M$2)</f>
        <v>0.02</v>
      </c>
      <c r="AE16">
        <f>IF(F16="","",Constants!$L$2)</f>
        <v>1.0999999999999999E-2</v>
      </c>
      <c r="AF16">
        <f>IF(F16="","",Constants!$J$2)</f>
        <v>1.5714285714285714</v>
      </c>
      <c r="AG16">
        <f t="shared" si="6"/>
        <v>0</v>
      </c>
      <c r="AH16">
        <f>IF(L19="pastureRangeAndPaddock", Y19*AD$16*AC$16, "")</f>
        <v>0</v>
      </c>
      <c r="AI16">
        <f t="shared" si="8"/>
        <v>0</v>
      </c>
    </row>
    <row r="17" spans="1:35" x14ac:dyDescent="0.2">
      <c r="A17" t="str">
        <f>IF(ISBLANK('Input Scenarios (old)'!A14), "", 'Input Scenarios (old)'!A14)</f>
        <v/>
      </c>
      <c r="B17" t="str">
        <f>IF(ISBLANK('Input Scenarios (old)'!B14), "", 'Input Scenarios (old)'!B14)</f>
        <v/>
      </c>
      <c r="C17" t="str">
        <f>IF(ISBLANK('Input Scenarios (old)'!C14), "", 'Input Scenarios (old)'!C14)</f>
        <v/>
      </c>
      <c r="D17" t="str">
        <f>IF(ISBLANK('Input Scenarios (old)'!D14), "", 'Input Scenarios (old)'!D14)</f>
        <v/>
      </c>
      <c r="E17" t="str">
        <f>IF(ISBLANK('Input Scenarios (old)'!E14), "", 'Input Scenarios (old)'!E14)</f>
        <v/>
      </c>
      <c r="F17" t="str">
        <f>IF(ISBLANK('Input Scenarios (old)'!F14), "", 'Input Scenarios (old)'!F14)</f>
        <v/>
      </c>
      <c r="G17" t="str">
        <f>IF(ISBLANK('Input Scenarios (old)'!G14), "", 'Input Scenarios (old)'!G14)</f>
        <v/>
      </c>
      <c r="H17" t="str">
        <f>IF(ISBLANK('Input Scenarios (old)'!H14), "", 'Input Scenarios (old)'!H14)</f>
        <v/>
      </c>
      <c r="I17" t="str">
        <f>IF(ISBLANK('Input Scenarios (old)'!I14),_xlfn.XLOOKUP(F17,Constants!$A$2:$A$5,Constants!B$2:B$5), 'Input Scenarios (old)'!I14)</f>
        <v/>
      </c>
      <c r="J17" t="str">
        <f>IF(ISBLANK('Input Scenarios (old)'!J14),_xlfn.XLOOKUP(F17,Constants!$A$2:$A$5,Constants!D$2:D$5), 'Input Scenarios (old)'!J14)</f>
        <v/>
      </c>
      <c r="K17" t="str">
        <f>IF(ISBLANK('Input Scenarios (old)'!K14),_xlfn.XLOOKUP(F17,Constants!$A$2:$A$5,Constants!E$2:E$5), 'Input Scenarios (old)'!K14)</f>
        <v/>
      </c>
      <c r="L17" t="s">
        <v>17</v>
      </c>
      <c r="M17">
        <v>0.3</v>
      </c>
      <c r="N17" t="s">
        <v>20</v>
      </c>
      <c r="O17">
        <v>0.25</v>
      </c>
      <c r="P17" t="str">
        <f>IF(F17="", "",_xlfn.XLOOKUP(F17,Constants!$A$2:$A$5,Constants!C$2:C$5))</f>
        <v/>
      </c>
      <c r="Q17" t="str">
        <f>IF(F17="", "",_xlfn.XLOOKUP(F17,Constants!$A$2:$A$5,Constants!F$2:F$5))</f>
        <v/>
      </c>
      <c r="R17">
        <f>IF(L17="", "", _xlfn.XLOOKUP(L17, Constants!$B$9:$B$17,Constants!$D$9:$D$17))</f>
        <v>1E-3</v>
      </c>
      <c r="S17">
        <f>IF(L17="", "", _xlfn.XLOOKUP(L17, Constants!$B$9:$B$17,Constants!$C$9:$C$17))</f>
        <v>0.05</v>
      </c>
      <c r="T17">
        <f>IF(N17="", "", _xlfn.XLOOKUP(N17, Constants!$B$9:$B$17,Constants!$D$9:$D$17))</f>
        <v>0.01</v>
      </c>
      <c r="U17">
        <f>IF(N17="", "", _xlfn.XLOOKUP(N17, Constants!$B$9:$B$17,Constants!$C$9:$C$17))</f>
        <v>0.2</v>
      </c>
      <c r="V17" t="str">
        <f t="shared" si="0"/>
        <v/>
      </c>
      <c r="W17" t="str">
        <f t="shared" si="1"/>
        <v/>
      </c>
      <c r="X17" t="str">
        <f t="shared" si="2"/>
        <v/>
      </c>
      <c r="Y17">
        <f>IF(ISBLANK(L17), "", $X$16*M17)</f>
        <v>179.65259999999995</v>
      </c>
      <c r="Z17">
        <f t="shared" si="3"/>
        <v>170.49031739999995</v>
      </c>
      <c r="AA17" t="str">
        <f t="shared" si="4"/>
        <v/>
      </c>
      <c r="AB17">
        <f>IF(N17="directApplication", "", $AA$16*O17)</f>
        <v>102.41695304999999</v>
      </c>
      <c r="AC17" t="str">
        <f t="shared" si="5"/>
        <v/>
      </c>
      <c r="AD17" t="str">
        <f>IF(E17="","",Constants!$M$2)</f>
        <v/>
      </c>
      <c r="AE17" t="str">
        <f>IF(F17="","",Constants!$L$2)</f>
        <v/>
      </c>
      <c r="AF17" t="str">
        <f>IF(F17="","",Constants!$J$2)</f>
        <v/>
      </c>
      <c r="AG17" t="str">
        <f t="shared" si="6"/>
        <v/>
      </c>
      <c r="AH17" t="str">
        <f t="shared" ref="AH17:AH20" si="9">IF(L20="pastureRangeAndPaddock", Y20*AD$16*AC$16, "")</f>
        <v/>
      </c>
      <c r="AI17" t="str">
        <f t="shared" si="8"/>
        <v/>
      </c>
    </row>
    <row r="18" spans="1:35" x14ac:dyDescent="0.2">
      <c r="A18" t="str">
        <f>IF(ISBLANK('Input Scenarios (old)'!A15), "", 'Input Scenarios (old)'!A15)</f>
        <v/>
      </c>
      <c r="B18" t="str">
        <f>IF(ISBLANK('Input Scenarios (old)'!B15), "", 'Input Scenarios (old)'!B15)</f>
        <v/>
      </c>
      <c r="C18" t="str">
        <f>IF(ISBLANK('Input Scenarios (old)'!C15), "", 'Input Scenarios (old)'!C15)</f>
        <v/>
      </c>
      <c r="D18" t="str">
        <f>IF(ISBLANK('Input Scenarios (old)'!D15), "", 'Input Scenarios (old)'!D15)</f>
        <v/>
      </c>
      <c r="E18" t="str">
        <f>IF(ISBLANK('Input Scenarios (old)'!E15), "", 'Input Scenarios (old)'!E15)</f>
        <v/>
      </c>
      <c r="F18" t="str">
        <f>IF(ISBLANK('Input Scenarios (old)'!F15), "", 'Input Scenarios (old)'!F15)</f>
        <v/>
      </c>
      <c r="G18" t="str">
        <f>IF(ISBLANK('Input Scenarios (old)'!G15), "", 'Input Scenarios (old)'!G15)</f>
        <v/>
      </c>
      <c r="H18" t="str">
        <f>IF(ISBLANK('Input Scenarios (old)'!H15), "", 'Input Scenarios (old)'!H15)</f>
        <v/>
      </c>
      <c r="I18" t="str">
        <f>IF(ISBLANK('Input Scenarios (old)'!I15),_xlfn.XLOOKUP(F18,Constants!$A$2:$A$5,Constants!B$2:B$5), 'Input Scenarios (old)'!I15)</f>
        <v/>
      </c>
      <c r="J18" t="str">
        <f>IF(ISBLANK('Input Scenarios (old)'!J15),_xlfn.XLOOKUP(F18,Constants!$A$2:$A$5,Constants!D$2:D$5), 'Input Scenarios (old)'!J15)</f>
        <v/>
      </c>
      <c r="K18" t="str">
        <f>IF(ISBLANK('Input Scenarios (old)'!K15),_xlfn.XLOOKUP(F18,Constants!$A$2:$A$5,Constants!E$2:E$5), 'Input Scenarios (old)'!K15)</f>
        <v/>
      </c>
      <c r="L18" t="s">
        <v>18</v>
      </c>
      <c r="M18">
        <v>0.2</v>
      </c>
      <c r="N18" t="s">
        <v>22</v>
      </c>
      <c r="O18">
        <v>0.2</v>
      </c>
      <c r="P18" t="str">
        <f>IF(F18="", "",_xlfn.XLOOKUP(F18,Constants!$A$2:$A$5,Constants!C$2:C$5))</f>
        <v/>
      </c>
      <c r="Q18" t="str">
        <f>IF(F18="", "",_xlfn.XLOOKUP(F18,Constants!$A$2:$A$5,Constants!F$2:F$5))</f>
        <v/>
      </c>
      <c r="R18">
        <f>IF(L18="", "", _xlfn.XLOOKUP(L18, Constants!$B$9:$B$17,Constants!$D$9:$D$17))</f>
        <v>1E-3</v>
      </c>
      <c r="S18">
        <f>IF(L18="", "", _xlfn.XLOOKUP(L18, Constants!$B$9:$B$17,Constants!$C$9:$C$17))</f>
        <v>0.4</v>
      </c>
      <c r="T18">
        <f>IF(N18="", "", _xlfn.XLOOKUP(N18, Constants!$B$9:$B$17,Constants!$D$9:$D$17))</f>
        <v>0</v>
      </c>
      <c r="U18">
        <f>IF(N18="", "", _xlfn.XLOOKUP(N18, Constants!$B$9:$B$17,Constants!$C$9:$C$17))</f>
        <v>0</v>
      </c>
      <c r="V18" t="str">
        <f t="shared" si="0"/>
        <v/>
      </c>
      <c r="W18" t="str">
        <f t="shared" si="1"/>
        <v/>
      </c>
      <c r="X18" t="str">
        <f t="shared" si="2"/>
        <v/>
      </c>
      <c r="Y18">
        <f>IF(ISBLANK(L18), "", $X$16*M18)</f>
        <v>119.76839999999999</v>
      </c>
      <c r="Z18">
        <f t="shared" si="3"/>
        <v>71.74127159999999</v>
      </c>
      <c r="AA18" t="str">
        <f t="shared" si="4"/>
        <v/>
      </c>
      <c r="AB18">
        <f>IF(N18="directApplication", "", $AA$16*O18)</f>
        <v>81.933562440000003</v>
      </c>
      <c r="AC18" t="str">
        <f t="shared" si="5"/>
        <v/>
      </c>
      <c r="AD18" t="str">
        <f>IF(E18="","",Constants!$M$2)</f>
        <v/>
      </c>
      <c r="AE18" t="str">
        <f>IF(F18="","",Constants!$L$2)</f>
        <v/>
      </c>
      <c r="AF18" t="str">
        <f>IF(F18="","",Constants!$J$2)</f>
        <v/>
      </c>
      <c r="AG18" t="str">
        <f t="shared" si="6"/>
        <v/>
      </c>
      <c r="AH18" t="str">
        <f t="shared" si="9"/>
        <v/>
      </c>
      <c r="AI18" t="str">
        <f t="shared" si="8"/>
        <v/>
      </c>
    </row>
    <row r="19" spans="1:35" x14ac:dyDescent="0.2">
      <c r="A19" t="str">
        <f>IF(ISBLANK('Input Scenarios (old)'!A16), "", 'Input Scenarios (old)'!A16)</f>
        <v/>
      </c>
      <c r="B19" t="str">
        <f>IF(ISBLANK('Input Scenarios (old)'!B16), "", 'Input Scenarios (old)'!B16)</f>
        <v/>
      </c>
      <c r="C19" t="str">
        <f>IF(ISBLANK('Input Scenarios (old)'!C16), "", 'Input Scenarios (old)'!C16)</f>
        <v/>
      </c>
      <c r="D19" t="str">
        <f>IF(ISBLANK('Input Scenarios (old)'!D16), "", 'Input Scenarios (old)'!D16)</f>
        <v/>
      </c>
      <c r="E19" t="str">
        <f>IF(ISBLANK('Input Scenarios (old)'!E16), "", 'Input Scenarios (old)'!E16)</f>
        <v/>
      </c>
      <c r="F19" t="str">
        <f>IF(ISBLANK('Input Scenarios (old)'!F16), "", 'Input Scenarios (old)'!F16)</f>
        <v/>
      </c>
      <c r="G19" t="str">
        <f>IF(ISBLANK('Input Scenarios (old)'!G16), "", 'Input Scenarios (old)'!G16)</f>
        <v/>
      </c>
      <c r="H19" t="str">
        <f>IF(ISBLANK('Input Scenarios (old)'!H16), "", 'Input Scenarios (old)'!H16)</f>
        <v/>
      </c>
      <c r="I19" t="str">
        <f>IF(ISBLANK('Input Scenarios (old)'!I16),_xlfn.XLOOKUP(F19,Constants!$A$2:$A$5,Constants!B$2:B$5), 'Input Scenarios (old)'!I16)</f>
        <v/>
      </c>
      <c r="J19" t="str">
        <f>IF(ISBLANK('Input Scenarios (old)'!J16),_xlfn.XLOOKUP(F19,Constants!$A$2:$A$5,Constants!D$2:D$5), 'Input Scenarios (old)'!J16)</f>
        <v/>
      </c>
      <c r="K19" t="str">
        <f>IF(ISBLANK('Input Scenarios (old)'!K16),_xlfn.XLOOKUP(F19,Constants!$A$2:$A$5,Constants!E$2:E$5), 'Input Scenarios (old)'!K16)</f>
        <v/>
      </c>
      <c r="L19" t="s">
        <v>40</v>
      </c>
      <c r="M19">
        <v>0.1</v>
      </c>
      <c r="N19" t="s">
        <v>21</v>
      </c>
      <c r="O19">
        <v>0.25</v>
      </c>
      <c r="P19" t="str">
        <f>IF(F19="", "",_xlfn.XLOOKUP(F19,Constants!$A$2:$A$5,Constants!C$2:C$5))</f>
        <v/>
      </c>
      <c r="Q19" t="str">
        <f>IF(F19="", "",_xlfn.XLOOKUP(F19,Constants!$A$2:$A$5,Constants!F$2:F$5))</f>
        <v/>
      </c>
      <c r="R19">
        <f>IF(L19="", "", _xlfn.XLOOKUP(L19, Constants!$B$9:$B$17,Constants!$D$9:$D$17))</f>
        <v>0.02</v>
      </c>
      <c r="S19" t="str">
        <f>IF(L19="", "", _xlfn.XLOOKUP(L19, Constants!$B$9:$B$17,Constants!$C$9:$C$17))</f>
        <v>N/A</v>
      </c>
      <c r="T19">
        <f>IF(N19="", "", _xlfn.XLOOKUP(N19, Constants!$B$9:$B$17,Constants!$D$9:$D$17))</f>
        <v>0</v>
      </c>
      <c r="U19">
        <f>IF(N19="", "", _xlfn.XLOOKUP(N19, Constants!$B$9:$B$17,Constants!$C$9:$C$17))</f>
        <v>0</v>
      </c>
      <c r="V19" t="str">
        <f t="shared" si="0"/>
        <v/>
      </c>
      <c r="W19" t="str">
        <f t="shared" si="1"/>
        <v/>
      </c>
      <c r="X19" t="str">
        <f t="shared" si="2"/>
        <v/>
      </c>
      <c r="Y19">
        <f>IF(ISBLANK(L19), "", $X$16*M19)</f>
        <v>59.884199999999993</v>
      </c>
      <c r="Z19" t="str">
        <f t="shared" si="3"/>
        <v/>
      </c>
      <c r="AA19" t="str">
        <f t="shared" si="4"/>
        <v/>
      </c>
      <c r="AB19">
        <f>IF(N19="directApplication", "", $AA$16*O19)</f>
        <v>102.41695304999999</v>
      </c>
      <c r="AC19" t="str">
        <f t="shared" si="5"/>
        <v/>
      </c>
      <c r="AD19" t="str">
        <f>IF(E19="","",Constants!$M$2)</f>
        <v/>
      </c>
      <c r="AE19" t="str">
        <f>IF(F19="","",Constants!$L$2)</f>
        <v/>
      </c>
      <c r="AF19" t="str">
        <f>IF(F19="","",Constants!$J$2)</f>
        <v/>
      </c>
      <c r="AG19" t="str">
        <f t="shared" si="6"/>
        <v/>
      </c>
      <c r="AH19" t="str">
        <f t="shared" si="9"/>
        <v/>
      </c>
      <c r="AI19" t="str">
        <f t="shared" si="8"/>
        <v/>
      </c>
    </row>
    <row r="20" spans="1:35" s="11" customFormat="1" x14ac:dyDescent="0.2">
      <c r="A20" t="str">
        <f>IF(ISBLANK('Input Scenarios (old)'!A17), "", 'Input Scenarios (old)'!A17)</f>
        <v/>
      </c>
      <c r="B20" t="str">
        <f>IF(ISBLANK('Input Scenarios (old)'!B17), "", 'Input Scenarios (old)'!B17)</f>
        <v/>
      </c>
      <c r="C20" t="str">
        <f>IF(ISBLANK('Input Scenarios (old)'!C17), "", 'Input Scenarios (old)'!C17)</f>
        <v/>
      </c>
      <c r="D20" s="11" t="str">
        <f>IF(ISBLANK('Input Scenarios (old)'!D17), "", 'Input Scenarios (old)'!D17)</f>
        <v/>
      </c>
      <c r="E20" s="11" t="str">
        <f>IF(ISBLANK('Input Scenarios (old)'!E17), "", 'Input Scenarios (old)'!E17)</f>
        <v/>
      </c>
      <c r="F20" s="11" t="str">
        <f>IF(ISBLANK('Input Scenarios (old)'!F17), "", 'Input Scenarios (old)'!F17)</f>
        <v/>
      </c>
      <c r="G20" s="11" t="str">
        <f>IF(ISBLANK('Input Scenarios (old)'!G17), "", 'Input Scenarios (old)'!G17)</f>
        <v/>
      </c>
      <c r="H20" s="11" t="str">
        <f>IF(ISBLANK('Input Scenarios (old)'!H17), "", 'Input Scenarios (old)'!H17)</f>
        <v/>
      </c>
      <c r="I20" s="11" t="str">
        <f>IF(ISBLANK('Input Scenarios (old)'!I17),_xlfn.XLOOKUP(F20,Constants!$A$2:$A$5,Constants!B$2:B$5), 'Input Scenarios (old)'!I17)</f>
        <v/>
      </c>
      <c r="J20" s="11" t="str">
        <f>IF(ISBLANK('Input Scenarios (old)'!J17),_xlfn.XLOOKUP(F20,Constants!$A$2:$A$5,Constants!D$2:D$5), 'Input Scenarios (old)'!J17)</f>
        <v/>
      </c>
      <c r="K20" s="11" t="str">
        <f>IF(ISBLANK('Input Scenarios (old)'!K17),_xlfn.XLOOKUP(F20,Constants!$A$2:$A$5,Constants!E$2:E$5), 'Input Scenarios (old)'!K17)</f>
        <v/>
      </c>
      <c r="N20" s="11" t="s">
        <v>41</v>
      </c>
      <c r="O20" s="11">
        <v>0.1</v>
      </c>
      <c r="P20" s="11" t="str">
        <f>IF(F20="", "",_xlfn.XLOOKUP(F20,Constants!$A$2:$A$5,Constants!C$2:C$5))</f>
        <v/>
      </c>
      <c r="Q20" s="11" t="str">
        <f>IF(F20="", "",_xlfn.XLOOKUP(F20,Constants!$A$2:$A$5,Constants!F$2:F$5))</f>
        <v/>
      </c>
      <c r="R20" t="str">
        <f>IF(L20="", "", _xlfn.XLOOKUP(L20, Constants!$B$9:$B$17,Constants!$D$9:$D$17))</f>
        <v/>
      </c>
      <c r="S20" t="str">
        <f>IF(L20="", "", _xlfn.XLOOKUP(L20, Constants!$B$9:$B$17,Constants!$C$9:$C$17))</f>
        <v/>
      </c>
      <c r="T20" t="str">
        <f>IF(N20="", "", _xlfn.XLOOKUP(N20, Constants!$B$9:$B$17,Constants!$D$9:$D$17))</f>
        <v>N/A</v>
      </c>
      <c r="U20" t="str">
        <f>IF(N20="", "", _xlfn.XLOOKUP(N20, Constants!$B$9:$B$17,Constants!$C$9:$C$17))</f>
        <v>N/A</v>
      </c>
      <c r="V20" s="11" t="str">
        <f t="shared" si="0"/>
        <v/>
      </c>
      <c r="W20" s="11" t="str">
        <f t="shared" si="1"/>
        <v/>
      </c>
      <c r="X20" t="str">
        <f t="shared" si="2"/>
        <v/>
      </c>
      <c r="Y20" s="11" t="str">
        <f>IF(ISBLANK(L20), "", $X$16*M20)</f>
        <v/>
      </c>
      <c r="Z20" t="str">
        <f t="shared" si="3"/>
        <v/>
      </c>
      <c r="AA20" s="11" t="str">
        <f t="shared" si="4"/>
        <v/>
      </c>
      <c r="AB20" t="str">
        <f>IF(N20="directApplication", "", $AA$16*O20)</f>
        <v/>
      </c>
      <c r="AC20" t="str">
        <f t="shared" si="5"/>
        <v/>
      </c>
      <c r="AD20" t="str">
        <f>IF(E20="","",Constants!$M$2)</f>
        <v/>
      </c>
      <c r="AE20" t="str">
        <f>IF(F20="","",Constants!$L$2)</f>
        <v/>
      </c>
      <c r="AF20" t="str">
        <f>IF(F20="","",Constants!$J$2)</f>
        <v/>
      </c>
      <c r="AG20" t="str">
        <f t="shared" si="6"/>
        <v/>
      </c>
      <c r="AH20" t="str">
        <f t="shared" si="9"/>
        <v/>
      </c>
      <c r="AI20" t="str">
        <f t="shared" si="8"/>
        <v/>
      </c>
    </row>
    <row r="21" spans="1:35" x14ac:dyDescent="0.2">
      <c r="A21" t="str">
        <f>IF(ISBLANK('Input Scenarios (old)'!A18), "", 'Input Scenarios (old)'!A18)</f>
        <v>TAS</v>
      </c>
      <c r="B21" t="str">
        <f>IF(ISBLANK('Input Scenarios (old)'!B18), "", 'Input Scenarios (old)'!B18)</f>
        <v/>
      </c>
      <c r="C21" t="str">
        <f>IF(ISBLANK('Input Scenarios (old)'!C18), "", 'Input Scenarios (old)'!C18)</f>
        <v>Irrigated pasture</v>
      </c>
      <c r="D21" t="str">
        <f>IF(ISBLANK('Input Scenarios (old)'!D18), "", 'Input Scenarios (old)'!D18)</f>
        <v>wet</v>
      </c>
      <c r="E21" t="b">
        <f>IF(ISBLANK('Input Scenarios (old)'!E18), "", 'Input Scenarios (old)'!E18)</f>
        <v>1</v>
      </c>
      <c r="F21" t="str">
        <f>IF(ISBLANK('Input Scenarios (old)'!F18), "", 'Input Scenarios (old)'!F18)</f>
        <v>meatChickenGrowers</v>
      </c>
      <c r="G21">
        <f>IF(ISBLANK('Input Scenarios (old)'!G18), "", 'Input Scenarios (old)'!G18)</f>
        <v>3333</v>
      </c>
      <c r="H21">
        <f>IF(ISBLANK('Input Scenarios (old)'!H18), "", 'Input Scenarios (old)'!H18)</f>
        <v>111</v>
      </c>
      <c r="I21">
        <f>IF(ISBLANK('Input Scenarios (old)'!I18),_xlfn.XLOOKUP(F21,Constants!$A$2:$A$5,Constants!B$2:B$5), 'Input Scenarios (old)'!I18)</f>
        <v>9.2999999999999999E-2</v>
      </c>
      <c r="J21">
        <f>IF(ISBLANK('Input Scenarios (old)'!J18),_xlfn.XLOOKUP(F21,Constants!$A$2:$A$5,Constants!D$2:D$5), 'Input Scenarios (old)'!J18)</f>
        <v>0.23</v>
      </c>
      <c r="K21">
        <f>IF(ISBLANK('Input Scenarios (old)'!K18),_xlfn.XLOOKUP(F21,Constants!$A$2:$A$5,Constants!E$2:E$5), 'Input Scenarios (old)'!K18)</f>
        <v>0.47</v>
      </c>
      <c r="L21" t="s">
        <v>16</v>
      </c>
      <c r="M21">
        <v>0</v>
      </c>
      <c r="N21" t="s">
        <v>19</v>
      </c>
      <c r="O21">
        <v>0.34</v>
      </c>
      <c r="P21">
        <f>IF(F21="", "",_xlfn.XLOOKUP(F21,Constants!$A$2:$A$5,Constants!C$2:C$5))</f>
        <v>0.8</v>
      </c>
      <c r="Q21">
        <f>IF(F21="", "",_xlfn.XLOOKUP(F21,Constants!$A$2:$A$5,Constants!F$2:F$5))</f>
        <v>0.15</v>
      </c>
      <c r="R21">
        <f>IF(L21="", "", _xlfn.XLOOKUP(L21, Constants!$B$9:$B$17,Constants!$D$9:$D$17))</f>
        <v>1E-3</v>
      </c>
      <c r="S21">
        <f>IF(L21="", "", _xlfn.XLOOKUP(L21, Constants!$B$9:$B$17,Constants!$C$9:$C$17))</f>
        <v>0.3</v>
      </c>
      <c r="T21">
        <f>IF(N21="", "", _xlfn.XLOOKUP(N21, Constants!$B$9:$B$17,Constants!$D$9:$D$17))</f>
        <v>5.0000000000000001E-3</v>
      </c>
      <c r="U21">
        <f>IF(N21="", "", _xlfn.XLOOKUP(N21, Constants!$B$9:$B$17,Constants!$C$9:$C$17))</f>
        <v>0.2</v>
      </c>
      <c r="V21">
        <f t="shared" si="0"/>
        <v>3.4223999999999999E-3</v>
      </c>
      <c r="W21">
        <f t="shared" si="1"/>
        <v>1.813872E-3</v>
      </c>
      <c r="X21">
        <f t="shared" si="2"/>
        <v>671.06552673600004</v>
      </c>
      <c r="Y21">
        <f>IF(ISBLANK(L21), "", $X$21*M21)</f>
        <v>0</v>
      </c>
      <c r="Z21">
        <f t="shared" si="3"/>
        <v>0</v>
      </c>
      <c r="AA21">
        <f t="shared" si="4"/>
        <v>573.15706638521772</v>
      </c>
      <c r="AB21">
        <f>IF(N21="directApplication", "", $AA$21*O21)</f>
        <v>194.87340257097404</v>
      </c>
      <c r="AC21">
        <f t="shared" si="5"/>
        <v>1</v>
      </c>
      <c r="AD21">
        <f>IF(E21="","",Constants!$M$2)</f>
        <v>0.02</v>
      </c>
      <c r="AE21">
        <f>IF(F21="","",Constants!$L$2)</f>
        <v>1.0999999999999999E-2</v>
      </c>
      <c r="AF21">
        <f>IF(F21="","",Constants!$J$2)</f>
        <v>1.5714285714285714</v>
      </c>
      <c r="AG21">
        <f t="shared" si="6"/>
        <v>3.8974680514194806</v>
      </c>
      <c r="AH21">
        <f>IF(L24="pastureRangeAndPaddock", Y24*AD$21*AC$21, "")</f>
        <v>1.3421310534720001</v>
      </c>
      <c r="AI21">
        <f t="shared" si="8"/>
        <v>9.0570213098838429E-5</v>
      </c>
    </row>
    <row r="22" spans="1:35" x14ac:dyDescent="0.2">
      <c r="A22" t="str">
        <f>IF(ISBLANK('Input Scenarios (old)'!A19), "", 'Input Scenarios (old)'!A19)</f>
        <v/>
      </c>
      <c r="B22" t="str">
        <f>IF(ISBLANK('Input Scenarios (old)'!B19), "", 'Input Scenarios (old)'!B19)</f>
        <v/>
      </c>
      <c r="C22" t="str">
        <f>IF(ISBLANK('Input Scenarios (old)'!C19), "", 'Input Scenarios (old)'!C19)</f>
        <v/>
      </c>
      <c r="D22" t="str">
        <f>IF(ISBLANK('Input Scenarios (old)'!D19), "", 'Input Scenarios (old)'!D19)</f>
        <v/>
      </c>
      <c r="E22" t="str">
        <f>IF(ISBLANK('Input Scenarios (old)'!E19), "", 'Input Scenarios (old)'!E19)</f>
        <v/>
      </c>
      <c r="F22" t="str">
        <f>IF(ISBLANK('Input Scenarios (old)'!F19), "", 'Input Scenarios (old)'!F19)</f>
        <v/>
      </c>
      <c r="G22" t="str">
        <f>IF(ISBLANK('Input Scenarios (old)'!G19), "", 'Input Scenarios (old)'!G19)</f>
        <v/>
      </c>
      <c r="H22" t="str">
        <f>IF(ISBLANK('Input Scenarios (old)'!H19), "", 'Input Scenarios (old)'!H19)</f>
        <v/>
      </c>
      <c r="I22" t="str">
        <f>IF(ISBLANK('Input Scenarios (old)'!I19),_xlfn.XLOOKUP(F22,Constants!$A$2:$A$5,Constants!B$2:B$5), 'Input Scenarios (old)'!I19)</f>
        <v/>
      </c>
      <c r="J22" t="str">
        <f>IF(ISBLANK('Input Scenarios (old)'!J19),_xlfn.XLOOKUP(F22,Constants!$A$2:$A$5,Constants!D$2:D$5), 'Input Scenarios (old)'!J19)</f>
        <v/>
      </c>
      <c r="K22" t="str">
        <f>IF(ISBLANK('Input Scenarios (old)'!K19),_xlfn.XLOOKUP(F22,Constants!$A$2:$A$5,Constants!E$2:E$5), 'Input Scenarios (old)'!K19)</f>
        <v/>
      </c>
      <c r="L22" t="s">
        <v>17</v>
      </c>
      <c r="M22">
        <v>0.9</v>
      </c>
      <c r="N22" t="s">
        <v>20</v>
      </c>
      <c r="O22">
        <v>0.6</v>
      </c>
      <c r="P22" t="str">
        <f>IF(F22="", "",_xlfn.XLOOKUP(F22,Constants!$A$2:$A$5,Constants!C$2:C$5))</f>
        <v/>
      </c>
      <c r="Q22" t="str">
        <f>IF(F22="", "",_xlfn.XLOOKUP(F22,Constants!$A$2:$A$5,Constants!F$2:F$5))</f>
        <v/>
      </c>
      <c r="R22">
        <f>IF(L22="", "", _xlfn.XLOOKUP(L22, Constants!$B$9:$B$17,Constants!$D$9:$D$17))</f>
        <v>1E-3</v>
      </c>
      <c r="S22">
        <f>IF(L22="", "", _xlfn.XLOOKUP(L22, Constants!$B$9:$B$17,Constants!$C$9:$C$17))</f>
        <v>0.05</v>
      </c>
      <c r="T22">
        <f>IF(N22="", "", _xlfn.XLOOKUP(N22, Constants!$B$9:$B$17,Constants!$D$9:$D$17))</f>
        <v>0.01</v>
      </c>
      <c r="U22">
        <f>IF(N22="", "", _xlfn.XLOOKUP(N22, Constants!$B$9:$B$17,Constants!$C$9:$C$17))</f>
        <v>0.2</v>
      </c>
      <c r="V22" t="str">
        <f t="shared" si="0"/>
        <v/>
      </c>
      <c r="W22" t="str">
        <f t="shared" si="1"/>
        <v/>
      </c>
      <c r="X22" t="str">
        <f t="shared" si="2"/>
        <v/>
      </c>
      <c r="Y22">
        <f>IF(ISBLANK(L22), "", $X$21*M22)</f>
        <v>603.9589740624001</v>
      </c>
      <c r="Z22">
        <f t="shared" si="3"/>
        <v>573.15706638521772</v>
      </c>
      <c r="AA22" t="str">
        <f t="shared" si="4"/>
        <v/>
      </c>
      <c r="AB22">
        <f>IF(N22="directApplication", "", $AA$21*O22)</f>
        <v>343.89423983113062</v>
      </c>
      <c r="AC22" t="str">
        <f t="shared" si="5"/>
        <v/>
      </c>
      <c r="AD22" t="str">
        <f>IF(E22="","",Constants!$M$2)</f>
        <v/>
      </c>
      <c r="AE22" t="str">
        <f>IF(F22="","",Constants!$L$2)</f>
        <v/>
      </c>
      <c r="AF22" t="str">
        <f>IF(F22="","",Constants!$J$2)</f>
        <v/>
      </c>
      <c r="AG22" t="str">
        <f t="shared" si="6"/>
        <v/>
      </c>
      <c r="AH22" t="str">
        <f t="shared" ref="AH22:AH25" si="10">IF(L25="pastureRangeAndPaddock", Y25*AD$21*AC$21, "")</f>
        <v/>
      </c>
      <c r="AI22" t="str">
        <f t="shared" si="8"/>
        <v/>
      </c>
    </row>
    <row r="23" spans="1:35" x14ac:dyDescent="0.2">
      <c r="A23" t="str">
        <f>IF(ISBLANK('Input Scenarios (old)'!A20), "", 'Input Scenarios (old)'!A20)</f>
        <v/>
      </c>
      <c r="B23" t="str">
        <f>IF(ISBLANK('Input Scenarios (old)'!B20), "", 'Input Scenarios (old)'!B20)</f>
        <v/>
      </c>
      <c r="C23" t="str">
        <f>IF(ISBLANK('Input Scenarios (old)'!C20), "", 'Input Scenarios (old)'!C20)</f>
        <v/>
      </c>
      <c r="D23" t="str">
        <f>IF(ISBLANK('Input Scenarios (old)'!D20), "", 'Input Scenarios (old)'!D20)</f>
        <v/>
      </c>
      <c r="E23" t="str">
        <f>IF(ISBLANK('Input Scenarios (old)'!E20), "", 'Input Scenarios (old)'!E20)</f>
        <v/>
      </c>
      <c r="F23" t="str">
        <f>IF(ISBLANK('Input Scenarios (old)'!F20), "", 'Input Scenarios (old)'!F20)</f>
        <v/>
      </c>
      <c r="G23" t="str">
        <f>IF(ISBLANK('Input Scenarios (old)'!G20), "", 'Input Scenarios (old)'!G20)</f>
        <v/>
      </c>
      <c r="H23" t="str">
        <f>IF(ISBLANK('Input Scenarios (old)'!H20), "", 'Input Scenarios (old)'!H20)</f>
        <v/>
      </c>
      <c r="I23" t="str">
        <f>IF(ISBLANK('Input Scenarios (old)'!I20),_xlfn.XLOOKUP(F23,Constants!$A$2:$A$5,Constants!B$2:B$5), 'Input Scenarios (old)'!I20)</f>
        <v/>
      </c>
      <c r="J23" t="str">
        <f>IF(ISBLANK('Input Scenarios (old)'!J20),_xlfn.XLOOKUP(F23,Constants!$A$2:$A$5,Constants!D$2:D$5), 'Input Scenarios (old)'!J20)</f>
        <v/>
      </c>
      <c r="K23" t="str">
        <f>IF(ISBLANK('Input Scenarios (old)'!K20),_xlfn.XLOOKUP(F23,Constants!$A$2:$A$5,Constants!E$2:E$5), 'Input Scenarios (old)'!K20)</f>
        <v/>
      </c>
      <c r="L23" t="s">
        <v>18</v>
      </c>
      <c r="M23">
        <v>0</v>
      </c>
      <c r="N23" t="s">
        <v>22</v>
      </c>
      <c r="O23">
        <v>0</v>
      </c>
      <c r="P23" t="str">
        <f>IF(F23="", "",_xlfn.XLOOKUP(F23,Constants!$A$2:$A$5,Constants!C$2:C$5))</f>
        <v/>
      </c>
      <c r="Q23" t="str">
        <f>IF(F23="", "",_xlfn.XLOOKUP(F23,Constants!$A$2:$A$5,Constants!F$2:F$5))</f>
        <v/>
      </c>
      <c r="R23">
        <f>IF(L23="", "", _xlfn.XLOOKUP(L23, Constants!$B$9:$B$17,Constants!$D$9:$D$17))</f>
        <v>1E-3</v>
      </c>
      <c r="S23">
        <f>IF(L23="", "", _xlfn.XLOOKUP(L23, Constants!$B$9:$B$17,Constants!$C$9:$C$17))</f>
        <v>0.4</v>
      </c>
      <c r="T23">
        <f>IF(N23="", "", _xlfn.XLOOKUP(N23, Constants!$B$9:$B$17,Constants!$D$9:$D$17))</f>
        <v>0</v>
      </c>
      <c r="U23">
        <f>IF(N23="", "", _xlfn.XLOOKUP(N23, Constants!$B$9:$B$17,Constants!$C$9:$C$17))</f>
        <v>0</v>
      </c>
      <c r="V23" t="str">
        <f t="shared" si="0"/>
        <v/>
      </c>
      <c r="W23" t="str">
        <f t="shared" si="1"/>
        <v/>
      </c>
      <c r="X23" t="str">
        <f t="shared" si="2"/>
        <v/>
      </c>
      <c r="Y23">
        <f>IF(ISBLANK(L23), "", $X$21*M23)</f>
        <v>0</v>
      </c>
      <c r="Z23">
        <f t="shared" si="3"/>
        <v>0</v>
      </c>
      <c r="AA23" t="str">
        <f t="shared" si="4"/>
        <v/>
      </c>
      <c r="AB23">
        <f>IF(N23="directApplication", "", $AA$21*O23)</f>
        <v>0</v>
      </c>
      <c r="AC23" t="str">
        <f t="shared" si="5"/>
        <v/>
      </c>
      <c r="AD23" t="str">
        <f>IF(E23="","",Constants!$M$2)</f>
        <v/>
      </c>
      <c r="AE23" t="str">
        <f>IF(F23="","",Constants!$L$2)</f>
        <v/>
      </c>
      <c r="AF23" t="str">
        <f>IF(F23="","",Constants!$J$2)</f>
        <v/>
      </c>
      <c r="AG23" t="str">
        <f t="shared" si="6"/>
        <v/>
      </c>
      <c r="AH23" t="str">
        <f t="shared" si="10"/>
        <v/>
      </c>
      <c r="AI23" t="str">
        <f t="shared" si="8"/>
        <v/>
      </c>
    </row>
    <row r="24" spans="1:35" x14ac:dyDescent="0.2">
      <c r="A24" t="str">
        <f>IF(ISBLANK('Input Scenarios (old)'!A21), "", 'Input Scenarios (old)'!A21)</f>
        <v/>
      </c>
      <c r="B24" t="str">
        <f>IF(ISBLANK('Input Scenarios (old)'!B21), "", 'Input Scenarios (old)'!B21)</f>
        <v/>
      </c>
      <c r="C24" t="str">
        <f>IF(ISBLANK('Input Scenarios (old)'!C21), "", 'Input Scenarios (old)'!C21)</f>
        <v/>
      </c>
      <c r="D24" t="str">
        <f>IF(ISBLANK('Input Scenarios (old)'!D21), "", 'Input Scenarios (old)'!D21)</f>
        <v/>
      </c>
      <c r="E24" t="str">
        <f>IF(ISBLANK('Input Scenarios (old)'!E21), "", 'Input Scenarios (old)'!E21)</f>
        <v/>
      </c>
      <c r="F24" t="str">
        <f>IF(ISBLANK('Input Scenarios (old)'!F21), "", 'Input Scenarios (old)'!F21)</f>
        <v/>
      </c>
      <c r="G24" t="str">
        <f>IF(ISBLANK('Input Scenarios (old)'!G21), "", 'Input Scenarios (old)'!G21)</f>
        <v/>
      </c>
      <c r="H24" t="str">
        <f>IF(ISBLANK('Input Scenarios (old)'!H21), "", 'Input Scenarios (old)'!H21)</f>
        <v/>
      </c>
      <c r="I24" t="str">
        <f>IF(ISBLANK('Input Scenarios (old)'!I21),_xlfn.XLOOKUP(F24,Constants!$A$2:$A$5,Constants!B$2:B$5), 'Input Scenarios (old)'!I21)</f>
        <v/>
      </c>
      <c r="J24" t="str">
        <f>IF(ISBLANK('Input Scenarios (old)'!J21),_xlfn.XLOOKUP(F24,Constants!$A$2:$A$5,Constants!D$2:D$5), 'Input Scenarios (old)'!J21)</f>
        <v/>
      </c>
      <c r="K24" t="str">
        <f>IF(ISBLANK('Input Scenarios (old)'!K21),_xlfn.XLOOKUP(F24,Constants!$A$2:$A$5,Constants!E$2:E$5), 'Input Scenarios (old)'!K21)</f>
        <v/>
      </c>
      <c r="L24" t="s">
        <v>40</v>
      </c>
      <c r="M24">
        <v>0.1</v>
      </c>
      <c r="N24" t="s">
        <v>21</v>
      </c>
      <c r="O24">
        <v>0</v>
      </c>
      <c r="P24" t="str">
        <f>IF(F24="", "",_xlfn.XLOOKUP(F24,Constants!$A$2:$A$5,Constants!C$2:C$5))</f>
        <v/>
      </c>
      <c r="Q24" t="str">
        <f>IF(F24="", "",_xlfn.XLOOKUP(F24,Constants!$A$2:$A$5,Constants!F$2:F$5))</f>
        <v/>
      </c>
      <c r="R24">
        <f>IF(L24="", "", _xlfn.XLOOKUP(L24, Constants!$B$9:$B$17,Constants!$D$9:$D$17))</f>
        <v>0.02</v>
      </c>
      <c r="S24" t="str">
        <f>IF(L24="", "", _xlfn.XLOOKUP(L24, Constants!$B$9:$B$17,Constants!$C$9:$C$17))</f>
        <v>N/A</v>
      </c>
      <c r="T24">
        <f>IF(N24="", "", _xlfn.XLOOKUP(N24, Constants!$B$9:$B$17,Constants!$D$9:$D$17))</f>
        <v>0</v>
      </c>
      <c r="U24">
        <f>IF(N24="", "", _xlfn.XLOOKUP(N24, Constants!$B$9:$B$17,Constants!$C$9:$C$17))</f>
        <v>0</v>
      </c>
      <c r="V24" t="str">
        <f t="shared" si="0"/>
        <v/>
      </c>
      <c r="W24" t="str">
        <f t="shared" si="1"/>
        <v/>
      </c>
      <c r="X24" t="str">
        <f t="shared" si="2"/>
        <v/>
      </c>
      <c r="Y24">
        <f>IF(ISBLANK(L24), "", $X$21*M24)</f>
        <v>67.106552673600007</v>
      </c>
      <c r="Z24" t="str">
        <f t="shared" si="3"/>
        <v/>
      </c>
      <c r="AA24" t="str">
        <f t="shared" si="4"/>
        <v/>
      </c>
      <c r="AB24">
        <f>IF(N24="directApplication", "", $AA$21*O24)</f>
        <v>0</v>
      </c>
      <c r="AC24" t="str">
        <f t="shared" si="5"/>
        <v/>
      </c>
      <c r="AD24" t="str">
        <f>IF(E24="","",Constants!$M$2)</f>
        <v/>
      </c>
      <c r="AE24" t="str">
        <f>IF(F24="","",Constants!$L$2)</f>
        <v/>
      </c>
      <c r="AF24" t="str">
        <f>IF(F24="","",Constants!$J$2)</f>
        <v/>
      </c>
      <c r="AG24" t="str">
        <f t="shared" si="6"/>
        <v/>
      </c>
      <c r="AH24" t="str">
        <f t="shared" si="10"/>
        <v/>
      </c>
      <c r="AI24" t="str">
        <f t="shared" si="8"/>
        <v/>
      </c>
    </row>
    <row r="25" spans="1:35" s="11" customFormat="1" x14ac:dyDescent="0.2">
      <c r="A25" t="str">
        <f>IF(ISBLANK('Input Scenarios (old)'!A22), "", 'Input Scenarios (old)'!A22)</f>
        <v/>
      </c>
      <c r="B25" t="str">
        <f>IF(ISBLANK('Input Scenarios (old)'!B22), "", 'Input Scenarios (old)'!B22)</f>
        <v/>
      </c>
      <c r="C25" t="str">
        <f>IF(ISBLANK('Input Scenarios (old)'!C22), "", 'Input Scenarios (old)'!C22)</f>
        <v/>
      </c>
      <c r="D25" s="11" t="str">
        <f>IF(ISBLANK('Input Scenarios (old)'!D22), "", 'Input Scenarios (old)'!D22)</f>
        <v/>
      </c>
      <c r="E25" s="11" t="str">
        <f>IF(ISBLANK('Input Scenarios (old)'!E22), "", 'Input Scenarios (old)'!E22)</f>
        <v/>
      </c>
      <c r="F25" s="11" t="str">
        <f>IF(ISBLANK('Input Scenarios (old)'!F22), "", 'Input Scenarios (old)'!F22)</f>
        <v/>
      </c>
      <c r="G25" s="11" t="str">
        <f>IF(ISBLANK('Input Scenarios (old)'!G22), "", 'Input Scenarios (old)'!G22)</f>
        <v/>
      </c>
      <c r="H25" s="11" t="str">
        <f>IF(ISBLANK('Input Scenarios (old)'!H22), "", 'Input Scenarios (old)'!H22)</f>
        <v/>
      </c>
      <c r="I25" s="11" t="str">
        <f>IF(ISBLANK('Input Scenarios (old)'!I22),_xlfn.XLOOKUP(F25,Constants!$A$2:$A$5,Constants!B$2:B$5), 'Input Scenarios (old)'!I22)</f>
        <v/>
      </c>
      <c r="J25" s="11" t="str">
        <f>IF(ISBLANK('Input Scenarios (old)'!J22),_xlfn.XLOOKUP(F25,Constants!$A$2:$A$5,Constants!D$2:D$5), 'Input Scenarios (old)'!J22)</f>
        <v/>
      </c>
      <c r="K25" s="11" t="str">
        <f>IF(ISBLANK('Input Scenarios (old)'!K22),_xlfn.XLOOKUP(F25,Constants!$A$2:$A$5,Constants!E$2:E$5), 'Input Scenarios (old)'!K22)</f>
        <v/>
      </c>
      <c r="N25" s="11" t="s">
        <v>41</v>
      </c>
      <c r="O25" s="11">
        <v>0.06</v>
      </c>
      <c r="P25" s="11" t="str">
        <f>IF(F25="", "",_xlfn.XLOOKUP(F25,Constants!$A$2:$A$5,Constants!C$2:C$5))</f>
        <v/>
      </c>
      <c r="Q25" s="11" t="str">
        <f>IF(F25="", "",_xlfn.XLOOKUP(F25,Constants!$A$2:$A$5,Constants!F$2:F$5))</f>
        <v/>
      </c>
      <c r="R25" t="str">
        <f>IF(L25="", "", _xlfn.XLOOKUP(L25, Constants!$B$9:$B$17,Constants!$D$9:$D$17))</f>
        <v/>
      </c>
      <c r="S25" t="str">
        <f>IF(L25="", "", _xlfn.XLOOKUP(L25, Constants!$B$9:$B$17,Constants!$C$9:$C$17))</f>
        <v/>
      </c>
      <c r="T25" t="str">
        <f>IF(N25="", "", _xlfn.XLOOKUP(N25, Constants!$B$9:$B$17,Constants!$D$9:$D$17))</f>
        <v>N/A</v>
      </c>
      <c r="U25" t="str">
        <f>IF(N25="", "", _xlfn.XLOOKUP(N25, Constants!$B$9:$B$17,Constants!$C$9:$C$17))</f>
        <v>N/A</v>
      </c>
      <c r="V25" s="11" t="str">
        <f t="shared" si="0"/>
        <v/>
      </c>
      <c r="W25" s="11" t="str">
        <f t="shared" si="1"/>
        <v/>
      </c>
      <c r="X25" t="str">
        <f t="shared" si="2"/>
        <v/>
      </c>
      <c r="Y25" s="11" t="str">
        <f>IF(ISBLANK(L25), "", $X$21*M25)</f>
        <v/>
      </c>
      <c r="Z25" t="str">
        <f t="shared" si="3"/>
        <v/>
      </c>
      <c r="AA25" s="11" t="str">
        <f t="shared" si="4"/>
        <v/>
      </c>
      <c r="AB25" t="str">
        <f>IF(N25="directApplication", "", $AA$21*O25)</f>
        <v/>
      </c>
      <c r="AC25" t="str">
        <f t="shared" si="5"/>
        <v/>
      </c>
      <c r="AD25" t="str">
        <f>IF(E25="","",Constants!$M$2)</f>
        <v/>
      </c>
      <c r="AE25" t="str">
        <f>IF(F25="","",Constants!$L$2)</f>
        <v/>
      </c>
      <c r="AF25" t="str">
        <f>IF(F25="","",Constants!$J$2)</f>
        <v/>
      </c>
      <c r="AG25" t="str">
        <f t="shared" si="6"/>
        <v/>
      </c>
      <c r="AH25" t="str">
        <f t="shared" si="10"/>
        <v/>
      </c>
      <c r="AI25" t="str">
        <f t="shared" si="8"/>
        <v/>
      </c>
    </row>
    <row r="26" spans="1:35" x14ac:dyDescent="0.2">
      <c r="A26" t="str">
        <f>IF(ISBLANK('Input Scenarios (old)'!A23), "", 'Input Scenarios (old)'!A23)</f>
        <v>NT</v>
      </c>
      <c r="B26" t="str">
        <f>IF(ISBLANK('Input Scenarios (old)'!B23), "", 'Input Scenarios (old)'!B23)</f>
        <v/>
      </c>
      <c r="C26" t="str">
        <f>IF(ISBLANK('Input Scenarios (old)'!C23), "", 'Input Scenarios (old)'!C23)</f>
        <v>Non-irrigated crop (high rainfall)</v>
      </c>
      <c r="D26" t="str">
        <f>IF(ISBLANK('Input Scenarios (old)'!D23), "", 'Input Scenarios (old)'!D23)</f>
        <v>dry</v>
      </c>
      <c r="E26" t="b">
        <f>IF(ISBLANK('Input Scenarios (old)'!E23), "", 'Input Scenarios (old)'!E23)</f>
        <v>1</v>
      </c>
      <c r="F26" t="str">
        <f>IF(ISBLANK('Input Scenarios (old)'!F23), "", 'Input Scenarios (old)'!F23)</f>
        <v>meatOther</v>
      </c>
      <c r="G26">
        <f>IF(ISBLANK('Input Scenarios (old)'!G23), "", 'Input Scenarios (old)'!G23)</f>
        <v>1234</v>
      </c>
      <c r="H26">
        <f>IF(ISBLANK('Input Scenarios (old)'!H23), "", 'Input Scenarios (old)'!H23)</f>
        <v>150</v>
      </c>
      <c r="I26">
        <f>IF(ISBLANK('Input Scenarios (old)'!I23),_xlfn.XLOOKUP(F26,Constants!$A$2:$A$5,Constants!B$2:B$5), 'Input Scenarios (old)'!I23)</f>
        <v>9.2999999999999999E-2</v>
      </c>
      <c r="J26">
        <f>IF(ISBLANK('Input Scenarios (old)'!J23),_xlfn.XLOOKUP(F26,Constants!$A$2:$A$5,Constants!D$2:D$5), 'Input Scenarios (old)'!J23)</f>
        <v>0.23</v>
      </c>
      <c r="K26">
        <f>IF(ISBLANK('Input Scenarios (old)'!K23),_xlfn.XLOOKUP(F26,Constants!$A$2:$A$5,Constants!E$2:E$5), 'Input Scenarios (old)'!K23)</f>
        <v>0.47</v>
      </c>
      <c r="L26" t="s">
        <v>16</v>
      </c>
      <c r="M26">
        <v>0.1</v>
      </c>
      <c r="N26" t="s">
        <v>19</v>
      </c>
      <c r="O26">
        <v>0.5</v>
      </c>
      <c r="P26">
        <f>IF(F26="", "",_xlfn.XLOOKUP(F26,Constants!$A$2:$A$5,Constants!C$2:C$5))</f>
        <v>0.8</v>
      </c>
      <c r="Q26">
        <f>IF(F26="", "",_xlfn.XLOOKUP(F26,Constants!$A$2:$A$5,Constants!F$2:F$5))</f>
        <v>0.15</v>
      </c>
      <c r="R26">
        <f>IF(L26="", "", _xlfn.XLOOKUP(L26, Constants!$B$9:$B$17,Constants!$D$9:$D$17))</f>
        <v>1E-3</v>
      </c>
      <c r="S26">
        <f>IF(L26="", "", _xlfn.XLOOKUP(L26, Constants!$B$9:$B$17,Constants!$C$9:$C$17))</f>
        <v>0.3</v>
      </c>
      <c r="T26">
        <f>IF(N26="", "", _xlfn.XLOOKUP(N26, Constants!$B$9:$B$17,Constants!$D$9:$D$17))</f>
        <v>5.0000000000000001E-3</v>
      </c>
      <c r="U26">
        <f>IF(N26="", "", _xlfn.XLOOKUP(N26, Constants!$B$9:$B$17,Constants!$C$9:$C$17))</f>
        <v>0.2</v>
      </c>
      <c r="V26">
        <f t="shared" si="0"/>
        <v>3.4223999999999999E-3</v>
      </c>
      <c r="W26">
        <f t="shared" si="1"/>
        <v>1.813872E-3</v>
      </c>
      <c r="X26">
        <f t="shared" si="2"/>
        <v>335.74770719999998</v>
      </c>
      <c r="Y26">
        <f>IF(ISBLANK(L26), "", $X$26*M26)</f>
        <v>33.574770719999997</v>
      </c>
      <c r="Z26">
        <f t="shared" si="3"/>
        <v>23.46876473328</v>
      </c>
      <c r="AA26">
        <f t="shared" si="4"/>
        <v>23.46876473328</v>
      </c>
      <c r="AB26">
        <f>IF(N26="directApplication", "", $AA$26*O26)</f>
        <v>11.73438236664</v>
      </c>
      <c r="AC26">
        <f t="shared" si="5"/>
        <v>1</v>
      </c>
      <c r="AD26">
        <f>IF(E26="","",Constants!$M$2)</f>
        <v>0.02</v>
      </c>
      <c r="AE26">
        <f>IF(F26="","",Constants!$L$2)</f>
        <v>1.0999999999999999E-2</v>
      </c>
      <c r="AF26">
        <f>IF(F26="","",Constants!$J$2)</f>
        <v>1.5714285714285714</v>
      </c>
      <c r="AG26">
        <f t="shared" si="6"/>
        <v>0.23468764733280001</v>
      </c>
      <c r="AH26">
        <f>IF(L29="pastureRangeAndPaddock", Y29*AD$26*AC$26, "")</f>
        <v>6.0434587295999993</v>
      </c>
      <c r="AI26">
        <f t="shared" si="8"/>
        <v>1.0852224451555266E-4</v>
      </c>
    </row>
    <row r="27" spans="1:35" x14ac:dyDescent="0.2">
      <c r="A27" t="str">
        <f>IF(ISBLANK('Input Scenarios (old)'!A24), "", 'Input Scenarios (old)'!A24)</f>
        <v/>
      </c>
      <c r="B27" t="str">
        <f>IF(ISBLANK('Input Scenarios (old)'!B24), "", 'Input Scenarios (old)'!B24)</f>
        <v/>
      </c>
      <c r="C27" t="str">
        <f>IF(ISBLANK('Input Scenarios (old)'!C24), "", 'Input Scenarios (old)'!C24)</f>
        <v/>
      </c>
      <c r="D27" t="str">
        <f>IF(ISBLANK('Input Scenarios (old)'!D24), "", 'Input Scenarios (old)'!D24)</f>
        <v/>
      </c>
      <c r="E27" t="str">
        <f>IF(ISBLANK('Input Scenarios (old)'!E24), "", 'Input Scenarios (old)'!E24)</f>
        <v/>
      </c>
      <c r="F27" t="str">
        <f>IF(ISBLANK('Input Scenarios (old)'!F24), "", 'Input Scenarios (old)'!F24)</f>
        <v/>
      </c>
      <c r="G27" t="str">
        <f>IF(ISBLANK('Input Scenarios (old)'!G24), "", 'Input Scenarios (old)'!G24)</f>
        <v/>
      </c>
      <c r="H27" t="str">
        <f>IF(ISBLANK('Input Scenarios (old)'!H24), "", 'Input Scenarios (old)'!H24)</f>
        <v/>
      </c>
      <c r="I27" t="str">
        <f>IF(ISBLANK('Input Scenarios (old)'!I24),_xlfn.XLOOKUP(F27,Constants!$A$2:$A$5,Constants!B$2:B$5), 'Input Scenarios (old)'!I24)</f>
        <v/>
      </c>
      <c r="J27" t="str">
        <f>IF(ISBLANK('Input Scenarios (old)'!J24),_xlfn.XLOOKUP(F27,Constants!$A$2:$A$5,Constants!D$2:D$5), 'Input Scenarios (old)'!J24)</f>
        <v/>
      </c>
      <c r="K27" t="str">
        <f>IF(ISBLANK('Input Scenarios (old)'!K24),_xlfn.XLOOKUP(F27,Constants!$A$2:$A$5,Constants!E$2:E$5), 'Input Scenarios (old)'!K24)</f>
        <v/>
      </c>
      <c r="L27" t="s">
        <v>17</v>
      </c>
      <c r="M27">
        <v>0</v>
      </c>
      <c r="N27" t="s">
        <v>20</v>
      </c>
      <c r="O27">
        <v>0.25</v>
      </c>
      <c r="P27" t="str">
        <f>IF(F27="", "",_xlfn.XLOOKUP(F27,Constants!$A$2:$A$5,Constants!C$2:C$5))</f>
        <v/>
      </c>
      <c r="Q27" t="str">
        <f>IF(F27="", "",_xlfn.XLOOKUP(F27,Constants!$A$2:$A$5,Constants!F$2:F$5))</f>
        <v/>
      </c>
      <c r="R27">
        <f>IF(L27="", "", _xlfn.XLOOKUP(L27, Constants!$B$9:$B$17,Constants!$D$9:$D$17))</f>
        <v>1E-3</v>
      </c>
      <c r="S27">
        <f>IF(L27="", "", _xlfn.XLOOKUP(L27, Constants!$B$9:$B$17,Constants!$C$9:$C$17))</f>
        <v>0.05</v>
      </c>
      <c r="T27">
        <f>IF(N27="", "", _xlfn.XLOOKUP(N27, Constants!$B$9:$B$17,Constants!$D$9:$D$17))</f>
        <v>0.01</v>
      </c>
      <c r="U27">
        <f>IF(N27="", "", _xlfn.XLOOKUP(N27, Constants!$B$9:$B$17,Constants!$C$9:$C$17))</f>
        <v>0.2</v>
      </c>
      <c r="V27" t="str">
        <f t="shared" si="0"/>
        <v/>
      </c>
      <c r="W27" t="str">
        <f t="shared" si="1"/>
        <v/>
      </c>
      <c r="X27" t="str">
        <f t="shared" si="2"/>
        <v/>
      </c>
      <c r="Y27">
        <f>IF(ISBLANK(L27), "", $X$26*M27)</f>
        <v>0</v>
      </c>
      <c r="Z27">
        <f t="shared" si="3"/>
        <v>0</v>
      </c>
      <c r="AA27" t="str">
        <f t="shared" si="4"/>
        <v/>
      </c>
      <c r="AB27">
        <f>IF(N27="directApplication", "", $AA$26*O27)</f>
        <v>5.8671911833200001</v>
      </c>
      <c r="AC27" t="str">
        <f t="shared" si="5"/>
        <v/>
      </c>
      <c r="AD27" t="str">
        <f>IF(E27="","",Constants!$M$2)</f>
        <v/>
      </c>
      <c r="AE27" t="str">
        <f>IF(F27="","",Constants!$L$2)</f>
        <v/>
      </c>
      <c r="AF27" t="str">
        <f>IF(F27="","",Constants!$J$2)</f>
        <v/>
      </c>
      <c r="AG27" t="str">
        <f t="shared" si="6"/>
        <v/>
      </c>
      <c r="AH27" t="str">
        <f t="shared" ref="AH27:AH30" si="11">IF(L30="pastureRangeAndPaddock", Y30*AD$26*AC$26, "")</f>
        <v/>
      </c>
      <c r="AI27" t="str">
        <f t="shared" si="8"/>
        <v/>
      </c>
    </row>
    <row r="28" spans="1:35" x14ac:dyDescent="0.2">
      <c r="A28" t="str">
        <f>IF(ISBLANK('Input Scenarios (old)'!A25), "", 'Input Scenarios (old)'!A25)</f>
        <v/>
      </c>
      <c r="B28" t="str">
        <f>IF(ISBLANK('Input Scenarios (old)'!B25), "", 'Input Scenarios (old)'!B25)</f>
        <v/>
      </c>
      <c r="C28" t="str">
        <f>IF(ISBLANK('Input Scenarios (old)'!C25), "", 'Input Scenarios (old)'!C25)</f>
        <v/>
      </c>
      <c r="D28" t="str">
        <f>IF(ISBLANK('Input Scenarios (old)'!D25), "", 'Input Scenarios (old)'!D25)</f>
        <v/>
      </c>
      <c r="E28" t="str">
        <f>IF(ISBLANK('Input Scenarios (old)'!E25), "", 'Input Scenarios (old)'!E25)</f>
        <v/>
      </c>
      <c r="F28" t="str">
        <f>IF(ISBLANK('Input Scenarios (old)'!F25), "", 'Input Scenarios (old)'!F25)</f>
        <v/>
      </c>
      <c r="G28" t="str">
        <f>IF(ISBLANK('Input Scenarios (old)'!G25), "", 'Input Scenarios (old)'!G25)</f>
        <v/>
      </c>
      <c r="H28" t="str">
        <f>IF(ISBLANK('Input Scenarios (old)'!H25), "", 'Input Scenarios (old)'!H25)</f>
        <v/>
      </c>
      <c r="I28" t="str">
        <f>IF(ISBLANK('Input Scenarios (old)'!I25),_xlfn.XLOOKUP(F28,Constants!$A$2:$A$5,Constants!B$2:B$5), 'Input Scenarios (old)'!I25)</f>
        <v/>
      </c>
      <c r="J28" t="str">
        <f>IF(ISBLANK('Input Scenarios (old)'!J25),_xlfn.XLOOKUP(F28,Constants!$A$2:$A$5,Constants!D$2:D$5), 'Input Scenarios (old)'!J25)</f>
        <v/>
      </c>
      <c r="K28" t="str">
        <f>IF(ISBLANK('Input Scenarios (old)'!K25),_xlfn.XLOOKUP(F28,Constants!$A$2:$A$5,Constants!E$2:E$5), 'Input Scenarios (old)'!K25)</f>
        <v/>
      </c>
      <c r="L28" t="s">
        <v>18</v>
      </c>
      <c r="M28">
        <v>0</v>
      </c>
      <c r="N28" t="s">
        <v>22</v>
      </c>
      <c r="O28">
        <v>0.25</v>
      </c>
      <c r="P28" t="str">
        <f>IF(F28="", "",_xlfn.XLOOKUP(F28,Constants!$A$2:$A$5,Constants!C$2:C$5))</f>
        <v/>
      </c>
      <c r="Q28" t="str">
        <f>IF(F28="", "",_xlfn.XLOOKUP(F28,Constants!$A$2:$A$5,Constants!F$2:F$5))</f>
        <v/>
      </c>
      <c r="R28">
        <f>IF(L28="", "", _xlfn.XLOOKUP(L28, Constants!$B$9:$B$17,Constants!$D$9:$D$17))</f>
        <v>1E-3</v>
      </c>
      <c r="S28">
        <f>IF(L28="", "", _xlfn.XLOOKUP(L28, Constants!$B$9:$B$17,Constants!$C$9:$C$17))</f>
        <v>0.4</v>
      </c>
      <c r="T28">
        <f>IF(N28="", "", _xlfn.XLOOKUP(N28, Constants!$B$9:$B$17,Constants!$D$9:$D$17))</f>
        <v>0</v>
      </c>
      <c r="U28">
        <f>IF(N28="", "", _xlfn.XLOOKUP(N28, Constants!$B$9:$B$17,Constants!$C$9:$C$17))</f>
        <v>0</v>
      </c>
      <c r="V28" t="str">
        <f t="shared" si="0"/>
        <v/>
      </c>
      <c r="W28" t="str">
        <f t="shared" si="1"/>
        <v/>
      </c>
      <c r="X28" t="str">
        <f t="shared" si="2"/>
        <v/>
      </c>
      <c r="Y28">
        <f>IF(ISBLANK(L28), "", $X$26*M28)</f>
        <v>0</v>
      </c>
      <c r="Z28">
        <f t="shared" si="3"/>
        <v>0</v>
      </c>
      <c r="AA28" t="str">
        <f t="shared" si="4"/>
        <v/>
      </c>
      <c r="AB28">
        <f>IF(N28="directApplication", "", $AA$26*O28)</f>
        <v>5.8671911833200001</v>
      </c>
      <c r="AC28" t="str">
        <f t="shared" si="5"/>
        <v/>
      </c>
      <c r="AD28" t="str">
        <f>IF(E28="","",Constants!$M$2)</f>
        <v/>
      </c>
      <c r="AE28" t="str">
        <f>IF(F28="","",Constants!$L$2)</f>
        <v/>
      </c>
      <c r="AF28" t="str">
        <f>IF(F28="","",Constants!$J$2)</f>
        <v/>
      </c>
      <c r="AG28" t="str">
        <f t="shared" si="6"/>
        <v/>
      </c>
      <c r="AH28" t="str">
        <f t="shared" si="11"/>
        <v/>
      </c>
      <c r="AI28" t="str">
        <f t="shared" si="8"/>
        <v/>
      </c>
    </row>
    <row r="29" spans="1:35" x14ac:dyDescent="0.2">
      <c r="A29" t="str">
        <f>IF(ISBLANK('Input Scenarios (old)'!A26), "", 'Input Scenarios (old)'!A26)</f>
        <v/>
      </c>
      <c r="B29" t="str">
        <f>IF(ISBLANK('Input Scenarios (old)'!B26), "", 'Input Scenarios (old)'!B26)</f>
        <v/>
      </c>
      <c r="C29" t="str">
        <f>IF(ISBLANK('Input Scenarios (old)'!C26), "", 'Input Scenarios (old)'!C26)</f>
        <v/>
      </c>
      <c r="D29" t="str">
        <f>IF(ISBLANK('Input Scenarios (old)'!D26), "", 'Input Scenarios (old)'!D26)</f>
        <v/>
      </c>
      <c r="E29" t="str">
        <f>IF(ISBLANK('Input Scenarios (old)'!E26), "", 'Input Scenarios (old)'!E26)</f>
        <v/>
      </c>
      <c r="F29" t="str">
        <f>IF(ISBLANK('Input Scenarios (old)'!F26), "", 'Input Scenarios (old)'!F26)</f>
        <v/>
      </c>
      <c r="G29" t="str">
        <f>IF(ISBLANK('Input Scenarios (old)'!G26), "", 'Input Scenarios (old)'!G26)</f>
        <v/>
      </c>
      <c r="H29" t="str">
        <f>IF(ISBLANK('Input Scenarios (old)'!H26), "", 'Input Scenarios (old)'!H26)</f>
        <v/>
      </c>
      <c r="I29" t="str">
        <f>IF(ISBLANK('Input Scenarios (old)'!I26),_xlfn.XLOOKUP(F29,Constants!$A$2:$A$5,Constants!B$2:B$5), 'Input Scenarios (old)'!I26)</f>
        <v/>
      </c>
      <c r="J29" t="str">
        <f>IF(ISBLANK('Input Scenarios (old)'!J26),_xlfn.XLOOKUP(F29,Constants!$A$2:$A$5,Constants!D$2:D$5), 'Input Scenarios (old)'!J26)</f>
        <v/>
      </c>
      <c r="K29" t="str">
        <f>IF(ISBLANK('Input Scenarios (old)'!K26),_xlfn.XLOOKUP(F29,Constants!$A$2:$A$5,Constants!E$2:E$5), 'Input Scenarios (old)'!K26)</f>
        <v/>
      </c>
      <c r="L29" t="s">
        <v>40</v>
      </c>
      <c r="M29">
        <v>0.9</v>
      </c>
      <c r="N29" t="s">
        <v>21</v>
      </c>
      <c r="O29">
        <v>0</v>
      </c>
      <c r="P29" t="str">
        <f>IF(F29="", "",_xlfn.XLOOKUP(F29,Constants!$A$2:$A$5,Constants!C$2:C$5))</f>
        <v/>
      </c>
      <c r="Q29" t="str">
        <f>IF(F29="", "",_xlfn.XLOOKUP(F29,Constants!$A$2:$A$5,Constants!F$2:F$5))</f>
        <v/>
      </c>
      <c r="R29">
        <f>IF(L29="", "", _xlfn.XLOOKUP(L29, Constants!$B$9:$B$17,Constants!$D$9:$D$17))</f>
        <v>0.02</v>
      </c>
      <c r="S29" t="str">
        <f>IF(L29="", "", _xlfn.XLOOKUP(L29, Constants!$B$9:$B$17,Constants!$C$9:$C$17))</f>
        <v>N/A</v>
      </c>
      <c r="T29">
        <f>IF(N29="", "", _xlfn.XLOOKUP(N29, Constants!$B$9:$B$17,Constants!$D$9:$D$17))</f>
        <v>0</v>
      </c>
      <c r="U29">
        <f>IF(N29="", "", _xlfn.XLOOKUP(N29, Constants!$B$9:$B$17,Constants!$C$9:$C$17))</f>
        <v>0</v>
      </c>
      <c r="V29" t="str">
        <f t="shared" si="0"/>
        <v/>
      </c>
      <c r="W29" t="str">
        <f t="shared" si="1"/>
        <v/>
      </c>
      <c r="X29" t="str">
        <f t="shared" si="2"/>
        <v/>
      </c>
      <c r="Y29">
        <f>IF(ISBLANK(L29), "", $X$26*M29)</f>
        <v>302.17293647999998</v>
      </c>
      <c r="Z29" t="str">
        <f t="shared" si="3"/>
        <v/>
      </c>
      <c r="AA29" t="str">
        <f t="shared" si="4"/>
        <v/>
      </c>
      <c r="AB29">
        <f>IF(N29="directApplication", "", $AA$26*O29)</f>
        <v>0</v>
      </c>
      <c r="AC29" t="str">
        <f t="shared" si="5"/>
        <v/>
      </c>
      <c r="AD29" t="str">
        <f>IF(E29="","",Constants!$M$2)</f>
        <v/>
      </c>
      <c r="AE29" t="str">
        <f>IF(F29="","",Constants!$L$2)</f>
        <v/>
      </c>
      <c r="AF29" t="str">
        <f>IF(F29="","",Constants!$J$2)</f>
        <v/>
      </c>
      <c r="AG29" t="str">
        <f t="shared" si="6"/>
        <v/>
      </c>
      <c r="AH29" t="str">
        <f t="shared" si="11"/>
        <v/>
      </c>
      <c r="AI29" t="str">
        <f t="shared" si="8"/>
        <v/>
      </c>
    </row>
    <row r="30" spans="1:35" s="11" customFormat="1" x14ac:dyDescent="0.2">
      <c r="A30" t="str">
        <f>IF(ISBLANK('Input Scenarios (old)'!A27), "", 'Input Scenarios (old)'!A27)</f>
        <v/>
      </c>
      <c r="B30" t="str">
        <f>IF(ISBLANK('Input Scenarios (old)'!B27), "", 'Input Scenarios (old)'!B27)</f>
        <v/>
      </c>
      <c r="C30" t="str">
        <f>IF(ISBLANK('Input Scenarios (old)'!C27), "", 'Input Scenarios (old)'!C27)</f>
        <v/>
      </c>
      <c r="D30" s="11" t="str">
        <f>IF(ISBLANK('Input Scenarios (old)'!D27), "", 'Input Scenarios (old)'!D27)</f>
        <v/>
      </c>
      <c r="E30" s="11" t="str">
        <f>IF(ISBLANK('Input Scenarios (old)'!E27), "", 'Input Scenarios (old)'!E27)</f>
        <v/>
      </c>
      <c r="F30" s="11" t="str">
        <f>IF(ISBLANK('Input Scenarios (old)'!F27), "", 'Input Scenarios (old)'!F27)</f>
        <v/>
      </c>
      <c r="G30" s="11" t="str">
        <f>IF(ISBLANK('Input Scenarios (old)'!G27), "", 'Input Scenarios (old)'!G27)</f>
        <v/>
      </c>
      <c r="H30" s="11" t="str">
        <f>IF(ISBLANK('Input Scenarios (old)'!H27), "", 'Input Scenarios (old)'!H27)</f>
        <v/>
      </c>
      <c r="I30" s="11" t="str">
        <f>IF(ISBLANK('Input Scenarios (old)'!I27),_xlfn.XLOOKUP(F30,Constants!$A$2:$A$5,Constants!B$2:B$5), 'Input Scenarios (old)'!I27)</f>
        <v/>
      </c>
      <c r="J30" s="11" t="str">
        <f>IF(ISBLANK('Input Scenarios (old)'!J27),_xlfn.XLOOKUP(F30,Constants!$A$2:$A$5,Constants!D$2:D$5), 'Input Scenarios (old)'!J27)</f>
        <v/>
      </c>
      <c r="K30" s="11" t="str">
        <f>IF(ISBLANK('Input Scenarios (old)'!K27),_xlfn.XLOOKUP(F30,Constants!$A$2:$A$5,Constants!E$2:E$5), 'Input Scenarios (old)'!K27)</f>
        <v/>
      </c>
      <c r="N30" s="11" t="s">
        <v>41</v>
      </c>
      <c r="O30" s="11">
        <v>0</v>
      </c>
      <c r="P30" s="11" t="str">
        <f>IF(F30="", "",_xlfn.XLOOKUP(F30,Constants!$A$2:$A$5,Constants!C$2:C$5))</f>
        <v/>
      </c>
      <c r="Q30" s="11" t="str">
        <f>IF(F30="", "",_xlfn.XLOOKUP(F30,Constants!$A$2:$A$5,Constants!F$2:F$5))</f>
        <v/>
      </c>
      <c r="R30" t="str">
        <f>IF(L30="", "", _xlfn.XLOOKUP(L30, Constants!$B$9:$B$17,Constants!$D$9:$D$17))</f>
        <v/>
      </c>
      <c r="S30" t="str">
        <f>IF(L30="", "", _xlfn.XLOOKUP(L30, Constants!$B$9:$B$17,Constants!$C$9:$C$17))</f>
        <v/>
      </c>
      <c r="T30" t="str">
        <f>IF(N30="", "", _xlfn.XLOOKUP(N30, Constants!$B$9:$B$17,Constants!$D$9:$D$17))</f>
        <v>N/A</v>
      </c>
      <c r="U30" t="str">
        <f>IF(N30="", "", _xlfn.XLOOKUP(N30, Constants!$B$9:$B$17,Constants!$C$9:$C$17))</f>
        <v>N/A</v>
      </c>
      <c r="V30" s="11" t="str">
        <f t="shared" si="0"/>
        <v/>
      </c>
      <c r="W30" s="11" t="str">
        <f t="shared" si="1"/>
        <v/>
      </c>
      <c r="X30" t="str">
        <f t="shared" si="2"/>
        <v/>
      </c>
      <c r="Y30" s="11" t="str">
        <f>IF(ISBLANK(L30), "", $X$26*M30)</f>
        <v/>
      </c>
      <c r="Z30" t="str">
        <f t="shared" si="3"/>
        <v/>
      </c>
      <c r="AA30" s="11" t="str">
        <f t="shared" si="4"/>
        <v/>
      </c>
      <c r="AB30" t="str">
        <f>IF(N30="directApplication", "", $AA$26*O30)</f>
        <v/>
      </c>
      <c r="AC30" t="str">
        <f t="shared" si="5"/>
        <v/>
      </c>
      <c r="AD30" t="str">
        <f>IF(E30="","",Constants!$M$2)</f>
        <v/>
      </c>
      <c r="AE30" t="str">
        <f>IF(F30="","",Constants!$L$2)</f>
        <v/>
      </c>
      <c r="AF30" t="str">
        <f>IF(F30="","",Constants!$J$2)</f>
        <v/>
      </c>
      <c r="AG30" t="str">
        <f t="shared" si="6"/>
        <v/>
      </c>
      <c r="AH30" t="str">
        <f t="shared" si="11"/>
        <v/>
      </c>
      <c r="AI30" t="str">
        <f t="shared" si="8"/>
        <v/>
      </c>
    </row>
    <row r="31" spans="1:35" x14ac:dyDescent="0.2">
      <c r="AI31" t="str">
        <f t="shared" si="8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87875-5D60-8742-BBBA-69D98D824AF5}">
  <dimension ref="A1:O60"/>
  <sheetViews>
    <sheetView topLeftCell="A19" workbookViewId="0">
      <selection activeCell="M18" sqref="M18:M27"/>
    </sheetView>
  </sheetViews>
  <sheetFormatPr baseColWidth="10" defaultRowHeight="16" x14ac:dyDescent="0.2"/>
  <sheetData>
    <row r="1" spans="1:15" x14ac:dyDescent="0.2">
      <c r="A1" t="s">
        <v>108</v>
      </c>
    </row>
    <row r="2" spans="1:15" x14ac:dyDescent="0.2">
      <c r="K2" t="s">
        <v>0</v>
      </c>
    </row>
    <row r="3" spans="1:15" x14ac:dyDescent="0.2">
      <c r="A3" t="s">
        <v>1</v>
      </c>
      <c r="C3" t="s">
        <v>1</v>
      </c>
      <c r="D3" t="s">
        <v>1</v>
      </c>
      <c r="E3" t="s">
        <v>1</v>
      </c>
      <c r="F3" t="s">
        <v>1</v>
      </c>
      <c r="G3" t="s">
        <v>1</v>
      </c>
      <c r="H3" t="s">
        <v>1</v>
      </c>
      <c r="I3" t="s">
        <v>1</v>
      </c>
      <c r="J3" t="s">
        <v>1</v>
      </c>
      <c r="K3" t="s">
        <v>1</v>
      </c>
      <c r="L3" t="s">
        <v>1</v>
      </c>
      <c r="M3" t="s">
        <v>1</v>
      </c>
      <c r="N3" t="s">
        <v>1</v>
      </c>
      <c r="O3" t="s">
        <v>1</v>
      </c>
    </row>
    <row r="5" spans="1:15" x14ac:dyDescent="0.2">
      <c r="A5" t="s">
        <v>35</v>
      </c>
      <c r="B5" t="s">
        <v>43</v>
      </c>
      <c r="C5" t="s">
        <v>42</v>
      </c>
      <c r="D5" t="s">
        <v>64</v>
      </c>
      <c r="E5" t="s">
        <v>67</v>
      </c>
      <c r="F5" t="s">
        <v>28</v>
      </c>
      <c r="G5" t="s">
        <v>2</v>
      </c>
      <c r="H5" t="s">
        <v>3</v>
      </c>
      <c r="I5" t="s">
        <v>44</v>
      </c>
      <c r="J5" t="s">
        <v>46</v>
      </c>
      <c r="K5" t="s">
        <v>49</v>
      </c>
      <c r="L5" t="s">
        <v>36</v>
      </c>
      <c r="M5" t="s">
        <v>57</v>
      </c>
      <c r="N5" t="s">
        <v>37</v>
      </c>
      <c r="O5" t="s">
        <v>62</v>
      </c>
    </row>
    <row r="7" spans="1:15" x14ac:dyDescent="0.2">
      <c r="A7" s="1" t="s">
        <v>26</v>
      </c>
      <c r="B7" s="1" t="s">
        <v>26</v>
      </c>
      <c r="C7" s="1"/>
      <c r="D7" s="1" t="s">
        <v>66</v>
      </c>
      <c r="E7" s="1" t="s">
        <v>68</v>
      </c>
      <c r="F7" s="1" t="s">
        <v>25</v>
      </c>
      <c r="G7" s="1" t="s">
        <v>4</v>
      </c>
      <c r="H7" s="1" t="s">
        <v>5</v>
      </c>
      <c r="I7" s="1" t="s">
        <v>6</v>
      </c>
      <c r="J7" s="1" t="s">
        <v>7</v>
      </c>
      <c r="K7" s="1" t="s">
        <v>101</v>
      </c>
      <c r="L7" s="1" t="s">
        <v>60</v>
      </c>
      <c r="M7" s="1" t="s">
        <v>38</v>
      </c>
      <c r="N7" s="1" t="s">
        <v>39</v>
      </c>
      <c r="O7" s="1" t="s">
        <v>53</v>
      </c>
    </row>
    <row r="8" spans="1:15" x14ac:dyDescent="0.2">
      <c r="A8" t="s">
        <v>63</v>
      </c>
      <c r="C8" t="s">
        <v>73</v>
      </c>
      <c r="D8" t="s">
        <v>65</v>
      </c>
      <c r="E8" t="b">
        <v>1</v>
      </c>
      <c r="F8" t="s">
        <v>9</v>
      </c>
      <c r="G8">
        <v>5000</v>
      </c>
      <c r="H8">
        <v>50</v>
      </c>
      <c r="L8" t="s">
        <v>16</v>
      </c>
      <c r="M8">
        <v>0.1</v>
      </c>
      <c r="N8" t="s">
        <v>19</v>
      </c>
      <c r="O8">
        <v>0.15</v>
      </c>
    </row>
    <row r="9" spans="1:15" x14ac:dyDescent="0.2">
      <c r="I9" t="str">
        <f>IF(ISBLANK($F9), "",_xlfn.XLOOKUP($F9,Constants!$A$2:$A$5,Constants!B$2:B$5))</f>
        <v/>
      </c>
      <c r="J9" t="str">
        <f>IF(ISBLANK($F9), "",_xlfn.XLOOKUP($F9,Constants!$A$2:$A$5,Constants!D$2:D$5))</f>
        <v/>
      </c>
      <c r="K9" t="str">
        <f>IF(ISBLANK($F9), "",_xlfn.XLOOKUP($F9,Constants!$A$2:$A$5,Constants!E$2:E$5))</f>
        <v/>
      </c>
      <c r="L9" t="s">
        <v>17</v>
      </c>
      <c r="M9">
        <v>0.2</v>
      </c>
      <c r="N9" t="s">
        <v>20</v>
      </c>
      <c r="O9">
        <v>0.2</v>
      </c>
    </row>
    <row r="10" spans="1:15" x14ac:dyDescent="0.2">
      <c r="I10" t="str">
        <f>IF(ISBLANK($F10), "",_xlfn.XLOOKUP($F10,Constants!$A$2:$A$5,Constants!B$2:B$5))</f>
        <v/>
      </c>
      <c r="J10" t="str">
        <f>IF(ISBLANK($F10), "",_xlfn.XLOOKUP($F10,Constants!$A$2:$A$5,Constants!D$2:D$5))</f>
        <v/>
      </c>
      <c r="K10" t="str">
        <f>IF(ISBLANK($F10), "",_xlfn.XLOOKUP($F10,Constants!$A$2:$A$5,Constants!E$2:E$5))</f>
        <v/>
      </c>
      <c r="L10" t="s">
        <v>18</v>
      </c>
      <c r="M10">
        <v>0.3</v>
      </c>
      <c r="N10" t="s">
        <v>22</v>
      </c>
      <c r="O10">
        <v>0.25</v>
      </c>
    </row>
    <row r="11" spans="1:15" x14ac:dyDescent="0.2">
      <c r="I11" t="str">
        <f>IF(ISBLANK($F11), "",_xlfn.XLOOKUP($F11,Constants!$A$2:$A$5,Constants!B$2:B$5))</f>
        <v/>
      </c>
      <c r="J11" t="str">
        <f>IF(ISBLANK($F11), "",_xlfn.XLOOKUP($F11,Constants!$A$2:$A$5,Constants!D$2:D$5))</f>
        <v/>
      </c>
      <c r="K11" t="str">
        <f>IF(ISBLANK($F11), "",_xlfn.XLOOKUP($F11,Constants!$A$2:$A$5,Constants!E$2:E$5))</f>
        <v/>
      </c>
      <c r="L11" t="s">
        <v>40</v>
      </c>
      <c r="M11">
        <v>0.4</v>
      </c>
      <c r="N11" t="s">
        <v>21</v>
      </c>
      <c r="O11">
        <v>0.17</v>
      </c>
    </row>
    <row r="12" spans="1:15" x14ac:dyDescent="0.2">
      <c r="A12" s="11"/>
      <c r="B12" s="11"/>
      <c r="C12" s="11"/>
      <c r="D12" s="11"/>
      <c r="E12" s="11"/>
      <c r="F12" s="11"/>
      <c r="G12" s="11"/>
      <c r="H12" s="11"/>
      <c r="I12" s="11" t="str">
        <f>IF(ISBLANK($F12), "",_xlfn.XLOOKUP($F12,Constants!$A$2:$A$5,Constants!B$2:B$5))</f>
        <v/>
      </c>
      <c r="J12" s="11" t="str">
        <f>IF(ISBLANK($F12), "",_xlfn.XLOOKUP($F12,Constants!$A$2:$A$5,Constants!D$2:D$5))</f>
        <v/>
      </c>
      <c r="K12" s="11" t="str">
        <f>IF(ISBLANK($F12), "",_xlfn.XLOOKUP($F12,Constants!$A$2:$A$5,Constants!E$2:E$5))</f>
        <v/>
      </c>
      <c r="L12" s="11"/>
      <c r="M12" s="11"/>
      <c r="N12" s="11" t="s">
        <v>41</v>
      </c>
      <c r="O12" s="11">
        <v>0.23</v>
      </c>
    </row>
    <row r="13" spans="1:15" x14ac:dyDescent="0.2">
      <c r="A13" t="s">
        <v>78</v>
      </c>
      <c r="C13" t="s">
        <v>70</v>
      </c>
      <c r="D13" t="s">
        <v>75</v>
      </c>
      <c r="E13" t="b">
        <v>1</v>
      </c>
      <c r="F13" t="s">
        <v>98</v>
      </c>
      <c r="G13">
        <v>2250</v>
      </c>
      <c r="H13">
        <v>125</v>
      </c>
      <c r="L13" t="s">
        <v>16</v>
      </c>
      <c r="M13">
        <v>0.4</v>
      </c>
      <c r="N13" t="s">
        <v>19</v>
      </c>
      <c r="O13">
        <v>0.2</v>
      </c>
    </row>
    <row r="14" spans="1:15" x14ac:dyDescent="0.2">
      <c r="I14" t="str">
        <f>IF(ISBLANK($F14), "",_xlfn.XLOOKUP($F14,Constants!$A$2:$A$5,Constants!B$2:B$5))</f>
        <v/>
      </c>
      <c r="J14" t="str">
        <f>IF(ISBLANK($F14), "",_xlfn.XLOOKUP($F14,Constants!$A$2:$A$5,Constants!D$2:D$5))</f>
        <v/>
      </c>
      <c r="K14" t="str">
        <f>IF(ISBLANK($F14), "",_xlfn.XLOOKUP($F14,Constants!$A$2:$A$5,Constants!E$2:E$5))</f>
        <v/>
      </c>
      <c r="L14" t="s">
        <v>17</v>
      </c>
      <c r="M14">
        <v>0.3</v>
      </c>
      <c r="N14" t="s">
        <v>20</v>
      </c>
      <c r="O14">
        <v>0.25</v>
      </c>
    </row>
    <row r="15" spans="1:15" x14ac:dyDescent="0.2">
      <c r="I15" t="str">
        <f>IF(ISBLANK($F15), "",_xlfn.XLOOKUP($F15,Constants!$A$2:$A$5,Constants!B$2:B$5))</f>
        <v/>
      </c>
      <c r="J15" t="str">
        <f>IF(ISBLANK($F15), "",_xlfn.XLOOKUP($F15,Constants!$A$2:$A$5,Constants!D$2:D$5))</f>
        <v/>
      </c>
      <c r="K15" t="str">
        <f>IF(ISBLANK($F15), "",_xlfn.XLOOKUP($F15,Constants!$A$2:$A$5,Constants!E$2:E$5))</f>
        <v/>
      </c>
      <c r="L15" t="s">
        <v>18</v>
      </c>
      <c r="M15">
        <v>0.2</v>
      </c>
      <c r="N15" t="s">
        <v>22</v>
      </c>
      <c r="O15">
        <v>0.2</v>
      </c>
    </row>
    <row r="16" spans="1:15" x14ac:dyDescent="0.2">
      <c r="I16" t="str">
        <f>IF(ISBLANK($F16), "",_xlfn.XLOOKUP($F16,Constants!$A$2:$A$5,Constants!B$2:B$5))</f>
        <v/>
      </c>
      <c r="J16" t="str">
        <f>IF(ISBLANK($F16), "",_xlfn.XLOOKUP($F16,Constants!$A$2:$A$5,Constants!D$2:D$5))</f>
        <v/>
      </c>
      <c r="K16" t="str">
        <f>IF(ISBLANK($F16), "",_xlfn.XLOOKUP($F16,Constants!$A$2:$A$5,Constants!E$2:E$5))</f>
        <v/>
      </c>
      <c r="L16" t="s">
        <v>40</v>
      </c>
      <c r="M16">
        <v>0.1</v>
      </c>
      <c r="N16" t="s">
        <v>21</v>
      </c>
      <c r="O16">
        <v>0.25</v>
      </c>
    </row>
    <row r="17" spans="1:15" x14ac:dyDescent="0.2">
      <c r="A17" s="11"/>
      <c r="B17" s="11"/>
      <c r="C17" s="11"/>
      <c r="D17" s="11"/>
      <c r="E17" s="11"/>
      <c r="F17" s="11"/>
      <c r="G17" s="11"/>
      <c r="H17" s="11"/>
      <c r="I17" s="11" t="str">
        <f>IF(ISBLANK($F17), "",_xlfn.XLOOKUP($F17,Constants!$A$2:$A$5,Constants!B$2:B$5))</f>
        <v/>
      </c>
      <c r="J17" s="11" t="str">
        <f>IF(ISBLANK($F17), "",_xlfn.XLOOKUP($F17,Constants!$A$2:$A$5,Constants!D$2:D$5))</f>
        <v/>
      </c>
      <c r="K17" s="11" t="str">
        <f>IF(ISBLANK($F17), "",_xlfn.XLOOKUP($F17,Constants!$A$2:$A$5,Constants!E$2:E$5))</f>
        <v/>
      </c>
      <c r="L17" s="11"/>
      <c r="M17" s="11"/>
      <c r="N17" s="11" t="s">
        <v>41</v>
      </c>
      <c r="O17" s="11">
        <v>0.1</v>
      </c>
    </row>
    <row r="18" spans="1:15" x14ac:dyDescent="0.2">
      <c r="A18" t="s">
        <v>83</v>
      </c>
      <c r="C18" t="s">
        <v>69</v>
      </c>
      <c r="D18" t="s">
        <v>65</v>
      </c>
      <c r="E18" t="b">
        <v>1</v>
      </c>
      <c r="F18" t="s">
        <v>10</v>
      </c>
      <c r="G18">
        <v>3333</v>
      </c>
      <c r="H18">
        <v>111</v>
      </c>
      <c r="L18" t="s">
        <v>16</v>
      </c>
      <c r="M18">
        <v>0</v>
      </c>
      <c r="N18" t="s">
        <v>19</v>
      </c>
      <c r="O18">
        <v>0.34</v>
      </c>
    </row>
    <row r="19" spans="1:15" x14ac:dyDescent="0.2">
      <c r="I19" t="str">
        <f>IF(ISBLANK($F19), "",_xlfn.XLOOKUP($F19,Constants!$A$2:$A$5,Constants!B$2:B$5))</f>
        <v/>
      </c>
      <c r="J19" t="str">
        <f>IF(ISBLANK($F19), "",_xlfn.XLOOKUP($F19,Constants!$A$2:$A$5,Constants!D$2:D$5))</f>
        <v/>
      </c>
      <c r="K19" t="str">
        <f>IF(ISBLANK($F19), "",_xlfn.XLOOKUP($F19,Constants!$A$2:$A$5,Constants!E$2:E$5))</f>
        <v/>
      </c>
      <c r="L19" t="s">
        <v>17</v>
      </c>
      <c r="M19">
        <v>0.9</v>
      </c>
      <c r="N19" t="s">
        <v>20</v>
      </c>
      <c r="O19">
        <v>0.6</v>
      </c>
    </row>
    <row r="20" spans="1:15" x14ac:dyDescent="0.2">
      <c r="I20" t="str">
        <f>IF(ISBLANK($F20), "",_xlfn.XLOOKUP($F20,Constants!$A$2:$A$5,Constants!B$2:B$5))</f>
        <v/>
      </c>
      <c r="J20" t="str">
        <f>IF(ISBLANK($F20), "",_xlfn.XLOOKUP($F20,Constants!$A$2:$A$5,Constants!D$2:D$5))</f>
        <v/>
      </c>
      <c r="K20" t="str">
        <f>IF(ISBLANK($F20), "",_xlfn.XLOOKUP($F20,Constants!$A$2:$A$5,Constants!E$2:E$5))</f>
        <v/>
      </c>
      <c r="L20" t="s">
        <v>18</v>
      </c>
      <c r="M20">
        <v>0</v>
      </c>
      <c r="N20" t="s">
        <v>22</v>
      </c>
      <c r="O20">
        <v>0</v>
      </c>
    </row>
    <row r="21" spans="1:15" x14ac:dyDescent="0.2">
      <c r="I21" t="str">
        <f>IF(ISBLANK($F21), "",_xlfn.XLOOKUP($F21,Constants!$A$2:$A$5,Constants!B$2:B$5))</f>
        <v/>
      </c>
      <c r="J21" t="str">
        <f>IF(ISBLANK($F21), "",_xlfn.XLOOKUP($F21,Constants!$A$2:$A$5,Constants!D$2:D$5))</f>
        <v/>
      </c>
      <c r="K21" t="str">
        <f>IF(ISBLANK($F21), "",_xlfn.XLOOKUP($F21,Constants!$A$2:$A$5,Constants!E$2:E$5))</f>
        <v/>
      </c>
      <c r="L21" t="s">
        <v>40</v>
      </c>
      <c r="M21">
        <v>0.1</v>
      </c>
      <c r="N21" t="s">
        <v>21</v>
      </c>
      <c r="O21">
        <v>0</v>
      </c>
    </row>
    <row r="22" spans="1:15" x14ac:dyDescent="0.2">
      <c r="A22" s="11"/>
      <c r="B22" s="11"/>
      <c r="C22" s="11"/>
      <c r="D22" s="11"/>
      <c r="E22" s="11"/>
      <c r="F22" s="11"/>
      <c r="G22" s="11"/>
      <c r="H22" s="11"/>
      <c r="I22" s="11" t="str">
        <f>IF(ISBLANK($F22), "",_xlfn.XLOOKUP($F22,Constants!$A$2:$A$5,Constants!B$2:B$5))</f>
        <v/>
      </c>
      <c r="J22" s="11" t="str">
        <f>IF(ISBLANK($F22), "",_xlfn.XLOOKUP($F22,Constants!$A$2:$A$5,Constants!D$2:D$5))</f>
        <v/>
      </c>
      <c r="K22" s="11" t="str">
        <f>IF(ISBLANK($F22), "",_xlfn.XLOOKUP($F22,Constants!$A$2:$A$5,Constants!E$2:E$5))</f>
        <v/>
      </c>
      <c r="L22" s="11"/>
      <c r="M22" s="11"/>
      <c r="N22" s="11" t="s">
        <v>41</v>
      </c>
      <c r="O22" s="11">
        <v>0.06</v>
      </c>
    </row>
    <row r="23" spans="1:15" x14ac:dyDescent="0.2">
      <c r="A23" t="s">
        <v>79</v>
      </c>
      <c r="C23" t="s">
        <v>72</v>
      </c>
      <c r="D23" t="s">
        <v>75</v>
      </c>
      <c r="E23" t="b">
        <v>1</v>
      </c>
      <c r="F23" t="s">
        <v>11</v>
      </c>
      <c r="G23">
        <v>1234</v>
      </c>
      <c r="H23">
        <v>150</v>
      </c>
      <c r="L23" t="s">
        <v>16</v>
      </c>
      <c r="M23">
        <v>0.1</v>
      </c>
      <c r="N23" t="s">
        <v>19</v>
      </c>
      <c r="O23">
        <v>0.5</v>
      </c>
    </row>
    <row r="24" spans="1:15" x14ac:dyDescent="0.2">
      <c r="I24" t="str">
        <f>IF(ISBLANK($F24), "",_xlfn.XLOOKUP($F24,Constants!$A$2:$A$5,Constants!B$2:B$5))</f>
        <v/>
      </c>
      <c r="J24" t="str">
        <f>IF(ISBLANK($F24), "",_xlfn.XLOOKUP($F24,Constants!$A$2:$A$5,Constants!D$2:D$5))</f>
        <v/>
      </c>
      <c r="K24" t="str">
        <f>IF(ISBLANK($F24), "",_xlfn.XLOOKUP($F24,Constants!$A$2:$A$5,Constants!E$2:E$5))</f>
        <v/>
      </c>
      <c r="L24" t="s">
        <v>17</v>
      </c>
      <c r="M24">
        <v>0</v>
      </c>
      <c r="N24" t="s">
        <v>20</v>
      </c>
      <c r="O24">
        <v>0.25</v>
      </c>
    </row>
    <row r="25" spans="1:15" x14ac:dyDescent="0.2">
      <c r="I25" t="str">
        <f>IF(ISBLANK($F25), "",_xlfn.XLOOKUP($F25,Constants!$A$2:$A$5,Constants!B$2:B$5))</f>
        <v/>
      </c>
      <c r="J25" t="str">
        <f>IF(ISBLANK($F25), "",_xlfn.XLOOKUP($F25,Constants!$A$2:$A$5,Constants!D$2:D$5))</f>
        <v/>
      </c>
      <c r="K25" t="str">
        <f>IF(ISBLANK($F25), "",_xlfn.XLOOKUP($F25,Constants!$A$2:$A$5,Constants!E$2:E$5))</f>
        <v/>
      </c>
      <c r="L25" t="s">
        <v>18</v>
      </c>
      <c r="M25">
        <v>0</v>
      </c>
      <c r="N25" t="s">
        <v>22</v>
      </c>
      <c r="O25">
        <v>0.25</v>
      </c>
    </row>
    <row r="26" spans="1:15" x14ac:dyDescent="0.2">
      <c r="I26" t="str">
        <f>IF(ISBLANK($F26), "",_xlfn.XLOOKUP($F26,Constants!$A$2:$A$5,Constants!B$2:B$5))</f>
        <v/>
      </c>
      <c r="J26" t="str">
        <f>IF(ISBLANK($F26), "",_xlfn.XLOOKUP($F26,Constants!$A$2:$A$5,Constants!D$2:D$5))</f>
        <v/>
      </c>
      <c r="K26" t="str">
        <f>IF(ISBLANK($F26), "",_xlfn.XLOOKUP($F26,Constants!$A$2:$A$5,Constants!E$2:E$5))</f>
        <v/>
      </c>
      <c r="L26" t="s">
        <v>40</v>
      </c>
      <c r="M26">
        <v>0.9</v>
      </c>
      <c r="N26" t="s">
        <v>21</v>
      </c>
      <c r="O26">
        <v>0</v>
      </c>
    </row>
    <row r="27" spans="1:15" x14ac:dyDescent="0.2">
      <c r="A27" s="11"/>
      <c r="B27" s="11"/>
      <c r="C27" s="11"/>
      <c r="D27" s="11"/>
      <c r="E27" s="11"/>
      <c r="F27" s="11"/>
      <c r="G27" s="11"/>
      <c r="H27" s="11"/>
      <c r="I27" s="11" t="str">
        <f>IF(ISBLANK($F27), "",_xlfn.XLOOKUP($F27,Constants!$A$2:$A$5,Constants!B$2:B$5))</f>
        <v/>
      </c>
      <c r="J27" s="11" t="str">
        <f>IF(ISBLANK($F27), "",_xlfn.XLOOKUP($F27,Constants!$A$2:$A$5,Constants!D$2:D$5))</f>
        <v/>
      </c>
      <c r="K27" s="11" t="str">
        <f>IF(ISBLANK($F27), "",_xlfn.XLOOKUP($F27,Constants!$A$2:$A$5,Constants!E$2:E$5))</f>
        <v/>
      </c>
      <c r="L27" s="11"/>
      <c r="M27" s="11"/>
      <c r="N27" s="11" t="s">
        <v>41</v>
      </c>
      <c r="O27" s="11">
        <v>0</v>
      </c>
    </row>
    <row r="29" spans="1:15" x14ac:dyDescent="0.2">
      <c r="A29" t="s">
        <v>129</v>
      </c>
    </row>
    <row r="30" spans="1:15" x14ac:dyDescent="0.2">
      <c r="K30" t="s">
        <v>0</v>
      </c>
    </row>
    <row r="31" spans="1:15" x14ac:dyDescent="0.2">
      <c r="A31" t="s">
        <v>1</v>
      </c>
      <c r="C31" t="s">
        <v>1</v>
      </c>
      <c r="D31" t="s">
        <v>1</v>
      </c>
      <c r="E31" t="s">
        <v>1</v>
      </c>
      <c r="F31" t="s">
        <v>1</v>
      </c>
      <c r="G31" t="s">
        <v>1</v>
      </c>
      <c r="H31" t="s">
        <v>1</v>
      </c>
      <c r="I31" t="s">
        <v>1</v>
      </c>
      <c r="J31" t="s">
        <v>1</v>
      </c>
      <c r="K31" t="s">
        <v>1</v>
      </c>
      <c r="L31" t="s">
        <v>1</v>
      </c>
      <c r="M31" t="s">
        <v>1</v>
      </c>
      <c r="N31" t="s">
        <v>1</v>
      </c>
      <c r="O31" t="s">
        <v>1</v>
      </c>
    </row>
    <row r="33" spans="1:15" x14ac:dyDescent="0.2">
      <c r="A33" t="s">
        <v>35</v>
      </c>
      <c r="B33" t="s">
        <v>43</v>
      </c>
      <c r="C33" t="s">
        <v>42</v>
      </c>
      <c r="D33" t="s">
        <v>64</v>
      </c>
      <c r="E33" t="s">
        <v>67</v>
      </c>
      <c r="F33" t="s">
        <v>28</v>
      </c>
      <c r="G33" t="s">
        <v>2</v>
      </c>
      <c r="H33" t="s">
        <v>3</v>
      </c>
      <c r="I33" t="s">
        <v>44</v>
      </c>
      <c r="J33" t="s">
        <v>46</v>
      </c>
      <c r="K33" t="s">
        <v>49</v>
      </c>
      <c r="L33" t="s">
        <v>36</v>
      </c>
      <c r="M33" t="s">
        <v>57</v>
      </c>
      <c r="N33" t="s">
        <v>37</v>
      </c>
      <c r="O33" t="s">
        <v>62</v>
      </c>
    </row>
    <row r="35" spans="1:15" x14ac:dyDescent="0.2">
      <c r="A35" s="1" t="s">
        <v>26</v>
      </c>
      <c r="B35" s="1" t="s">
        <v>26</v>
      </c>
      <c r="C35" s="1"/>
      <c r="D35" s="1" t="s">
        <v>66</v>
      </c>
      <c r="E35" s="1" t="s">
        <v>68</v>
      </c>
      <c r="F35" s="1" t="s">
        <v>25</v>
      </c>
      <c r="G35" s="1" t="s">
        <v>4</v>
      </c>
      <c r="H35" s="1" t="s">
        <v>5</v>
      </c>
      <c r="I35" s="1" t="s">
        <v>6</v>
      </c>
      <c r="J35" s="1" t="s">
        <v>7</v>
      </c>
      <c r="K35" s="1" t="s">
        <v>101</v>
      </c>
      <c r="L35" s="1" t="s">
        <v>60</v>
      </c>
      <c r="M35" s="1" t="s">
        <v>38</v>
      </c>
      <c r="N35" s="1" t="s">
        <v>39</v>
      </c>
      <c r="O35" s="1" t="s">
        <v>53</v>
      </c>
    </row>
    <row r="36" spans="1:15" x14ac:dyDescent="0.2">
      <c r="A36" t="s">
        <v>63</v>
      </c>
      <c r="B36" t="s">
        <v>127</v>
      </c>
      <c r="C36" t="s">
        <v>73</v>
      </c>
      <c r="D36" t="s">
        <v>65</v>
      </c>
      <c r="E36" t="b">
        <v>1</v>
      </c>
      <c r="F36" t="s">
        <v>9</v>
      </c>
      <c r="G36">
        <v>5000</v>
      </c>
      <c r="H36">
        <v>50</v>
      </c>
      <c r="M36">
        <v>0.1</v>
      </c>
      <c r="N36" t="s">
        <v>19</v>
      </c>
      <c r="O36">
        <v>0.15</v>
      </c>
    </row>
    <row r="37" spans="1:15" x14ac:dyDescent="0.2">
      <c r="I37" t="str">
        <f>IF(ISBLANK($F37), "",_xlfn.XLOOKUP($F37,Constants!$A$2:$A$5,Constants!B$2:B$5))</f>
        <v/>
      </c>
      <c r="J37" t="str">
        <f>IF(ISBLANK($F37), "",_xlfn.XLOOKUP($F37,Constants!$A$2:$A$5,Constants!D$2:D$5))</f>
        <v/>
      </c>
      <c r="K37" t="str">
        <f>IF(ISBLANK($F37), "",_xlfn.XLOOKUP($F37,Constants!$A$2:$A$5,Constants!E$2:E$5))</f>
        <v/>
      </c>
      <c r="M37">
        <v>0.2</v>
      </c>
      <c r="N37" t="s">
        <v>20</v>
      </c>
      <c r="O37">
        <v>0.2</v>
      </c>
    </row>
    <row r="38" spans="1:15" x14ac:dyDescent="0.2">
      <c r="I38" t="str">
        <f>IF(ISBLANK($F38), "",_xlfn.XLOOKUP($F38,Constants!$A$2:$A$5,Constants!B$2:B$5))</f>
        <v/>
      </c>
      <c r="J38" t="str">
        <f>IF(ISBLANK($F38), "",_xlfn.XLOOKUP($F38,Constants!$A$2:$A$5,Constants!D$2:D$5))</f>
        <v/>
      </c>
      <c r="K38" t="str">
        <f>IF(ISBLANK($F38), "",_xlfn.XLOOKUP($F38,Constants!$A$2:$A$5,Constants!E$2:E$5))</f>
        <v/>
      </c>
      <c r="M38">
        <v>0.3</v>
      </c>
      <c r="N38" t="s">
        <v>22</v>
      </c>
      <c r="O38">
        <v>0.25</v>
      </c>
    </row>
    <row r="39" spans="1:15" x14ac:dyDescent="0.2">
      <c r="I39" t="str">
        <f>IF(ISBLANK($F39), "",_xlfn.XLOOKUP($F39,Constants!$A$2:$A$5,Constants!B$2:B$5))</f>
        <v/>
      </c>
      <c r="J39" t="str">
        <f>IF(ISBLANK($F39), "",_xlfn.XLOOKUP($F39,Constants!$A$2:$A$5,Constants!D$2:D$5))</f>
        <v/>
      </c>
      <c r="K39" t="str">
        <f>IF(ISBLANK($F39), "",_xlfn.XLOOKUP($F39,Constants!$A$2:$A$5,Constants!E$2:E$5))</f>
        <v/>
      </c>
      <c r="M39">
        <v>0.4</v>
      </c>
      <c r="N39" t="s">
        <v>21</v>
      </c>
      <c r="O39">
        <v>0.17</v>
      </c>
    </row>
    <row r="40" spans="1:15" x14ac:dyDescent="0.2">
      <c r="A40" s="11"/>
      <c r="B40" s="11"/>
      <c r="C40" s="11"/>
      <c r="D40" s="11"/>
      <c r="E40" s="11"/>
      <c r="F40" s="11"/>
      <c r="G40" s="11"/>
      <c r="H40" s="11"/>
      <c r="I40" s="11" t="str">
        <f>IF(ISBLANK($F40), "",_xlfn.XLOOKUP($F40,Constants!$A$2:$A$5,Constants!B$2:B$5))</f>
        <v/>
      </c>
      <c r="J40" s="11" t="str">
        <f>IF(ISBLANK($F40), "",_xlfn.XLOOKUP($F40,Constants!$A$2:$A$5,Constants!D$2:D$5))</f>
        <v/>
      </c>
      <c r="K40" s="11" t="str">
        <f>IF(ISBLANK($F40), "",_xlfn.XLOOKUP($F40,Constants!$A$2:$A$5,Constants!E$2:E$5))</f>
        <v/>
      </c>
      <c r="L40" s="11"/>
      <c r="M40" s="11"/>
      <c r="N40" s="11" t="s">
        <v>41</v>
      </c>
      <c r="O40" s="11">
        <v>0.23</v>
      </c>
    </row>
    <row r="41" spans="1:15" x14ac:dyDescent="0.2">
      <c r="A41" t="s">
        <v>78</v>
      </c>
      <c r="B41">
        <v>14</v>
      </c>
      <c r="C41" t="s">
        <v>70</v>
      </c>
      <c r="D41" t="s">
        <v>75</v>
      </c>
      <c r="E41" t="b">
        <v>1</v>
      </c>
      <c r="F41" t="s">
        <v>98</v>
      </c>
      <c r="G41">
        <v>2250</v>
      </c>
      <c r="H41">
        <v>125</v>
      </c>
      <c r="L41" t="s">
        <v>16</v>
      </c>
      <c r="M41">
        <v>0.4</v>
      </c>
      <c r="N41" t="s">
        <v>19</v>
      </c>
      <c r="O41">
        <v>0.2</v>
      </c>
    </row>
    <row r="42" spans="1:15" x14ac:dyDescent="0.2">
      <c r="I42" t="str">
        <f>IF(ISBLANK($F42), "",_xlfn.XLOOKUP($F42,Constants!$A$2:$A$5,Constants!B$2:B$5))</f>
        <v/>
      </c>
      <c r="J42" t="str">
        <f>IF(ISBLANK($F42), "",_xlfn.XLOOKUP($F42,Constants!$A$2:$A$5,Constants!D$2:D$5))</f>
        <v/>
      </c>
      <c r="K42" t="str">
        <f>IF(ISBLANK($F42), "",_xlfn.XLOOKUP($F42,Constants!$A$2:$A$5,Constants!E$2:E$5))</f>
        <v/>
      </c>
      <c r="L42" t="s">
        <v>17</v>
      </c>
      <c r="M42">
        <v>0.3</v>
      </c>
      <c r="N42" t="s">
        <v>20</v>
      </c>
      <c r="O42">
        <v>0.25</v>
      </c>
    </row>
    <row r="43" spans="1:15" x14ac:dyDescent="0.2">
      <c r="I43" t="str">
        <f>IF(ISBLANK($F43), "",_xlfn.XLOOKUP($F43,Constants!$A$2:$A$5,Constants!B$2:B$5))</f>
        <v/>
      </c>
      <c r="J43" t="str">
        <f>IF(ISBLANK($F43), "",_xlfn.XLOOKUP($F43,Constants!$A$2:$A$5,Constants!D$2:D$5))</f>
        <v/>
      </c>
      <c r="K43" t="str">
        <f>IF(ISBLANK($F43), "",_xlfn.XLOOKUP($F43,Constants!$A$2:$A$5,Constants!E$2:E$5))</f>
        <v/>
      </c>
      <c r="L43" t="s">
        <v>18</v>
      </c>
      <c r="M43">
        <v>0.2</v>
      </c>
      <c r="N43" t="s">
        <v>22</v>
      </c>
      <c r="O43">
        <v>0.2</v>
      </c>
    </row>
    <row r="44" spans="1:15" x14ac:dyDescent="0.2">
      <c r="I44" t="str">
        <f>IF(ISBLANK($F44), "",_xlfn.XLOOKUP($F44,Constants!$A$2:$A$5,Constants!B$2:B$5))</f>
        <v/>
      </c>
      <c r="J44" t="str">
        <f>IF(ISBLANK($F44), "",_xlfn.XLOOKUP($F44,Constants!$A$2:$A$5,Constants!D$2:D$5))</f>
        <v/>
      </c>
      <c r="K44" t="str">
        <f>IF(ISBLANK($F44), "",_xlfn.XLOOKUP($F44,Constants!$A$2:$A$5,Constants!E$2:E$5))</f>
        <v/>
      </c>
      <c r="L44" t="s">
        <v>40</v>
      </c>
      <c r="M44">
        <v>0.1</v>
      </c>
      <c r="N44" t="s">
        <v>21</v>
      </c>
      <c r="O44">
        <v>0.25</v>
      </c>
    </row>
    <row r="45" spans="1:15" x14ac:dyDescent="0.2">
      <c r="A45" s="11"/>
      <c r="B45" s="11"/>
      <c r="C45" s="11"/>
      <c r="D45" s="11"/>
      <c r="E45" s="11"/>
      <c r="F45" s="11"/>
      <c r="G45" s="11"/>
      <c r="H45" s="11"/>
      <c r="I45" s="11" t="str">
        <f>IF(ISBLANK($F45), "",_xlfn.XLOOKUP($F45,Constants!$A$2:$A$5,Constants!B$2:B$5))</f>
        <v/>
      </c>
      <c r="J45" s="11" t="str">
        <f>IF(ISBLANK($F45), "",_xlfn.XLOOKUP($F45,Constants!$A$2:$A$5,Constants!D$2:D$5))</f>
        <v/>
      </c>
      <c r="K45" s="11" t="str">
        <f>IF(ISBLANK($F45), "",_xlfn.XLOOKUP($F45,Constants!$A$2:$A$5,Constants!E$2:E$5))</f>
        <v/>
      </c>
      <c r="L45" s="11"/>
      <c r="M45" s="11"/>
      <c r="N45" s="11" t="s">
        <v>41</v>
      </c>
      <c r="O45" s="11">
        <v>0.1</v>
      </c>
    </row>
    <row r="46" spans="1:15" x14ac:dyDescent="0.2">
      <c r="A46" t="s">
        <v>83</v>
      </c>
      <c r="B46">
        <v>15</v>
      </c>
      <c r="C46" t="s">
        <v>69</v>
      </c>
      <c r="D46" t="s">
        <v>65</v>
      </c>
      <c r="E46" t="b">
        <v>1</v>
      </c>
      <c r="F46" t="s">
        <v>10</v>
      </c>
      <c r="G46">
        <v>3333</v>
      </c>
      <c r="H46">
        <v>111</v>
      </c>
      <c r="L46" t="s">
        <v>16</v>
      </c>
      <c r="M46">
        <v>0</v>
      </c>
      <c r="N46" t="s">
        <v>19</v>
      </c>
      <c r="O46">
        <v>0.34</v>
      </c>
    </row>
    <row r="47" spans="1:15" x14ac:dyDescent="0.2">
      <c r="I47" t="str">
        <f>IF(ISBLANK($F47), "",_xlfn.XLOOKUP($F47,Constants!$A$2:$A$5,Constants!B$2:B$5))</f>
        <v/>
      </c>
      <c r="J47" t="str">
        <f>IF(ISBLANK($F47), "",_xlfn.XLOOKUP($F47,Constants!$A$2:$A$5,Constants!D$2:D$5))</f>
        <v/>
      </c>
      <c r="K47" t="str">
        <f>IF(ISBLANK($F47), "",_xlfn.XLOOKUP($F47,Constants!$A$2:$A$5,Constants!E$2:E$5))</f>
        <v/>
      </c>
      <c r="L47" t="s">
        <v>17</v>
      </c>
      <c r="M47">
        <v>0.9</v>
      </c>
      <c r="N47" t="s">
        <v>20</v>
      </c>
      <c r="O47">
        <v>0.6</v>
      </c>
    </row>
    <row r="48" spans="1:15" x14ac:dyDescent="0.2">
      <c r="I48" t="str">
        <f>IF(ISBLANK($F48), "",_xlfn.XLOOKUP($F48,Constants!$A$2:$A$5,Constants!B$2:B$5))</f>
        <v/>
      </c>
      <c r="J48" t="str">
        <f>IF(ISBLANK($F48), "",_xlfn.XLOOKUP($F48,Constants!$A$2:$A$5,Constants!D$2:D$5))</f>
        <v/>
      </c>
      <c r="K48" t="str">
        <f>IF(ISBLANK($F48), "",_xlfn.XLOOKUP($F48,Constants!$A$2:$A$5,Constants!E$2:E$5))</f>
        <v/>
      </c>
      <c r="L48" t="s">
        <v>18</v>
      </c>
      <c r="M48">
        <v>0</v>
      </c>
      <c r="N48" t="s">
        <v>22</v>
      </c>
      <c r="O48">
        <v>0</v>
      </c>
    </row>
    <row r="49" spans="1:15" x14ac:dyDescent="0.2">
      <c r="I49" t="str">
        <f>IF(ISBLANK($F49), "",_xlfn.XLOOKUP($F49,Constants!$A$2:$A$5,Constants!B$2:B$5))</f>
        <v/>
      </c>
      <c r="J49" t="str">
        <f>IF(ISBLANK($F49), "",_xlfn.XLOOKUP($F49,Constants!$A$2:$A$5,Constants!D$2:D$5))</f>
        <v/>
      </c>
      <c r="K49" t="str">
        <f>IF(ISBLANK($F49), "",_xlfn.XLOOKUP($F49,Constants!$A$2:$A$5,Constants!E$2:E$5))</f>
        <v/>
      </c>
      <c r="L49" t="s">
        <v>40</v>
      </c>
      <c r="M49">
        <v>0.1</v>
      </c>
      <c r="N49" t="s">
        <v>21</v>
      </c>
      <c r="O49">
        <v>0</v>
      </c>
    </row>
    <row r="50" spans="1:15" x14ac:dyDescent="0.2">
      <c r="A50" s="11"/>
      <c r="B50" s="11"/>
      <c r="C50" s="11"/>
      <c r="D50" s="11"/>
      <c r="E50" s="11"/>
      <c r="F50" s="11"/>
      <c r="G50" s="11"/>
      <c r="H50" s="11"/>
      <c r="I50" s="11" t="str">
        <f>IF(ISBLANK($F50), "",_xlfn.XLOOKUP($F50,Constants!$A$2:$A$5,Constants!B$2:B$5))</f>
        <v/>
      </c>
      <c r="J50" s="11" t="str">
        <f>IF(ISBLANK($F50), "",_xlfn.XLOOKUP($F50,Constants!$A$2:$A$5,Constants!D$2:D$5))</f>
        <v/>
      </c>
      <c r="K50" s="11" t="str">
        <f>IF(ISBLANK($F50), "",_xlfn.XLOOKUP($F50,Constants!$A$2:$A$5,Constants!E$2:E$5))</f>
        <v/>
      </c>
      <c r="L50" s="11"/>
      <c r="M50" s="11"/>
      <c r="N50" s="11" t="s">
        <v>41</v>
      </c>
      <c r="O50" s="11">
        <v>0.06</v>
      </c>
    </row>
    <row r="51" spans="1:15" x14ac:dyDescent="0.2">
      <c r="A51" t="s">
        <v>79</v>
      </c>
      <c r="B51">
        <v>25</v>
      </c>
      <c r="C51" t="s">
        <v>72</v>
      </c>
      <c r="D51" t="s">
        <v>75</v>
      </c>
      <c r="E51" t="b">
        <v>1</v>
      </c>
      <c r="F51" t="s">
        <v>11</v>
      </c>
      <c r="G51">
        <v>1234</v>
      </c>
      <c r="H51">
        <v>150</v>
      </c>
      <c r="L51" t="s">
        <v>16</v>
      </c>
      <c r="M51">
        <v>0.1</v>
      </c>
      <c r="N51" t="s">
        <v>19</v>
      </c>
      <c r="O51">
        <v>0.5</v>
      </c>
    </row>
    <row r="52" spans="1:15" x14ac:dyDescent="0.2">
      <c r="I52" t="str">
        <f>IF(ISBLANK($F52), "",_xlfn.XLOOKUP($F52,Constants!$A$2:$A$5,Constants!B$2:B$5))</f>
        <v/>
      </c>
      <c r="J52" t="str">
        <f>IF(ISBLANK($F52), "",_xlfn.XLOOKUP($F52,Constants!$A$2:$A$5,Constants!D$2:D$5))</f>
        <v/>
      </c>
      <c r="K52" t="str">
        <f>IF(ISBLANK($F52), "",_xlfn.XLOOKUP($F52,Constants!$A$2:$A$5,Constants!E$2:E$5))</f>
        <v/>
      </c>
      <c r="L52" t="s">
        <v>17</v>
      </c>
      <c r="M52">
        <v>0</v>
      </c>
      <c r="N52" t="s">
        <v>20</v>
      </c>
      <c r="O52">
        <v>0.25</v>
      </c>
    </row>
    <row r="53" spans="1:15" x14ac:dyDescent="0.2">
      <c r="I53" t="str">
        <f>IF(ISBLANK($F53), "",_xlfn.XLOOKUP($F53,Constants!$A$2:$A$5,Constants!B$2:B$5))</f>
        <v/>
      </c>
      <c r="J53" t="str">
        <f>IF(ISBLANK($F53), "",_xlfn.XLOOKUP($F53,Constants!$A$2:$A$5,Constants!D$2:D$5))</f>
        <v/>
      </c>
      <c r="K53" t="str">
        <f>IF(ISBLANK($F53), "",_xlfn.XLOOKUP($F53,Constants!$A$2:$A$5,Constants!E$2:E$5))</f>
        <v/>
      </c>
      <c r="L53" t="s">
        <v>18</v>
      </c>
      <c r="M53">
        <v>0</v>
      </c>
      <c r="N53" t="s">
        <v>22</v>
      </c>
      <c r="O53">
        <v>0.25</v>
      </c>
    </row>
    <row r="54" spans="1:15" x14ac:dyDescent="0.2">
      <c r="I54" t="str">
        <f>IF(ISBLANK($F54), "",_xlfn.XLOOKUP($F54,Constants!$A$2:$A$5,Constants!B$2:B$5))</f>
        <v/>
      </c>
      <c r="J54" t="str">
        <f>IF(ISBLANK($F54), "",_xlfn.XLOOKUP($F54,Constants!$A$2:$A$5,Constants!D$2:D$5))</f>
        <v/>
      </c>
      <c r="K54" t="str">
        <f>IF(ISBLANK($F54), "",_xlfn.XLOOKUP($F54,Constants!$A$2:$A$5,Constants!E$2:E$5))</f>
        <v/>
      </c>
      <c r="L54" t="s">
        <v>40</v>
      </c>
      <c r="M54">
        <v>0.9</v>
      </c>
      <c r="N54" t="s">
        <v>21</v>
      </c>
      <c r="O54">
        <v>0</v>
      </c>
    </row>
    <row r="55" spans="1:15" x14ac:dyDescent="0.2">
      <c r="A55" s="11"/>
      <c r="B55" s="11"/>
      <c r="C55" s="11"/>
      <c r="D55" s="11"/>
      <c r="E55" s="11"/>
      <c r="F55" s="11"/>
      <c r="G55" s="11"/>
      <c r="H55" s="11"/>
      <c r="I55" s="11" t="str">
        <f>IF(ISBLANK($F55), "",_xlfn.XLOOKUP($F55,Constants!$A$2:$A$5,Constants!B$2:B$5))</f>
        <v/>
      </c>
      <c r="J55" s="11" t="str">
        <f>IF(ISBLANK($F55), "",_xlfn.XLOOKUP($F55,Constants!$A$2:$A$5,Constants!D$2:D$5))</f>
        <v/>
      </c>
      <c r="K55" s="11" t="str">
        <f>IF(ISBLANK($F55), "",_xlfn.XLOOKUP($F55,Constants!$A$2:$A$5,Constants!E$2:E$5))</f>
        <v/>
      </c>
      <c r="L55" s="11"/>
      <c r="M55" s="11"/>
      <c r="N55" s="11" t="s">
        <v>41</v>
      </c>
      <c r="O55" s="11">
        <v>0</v>
      </c>
    </row>
    <row r="56" spans="1:15" x14ac:dyDescent="0.2">
      <c r="A56" t="s">
        <v>79</v>
      </c>
      <c r="B56">
        <v>25</v>
      </c>
      <c r="C56" t="s">
        <v>72</v>
      </c>
      <c r="D56" t="s">
        <v>75</v>
      </c>
      <c r="E56" t="b">
        <v>1</v>
      </c>
      <c r="F56" t="s">
        <v>11</v>
      </c>
      <c r="G56">
        <v>1234</v>
      </c>
      <c r="H56">
        <v>150</v>
      </c>
      <c r="L56" t="s">
        <v>16</v>
      </c>
      <c r="M56">
        <v>0.1</v>
      </c>
      <c r="N56" t="s">
        <v>19</v>
      </c>
      <c r="O56">
        <v>0.5</v>
      </c>
    </row>
    <row r="57" spans="1:15" x14ac:dyDescent="0.2">
      <c r="I57" t="str">
        <f>IF(ISBLANK($F57), "",_xlfn.XLOOKUP($F57,Constants!$A$2:$A$5,Constants!B$2:B$5))</f>
        <v/>
      </c>
      <c r="J57" t="str">
        <f>IF(ISBLANK($F57), "",_xlfn.XLOOKUP($F57,Constants!$A$2:$A$5,Constants!D$2:D$5))</f>
        <v/>
      </c>
      <c r="K57" t="str">
        <f>IF(ISBLANK($F57), "",_xlfn.XLOOKUP($F57,Constants!$A$2:$A$5,Constants!E$2:E$5))</f>
        <v/>
      </c>
      <c r="L57" t="s">
        <v>17</v>
      </c>
      <c r="M57">
        <v>0</v>
      </c>
      <c r="N57" t="s">
        <v>20</v>
      </c>
      <c r="O57">
        <v>0.25</v>
      </c>
    </row>
    <row r="58" spans="1:15" x14ac:dyDescent="0.2">
      <c r="I58" t="str">
        <f>IF(ISBLANK($F58), "",_xlfn.XLOOKUP($F58,Constants!$A$2:$A$5,Constants!B$2:B$5))</f>
        <v/>
      </c>
      <c r="J58" t="str">
        <f>IF(ISBLANK($F58), "",_xlfn.XLOOKUP($F58,Constants!$A$2:$A$5,Constants!D$2:D$5))</f>
        <v/>
      </c>
      <c r="K58" t="str">
        <f>IF(ISBLANK($F58), "",_xlfn.XLOOKUP($F58,Constants!$A$2:$A$5,Constants!E$2:E$5))</f>
        <v/>
      </c>
      <c r="L58" t="s">
        <v>18</v>
      </c>
      <c r="M58">
        <v>0</v>
      </c>
      <c r="N58" t="s">
        <v>22</v>
      </c>
      <c r="O58">
        <v>0.25</v>
      </c>
    </row>
    <row r="59" spans="1:15" x14ac:dyDescent="0.2">
      <c r="I59" t="str">
        <f>IF(ISBLANK($F59), "",_xlfn.XLOOKUP($F59,Constants!$A$2:$A$5,Constants!B$2:B$5))</f>
        <v/>
      </c>
      <c r="J59" t="str">
        <f>IF(ISBLANK($F59), "",_xlfn.XLOOKUP($F59,Constants!$A$2:$A$5,Constants!D$2:D$5))</f>
        <v/>
      </c>
      <c r="K59" t="str">
        <f>IF(ISBLANK($F59), "",_xlfn.XLOOKUP($F59,Constants!$A$2:$A$5,Constants!E$2:E$5))</f>
        <v/>
      </c>
      <c r="L59" t="s">
        <v>40</v>
      </c>
      <c r="M59">
        <v>0.9</v>
      </c>
      <c r="N59" t="s">
        <v>21</v>
      </c>
      <c r="O59">
        <v>0</v>
      </c>
    </row>
    <row r="60" spans="1:15" x14ac:dyDescent="0.2">
      <c r="A60" s="11"/>
      <c r="B60" s="11"/>
      <c r="C60" s="11"/>
      <c r="D60" s="11"/>
      <c r="E60" s="11"/>
      <c r="F60" s="11"/>
      <c r="G60" s="11"/>
      <c r="H60" s="11"/>
      <c r="I60" s="11" t="str">
        <f>IF(ISBLANK($F60), "",_xlfn.XLOOKUP($F60,Constants!$A$2:$A$5,Constants!B$2:B$5))</f>
        <v/>
      </c>
      <c r="J60" s="11" t="str">
        <f>IF(ISBLANK($F60), "",_xlfn.XLOOKUP($F60,Constants!$A$2:$A$5,Constants!D$2:D$5))</f>
        <v/>
      </c>
      <c r="K60" s="11" t="str">
        <f>IF(ISBLANK($F60), "",_xlfn.XLOOKUP($F60,Constants!$A$2:$A$5,Constants!E$2:E$5))</f>
        <v/>
      </c>
      <c r="L60" s="11"/>
      <c r="M60" s="11"/>
      <c r="N60" s="11" t="s">
        <v>41</v>
      </c>
      <c r="O60" s="1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34F6A-1B9B-0E42-AF0E-0B61B3BE4291}">
  <dimension ref="A1:AE56"/>
  <sheetViews>
    <sheetView workbookViewId="0">
      <selection activeCell="L8" sqref="L8"/>
    </sheetView>
  </sheetViews>
  <sheetFormatPr baseColWidth="10" defaultRowHeight="16" x14ac:dyDescent="0.2"/>
  <sheetData>
    <row r="1" spans="1:31" x14ac:dyDescent="0.2">
      <c r="A1" t="s">
        <v>108</v>
      </c>
    </row>
    <row r="2" spans="1:31" x14ac:dyDescent="0.2">
      <c r="L2" t="s">
        <v>0</v>
      </c>
    </row>
    <row r="3" spans="1:31" x14ac:dyDescent="0.2">
      <c r="A3" t="s">
        <v>1</v>
      </c>
      <c r="C3" t="s">
        <v>1</v>
      </c>
      <c r="D3" t="s">
        <v>1</v>
      </c>
      <c r="E3" t="s">
        <v>1</v>
      </c>
      <c r="F3" t="s">
        <v>1</v>
      </c>
      <c r="G3" t="s">
        <v>1</v>
      </c>
      <c r="H3" t="s">
        <v>1</v>
      </c>
      <c r="I3" t="s">
        <v>1</v>
      </c>
      <c r="K3" t="s">
        <v>1</v>
      </c>
      <c r="L3" t="s">
        <v>1</v>
      </c>
      <c r="M3" t="s">
        <v>1</v>
      </c>
    </row>
    <row r="5" spans="1:31" x14ac:dyDescent="0.2">
      <c r="A5" t="s">
        <v>35</v>
      </c>
      <c r="B5" t="s">
        <v>43</v>
      </c>
      <c r="C5" t="s">
        <v>42</v>
      </c>
      <c r="D5" t="s">
        <v>64</v>
      </c>
      <c r="E5" t="s">
        <v>67</v>
      </c>
      <c r="F5" t="s">
        <v>28</v>
      </c>
      <c r="G5" t="s">
        <v>2</v>
      </c>
      <c r="H5" t="s">
        <v>3</v>
      </c>
      <c r="I5" t="s">
        <v>44</v>
      </c>
      <c r="K5" t="s">
        <v>46</v>
      </c>
      <c r="L5" t="s">
        <v>49</v>
      </c>
      <c r="M5" t="s">
        <v>134</v>
      </c>
      <c r="Q5" t="s">
        <v>140</v>
      </c>
      <c r="V5" t="s">
        <v>141</v>
      </c>
      <c r="AA5" t="s">
        <v>142</v>
      </c>
    </row>
    <row r="6" spans="1:31" x14ac:dyDescent="0.2">
      <c r="M6" t="s">
        <v>16</v>
      </c>
      <c r="N6" t="s">
        <v>17</v>
      </c>
      <c r="O6" t="s">
        <v>18</v>
      </c>
      <c r="P6" t="s">
        <v>40</v>
      </c>
      <c r="Q6" t="s">
        <v>19</v>
      </c>
      <c r="R6" t="s">
        <v>20</v>
      </c>
      <c r="S6" t="s">
        <v>22</v>
      </c>
      <c r="T6" t="s">
        <v>21</v>
      </c>
      <c r="U6" t="s">
        <v>41</v>
      </c>
      <c r="V6" t="s">
        <v>19</v>
      </c>
      <c r="W6" t="s">
        <v>20</v>
      </c>
      <c r="X6" t="s">
        <v>22</v>
      </c>
      <c r="Y6" t="s">
        <v>21</v>
      </c>
      <c r="Z6" t="s">
        <v>41</v>
      </c>
      <c r="AA6" t="s">
        <v>19</v>
      </c>
      <c r="AB6" t="s">
        <v>20</v>
      </c>
      <c r="AC6" t="s">
        <v>22</v>
      </c>
      <c r="AD6" t="s">
        <v>21</v>
      </c>
      <c r="AE6" t="s">
        <v>41</v>
      </c>
    </row>
    <row r="7" spans="1:31" s="11" customFormat="1" x14ac:dyDescent="0.2">
      <c r="A7" s="17" t="s">
        <v>26</v>
      </c>
      <c r="B7" s="17" t="s">
        <v>26</v>
      </c>
      <c r="C7" s="17"/>
      <c r="D7" s="17" t="s">
        <v>66</v>
      </c>
      <c r="E7" s="17" t="s">
        <v>68</v>
      </c>
      <c r="F7" s="17" t="s">
        <v>25</v>
      </c>
      <c r="G7" s="17" t="s">
        <v>4</v>
      </c>
      <c r="H7" s="17" t="s">
        <v>5</v>
      </c>
      <c r="I7" s="17" t="s">
        <v>6</v>
      </c>
      <c r="J7" s="17"/>
      <c r="K7" s="17" t="s">
        <v>7</v>
      </c>
      <c r="L7" s="17" t="s">
        <v>101</v>
      </c>
      <c r="M7" s="17" t="s">
        <v>131</v>
      </c>
      <c r="N7" s="17" t="s">
        <v>130</v>
      </c>
      <c r="O7" s="17" t="s">
        <v>132</v>
      </c>
      <c r="P7" s="17" t="s">
        <v>133</v>
      </c>
      <c r="Q7" s="17" t="s">
        <v>135</v>
      </c>
      <c r="R7" s="17" t="s">
        <v>136</v>
      </c>
      <c r="S7" s="17" t="s">
        <v>137</v>
      </c>
      <c r="T7" s="17" t="s">
        <v>138</v>
      </c>
      <c r="U7" s="17" t="s">
        <v>139</v>
      </c>
      <c r="V7" s="17" t="s">
        <v>135</v>
      </c>
      <c r="W7" s="17" t="s">
        <v>136</v>
      </c>
      <c r="X7" s="17" t="s">
        <v>137</v>
      </c>
      <c r="Y7" s="17" t="s">
        <v>138</v>
      </c>
      <c r="Z7" s="17" t="s">
        <v>139</v>
      </c>
      <c r="AA7" s="17" t="s">
        <v>135</v>
      </c>
      <c r="AB7" s="17" t="s">
        <v>136</v>
      </c>
      <c r="AC7" s="17" t="s">
        <v>137</v>
      </c>
      <c r="AD7" s="17" t="s">
        <v>138</v>
      </c>
      <c r="AE7" s="17" t="s">
        <v>139</v>
      </c>
    </row>
    <row r="8" spans="1:31" x14ac:dyDescent="0.2">
      <c r="A8" t="s">
        <v>63</v>
      </c>
      <c r="C8" t="s">
        <v>73</v>
      </c>
      <c r="D8" t="s">
        <v>65</v>
      </c>
      <c r="E8" t="b">
        <v>1</v>
      </c>
      <c r="F8" t="s">
        <v>9</v>
      </c>
      <c r="G8">
        <v>5000</v>
      </c>
      <c r="H8">
        <v>50</v>
      </c>
      <c r="M8">
        <v>0.1</v>
      </c>
      <c r="N8">
        <v>0.2</v>
      </c>
      <c r="O8">
        <v>0.3</v>
      </c>
      <c r="P8">
        <v>0.4</v>
      </c>
      <c r="Q8">
        <v>0.15</v>
      </c>
      <c r="R8">
        <v>0.2</v>
      </c>
      <c r="S8">
        <v>0.25</v>
      </c>
      <c r="T8">
        <v>0.17</v>
      </c>
      <c r="U8">
        <v>0.23</v>
      </c>
      <c r="V8">
        <v>0.15</v>
      </c>
      <c r="W8">
        <v>0.2</v>
      </c>
      <c r="X8">
        <v>0.25</v>
      </c>
      <c r="Y8">
        <v>0.17</v>
      </c>
      <c r="Z8">
        <v>0.23</v>
      </c>
      <c r="AA8">
        <v>0.15</v>
      </c>
      <c r="AB8">
        <v>0.2</v>
      </c>
      <c r="AC8">
        <v>0.25</v>
      </c>
      <c r="AD8">
        <v>0.17</v>
      </c>
      <c r="AE8">
        <v>0.23</v>
      </c>
    </row>
    <row r="9" spans="1:31" x14ac:dyDescent="0.2">
      <c r="A9" t="s">
        <v>63</v>
      </c>
      <c r="C9" t="s">
        <v>73</v>
      </c>
      <c r="D9" t="s">
        <v>65</v>
      </c>
      <c r="E9" t="b">
        <v>1</v>
      </c>
      <c r="F9" t="s">
        <v>98</v>
      </c>
      <c r="G9">
        <v>5000</v>
      </c>
      <c r="H9">
        <v>50</v>
      </c>
      <c r="M9">
        <v>0.1</v>
      </c>
      <c r="N9">
        <v>0.2</v>
      </c>
      <c r="O9">
        <v>0.3</v>
      </c>
      <c r="P9">
        <v>0.4</v>
      </c>
      <c r="Q9">
        <v>0.15</v>
      </c>
      <c r="R9">
        <v>0.2</v>
      </c>
      <c r="S9">
        <v>0.25</v>
      </c>
      <c r="T9">
        <v>0.17</v>
      </c>
      <c r="U9">
        <v>0.23</v>
      </c>
      <c r="V9">
        <v>0.15</v>
      </c>
      <c r="W9">
        <v>0.2</v>
      </c>
      <c r="X9">
        <v>0.25</v>
      </c>
      <c r="Y9">
        <v>0.17</v>
      </c>
      <c r="Z9">
        <v>0.23</v>
      </c>
      <c r="AA9">
        <v>0.15</v>
      </c>
      <c r="AB9">
        <v>0.2</v>
      </c>
      <c r="AC9">
        <v>0.25</v>
      </c>
      <c r="AD9">
        <v>0.17</v>
      </c>
      <c r="AE9">
        <v>0.23</v>
      </c>
    </row>
    <row r="10" spans="1:31" x14ac:dyDescent="0.2">
      <c r="A10" t="s">
        <v>63</v>
      </c>
      <c r="C10" t="s">
        <v>73</v>
      </c>
      <c r="D10" t="s">
        <v>65</v>
      </c>
      <c r="E10" t="b">
        <v>1</v>
      </c>
      <c r="F10" t="s">
        <v>10</v>
      </c>
      <c r="G10">
        <v>5000</v>
      </c>
      <c r="H10">
        <v>50</v>
      </c>
      <c r="M10">
        <v>0.1</v>
      </c>
      <c r="N10">
        <v>0.2</v>
      </c>
      <c r="O10">
        <v>0.3</v>
      </c>
      <c r="P10">
        <v>0.4</v>
      </c>
      <c r="Q10">
        <v>0.15</v>
      </c>
      <c r="R10">
        <v>0.2</v>
      </c>
      <c r="S10">
        <v>0.25</v>
      </c>
      <c r="T10">
        <v>0.17</v>
      </c>
      <c r="U10">
        <v>0.23</v>
      </c>
      <c r="V10">
        <v>0.15</v>
      </c>
      <c r="W10">
        <v>0.2</v>
      </c>
      <c r="X10">
        <v>0.25</v>
      </c>
      <c r="Y10">
        <v>0.17</v>
      </c>
      <c r="Z10">
        <v>0.23</v>
      </c>
      <c r="AA10">
        <v>0.15</v>
      </c>
      <c r="AB10">
        <v>0.2</v>
      </c>
      <c r="AC10">
        <v>0.25</v>
      </c>
      <c r="AD10">
        <v>0.17</v>
      </c>
      <c r="AE10">
        <v>0.23</v>
      </c>
    </row>
    <row r="11" spans="1:31" s="11" customFormat="1" x14ac:dyDescent="0.2">
      <c r="A11" s="11" t="s">
        <v>63</v>
      </c>
      <c r="C11" s="11" t="s">
        <v>73</v>
      </c>
      <c r="D11" s="11" t="s">
        <v>65</v>
      </c>
      <c r="E11" s="11" t="b">
        <v>1</v>
      </c>
      <c r="F11" s="11" t="s">
        <v>11</v>
      </c>
      <c r="G11" s="11">
        <v>5000</v>
      </c>
      <c r="H11" s="11">
        <v>50</v>
      </c>
      <c r="M11" s="11">
        <v>0.1</v>
      </c>
      <c r="N11" s="11">
        <v>0.2</v>
      </c>
      <c r="O11" s="11">
        <v>0.3</v>
      </c>
      <c r="P11" s="11">
        <v>0.4</v>
      </c>
      <c r="Q11" s="11">
        <v>0.15</v>
      </c>
      <c r="R11" s="11">
        <v>0.2</v>
      </c>
      <c r="S11" s="11">
        <v>0.25</v>
      </c>
      <c r="T11" s="11">
        <v>0.17</v>
      </c>
      <c r="U11" s="11">
        <v>0.23</v>
      </c>
      <c r="V11" s="11">
        <v>0.15</v>
      </c>
      <c r="W11" s="11">
        <v>0.2</v>
      </c>
      <c r="X11" s="11">
        <v>0.25</v>
      </c>
      <c r="Y11" s="11">
        <v>0.17</v>
      </c>
      <c r="Z11" s="11">
        <v>0.23</v>
      </c>
      <c r="AA11" s="11">
        <v>0.15</v>
      </c>
      <c r="AB11" s="11">
        <v>0.2</v>
      </c>
      <c r="AC11" s="11">
        <v>0.25</v>
      </c>
      <c r="AD11" s="11">
        <v>0.17</v>
      </c>
      <c r="AE11" s="11">
        <v>0.23</v>
      </c>
    </row>
    <row r="12" spans="1:31" x14ac:dyDescent="0.2">
      <c r="A12" t="s">
        <v>78</v>
      </c>
      <c r="C12" t="s">
        <v>70</v>
      </c>
      <c r="D12" t="s">
        <v>75</v>
      </c>
      <c r="E12" t="b">
        <v>1</v>
      </c>
      <c r="F12" t="s">
        <v>9</v>
      </c>
      <c r="G12">
        <v>2250</v>
      </c>
      <c r="H12">
        <v>125</v>
      </c>
      <c r="M12">
        <v>0.4</v>
      </c>
      <c r="N12">
        <v>0.3</v>
      </c>
      <c r="O12">
        <v>0.2</v>
      </c>
      <c r="P12">
        <v>0.1</v>
      </c>
      <c r="Q12" s="15">
        <v>0.2</v>
      </c>
      <c r="R12" s="15">
        <v>0.25</v>
      </c>
      <c r="S12" s="15">
        <v>0.2</v>
      </c>
      <c r="T12" s="15">
        <v>0.25</v>
      </c>
      <c r="U12" s="15">
        <v>0.1</v>
      </c>
      <c r="V12" s="15">
        <v>0.2</v>
      </c>
      <c r="W12" s="15">
        <v>0.25</v>
      </c>
      <c r="X12" s="15">
        <v>0.2</v>
      </c>
      <c r="Y12" s="15">
        <v>0.25</v>
      </c>
      <c r="Z12" s="15">
        <v>0.1</v>
      </c>
      <c r="AA12" s="15">
        <v>0.2</v>
      </c>
      <c r="AB12" s="15">
        <v>0.25</v>
      </c>
      <c r="AC12" s="15">
        <v>0.2</v>
      </c>
      <c r="AD12" s="15">
        <v>0.25</v>
      </c>
      <c r="AE12" s="15">
        <v>0.1</v>
      </c>
    </row>
    <row r="13" spans="1:31" x14ac:dyDescent="0.2">
      <c r="A13" t="s">
        <v>78</v>
      </c>
      <c r="C13" t="s">
        <v>70</v>
      </c>
      <c r="D13" t="s">
        <v>75</v>
      </c>
      <c r="E13" t="b">
        <v>1</v>
      </c>
      <c r="F13" t="s">
        <v>98</v>
      </c>
      <c r="G13">
        <v>2250</v>
      </c>
      <c r="H13">
        <v>125</v>
      </c>
      <c r="M13">
        <v>0.4</v>
      </c>
      <c r="N13">
        <v>0.3</v>
      </c>
      <c r="O13">
        <v>0.2</v>
      </c>
      <c r="P13">
        <v>0.1</v>
      </c>
      <c r="Q13" s="15">
        <v>0.2</v>
      </c>
      <c r="R13" s="15">
        <v>0.25</v>
      </c>
      <c r="S13" s="15">
        <v>0.2</v>
      </c>
      <c r="T13" s="15">
        <v>0.25</v>
      </c>
      <c r="U13" s="15">
        <v>0.1</v>
      </c>
      <c r="V13" s="15">
        <v>0.2</v>
      </c>
      <c r="W13" s="15">
        <v>0.25</v>
      </c>
      <c r="X13" s="15">
        <v>0.2</v>
      </c>
      <c r="Y13" s="15">
        <v>0.25</v>
      </c>
      <c r="Z13" s="15">
        <v>0.1</v>
      </c>
      <c r="AA13" s="15">
        <v>0.2</v>
      </c>
      <c r="AB13" s="15">
        <v>0.25</v>
      </c>
      <c r="AC13" s="15">
        <v>0.2</v>
      </c>
      <c r="AD13" s="15">
        <v>0.25</v>
      </c>
      <c r="AE13" s="15">
        <v>0.1</v>
      </c>
    </row>
    <row r="14" spans="1:31" x14ac:dyDescent="0.2">
      <c r="A14" t="s">
        <v>78</v>
      </c>
      <c r="C14" t="s">
        <v>70</v>
      </c>
      <c r="D14" t="s">
        <v>75</v>
      </c>
      <c r="E14" t="b">
        <v>1</v>
      </c>
      <c r="F14" t="s">
        <v>10</v>
      </c>
      <c r="G14">
        <v>2250</v>
      </c>
      <c r="H14">
        <v>125</v>
      </c>
      <c r="M14">
        <v>0.4</v>
      </c>
      <c r="N14">
        <v>0.3</v>
      </c>
      <c r="O14">
        <v>0.2</v>
      </c>
      <c r="P14">
        <v>0.1</v>
      </c>
      <c r="Q14" s="15">
        <v>0.2</v>
      </c>
      <c r="R14" s="15">
        <v>0.25</v>
      </c>
      <c r="S14" s="15">
        <v>0.2</v>
      </c>
      <c r="T14" s="15">
        <v>0.25</v>
      </c>
      <c r="U14" s="15">
        <v>0.1</v>
      </c>
      <c r="V14" s="15">
        <v>0.2</v>
      </c>
      <c r="W14" s="15">
        <v>0.25</v>
      </c>
      <c r="X14" s="15">
        <v>0.2</v>
      </c>
      <c r="Y14" s="15">
        <v>0.25</v>
      </c>
      <c r="Z14" s="15">
        <v>0.1</v>
      </c>
      <c r="AA14" s="15">
        <v>0.2</v>
      </c>
      <c r="AB14" s="15">
        <v>0.25</v>
      </c>
      <c r="AC14" s="15">
        <v>0.2</v>
      </c>
      <c r="AD14" s="15">
        <v>0.25</v>
      </c>
      <c r="AE14" s="15">
        <v>0.1</v>
      </c>
    </row>
    <row r="15" spans="1:31" s="11" customFormat="1" x14ac:dyDescent="0.2">
      <c r="A15" s="11" t="s">
        <v>78</v>
      </c>
      <c r="C15" s="11" t="s">
        <v>70</v>
      </c>
      <c r="D15" s="11" t="s">
        <v>75</v>
      </c>
      <c r="E15" s="11" t="b">
        <v>1</v>
      </c>
      <c r="F15" s="11" t="s">
        <v>11</v>
      </c>
      <c r="G15" s="11">
        <v>2250</v>
      </c>
      <c r="H15" s="11">
        <v>125</v>
      </c>
      <c r="M15" s="11">
        <v>0.4</v>
      </c>
      <c r="N15" s="11">
        <v>0.3</v>
      </c>
      <c r="O15" s="11">
        <v>0.2</v>
      </c>
      <c r="P15" s="11">
        <v>0.1</v>
      </c>
      <c r="Q15" s="16">
        <v>0.2</v>
      </c>
      <c r="R15" s="16">
        <v>0.25</v>
      </c>
      <c r="S15" s="16">
        <v>0.2</v>
      </c>
      <c r="T15" s="16">
        <v>0.25</v>
      </c>
      <c r="U15" s="16">
        <v>0.1</v>
      </c>
      <c r="V15" s="16">
        <v>0.2</v>
      </c>
      <c r="W15" s="16">
        <v>0.25</v>
      </c>
      <c r="X15" s="16">
        <v>0.2</v>
      </c>
      <c r="Y15" s="16">
        <v>0.25</v>
      </c>
      <c r="Z15" s="16">
        <v>0.1</v>
      </c>
      <c r="AA15" s="16">
        <v>0.2</v>
      </c>
      <c r="AB15" s="16">
        <v>0.25</v>
      </c>
      <c r="AC15" s="16">
        <v>0.2</v>
      </c>
      <c r="AD15" s="16">
        <v>0.25</v>
      </c>
      <c r="AE15" s="16">
        <v>0.1</v>
      </c>
    </row>
    <row r="16" spans="1:31" x14ac:dyDescent="0.2">
      <c r="A16" t="s">
        <v>83</v>
      </c>
      <c r="C16" t="s">
        <v>69</v>
      </c>
      <c r="D16" t="s">
        <v>65</v>
      </c>
      <c r="E16" t="b">
        <v>1</v>
      </c>
      <c r="F16" t="s">
        <v>9</v>
      </c>
      <c r="G16">
        <v>3333</v>
      </c>
      <c r="H16">
        <v>111</v>
      </c>
      <c r="M16" s="15">
        <v>0</v>
      </c>
      <c r="N16" s="15">
        <v>0.9</v>
      </c>
      <c r="O16" s="15">
        <v>0</v>
      </c>
      <c r="P16">
        <v>0.1</v>
      </c>
      <c r="Q16" s="15">
        <v>0.34</v>
      </c>
      <c r="R16" s="15">
        <v>0.6</v>
      </c>
      <c r="S16" s="15">
        <v>0</v>
      </c>
      <c r="T16" s="15">
        <v>0</v>
      </c>
      <c r="U16" s="15">
        <v>0.06</v>
      </c>
      <c r="V16" s="15">
        <v>0.34</v>
      </c>
      <c r="W16" s="15">
        <v>0.6</v>
      </c>
      <c r="X16" s="15">
        <v>0</v>
      </c>
      <c r="Y16" s="15">
        <v>0</v>
      </c>
      <c r="Z16" s="15">
        <v>0.06</v>
      </c>
      <c r="AA16" s="15">
        <v>0.34</v>
      </c>
      <c r="AB16" s="15">
        <v>0.6</v>
      </c>
      <c r="AC16" s="15">
        <v>0</v>
      </c>
      <c r="AD16" s="15">
        <v>0</v>
      </c>
      <c r="AE16" s="15">
        <v>0.06</v>
      </c>
    </row>
    <row r="17" spans="1:31" x14ac:dyDescent="0.2">
      <c r="A17" t="s">
        <v>83</v>
      </c>
      <c r="C17" t="s">
        <v>69</v>
      </c>
      <c r="D17" t="s">
        <v>65</v>
      </c>
      <c r="E17" t="b">
        <v>1</v>
      </c>
      <c r="F17" t="s">
        <v>98</v>
      </c>
      <c r="G17">
        <v>3333</v>
      </c>
      <c r="H17">
        <v>111</v>
      </c>
      <c r="M17" s="15">
        <v>0</v>
      </c>
      <c r="N17" s="15">
        <v>0.9</v>
      </c>
      <c r="O17" s="15">
        <v>0</v>
      </c>
      <c r="P17">
        <v>0.1</v>
      </c>
      <c r="Q17" s="15">
        <v>0.34</v>
      </c>
      <c r="R17" s="15">
        <v>0.6</v>
      </c>
      <c r="S17" s="15">
        <v>0</v>
      </c>
      <c r="T17" s="15">
        <v>0</v>
      </c>
      <c r="U17" s="15">
        <v>0.06</v>
      </c>
      <c r="V17" s="15">
        <v>0.34</v>
      </c>
      <c r="W17" s="15">
        <v>0.6</v>
      </c>
      <c r="X17" s="15">
        <v>0</v>
      </c>
      <c r="Y17" s="15">
        <v>0</v>
      </c>
      <c r="Z17" s="15">
        <v>0.06</v>
      </c>
      <c r="AA17" s="15">
        <v>0.34</v>
      </c>
      <c r="AB17" s="15">
        <v>0.6</v>
      </c>
      <c r="AC17" s="15">
        <v>0</v>
      </c>
      <c r="AD17" s="15">
        <v>0</v>
      </c>
      <c r="AE17" s="15">
        <v>0.06</v>
      </c>
    </row>
    <row r="18" spans="1:31" x14ac:dyDescent="0.2">
      <c r="A18" t="s">
        <v>83</v>
      </c>
      <c r="C18" t="s">
        <v>69</v>
      </c>
      <c r="D18" t="s">
        <v>65</v>
      </c>
      <c r="E18" t="b">
        <v>1</v>
      </c>
      <c r="F18" t="s">
        <v>10</v>
      </c>
      <c r="G18">
        <v>3333</v>
      </c>
      <c r="H18">
        <v>111</v>
      </c>
      <c r="M18" s="15">
        <v>0</v>
      </c>
      <c r="N18" s="15">
        <v>0.9</v>
      </c>
      <c r="O18" s="15">
        <v>0</v>
      </c>
      <c r="P18">
        <v>0.1</v>
      </c>
      <c r="Q18" s="15">
        <v>0.34</v>
      </c>
      <c r="R18" s="15">
        <v>0.6</v>
      </c>
      <c r="S18" s="15">
        <v>0</v>
      </c>
      <c r="T18" s="15">
        <v>0</v>
      </c>
      <c r="U18" s="15">
        <v>0.06</v>
      </c>
      <c r="V18" s="15">
        <v>0.34</v>
      </c>
      <c r="W18" s="15">
        <v>0.6</v>
      </c>
      <c r="X18" s="15">
        <v>0</v>
      </c>
      <c r="Y18" s="15">
        <v>0</v>
      </c>
      <c r="Z18" s="15">
        <v>0.06</v>
      </c>
      <c r="AA18" s="15">
        <v>0.34</v>
      </c>
      <c r="AB18" s="15">
        <v>0.6</v>
      </c>
      <c r="AC18" s="15">
        <v>0</v>
      </c>
      <c r="AD18" s="15">
        <v>0</v>
      </c>
      <c r="AE18" s="15">
        <v>0.06</v>
      </c>
    </row>
    <row r="19" spans="1:31" s="11" customFormat="1" x14ac:dyDescent="0.2">
      <c r="A19" s="11" t="s">
        <v>83</v>
      </c>
      <c r="C19" s="11" t="s">
        <v>69</v>
      </c>
      <c r="D19" s="11" t="s">
        <v>65</v>
      </c>
      <c r="E19" s="11" t="b">
        <v>1</v>
      </c>
      <c r="F19" s="11" t="s">
        <v>11</v>
      </c>
      <c r="G19" s="11">
        <v>3333</v>
      </c>
      <c r="H19" s="11">
        <v>111</v>
      </c>
      <c r="M19" s="11">
        <v>0</v>
      </c>
      <c r="N19" s="11">
        <v>0.9</v>
      </c>
      <c r="O19" s="11">
        <v>0</v>
      </c>
      <c r="P19" s="11">
        <v>0.1</v>
      </c>
      <c r="Q19" s="16">
        <v>0.34</v>
      </c>
      <c r="R19" s="16">
        <v>0.6</v>
      </c>
      <c r="S19" s="16">
        <v>0</v>
      </c>
      <c r="T19" s="16">
        <v>0</v>
      </c>
      <c r="U19" s="16">
        <v>0.06</v>
      </c>
      <c r="V19" s="16">
        <v>0.34</v>
      </c>
      <c r="W19" s="16">
        <v>0.6</v>
      </c>
      <c r="X19" s="16">
        <v>0</v>
      </c>
      <c r="Y19" s="16">
        <v>0</v>
      </c>
      <c r="Z19" s="16">
        <v>0.06</v>
      </c>
      <c r="AA19" s="16">
        <v>0.34</v>
      </c>
      <c r="AB19" s="16">
        <v>0.6</v>
      </c>
      <c r="AC19" s="16">
        <v>0</v>
      </c>
      <c r="AD19" s="16">
        <v>0</v>
      </c>
      <c r="AE19" s="16">
        <v>0.06</v>
      </c>
    </row>
    <row r="20" spans="1:31" x14ac:dyDescent="0.2">
      <c r="A20" t="s">
        <v>79</v>
      </c>
      <c r="C20" t="s">
        <v>72</v>
      </c>
      <c r="D20" t="s">
        <v>75</v>
      </c>
      <c r="E20" t="b">
        <v>1</v>
      </c>
      <c r="F20" t="s">
        <v>9</v>
      </c>
      <c r="G20">
        <v>1234</v>
      </c>
      <c r="H20">
        <v>150</v>
      </c>
      <c r="M20">
        <v>0.1</v>
      </c>
      <c r="N20" s="15">
        <v>0</v>
      </c>
      <c r="O20" s="15">
        <v>0</v>
      </c>
      <c r="P20" s="15">
        <v>0.9</v>
      </c>
      <c r="Q20" s="15">
        <v>0.5</v>
      </c>
      <c r="R20" s="15">
        <v>0.25</v>
      </c>
      <c r="S20" s="15">
        <v>0.25</v>
      </c>
      <c r="T20" s="15">
        <v>0</v>
      </c>
      <c r="U20" s="15">
        <v>0</v>
      </c>
      <c r="V20" s="15">
        <v>0.5</v>
      </c>
      <c r="W20" s="15">
        <v>0.25</v>
      </c>
      <c r="X20" s="15">
        <v>0.25</v>
      </c>
      <c r="Y20" s="15">
        <v>0</v>
      </c>
      <c r="Z20" s="15">
        <v>0</v>
      </c>
      <c r="AA20" s="15">
        <v>0.5</v>
      </c>
      <c r="AB20" s="15">
        <v>0.25</v>
      </c>
      <c r="AC20" s="15">
        <v>0.25</v>
      </c>
      <c r="AD20" s="15">
        <v>0</v>
      </c>
      <c r="AE20" s="15">
        <v>0</v>
      </c>
    </row>
    <row r="21" spans="1:31" x14ac:dyDescent="0.2">
      <c r="A21" t="s">
        <v>79</v>
      </c>
      <c r="C21" t="s">
        <v>72</v>
      </c>
      <c r="D21" t="s">
        <v>75</v>
      </c>
      <c r="E21" t="b">
        <v>1</v>
      </c>
      <c r="F21" t="s">
        <v>98</v>
      </c>
      <c r="G21">
        <v>1234</v>
      </c>
      <c r="H21">
        <v>150</v>
      </c>
      <c r="M21">
        <v>0.1</v>
      </c>
      <c r="N21" s="15">
        <v>0</v>
      </c>
      <c r="O21" s="15">
        <v>0</v>
      </c>
      <c r="P21" s="15">
        <v>0.9</v>
      </c>
      <c r="Q21" s="15">
        <v>0.5</v>
      </c>
      <c r="R21" s="15">
        <v>0.25</v>
      </c>
      <c r="S21" s="15">
        <v>0.25</v>
      </c>
      <c r="T21" s="15">
        <v>0</v>
      </c>
      <c r="U21" s="15">
        <v>0</v>
      </c>
      <c r="V21" s="15">
        <v>0.5</v>
      </c>
      <c r="W21" s="15">
        <v>0.25</v>
      </c>
      <c r="X21" s="15">
        <v>0.25</v>
      </c>
      <c r="Y21" s="15">
        <v>0</v>
      </c>
      <c r="Z21" s="15">
        <v>0</v>
      </c>
      <c r="AA21" s="15">
        <v>0.5</v>
      </c>
      <c r="AB21" s="15">
        <v>0.25</v>
      </c>
      <c r="AC21" s="15">
        <v>0.25</v>
      </c>
      <c r="AD21" s="15">
        <v>0</v>
      </c>
      <c r="AE21" s="15">
        <v>0</v>
      </c>
    </row>
    <row r="22" spans="1:31" x14ac:dyDescent="0.2">
      <c r="A22" t="s">
        <v>79</v>
      </c>
      <c r="C22" t="s">
        <v>72</v>
      </c>
      <c r="D22" t="s">
        <v>75</v>
      </c>
      <c r="E22" t="b">
        <v>1</v>
      </c>
      <c r="F22" t="s">
        <v>10</v>
      </c>
      <c r="G22">
        <v>1234</v>
      </c>
      <c r="H22">
        <v>150</v>
      </c>
      <c r="M22">
        <v>0.1</v>
      </c>
      <c r="N22" s="15">
        <v>0</v>
      </c>
      <c r="O22" s="15">
        <v>0</v>
      </c>
      <c r="P22" s="15">
        <v>0.9</v>
      </c>
      <c r="Q22" s="15">
        <v>0.5</v>
      </c>
      <c r="R22" s="15">
        <v>0.25</v>
      </c>
      <c r="S22" s="15">
        <v>0.25</v>
      </c>
      <c r="T22" s="15">
        <v>0</v>
      </c>
      <c r="U22" s="15">
        <v>0</v>
      </c>
      <c r="V22" s="15">
        <v>0.5</v>
      </c>
      <c r="W22" s="15">
        <v>0.25</v>
      </c>
      <c r="X22" s="15">
        <v>0.25</v>
      </c>
      <c r="Y22" s="15">
        <v>0</v>
      </c>
      <c r="Z22" s="15">
        <v>0</v>
      </c>
      <c r="AA22" s="15">
        <v>0.5</v>
      </c>
      <c r="AB22" s="15">
        <v>0.25</v>
      </c>
      <c r="AC22" s="15">
        <v>0.25</v>
      </c>
      <c r="AD22" s="15">
        <v>0</v>
      </c>
      <c r="AE22" s="15">
        <v>0</v>
      </c>
    </row>
    <row r="23" spans="1:31" s="11" customFormat="1" x14ac:dyDescent="0.2">
      <c r="A23" s="11" t="s">
        <v>79</v>
      </c>
      <c r="C23" s="11" t="s">
        <v>72</v>
      </c>
      <c r="D23" s="11" t="s">
        <v>75</v>
      </c>
      <c r="E23" s="11" t="b">
        <v>1</v>
      </c>
      <c r="F23" s="11" t="s">
        <v>11</v>
      </c>
      <c r="G23" s="11">
        <v>1234</v>
      </c>
      <c r="H23" s="11">
        <v>150</v>
      </c>
      <c r="M23" s="11">
        <v>0.1</v>
      </c>
      <c r="N23" s="11">
        <v>0</v>
      </c>
      <c r="O23" s="11">
        <v>0</v>
      </c>
      <c r="P23" s="11">
        <v>0.9</v>
      </c>
      <c r="Q23" s="16">
        <v>0.5</v>
      </c>
      <c r="R23" s="16">
        <v>0.25</v>
      </c>
      <c r="S23" s="16">
        <v>0.25</v>
      </c>
      <c r="T23" s="16">
        <v>0</v>
      </c>
      <c r="U23" s="16">
        <v>0</v>
      </c>
      <c r="V23" s="16">
        <v>0.5</v>
      </c>
      <c r="W23" s="16">
        <v>0.25</v>
      </c>
      <c r="X23" s="16">
        <v>0.25</v>
      </c>
      <c r="Y23" s="16">
        <v>0</v>
      </c>
      <c r="Z23" s="16">
        <v>0</v>
      </c>
      <c r="AA23" s="16">
        <v>0.5</v>
      </c>
      <c r="AB23" s="16">
        <v>0.25</v>
      </c>
      <c r="AC23" s="16">
        <v>0.25</v>
      </c>
      <c r="AD23" s="16">
        <v>0</v>
      </c>
      <c r="AE23" s="16">
        <v>0</v>
      </c>
    </row>
    <row r="25" spans="1:31" x14ac:dyDescent="0.2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</row>
    <row r="26" spans="1:31" x14ac:dyDescent="0.2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R26" s="14"/>
    </row>
    <row r="27" spans="1:31" x14ac:dyDescent="0.2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4"/>
      <c r="P27" s="15"/>
      <c r="R27" s="14"/>
    </row>
    <row r="28" spans="1:31" x14ac:dyDescent="0.2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4"/>
      <c r="P28" s="15"/>
      <c r="R28" s="14"/>
    </row>
    <row r="29" spans="1:31" x14ac:dyDescent="0.2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4"/>
      <c r="P29" s="15"/>
      <c r="R29" s="14"/>
    </row>
    <row r="30" spans="1:31" x14ac:dyDescent="0.2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4"/>
      <c r="P30" s="15"/>
      <c r="R30" s="14"/>
    </row>
    <row r="31" spans="1:31" x14ac:dyDescent="0.2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4"/>
      <c r="P31" s="15"/>
      <c r="R31" s="14"/>
    </row>
    <row r="32" spans="1:31" x14ac:dyDescent="0.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4"/>
      <c r="P32" s="15"/>
      <c r="R32" s="14"/>
    </row>
    <row r="33" spans="1:18" x14ac:dyDescent="0.2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4"/>
      <c r="P33" s="15"/>
      <c r="R33" s="14"/>
    </row>
    <row r="34" spans="1:18" x14ac:dyDescent="0.2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4"/>
      <c r="P34" s="15"/>
      <c r="R34" s="14"/>
    </row>
    <row r="35" spans="1:18" x14ac:dyDescent="0.2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4"/>
      <c r="P35" s="15"/>
      <c r="R35" s="14"/>
    </row>
    <row r="36" spans="1:18" x14ac:dyDescent="0.2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4"/>
      <c r="P36" s="15"/>
      <c r="R36" s="14"/>
    </row>
    <row r="37" spans="1:18" x14ac:dyDescent="0.2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R37" s="14"/>
    </row>
    <row r="38" spans="1:18" x14ac:dyDescent="0.2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R38" s="14"/>
    </row>
    <row r="39" spans="1:18" x14ac:dyDescent="0.2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R39" s="14"/>
    </row>
    <row r="40" spans="1:18" x14ac:dyDescent="0.2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R40" s="14"/>
    </row>
    <row r="41" spans="1:18" x14ac:dyDescent="0.2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</row>
    <row r="42" spans="1:18" x14ac:dyDescent="0.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</row>
    <row r="43" spans="1:18" x14ac:dyDescent="0.2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</row>
    <row r="44" spans="1:18" x14ac:dyDescent="0.2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</row>
    <row r="45" spans="1:18" x14ac:dyDescent="0.2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</row>
    <row r="46" spans="1:18" x14ac:dyDescent="0.2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</row>
    <row r="47" spans="1:18" x14ac:dyDescent="0.2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</row>
    <row r="48" spans="1:18" x14ac:dyDescent="0.2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</row>
    <row r="49" spans="1:16" x14ac:dyDescent="0.2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</row>
    <row r="50" spans="1:16" x14ac:dyDescent="0.2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</row>
    <row r="51" spans="1:16" x14ac:dyDescent="0.2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</row>
    <row r="52" spans="1:16" x14ac:dyDescent="0.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</row>
    <row r="53" spans="1:16" x14ac:dyDescent="0.2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</row>
    <row r="54" spans="1:16" x14ac:dyDescent="0.2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</row>
    <row r="55" spans="1:16" x14ac:dyDescent="0.2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</row>
    <row r="56" spans="1:16" x14ac:dyDescent="0.2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437CD-FBA0-EB46-AB0B-6A14664DDC76}">
  <dimension ref="A1:O39"/>
  <sheetViews>
    <sheetView workbookViewId="0">
      <selection activeCell="K2" sqref="K2"/>
    </sheetView>
  </sheetViews>
  <sheetFormatPr baseColWidth="10" defaultRowHeight="16" x14ac:dyDescent="0.2"/>
  <sheetData>
    <row r="1" spans="1:13" x14ac:dyDescent="0.2">
      <c r="A1" s="2" t="s">
        <v>8</v>
      </c>
      <c r="B1" s="2" t="s">
        <v>33</v>
      </c>
      <c r="C1" s="2" t="s">
        <v>12</v>
      </c>
      <c r="D1" s="2" t="s">
        <v>13</v>
      </c>
      <c r="E1" s="2" t="s">
        <v>14</v>
      </c>
      <c r="F1" s="2" t="s">
        <v>29</v>
      </c>
      <c r="G1" s="2" t="s">
        <v>50</v>
      </c>
      <c r="I1" s="2" t="s">
        <v>88</v>
      </c>
      <c r="J1" s="2" t="s">
        <v>111</v>
      </c>
      <c r="K1" s="2" t="s">
        <v>115</v>
      </c>
      <c r="L1" s="2" t="s">
        <v>120</v>
      </c>
      <c r="M1" s="2" t="s">
        <v>121</v>
      </c>
    </row>
    <row r="2" spans="1:13" x14ac:dyDescent="0.2">
      <c r="A2" t="s">
        <v>9</v>
      </c>
      <c r="B2">
        <v>8.5999999999999993E-2</v>
      </c>
      <c r="C2">
        <v>0.8</v>
      </c>
      <c r="D2">
        <v>0.19</v>
      </c>
      <c r="E2">
        <v>0.35</v>
      </c>
      <c r="F2">
        <v>0.18</v>
      </c>
      <c r="G2">
        <v>0.39</v>
      </c>
      <c r="I2">
        <v>0.6784</v>
      </c>
      <c r="J2">
        <f>44/28</f>
        <v>1.5714285714285714</v>
      </c>
      <c r="K2">
        <v>0.21</v>
      </c>
      <c r="L2">
        <v>1.0999999999999999E-2</v>
      </c>
      <c r="M2">
        <v>0.02</v>
      </c>
    </row>
    <row r="3" spans="1:13" x14ac:dyDescent="0.2">
      <c r="A3" t="s">
        <v>10</v>
      </c>
      <c r="B3">
        <v>9.2999999999999999E-2</v>
      </c>
      <c r="C3">
        <v>0.8</v>
      </c>
      <c r="D3">
        <v>0.23</v>
      </c>
      <c r="E3">
        <v>0.47</v>
      </c>
      <c r="F3">
        <v>0.15</v>
      </c>
      <c r="G3">
        <v>0.36</v>
      </c>
    </row>
    <row r="4" spans="1:13" x14ac:dyDescent="0.2">
      <c r="A4" t="s">
        <v>98</v>
      </c>
      <c r="B4">
        <v>0.10299999999999999</v>
      </c>
      <c r="C4">
        <v>0.8</v>
      </c>
      <c r="D4">
        <v>0.19</v>
      </c>
      <c r="E4">
        <v>0.32</v>
      </c>
      <c r="F4">
        <v>0.18</v>
      </c>
      <c r="G4">
        <v>0.36</v>
      </c>
      <c r="I4" t="s">
        <v>64</v>
      </c>
      <c r="J4" t="s">
        <v>76</v>
      </c>
    </row>
    <row r="5" spans="1:13" x14ac:dyDescent="0.2">
      <c r="A5" t="s">
        <v>11</v>
      </c>
      <c r="B5">
        <v>9.2999999999999999E-2</v>
      </c>
      <c r="C5">
        <v>0.8</v>
      </c>
      <c r="D5">
        <v>0.23</v>
      </c>
      <c r="E5">
        <v>0.47</v>
      </c>
      <c r="F5">
        <v>0.15</v>
      </c>
      <c r="G5">
        <v>0.36</v>
      </c>
      <c r="I5" t="s">
        <v>65</v>
      </c>
      <c r="J5">
        <v>6.0000000000000001E-3</v>
      </c>
    </row>
    <row r="6" spans="1:13" x14ac:dyDescent="0.2">
      <c r="I6" t="s">
        <v>75</v>
      </c>
      <c r="J6">
        <v>2E-3</v>
      </c>
    </row>
    <row r="7" spans="1:13" x14ac:dyDescent="0.2">
      <c r="F7" t="s">
        <v>85</v>
      </c>
    </row>
    <row r="8" spans="1:13" x14ac:dyDescent="0.2">
      <c r="A8" s="6" t="s">
        <v>27</v>
      </c>
      <c r="B8" s="7" t="s">
        <v>15</v>
      </c>
      <c r="C8" s="7" t="s">
        <v>23</v>
      </c>
      <c r="D8" s="7" t="s">
        <v>24</v>
      </c>
      <c r="E8" s="7" t="s">
        <v>89</v>
      </c>
      <c r="F8" s="3" t="s">
        <v>63</v>
      </c>
      <c r="G8" s="3" t="s">
        <v>77</v>
      </c>
      <c r="H8" s="3" t="s">
        <v>78</v>
      </c>
      <c r="I8" s="3" t="s">
        <v>79</v>
      </c>
      <c r="J8" s="3" t="s">
        <v>80</v>
      </c>
      <c r="K8" s="3" t="s">
        <v>81</v>
      </c>
      <c r="L8" s="3" t="s">
        <v>82</v>
      </c>
      <c r="M8" s="3" t="s">
        <v>83</v>
      </c>
    </row>
    <row r="9" spans="1:13" x14ac:dyDescent="0.2">
      <c r="A9" s="8">
        <v>10</v>
      </c>
      <c r="B9" s="9" t="s">
        <v>16</v>
      </c>
      <c r="C9" s="9">
        <v>0.3</v>
      </c>
      <c r="D9" s="9">
        <v>1E-3</v>
      </c>
      <c r="E9" s="9">
        <v>0.15</v>
      </c>
      <c r="F9" s="4">
        <v>1.4999999999999999E-2</v>
      </c>
      <c r="G9" s="4">
        <v>1.4999999999999999E-2</v>
      </c>
      <c r="H9" s="4">
        <v>1.4999999999999999E-2</v>
      </c>
      <c r="I9" s="4">
        <v>1.4999999999999999E-2</v>
      </c>
      <c r="J9" s="4">
        <v>1.4999999999999999E-2</v>
      </c>
      <c r="K9" s="4">
        <v>1.4999999999999999E-2</v>
      </c>
      <c r="L9" s="4">
        <v>1.4999999999999999E-2</v>
      </c>
      <c r="M9" s="4">
        <v>1.4999999999999999E-2</v>
      </c>
    </row>
    <row r="10" spans="1:13" x14ac:dyDescent="0.2">
      <c r="A10" s="8" t="s">
        <v>55</v>
      </c>
      <c r="B10" s="9" t="s">
        <v>17</v>
      </c>
      <c r="C10" s="9">
        <v>0.05</v>
      </c>
      <c r="D10" s="9">
        <v>1E-3</v>
      </c>
      <c r="E10" s="9">
        <v>0</v>
      </c>
      <c r="F10" s="4">
        <v>1.4999999999999999E-2</v>
      </c>
      <c r="G10" s="4">
        <v>1.4999999999999999E-2</v>
      </c>
      <c r="H10" s="4">
        <v>1.4999999999999999E-2</v>
      </c>
      <c r="I10" s="4">
        <v>1.4999999999999999E-2</v>
      </c>
      <c r="J10" s="4">
        <v>1.4999999999999999E-2</v>
      </c>
      <c r="K10" s="4">
        <v>1.4999999999999999E-2</v>
      </c>
      <c r="L10" s="4">
        <v>1.4999999999999999E-2</v>
      </c>
      <c r="M10" s="4">
        <v>1.4999999999999999E-2</v>
      </c>
    </row>
    <row r="11" spans="1:13" x14ac:dyDescent="0.2">
      <c r="A11" s="8" t="s">
        <v>56</v>
      </c>
      <c r="B11" s="9" t="s">
        <v>18</v>
      </c>
      <c r="C11" s="9">
        <v>0.4</v>
      </c>
      <c r="D11" s="9">
        <v>1E-3</v>
      </c>
      <c r="E11" s="9">
        <v>0.2</v>
      </c>
      <c r="F11" s="4">
        <v>1.4999999999999999E-2</v>
      </c>
      <c r="G11" s="4">
        <v>1.4999999999999999E-2</v>
      </c>
      <c r="H11" s="4">
        <v>1.4999999999999999E-2</v>
      </c>
      <c r="I11" s="4">
        <v>1.4999999999999999E-2</v>
      </c>
      <c r="J11" s="4">
        <v>1.4999999999999999E-2</v>
      </c>
      <c r="K11" s="4">
        <v>1.4999999999999999E-2</v>
      </c>
      <c r="L11" s="4">
        <v>1.4999999999999999E-2</v>
      </c>
      <c r="M11" s="4">
        <v>1.4999999999999999E-2</v>
      </c>
    </row>
    <row r="12" spans="1:13" x14ac:dyDescent="0.2">
      <c r="A12" s="8">
        <v>4</v>
      </c>
      <c r="B12" s="9" t="s">
        <v>19</v>
      </c>
      <c r="C12" s="9">
        <v>0.2</v>
      </c>
      <c r="D12" s="9">
        <v>5.0000000000000001E-3</v>
      </c>
      <c r="E12" s="9" t="s">
        <v>84</v>
      </c>
      <c r="F12" s="4">
        <v>0.02</v>
      </c>
      <c r="G12" s="4">
        <v>0.02</v>
      </c>
      <c r="H12" s="4">
        <v>0.02</v>
      </c>
      <c r="I12" s="4">
        <v>0.02</v>
      </c>
      <c r="J12" s="4">
        <v>0.02</v>
      </c>
      <c r="K12" s="4">
        <v>0.02</v>
      </c>
      <c r="L12" s="4">
        <v>0.02</v>
      </c>
      <c r="M12" s="4">
        <v>0.02</v>
      </c>
    </row>
    <row r="13" spans="1:13" x14ac:dyDescent="0.2">
      <c r="A13" s="8">
        <v>6</v>
      </c>
      <c r="B13" s="9" t="s">
        <v>20</v>
      </c>
      <c r="C13" s="9">
        <v>0.2</v>
      </c>
      <c r="D13" s="9">
        <v>0.01</v>
      </c>
      <c r="E13" s="9" t="s">
        <v>84</v>
      </c>
      <c r="F13" s="4">
        <v>0.01</v>
      </c>
      <c r="G13" s="4">
        <v>0.01</v>
      </c>
      <c r="H13" s="4">
        <v>0.01</v>
      </c>
      <c r="I13" s="4">
        <v>0.01</v>
      </c>
      <c r="J13" s="4">
        <v>0.01</v>
      </c>
      <c r="K13" s="4">
        <v>0.01</v>
      </c>
      <c r="L13" s="4">
        <v>0.01</v>
      </c>
      <c r="M13" s="4">
        <v>5.0000000000000001E-3</v>
      </c>
    </row>
    <row r="14" spans="1:13" x14ac:dyDescent="0.2">
      <c r="A14" s="8">
        <v>12</v>
      </c>
      <c r="B14" s="9" t="s">
        <v>21</v>
      </c>
      <c r="C14" s="9">
        <v>0</v>
      </c>
      <c r="D14" s="9">
        <v>0</v>
      </c>
      <c r="E14" s="9" t="s">
        <v>84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</row>
    <row r="15" spans="1:13" x14ac:dyDescent="0.2">
      <c r="A15" s="8">
        <v>7</v>
      </c>
      <c r="B15" s="9" t="s">
        <v>22</v>
      </c>
      <c r="C15" s="9">
        <v>0</v>
      </c>
      <c r="D15" s="9">
        <v>0</v>
      </c>
      <c r="E15" s="9" t="s">
        <v>84</v>
      </c>
      <c r="F15" s="4">
        <v>0.1</v>
      </c>
      <c r="G15" s="4">
        <v>0.1</v>
      </c>
      <c r="H15" s="4">
        <v>0.1</v>
      </c>
      <c r="I15" s="4">
        <v>0.1</v>
      </c>
      <c r="J15" s="4">
        <v>0.1</v>
      </c>
      <c r="K15" s="4">
        <v>0.1</v>
      </c>
      <c r="L15" s="4">
        <v>0.1</v>
      </c>
      <c r="M15" s="4">
        <v>0.1</v>
      </c>
    </row>
    <row r="16" spans="1:13" x14ac:dyDescent="0.2">
      <c r="A16" s="8">
        <v>14</v>
      </c>
      <c r="B16" s="9" t="s">
        <v>40</v>
      </c>
      <c r="C16" s="9" t="s">
        <v>84</v>
      </c>
      <c r="D16" s="9">
        <v>0.02</v>
      </c>
      <c r="E16" s="9" t="s">
        <v>84</v>
      </c>
      <c r="F16" s="4">
        <v>0.01</v>
      </c>
      <c r="G16" s="4">
        <v>0.01</v>
      </c>
      <c r="H16" s="4">
        <v>0.03</v>
      </c>
      <c r="I16" s="4">
        <v>0.03</v>
      </c>
      <c r="J16" s="4">
        <v>0.01</v>
      </c>
      <c r="K16" s="4">
        <v>0.01</v>
      </c>
      <c r="L16" s="4">
        <v>0.01</v>
      </c>
      <c r="M16" s="4">
        <v>0.01</v>
      </c>
    </row>
    <row r="17" spans="1:15" x14ac:dyDescent="0.2">
      <c r="A17" s="8">
        <v>13</v>
      </c>
      <c r="B17" s="9" t="s">
        <v>41</v>
      </c>
      <c r="C17" s="9" t="s">
        <v>84</v>
      </c>
      <c r="D17" s="9" t="s">
        <v>84</v>
      </c>
      <c r="E17" s="9" t="s">
        <v>84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</row>
    <row r="19" spans="1:15" x14ac:dyDescent="0.2">
      <c r="A19" s="2" t="s">
        <v>42</v>
      </c>
      <c r="B19" s="2" t="s">
        <v>74</v>
      </c>
      <c r="D19" t="s">
        <v>126</v>
      </c>
    </row>
    <row r="20" spans="1:15" x14ac:dyDescent="0.2">
      <c r="A20" t="s">
        <v>73</v>
      </c>
      <c r="B20">
        <v>1.8E-3</v>
      </c>
      <c r="D20" s="2" t="s">
        <v>43</v>
      </c>
      <c r="E20" s="2" t="s">
        <v>16</v>
      </c>
      <c r="F20" s="2" t="s">
        <v>17</v>
      </c>
      <c r="G20" s="2" t="s">
        <v>18</v>
      </c>
      <c r="H20" s="2" t="s">
        <v>19</v>
      </c>
      <c r="I20" s="2" t="s">
        <v>20</v>
      </c>
      <c r="J20" s="2" t="s">
        <v>22</v>
      </c>
      <c r="K20" s="2" t="s">
        <v>21</v>
      </c>
      <c r="L20" s="2" t="s">
        <v>41</v>
      </c>
      <c r="N20" s="2"/>
      <c r="O20" s="2"/>
    </row>
    <row r="21" spans="1:15" x14ac:dyDescent="0.2">
      <c r="A21" t="s">
        <v>69</v>
      </c>
      <c r="B21">
        <v>5.8999999999999999E-3</v>
      </c>
      <c r="D21" s="9" t="s">
        <v>127</v>
      </c>
      <c r="E21">
        <v>1.4999999999999999E-2</v>
      </c>
      <c r="F21">
        <v>1.4999999999999999E-2</v>
      </c>
      <c r="G21">
        <v>1.4999999999999999E-2</v>
      </c>
      <c r="H21">
        <v>0.02</v>
      </c>
      <c r="I21">
        <v>5.0000000000000001E-3</v>
      </c>
      <c r="J21">
        <v>0.1</v>
      </c>
      <c r="K21">
        <v>0</v>
      </c>
      <c r="L21">
        <v>0</v>
      </c>
    </row>
    <row r="22" spans="1:15" x14ac:dyDescent="0.2">
      <c r="A22" t="s">
        <v>70</v>
      </c>
      <c r="B22">
        <v>7.0000000000000001E-3</v>
      </c>
      <c r="D22" s="9">
        <v>11</v>
      </c>
      <c r="E22">
        <v>1.4999999999999999E-2</v>
      </c>
      <c r="F22">
        <v>1.4999999999999999E-2</v>
      </c>
      <c r="G22">
        <v>1.4999999999999999E-2</v>
      </c>
      <c r="H22">
        <v>0.02</v>
      </c>
      <c r="I22">
        <v>5.0000000000000001E-3</v>
      </c>
      <c r="J22">
        <v>0.1</v>
      </c>
      <c r="K22">
        <v>0</v>
      </c>
      <c r="L22">
        <v>0</v>
      </c>
    </row>
    <row r="23" spans="1:15" x14ac:dyDescent="0.2">
      <c r="A23" t="s">
        <v>71</v>
      </c>
      <c r="B23">
        <v>2.8999999999999998E-3</v>
      </c>
      <c r="D23" s="9">
        <v>12</v>
      </c>
      <c r="E23">
        <v>1.4999999999999999E-2</v>
      </c>
      <c r="F23">
        <v>1.4999999999999999E-2</v>
      </c>
      <c r="G23">
        <v>1.4999999999999999E-2</v>
      </c>
      <c r="H23">
        <v>0.02</v>
      </c>
      <c r="I23">
        <v>5.0000000000000001E-3</v>
      </c>
      <c r="J23">
        <v>0.1</v>
      </c>
      <c r="K23">
        <v>0</v>
      </c>
      <c r="L23">
        <v>0</v>
      </c>
    </row>
    <row r="24" spans="1:15" x14ac:dyDescent="0.2">
      <c r="A24" t="s">
        <v>72</v>
      </c>
      <c r="B24">
        <v>8.0000000000000002E-3</v>
      </c>
      <c r="D24" s="9">
        <v>13</v>
      </c>
      <c r="E24">
        <v>1.4999999999999999E-2</v>
      </c>
      <c r="F24">
        <v>1.4999999999999999E-2</v>
      </c>
      <c r="G24">
        <v>1.4999999999999999E-2</v>
      </c>
      <c r="H24">
        <v>0.02</v>
      </c>
      <c r="I24">
        <v>5.0000000000000001E-3</v>
      </c>
      <c r="J24">
        <v>0.1</v>
      </c>
      <c r="K24">
        <v>0</v>
      </c>
      <c r="L24">
        <v>0</v>
      </c>
    </row>
    <row r="25" spans="1:15" x14ac:dyDescent="0.2">
      <c r="D25" s="9">
        <v>14</v>
      </c>
      <c r="E25">
        <v>1.4999999999999999E-2</v>
      </c>
      <c r="F25">
        <v>1.4999999999999999E-2</v>
      </c>
      <c r="G25">
        <v>1.4999999999999999E-2</v>
      </c>
      <c r="H25">
        <v>0.02</v>
      </c>
      <c r="I25">
        <v>0.01</v>
      </c>
      <c r="J25">
        <v>0.1</v>
      </c>
      <c r="K25">
        <v>0</v>
      </c>
      <c r="L25">
        <v>0</v>
      </c>
    </row>
    <row r="26" spans="1:15" x14ac:dyDescent="0.2">
      <c r="A26" s="2" t="s">
        <v>64</v>
      </c>
      <c r="B26" s="2" t="s">
        <v>76</v>
      </c>
      <c r="D26" s="1">
        <v>15</v>
      </c>
      <c r="E26">
        <v>1.4999999999999999E-2</v>
      </c>
      <c r="F26">
        <v>1.4999999999999999E-2</v>
      </c>
      <c r="G26">
        <v>1.4999999999999999E-2</v>
      </c>
      <c r="H26">
        <v>0.02</v>
      </c>
      <c r="I26">
        <v>0.01</v>
      </c>
      <c r="J26">
        <v>0.1</v>
      </c>
      <c r="K26">
        <v>0</v>
      </c>
      <c r="L26">
        <v>0</v>
      </c>
    </row>
    <row r="27" spans="1:15" x14ac:dyDescent="0.2">
      <c r="A27" t="s">
        <v>65</v>
      </c>
      <c r="B27">
        <v>6.0000000000000001E-3</v>
      </c>
      <c r="D27" s="1">
        <v>16</v>
      </c>
      <c r="E27">
        <v>1.4999999999999999E-2</v>
      </c>
      <c r="F27">
        <v>1.4999999999999999E-2</v>
      </c>
      <c r="G27">
        <v>1.4999999999999999E-2</v>
      </c>
      <c r="H27">
        <v>0.02</v>
      </c>
      <c r="I27">
        <v>0.01</v>
      </c>
      <c r="J27">
        <v>0.1</v>
      </c>
      <c r="K27">
        <v>0</v>
      </c>
      <c r="L27">
        <v>0</v>
      </c>
    </row>
    <row r="28" spans="1:15" x14ac:dyDescent="0.2">
      <c r="A28" t="s">
        <v>75</v>
      </c>
      <c r="B28">
        <v>2E-3</v>
      </c>
      <c r="D28" s="1">
        <v>17</v>
      </c>
      <c r="E28">
        <v>1.4999999999999999E-2</v>
      </c>
      <c r="F28">
        <v>1.4999999999999999E-2</v>
      </c>
      <c r="G28">
        <v>1.4999999999999999E-2</v>
      </c>
      <c r="H28">
        <v>0.02</v>
      </c>
      <c r="I28">
        <v>0.01</v>
      </c>
      <c r="J28">
        <v>0.1</v>
      </c>
      <c r="K28">
        <v>0</v>
      </c>
      <c r="L28">
        <v>0</v>
      </c>
    </row>
    <row r="29" spans="1:15" x14ac:dyDescent="0.2">
      <c r="D29" s="1">
        <v>18</v>
      </c>
      <c r="E29">
        <v>1.4999999999999999E-2</v>
      </c>
      <c r="F29">
        <v>1.4999999999999999E-2</v>
      </c>
      <c r="G29">
        <v>1.4999999999999999E-2</v>
      </c>
      <c r="H29">
        <v>0.02</v>
      </c>
      <c r="I29">
        <v>0.01</v>
      </c>
      <c r="J29">
        <v>0.1</v>
      </c>
      <c r="K29">
        <v>0</v>
      </c>
      <c r="L29">
        <v>0</v>
      </c>
    </row>
    <row r="30" spans="1:15" x14ac:dyDescent="0.2">
      <c r="D30" s="1">
        <v>19</v>
      </c>
      <c r="E30">
        <v>1.4999999999999999E-2</v>
      </c>
      <c r="F30">
        <v>1.4999999999999999E-2</v>
      </c>
      <c r="G30">
        <v>1.4999999999999999E-2</v>
      </c>
      <c r="H30">
        <v>0.02</v>
      </c>
      <c r="I30">
        <v>0.01</v>
      </c>
      <c r="J30">
        <v>0.1</v>
      </c>
      <c r="K30">
        <v>0</v>
      </c>
      <c r="L30">
        <v>0</v>
      </c>
    </row>
    <row r="31" spans="1:15" x14ac:dyDescent="0.2">
      <c r="D31" s="1">
        <v>20</v>
      </c>
      <c r="E31">
        <v>1.4999999999999999E-2</v>
      </c>
      <c r="F31">
        <v>1.4999999999999999E-2</v>
      </c>
      <c r="G31">
        <v>1.4999999999999999E-2</v>
      </c>
      <c r="H31">
        <v>0.02</v>
      </c>
      <c r="I31">
        <v>0.01</v>
      </c>
      <c r="J31">
        <v>0.1</v>
      </c>
      <c r="K31">
        <v>0</v>
      </c>
      <c r="L31">
        <v>0</v>
      </c>
    </row>
    <row r="32" spans="1:15" x14ac:dyDescent="0.2">
      <c r="D32" s="1">
        <v>21</v>
      </c>
      <c r="E32">
        <v>1.4999999999999999E-2</v>
      </c>
      <c r="F32">
        <v>1.4999999999999999E-2</v>
      </c>
      <c r="G32">
        <v>1.4999999999999999E-2</v>
      </c>
      <c r="H32">
        <v>0.02</v>
      </c>
      <c r="I32">
        <v>0.01</v>
      </c>
      <c r="J32">
        <v>0.1</v>
      </c>
      <c r="K32">
        <v>0</v>
      </c>
      <c r="L32">
        <v>0</v>
      </c>
    </row>
    <row r="33" spans="4:12" x14ac:dyDescent="0.2">
      <c r="D33" s="1">
        <v>22</v>
      </c>
      <c r="E33">
        <v>1.4999999999999999E-2</v>
      </c>
      <c r="F33">
        <v>1.4999999999999999E-2</v>
      </c>
      <c r="G33">
        <v>1.4999999999999999E-2</v>
      </c>
      <c r="H33">
        <v>0.02</v>
      </c>
      <c r="I33">
        <v>0.01</v>
      </c>
      <c r="J33">
        <v>0.1</v>
      </c>
      <c r="K33">
        <v>0</v>
      </c>
      <c r="L33">
        <v>0</v>
      </c>
    </row>
    <row r="34" spans="4:12" x14ac:dyDescent="0.2">
      <c r="D34" s="1">
        <v>23</v>
      </c>
      <c r="E34">
        <v>1.4999999999999999E-2</v>
      </c>
      <c r="F34">
        <v>1.4999999999999999E-2</v>
      </c>
      <c r="G34">
        <v>1.4999999999999999E-2</v>
      </c>
      <c r="H34">
        <v>0.02</v>
      </c>
      <c r="I34">
        <v>0.01</v>
      </c>
      <c r="J34">
        <v>0.1</v>
      </c>
      <c r="K34">
        <v>0</v>
      </c>
      <c r="L34">
        <v>0</v>
      </c>
    </row>
    <row r="35" spans="4:12" x14ac:dyDescent="0.2">
      <c r="D35" s="1">
        <v>24</v>
      </c>
      <c r="E35">
        <v>1.4999999999999999E-2</v>
      </c>
      <c r="F35">
        <v>1.4999999999999999E-2</v>
      </c>
      <c r="G35">
        <v>1.4999999999999999E-2</v>
      </c>
      <c r="H35">
        <v>0.02</v>
      </c>
      <c r="I35">
        <v>0.01</v>
      </c>
      <c r="J35">
        <v>0.1</v>
      </c>
      <c r="K35">
        <v>0</v>
      </c>
      <c r="L35">
        <v>0</v>
      </c>
    </row>
    <row r="36" spans="4:12" x14ac:dyDescent="0.2">
      <c r="D36" s="1">
        <v>25</v>
      </c>
      <c r="E36">
        <v>1.4999999999999999E-2</v>
      </c>
      <c r="F36">
        <v>1.4999999999999999E-2</v>
      </c>
      <c r="G36">
        <v>1.4999999999999999E-2</v>
      </c>
      <c r="H36">
        <v>0.02</v>
      </c>
      <c r="I36">
        <v>0.01</v>
      </c>
      <c r="J36">
        <v>0.1</v>
      </c>
      <c r="K36">
        <v>0</v>
      </c>
      <c r="L36">
        <v>0</v>
      </c>
    </row>
    <row r="37" spans="4:12" x14ac:dyDescent="0.2">
      <c r="D37" s="13">
        <v>26</v>
      </c>
      <c r="E37">
        <v>1.4999999999999999E-2</v>
      </c>
      <c r="F37">
        <v>1.4999999999999999E-2</v>
      </c>
      <c r="G37">
        <v>1.4999999999999999E-2</v>
      </c>
      <c r="H37">
        <v>0.02</v>
      </c>
      <c r="I37">
        <v>1.4999999999999999E-2</v>
      </c>
      <c r="J37">
        <v>0.1</v>
      </c>
      <c r="K37">
        <v>0</v>
      </c>
      <c r="L37">
        <v>0</v>
      </c>
    </row>
    <row r="38" spans="4:12" x14ac:dyDescent="0.2">
      <c r="D38" s="13">
        <v>27</v>
      </c>
      <c r="E38">
        <v>1.4999999999999999E-2</v>
      </c>
      <c r="F38">
        <v>1.4999999999999999E-2</v>
      </c>
      <c r="G38">
        <v>1.4999999999999999E-2</v>
      </c>
      <c r="H38">
        <v>0.02</v>
      </c>
      <c r="I38">
        <v>1.4999999999999999E-2</v>
      </c>
      <c r="J38">
        <v>0.1</v>
      </c>
      <c r="K38">
        <v>0</v>
      </c>
      <c r="L38">
        <v>0</v>
      </c>
    </row>
    <row r="39" spans="4:12" x14ac:dyDescent="0.2">
      <c r="D39" s="13" t="s">
        <v>128</v>
      </c>
      <c r="E39">
        <v>1.4999999999999999E-2</v>
      </c>
      <c r="F39">
        <v>1.4999999999999999E-2</v>
      </c>
      <c r="G39">
        <v>1.4999999999999999E-2</v>
      </c>
      <c r="H39">
        <v>0.02</v>
      </c>
      <c r="I39">
        <v>1.4999999999999999E-2</v>
      </c>
      <c r="J39">
        <v>0.1</v>
      </c>
      <c r="K39">
        <v>0</v>
      </c>
      <c r="L3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4.6.1.1</vt:lpstr>
      <vt:lpstr>4.6.1.3</vt:lpstr>
      <vt:lpstr>4.6.1.5</vt:lpstr>
      <vt:lpstr>4.6.1.7</vt:lpstr>
      <vt:lpstr>Input Scenarios (old)</vt:lpstr>
      <vt:lpstr>Input Scenarios</vt:lpstr>
      <vt:lpstr>Constants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2026-05-12T23:42:11Z</dcterms:created>
  <dcterms:modified xsi:type="dcterms:W3CDTF">2026-06-15T05:36:41Z</dcterms:modified>
</cp:coreProperties>
</file>