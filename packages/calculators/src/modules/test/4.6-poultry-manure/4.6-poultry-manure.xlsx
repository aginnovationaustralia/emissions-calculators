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xr:revisionPtr revIDLastSave="0" documentId="13_ncr:1_{837CB1E4-B72B-D34F-8BA8-52541F817BAB}" xr6:coauthVersionLast="47" xr6:coauthVersionMax="47" xr10:uidLastSave="{00000000-0000-0000-0000-000000000000}"/>
  <bookViews>
    <workbookView xWindow="0" yWindow="660" windowWidth="28800" windowHeight="15940" activeTab="9" xr2:uid="{00000000-000D-0000-FFFF-FFFF00000000}"/>
  </bookViews>
  <sheets>
    <sheet name="4.6.1.1" sheetId="5" r:id="rId1"/>
    <sheet name="4.6.1.2" sheetId="9" r:id="rId2"/>
    <sheet name="4.6.1.3" sheetId="1" r:id="rId3"/>
    <sheet name="4.6.1.4" sheetId="10" r:id="rId4"/>
    <sheet name="4.6.1.5" sheetId="6" r:id="rId5"/>
    <sheet name="4.6.1.6" sheetId="11" r:id="rId6"/>
    <sheet name="4.6.1.7" sheetId="7" r:id="rId7"/>
    <sheet name="4.6.1.8" sheetId="12" r:id="rId8"/>
    <sheet name="Input Scenarios" sheetId="8" r:id="rId9"/>
    <sheet name="Constants" sheetId="2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BS15" i="9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BJ25" i="12" s="1"/>
  <c r="BO25" i="12" s="1"/>
  <c r="D25" i="12"/>
  <c r="C25" i="12"/>
  <c r="B25" i="12"/>
  <c r="A25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AY24" i="12" s="1"/>
  <c r="H24" i="12"/>
  <c r="G24" i="12"/>
  <c r="F24" i="12"/>
  <c r="E24" i="12"/>
  <c r="D24" i="12"/>
  <c r="C24" i="12"/>
  <c r="B24" i="12"/>
  <c r="A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AF23" i="12" s="1"/>
  <c r="E23" i="12"/>
  <c r="D23" i="12"/>
  <c r="C23" i="12"/>
  <c r="B23" i="12"/>
  <c r="A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AY21" i="12" s="1"/>
  <c r="AZ21" i="12" s="1"/>
  <c r="BA21" i="12" s="1"/>
  <c r="H21" i="12"/>
  <c r="G21" i="12"/>
  <c r="F21" i="12"/>
  <c r="E21" i="12"/>
  <c r="BJ21" i="12" s="1"/>
  <c r="BO21" i="12" s="1"/>
  <c r="D21" i="12"/>
  <c r="C21" i="12"/>
  <c r="B21" i="12"/>
  <c r="A21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AY18" i="12" s="1"/>
  <c r="AZ18" i="12" s="1"/>
  <c r="BA18" i="12" s="1"/>
  <c r="H18" i="12"/>
  <c r="G18" i="12"/>
  <c r="F18" i="12"/>
  <c r="AF18" i="12" s="1"/>
  <c r="E18" i="12"/>
  <c r="D18" i="12"/>
  <c r="C18" i="12"/>
  <c r="B18" i="12"/>
  <c r="A18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BJ17" i="12" s="1"/>
  <c r="BO17" i="12" s="1"/>
  <c r="D17" i="12"/>
  <c r="C17" i="12"/>
  <c r="B17" i="12"/>
  <c r="A17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AY13" i="12" s="1"/>
  <c r="AZ13" i="12" s="1"/>
  <c r="BA13" i="12" s="1"/>
  <c r="H13" i="12"/>
  <c r="G13" i="12"/>
  <c r="F13" i="12"/>
  <c r="E13" i="12"/>
  <c r="D13" i="12"/>
  <c r="C13" i="12"/>
  <c r="B13" i="12"/>
  <c r="A13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AY12" i="12" s="1"/>
  <c r="J12" i="12"/>
  <c r="I12" i="12"/>
  <c r="H12" i="12"/>
  <c r="G12" i="12"/>
  <c r="F12" i="12"/>
  <c r="E12" i="12"/>
  <c r="D12" i="12"/>
  <c r="C12" i="12"/>
  <c r="B12" i="12"/>
  <c r="A12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BN26" i="12"/>
  <c r="BK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BJ26" i="12"/>
  <c r="BN25" i="12"/>
  <c r="BK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BN24" i="12"/>
  <c r="BK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BJ24" i="12"/>
  <c r="BN23" i="12"/>
  <c r="BK23" i="12"/>
  <c r="BJ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BN22" i="12"/>
  <c r="BK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BJ22" i="12"/>
  <c r="BN21" i="12"/>
  <c r="BK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BN20" i="12"/>
  <c r="BK20" i="12"/>
  <c r="BJ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BN19" i="12"/>
  <c r="BK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BJ19" i="12"/>
  <c r="BN18" i="12"/>
  <c r="BK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BJ18" i="12"/>
  <c r="BO18" i="12" s="1"/>
  <c r="BN17" i="12"/>
  <c r="BK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BN16" i="12"/>
  <c r="BK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Y16" i="12"/>
  <c r="AZ16" i="12" s="1"/>
  <c r="BA16" i="12" s="1"/>
  <c r="BJ16" i="12"/>
  <c r="BO16" i="12" s="1"/>
  <c r="BN15" i="12"/>
  <c r="BK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Y15" i="12"/>
  <c r="BJ15" i="12"/>
  <c r="BO15" i="12" s="1"/>
  <c r="BN14" i="12"/>
  <c r="BK14" i="12"/>
  <c r="BJ14" i="12"/>
  <c r="BO14" i="12" s="1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BN13" i="12"/>
  <c r="BK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BJ13" i="12"/>
  <c r="BO13" i="12" s="1"/>
  <c r="BN12" i="12"/>
  <c r="BK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BJ12" i="12"/>
  <c r="BO12" i="12" s="1"/>
  <c r="BN11" i="12"/>
  <c r="BK11" i="12"/>
  <c r="BJ11" i="12"/>
  <c r="BO11" i="12" s="1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AY26" i="11" s="1"/>
  <c r="AZ26" i="11" s="1"/>
  <c r="H26" i="11"/>
  <c r="G26" i="11"/>
  <c r="F26" i="11"/>
  <c r="E26" i="11"/>
  <c r="D26" i="11"/>
  <c r="C26" i="11"/>
  <c r="BX26" i="11" s="1"/>
  <c r="B26" i="11"/>
  <c r="A26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X20" i="11" s="1"/>
  <c r="B20" i="11"/>
  <c r="A20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X19" i="11" s="1"/>
  <c r="B19" i="11"/>
  <c r="A19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AY18" i="11" s="1"/>
  <c r="AZ18" i="11" s="1"/>
  <c r="BA18" i="11" s="1"/>
  <c r="H18" i="11"/>
  <c r="G18" i="11"/>
  <c r="F18" i="11"/>
  <c r="E18" i="11"/>
  <c r="D18" i="11"/>
  <c r="C18" i="11"/>
  <c r="B18" i="11"/>
  <c r="A18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X12" i="11" s="1"/>
  <c r="B12" i="11"/>
  <c r="A12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X11" i="11" s="1"/>
  <c r="B11" i="11"/>
  <c r="A11" i="11"/>
  <c r="BX21" i="11"/>
  <c r="BX18" i="11"/>
  <c r="BX17" i="11"/>
  <c r="BX13" i="11"/>
  <c r="BX30" i="11"/>
  <c r="BU30" i="11"/>
  <c r="BZ30" i="11" s="1"/>
  <c r="BT30" i="11"/>
  <c r="BS30" i="11"/>
  <c r="BZ29" i="11"/>
  <c r="BX29" i="11"/>
  <c r="BU29" i="11"/>
  <c r="BY29" i="11" s="1"/>
  <c r="BT29" i="11"/>
  <c r="BS29" i="11"/>
  <c r="BZ28" i="11"/>
  <c r="BY28" i="11"/>
  <c r="BX28" i="11"/>
  <c r="BU28" i="11"/>
  <c r="BT28" i="11"/>
  <c r="BS28" i="11"/>
  <c r="BX27" i="11"/>
  <c r="BU27" i="11"/>
  <c r="BZ27" i="11" s="1"/>
  <c r="BT27" i="11"/>
  <c r="BS27" i="11"/>
  <c r="BV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BV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Y25" i="11"/>
  <c r="AZ25" i="11" s="1"/>
  <c r="BX25" i="11"/>
  <c r="BV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BX24" i="11"/>
  <c r="BV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BX23" i="11"/>
  <c r="BV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BX22" i="11"/>
  <c r="BV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BV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BV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BV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BV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BV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BX16" i="11"/>
  <c r="BV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BX15" i="11"/>
  <c r="BV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BX14" i="11"/>
  <c r="BV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BV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BV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BN26" i="10" s="1"/>
  <c r="C26" i="10"/>
  <c r="B26" i="10"/>
  <c r="A26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F24" i="10" s="1"/>
  <c r="E24" i="10"/>
  <c r="D24" i="10"/>
  <c r="C24" i="10"/>
  <c r="B24" i="10"/>
  <c r="A24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BN22" i="10" s="1"/>
  <c r="C22" i="10"/>
  <c r="B22" i="10"/>
  <c r="A22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AY21" i="10" s="1"/>
  <c r="AZ21" i="10" s="1"/>
  <c r="J21" i="10"/>
  <c r="I21" i="10"/>
  <c r="H21" i="10"/>
  <c r="G21" i="10"/>
  <c r="F21" i="10"/>
  <c r="AF21" i="10" s="1"/>
  <c r="E21" i="10"/>
  <c r="D21" i="10"/>
  <c r="C21" i="10"/>
  <c r="B21" i="10"/>
  <c r="A21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BN20" i="10" s="1"/>
  <c r="C20" i="10"/>
  <c r="B20" i="10"/>
  <c r="A20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AY18" i="10" s="1"/>
  <c r="AZ18" i="10" s="1"/>
  <c r="J18" i="10"/>
  <c r="I18" i="10"/>
  <c r="H18" i="10"/>
  <c r="G18" i="10"/>
  <c r="F18" i="10"/>
  <c r="E18" i="10"/>
  <c r="D18" i="10"/>
  <c r="BN18" i="10" s="1"/>
  <c r="C18" i="10"/>
  <c r="B18" i="10"/>
  <c r="A18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BN14" i="10" s="1"/>
  <c r="C14" i="10"/>
  <c r="B14" i="10"/>
  <c r="A14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AY13" i="10" s="1"/>
  <c r="J13" i="10"/>
  <c r="I13" i="10"/>
  <c r="H13" i="10"/>
  <c r="G13" i="10"/>
  <c r="F13" i="10"/>
  <c r="E13" i="10"/>
  <c r="D13" i="10"/>
  <c r="C13" i="10"/>
  <c r="B13" i="10"/>
  <c r="A13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AF12" i="10" s="1"/>
  <c r="E12" i="10"/>
  <c r="D12" i="10"/>
  <c r="C12" i="10"/>
  <c r="B12" i="10"/>
  <c r="A12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BO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BO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BN25" i="10"/>
  <c r="BO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Y24" i="10"/>
  <c r="AZ24" i="10" s="1"/>
  <c r="BA24" i="10" s="1"/>
  <c r="BN24" i="10"/>
  <c r="BO23" i="10"/>
  <c r="BN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BO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BO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BN21" i="10"/>
  <c r="BO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BO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BN19" i="10"/>
  <c r="BO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BO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BN17" i="10"/>
  <c r="BO16" i="10"/>
  <c r="BN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BO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Y15" i="10"/>
  <c r="AZ15" i="10" s="1"/>
  <c r="BN15" i="10"/>
  <c r="BO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BO13" i="10"/>
  <c r="BN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BO12" i="10"/>
  <c r="BN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Y12" i="10"/>
  <c r="BO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BN11" i="10"/>
  <c r="AV12" i="9"/>
  <c r="AW12" i="9"/>
  <c r="AX12" i="9"/>
  <c r="AY12" i="9"/>
  <c r="AZ12" i="9"/>
  <c r="AV13" i="9"/>
  <c r="AW13" i="9"/>
  <c r="AX13" i="9"/>
  <c r="AY13" i="9"/>
  <c r="AZ13" i="9"/>
  <c r="AV14" i="9"/>
  <c r="AW14" i="9"/>
  <c r="AX14" i="9"/>
  <c r="AY14" i="9"/>
  <c r="AZ14" i="9"/>
  <c r="AV15" i="9"/>
  <c r="AW15" i="9"/>
  <c r="AX15" i="9"/>
  <c r="AY15" i="9"/>
  <c r="AZ15" i="9"/>
  <c r="AV16" i="9"/>
  <c r="AW16" i="9"/>
  <c r="AX16" i="9"/>
  <c r="AY16" i="9"/>
  <c r="AZ16" i="9"/>
  <c r="AV17" i="9"/>
  <c r="AW17" i="9"/>
  <c r="AX17" i="9"/>
  <c r="AY17" i="9"/>
  <c r="AZ17" i="9"/>
  <c r="AV18" i="9"/>
  <c r="AW18" i="9"/>
  <c r="AX18" i="9"/>
  <c r="AY18" i="9"/>
  <c r="AZ18" i="9"/>
  <c r="AV19" i="9"/>
  <c r="AW19" i="9"/>
  <c r="AX19" i="9"/>
  <c r="AY19" i="9"/>
  <c r="AZ19" i="9"/>
  <c r="AV20" i="9"/>
  <c r="AW20" i="9"/>
  <c r="AX20" i="9"/>
  <c r="AY20" i="9"/>
  <c r="AZ20" i="9"/>
  <c r="AV21" i="9"/>
  <c r="AW21" i="9"/>
  <c r="AX21" i="9"/>
  <c r="AY21" i="9"/>
  <c r="AZ21" i="9"/>
  <c r="AV22" i="9"/>
  <c r="AW22" i="9"/>
  <c r="AX22" i="9"/>
  <c r="AY22" i="9"/>
  <c r="AZ22" i="9"/>
  <c r="AV23" i="9"/>
  <c r="AW23" i="9"/>
  <c r="AX23" i="9"/>
  <c r="AY23" i="9"/>
  <c r="AZ23" i="9"/>
  <c r="AV24" i="9"/>
  <c r="AW24" i="9"/>
  <c r="AX24" i="9"/>
  <c r="AY24" i="9"/>
  <c r="AZ24" i="9"/>
  <c r="AV25" i="9"/>
  <c r="AW25" i="9"/>
  <c r="AX25" i="9"/>
  <c r="AY25" i="9"/>
  <c r="AZ25" i="9"/>
  <c r="AV26" i="9"/>
  <c r="AW26" i="9"/>
  <c r="AX26" i="9"/>
  <c r="AY26" i="9"/>
  <c r="AZ26" i="9"/>
  <c r="AW11" i="9"/>
  <c r="AX11" i="9"/>
  <c r="AY11" i="9"/>
  <c r="AZ11" i="9"/>
  <c r="AV11" i="9"/>
  <c r="AI12" i="9"/>
  <c r="AJ12" i="9"/>
  <c r="AK12" i="9"/>
  <c r="AI13" i="9"/>
  <c r="AJ13" i="9"/>
  <c r="AK13" i="9"/>
  <c r="AI14" i="9"/>
  <c r="AJ14" i="9"/>
  <c r="AK14" i="9"/>
  <c r="AI15" i="9"/>
  <c r="AJ15" i="9"/>
  <c r="AK15" i="9"/>
  <c r="AI16" i="9"/>
  <c r="AJ16" i="9"/>
  <c r="AK16" i="9"/>
  <c r="AI17" i="9"/>
  <c r="AJ17" i="9"/>
  <c r="AK17" i="9"/>
  <c r="AJ18" i="9"/>
  <c r="AK18" i="9"/>
  <c r="AI19" i="9"/>
  <c r="AJ19" i="9"/>
  <c r="AK19" i="9"/>
  <c r="AI20" i="9"/>
  <c r="AJ20" i="9"/>
  <c r="AK20" i="9"/>
  <c r="AI21" i="9"/>
  <c r="AJ21" i="9"/>
  <c r="AK21" i="9"/>
  <c r="AI22" i="9"/>
  <c r="AJ22" i="9"/>
  <c r="AK22" i="9"/>
  <c r="AI23" i="9"/>
  <c r="AJ23" i="9"/>
  <c r="AK23" i="9"/>
  <c r="AI24" i="9"/>
  <c r="AJ24" i="9"/>
  <c r="AK24" i="9"/>
  <c r="AI25" i="9"/>
  <c r="AJ25" i="9"/>
  <c r="AK25" i="9"/>
  <c r="AI26" i="9"/>
  <c r="AJ26" i="9"/>
  <c r="AK26" i="9"/>
  <c r="AJ11" i="9"/>
  <c r="AK11" i="9"/>
  <c r="AI11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B11" i="9"/>
  <c r="AC11" i="9"/>
  <c r="AD11" i="9"/>
  <c r="AE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M11" i="9"/>
  <c r="I12" i="9"/>
  <c r="J12" i="9"/>
  <c r="K12" i="9"/>
  <c r="L12" i="9"/>
  <c r="I13" i="9"/>
  <c r="AF13" i="9" s="1"/>
  <c r="BF13" i="9" s="1"/>
  <c r="J13" i="9"/>
  <c r="K13" i="9"/>
  <c r="L13" i="9"/>
  <c r="I14" i="9"/>
  <c r="AF14" i="9" s="1"/>
  <c r="J14" i="9"/>
  <c r="K14" i="9"/>
  <c r="L14" i="9"/>
  <c r="I15" i="9"/>
  <c r="J15" i="9"/>
  <c r="K15" i="9"/>
  <c r="L15" i="9"/>
  <c r="I16" i="9"/>
  <c r="J16" i="9"/>
  <c r="K16" i="9"/>
  <c r="L16" i="9"/>
  <c r="I17" i="9"/>
  <c r="J17" i="9"/>
  <c r="K17" i="9"/>
  <c r="L17" i="9"/>
  <c r="I18" i="9"/>
  <c r="J18" i="9"/>
  <c r="K18" i="9"/>
  <c r="L18" i="9"/>
  <c r="I19" i="9"/>
  <c r="J19" i="9"/>
  <c r="K19" i="9"/>
  <c r="L19" i="9"/>
  <c r="I20" i="9"/>
  <c r="J20" i="9"/>
  <c r="K20" i="9"/>
  <c r="L20" i="9"/>
  <c r="I21" i="9"/>
  <c r="J21" i="9"/>
  <c r="K21" i="9"/>
  <c r="L21" i="9"/>
  <c r="I22" i="9"/>
  <c r="J22" i="9"/>
  <c r="K22" i="9"/>
  <c r="L22" i="9"/>
  <c r="I23" i="9"/>
  <c r="J23" i="9"/>
  <c r="K23" i="9"/>
  <c r="L23" i="9"/>
  <c r="I24" i="9"/>
  <c r="J24" i="9"/>
  <c r="K24" i="9"/>
  <c r="L24" i="9"/>
  <c r="I25" i="9"/>
  <c r="J25" i="9"/>
  <c r="K25" i="9"/>
  <c r="L25" i="9"/>
  <c r="I26" i="9"/>
  <c r="J26" i="9"/>
  <c r="K26" i="9"/>
  <c r="L26" i="9"/>
  <c r="J11" i="9"/>
  <c r="K11" i="9"/>
  <c r="L11" i="9"/>
  <c r="I11" i="9"/>
  <c r="A12" i="9"/>
  <c r="B12" i="9"/>
  <c r="C12" i="9"/>
  <c r="D12" i="9"/>
  <c r="E12" i="9"/>
  <c r="F12" i="9"/>
  <c r="G12" i="9"/>
  <c r="H12" i="9"/>
  <c r="A13" i="9"/>
  <c r="B13" i="9"/>
  <c r="C13" i="9"/>
  <c r="D13" i="9"/>
  <c r="E13" i="9"/>
  <c r="F13" i="9"/>
  <c r="G13" i="9"/>
  <c r="H13" i="9"/>
  <c r="A14" i="9"/>
  <c r="B14" i="9"/>
  <c r="C14" i="9"/>
  <c r="D14" i="9"/>
  <c r="E14" i="9"/>
  <c r="F14" i="9"/>
  <c r="G14" i="9"/>
  <c r="H14" i="9"/>
  <c r="A15" i="9"/>
  <c r="B15" i="9"/>
  <c r="C15" i="9"/>
  <c r="D15" i="9"/>
  <c r="E15" i="9"/>
  <c r="F15" i="9"/>
  <c r="G15" i="9"/>
  <c r="H15" i="9"/>
  <c r="A16" i="9"/>
  <c r="B16" i="9"/>
  <c r="C16" i="9"/>
  <c r="D16" i="9"/>
  <c r="E16" i="9"/>
  <c r="F16" i="9"/>
  <c r="G16" i="9"/>
  <c r="H16" i="9"/>
  <c r="A17" i="9"/>
  <c r="B17" i="9"/>
  <c r="C17" i="9"/>
  <c r="D17" i="9"/>
  <c r="E17" i="9"/>
  <c r="F17" i="9"/>
  <c r="G17" i="9"/>
  <c r="H17" i="9"/>
  <c r="A18" i="9"/>
  <c r="B18" i="9"/>
  <c r="AI18" i="9" s="1"/>
  <c r="C18" i="9"/>
  <c r="D18" i="9"/>
  <c r="E18" i="9"/>
  <c r="F18" i="9"/>
  <c r="G18" i="9"/>
  <c r="H18" i="9"/>
  <c r="A19" i="9"/>
  <c r="B19" i="9"/>
  <c r="C19" i="9"/>
  <c r="D19" i="9"/>
  <c r="E19" i="9"/>
  <c r="F19" i="9"/>
  <c r="G19" i="9"/>
  <c r="H19" i="9"/>
  <c r="A20" i="9"/>
  <c r="B20" i="9"/>
  <c r="C20" i="9"/>
  <c r="D20" i="9"/>
  <c r="E20" i="9"/>
  <c r="F20" i="9"/>
  <c r="G20" i="9"/>
  <c r="H20" i="9"/>
  <c r="A21" i="9"/>
  <c r="B21" i="9"/>
  <c r="C21" i="9"/>
  <c r="D21" i="9"/>
  <c r="E21" i="9"/>
  <c r="F21" i="9"/>
  <c r="G21" i="9"/>
  <c r="H21" i="9"/>
  <c r="A22" i="9"/>
  <c r="B22" i="9"/>
  <c r="C22" i="9"/>
  <c r="D22" i="9"/>
  <c r="E22" i="9"/>
  <c r="F22" i="9"/>
  <c r="G22" i="9"/>
  <c r="H22" i="9"/>
  <c r="A23" i="9"/>
  <c r="B23" i="9"/>
  <c r="C23" i="9"/>
  <c r="D23" i="9"/>
  <c r="E23" i="9"/>
  <c r="F23" i="9"/>
  <c r="G23" i="9"/>
  <c r="H23" i="9"/>
  <c r="A24" i="9"/>
  <c r="B24" i="9"/>
  <c r="C24" i="9"/>
  <c r="D24" i="9"/>
  <c r="E24" i="9"/>
  <c r="F24" i="9"/>
  <c r="AH24" i="9" s="1"/>
  <c r="G24" i="9"/>
  <c r="H24" i="9"/>
  <c r="A25" i="9"/>
  <c r="B25" i="9"/>
  <c r="C25" i="9"/>
  <c r="D25" i="9"/>
  <c r="E25" i="9"/>
  <c r="F25" i="9"/>
  <c r="G25" i="9"/>
  <c r="H25" i="9"/>
  <c r="A26" i="9"/>
  <c r="B26" i="9"/>
  <c r="C26" i="9"/>
  <c r="D26" i="9"/>
  <c r="E26" i="9"/>
  <c r="F26" i="9"/>
  <c r="G26" i="9"/>
  <c r="H26" i="9"/>
  <c r="B11" i="9"/>
  <c r="C11" i="9"/>
  <c r="D11" i="9"/>
  <c r="E11" i="9"/>
  <c r="F11" i="9"/>
  <c r="G11" i="9"/>
  <c r="H11" i="9"/>
  <c r="A11" i="9"/>
  <c r="AL11" i="9" s="1"/>
  <c r="BT30" i="9"/>
  <c r="BG30" i="9"/>
  <c r="BF30" i="9"/>
  <c r="BA30" i="9"/>
  <c r="AZ30" i="9"/>
  <c r="AU30" i="9"/>
  <c r="AP30" i="9"/>
  <c r="AH30" i="9"/>
  <c r="AG30" i="9"/>
  <c r="AF30" i="9"/>
  <c r="BT29" i="9"/>
  <c r="BG29" i="9"/>
  <c r="BF29" i="9"/>
  <c r="BA29" i="9"/>
  <c r="AZ29" i="9"/>
  <c r="AU29" i="9"/>
  <c r="AP29" i="9"/>
  <c r="AH29" i="9"/>
  <c r="AG29" i="9"/>
  <c r="AF29" i="9"/>
  <c r="BT28" i="9"/>
  <c r="BG28" i="9"/>
  <c r="BF28" i="9"/>
  <c r="BA28" i="9"/>
  <c r="AZ28" i="9"/>
  <c r="AU28" i="9"/>
  <c r="AP28" i="9"/>
  <c r="AH28" i="9"/>
  <c r="AG28" i="9"/>
  <c r="AF28" i="9"/>
  <c r="BT27" i="9"/>
  <c r="BG27" i="9"/>
  <c r="BF27" i="9"/>
  <c r="BA27" i="9"/>
  <c r="AZ27" i="9"/>
  <c r="AU27" i="9"/>
  <c r="AP27" i="9"/>
  <c r="AH27" i="9"/>
  <c r="AG27" i="9"/>
  <c r="AF27" i="9"/>
  <c r="BC26" i="9"/>
  <c r="BB26" i="9"/>
  <c r="BA26" i="9"/>
  <c r="AG26" i="9"/>
  <c r="AL26" i="9"/>
  <c r="BC25" i="9"/>
  <c r="BB25" i="9"/>
  <c r="BA25" i="9"/>
  <c r="AG25" i="9"/>
  <c r="AL25" i="9"/>
  <c r="BC24" i="9"/>
  <c r="BB24" i="9"/>
  <c r="BA24" i="9"/>
  <c r="BC23" i="9"/>
  <c r="BB23" i="9"/>
  <c r="BA23" i="9"/>
  <c r="AH23" i="9"/>
  <c r="BC22" i="9"/>
  <c r="BB22" i="9"/>
  <c r="BA22" i="9"/>
  <c r="AL22" i="9"/>
  <c r="BC21" i="9"/>
  <c r="BB21" i="9"/>
  <c r="BA21" i="9"/>
  <c r="AL21" i="9"/>
  <c r="BC20" i="9"/>
  <c r="BB20" i="9"/>
  <c r="BA20" i="9"/>
  <c r="AL20" i="9"/>
  <c r="AH20" i="9"/>
  <c r="BC19" i="9"/>
  <c r="BB19" i="9"/>
  <c r="BA19" i="9"/>
  <c r="AL19" i="9"/>
  <c r="BC18" i="9"/>
  <c r="BB18" i="9"/>
  <c r="BA18" i="9"/>
  <c r="AL18" i="9"/>
  <c r="AG18" i="9"/>
  <c r="BC17" i="9"/>
  <c r="BB17" i="9"/>
  <c r="BA17" i="9"/>
  <c r="AL17" i="9"/>
  <c r="AH17" i="9"/>
  <c r="AG17" i="9"/>
  <c r="BC16" i="9"/>
  <c r="BB16" i="9"/>
  <c r="BA16" i="9"/>
  <c r="AH16" i="9"/>
  <c r="AG16" i="9"/>
  <c r="BC15" i="9"/>
  <c r="BB15" i="9"/>
  <c r="BA15" i="9"/>
  <c r="AH15" i="9"/>
  <c r="AG15" i="9"/>
  <c r="BC14" i="9"/>
  <c r="BB14" i="9"/>
  <c r="BA14" i="9"/>
  <c r="AH14" i="9"/>
  <c r="AG14" i="9"/>
  <c r="BC13" i="9"/>
  <c r="BB13" i="9"/>
  <c r="BA13" i="9"/>
  <c r="AH13" i="9"/>
  <c r="AG13" i="9"/>
  <c r="BC12" i="9"/>
  <c r="BB12" i="9"/>
  <c r="BA12" i="9"/>
  <c r="AL12" i="9"/>
  <c r="BC11" i="9"/>
  <c r="BB11" i="9"/>
  <c r="BA11" i="9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11" i="7"/>
  <c r="BM12" i="7"/>
  <c r="BM13" i="7"/>
  <c r="BM14" i="7"/>
  <c r="BM15" i="7"/>
  <c r="BM17" i="7"/>
  <c r="BM18" i="7"/>
  <c r="BM19" i="7"/>
  <c r="BM20" i="7"/>
  <c r="BM21" i="7"/>
  <c r="BM22" i="7"/>
  <c r="BM23" i="7"/>
  <c r="BM24" i="7"/>
  <c r="BM25" i="7"/>
  <c r="BM26" i="7"/>
  <c r="BM11" i="7"/>
  <c r="BO26" i="7"/>
  <c r="BO25" i="7"/>
  <c r="BO24" i="7"/>
  <c r="BO23" i="7"/>
  <c r="BO22" i="7"/>
  <c r="BO21" i="7"/>
  <c r="BO20" i="7"/>
  <c r="BO19" i="7"/>
  <c r="BO18" i="7"/>
  <c r="BO17" i="7"/>
  <c r="BO15" i="7"/>
  <c r="BO14" i="7"/>
  <c r="BO13" i="7"/>
  <c r="BO12" i="7"/>
  <c r="BO11" i="7"/>
  <c r="BL12" i="7"/>
  <c r="BL13" i="7"/>
  <c r="BL14" i="7"/>
  <c r="BL15" i="7"/>
  <c r="BL17" i="7"/>
  <c r="BL18" i="7"/>
  <c r="BL19" i="7"/>
  <c r="BL20" i="7"/>
  <c r="BL21" i="7"/>
  <c r="BL22" i="7"/>
  <c r="BL23" i="7"/>
  <c r="BL24" i="7"/>
  <c r="BL25" i="7"/>
  <c r="BL26" i="7"/>
  <c r="BL11" i="7"/>
  <c r="BK12" i="7"/>
  <c r="BK13" i="7"/>
  <c r="BK14" i="7"/>
  <c r="BK15" i="7"/>
  <c r="BK16" i="7"/>
  <c r="BK17" i="7"/>
  <c r="BK18" i="7"/>
  <c r="BK19" i="7"/>
  <c r="BK20" i="7"/>
  <c r="BK21" i="7"/>
  <c r="BK22" i="7"/>
  <c r="BK23" i="7"/>
  <c r="BK24" i="7"/>
  <c r="BK25" i="7"/>
  <c r="BK26" i="7"/>
  <c r="BK11" i="7"/>
  <c r="BJ12" i="7"/>
  <c r="BJ13" i="7"/>
  <c r="BJ14" i="7"/>
  <c r="BJ15" i="7"/>
  <c r="BJ17" i="7"/>
  <c r="BJ18" i="7"/>
  <c r="BJ19" i="7"/>
  <c r="BJ20" i="7"/>
  <c r="BJ21" i="7"/>
  <c r="BJ22" i="7"/>
  <c r="BJ23" i="7"/>
  <c r="BJ24" i="7"/>
  <c r="BJ26" i="7"/>
  <c r="BJ11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H26" i="7"/>
  <c r="G26" i="7"/>
  <c r="F26" i="7"/>
  <c r="I26" i="7" s="1"/>
  <c r="E26" i="7"/>
  <c r="D26" i="7"/>
  <c r="C26" i="7"/>
  <c r="B26" i="7"/>
  <c r="A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H25" i="7"/>
  <c r="G25" i="7"/>
  <c r="F25" i="7"/>
  <c r="J25" i="7" s="1"/>
  <c r="E25" i="7"/>
  <c r="BJ25" i="7" s="1"/>
  <c r="D25" i="7"/>
  <c r="C25" i="7"/>
  <c r="B25" i="7"/>
  <c r="A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H24" i="7"/>
  <c r="G24" i="7"/>
  <c r="F24" i="7"/>
  <c r="K24" i="7" s="1"/>
  <c r="E24" i="7"/>
  <c r="D24" i="7"/>
  <c r="C24" i="7"/>
  <c r="B24" i="7"/>
  <c r="A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I23" i="7"/>
  <c r="H23" i="7"/>
  <c r="G23" i="7"/>
  <c r="F23" i="7"/>
  <c r="L23" i="7" s="1"/>
  <c r="E23" i="7"/>
  <c r="D23" i="7"/>
  <c r="C23" i="7"/>
  <c r="B23" i="7"/>
  <c r="A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J22" i="7"/>
  <c r="I22" i="7"/>
  <c r="H22" i="7"/>
  <c r="G22" i="7"/>
  <c r="F22" i="7"/>
  <c r="L22" i="7" s="1"/>
  <c r="E22" i="7"/>
  <c r="D22" i="7"/>
  <c r="C22" i="7"/>
  <c r="B22" i="7"/>
  <c r="A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J20" i="7"/>
  <c r="H20" i="7"/>
  <c r="G20" i="7"/>
  <c r="F20" i="7"/>
  <c r="K20" i="7" s="1"/>
  <c r="E20" i="7"/>
  <c r="D20" i="7"/>
  <c r="C20" i="7"/>
  <c r="B20" i="7"/>
  <c r="A20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H19" i="7"/>
  <c r="G19" i="7"/>
  <c r="F19" i="7"/>
  <c r="AF19" i="7" s="1"/>
  <c r="E19" i="7"/>
  <c r="D19" i="7"/>
  <c r="C19" i="7"/>
  <c r="B19" i="7"/>
  <c r="A19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H18" i="7"/>
  <c r="G18" i="7"/>
  <c r="F18" i="7"/>
  <c r="I18" i="7" s="1"/>
  <c r="E18" i="7"/>
  <c r="D18" i="7"/>
  <c r="C18" i="7"/>
  <c r="B18" i="7"/>
  <c r="A18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H17" i="7"/>
  <c r="G17" i="7"/>
  <c r="F17" i="7"/>
  <c r="J17" i="7" s="1"/>
  <c r="E17" i="7"/>
  <c r="D17" i="7"/>
  <c r="C17" i="7"/>
  <c r="B17" i="7"/>
  <c r="A17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H16" i="7"/>
  <c r="G16" i="7"/>
  <c r="F16" i="7"/>
  <c r="K16" i="7" s="1"/>
  <c r="E16" i="7"/>
  <c r="BJ16" i="7" s="1"/>
  <c r="D16" i="7"/>
  <c r="C16" i="7"/>
  <c r="B16" i="7"/>
  <c r="A16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H15" i="7"/>
  <c r="G15" i="7"/>
  <c r="F15" i="7"/>
  <c r="L15" i="7" s="1"/>
  <c r="E15" i="7"/>
  <c r="D15" i="7"/>
  <c r="C15" i="7"/>
  <c r="B15" i="7"/>
  <c r="A15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J14" i="7"/>
  <c r="H14" i="7"/>
  <c r="G14" i="7"/>
  <c r="F14" i="7"/>
  <c r="L14" i="7" s="1"/>
  <c r="E14" i="7"/>
  <c r="D14" i="7"/>
  <c r="C14" i="7"/>
  <c r="B14" i="7"/>
  <c r="A14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H13" i="7"/>
  <c r="G13" i="7"/>
  <c r="F13" i="7"/>
  <c r="L13" i="7" s="1"/>
  <c r="E13" i="7"/>
  <c r="D13" i="7"/>
  <c r="C13" i="7"/>
  <c r="B13" i="7"/>
  <c r="A13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I12" i="7"/>
  <c r="H12" i="7"/>
  <c r="G12" i="7"/>
  <c r="F12" i="7"/>
  <c r="L12" i="7" s="1"/>
  <c r="E12" i="7"/>
  <c r="D12" i="7"/>
  <c r="C12" i="7"/>
  <c r="B12" i="7"/>
  <c r="A12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K11" i="7"/>
  <c r="J11" i="7"/>
  <c r="I11" i="7"/>
  <c r="H11" i="7"/>
  <c r="G11" i="7"/>
  <c r="F11" i="7"/>
  <c r="AF11" i="7" s="1"/>
  <c r="E11" i="7"/>
  <c r="D11" i="7"/>
  <c r="C11" i="7"/>
  <c r="B11" i="7"/>
  <c r="A11" i="7"/>
  <c r="AY26" i="6"/>
  <c r="AZ26" i="6" s="1"/>
  <c r="BA26" i="6" s="1"/>
  <c r="AY25" i="6"/>
  <c r="AZ25" i="6" s="1"/>
  <c r="BA25" i="6" s="1"/>
  <c r="AZ24" i="6"/>
  <c r="BA24" i="6" s="1"/>
  <c r="AY24" i="6"/>
  <c r="AY23" i="6"/>
  <c r="AZ23" i="6" s="1"/>
  <c r="BA23" i="6" s="1"/>
  <c r="AZ22" i="6"/>
  <c r="BA22" i="6" s="1"/>
  <c r="AY22" i="6"/>
  <c r="BA21" i="6"/>
  <c r="AZ21" i="6"/>
  <c r="AY21" i="6"/>
  <c r="AZ20" i="6"/>
  <c r="BA20" i="6" s="1"/>
  <c r="AY20" i="6"/>
  <c r="AY19" i="6"/>
  <c r="AZ19" i="6" s="1"/>
  <c r="BA19" i="6" s="1"/>
  <c r="AY18" i="6"/>
  <c r="AZ18" i="6" s="1"/>
  <c r="BA18" i="6" s="1"/>
  <c r="AY17" i="6"/>
  <c r="AZ17" i="6" s="1"/>
  <c r="BA17" i="6" s="1"/>
  <c r="AZ16" i="6"/>
  <c r="BA16" i="6" s="1"/>
  <c r="AY16" i="6"/>
  <c r="AY15" i="6"/>
  <c r="AZ15" i="6" s="1"/>
  <c r="BA15" i="6" s="1"/>
  <c r="AZ14" i="6"/>
  <c r="BA14" i="6" s="1"/>
  <c r="AY14" i="6"/>
  <c r="BA13" i="6"/>
  <c r="AZ13" i="6"/>
  <c r="AY13" i="6"/>
  <c r="AZ12" i="6"/>
  <c r="BA12" i="6" s="1"/>
  <c r="AY12" i="6"/>
  <c r="AY11" i="6"/>
  <c r="AZ11" i="6" s="1"/>
  <c r="BA11" i="6" s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11" i="1"/>
  <c r="K11" i="1"/>
  <c r="K12" i="1"/>
  <c r="K13" i="1"/>
  <c r="K14" i="1"/>
  <c r="AM12" i="5"/>
  <c r="AN12" i="5"/>
  <c r="AO12" i="5"/>
  <c r="AP12" i="5"/>
  <c r="AM13" i="5"/>
  <c r="AN13" i="5"/>
  <c r="AO13" i="5"/>
  <c r="AP13" i="5"/>
  <c r="AM14" i="5"/>
  <c r="AN14" i="5"/>
  <c r="AO14" i="5"/>
  <c r="AP14" i="5"/>
  <c r="AM15" i="5"/>
  <c r="AN15" i="5"/>
  <c r="AO15" i="5"/>
  <c r="AP15" i="5"/>
  <c r="AM16" i="5"/>
  <c r="AN16" i="5"/>
  <c r="AO16" i="5"/>
  <c r="AP16" i="5"/>
  <c r="AM17" i="5"/>
  <c r="AN17" i="5"/>
  <c r="AO17" i="5"/>
  <c r="AP17" i="5"/>
  <c r="AM18" i="5"/>
  <c r="AN18" i="5"/>
  <c r="AO18" i="5"/>
  <c r="AP18" i="5"/>
  <c r="AM19" i="5"/>
  <c r="AN19" i="5"/>
  <c r="AO19" i="5"/>
  <c r="AP19" i="5"/>
  <c r="AM20" i="5"/>
  <c r="AN20" i="5"/>
  <c r="AO20" i="5"/>
  <c r="AP20" i="5"/>
  <c r="AM21" i="5"/>
  <c r="AN21" i="5"/>
  <c r="AO21" i="5"/>
  <c r="AP21" i="5"/>
  <c r="AM22" i="5"/>
  <c r="AN22" i="5"/>
  <c r="AO22" i="5"/>
  <c r="AP22" i="5"/>
  <c r="AM23" i="5"/>
  <c r="AN23" i="5"/>
  <c r="AO23" i="5"/>
  <c r="AP23" i="5"/>
  <c r="AM24" i="5"/>
  <c r="AN24" i="5"/>
  <c r="AO24" i="5"/>
  <c r="AP24" i="5"/>
  <c r="AM25" i="5"/>
  <c r="AN25" i="5"/>
  <c r="AO25" i="5"/>
  <c r="AP25" i="5"/>
  <c r="AM26" i="5"/>
  <c r="AN26" i="5"/>
  <c r="AO26" i="5"/>
  <c r="AP26" i="5"/>
  <c r="AN11" i="5"/>
  <c r="AO11" i="5"/>
  <c r="AP11" i="5"/>
  <c r="AM11" i="5"/>
  <c r="BR26" i="5"/>
  <c r="BR12" i="5"/>
  <c r="BR13" i="5"/>
  <c r="BR14" i="5"/>
  <c r="BR15" i="5"/>
  <c r="BR16" i="5"/>
  <c r="BR17" i="5"/>
  <c r="BR18" i="5"/>
  <c r="BR19" i="5"/>
  <c r="BR20" i="5"/>
  <c r="BR21" i="5"/>
  <c r="BR22" i="5"/>
  <c r="BR23" i="5"/>
  <c r="BR24" i="5"/>
  <c r="BR25" i="5"/>
  <c r="BR11" i="5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J26" i="6"/>
  <c r="H26" i="6"/>
  <c r="G26" i="6"/>
  <c r="F26" i="6"/>
  <c r="I26" i="6" s="1"/>
  <c r="E26" i="6"/>
  <c r="D26" i="6"/>
  <c r="C26" i="6"/>
  <c r="BX26" i="6" s="1"/>
  <c r="B26" i="6"/>
  <c r="A26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H25" i="6"/>
  <c r="G25" i="6"/>
  <c r="F25" i="6"/>
  <c r="J25" i="6" s="1"/>
  <c r="E25" i="6"/>
  <c r="D25" i="6"/>
  <c r="C25" i="6"/>
  <c r="BX25" i="6" s="1"/>
  <c r="B25" i="6"/>
  <c r="A25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H24" i="6"/>
  <c r="G24" i="6"/>
  <c r="F24" i="6"/>
  <c r="K24" i="6" s="1"/>
  <c r="E24" i="6"/>
  <c r="D24" i="6"/>
  <c r="C24" i="6"/>
  <c r="BX24" i="6" s="1"/>
  <c r="B24" i="6"/>
  <c r="A24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H23" i="6"/>
  <c r="G23" i="6"/>
  <c r="F23" i="6"/>
  <c r="K23" i="6" s="1"/>
  <c r="E23" i="6"/>
  <c r="D23" i="6"/>
  <c r="C23" i="6"/>
  <c r="BX23" i="6" s="1"/>
  <c r="B23" i="6"/>
  <c r="A23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H22" i="6"/>
  <c r="G22" i="6"/>
  <c r="F22" i="6"/>
  <c r="L22" i="6" s="1"/>
  <c r="E22" i="6"/>
  <c r="D22" i="6"/>
  <c r="C22" i="6"/>
  <c r="BX22" i="6" s="1"/>
  <c r="B22" i="6"/>
  <c r="A22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H21" i="6"/>
  <c r="G21" i="6"/>
  <c r="F21" i="6"/>
  <c r="L21" i="6" s="1"/>
  <c r="E21" i="6"/>
  <c r="D21" i="6"/>
  <c r="C21" i="6"/>
  <c r="BX21" i="6" s="1"/>
  <c r="B21" i="6"/>
  <c r="A21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H20" i="6"/>
  <c r="G20" i="6"/>
  <c r="F20" i="6"/>
  <c r="I20" i="6" s="1"/>
  <c r="E20" i="6"/>
  <c r="D20" i="6"/>
  <c r="C20" i="6"/>
  <c r="BX20" i="6" s="1"/>
  <c r="B20" i="6"/>
  <c r="A20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H19" i="6"/>
  <c r="G19" i="6"/>
  <c r="F19" i="6"/>
  <c r="L19" i="6" s="1"/>
  <c r="E19" i="6"/>
  <c r="D19" i="6"/>
  <c r="C19" i="6"/>
  <c r="BX19" i="6" s="1"/>
  <c r="B19" i="6"/>
  <c r="A19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H18" i="6"/>
  <c r="G18" i="6"/>
  <c r="F18" i="6"/>
  <c r="I18" i="6" s="1"/>
  <c r="E18" i="6"/>
  <c r="D18" i="6"/>
  <c r="C18" i="6"/>
  <c r="BX18" i="6" s="1"/>
  <c r="B18" i="6"/>
  <c r="A18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H17" i="6"/>
  <c r="G17" i="6"/>
  <c r="F17" i="6"/>
  <c r="J17" i="6" s="1"/>
  <c r="E17" i="6"/>
  <c r="D17" i="6"/>
  <c r="C17" i="6"/>
  <c r="BX17" i="6" s="1"/>
  <c r="B17" i="6"/>
  <c r="A17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H16" i="6"/>
  <c r="G16" i="6"/>
  <c r="F16" i="6"/>
  <c r="K16" i="6" s="1"/>
  <c r="E16" i="6"/>
  <c r="D16" i="6"/>
  <c r="C16" i="6"/>
  <c r="BX16" i="6" s="1"/>
  <c r="B16" i="6"/>
  <c r="A16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H15" i="6"/>
  <c r="G15" i="6"/>
  <c r="F15" i="6"/>
  <c r="K15" i="6" s="1"/>
  <c r="E15" i="6"/>
  <c r="D15" i="6"/>
  <c r="C15" i="6"/>
  <c r="BX15" i="6" s="1"/>
  <c r="B15" i="6"/>
  <c r="A15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H14" i="6"/>
  <c r="G14" i="6"/>
  <c r="F14" i="6"/>
  <c r="J14" i="6" s="1"/>
  <c r="E14" i="6"/>
  <c r="D14" i="6"/>
  <c r="C14" i="6"/>
  <c r="BX14" i="6" s="1"/>
  <c r="B14" i="6"/>
  <c r="A14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H13" i="6"/>
  <c r="G13" i="6"/>
  <c r="F13" i="6"/>
  <c r="L13" i="6" s="1"/>
  <c r="E13" i="6"/>
  <c r="D13" i="6"/>
  <c r="C13" i="6"/>
  <c r="BX13" i="6" s="1"/>
  <c r="B13" i="6"/>
  <c r="A13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H12" i="6"/>
  <c r="G12" i="6"/>
  <c r="F12" i="6"/>
  <c r="K12" i="6" s="1"/>
  <c r="E12" i="6"/>
  <c r="D12" i="6"/>
  <c r="C12" i="6"/>
  <c r="BX12" i="6" s="1"/>
  <c r="B12" i="6"/>
  <c r="A12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H11" i="6"/>
  <c r="G11" i="6"/>
  <c r="F11" i="6"/>
  <c r="I11" i="6" s="1"/>
  <c r="E11" i="6"/>
  <c r="D11" i="6"/>
  <c r="C11" i="6"/>
  <c r="BX11" i="6" s="1"/>
  <c r="B11" i="6"/>
  <c r="A11" i="6"/>
  <c r="AO12" i="1"/>
  <c r="AP12" i="1"/>
  <c r="AQ12" i="1"/>
  <c r="AR12" i="1"/>
  <c r="AS12" i="1"/>
  <c r="AT12" i="1"/>
  <c r="AU12" i="1"/>
  <c r="AV12" i="1"/>
  <c r="AW12" i="1"/>
  <c r="AX12" i="1"/>
  <c r="AO13" i="1"/>
  <c r="AP13" i="1"/>
  <c r="AQ13" i="1"/>
  <c r="AR13" i="1"/>
  <c r="AS13" i="1"/>
  <c r="AT13" i="1"/>
  <c r="AU13" i="1"/>
  <c r="AV13" i="1"/>
  <c r="AW13" i="1"/>
  <c r="AX13" i="1"/>
  <c r="AO14" i="1"/>
  <c r="AP14" i="1"/>
  <c r="AQ14" i="1"/>
  <c r="AR14" i="1"/>
  <c r="AS14" i="1"/>
  <c r="AT14" i="1"/>
  <c r="AU14" i="1"/>
  <c r="AV14" i="1"/>
  <c r="AW14" i="1"/>
  <c r="AX14" i="1"/>
  <c r="AO15" i="1"/>
  <c r="AP15" i="1"/>
  <c r="AQ15" i="1"/>
  <c r="AR15" i="1"/>
  <c r="AS15" i="1"/>
  <c r="AT15" i="1"/>
  <c r="AU15" i="1"/>
  <c r="AV15" i="1"/>
  <c r="AW15" i="1"/>
  <c r="AX15" i="1"/>
  <c r="AO16" i="1"/>
  <c r="AP16" i="1"/>
  <c r="AQ16" i="1"/>
  <c r="AR16" i="1"/>
  <c r="AS16" i="1"/>
  <c r="AT16" i="1"/>
  <c r="AU16" i="1"/>
  <c r="AV16" i="1"/>
  <c r="AW16" i="1"/>
  <c r="AX16" i="1"/>
  <c r="AO17" i="1"/>
  <c r="AP17" i="1"/>
  <c r="AQ17" i="1"/>
  <c r="AR17" i="1"/>
  <c r="AS17" i="1"/>
  <c r="AT17" i="1"/>
  <c r="AU17" i="1"/>
  <c r="AV17" i="1"/>
  <c r="AW17" i="1"/>
  <c r="AX17" i="1"/>
  <c r="AO18" i="1"/>
  <c r="AP18" i="1"/>
  <c r="AQ18" i="1"/>
  <c r="AR18" i="1"/>
  <c r="AS18" i="1"/>
  <c r="AT18" i="1"/>
  <c r="AU18" i="1"/>
  <c r="AV18" i="1"/>
  <c r="AW18" i="1"/>
  <c r="AX18" i="1"/>
  <c r="AO19" i="1"/>
  <c r="AP19" i="1"/>
  <c r="AQ19" i="1"/>
  <c r="AR19" i="1"/>
  <c r="AS19" i="1"/>
  <c r="AT19" i="1"/>
  <c r="AU19" i="1"/>
  <c r="AV19" i="1"/>
  <c r="AW19" i="1"/>
  <c r="AX19" i="1"/>
  <c r="AO20" i="1"/>
  <c r="AP20" i="1"/>
  <c r="AQ20" i="1"/>
  <c r="AR20" i="1"/>
  <c r="AS20" i="1"/>
  <c r="AT20" i="1"/>
  <c r="AU20" i="1"/>
  <c r="AV20" i="1"/>
  <c r="AW20" i="1"/>
  <c r="AX20" i="1"/>
  <c r="AO21" i="1"/>
  <c r="AP21" i="1"/>
  <c r="AQ21" i="1"/>
  <c r="AR21" i="1"/>
  <c r="AS21" i="1"/>
  <c r="AT21" i="1"/>
  <c r="AU21" i="1"/>
  <c r="AV21" i="1"/>
  <c r="AW21" i="1"/>
  <c r="AX21" i="1"/>
  <c r="AO22" i="1"/>
  <c r="AP22" i="1"/>
  <c r="AQ22" i="1"/>
  <c r="AR22" i="1"/>
  <c r="AS22" i="1"/>
  <c r="AT22" i="1"/>
  <c r="AU22" i="1"/>
  <c r="AV22" i="1"/>
  <c r="AW22" i="1"/>
  <c r="AX22" i="1"/>
  <c r="AO23" i="1"/>
  <c r="AP23" i="1"/>
  <c r="AQ23" i="1"/>
  <c r="AR23" i="1"/>
  <c r="AS23" i="1"/>
  <c r="AT23" i="1"/>
  <c r="AU23" i="1"/>
  <c r="AV23" i="1"/>
  <c r="AW23" i="1"/>
  <c r="AX23" i="1"/>
  <c r="AO24" i="1"/>
  <c r="AP24" i="1"/>
  <c r="AQ24" i="1"/>
  <c r="AR24" i="1"/>
  <c r="AS24" i="1"/>
  <c r="AT24" i="1"/>
  <c r="AU24" i="1"/>
  <c r="AV24" i="1"/>
  <c r="AW24" i="1"/>
  <c r="AX24" i="1"/>
  <c r="AO25" i="1"/>
  <c r="AP25" i="1"/>
  <c r="AQ25" i="1"/>
  <c r="AR25" i="1"/>
  <c r="AS25" i="1"/>
  <c r="AT25" i="1"/>
  <c r="AU25" i="1"/>
  <c r="AV25" i="1"/>
  <c r="AW25" i="1"/>
  <c r="AX25" i="1"/>
  <c r="AO26" i="1"/>
  <c r="AP26" i="1"/>
  <c r="AQ26" i="1"/>
  <c r="AR26" i="1"/>
  <c r="AS26" i="1"/>
  <c r="AT26" i="1"/>
  <c r="AU26" i="1"/>
  <c r="AV26" i="1"/>
  <c r="AW26" i="1"/>
  <c r="AX26" i="1"/>
  <c r="AX11" i="1"/>
  <c r="AW11" i="1"/>
  <c r="AV11" i="1"/>
  <c r="AU11" i="1"/>
  <c r="AT11" i="1"/>
  <c r="AS11" i="1"/>
  <c r="AR11" i="1"/>
  <c r="AQ11" i="1"/>
  <c r="AP11" i="1"/>
  <c r="AO11" i="1"/>
  <c r="AG12" i="1"/>
  <c r="AH12" i="1"/>
  <c r="AI12" i="1"/>
  <c r="AJ12" i="1"/>
  <c r="AK12" i="1"/>
  <c r="AL12" i="1"/>
  <c r="AM12" i="1"/>
  <c r="AN12" i="1"/>
  <c r="AG13" i="1"/>
  <c r="AH13" i="1"/>
  <c r="AI13" i="1"/>
  <c r="AJ13" i="1"/>
  <c r="AK13" i="1"/>
  <c r="AL13" i="1"/>
  <c r="AM13" i="1"/>
  <c r="AN13" i="1"/>
  <c r="AG14" i="1"/>
  <c r="AH14" i="1"/>
  <c r="AI14" i="1"/>
  <c r="AJ14" i="1"/>
  <c r="AK14" i="1"/>
  <c r="AL14" i="1"/>
  <c r="AM14" i="1"/>
  <c r="AN14" i="1"/>
  <c r="AG15" i="1"/>
  <c r="AH15" i="1"/>
  <c r="AI15" i="1"/>
  <c r="AJ15" i="1"/>
  <c r="AK15" i="1"/>
  <c r="AL15" i="1"/>
  <c r="AM15" i="1"/>
  <c r="AN15" i="1"/>
  <c r="AG16" i="1"/>
  <c r="AH16" i="1"/>
  <c r="AI16" i="1"/>
  <c r="AJ16" i="1"/>
  <c r="AK16" i="1"/>
  <c r="AL16" i="1"/>
  <c r="AM16" i="1"/>
  <c r="AN16" i="1"/>
  <c r="AG17" i="1"/>
  <c r="AH17" i="1"/>
  <c r="AI17" i="1"/>
  <c r="AJ17" i="1"/>
  <c r="AK17" i="1"/>
  <c r="AL17" i="1"/>
  <c r="AM17" i="1"/>
  <c r="AN17" i="1"/>
  <c r="AG18" i="1"/>
  <c r="AH18" i="1"/>
  <c r="AI18" i="1"/>
  <c r="AJ18" i="1"/>
  <c r="AK18" i="1"/>
  <c r="AL18" i="1"/>
  <c r="AM18" i="1"/>
  <c r="AN18" i="1"/>
  <c r="AG19" i="1"/>
  <c r="AH19" i="1"/>
  <c r="AI19" i="1"/>
  <c r="AJ19" i="1"/>
  <c r="AK19" i="1"/>
  <c r="AL19" i="1"/>
  <c r="AM19" i="1"/>
  <c r="AN19" i="1"/>
  <c r="AG20" i="1"/>
  <c r="AH20" i="1"/>
  <c r="AI20" i="1"/>
  <c r="AJ20" i="1"/>
  <c r="AK20" i="1"/>
  <c r="AL20" i="1"/>
  <c r="AM20" i="1"/>
  <c r="AN20" i="1"/>
  <c r="AG21" i="1"/>
  <c r="AH21" i="1"/>
  <c r="AI21" i="1"/>
  <c r="AJ21" i="1"/>
  <c r="AK21" i="1"/>
  <c r="AL21" i="1"/>
  <c r="AM21" i="1"/>
  <c r="AN21" i="1"/>
  <c r="AG22" i="1"/>
  <c r="AH22" i="1"/>
  <c r="AI22" i="1"/>
  <c r="AJ22" i="1"/>
  <c r="AK22" i="1"/>
  <c r="AL22" i="1"/>
  <c r="AM22" i="1"/>
  <c r="AN22" i="1"/>
  <c r="AG23" i="1"/>
  <c r="AH23" i="1"/>
  <c r="AI23" i="1"/>
  <c r="AJ23" i="1"/>
  <c r="AK23" i="1"/>
  <c r="AL23" i="1"/>
  <c r="AM23" i="1"/>
  <c r="AN23" i="1"/>
  <c r="AG24" i="1"/>
  <c r="AH24" i="1"/>
  <c r="AI24" i="1"/>
  <c r="AJ24" i="1"/>
  <c r="AK24" i="1"/>
  <c r="AL24" i="1"/>
  <c r="AM24" i="1"/>
  <c r="AN24" i="1"/>
  <c r="AG25" i="1"/>
  <c r="AH25" i="1"/>
  <c r="AI25" i="1"/>
  <c r="AJ25" i="1"/>
  <c r="AK25" i="1"/>
  <c r="AL25" i="1"/>
  <c r="AM25" i="1"/>
  <c r="AN25" i="1"/>
  <c r="AG26" i="1"/>
  <c r="AH26" i="1"/>
  <c r="AI26" i="1"/>
  <c r="AJ26" i="1"/>
  <c r="AK26" i="1"/>
  <c r="AL26" i="1"/>
  <c r="AM26" i="1"/>
  <c r="AN26" i="1"/>
  <c r="AN11" i="1"/>
  <c r="AM11" i="1"/>
  <c r="AL11" i="1"/>
  <c r="AK11" i="1"/>
  <c r="AJ11" i="1"/>
  <c r="AI11" i="1"/>
  <c r="AH11" i="1"/>
  <c r="AG11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H26" i="1"/>
  <c r="G26" i="1"/>
  <c r="F26" i="1"/>
  <c r="L26" i="1" s="1"/>
  <c r="E26" i="1"/>
  <c r="D26" i="1"/>
  <c r="C26" i="1"/>
  <c r="B26" i="1"/>
  <c r="A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H25" i="1"/>
  <c r="G25" i="1"/>
  <c r="F25" i="1"/>
  <c r="L25" i="1" s="1"/>
  <c r="E25" i="1"/>
  <c r="D25" i="1"/>
  <c r="C25" i="1"/>
  <c r="B25" i="1"/>
  <c r="A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H24" i="1"/>
  <c r="G24" i="1"/>
  <c r="F24" i="1"/>
  <c r="L24" i="1" s="1"/>
  <c r="E24" i="1"/>
  <c r="D24" i="1"/>
  <c r="C24" i="1"/>
  <c r="B24" i="1"/>
  <c r="A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H23" i="1"/>
  <c r="G23" i="1"/>
  <c r="F23" i="1"/>
  <c r="L23" i="1" s="1"/>
  <c r="E23" i="1"/>
  <c r="D23" i="1"/>
  <c r="C23" i="1"/>
  <c r="B23" i="1"/>
  <c r="A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H22" i="1"/>
  <c r="G22" i="1"/>
  <c r="F22" i="1"/>
  <c r="K22" i="1" s="1"/>
  <c r="E22" i="1"/>
  <c r="D22" i="1"/>
  <c r="C22" i="1"/>
  <c r="B22" i="1"/>
  <c r="A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H21" i="1"/>
  <c r="G21" i="1"/>
  <c r="F21" i="1"/>
  <c r="J21" i="1" s="1"/>
  <c r="E21" i="1"/>
  <c r="D21" i="1"/>
  <c r="C21" i="1"/>
  <c r="B21" i="1"/>
  <c r="A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H20" i="1"/>
  <c r="G20" i="1"/>
  <c r="F20" i="1"/>
  <c r="I20" i="1" s="1"/>
  <c r="E20" i="1"/>
  <c r="D20" i="1"/>
  <c r="C20" i="1"/>
  <c r="B20" i="1"/>
  <c r="A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H19" i="1"/>
  <c r="G19" i="1"/>
  <c r="F19" i="1"/>
  <c r="J19" i="1" s="1"/>
  <c r="E19" i="1"/>
  <c r="D19" i="1"/>
  <c r="C19" i="1"/>
  <c r="B19" i="1"/>
  <c r="A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H18" i="1"/>
  <c r="G18" i="1"/>
  <c r="F18" i="1"/>
  <c r="I18" i="1" s="1"/>
  <c r="E18" i="1"/>
  <c r="D18" i="1"/>
  <c r="C18" i="1"/>
  <c r="B18" i="1"/>
  <c r="A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H17" i="1"/>
  <c r="G17" i="1"/>
  <c r="F17" i="1"/>
  <c r="L17" i="1" s="1"/>
  <c r="E17" i="1"/>
  <c r="D17" i="1"/>
  <c r="C17" i="1"/>
  <c r="B17" i="1"/>
  <c r="A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H16" i="1"/>
  <c r="G16" i="1"/>
  <c r="F16" i="1"/>
  <c r="J16" i="1" s="1"/>
  <c r="E16" i="1"/>
  <c r="D16" i="1"/>
  <c r="C16" i="1"/>
  <c r="B16" i="1"/>
  <c r="A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H15" i="1"/>
  <c r="G15" i="1"/>
  <c r="F15" i="1"/>
  <c r="L15" i="1" s="1"/>
  <c r="E15" i="1"/>
  <c r="D15" i="1"/>
  <c r="C15" i="1"/>
  <c r="B15" i="1"/>
  <c r="A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H14" i="1"/>
  <c r="G14" i="1"/>
  <c r="F14" i="1"/>
  <c r="E14" i="1"/>
  <c r="D14" i="1"/>
  <c r="C14" i="1"/>
  <c r="B14" i="1"/>
  <c r="A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H13" i="1"/>
  <c r="G13" i="1"/>
  <c r="F13" i="1"/>
  <c r="J13" i="1" s="1"/>
  <c r="E13" i="1"/>
  <c r="D13" i="1"/>
  <c r="C13" i="1"/>
  <c r="B13" i="1"/>
  <c r="A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H12" i="1"/>
  <c r="G12" i="1"/>
  <c r="F12" i="1"/>
  <c r="I12" i="1" s="1"/>
  <c r="E12" i="1"/>
  <c r="D12" i="1"/>
  <c r="C12" i="1"/>
  <c r="B12" i="1"/>
  <c r="A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H11" i="1"/>
  <c r="G11" i="1"/>
  <c r="F11" i="1"/>
  <c r="L11" i="1" s="1"/>
  <c r="E11" i="1"/>
  <c r="D11" i="1"/>
  <c r="C11" i="1"/>
  <c r="B11" i="1"/>
  <c r="A11" i="1"/>
  <c r="BB12" i="5"/>
  <c r="BC12" i="5"/>
  <c r="BB13" i="5"/>
  <c r="BC13" i="5"/>
  <c r="BB14" i="5"/>
  <c r="BC14" i="5"/>
  <c r="BB15" i="5"/>
  <c r="BC15" i="5"/>
  <c r="BB16" i="5"/>
  <c r="BC16" i="5"/>
  <c r="BB17" i="5"/>
  <c r="BC17" i="5"/>
  <c r="BB18" i="5"/>
  <c r="BC18" i="5"/>
  <c r="BB19" i="5"/>
  <c r="BC19" i="5"/>
  <c r="BB20" i="5"/>
  <c r="BC20" i="5"/>
  <c r="BB21" i="5"/>
  <c r="BC21" i="5"/>
  <c r="BB22" i="5"/>
  <c r="BC22" i="5"/>
  <c r="BB23" i="5"/>
  <c r="BC23" i="5"/>
  <c r="BB24" i="5"/>
  <c r="BC24" i="5"/>
  <c r="BB25" i="5"/>
  <c r="BC25" i="5"/>
  <c r="BB26" i="5"/>
  <c r="BC26" i="5"/>
  <c r="BC11" i="5"/>
  <c r="BB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11" i="5"/>
  <c r="AU30" i="5"/>
  <c r="AU29" i="5"/>
  <c r="AU28" i="5"/>
  <c r="AU27" i="5"/>
  <c r="A26" i="5"/>
  <c r="AI26" i="5" s="1"/>
  <c r="B26" i="5"/>
  <c r="C26" i="5"/>
  <c r="D26" i="5"/>
  <c r="E26" i="5"/>
  <c r="F26" i="5"/>
  <c r="I26" i="5" s="1"/>
  <c r="G26" i="5"/>
  <c r="H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12" i="5"/>
  <c r="AI12" i="5" s="1"/>
  <c r="B12" i="5"/>
  <c r="C12" i="5"/>
  <c r="D12" i="5"/>
  <c r="E12" i="5"/>
  <c r="F12" i="5"/>
  <c r="AG12" i="5" s="1"/>
  <c r="G12" i="5"/>
  <c r="H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13" i="5"/>
  <c r="AI13" i="5" s="1"/>
  <c r="B13" i="5"/>
  <c r="C13" i="5"/>
  <c r="D13" i="5"/>
  <c r="E13" i="5"/>
  <c r="F13" i="5"/>
  <c r="I13" i="5" s="1"/>
  <c r="G13" i="5"/>
  <c r="H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14" i="5"/>
  <c r="AI14" i="5" s="1"/>
  <c r="B14" i="5"/>
  <c r="C14" i="5"/>
  <c r="D14" i="5"/>
  <c r="E14" i="5"/>
  <c r="F14" i="5"/>
  <c r="I14" i="5" s="1"/>
  <c r="G14" i="5"/>
  <c r="H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15" i="5"/>
  <c r="AI15" i="5" s="1"/>
  <c r="B15" i="5"/>
  <c r="C15" i="5"/>
  <c r="D15" i="5"/>
  <c r="E15" i="5"/>
  <c r="F15" i="5"/>
  <c r="I15" i="5" s="1"/>
  <c r="G15" i="5"/>
  <c r="H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16" i="5"/>
  <c r="AI16" i="5" s="1"/>
  <c r="B16" i="5"/>
  <c r="C16" i="5"/>
  <c r="D16" i="5"/>
  <c r="E16" i="5"/>
  <c r="F16" i="5"/>
  <c r="I16" i="5" s="1"/>
  <c r="G16" i="5"/>
  <c r="H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17" i="5"/>
  <c r="AI17" i="5" s="1"/>
  <c r="B17" i="5"/>
  <c r="C17" i="5"/>
  <c r="D17" i="5"/>
  <c r="E17" i="5"/>
  <c r="F17" i="5"/>
  <c r="L17" i="5" s="1"/>
  <c r="G17" i="5"/>
  <c r="H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18" i="5"/>
  <c r="AI18" i="5" s="1"/>
  <c r="B18" i="5"/>
  <c r="C18" i="5"/>
  <c r="D18" i="5"/>
  <c r="E18" i="5"/>
  <c r="F18" i="5"/>
  <c r="I18" i="5" s="1"/>
  <c r="G18" i="5"/>
  <c r="H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19" i="5"/>
  <c r="AK19" i="5" s="1"/>
  <c r="B19" i="5"/>
  <c r="C19" i="5"/>
  <c r="D19" i="5"/>
  <c r="E19" i="5"/>
  <c r="F19" i="5"/>
  <c r="J19" i="5" s="1"/>
  <c r="G19" i="5"/>
  <c r="H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20" i="5"/>
  <c r="AI20" i="5" s="1"/>
  <c r="B20" i="5"/>
  <c r="C20" i="5"/>
  <c r="D20" i="5"/>
  <c r="E20" i="5"/>
  <c r="F20" i="5"/>
  <c r="I20" i="5" s="1"/>
  <c r="G20" i="5"/>
  <c r="H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21" i="5"/>
  <c r="AI21" i="5" s="1"/>
  <c r="B21" i="5"/>
  <c r="C21" i="5"/>
  <c r="D21" i="5"/>
  <c r="E21" i="5"/>
  <c r="F21" i="5"/>
  <c r="K21" i="5" s="1"/>
  <c r="G21" i="5"/>
  <c r="H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22" i="5"/>
  <c r="AI22" i="5" s="1"/>
  <c r="B22" i="5"/>
  <c r="C22" i="5"/>
  <c r="D22" i="5"/>
  <c r="E22" i="5"/>
  <c r="F22" i="5"/>
  <c r="I22" i="5" s="1"/>
  <c r="G22" i="5"/>
  <c r="H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23" i="5"/>
  <c r="AI23" i="5" s="1"/>
  <c r="B23" i="5"/>
  <c r="C23" i="5"/>
  <c r="D23" i="5"/>
  <c r="E23" i="5"/>
  <c r="F23" i="5"/>
  <c r="I23" i="5" s="1"/>
  <c r="G23" i="5"/>
  <c r="H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24" i="5"/>
  <c r="AI24" i="5" s="1"/>
  <c r="B24" i="5"/>
  <c r="C24" i="5"/>
  <c r="D24" i="5"/>
  <c r="E24" i="5"/>
  <c r="F24" i="5"/>
  <c r="I24" i="5" s="1"/>
  <c r="G24" i="5"/>
  <c r="H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25" i="5"/>
  <c r="AK25" i="5" s="1"/>
  <c r="B25" i="5"/>
  <c r="C25" i="5"/>
  <c r="D25" i="5"/>
  <c r="E25" i="5"/>
  <c r="F25" i="5"/>
  <c r="I25" i="5" s="1"/>
  <c r="G25" i="5"/>
  <c r="H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BA27" i="5"/>
  <c r="B11" i="5"/>
  <c r="C11" i="5"/>
  <c r="D11" i="5"/>
  <c r="E11" i="5"/>
  <c r="F11" i="5"/>
  <c r="J11" i="5" s="1"/>
  <c r="G11" i="5"/>
  <c r="H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11" i="5"/>
  <c r="AI11" i="5" s="1"/>
  <c r="BT30" i="6"/>
  <c r="BS30" i="6"/>
  <c r="BX30" i="6"/>
  <c r="BX29" i="6"/>
  <c r="BX28" i="6"/>
  <c r="BX27" i="6"/>
  <c r="BO16" i="1"/>
  <c r="BO17" i="1"/>
  <c r="BO18" i="1"/>
  <c r="BO24" i="1"/>
  <c r="BO25" i="1"/>
  <c r="BO26" i="1"/>
  <c r="BO12" i="1"/>
  <c r="BA30" i="5"/>
  <c r="BA29" i="5"/>
  <c r="BA28" i="5"/>
  <c r="BO26" i="12" l="1"/>
  <c r="BO24" i="12"/>
  <c r="BO23" i="12"/>
  <c r="BO22" i="12"/>
  <c r="BO20" i="12"/>
  <c r="BO19" i="12"/>
  <c r="BP26" i="7"/>
  <c r="BQ26" i="7"/>
  <c r="BQ25" i="7"/>
  <c r="BP25" i="7"/>
  <c r="BP24" i="7"/>
  <c r="BQ24" i="7"/>
  <c r="BP23" i="7"/>
  <c r="BR23" i="7" s="1"/>
  <c r="BQ23" i="7"/>
  <c r="BP22" i="7"/>
  <c r="BQ22" i="7"/>
  <c r="BQ21" i="7"/>
  <c r="BP21" i="7"/>
  <c r="BP20" i="7"/>
  <c r="BQ20" i="7"/>
  <c r="BQ19" i="7"/>
  <c r="BP19" i="7"/>
  <c r="BR19" i="7" s="1"/>
  <c r="BQ18" i="7"/>
  <c r="BP18" i="7"/>
  <c r="BQ17" i="7"/>
  <c r="BP17" i="7"/>
  <c r="BP15" i="7"/>
  <c r="BQ15" i="7"/>
  <c r="BP14" i="7"/>
  <c r="BQ14" i="7"/>
  <c r="BP13" i="7"/>
  <c r="BQ13" i="7"/>
  <c r="BQ12" i="7"/>
  <c r="BP12" i="7"/>
  <c r="BP11" i="7"/>
  <c r="BR11" i="7" s="1"/>
  <c r="BQ11" i="7"/>
  <c r="AZ12" i="12"/>
  <c r="BA12" i="12" s="1"/>
  <c r="AZ15" i="12"/>
  <c r="BA15" i="12" s="1"/>
  <c r="AZ24" i="12"/>
  <c r="BA24" i="12" s="1"/>
  <c r="BB24" i="12" s="1"/>
  <c r="BF24" i="12" s="1"/>
  <c r="BC18" i="12"/>
  <c r="BG18" i="12" s="1"/>
  <c r="BB18" i="12"/>
  <c r="BF18" i="12" s="1"/>
  <c r="BE18" i="12"/>
  <c r="BM18" i="12" s="1"/>
  <c r="BQ18" i="12" s="1"/>
  <c r="BD18" i="12"/>
  <c r="BH18" i="12" s="1"/>
  <c r="BC15" i="12"/>
  <c r="BG15" i="12" s="1"/>
  <c r="BB15" i="12"/>
  <c r="BF15" i="12" s="1"/>
  <c r="BE15" i="12"/>
  <c r="BM15" i="12" s="1"/>
  <c r="BQ15" i="12" s="1"/>
  <c r="BD15" i="12"/>
  <c r="BH15" i="12" s="1"/>
  <c r="BC24" i="12"/>
  <c r="BG24" i="12" s="1"/>
  <c r="BD24" i="12"/>
  <c r="BH24" i="12" s="1"/>
  <c r="BB12" i="12"/>
  <c r="BF12" i="12" s="1"/>
  <c r="BE12" i="12"/>
  <c r="BM12" i="12" s="1"/>
  <c r="BQ12" i="12" s="1"/>
  <c r="BD12" i="12"/>
  <c r="BH12" i="12" s="1"/>
  <c r="BC12" i="12"/>
  <c r="BG12" i="12" s="1"/>
  <c r="BE16" i="12"/>
  <c r="BM16" i="12" s="1"/>
  <c r="BQ16" i="12" s="1"/>
  <c r="BD16" i="12"/>
  <c r="BH16" i="12" s="1"/>
  <c r="BC16" i="12"/>
  <c r="BG16" i="12" s="1"/>
  <c r="BB16" i="12"/>
  <c r="BF16" i="12" s="1"/>
  <c r="BC21" i="12"/>
  <c r="BG21" i="12" s="1"/>
  <c r="BB21" i="12"/>
  <c r="BF21" i="12" s="1"/>
  <c r="BE21" i="12"/>
  <c r="BM21" i="12" s="1"/>
  <c r="BQ21" i="12" s="1"/>
  <c r="BD21" i="12"/>
  <c r="BH21" i="12" s="1"/>
  <c r="AY26" i="12"/>
  <c r="AZ26" i="12" s="1"/>
  <c r="BA26" i="12" s="1"/>
  <c r="BE13" i="12"/>
  <c r="BM13" i="12" s="1"/>
  <c r="BQ13" i="12" s="1"/>
  <c r="BD13" i="12"/>
  <c r="BH13" i="12" s="1"/>
  <c r="BC13" i="12"/>
  <c r="BG13" i="12" s="1"/>
  <c r="BB13" i="12"/>
  <c r="BF13" i="12" s="1"/>
  <c r="AF11" i="12"/>
  <c r="AF14" i="12"/>
  <c r="AF17" i="12"/>
  <c r="AF20" i="12"/>
  <c r="AY11" i="12"/>
  <c r="AZ11" i="12" s="1"/>
  <c r="BA11" i="12" s="1"/>
  <c r="AY14" i="12"/>
  <c r="AZ14" i="12" s="1"/>
  <c r="BA14" i="12" s="1"/>
  <c r="AY17" i="12"/>
  <c r="AZ17" i="12" s="1"/>
  <c r="BA17" i="12" s="1"/>
  <c r="AF19" i="12"/>
  <c r="AF22" i="12"/>
  <c r="AY23" i="12"/>
  <c r="AZ23" i="12" s="1"/>
  <c r="BA23" i="12" s="1"/>
  <c r="AF25" i="12"/>
  <c r="AF13" i="12"/>
  <c r="AF16" i="12"/>
  <c r="AY19" i="12"/>
  <c r="AZ19" i="12" s="1"/>
  <c r="BA19" i="12" s="1"/>
  <c r="AY25" i="12"/>
  <c r="AZ25" i="12" s="1"/>
  <c r="BA25" i="12" s="1"/>
  <c r="AF16" i="11"/>
  <c r="BA25" i="11"/>
  <c r="BE25" i="11" s="1"/>
  <c r="BW25" i="11" s="1"/>
  <c r="AY24" i="11"/>
  <c r="AZ24" i="11" s="1"/>
  <c r="BA24" i="11" s="1"/>
  <c r="AF15" i="11"/>
  <c r="AY15" i="11"/>
  <c r="AZ15" i="11" s="1"/>
  <c r="BA15" i="11" s="1"/>
  <c r="BB15" i="11" s="1"/>
  <c r="AF24" i="11"/>
  <c r="AY14" i="11"/>
  <c r="AZ14" i="11" s="1"/>
  <c r="BA14" i="11" s="1"/>
  <c r="BD14" i="11" s="1"/>
  <c r="AY22" i="11"/>
  <c r="AZ22" i="11" s="1"/>
  <c r="BA22" i="11" s="1"/>
  <c r="AF23" i="11"/>
  <c r="AY13" i="11"/>
  <c r="AZ13" i="11" s="1"/>
  <c r="AY21" i="11"/>
  <c r="AZ21" i="11" s="1"/>
  <c r="BA21" i="11" s="1"/>
  <c r="AF14" i="11"/>
  <c r="AF22" i="11"/>
  <c r="BB25" i="11"/>
  <c r="BC25" i="11"/>
  <c r="BE18" i="11"/>
  <c r="BW18" i="11" s="1"/>
  <c r="BD18" i="11"/>
  <c r="BC18" i="11"/>
  <c r="BB18" i="11"/>
  <c r="BA26" i="11"/>
  <c r="BA13" i="11"/>
  <c r="AY17" i="11"/>
  <c r="AZ17" i="11" s="1"/>
  <c r="BA17" i="11" s="1"/>
  <c r="AF11" i="11"/>
  <c r="AF12" i="11"/>
  <c r="BY27" i="11"/>
  <c r="AF19" i="11"/>
  <c r="AF20" i="11"/>
  <c r="AF18" i="11"/>
  <c r="AY20" i="11"/>
  <c r="AZ20" i="11" s="1"/>
  <c r="BA20" i="11" s="1"/>
  <c r="BY30" i="11"/>
  <c r="BA21" i="10"/>
  <c r="AY20" i="10"/>
  <c r="AZ20" i="10" s="1"/>
  <c r="BA20" i="10" s="1"/>
  <c r="BC24" i="10"/>
  <c r="BB24" i="10"/>
  <c r="BE24" i="10"/>
  <c r="BD24" i="10"/>
  <c r="BA15" i="10"/>
  <c r="BA18" i="10"/>
  <c r="AZ12" i="10"/>
  <c r="BA12" i="10" s="1"/>
  <c r="AY26" i="10"/>
  <c r="AZ26" i="10" s="1"/>
  <c r="BA26" i="10" s="1"/>
  <c r="AY16" i="10"/>
  <c r="AZ16" i="10" s="1"/>
  <c r="BA16" i="10" s="1"/>
  <c r="AZ13" i="10"/>
  <c r="BA13" i="10" s="1"/>
  <c r="AF23" i="10"/>
  <c r="AF26" i="10"/>
  <c r="AF11" i="10"/>
  <c r="AF14" i="10"/>
  <c r="AF17" i="10"/>
  <c r="AF20" i="10"/>
  <c r="AY17" i="10"/>
  <c r="AZ17" i="10" s="1"/>
  <c r="BA17" i="10" s="1"/>
  <c r="AF19" i="10"/>
  <c r="AF22" i="10"/>
  <c r="AF25" i="10"/>
  <c r="AF13" i="10"/>
  <c r="AY14" i="10"/>
  <c r="AZ14" i="10" s="1"/>
  <c r="BA14" i="10" s="1"/>
  <c r="AF16" i="10"/>
  <c r="AY19" i="10"/>
  <c r="AZ19" i="10" s="1"/>
  <c r="BA19" i="10" s="1"/>
  <c r="AY22" i="10"/>
  <c r="AZ22" i="10" s="1"/>
  <c r="BA22" i="10" s="1"/>
  <c r="AY25" i="10"/>
  <c r="AZ25" i="10" s="1"/>
  <c r="BA25" i="10" s="1"/>
  <c r="AG23" i="9"/>
  <c r="AF23" i="9" s="1"/>
  <c r="AF24" i="9"/>
  <c r="BD13" i="9"/>
  <c r="AF15" i="9"/>
  <c r="AP15" i="9" s="1"/>
  <c r="AT15" i="9" s="1"/>
  <c r="BE13" i="9"/>
  <c r="BH13" i="9" s="1"/>
  <c r="BM13" i="9" s="1"/>
  <c r="AF25" i="9"/>
  <c r="AH25" i="9"/>
  <c r="AH26" i="9"/>
  <c r="AG24" i="9"/>
  <c r="BE14" i="9"/>
  <c r="BD14" i="9"/>
  <c r="AO14" i="9"/>
  <c r="AS14" i="9" s="1"/>
  <c r="BF14" i="9"/>
  <c r="AH11" i="9"/>
  <c r="AF11" i="9"/>
  <c r="AG11" i="9"/>
  <c r="AH12" i="9"/>
  <c r="AG12" i="9"/>
  <c r="AL14" i="9"/>
  <c r="AP14" i="9" s="1"/>
  <c r="AT14" i="9" s="1"/>
  <c r="AN14" i="9"/>
  <c r="AR14" i="9" s="1"/>
  <c r="AM14" i="9"/>
  <c r="AQ14" i="9" s="1"/>
  <c r="AL15" i="9"/>
  <c r="AL16" i="9"/>
  <c r="AF16" i="9"/>
  <c r="AO13" i="9"/>
  <c r="AS13" i="9" s="1"/>
  <c r="AN13" i="9"/>
  <c r="AR13" i="9" s="1"/>
  <c r="AM13" i="9"/>
  <c r="AQ13" i="9" s="1"/>
  <c r="AL13" i="9"/>
  <c r="AP13" i="9" s="1"/>
  <c r="AT13" i="9" s="1"/>
  <c r="AH19" i="9"/>
  <c r="AG19" i="9"/>
  <c r="AF19" i="9"/>
  <c r="AF17" i="9"/>
  <c r="AH18" i="9"/>
  <c r="AL23" i="9"/>
  <c r="AL24" i="9"/>
  <c r="AG22" i="9"/>
  <c r="AG21" i="9"/>
  <c r="AH22" i="9"/>
  <c r="AG20" i="9"/>
  <c r="AH21" i="9"/>
  <c r="AF18" i="9"/>
  <c r="BM16" i="7"/>
  <c r="BL16" i="7"/>
  <c r="BO16" i="7"/>
  <c r="AY11" i="7"/>
  <c r="J12" i="7"/>
  <c r="AF13" i="7"/>
  <c r="AF14" i="7"/>
  <c r="L11" i="7"/>
  <c r="K12" i="7"/>
  <c r="AY12" i="7" s="1"/>
  <c r="AZ12" i="7" s="1"/>
  <c r="BA12" i="7" s="1"/>
  <c r="BB12" i="7" s="1"/>
  <c r="BF12" i="7" s="1"/>
  <c r="I13" i="7"/>
  <c r="I19" i="7"/>
  <c r="AF20" i="7"/>
  <c r="J13" i="7"/>
  <c r="K13" i="7"/>
  <c r="I14" i="7"/>
  <c r="I15" i="7"/>
  <c r="J19" i="7"/>
  <c r="I20" i="7"/>
  <c r="AY20" i="7" s="1"/>
  <c r="AZ20" i="7" s="1"/>
  <c r="BA20" i="7" s="1"/>
  <c r="AF23" i="7"/>
  <c r="K19" i="7"/>
  <c r="AY19" i="7" s="1"/>
  <c r="AZ19" i="7" s="1"/>
  <c r="BA19" i="7" s="1"/>
  <c r="BD19" i="7" s="1"/>
  <c r="BH19" i="7" s="1"/>
  <c r="AF22" i="7"/>
  <c r="L19" i="7"/>
  <c r="AY21" i="7"/>
  <c r="AZ21" i="7" s="1"/>
  <c r="BA21" i="7" s="1"/>
  <c r="BC12" i="7"/>
  <c r="BG12" i="7" s="1"/>
  <c r="AY15" i="7"/>
  <c r="AZ15" i="7" s="1"/>
  <c r="BA15" i="7" s="1"/>
  <c r="BE19" i="7"/>
  <c r="L16" i="7"/>
  <c r="K17" i="7"/>
  <c r="J18" i="7"/>
  <c r="L24" i="7"/>
  <c r="K25" i="7"/>
  <c r="J26" i="7"/>
  <c r="L17" i="7"/>
  <c r="K18" i="7"/>
  <c r="AY18" i="7" s="1"/>
  <c r="AZ18" i="7" s="1"/>
  <c r="BA18" i="7" s="1"/>
  <c r="L25" i="7"/>
  <c r="K26" i="7"/>
  <c r="AY26" i="7" s="1"/>
  <c r="AZ26" i="7" s="1"/>
  <c r="BA26" i="7" s="1"/>
  <c r="AF16" i="7"/>
  <c r="K14" i="7"/>
  <c r="AY14" i="7" s="1"/>
  <c r="AZ14" i="7" s="1"/>
  <c r="BA14" i="7" s="1"/>
  <c r="J15" i="7"/>
  <c r="I16" i="7"/>
  <c r="AY16" i="7" s="1"/>
  <c r="AF17" i="7"/>
  <c r="K22" i="7"/>
  <c r="AY22" i="7" s="1"/>
  <c r="AZ22" i="7" s="1"/>
  <c r="BA22" i="7" s="1"/>
  <c r="J23" i="7"/>
  <c r="I24" i="7"/>
  <c r="AY24" i="7" s="1"/>
  <c r="AF25" i="7"/>
  <c r="AF24" i="7"/>
  <c r="K15" i="7"/>
  <c r="J16" i="7"/>
  <c r="I17" i="7"/>
  <c r="AF18" i="7"/>
  <c r="K23" i="7"/>
  <c r="AY23" i="7" s="1"/>
  <c r="AZ23" i="7" s="1"/>
  <c r="BA23" i="7" s="1"/>
  <c r="J24" i="7"/>
  <c r="I25" i="7"/>
  <c r="AY25" i="7" s="1"/>
  <c r="AZ25" i="7" s="1"/>
  <c r="BA25" i="7" s="1"/>
  <c r="AF26" i="7"/>
  <c r="AG18" i="5"/>
  <c r="L23" i="5"/>
  <c r="I21" i="6"/>
  <c r="I22" i="6"/>
  <c r="K21" i="6"/>
  <c r="J21" i="6"/>
  <c r="AF22" i="6"/>
  <c r="L26" i="6"/>
  <c r="L12" i="6"/>
  <c r="K20" i="6"/>
  <c r="AF12" i="6"/>
  <c r="L20" i="6"/>
  <c r="J11" i="6"/>
  <c r="I12" i="6"/>
  <c r="K11" i="6"/>
  <c r="J12" i="6"/>
  <c r="L11" i="6"/>
  <c r="AF14" i="6"/>
  <c r="AF15" i="6"/>
  <c r="I13" i="6"/>
  <c r="I14" i="6"/>
  <c r="L15" i="6"/>
  <c r="J13" i="6"/>
  <c r="J18" i="6"/>
  <c r="J19" i="6"/>
  <c r="AF20" i="6"/>
  <c r="I19" i="6"/>
  <c r="AF11" i="6"/>
  <c r="K13" i="6"/>
  <c r="L18" i="6"/>
  <c r="K19" i="6"/>
  <c r="I15" i="6"/>
  <c r="AF19" i="6"/>
  <c r="AF23" i="6"/>
  <c r="J20" i="6"/>
  <c r="I23" i="6"/>
  <c r="L16" i="6"/>
  <c r="K17" i="6"/>
  <c r="L24" i="6"/>
  <c r="K25" i="6"/>
  <c r="AF13" i="6"/>
  <c r="L17" i="6"/>
  <c r="K18" i="6"/>
  <c r="AF21" i="6"/>
  <c r="L25" i="6"/>
  <c r="K26" i="6"/>
  <c r="J22" i="6"/>
  <c r="AF24" i="6"/>
  <c r="K14" i="6"/>
  <c r="J15" i="6"/>
  <c r="I16" i="6"/>
  <c r="AF17" i="6"/>
  <c r="K22" i="6"/>
  <c r="J23" i="6"/>
  <c r="I24" i="6"/>
  <c r="AF25" i="6"/>
  <c r="AF16" i="6"/>
  <c r="L14" i="6"/>
  <c r="J16" i="6"/>
  <c r="I17" i="6"/>
  <c r="AF18" i="6"/>
  <c r="J24" i="6"/>
  <c r="I25" i="6"/>
  <c r="AF26" i="6"/>
  <c r="I25" i="1"/>
  <c r="J26" i="1"/>
  <c r="J25" i="1"/>
  <c r="I26" i="1"/>
  <c r="K25" i="1"/>
  <c r="K26" i="1"/>
  <c r="L22" i="1"/>
  <c r="K18" i="1"/>
  <c r="I17" i="1"/>
  <c r="J17" i="1"/>
  <c r="K17" i="1"/>
  <c r="K19" i="1"/>
  <c r="L18" i="1"/>
  <c r="L13" i="1"/>
  <c r="L19" i="1"/>
  <c r="J18" i="1"/>
  <c r="J12" i="1"/>
  <c r="K21" i="1"/>
  <c r="I11" i="1"/>
  <c r="L21" i="1"/>
  <c r="J11" i="1"/>
  <c r="L12" i="1"/>
  <c r="J20" i="1"/>
  <c r="L14" i="1"/>
  <c r="I19" i="1"/>
  <c r="BA19" i="1" s="1"/>
  <c r="K20" i="1"/>
  <c r="L20" i="1"/>
  <c r="I16" i="1"/>
  <c r="I24" i="1"/>
  <c r="J24" i="1"/>
  <c r="I15" i="1"/>
  <c r="I23" i="1"/>
  <c r="I14" i="1"/>
  <c r="J15" i="1"/>
  <c r="K16" i="1"/>
  <c r="I22" i="1"/>
  <c r="J23" i="1"/>
  <c r="K24" i="1"/>
  <c r="I13" i="1"/>
  <c r="J14" i="1"/>
  <c r="K15" i="1"/>
  <c r="L16" i="1"/>
  <c r="I21" i="1"/>
  <c r="J22" i="1"/>
  <c r="K23" i="1"/>
  <c r="J21" i="5"/>
  <c r="L19" i="5"/>
  <c r="L25" i="5"/>
  <c r="K19" i="5"/>
  <c r="L13" i="5"/>
  <c r="I21" i="5"/>
  <c r="J13" i="5"/>
  <c r="AF13" i="5" s="1"/>
  <c r="J23" i="5"/>
  <c r="L15" i="5"/>
  <c r="K13" i="5"/>
  <c r="K23" i="5"/>
  <c r="I11" i="5"/>
  <c r="K15" i="5"/>
  <c r="L11" i="5"/>
  <c r="L21" i="5"/>
  <c r="J15" i="5"/>
  <c r="K11" i="5"/>
  <c r="K25" i="5"/>
  <c r="J25" i="5"/>
  <c r="J17" i="5"/>
  <c r="L26" i="5"/>
  <c r="L24" i="5"/>
  <c r="L22" i="5"/>
  <c r="L20" i="5"/>
  <c r="L18" i="5"/>
  <c r="L16" i="5"/>
  <c r="L14" i="5"/>
  <c r="L12" i="5"/>
  <c r="K17" i="5"/>
  <c r="I17" i="5"/>
  <c r="K26" i="5"/>
  <c r="K24" i="5"/>
  <c r="K22" i="5"/>
  <c r="K20" i="5"/>
  <c r="K18" i="5"/>
  <c r="K16" i="5"/>
  <c r="K14" i="5"/>
  <c r="K12" i="5"/>
  <c r="I19" i="5"/>
  <c r="J26" i="5"/>
  <c r="J24" i="5"/>
  <c r="J22" i="5"/>
  <c r="J20" i="5"/>
  <c r="J18" i="5"/>
  <c r="AF18" i="5" s="1"/>
  <c r="J16" i="5"/>
  <c r="J14" i="5"/>
  <c r="J12" i="5"/>
  <c r="I12" i="5"/>
  <c r="AW16" i="5"/>
  <c r="AW12" i="5"/>
  <c r="AY20" i="5"/>
  <c r="AY24" i="5"/>
  <c r="AV20" i="5"/>
  <c r="AY16" i="5"/>
  <c r="AV12" i="5"/>
  <c r="AY12" i="5"/>
  <c r="AW24" i="5"/>
  <c r="AL20" i="5"/>
  <c r="AW20" i="5"/>
  <c r="AL12" i="5"/>
  <c r="AV11" i="5"/>
  <c r="AV19" i="5"/>
  <c r="AW11" i="5"/>
  <c r="AX23" i="5"/>
  <c r="AX19" i="5"/>
  <c r="AX15" i="5"/>
  <c r="AY11" i="5"/>
  <c r="AZ23" i="5"/>
  <c r="AZ19" i="5"/>
  <c r="AZ15" i="5"/>
  <c r="AL11" i="5"/>
  <c r="AL19" i="5"/>
  <c r="AV26" i="5"/>
  <c r="AV18" i="5"/>
  <c r="AX11" i="5"/>
  <c r="AW23" i="5"/>
  <c r="AW19" i="5"/>
  <c r="AW15" i="5"/>
  <c r="AZ11" i="5"/>
  <c r="AY23" i="5"/>
  <c r="AY19" i="5"/>
  <c r="AY15" i="5"/>
  <c r="AL26" i="5"/>
  <c r="AL18" i="5"/>
  <c r="AV25" i="5"/>
  <c r="AV17" i="5"/>
  <c r="AX26" i="5"/>
  <c r="AX22" i="5"/>
  <c r="AX18" i="5"/>
  <c r="AX14" i="5"/>
  <c r="AZ26" i="5"/>
  <c r="AZ22" i="5"/>
  <c r="AZ18" i="5"/>
  <c r="AZ14" i="5"/>
  <c r="AL25" i="5"/>
  <c r="AL17" i="5"/>
  <c r="AV24" i="5"/>
  <c r="AV16" i="5"/>
  <c r="AW26" i="5"/>
  <c r="AW22" i="5"/>
  <c r="AW18" i="5"/>
  <c r="AW14" i="5"/>
  <c r="AY26" i="5"/>
  <c r="AY22" i="5"/>
  <c r="AY18" i="5"/>
  <c r="AY14" i="5"/>
  <c r="AL24" i="5"/>
  <c r="AL16" i="5"/>
  <c r="AV23" i="5"/>
  <c r="AV15" i="5"/>
  <c r="AX25" i="5"/>
  <c r="AX21" i="5"/>
  <c r="AX17" i="5"/>
  <c r="AX13" i="5"/>
  <c r="AZ25" i="5"/>
  <c r="AZ21" i="5"/>
  <c r="AZ17" i="5"/>
  <c r="AZ13" i="5"/>
  <c r="AL23" i="5"/>
  <c r="AL15" i="5"/>
  <c r="AV22" i="5"/>
  <c r="AV14" i="5"/>
  <c r="AW25" i="5"/>
  <c r="AW21" i="5"/>
  <c r="AW17" i="5"/>
  <c r="AW13" i="5"/>
  <c r="AY25" i="5"/>
  <c r="AY21" i="5"/>
  <c r="AY17" i="5"/>
  <c r="AY13" i="5"/>
  <c r="AL22" i="5"/>
  <c r="AL14" i="5"/>
  <c r="AV21" i="5"/>
  <c r="AV13" i="5"/>
  <c r="AX24" i="5"/>
  <c r="AX20" i="5"/>
  <c r="AX16" i="5"/>
  <c r="AX12" i="5"/>
  <c r="AZ24" i="5"/>
  <c r="AZ20" i="5"/>
  <c r="AZ16" i="5"/>
  <c r="AZ12" i="5"/>
  <c r="AL21" i="5"/>
  <c r="AL13" i="5"/>
  <c r="AJ19" i="5"/>
  <c r="AH25" i="5"/>
  <c r="AI19" i="5"/>
  <c r="AJ25" i="5"/>
  <c r="AI25" i="5"/>
  <c r="AG24" i="5"/>
  <c r="AJ11" i="5"/>
  <c r="AG21" i="5"/>
  <c r="AK11" i="5"/>
  <c r="AK23" i="5"/>
  <c r="AK21" i="5"/>
  <c r="AK17" i="5"/>
  <c r="AK15" i="5"/>
  <c r="AK13" i="5"/>
  <c r="AJ23" i="5"/>
  <c r="AJ21" i="5"/>
  <c r="AJ17" i="5"/>
  <c r="AJ15" i="5"/>
  <c r="AJ13" i="5"/>
  <c r="AK26" i="5"/>
  <c r="AK24" i="5"/>
  <c r="AK22" i="5"/>
  <c r="AK20" i="5"/>
  <c r="AK18" i="5"/>
  <c r="AK16" i="5"/>
  <c r="AK14" i="5"/>
  <c r="AK12" i="5"/>
  <c r="AJ26" i="5"/>
  <c r="AJ24" i="5"/>
  <c r="AJ22" i="5"/>
  <c r="AJ20" i="5"/>
  <c r="AJ18" i="5"/>
  <c r="AJ16" i="5"/>
  <c r="AJ14" i="5"/>
  <c r="AJ12" i="5"/>
  <c r="BO19" i="1"/>
  <c r="BO23" i="1"/>
  <c r="BO22" i="1"/>
  <c r="BO14" i="1"/>
  <c r="BO11" i="1"/>
  <c r="BO15" i="1"/>
  <c r="BO21" i="1"/>
  <c r="BO13" i="1"/>
  <c r="BO20" i="1"/>
  <c r="BU30" i="6"/>
  <c r="BU29" i="6"/>
  <c r="BU28" i="6"/>
  <c r="BU27" i="6"/>
  <c r="AG15" i="5"/>
  <c r="AG28" i="5"/>
  <c r="AF28" i="5" s="1"/>
  <c r="AG13" i="5"/>
  <c r="AG14" i="5"/>
  <c r="AG20" i="5"/>
  <c r="AG16" i="5"/>
  <c r="AG19" i="5"/>
  <c r="AG22" i="5"/>
  <c r="AF22" i="5" s="1"/>
  <c r="AH17" i="5"/>
  <c r="AH12" i="5"/>
  <c r="AH18" i="5"/>
  <c r="AH11" i="5"/>
  <c r="AG17" i="5"/>
  <c r="AG23" i="5"/>
  <c r="AG29" i="5"/>
  <c r="AH29" i="5"/>
  <c r="AH23" i="5"/>
  <c r="AH14" i="5"/>
  <c r="AH20" i="5"/>
  <c r="AH21" i="5"/>
  <c r="AG27" i="5"/>
  <c r="AF29" i="5"/>
  <c r="AH27" i="5"/>
  <c r="AG30" i="5"/>
  <c r="AH30" i="5"/>
  <c r="AH15" i="5"/>
  <c r="AH16" i="5"/>
  <c r="AF30" i="5"/>
  <c r="AH22" i="5"/>
  <c r="AG25" i="5"/>
  <c r="AG26" i="5"/>
  <c r="AH28" i="5"/>
  <c r="AH24" i="5"/>
  <c r="AG11" i="5"/>
  <c r="AH13" i="5"/>
  <c r="AH19" i="5"/>
  <c r="AH26" i="5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I16" i="12" l="1"/>
  <c r="BL16" i="12" s="1"/>
  <c r="BP16" i="12" s="1"/>
  <c r="BI13" i="12"/>
  <c r="BL13" i="12" s="1"/>
  <c r="BP13" i="12" s="1"/>
  <c r="BE24" i="12"/>
  <c r="BM24" i="12" s="1"/>
  <c r="BQ24" i="12" s="1"/>
  <c r="BE11" i="12"/>
  <c r="BM11" i="12" s="1"/>
  <c r="BQ11" i="12" s="1"/>
  <c r="BD11" i="12"/>
  <c r="BH11" i="12" s="1"/>
  <c r="BC11" i="12"/>
  <c r="BG11" i="12" s="1"/>
  <c r="BB11" i="12"/>
  <c r="BF11" i="12" s="1"/>
  <c r="BI11" i="12" s="1"/>
  <c r="BL11" i="12" s="1"/>
  <c r="BP11" i="12" s="1"/>
  <c r="BE14" i="12"/>
  <c r="BM14" i="12" s="1"/>
  <c r="BQ14" i="12" s="1"/>
  <c r="BD14" i="12"/>
  <c r="BH14" i="12" s="1"/>
  <c r="BC14" i="12"/>
  <c r="BG14" i="12" s="1"/>
  <c r="BB14" i="12"/>
  <c r="BF14" i="12" s="1"/>
  <c r="BE23" i="12"/>
  <c r="BM23" i="12" s="1"/>
  <c r="BQ23" i="12" s="1"/>
  <c r="BD23" i="12"/>
  <c r="BH23" i="12" s="1"/>
  <c r="BC23" i="12"/>
  <c r="BG23" i="12" s="1"/>
  <c r="BB23" i="12"/>
  <c r="BF23" i="12" s="1"/>
  <c r="BI23" i="12" s="1"/>
  <c r="BL23" i="12" s="1"/>
  <c r="BP23" i="12" s="1"/>
  <c r="BE17" i="12"/>
  <c r="BM17" i="12" s="1"/>
  <c r="BQ17" i="12" s="1"/>
  <c r="BD17" i="12"/>
  <c r="BH17" i="12" s="1"/>
  <c r="BC17" i="12"/>
  <c r="BG17" i="12" s="1"/>
  <c r="BB17" i="12"/>
  <c r="BF17" i="12" s="1"/>
  <c r="BE26" i="12"/>
  <c r="BM26" i="12" s="1"/>
  <c r="BQ26" i="12" s="1"/>
  <c r="BD26" i="12"/>
  <c r="BH26" i="12" s="1"/>
  <c r="BC26" i="12"/>
  <c r="BG26" i="12" s="1"/>
  <c r="BB26" i="12"/>
  <c r="BF26" i="12" s="1"/>
  <c r="BI26" i="12" s="1"/>
  <c r="BL26" i="12" s="1"/>
  <c r="BP26" i="12" s="1"/>
  <c r="BE19" i="12"/>
  <c r="BM19" i="12" s="1"/>
  <c r="BQ19" i="12" s="1"/>
  <c r="BD19" i="12"/>
  <c r="BH19" i="12" s="1"/>
  <c r="BC19" i="12"/>
  <c r="BG19" i="12" s="1"/>
  <c r="BB19" i="12"/>
  <c r="BF19" i="12" s="1"/>
  <c r="BI24" i="12"/>
  <c r="BL24" i="12" s="1"/>
  <c r="BP24" i="12" s="1"/>
  <c r="BE25" i="12"/>
  <c r="BM25" i="12" s="1"/>
  <c r="BQ25" i="12" s="1"/>
  <c r="BD25" i="12"/>
  <c r="BH25" i="12" s="1"/>
  <c r="BC25" i="12"/>
  <c r="BG25" i="12" s="1"/>
  <c r="BB25" i="12"/>
  <c r="BF25" i="12" s="1"/>
  <c r="BI25" i="12" s="1"/>
  <c r="BL25" i="12" s="1"/>
  <c r="BP25" i="12" s="1"/>
  <c r="AY22" i="12"/>
  <c r="AZ22" i="12" s="1"/>
  <c r="BA22" i="12" s="1"/>
  <c r="BI21" i="12"/>
  <c r="BL21" i="12" s="1"/>
  <c r="BP21" i="12" s="1"/>
  <c r="BI18" i="12"/>
  <c r="BL18" i="12" s="1"/>
  <c r="BP18" i="12" s="1"/>
  <c r="AY20" i="12"/>
  <c r="AZ20" i="12" s="1"/>
  <c r="BA20" i="12" s="1"/>
  <c r="BI12" i="12"/>
  <c r="BL12" i="12" s="1"/>
  <c r="BP12" i="12" s="1"/>
  <c r="BI15" i="12"/>
  <c r="BL15" i="12" s="1"/>
  <c r="BP15" i="12" s="1"/>
  <c r="BC24" i="11"/>
  <c r="BB24" i="11"/>
  <c r="BD24" i="11"/>
  <c r="BE24" i="11"/>
  <c r="BW24" i="11" s="1"/>
  <c r="BC14" i="11"/>
  <c r="BG14" i="11" s="1"/>
  <c r="AY16" i="11"/>
  <c r="AZ16" i="11" s="1"/>
  <c r="BA16" i="11" s="1"/>
  <c r="BC15" i="11"/>
  <c r="BO15" i="11" s="1"/>
  <c r="BD15" i="11"/>
  <c r="BP15" i="11" s="1"/>
  <c r="BB14" i="11"/>
  <c r="BF14" i="11" s="1"/>
  <c r="BE14" i="11"/>
  <c r="BW14" i="11" s="1"/>
  <c r="BE15" i="11"/>
  <c r="BW15" i="11" s="1"/>
  <c r="BD25" i="11"/>
  <c r="BP25" i="11" s="1"/>
  <c r="AY23" i="11"/>
  <c r="AZ23" i="11" s="1"/>
  <c r="BA23" i="11" s="1"/>
  <c r="BE21" i="11"/>
  <c r="BW21" i="11" s="1"/>
  <c r="BD21" i="11"/>
  <c r="BC21" i="11"/>
  <c r="BB21" i="11"/>
  <c r="BE22" i="11"/>
  <c r="BW22" i="11" s="1"/>
  <c r="BD22" i="11"/>
  <c r="BC22" i="11"/>
  <c r="BB22" i="11"/>
  <c r="BO14" i="11"/>
  <c r="BP18" i="11"/>
  <c r="BH18" i="11"/>
  <c r="BD17" i="11"/>
  <c r="BC17" i="11"/>
  <c r="BB17" i="11"/>
  <c r="BE17" i="11"/>
  <c r="BW17" i="11" s="1"/>
  <c r="BE20" i="11"/>
  <c r="BW20" i="11" s="1"/>
  <c r="BD20" i="11"/>
  <c r="BC20" i="11"/>
  <c r="BB20" i="11"/>
  <c r="BN25" i="11"/>
  <c r="BF25" i="11"/>
  <c r="BP14" i="11"/>
  <c r="BH14" i="11"/>
  <c r="BN24" i="11"/>
  <c r="BF24" i="11"/>
  <c r="AY12" i="11"/>
  <c r="AZ12" i="11" s="1"/>
  <c r="BA12" i="11" s="1"/>
  <c r="BC26" i="11"/>
  <c r="BB26" i="11"/>
  <c r="BE26" i="11"/>
  <c r="BW26" i="11" s="1"/>
  <c r="BD26" i="11"/>
  <c r="BN15" i="11"/>
  <c r="BF15" i="11"/>
  <c r="BO24" i="11"/>
  <c r="BG24" i="11"/>
  <c r="AY19" i="11"/>
  <c r="AZ19" i="11" s="1"/>
  <c r="BA19" i="11" s="1"/>
  <c r="BP24" i="11"/>
  <c r="BH24" i="11"/>
  <c r="BN18" i="11"/>
  <c r="BF18" i="11"/>
  <c r="AY11" i="11"/>
  <c r="AZ11" i="11" s="1"/>
  <c r="BA11" i="11" s="1"/>
  <c r="BE13" i="11"/>
  <c r="BW13" i="11" s="1"/>
  <c r="BD13" i="11"/>
  <c r="BC13" i="11"/>
  <c r="BB13" i="11"/>
  <c r="BO18" i="11"/>
  <c r="BG18" i="11"/>
  <c r="BO25" i="11"/>
  <c r="BG25" i="11"/>
  <c r="BE16" i="10"/>
  <c r="BD16" i="10"/>
  <c r="BC16" i="10"/>
  <c r="BB16" i="10"/>
  <c r="BE25" i="10"/>
  <c r="BD25" i="10"/>
  <c r="BC25" i="10"/>
  <c r="BB25" i="10"/>
  <c r="BE14" i="10"/>
  <c r="BD14" i="10"/>
  <c r="BC14" i="10"/>
  <c r="BB14" i="10"/>
  <c r="BE19" i="10"/>
  <c r="BD19" i="10"/>
  <c r="BC19" i="10"/>
  <c r="BB19" i="10"/>
  <c r="BE13" i="10"/>
  <c r="BB13" i="10"/>
  <c r="BD13" i="10"/>
  <c r="BC13" i="10"/>
  <c r="BB12" i="10"/>
  <c r="BD12" i="10"/>
  <c r="BE12" i="10"/>
  <c r="BC12" i="10"/>
  <c r="BC15" i="10"/>
  <c r="BB15" i="10"/>
  <c r="BE15" i="10"/>
  <c r="BD15" i="10"/>
  <c r="BE20" i="10"/>
  <c r="BD20" i="10"/>
  <c r="BC20" i="10"/>
  <c r="BB20" i="10"/>
  <c r="BS24" i="10"/>
  <c r="BX24" i="10"/>
  <c r="BE17" i="10"/>
  <c r="BD17" i="10"/>
  <c r="BC17" i="10"/>
  <c r="BB17" i="10"/>
  <c r="BE22" i="10"/>
  <c r="BD22" i="10"/>
  <c r="BC22" i="10"/>
  <c r="BB22" i="10"/>
  <c r="AY11" i="10"/>
  <c r="AZ11" i="10" s="1"/>
  <c r="BA11" i="10" s="1"/>
  <c r="BP24" i="10"/>
  <c r="BF24" i="10"/>
  <c r="BC21" i="10"/>
  <c r="BB21" i="10"/>
  <c r="BE21" i="10"/>
  <c r="BD21" i="10"/>
  <c r="BC18" i="10"/>
  <c r="BB18" i="10"/>
  <c r="BE18" i="10"/>
  <c r="BD18" i="10"/>
  <c r="AY23" i="10"/>
  <c r="AZ23" i="10" s="1"/>
  <c r="BA23" i="10" s="1"/>
  <c r="BE26" i="10"/>
  <c r="BD26" i="10"/>
  <c r="BC26" i="10"/>
  <c r="BB26" i="10"/>
  <c r="BR24" i="10"/>
  <c r="BH24" i="10"/>
  <c r="BQ24" i="10"/>
  <c r="BG24" i="10"/>
  <c r="AN15" i="9"/>
  <c r="AR15" i="9" s="1"/>
  <c r="BI13" i="9"/>
  <c r="BN13" i="9" s="1"/>
  <c r="BE15" i="9"/>
  <c r="BD15" i="9"/>
  <c r="AM15" i="9"/>
  <c r="AQ15" i="9" s="1"/>
  <c r="AO15" i="9"/>
  <c r="AS15" i="9" s="1"/>
  <c r="AU15" i="9" s="1"/>
  <c r="BF15" i="9"/>
  <c r="BH15" i="9" s="1"/>
  <c r="BM15" i="9" s="1"/>
  <c r="BK13" i="9"/>
  <c r="BP13" i="9" s="1"/>
  <c r="BJ13" i="9"/>
  <c r="BO13" i="9" s="1"/>
  <c r="BL13" i="9"/>
  <c r="BQ13" i="9" s="1"/>
  <c r="BF25" i="9"/>
  <c r="BD25" i="9"/>
  <c r="AP25" i="9"/>
  <c r="AT25" i="9" s="1"/>
  <c r="AM25" i="9"/>
  <c r="AQ25" i="9" s="1"/>
  <c r="BE25" i="9"/>
  <c r="BJ25" i="9" s="1"/>
  <c r="BO25" i="9" s="1"/>
  <c r="BF24" i="9"/>
  <c r="AP24" i="9"/>
  <c r="AT24" i="9" s="1"/>
  <c r="BE24" i="9"/>
  <c r="BG24" i="9" s="1"/>
  <c r="AO24" i="9"/>
  <c r="AS24" i="9" s="1"/>
  <c r="BD24" i="9"/>
  <c r="AO23" i="9"/>
  <c r="AS23" i="9" s="1"/>
  <c r="BD23" i="9"/>
  <c r="AM23" i="9"/>
  <c r="AQ23" i="9" s="1"/>
  <c r="BF23" i="9"/>
  <c r="AP23" i="9"/>
  <c r="AT23" i="9" s="1"/>
  <c r="BE23" i="9"/>
  <c r="BH23" i="9" s="1"/>
  <c r="BM23" i="9" s="1"/>
  <c r="AM24" i="9"/>
  <c r="AQ24" i="9" s="1"/>
  <c r="AN23" i="9"/>
  <c r="AR23" i="9" s="1"/>
  <c r="BG13" i="9"/>
  <c r="AN24" i="9"/>
  <c r="AR24" i="9" s="1"/>
  <c r="AU14" i="9"/>
  <c r="AF26" i="9"/>
  <c r="AO25" i="9"/>
  <c r="AS25" i="9" s="1"/>
  <c r="AN25" i="9"/>
  <c r="AR25" i="9" s="1"/>
  <c r="BF11" i="9"/>
  <c r="AP11" i="9"/>
  <c r="AT11" i="9" s="1"/>
  <c r="BE11" i="9"/>
  <c r="BD11" i="9"/>
  <c r="AN11" i="9"/>
  <c r="AR11" i="9" s="1"/>
  <c r="AM11" i="9"/>
  <c r="AQ11" i="9" s="1"/>
  <c r="AO11" i="9"/>
  <c r="AS11" i="9" s="1"/>
  <c r="BE18" i="9"/>
  <c r="AO18" i="9"/>
  <c r="AS18" i="9" s="1"/>
  <c r="BD18" i="9"/>
  <c r="AN18" i="9"/>
  <c r="AR18" i="9" s="1"/>
  <c r="AM18" i="9"/>
  <c r="AQ18" i="9" s="1"/>
  <c r="BF18" i="9"/>
  <c r="AP18" i="9"/>
  <c r="AT18" i="9" s="1"/>
  <c r="AF21" i="9"/>
  <c r="BD17" i="9"/>
  <c r="AN17" i="9"/>
  <c r="AR17" i="9" s="1"/>
  <c r="AM17" i="9"/>
  <c r="AQ17" i="9" s="1"/>
  <c r="BE17" i="9"/>
  <c r="AO17" i="9"/>
  <c r="AS17" i="9" s="1"/>
  <c r="BF17" i="9"/>
  <c r="AP17" i="9"/>
  <c r="AT17" i="9" s="1"/>
  <c r="BJ14" i="9"/>
  <c r="BO14" i="9" s="1"/>
  <c r="BI14" i="9"/>
  <c r="BN14" i="9" s="1"/>
  <c r="BH14" i="9"/>
  <c r="BM14" i="9" s="1"/>
  <c r="BG14" i="9"/>
  <c r="BK14" i="9"/>
  <c r="BP14" i="9" s="1"/>
  <c r="BL14" i="9"/>
  <c r="BQ14" i="9" s="1"/>
  <c r="AF22" i="9"/>
  <c r="AF20" i="9"/>
  <c r="AM16" i="9"/>
  <c r="AQ16" i="9" s="1"/>
  <c r="BD16" i="9"/>
  <c r="AN16" i="9"/>
  <c r="AR16" i="9" s="1"/>
  <c r="AO16" i="9"/>
  <c r="AS16" i="9" s="1"/>
  <c r="BF16" i="9"/>
  <c r="BE16" i="9"/>
  <c r="AP16" i="9"/>
  <c r="AT16" i="9" s="1"/>
  <c r="BF19" i="9"/>
  <c r="AP19" i="9"/>
  <c r="AT19" i="9" s="1"/>
  <c r="BE19" i="9"/>
  <c r="AO19" i="9"/>
  <c r="AS19" i="9" s="1"/>
  <c r="BD19" i="9"/>
  <c r="AN19" i="9"/>
  <c r="AR19" i="9" s="1"/>
  <c r="AM19" i="9"/>
  <c r="AQ19" i="9" s="1"/>
  <c r="AF12" i="9"/>
  <c r="AU13" i="9"/>
  <c r="BI24" i="9"/>
  <c r="BN24" i="9" s="1"/>
  <c r="BH24" i="9"/>
  <c r="BM24" i="9" s="1"/>
  <c r="BP16" i="7"/>
  <c r="BQ16" i="7"/>
  <c r="BC20" i="7"/>
  <c r="BG20" i="7" s="1"/>
  <c r="BB20" i="7"/>
  <c r="BF20" i="7" s="1"/>
  <c r="BE20" i="7"/>
  <c r="BD20" i="7"/>
  <c r="BH20" i="7" s="1"/>
  <c r="BB21" i="7"/>
  <c r="BF21" i="7" s="1"/>
  <c r="BE21" i="7"/>
  <c r="BD21" i="7"/>
  <c r="BH21" i="7" s="1"/>
  <c r="BC21" i="7"/>
  <c r="BG21" i="7" s="1"/>
  <c r="BB19" i="7"/>
  <c r="BF19" i="7" s="1"/>
  <c r="BD12" i="7"/>
  <c r="BH12" i="7" s="1"/>
  <c r="BI12" i="7" s="1"/>
  <c r="AZ11" i="7"/>
  <c r="BA11" i="7" s="1"/>
  <c r="BC19" i="7"/>
  <c r="BG19" i="7" s="1"/>
  <c r="BE12" i="7"/>
  <c r="AY13" i="7"/>
  <c r="AZ13" i="7" s="1"/>
  <c r="BA13" i="7" s="1"/>
  <c r="BE14" i="7"/>
  <c r="BD14" i="7"/>
  <c r="BH14" i="7" s="1"/>
  <c r="BC14" i="7"/>
  <c r="BG14" i="7" s="1"/>
  <c r="BB14" i="7"/>
  <c r="BF14" i="7" s="1"/>
  <c r="BE26" i="7"/>
  <c r="BD26" i="7"/>
  <c r="BH26" i="7" s="1"/>
  <c r="BC26" i="7"/>
  <c r="BG26" i="7" s="1"/>
  <c r="BB26" i="7"/>
  <c r="BF26" i="7" s="1"/>
  <c r="BE23" i="7"/>
  <c r="BD23" i="7"/>
  <c r="BH23" i="7" s="1"/>
  <c r="BC23" i="7"/>
  <c r="BG23" i="7" s="1"/>
  <c r="BB23" i="7"/>
  <c r="BF23" i="7" s="1"/>
  <c r="BC15" i="7"/>
  <c r="BG15" i="7" s="1"/>
  <c r="BE15" i="7"/>
  <c r="BD15" i="7"/>
  <c r="BH15" i="7" s="1"/>
  <c r="BB15" i="7"/>
  <c r="BF15" i="7" s="1"/>
  <c r="BE22" i="7"/>
  <c r="BD22" i="7"/>
  <c r="BH22" i="7" s="1"/>
  <c r="BC22" i="7"/>
  <c r="BG22" i="7" s="1"/>
  <c r="BB22" i="7"/>
  <c r="BF22" i="7" s="1"/>
  <c r="BE18" i="7"/>
  <c r="BD18" i="7"/>
  <c r="BH18" i="7" s="1"/>
  <c r="BC18" i="7"/>
  <c r="BG18" i="7" s="1"/>
  <c r="BB18" i="7"/>
  <c r="BF18" i="7" s="1"/>
  <c r="BI20" i="7"/>
  <c r="BI21" i="7"/>
  <c r="BE25" i="7"/>
  <c r="BC25" i="7"/>
  <c r="BG25" i="7" s="1"/>
  <c r="BD25" i="7"/>
  <c r="BH25" i="7" s="1"/>
  <c r="BB25" i="7"/>
  <c r="BF25" i="7" s="1"/>
  <c r="AZ24" i="7"/>
  <c r="BA24" i="7" s="1"/>
  <c r="BI19" i="7"/>
  <c r="AZ16" i="7"/>
  <c r="BA16" i="7" s="1"/>
  <c r="AY17" i="7"/>
  <c r="AZ17" i="7" s="1"/>
  <c r="BA17" i="7" s="1"/>
  <c r="AF14" i="5"/>
  <c r="AF25" i="5"/>
  <c r="AF11" i="5"/>
  <c r="AQ12" i="5" s="1"/>
  <c r="AF20" i="5"/>
  <c r="AF24" i="5"/>
  <c r="AF12" i="5"/>
  <c r="BE12" i="5" s="1"/>
  <c r="AF15" i="5"/>
  <c r="AF23" i="5"/>
  <c r="BF23" i="5" s="1"/>
  <c r="BB15" i="6"/>
  <c r="BB21" i="6"/>
  <c r="BB19" i="6"/>
  <c r="BD18" i="6"/>
  <c r="BE19" i="6"/>
  <c r="BW19" i="6" s="1"/>
  <c r="BE11" i="6"/>
  <c r="BW11" i="6" s="1"/>
  <c r="BD11" i="6"/>
  <c r="BB11" i="6"/>
  <c r="BC11" i="6"/>
  <c r="BE14" i="6"/>
  <c r="BW14" i="6" s="1"/>
  <c r="BC12" i="6"/>
  <c r="BB12" i="6"/>
  <c r="BE12" i="6"/>
  <c r="BW12" i="6" s="1"/>
  <c r="BD12" i="6"/>
  <c r="BC24" i="6"/>
  <c r="BC23" i="6"/>
  <c r="BE23" i="6"/>
  <c r="BW23" i="6" s="1"/>
  <c r="BD23" i="6"/>
  <c r="BB23" i="6"/>
  <c r="BE26" i="6"/>
  <c r="BW26" i="6" s="1"/>
  <c r="BB26" i="6"/>
  <c r="BD26" i="6"/>
  <c r="BC26" i="6"/>
  <c r="BE22" i="6"/>
  <c r="BW22" i="6" s="1"/>
  <c r="BD22" i="6"/>
  <c r="BC22" i="6"/>
  <c r="BB22" i="6"/>
  <c r="BE15" i="6"/>
  <c r="BW15" i="6" s="1"/>
  <c r="BC15" i="6"/>
  <c r="BD15" i="6"/>
  <c r="BD21" i="6"/>
  <c r="BC21" i="6"/>
  <c r="BE21" i="6"/>
  <c r="BW21" i="6" s="1"/>
  <c r="BC20" i="6"/>
  <c r="BB20" i="6"/>
  <c r="BE20" i="6"/>
  <c r="BW20" i="6" s="1"/>
  <c r="BD20" i="6"/>
  <c r="BA21" i="1"/>
  <c r="BC21" i="1" s="1"/>
  <c r="BA16" i="1"/>
  <c r="BB16" i="1" s="1"/>
  <c r="BA18" i="1"/>
  <c r="BC18" i="1" s="1"/>
  <c r="BD16" i="1"/>
  <c r="BE16" i="1"/>
  <c r="BX16" i="1" s="1"/>
  <c r="BA14" i="1"/>
  <c r="BB19" i="1"/>
  <c r="BC19" i="1"/>
  <c r="BD19" i="1"/>
  <c r="BE19" i="1"/>
  <c r="BX19" i="1" s="1"/>
  <c r="BA12" i="1"/>
  <c r="BA20" i="1"/>
  <c r="BA17" i="1"/>
  <c r="BA25" i="1"/>
  <c r="BA26" i="1"/>
  <c r="BA24" i="1"/>
  <c r="BA23" i="1"/>
  <c r="BA22" i="1"/>
  <c r="BA11" i="1"/>
  <c r="BA13" i="1"/>
  <c r="BA15" i="1"/>
  <c r="AF19" i="5"/>
  <c r="AF17" i="5"/>
  <c r="AF21" i="5"/>
  <c r="AF26" i="5"/>
  <c r="AF16" i="5"/>
  <c r="AQ14" i="5"/>
  <c r="AT19" i="5"/>
  <c r="AR13" i="5"/>
  <c r="AF27" i="5"/>
  <c r="BS29" i="6"/>
  <c r="BY28" i="6"/>
  <c r="BZ28" i="6"/>
  <c r="BY29" i="6"/>
  <c r="BZ29" i="6"/>
  <c r="BY27" i="6"/>
  <c r="BZ27" i="6"/>
  <c r="BY30" i="6"/>
  <c r="BZ30" i="6"/>
  <c r="AF25" i="1"/>
  <c r="AF24" i="1"/>
  <c r="AF23" i="1"/>
  <c r="AF26" i="1"/>
  <c r="AF18" i="1"/>
  <c r="AF17" i="1"/>
  <c r="AF15" i="1"/>
  <c r="AF22" i="1"/>
  <c r="AF16" i="1"/>
  <c r="AF14" i="1"/>
  <c r="AF11" i="1"/>
  <c r="AF21" i="1"/>
  <c r="AF13" i="1"/>
  <c r="AF20" i="1"/>
  <c r="AF12" i="1"/>
  <c r="AF19" i="1"/>
  <c r="BN14" i="11" l="1"/>
  <c r="BI19" i="12"/>
  <c r="BL19" i="12" s="1"/>
  <c r="BP19" i="12" s="1"/>
  <c r="BI17" i="12"/>
  <c r="BL17" i="12" s="1"/>
  <c r="BP17" i="12" s="1"/>
  <c r="BR15" i="12" s="1"/>
  <c r="BI14" i="12"/>
  <c r="BL14" i="12" s="1"/>
  <c r="BP14" i="12" s="1"/>
  <c r="BR11" i="12" s="1"/>
  <c r="BE22" i="12"/>
  <c r="BM22" i="12" s="1"/>
  <c r="BQ22" i="12" s="1"/>
  <c r="BD22" i="12"/>
  <c r="BH22" i="12" s="1"/>
  <c r="BC22" i="12"/>
  <c r="BG22" i="12" s="1"/>
  <c r="BB22" i="12"/>
  <c r="BF22" i="12" s="1"/>
  <c r="BR23" i="12"/>
  <c r="BE20" i="12"/>
  <c r="BM20" i="12" s="1"/>
  <c r="BQ20" i="12" s="1"/>
  <c r="BD20" i="12"/>
  <c r="BH20" i="12" s="1"/>
  <c r="BC20" i="12"/>
  <c r="BG20" i="12" s="1"/>
  <c r="BB20" i="12"/>
  <c r="BF20" i="12" s="1"/>
  <c r="BG15" i="11"/>
  <c r="BM15" i="11" s="1"/>
  <c r="BH15" i="11"/>
  <c r="BL15" i="11" s="1"/>
  <c r="BT15" i="11" s="1"/>
  <c r="BH25" i="11"/>
  <c r="BM25" i="11" s="1"/>
  <c r="BB16" i="11"/>
  <c r="BC16" i="11"/>
  <c r="BE16" i="11"/>
  <c r="BW16" i="11" s="1"/>
  <c r="BD16" i="11"/>
  <c r="BE23" i="11"/>
  <c r="BW23" i="11" s="1"/>
  <c r="BD23" i="11"/>
  <c r="BC23" i="11"/>
  <c r="BB23" i="11"/>
  <c r="BI24" i="11"/>
  <c r="BQ24" i="11" s="1"/>
  <c r="BM24" i="11"/>
  <c r="BL24" i="11"/>
  <c r="BT24" i="11" s="1"/>
  <c r="BK24" i="11"/>
  <c r="BS24" i="11" s="1"/>
  <c r="BJ24" i="11"/>
  <c r="BR24" i="11" s="1"/>
  <c r="BO20" i="11"/>
  <c r="BG20" i="11"/>
  <c r="BN22" i="11"/>
  <c r="BF22" i="11"/>
  <c r="BK15" i="11"/>
  <c r="BS15" i="11" s="1"/>
  <c r="BJ15" i="11"/>
  <c r="BR15" i="11" s="1"/>
  <c r="BI15" i="11"/>
  <c r="BQ15" i="11" s="1"/>
  <c r="BO22" i="11"/>
  <c r="BG22" i="11"/>
  <c r="BM18" i="11"/>
  <c r="BL18" i="11"/>
  <c r="BT18" i="11" s="1"/>
  <c r="BK18" i="11"/>
  <c r="BS18" i="11" s="1"/>
  <c r="BJ18" i="11"/>
  <c r="BR18" i="11" s="1"/>
  <c r="BI18" i="11"/>
  <c r="BQ18" i="11" s="1"/>
  <c r="BP22" i="11"/>
  <c r="BH22" i="11"/>
  <c r="BI25" i="11"/>
  <c r="BQ25" i="11" s="1"/>
  <c r="BN21" i="11"/>
  <c r="BF21" i="11"/>
  <c r="BP13" i="11"/>
  <c r="BH13" i="11"/>
  <c r="BP26" i="11"/>
  <c r="BH26" i="11"/>
  <c r="BN26" i="11"/>
  <c r="BF26" i="11"/>
  <c r="BJ14" i="11"/>
  <c r="BR14" i="11" s="1"/>
  <c r="BI14" i="11"/>
  <c r="BQ14" i="11" s="1"/>
  <c r="BM14" i="11"/>
  <c r="BL14" i="11"/>
  <c r="BT14" i="11" s="1"/>
  <c r="BK14" i="11"/>
  <c r="BS14" i="11" s="1"/>
  <c r="BN17" i="11"/>
  <c r="BF17" i="11"/>
  <c r="BO21" i="11"/>
  <c r="BG21" i="11"/>
  <c r="BN13" i="11"/>
  <c r="BF13" i="11"/>
  <c r="BO13" i="11"/>
  <c r="BG13" i="11"/>
  <c r="BO26" i="11"/>
  <c r="BG26" i="11"/>
  <c r="BO17" i="11"/>
  <c r="BG17" i="11"/>
  <c r="BP21" i="11"/>
  <c r="BH21" i="11"/>
  <c r="BP20" i="11"/>
  <c r="BH20" i="11"/>
  <c r="BE11" i="11"/>
  <c r="BW11" i="11" s="1"/>
  <c r="BD11" i="11"/>
  <c r="BC11" i="11"/>
  <c r="BB11" i="11"/>
  <c r="BE19" i="11"/>
  <c r="BW19" i="11" s="1"/>
  <c r="BD19" i="11"/>
  <c r="BC19" i="11"/>
  <c r="BB19" i="11"/>
  <c r="BE12" i="11"/>
  <c r="BW12" i="11" s="1"/>
  <c r="BD12" i="11"/>
  <c r="BC12" i="11"/>
  <c r="BB12" i="11"/>
  <c r="BN20" i="11"/>
  <c r="BF20" i="11"/>
  <c r="BP17" i="11"/>
  <c r="BH17" i="11"/>
  <c r="BG20" i="10"/>
  <c r="BQ20" i="10"/>
  <c r="BH26" i="10"/>
  <c r="BR26" i="10"/>
  <c r="BS21" i="10"/>
  <c r="BX21" i="10"/>
  <c r="BR22" i="10"/>
  <c r="BH22" i="10"/>
  <c r="BP20" i="10"/>
  <c r="BF20" i="10"/>
  <c r="BG12" i="10"/>
  <c r="BQ12" i="10"/>
  <c r="BF19" i="10"/>
  <c r="BP19" i="10"/>
  <c r="BF25" i="10"/>
  <c r="BP25" i="10"/>
  <c r="BX12" i="10"/>
  <c r="BS12" i="10"/>
  <c r="BP16" i="10"/>
  <c r="BF16" i="10"/>
  <c r="BP21" i="10"/>
  <c r="BF21" i="10"/>
  <c r="BQ25" i="10"/>
  <c r="BG25" i="10"/>
  <c r="BP17" i="10"/>
  <c r="BF17" i="10"/>
  <c r="BR25" i="10"/>
  <c r="BH25" i="10"/>
  <c r="BK24" i="10"/>
  <c r="BV24" i="10" s="1"/>
  <c r="BJ24" i="10"/>
  <c r="BU24" i="10" s="1"/>
  <c r="BI24" i="10"/>
  <c r="BT24" i="10" s="1"/>
  <c r="BM24" i="10"/>
  <c r="BL24" i="10"/>
  <c r="BW24" i="10" s="1"/>
  <c r="BS19" i="10"/>
  <c r="BX19" i="10"/>
  <c r="BE11" i="10"/>
  <c r="BD11" i="10"/>
  <c r="BC11" i="10"/>
  <c r="BB11" i="10"/>
  <c r="BS15" i="10"/>
  <c r="BX15" i="10"/>
  <c r="BR13" i="10"/>
  <c r="BH13" i="10"/>
  <c r="BG14" i="10"/>
  <c r="BQ14" i="10"/>
  <c r="BQ16" i="10"/>
  <c r="BG16" i="10"/>
  <c r="BS22" i="10"/>
  <c r="BX22" i="10"/>
  <c r="BQ21" i="10"/>
  <c r="BG21" i="10"/>
  <c r="BR19" i="10"/>
  <c r="BH19" i="10"/>
  <c r="BG17" i="10"/>
  <c r="BQ17" i="10"/>
  <c r="BP12" i="10"/>
  <c r="BF12" i="10"/>
  <c r="BR15" i="10"/>
  <c r="BH15" i="10"/>
  <c r="BP14" i="10"/>
  <c r="BF14" i="10"/>
  <c r="BP18" i="10"/>
  <c r="BF18" i="10"/>
  <c r="BP26" i="10"/>
  <c r="BF26" i="10"/>
  <c r="BQ18" i="10"/>
  <c r="BG18" i="10"/>
  <c r="BF22" i="10"/>
  <c r="BP22" i="10"/>
  <c r="BP15" i="10"/>
  <c r="BF15" i="10"/>
  <c r="BP13" i="10"/>
  <c r="BF13" i="10"/>
  <c r="BH14" i="10"/>
  <c r="BR14" i="10"/>
  <c r="BR16" i="10"/>
  <c r="BH16" i="10"/>
  <c r="BX26" i="10"/>
  <c r="BS26" i="10"/>
  <c r="BQ19" i="10"/>
  <c r="BG19" i="10"/>
  <c r="BE23" i="10"/>
  <c r="BD23" i="10"/>
  <c r="BC23" i="10"/>
  <c r="BB23" i="10"/>
  <c r="BH20" i="10"/>
  <c r="BR20" i="10"/>
  <c r="BR12" i="10"/>
  <c r="BH12" i="10"/>
  <c r="BR18" i="10"/>
  <c r="BH18" i="10"/>
  <c r="BX20" i="10"/>
  <c r="BS20" i="10"/>
  <c r="BS25" i="10"/>
  <c r="BX25" i="10"/>
  <c r="BS18" i="10"/>
  <c r="BX18" i="10"/>
  <c r="BH17" i="10"/>
  <c r="BR17" i="10"/>
  <c r="BQ13" i="10"/>
  <c r="BG13" i="10"/>
  <c r="BX17" i="10"/>
  <c r="BS17" i="10"/>
  <c r="BQ26" i="10"/>
  <c r="BG26" i="10"/>
  <c r="BR21" i="10"/>
  <c r="BH21" i="10"/>
  <c r="BQ22" i="10"/>
  <c r="BG22" i="10"/>
  <c r="BQ15" i="10"/>
  <c r="BG15" i="10"/>
  <c r="BS13" i="10"/>
  <c r="BX13" i="10"/>
  <c r="BX14" i="10"/>
  <c r="BS14" i="10"/>
  <c r="BS16" i="10"/>
  <c r="BX16" i="10"/>
  <c r="BK15" i="9"/>
  <c r="BP15" i="9" s="1"/>
  <c r="BJ15" i="9"/>
  <c r="BO15" i="9" s="1"/>
  <c r="BI15" i="9"/>
  <c r="BN15" i="9" s="1"/>
  <c r="BR13" i="9"/>
  <c r="BS13" i="9" s="1"/>
  <c r="AU24" i="9"/>
  <c r="BG15" i="9"/>
  <c r="BI23" i="9"/>
  <c r="BN23" i="9" s="1"/>
  <c r="BL24" i="9"/>
  <c r="BQ24" i="9" s="1"/>
  <c r="BL15" i="9"/>
  <c r="BQ15" i="9" s="1"/>
  <c r="AU23" i="9"/>
  <c r="AU25" i="9"/>
  <c r="BL23" i="9"/>
  <c r="BQ23" i="9" s="1"/>
  <c r="BG23" i="9"/>
  <c r="BK25" i="9"/>
  <c r="BP25" i="9" s="1"/>
  <c r="BL25" i="9"/>
  <c r="BQ25" i="9" s="1"/>
  <c r="BG25" i="9"/>
  <c r="BK23" i="9"/>
  <c r="BP23" i="9" s="1"/>
  <c r="BR23" i="9" s="1"/>
  <c r="BS23" i="9" s="1"/>
  <c r="BK24" i="9"/>
  <c r="BP24" i="9" s="1"/>
  <c r="BF26" i="9"/>
  <c r="AP26" i="9"/>
  <c r="AT26" i="9" s="1"/>
  <c r="BE26" i="9"/>
  <c r="AO26" i="9"/>
  <c r="AS26" i="9" s="1"/>
  <c r="BD26" i="9"/>
  <c r="AN26" i="9"/>
  <c r="AR26" i="9" s="1"/>
  <c r="BH25" i="9"/>
  <c r="BM25" i="9" s="1"/>
  <c r="AM26" i="9"/>
  <c r="AQ26" i="9" s="1"/>
  <c r="BJ24" i="9"/>
  <c r="BO24" i="9" s="1"/>
  <c r="BJ23" i="9"/>
  <c r="BO23" i="9" s="1"/>
  <c r="BI25" i="9"/>
  <c r="BN25" i="9" s="1"/>
  <c r="BL18" i="9"/>
  <c r="BQ18" i="9" s="1"/>
  <c r="BK18" i="9"/>
  <c r="BP18" i="9" s="1"/>
  <c r="BJ18" i="9"/>
  <c r="BO18" i="9" s="1"/>
  <c r="BH18" i="9"/>
  <c r="BM18" i="9" s="1"/>
  <c r="BI18" i="9"/>
  <c r="BN18" i="9" s="1"/>
  <c r="BG18" i="9"/>
  <c r="BF22" i="9"/>
  <c r="AP22" i="9"/>
  <c r="AT22" i="9" s="1"/>
  <c r="BE22" i="9"/>
  <c r="AO22" i="9"/>
  <c r="AS22" i="9" s="1"/>
  <c r="BD22" i="9"/>
  <c r="AN22" i="9"/>
  <c r="AR22" i="9" s="1"/>
  <c r="AM22" i="9"/>
  <c r="AQ22" i="9" s="1"/>
  <c r="BL19" i="9"/>
  <c r="BQ19" i="9" s="1"/>
  <c r="BK19" i="9"/>
  <c r="BP19" i="9" s="1"/>
  <c r="BI19" i="9"/>
  <c r="BN19" i="9" s="1"/>
  <c r="BH19" i="9"/>
  <c r="BM19" i="9" s="1"/>
  <c r="BG19" i="9"/>
  <c r="BJ19" i="9"/>
  <c r="BO19" i="9" s="1"/>
  <c r="AU17" i="9"/>
  <c r="BF20" i="9"/>
  <c r="AP20" i="9"/>
  <c r="AT20" i="9" s="1"/>
  <c r="BE20" i="9"/>
  <c r="AO20" i="9"/>
  <c r="AS20" i="9" s="1"/>
  <c r="BD20" i="9"/>
  <c r="AN20" i="9"/>
  <c r="AR20" i="9" s="1"/>
  <c r="AM20" i="9"/>
  <c r="AQ20" i="9" s="1"/>
  <c r="BL17" i="9"/>
  <c r="BQ17" i="9" s="1"/>
  <c r="BK17" i="9"/>
  <c r="BP17" i="9" s="1"/>
  <c r="BJ17" i="9"/>
  <c r="BO17" i="9" s="1"/>
  <c r="BI17" i="9"/>
  <c r="BN17" i="9" s="1"/>
  <c r="BG17" i="9"/>
  <c r="BH17" i="9"/>
  <c r="BM17" i="9" s="1"/>
  <c r="AU11" i="9"/>
  <c r="BF12" i="9"/>
  <c r="AP12" i="9"/>
  <c r="AT12" i="9" s="1"/>
  <c r="BE12" i="9"/>
  <c r="BD12" i="9"/>
  <c r="AO12" i="9"/>
  <c r="AS12" i="9" s="1"/>
  <c r="AN12" i="9"/>
  <c r="AR12" i="9" s="1"/>
  <c r="AM12" i="9"/>
  <c r="AQ12" i="9" s="1"/>
  <c r="AU16" i="9"/>
  <c r="BF21" i="9"/>
  <c r="AP21" i="9"/>
  <c r="AT21" i="9" s="1"/>
  <c r="BE21" i="9"/>
  <c r="AO21" i="9"/>
  <c r="AS21" i="9" s="1"/>
  <c r="BD21" i="9"/>
  <c r="AN21" i="9"/>
  <c r="AR21" i="9" s="1"/>
  <c r="AM21" i="9"/>
  <c r="AQ21" i="9" s="1"/>
  <c r="BK16" i="9"/>
  <c r="BP16" i="9" s="1"/>
  <c r="BJ16" i="9"/>
  <c r="BO16" i="9" s="1"/>
  <c r="BI16" i="9"/>
  <c r="BN16" i="9" s="1"/>
  <c r="BH16" i="9"/>
  <c r="BM16" i="9" s="1"/>
  <c r="BL16" i="9"/>
  <c r="BQ16" i="9" s="1"/>
  <c r="BG16" i="9"/>
  <c r="BR14" i="9"/>
  <c r="BS14" i="9" s="1"/>
  <c r="AU19" i="9"/>
  <c r="AU18" i="9"/>
  <c r="BH11" i="9"/>
  <c r="BM11" i="9" s="1"/>
  <c r="BG11" i="9"/>
  <c r="BI11" i="9"/>
  <c r="BN11" i="9" s="1"/>
  <c r="BK11" i="9"/>
  <c r="BP11" i="9" s="1"/>
  <c r="BJ11" i="9"/>
  <c r="BO11" i="9" s="1"/>
  <c r="BL11" i="9"/>
  <c r="BQ11" i="9" s="1"/>
  <c r="BR15" i="7"/>
  <c r="BD11" i="7"/>
  <c r="BH11" i="7" s="1"/>
  <c r="BC11" i="7"/>
  <c r="BG11" i="7" s="1"/>
  <c r="BB11" i="7"/>
  <c r="BF11" i="7" s="1"/>
  <c r="BI11" i="7" s="1"/>
  <c r="BE11" i="7"/>
  <c r="BE13" i="7"/>
  <c r="BD13" i="7"/>
  <c r="BH13" i="7" s="1"/>
  <c r="BC13" i="7"/>
  <c r="BG13" i="7" s="1"/>
  <c r="BB13" i="7"/>
  <c r="BF13" i="7" s="1"/>
  <c r="BI13" i="7" s="1"/>
  <c r="BI26" i="7"/>
  <c r="BI15" i="7"/>
  <c r="BD24" i="7"/>
  <c r="BH24" i="7" s="1"/>
  <c r="BE24" i="7"/>
  <c r="BC24" i="7"/>
  <c r="BG24" i="7" s="1"/>
  <c r="BB24" i="7"/>
  <c r="BF24" i="7" s="1"/>
  <c r="BI22" i="7"/>
  <c r="BI14" i="7"/>
  <c r="BI25" i="7"/>
  <c r="BE16" i="7"/>
  <c r="BD16" i="7"/>
  <c r="BH16" i="7" s="1"/>
  <c r="BC16" i="7"/>
  <c r="BG16" i="7" s="1"/>
  <c r="BB16" i="7"/>
  <c r="BF16" i="7" s="1"/>
  <c r="BI18" i="7"/>
  <c r="BI23" i="7"/>
  <c r="BE17" i="7"/>
  <c r="BD17" i="7"/>
  <c r="BH17" i="7" s="1"/>
  <c r="BC17" i="7"/>
  <c r="BG17" i="7" s="1"/>
  <c r="BB17" i="7"/>
  <c r="BF17" i="7" s="1"/>
  <c r="BD18" i="1"/>
  <c r="BR18" i="1" s="1"/>
  <c r="BE21" i="1"/>
  <c r="BX21" i="1" s="1"/>
  <c r="BD21" i="1"/>
  <c r="BR21" i="1" s="1"/>
  <c r="BB21" i="1"/>
  <c r="AQ15" i="5"/>
  <c r="BD12" i="5"/>
  <c r="AQ11" i="5"/>
  <c r="AS23" i="5"/>
  <c r="AT13" i="5"/>
  <c r="AQ25" i="5"/>
  <c r="AS21" i="5"/>
  <c r="AT26" i="5"/>
  <c r="AQ19" i="5"/>
  <c r="AT12" i="5"/>
  <c r="AT24" i="5"/>
  <c r="AS22" i="5"/>
  <c r="AR22" i="5"/>
  <c r="AT22" i="5"/>
  <c r="AS14" i="5"/>
  <c r="AQ16" i="5"/>
  <c r="AR21" i="5"/>
  <c r="AS12" i="5"/>
  <c r="AR19" i="5"/>
  <c r="AT23" i="5"/>
  <c r="BE23" i="5"/>
  <c r="BD23" i="5"/>
  <c r="BJ23" i="5" s="1"/>
  <c r="BO23" i="5" s="1"/>
  <c r="BF12" i="5"/>
  <c r="BB18" i="6"/>
  <c r="BF18" i="6" s="1"/>
  <c r="BC19" i="6"/>
  <c r="BG19" i="6" s="1"/>
  <c r="BC18" i="6"/>
  <c r="BO18" i="6" s="1"/>
  <c r="BE18" i="6"/>
  <c r="BW18" i="6" s="1"/>
  <c r="BD19" i="6"/>
  <c r="BP19" i="6" s="1"/>
  <c r="BH18" i="6"/>
  <c r="BP18" i="6"/>
  <c r="BH20" i="6"/>
  <c r="BP20" i="6"/>
  <c r="BF15" i="6"/>
  <c r="BN15" i="6"/>
  <c r="BH26" i="6"/>
  <c r="BP26" i="6"/>
  <c r="BH15" i="6"/>
  <c r="BP15" i="6"/>
  <c r="BF11" i="6"/>
  <c r="BI11" i="6" s="1"/>
  <c r="BQ11" i="6" s="1"/>
  <c r="BN11" i="6"/>
  <c r="BF22" i="6"/>
  <c r="BI22" i="6" s="1"/>
  <c r="BQ22" i="6" s="1"/>
  <c r="BN22" i="6"/>
  <c r="BF23" i="6"/>
  <c r="BN23" i="6"/>
  <c r="BG21" i="6"/>
  <c r="BO21" i="6"/>
  <c r="BN18" i="6"/>
  <c r="BH22" i="6"/>
  <c r="BP22" i="6"/>
  <c r="BH23" i="6"/>
  <c r="BP23" i="6"/>
  <c r="BG26" i="6"/>
  <c r="BO26" i="6"/>
  <c r="BG11" i="6"/>
  <c r="BO11" i="6"/>
  <c r="BF20" i="6"/>
  <c r="BN20" i="6"/>
  <c r="BF26" i="6"/>
  <c r="BN26" i="6"/>
  <c r="BG15" i="6"/>
  <c r="BO15" i="6"/>
  <c r="BG22" i="6"/>
  <c r="BO22" i="6"/>
  <c r="BH12" i="6"/>
  <c r="BP12" i="6"/>
  <c r="BH21" i="6"/>
  <c r="BP21" i="6"/>
  <c r="BF12" i="6"/>
  <c r="BN12" i="6"/>
  <c r="BG24" i="6"/>
  <c r="BO24" i="6"/>
  <c r="BG20" i="6"/>
  <c r="BO20" i="6"/>
  <c r="BH19" i="6"/>
  <c r="BH11" i="6"/>
  <c r="BP11" i="6"/>
  <c r="BF21" i="6"/>
  <c r="BN21" i="6"/>
  <c r="BE24" i="6"/>
  <c r="BW24" i="6" s="1"/>
  <c r="BG23" i="6"/>
  <c r="BK23" i="6" s="1"/>
  <c r="BS23" i="6" s="1"/>
  <c r="BO23" i="6"/>
  <c r="BG12" i="6"/>
  <c r="BO12" i="6"/>
  <c r="BF19" i="6"/>
  <c r="BN19" i="6"/>
  <c r="BD14" i="6"/>
  <c r="BB14" i="6"/>
  <c r="BC14" i="6"/>
  <c r="BD13" i="6"/>
  <c r="BC13" i="6"/>
  <c r="BB13" i="6"/>
  <c r="BE13" i="6"/>
  <c r="BW13" i="6" s="1"/>
  <c r="BB24" i="6"/>
  <c r="BD24" i="6"/>
  <c r="BE16" i="6"/>
  <c r="BW16" i="6" s="1"/>
  <c r="BD16" i="6"/>
  <c r="BB16" i="6"/>
  <c r="BC16" i="6"/>
  <c r="BB25" i="6"/>
  <c r="BE25" i="6"/>
  <c r="BW25" i="6" s="1"/>
  <c r="BD25" i="6"/>
  <c r="BC25" i="6"/>
  <c r="BJ23" i="6"/>
  <c r="BR23" i="6" s="1"/>
  <c r="BE17" i="6"/>
  <c r="BW17" i="6" s="1"/>
  <c r="BC17" i="6"/>
  <c r="BB17" i="6"/>
  <c r="BD17" i="6"/>
  <c r="BG21" i="1"/>
  <c r="BQ21" i="1"/>
  <c r="BS19" i="1"/>
  <c r="BS16" i="1"/>
  <c r="BG19" i="1"/>
  <c r="BQ19" i="1"/>
  <c r="BH16" i="1"/>
  <c r="BR16" i="1"/>
  <c r="BE18" i="1"/>
  <c r="BX18" i="1" s="1"/>
  <c r="BF19" i="1"/>
  <c r="BP19" i="1"/>
  <c r="BC16" i="1"/>
  <c r="BH19" i="1"/>
  <c r="BR19" i="1"/>
  <c r="BF21" i="1"/>
  <c r="BP21" i="1"/>
  <c r="BH18" i="1"/>
  <c r="BG18" i="1"/>
  <c r="BQ18" i="1"/>
  <c r="BB18" i="1"/>
  <c r="BS21" i="1"/>
  <c r="BF16" i="1"/>
  <c r="BP16" i="1"/>
  <c r="BH21" i="1"/>
  <c r="BL19" i="1"/>
  <c r="BW19" i="1" s="1"/>
  <c r="BB23" i="1"/>
  <c r="BC23" i="1"/>
  <c r="BD23" i="1"/>
  <c r="BE23" i="1"/>
  <c r="BX23" i="1" s="1"/>
  <c r="BB24" i="1"/>
  <c r="BC24" i="1"/>
  <c r="BD24" i="1"/>
  <c r="BE24" i="1"/>
  <c r="BX24" i="1" s="1"/>
  <c r="BB20" i="1"/>
  <c r="BC20" i="1"/>
  <c r="BD20" i="1"/>
  <c r="BE20" i="1"/>
  <c r="BX20" i="1" s="1"/>
  <c r="BB26" i="1"/>
  <c r="BC26" i="1"/>
  <c r="BD26" i="1"/>
  <c r="BE26" i="1"/>
  <c r="BX26" i="1" s="1"/>
  <c r="BB12" i="1"/>
  <c r="BC12" i="1"/>
  <c r="BD12" i="1"/>
  <c r="BE12" i="1"/>
  <c r="BX12" i="1" s="1"/>
  <c r="BB25" i="1"/>
  <c r="BC25" i="1"/>
  <c r="BD25" i="1"/>
  <c r="BE25" i="1"/>
  <c r="BX25" i="1" s="1"/>
  <c r="BB13" i="1"/>
  <c r="BC13" i="1"/>
  <c r="BD13" i="1"/>
  <c r="BE13" i="1"/>
  <c r="BX13" i="1" s="1"/>
  <c r="BB17" i="1"/>
  <c r="BC17" i="1"/>
  <c r="BD17" i="1"/>
  <c r="BE17" i="1"/>
  <c r="BX17" i="1" s="1"/>
  <c r="BC11" i="1"/>
  <c r="BD11" i="1"/>
  <c r="BE11" i="1"/>
  <c r="BX11" i="1" s="1"/>
  <c r="BB11" i="1"/>
  <c r="BB15" i="1"/>
  <c r="BC15" i="1"/>
  <c r="BD15" i="1"/>
  <c r="BE15" i="1"/>
  <c r="BX15" i="1" s="1"/>
  <c r="BB22" i="1"/>
  <c r="BC22" i="1"/>
  <c r="BD22" i="1"/>
  <c r="BE22" i="1"/>
  <c r="BX22" i="1" s="1"/>
  <c r="BB14" i="1"/>
  <c r="BC14" i="1"/>
  <c r="BD14" i="1"/>
  <c r="BE14" i="1"/>
  <c r="BX14" i="1" s="1"/>
  <c r="AT20" i="5"/>
  <c r="AS18" i="5"/>
  <c r="AR24" i="5"/>
  <c r="BF24" i="5"/>
  <c r="BE24" i="5"/>
  <c r="BD24" i="5"/>
  <c r="BF21" i="5"/>
  <c r="BD21" i="5"/>
  <c r="BE21" i="5"/>
  <c r="BD13" i="5"/>
  <c r="BE13" i="5"/>
  <c r="BF13" i="5"/>
  <c r="BD20" i="5"/>
  <c r="BE20" i="5"/>
  <c r="BF20" i="5"/>
  <c r="BF22" i="5"/>
  <c r="BD22" i="5"/>
  <c r="BE22" i="5"/>
  <c r="BD15" i="5"/>
  <c r="BE15" i="5"/>
  <c r="BF15" i="5"/>
  <c r="BE17" i="5"/>
  <c r="BD17" i="5"/>
  <c r="BF17" i="5"/>
  <c r="BF14" i="5"/>
  <c r="BD14" i="5"/>
  <c r="BE14" i="5"/>
  <c r="BE25" i="5"/>
  <c r="BF25" i="5"/>
  <c r="BD25" i="5"/>
  <c r="BD18" i="5"/>
  <c r="BE18" i="5"/>
  <c r="BF18" i="5"/>
  <c r="BD26" i="5"/>
  <c r="BE26" i="5"/>
  <c r="BF26" i="5"/>
  <c r="BE16" i="5"/>
  <c r="BF16" i="5"/>
  <c r="BD16" i="5"/>
  <c r="BE19" i="5"/>
  <c r="BD19" i="5"/>
  <c r="BF19" i="5"/>
  <c r="AQ18" i="5"/>
  <c r="BE11" i="5"/>
  <c r="BF11" i="5"/>
  <c r="BD11" i="5"/>
  <c r="AT18" i="5"/>
  <c r="AS26" i="5"/>
  <c r="AT15" i="5"/>
  <c r="AR16" i="5"/>
  <c r="AT14" i="5"/>
  <c r="AS24" i="5"/>
  <c r="AS25" i="5"/>
  <c r="AR14" i="5"/>
  <c r="AS17" i="5"/>
  <c r="AR25" i="5"/>
  <c r="AQ13" i="5"/>
  <c r="AT11" i="5"/>
  <c r="AS19" i="5"/>
  <c r="AR12" i="5"/>
  <c r="AR17" i="5"/>
  <c r="AR23" i="5"/>
  <c r="AT16" i="5"/>
  <c r="AT25" i="5"/>
  <c r="AR15" i="5"/>
  <c r="AQ26" i="5"/>
  <c r="AQ24" i="5"/>
  <c r="AR11" i="5"/>
  <c r="AT17" i="5"/>
  <c r="AQ21" i="5"/>
  <c r="AS16" i="5"/>
  <c r="AS11" i="5"/>
  <c r="AR26" i="5"/>
  <c r="AQ22" i="5"/>
  <c r="AR20" i="5"/>
  <c r="AQ20" i="5"/>
  <c r="AQ17" i="5"/>
  <c r="AS13" i="5"/>
  <c r="AQ23" i="5"/>
  <c r="AS20" i="5"/>
  <c r="AT21" i="5"/>
  <c r="AS15" i="5"/>
  <c r="AR18" i="5"/>
  <c r="BF29" i="5"/>
  <c r="BG29" i="5" s="1"/>
  <c r="BF30" i="5"/>
  <c r="BG30" i="5" s="1"/>
  <c r="AP30" i="5"/>
  <c r="AZ30" i="5" s="1"/>
  <c r="BS27" i="6"/>
  <c r="BS28" i="6"/>
  <c r="AP29" i="5"/>
  <c r="AZ29" i="5" s="1"/>
  <c r="BT29" i="5" s="1"/>
  <c r="AP27" i="5"/>
  <c r="AZ27" i="5" s="1"/>
  <c r="BT27" i="5" s="1"/>
  <c r="AP28" i="5"/>
  <c r="AZ28" i="5" s="1"/>
  <c r="BT28" i="5" s="1"/>
  <c r="BF27" i="5"/>
  <c r="BG27" i="5" s="1"/>
  <c r="BF28" i="5"/>
  <c r="BG28" i="5" s="1"/>
  <c r="BJ25" i="11" l="1"/>
  <c r="BR25" i="11" s="1"/>
  <c r="BI22" i="12"/>
  <c r="BL22" i="12" s="1"/>
  <c r="BP22" i="12" s="1"/>
  <c r="BK25" i="11"/>
  <c r="BS25" i="11" s="1"/>
  <c r="BL25" i="11"/>
  <c r="BT25" i="11" s="1"/>
  <c r="BI20" i="12"/>
  <c r="BL20" i="12" s="1"/>
  <c r="BP20" i="12" s="1"/>
  <c r="BY24" i="10"/>
  <c r="BU25" i="11"/>
  <c r="BY25" i="11" s="1"/>
  <c r="CA25" i="11" s="1"/>
  <c r="BU24" i="11"/>
  <c r="BY24" i="11" s="1"/>
  <c r="CA24" i="11" s="1"/>
  <c r="BR19" i="12"/>
  <c r="BU18" i="11"/>
  <c r="BY18" i="11" s="1"/>
  <c r="CA18" i="11" s="1"/>
  <c r="BU15" i="11"/>
  <c r="BY15" i="11" s="1"/>
  <c r="CA15" i="11" s="1"/>
  <c r="BU14" i="11"/>
  <c r="BY14" i="11" s="1"/>
  <c r="CA14" i="11" s="1"/>
  <c r="BN16" i="11"/>
  <c r="BF16" i="11"/>
  <c r="BF23" i="11"/>
  <c r="BN23" i="11"/>
  <c r="BG23" i="11"/>
  <c r="BO23" i="11"/>
  <c r="BH16" i="11"/>
  <c r="BP16" i="11"/>
  <c r="BO16" i="11"/>
  <c r="BG16" i="11"/>
  <c r="BP23" i="11"/>
  <c r="BH23" i="11"/>
  <c r="BN19" i="11"/>
  <c r="BF19" i="11"/>
  <c r="BK26" i="11"/>
  <c r="BS26" i="11" s="1"/>
  <c r="BJ26" i="11"/>
  <c r="BR26" i="11" s="1"/>
  <c r="BI26" i="11"/>
  <c r="BQ26" i="11" s="1"/>
  <c r="BM26" i="11"/>
  <c r="BL26" i="11"/>
  <c r="BT26" i="11" s="1"/>
  <c r="BL17" i="11"/>
  <c r="BT17" i="11" s="1"/>
  <c r="BK17" i="11"/>
  <c r="BS17" i="11" s="1"/>
  <c r="BJ17" i="11"/>
  <c r="BR17" i="11" s="1"/>
  <c r="BI17" i="11"/>
  <c r="BQ17" i="11" s="1"/>
  <c r="BM17" i="11"/>
  <c r="BP19" i="11"/>
  <c r="BH19" i="11"/>
  <c r="BN12" i="11"/>
  <c r="BF12" i="11"/>
  <c r="BN11" i="11"/>
  <c r="BF11" i="11"/>
  <c r="BO19" i="11"/>
  <c r="BG19" i="11"/>
  <c r="BM20" i="11"/>
  <c r="BL20" i="11"/>
  <c r="BT20" i="11" s="1"/>
  <c r="BK20" i="11"/>
  <c r="BS20" i="11" s="1"/>
  <c r="BJ20" i="11"/>
  <c r="BR20" i="11" s="1"/>
  <c r="BI20" i="11"/>
  <c r="BQ20" i="11" s="1"/>
  <c r="BO12" i="11"/>
  <c r="BG12" i="11"/>
  <c r="BO11" i="11"/>
  <c r="BG11" i="11"/>
  <c r="BP12" i="11"/>
  <c r="BH12" i="11"/>
  <c r="BP11" i="11"/>
  <c r="BH11" i="11"/>
  <c r="BI13" i="11"/>
  <c r="BQ13" i="11" s="1"/>
  <c r="BM13" i="11"/>
  <c r="BL13" i="11"/>
  <c r="BT13" i="11" s="1"/>
  <c r="BK13" i="11"/>
  <c r="BS13" i="11" s="1"/>
  <c r="BJ13" i="11"/>
  <c r="BR13" i="11" s="1"/>
  <c r="BM21" i="11"/>
  <c r="BL21" i="11"/>
  <c r="BT21" i="11" s="1"/>
  <c r="BK21" i="11"/>
  <c r="BS21" i="11" s="1"/>
  <c r="BJ21" i="11"/>
  <c r="BR21" i="11" s="1"/>
  <c r="BI21" i="11"/>
  <c r="BQ21" i="11" s="1"/>
  <c r="BM22" i="11"/>
  <c r="BL22" i="11"/>
  <c r="BT22" i="11" s="1"/>
  <c r="BK22" i="11"/>
  <c r="BS22" i="11" s="1"/>
  <c r="BJ22" i="11"/>
  <c r="BR22" i="11" s="1"/>
  <c r="BI22" i="11"/>
  <c r="BQ22" i="11" s="1"/>
  <c r="BP23" i="10"/>
  <c r="BF23" i="10"/>
  <c r="BK21" i="10"/>
  <c r="BV21" i="10" s="1"/>
  <c r="BJ21" i="10"/>
  <c r="BU21" i="10" s="1"/>
  <c r="BI21" i="10"/>
  <c r="BT21" i="10" s="1"/>
  <c r="BM21" i="10"/>
  <c r="BL21" i="10"/>
  <c r="BW21" i="10" s="1"/>
  <c r="BH11" i="10"/>
  <c r="BR11" i="10"/>
  <c r="BK15" i="10"/>
  <c r="BV15" i="10" s="1"/>
  <c r="BJ15" i="10"/>
  <c r="BU15" i="10" s="1"/>
  <c r="BI15" i="10"/>
  <c r="BT15" i="10" s="1"/>
  <c r="BM15" i="10"/>
  <c r="BL15" i="10"/>
  <c r="BW15" i="10" s="1"/>
  <c r="BK18" i="10"/>
  <c r="BV18" i="10" s="1"/>
  <c r="BJ18" i="10"/>
  <c r="BU18" i="10" s="1"/>
  <c r="BI18" i="10"/>
  <c r="BT18" i="10" s="1"/>
  <c r="BM18" i="10"/>
  <c r="BL18" i="10"/>
  <c r="BW18" i="10" s="1"/>
  <c r="BM25" i="10"/>
  <c r="BL25" i="10"/>
  <c r="BW25" i="10" s="1"/>
  <c r="BK25" i="10"/>
  <c r="BV25" i="10" s="1"/>
  <c r="BJ25" i="10"/>
  <c r="BU25" i="10" s="1"/>
  <c r="BI25" i="10"/>
  <c r="BT25" i="10" s="1"/>
  <c r="BM16" i="10"/>
  <c r="BL16" i="10"/>
  <c r="BW16" i="10" s="1"/>
  <c r="BK16" i="10"/>
  <c r="BV16" i="10" s="1"/>
  <c r="BJ16" i="10"/>
  <c r="BU16" i="10" s="1"/>
  <c r="BI16" i="10"/>
  <c r="BT16" i="10" s="1"/>
  <c r="BG11" i="10"/>
  <c r="BQ11" i="10"/>
  <c r="BM22" i="10"/>
  <c r="BL22" i="10"/>
  <c r="BW22" i="10" s="1"/>
  <c r="BK22" i="10"/>
  <c r="BV22" i="10" s="1"/>
  <c r="BJ22" i="10"/>
  <c r="BU22" i="10" s="1"/>
  <c r="BI22" i="10"/>
  <c r="BT22" i="10" s="1"/>
  <c r="BM19" i="10"/>
  <c r="BL19" i="10"/>
  <c r="BW19" i="10" s="1"/>
  <c r="BK19" i="10"/>
  <c r="BV19" i="10" s="1"/>
  <c r="BJ19" i="10"/>
  <c r="BU19" i="10" s="1"/>
  <c r="BI19" i="10"/>
  <c r="BT19" i="10" s="1"/>
  <c r="BX23" i="10"/>
  <c r="BS23" i="10"/>
  <c r="BM14" i="10"/>
  <c r="BL14" i="10"/>
  <c r="BW14" i="10" s="1"/>
  <c r="BK14" i="10"/>
  <c r="BV14" i="10" s="1"/>
  <c r="BJ14" i="10"/>
  <c r="BU14" i="10" s="1"/>
  <c r="BI14" i="10"/>
  <c r="BT14" i="10" s="1"/>
  <c r="BH23" i="10"/>
  <c r="BR23" i="10"/>
  <c r="BX11" i="10"/>
  <c r="BS11" i="10"/>
  <c r="BM13" i="10"/>
  <c r="BJ13" i="10"/>
  <c r="BU13" i="10" s="1"/>
  <c r="BL13" i="10"/>
  <c r="BW13" i="10" s="1"/>
  <c r="BK13" i="10"/>
  <c r="BV13" i="10" s="1"/>
  <c r="BI13" i="10"/>
  <c r="BT13" i="10" s="1"/>
  <c r="BI26" i="10"/>
  <c r="BT26" i="10" s="1"/>
  <c r="BM26" i="10"/>
  <c r="BL26" i="10"/>
  <c r="BW26" i="10" s="1"/>
  <c r="BK26" i="10"/>
  <c r="BV26" i="10" s="1"/>
  <c r="BJ26" i="10"/>
  <c r="BU26" i="10" s="1"/>
  <c r="BM17" i="10"/>
  <c r="BL17" i="10"/>
  <c r="BW17" i="10" s="1"/>
  <c r="BK17" i="10"/>
  <c r="BV17" i="10" s="1"/>
  <c r="BJ17" i="10"/>
  <c r="BU17" i="10" s="1"/>
  <c r="BI17" i="10"/>
  <c r="BT17" i="10" s="1"/>
  <c r="BM20" i="10"/>
  <c r="BL20" i="10"/>
  <c r="BW20" i="10" s="1"/>
  <c r="BK20" i="10"/>
  <c r="BV20" i="10" s="1"/>
  <c r="BJ20" i="10"/>
  <c r="BU20" i="10" s="1"/>
  <c r="BI20" i="10"/>
  <c r="BT20" i="10" s="1"/>
  <c r="BP11" i="10"/>
  <c r="BF11" i="10"/>
  <c r="BQ23" i="10"/>
  <c r="BG23" i="10"/>
  <c r="BJ12" i="10"/>
  <c r="BU12" i="10" s="1"/>
  <c r="BI12" i="10"/>
  <c r="BT12" i="10" s="1"/>
  <c r="BM12" i="10"/>
  <c r="BL12" i="10"/>
  <c r="BW12" i="10" s="1"/>
  <c r="BK12" i="10"/>
  <c r="BV12" i="10" s="1"/>
  <c r="BR15" i="9"/>
  <c r="BR25" i="9"/>
  <c r="BS25" i="9" s="1"/>
  <c r="BR24" i="9"/>
  <c r="BS24" i="9" s="1"/>
  <c r="BR11" i="9"/>
  <c r="BS11" i="9" s="1"/>
  <c r="BK26" i="9"/>
  <c r="BP26" i="9" s="1"/>
  <c r="BJ26" i="9"/>
  <c r="BO26" i="9" s="1"/>
  <c r="BI26" i="9"/>
  <c r="BN26" i="9" s="1"/>
  <c r="BH26" i="9"/>
  <c r="BM26" i="9" s="1"/>
  <c r="BG26" i="9"/>
  <c r="BL26" i="9"/>
  <c r="BQ26" i="9" s="1"/>
  <c r="AU26" i="9"/>
  <c r="BR16" i="9"/>
  <c r="BS16" i="9" s="1"/>
  <c r="BH12" i="9"/>
  <c r="BM12" i="9" s="1"/>
  <c r="BG12" i="9"/>
  <c r="BI12" i="9"/>
  <c r="BN12" i="9" s="1"/>
  <c r="BL12" i="9"/>
  <c r="BQ12" i="9" s="1"/>
  <c r="BK12" i="9"/>
  <c r="BP12" i="9" s="1"/>
  <c r="BJ12" i="9"/>
  <c r="BO12" i="9" s="1"/>
  <c r="AU12" i="9"/>
  <c r="BH22" i="9"/>
  <c r="BM22" i="9" s="1"/>
  <c r="BG22" i="9"/>
  <c r="BL22" i="9"/>
  <c r="BQ22" i="9" s="1"/>
  <c r="BK22" i="9"/>
  <c r="BP22" i="9" s="1"/>
  <c r="BJ22" i="9"/>
  <c r="BO22" i="9" s="1"/>
  <c r="BI22" i="9"/>
  <c r="BN22" i="9" s="1"/>
  <c r="AU21" i="9"/>
  <c r="AU20" i="9"/>
  <c r="BG21" i="9"/>
  <c r="BL21" i="9"/>
  <c r="BQ21" i="9" s="1"/>
  <c r="BK21" i="9"/>
  <c r="BP21" i="9" s="1"/>
  <c r="BJ21" i="9"/>
  <c r="BO21" i="9" s="1"/>
  <c r="BI21" i="9"/>
  <c r="BN21" i="9" s="1"/>
  <c r="BH21" i="9"/>
  <c r="BM21" i="9" s="1"/>
  <c r="BR17" i="9"/>
  <c r="BS17" i="9" s="1"/>
  <c r="BL20" i="9"/>
  <c r="BQ20" i="9" s="1"/>
  <c r="BK20" i="9"/>
  <c r="BP20" i="9" s="1"/>
  <c r="BJ20" i="9"/>
  <c r="BO20" i="9" s="1"/>
  <c r="BI20" i="9"/>
  <c r="BN20" i="9" s="1"/>
  <c r="BH20" i="9"/>
  <c r="BM20" i="9" s="1"/>
  <c r="BG20" i="9"/>
  <c r="AU22" i="9"/>
  <c r="BR18" i="9"/>
  <c r="BS18" i="9" s="1"/>
  <c r="BR19" i="9"/>
  <c r="BS19" i="9" s="1"/>
  <c r="BI17" i="7"/>
  <c r="BI24" i="7"/>
  <c r="BI16" i="7"/>
  <c r="BL12" i="6"/>
  <c r="BT12" i="6" s="1"/>
  <c r="BJ20" i="6"/>
  <c r="BR20" i="6" s="1"/>
  <c r="BG18" i="6"/>
  <c r="BJ18" i="6" s="1"/>
  <c r="BR18" i="6" s="1"/>
  <c r="BL15" i="6"/>
  <c r="BT15" i="6" s="1"/>
  <c r="BM21" i="6"/>
  <c r="BO19" i="6"/>
  <c r="BU11" i="6"/>
  <c r="BL22" i="6"/>
  <c r="BT22" i="6" s="1"/>
  <c r="BI21" i="1"/>
  <c r="BT21" i="1" s="1"/>
  <c r="BL21" i="1"/>
  <c r="BW21" i="1" s="1"/>
  <c r="BI19" i="1"/>
  <c r="BT19" i="1" s="1"/>
  <c r="BM21" i="1"/>
  <c r="BM19" i="1"/>
  <c r="BG12" i="5"/>
  <c r="AU22" i="5"/>
  <c r="BS22" i="5" s="1"/>
  <c r="BL12" i="5"/>
  <c r="BQ12" i="5" s="1"/>
  <c r="BJ12" i="5"/>
  <c r="BO12" i="5" s="1"/>
  <c r="BI12" i="5"/>
  <c r="BN12" i="5" s="1"/>
  <c r="BG23" i="5"/>
  <c r="BL23" i="5"/>
  <c r="BQ23" i="5" s="1"/>
  <c r="BK12" i="5"/>
  <c r="BH23" i="5"/>
  <c r="BM23" i="5" s="1"/>
  <c r="AU12" i="5"/>
  <c r="BS12" i="5" s="1"/>
  <c r="BH12" i="5"/>
  <c r="BM12" i="5" s="1"/>
  <c r="AU19" i="5"/>
  <c r="BS19" i="5" s="1"/>
  <c r="BK23" i="5"/>
  <c r="BP23" i="5" s="1"/>
  <c r="BI23" i="5"/>
  <c r="BN23" i="5" s="1"/>
  <c r="BI18" i="6"/>
  <c r="BQ18" i="6" s="1"/>
  <c r="BK20" i="6"/>
  <c r="BS20" i="6" s="1"/>
  <c r="BJ21" i="6"/>
  <c r="BR21" i="6" s="1"/>
  <c r="BK19" i="6"/>
  <c r="BS19" i="6" s="1"/>
  <c r="BI26" i="6"/>
  <c r="BQ26" i="6" s="1"/>
  <c r="BI23" i="6"/>
  <c r="BQ23" i="6" s="1"/>
  <c r="BU23" i="6" s="1"/>
  <c r="BJ22" i="6"/>
  <c r="BR22" i="6" s="1"/>
  <c r="BU22" i="6" s="1"/>
  <c r="BJ15" i="6"/>
  <c r="BR15" i="6" s="1"/>
  <c r="BL19" i="6"/>
  <c r="BT19" i="6" s="1"/>
  <c r="BK22" i="6"/>
  <c r="BS22" i="6" s="1"/>
  <c r="BM15" i="6"/>
  <c r="BJ12" i="6"/>
  <c r="BR12" i="6" s="1"/>
  <c r="BI20" i="6"/>
  <c r="BQ20" i="6" s="1"/>
  <c r="BU20" i="6" s="1"/>
  <c r="BM22" i="6"/>
  <c r="BI15" i="6"/>
  <c r="BQ15" i="6" s="1"/>
  <c r="BU15" i="6" s="1"/>
  <c r="BJ19" i="6"/>
  <c r="BR19" i="6" s="1"/>
  <c r="BK12" i="6"/>
  <c r="BS12" i="6" s="1"/>
  <c r="BH17" i="6"/>
  <c r="BP17" i="6"/>
  <c r="BJ26" i="6"/>
  <c r="BR26" i="6" s="1"/>
  <c r="BH24" i="6"/>
  <c r="BP24" i="6"/>
  <c r="BH13" i="6"/>
  <c r="BK13" i="6" s="1"/>
  <c r="BS13" i="6" s="1"/>
  <c r="BP13" i="6"/>
  <c r="BG14" i="6"/>
  <c r="BO14" i="6"/>
  <c r="BF13" i="6"/>
  <c r="BL13" i="6" s="1"/>
  <c r="BT13" i="6" s="1"/>
  <c r="BN13" i="6"/>
  <c r="BM23" i="6"/>
  <c r="BF25" i="6"/>
  <c r="BJ25" i="6" s="1"/>
  <c r="BR25" i="6" s="1"/>
  <c r="BN25" i="6"/>
  <c r="BG13" i="6"/>
  <c r="BO13" i="6"/>
  <c r="BL23" i="6"/>
  <c r="BT23" i="6" s="1"/>
  <c r="BG16" i="6"/>
  <c r="BO16" i="6"/>
  <c r="BF17" i="6"/>
  <c r="BL17" i="6" s="1"/>
  <c r="BT17" i="6" s="1"/>
  <c r="BN17" i="6"/>
  <c r="BK26" i="6"/>
  <c r="BS26" i="6" s="1"/>
  <c r="BI21" i="6"/>
  <c r="BQ21" i="6" s="1"/>
  <c r="BF14" i="6"/>
  <c r="BN14" i="6"/>
  <c r="BG17" i="6"/>
  <c r="BO17" i="6"/>
  <c r="BL26" i="6"/>
  <c r="BT26" i="6" s="1"/>
  <c r="BM12" i="6"/>
  <c r="BI12" i="6"/>
  <c r="BQ12" i="6" s="1"/>
  <c r="BU12" i="6" s="1"/>
  <c r="BL11" i="6"/>
  <c r="BT11" i="6" s="1"/>
  <c r="BH25" i="6"/>
  <c r="BP25" i="6"/>
  <c r="BK21" i="6"/>
  <c r="BS21" i="6" s="1"/>
  <c r="BF16" i="6"/>
  <c r="BN16" i="6"/>
  <c r="BM19" i="6"/>
  <c r="BH16" i="6"/>
  <c r="BK16" i="6" s="1"/>
  <c r="BS16" i="6" s="1"/>
  <c r="BP16" i="6"/>
  <c r="BM20" i="6"/>
  <c r="BM26" i="6"/>
  <c r="BK15" i="6"/>
  <c r="BS15" i="6" s="1"/>
  <c r="BF24" i="6"/>
  <c r="BI24" i="6" s="1"/>
  <c r="BQ24" i="6" s="1"/>
  <c r="BN24" i="6"/>
  <c r="BI19" i="6"/>
  <c r="BQ19" i="6" s="1"/>
  <c r="BU19" i="6" s="1"/>
  <c r="BJ11" i="6"/>
  <c r="BR11" i="6" s="1"/>
  <c r="BH14" i="6"/>
  <c r="BP14" i="6"/>
  <c r="BL21" i="6"/>
  <c r="BT21" i="6" s="1"/>
  <c r="BL20" i="6"/>
  <c r="BT20" i="6" s="1"/>
  <c r="BG25" i="6"/>
  <c r="BO25" i="6"/>
  <c r="BM11" i="6"/>
  <c r="BK11" i="6"/>
  <c r="BS11" i="6" s="1"/>
  <c r="BL14" i="6"/>
  <c r="BT14" i="6" s="1"/>
  <c r="BG15" i="1"/>
  <c r="BQ15" i="1"/>
  <c r="BG25" i="1"/>
  <c r="BQ25" i="1"/>
  <c r="BG24" i="1"/>
  <c r="BQ24" i="1"/>
  <c r="BF15" i="1"/>
  <c r="BP15" i="1"/>
  <c r="BF25" i="1"/>
  <c r="BP25" i="1"/>
  <c r="BF11" i="1"/>
  <c r="BP11" i="1"/>
  <c r="BS12" i="1"/>
  <c r="BS23" i="1"/>
  <c r="BK19" i="1"/>
  <c r="BV19" i="1" s="1"/>
  <c r="BH22" i="1"/>
  <c r="BR22" i="1"/>
  <c r="BH13" i="1"/>
  <c r="BR13" i="1"/>
  <c r="BH12" i="1"/>
  <c r="BR12" i="1"/>
  <c r="BH23" i="1"/>
  <c r="BR23" i="1"/>
  <c r="BJ19" i="1"/>
  <c r="BU19" i="1" s="1"/>
  <c r="BG22" i="1"/>
  <c r="BQ22" i="1"/>
  <c r="BG13" i="1"/>
  <c r="BQ13" i="1"/>
  <c r="BG20" i="1"/>
  <c r="BQ20" i="1"/>
  <c r="BG11" i="1"/>
  <c r="BQ11" i="1"/>
  <c r="BF20" i="1"/>
  <c r="BP20" i="1"/>
  <c r="BK21" i="1"/>
  <c r="BV21" i="1" s="1"/>
  <c r="BS18" i="1"/>
  <c r="BS14" i="1"/>
  <c r="BS15" i="1"/>
  <c r="BS17" i="1"/>
  <c r="BS25" i="1"/>
  <c r="BS26" i="1"/>
  <c r="BS24" i="1"/>
  <c r="BJ21" i="1"/>
  <c r="BU21" i="1" s="1"/>
  <c r="BY21" i="1" s="1"/>
  <c r="BG14" i="1"/>
  <c r="BQ14" i="1"/>
  <c r="BG17" i="1"/>
  <c r="BQ17" i="1"/>
  <c r="BG26" i="1"/>
  <c r="BQ26" i="1"/>
  <c r="BF14" i="1"/>
  <c r="BP14" i="1"/>
  <c r="BF17" i="1"/>
  <c r="BP17" i="1"/>
  <c r="BF26" i="1"/>
  <c r="BP26" i="1"/>
  <c r="BF24" i="1"/>
  <c r="BP24" i="1"/>
  <c r="BF18" i="1"/>
  <c r="BP18" i="1"/>
  <c r="BS22" i="1"/>
  <c r="BS13" i="1"/>
  <c r="BS20" i="1"/>
  <c r="BG16" i="1"/>
  <c r="BQ16" i="1"/>
  <c r="BS11" i="1"/>
  <c r="BH20" i="1"/>
  <c r="BR20" i="1"/>
  <c r="BH11" i="1"/>
  <c r="BR11" i="1"/>
  <c r="BG12" i="1"/>
  <c r="BQ12" i="1"/>
  <c r="BG23" i="1"/>
  <c r="BQ23" i="1"/>
  <c r="BF22" i="1"/>
  <c r="BK22" i="1" s="1"/>
  <c r="BV22" i="1" s="1"/>
  <c r="BP22" i="1"/>
  <c r="BF13" i="1"/>
  <c r="BP13" i="1"/>
  <c r="BF12" i="1"/>
  <c r="BP12" i="1"/>
  <c r="BF23" i="1"/>
  <c r="BP23" i="1"/>
  <c r="BH14" i="1"/>
  <c r="BM14" i="1" s="1"/>
  <c r="BR14" i="1"/>
  <c r="BH15" i="1"/>
  <c r="BR15" i="1"/>
  <c r="BH17" i="1"/>
  <c r="BR17" i="1"/>
  <c r="BH25" i="1"/>
  <c r="BR25" i="1"/>
  <c r="BH26" i="1"/>
  <c r="BR26" i="1"/>
  <c r="BH24" i="1"/>
  <c r="BR24" i="1"/>
  <c r="BK24" i="1"/>
  <c r="BV24" i="1" s="1"/>
  <c r="BL24" i="1"/>
  <c r="BW24" i="1" s="1"/>
  <c r="AU24" i="5"/>
  <c r="BS24" i="5" s="1"/>
  <c r="AU14" i="5"/>
  <c r="BS14" i="5" s="1"/>
  <c r="AU18" i="5"/>
  <c r="BS18" i="5" s="1"/>
  <c r="BG16" i="5"/>
  <c r="BL16" i="5"/>
  <c r="BQ16" i="5" s="1"/>
  <c r="BH16" i="5"/>
  <c r="BM16" i="5" s="1"/>
  <c r="BK16" i="5"/>
  <c r="BP16" i="5" s="1"/>
  <c r="BI16" i="5"/>
  <c r="BN16" i="5" s="1"/>
  <c r="BJ16" i="5"/>
  <c r="BO16" i="5" s="1"/>
  <c r="BG25" i="5"/>
  <c r="BK25" i="5"/>
  <c r="BP25" i="5" s="1"/>
  <c r="BH25" i="5"/>
  <c r="BM25" i="5" s="1"/>
  <c r="BI25" i="5"/>
  <c r="BN25" i="5" s="1"/>
  <c r="BL25" i="5"/>
  <c r="BQ25" i="5" s="1"/>
  <c r="BJ25" i="5"/>
  <c r="BO25" i="5" s="1"/>
  <c r="BG24" i="5"/>
  <c r="BL24" i="5"/>
  <c r="BQ24" i="5" s="1"/>
  <c r="BH24" i="5"/>
  <c r="BM24" i="5" s="1"/>
  <c r="BK24" i="5"/>
  <c r="BP24" i="5" s="1"/>
  <c r="BI24" i="5"/>
  <c r="BN24" i="5" s="1"/>
  <c r="BJ24" i="5"/>
  <c r="BO24" i="5" s="1"/>
  <c r="BH20" i="5"/>
  <c r="BM20" i="5" s="1"/>
  <c r="BL20" i="5"/>
  <c r="BQ20" i="5" s="1"/>
  <c r="BI20" i="5"/>
  <c r="BN20" i="5" s="1"/>
  <c r="BJ20" i="5"/>
  <c r="BO20" i="5" s="1"/>
  <c r="BK20" i="5"/>
  <c r="BP20" i="5" s="1"/>
  <c r="BJ22" i="5"/>
  <c r="BO22" i="5" s="1"/>
  <c r="BK22" i="5"/>
  <c r="BP22" i="5" s="1"/>
  <c r="BH22" i="5"/>
  <c r="BM22" i="5" s="1"/>
  <c r="BI22" i="5"/>
  <c r="BN22" i="5" s="1"/>
  <c r="BL22" i="5"/>
  <c r="BQ22" i="5" s="1"/>
  <c r="BG11" i="5"/>
  <c r="BJ11" i="5"/>
  <c r="BO11" i="5" s="1"/>
  <c r="BH11" i="5"/>
  <c r="BM11" i="5" s="1"/>
  <c r="BL11" i="5"/>
  <c r="BQ11" i="5" s="1"/>
  <c r="BI11" i="5"/>
  <c r="BN11" i="5" s="1"/>
  <c r="BK11" i="5"/>
  <c r="BP11" i="5" s="1"/>
  <c r="BK17" i="5"/>
  <c r="BP17" i="5" s="1"/>
  <c r="BH17" i="5"/>
  <c r="BM17" i="5" s="1"/>
  <c r="BI17" i="5"/>
  <c r="BN17" i="5" s="1"/>
  <c r="BL17" i="5"/>
  <c r="BQ17" i="5" s="1"/>
  <c r="BJ17" i="5"/>
  <c r="BO17" i="5" s="1"/>
  <c r="AU16" i="5"/>
  <c r="BS16" i="5" s="1"/>
  <c r="BG15" i="5"/>
  <c r="BI15" i="5"/>
  <c r="BN15" i="5" s="1"/>
  <c r="BJ15" i="5"/>
  <c r="BO15" i="5" s="1"/>
  <c r="BK15" i="5"/>
  <c r="BP15" i="5" s="1"/>
  <c r="BH15" i="5"/>
  <c r="BM15" i="5" s="1"/>
  <c r="BL15" i="5"/>
  <c r="BQ15" i="5" s="1"/>
  <c r="BK21" i="5"/>
  <c r="BP21" i="5" s="1"/>
  <c r="BI21" i="5"/>
  <c r="BN21" i="5" s="1"/>
  <c r="BJ21" i="5"/>
  <c r="BO21" i="5" s="1"/>
  <c r="BL21" i="5"/>
  <c r="BQ21" i="5" s="1"/>
  <c r="BH21" i="5"/>
  <c r="BM21" i="5" s="1"/>
  <c r="BJ18" i="5"/>
  <c r="BO18" i="5" s="1"/>
  <c r="BI18" i="5"/>
  <c r="BN18" i="5" s="1"/>
  <c r="BK18" i="5"/>
  <c r="BP18" i="5" s="1"/>
  <c r="BL18" i="5"/>
  <c r="BQ18" i="5" s="1"/>
  <c r="BH18" i="5"/>
  <c r="BM18" i="5" s="1"/>
  <c r="BI19" i="5"/>
  <c r="BN19" i="5" s="1"/>
  <c r="BL19" i="5"/>
  <c r="BQ19" i="5" s="1"/>
  <c r="BJ19" i="5"/>
  <c r="BO19" i="5" s="1"/>
  <c r="BH19" i="5"/>
  <c r="BM19" i="5" s="1"/>
  <c r="BK19" i="5"/>
  <c r="BP19" i="5" s="1"/>
  <c r="BJ26" i="5"/>
  <c r="BO26" i="5" s="1"/>
  <c r="BH26" i="5"/>
  <c r="BM26" i="5" s="1"/>
  <c r="BK26" i="5"/>
  <c r="BP26" i="5" s="1"/>
  <c r="BL26" i="5"/>
  <c r="BQ26" i="5" s="1"/>
  <c r="BI26" i="5"/>
  <c r="BN26" i="5" s="1"/>
  <c r="BL14" i="5"/>
  <c r="BQ14" i="5" s="1"/>
  <c r="BJ14" i="5"/>
  <c r="BO14" i="5" s="1"/>
  <c r="BH14" i="5"/>
  <c r="BM14" i="5" s="1"/>
  <c r="BI14" i="5"/>
  <c r="BN14" i="5" s="1"/>
  <c r="BK14" i="5"/>
  <c r="BP14" i="5" s="1"/>
  <c r="BK13" i="5"/>
  <c r="BP13" i="5" s="1"/>
  <c r="BH13" i="5"/>
  <c r="BM13" i="5" s="1"/>
  <c r="BL13" i="5"/>
  <c r="BQ13" i="5" s="1"/>
  <c r="BI13" i="5"/>
  <c r="BN13" i="5" s="1"/>
  <c r="BJ13" i="5"/>
  <c r="BO13" i="5" s="1"/>
  <c r="BG14" i="5"/>
  <c r="BG26" i="5"/>
  <c r="BG19" i="5"/>
  <c r="BG22" i="5"/>
  <c r="AU25" i="5"/>
  <c r="BS25" i="5" s="1"/>
  <c r="BG17" i="5"/>
  <c r="BG18" i="5"/>
  <c r="AU23" i="5"/>
  <c r="BS23" i="5" s="1"/>
  <c r="AU26" i="5"/>
  <c r="BS26" i="5" s="1"/>
  <c r="BG20" i="5"/>
  <c r="BG13" i="5"/>
  <c r="BG21" i="5"/>
  <c r="AU13" i="5"/>
  <c r="BS13" i="5" s="1"/>
  <c r="AU11" i="5"/>
  <c r="BS11" i="5" s="1"/>
  <c r="AU15" i="5"/>
  <c r="BS15" i="5" s="1"/>
  <c r="AU21" i="5"/>
  <c r="BS21" i="5" s="1"/>
  <c r="AU17" i="5"/>
  <c r="BS17" i="5" s="1"/>
  <c r="AU20" i="5"/>
  <c r="BS20" i="5" s="1"/>
  <c r="BY17" i="10" l="1"/>
  <c r="BY13" i="10"/>
  <c r="BZ24" i="11"/>
  <c r="BY25" i="10"/>
  <c r="BU20" i="11"/>
  <c r="BU21" i="11"/>
  <c r="BY21" i="11" s="1"/>
  <c r="CA21" i="11" s="1"/>
  <c r="BY18" i="10"/>
  <c r="BU17" i="11"/>
  <c r="BU26" i="11"/>
  <c r="BY26" i="11" s="1"/>
  <c r="CA26" i="11" s="1"/>
  <c r="BZ25" i="11"/>
  <c r="BU13" i="11"/>
  <c r="BL23" i="11"/>
  <c r="BT23" i="11" s="1"/>
  <c r="BJ23" i="11"/>
  <c r="BR23" i="11" s="1"/>
  <c r="BI23" i="11"/>
  <c r="BQ23" i="11" s="1"/>
  <c r="BK23" i="11"/>
  <c r="BS23" i="11" s="1"/>
  <c r="BM23" i="11"/>
  <c r="BI16" i="11"/>
  <c r="BQ16" i="11" s="1"/>
  <c r="BM16" i="11"/>
  <c r="BK16" i="11"/>
  <c r="BS16" i="11" s="1"/>
  <c r="BL16" i="11"/>
  <c r="BT16" i="11" s="1"/>
  <c r="BJ16" i="11"/>
  <c r="BR16" i="11" s="1"/>
  <c r="BU22" i="11"/>
  <c r="BY22" i="11" s="1"/>
  <c r="CA22" i="11" s="1"/>
  <c r="BY17" i="11"/>
  <c r="CA17" i="11" s="1"/>
  <c r="BM19" i="11"/>
  <c r="BL19" i="11"/>
  <c r="BT19" i="11" s="1"/>
  <c r="BK19" i="11"/>
  <c r="BS19" i="11" s="1"/>
  <c r="BJ19" i="11"/>
  <c r="BR19" i="11" s="1"/>
  <c r="BI19" i="11"/>
  <c r="BQ19" i="11" s="1"/>
  <c r="BZ14" i="11"/>
  <c r="BY20" i="11"/>
  <c r="CA20" i="11" s="1"/>
  <c r="BM11" i="11"/>
  <c r="BL11" i="11"/>
  <c r="BT11" i="11" s="1"/>
  <c r="BK11" i="11"/>
  <c r="BS11" i="11" s="1"/>
  <c r="BJ11" i="11"/>
  <c r="BR11" i="11" s="1"/>
  <c r="BI11" i="11"/>
  <c r="BQ11" i="11" s="1"/>
  <c r="BM12" i="11"/>
  <c r="BL12" i="11"/>
  <c r="BT12" i="11" s="1"/>
  <c r="BK12" i="11"/>
  <c r="BS12" i="11" s="1"/>
  <c r="BJ12" i="11"/>
  <c r="BR12" i="11" s="1"/>
  <c r="BI12" i="11"/>
  <c r="BQ12" i="11" s="1"/>
  <c r="BZ15" i="11"/>
  <c r="BZ18" i="11"/>
  <c r="BY16" i="10"/>
  <c r="BY21" i="10"/>
  <c r="BY15" i="10"/>
  <c r="BY26" i="10"/>
  <c r="BY22" i="10"/>
  <c r="BY12" i="10"/>
  <c r="BY19" i="10"/>
  <c r="BY20" i="10"/>
  <c r="BY14" i="10"/>
  <c r="BM11" i="10"/>
  <c r="BL11" i="10"/>
  <c r="BW11" i="10" s="1"/>
  <c r="BK11" i="10"/>
  <c r="BV11" i="10" s="1"/>
  <c r="BJ11" i="10"/>
  <c r="BU11" i="10" s="1"/>
  <c r="BI11" i="10"/>
  <c r="BT11" i="10" s="1"/>
  <c r="BI23" i="10"/>
  <c r="BT23" i="10" s="1"/>
  <c r="BM23" i="10"/>
  <c r="BL23" i="10"/>
  <c r="BW23" i="10" s="1"/>
  <c r="BK23" i="10"/>
  <c r="BV23" i="10" s="1"/>
  <c r="BJ23" i="10"/>
  <c r="BU23" i="10" s="1"/>
  <c r="BT15" i="9"/>
  <c r="BR26" i="9"/>
  <c r="BS26" i="9" s="1"/>
  <c r="BT23" i="9" s="1"/>
  <c r="BR22" i="9"/>
  <c r="BS22" i="9" s="1"/>
  <c r="BR12" i="9"/>
  <c r="BS12" i="9" s="1"/>
  <c r="BT11" i="9" s="1"/>
  <c r="BR20" i="9"/>
  <c r="BS20" i="9" s="1"/>
  <c r="BR21" i="9"/>
  <c r="BS21" i="9" s="1"/>
  <c r="BU26" i="6"/>
  <c r="BI16" i="6"/>
  <c r="BQ16" i="6" s="1"/>
  <c r="BL18" i="6"/>
  <c r="BT18" i="6" s="1"/>
  <c r="BK18" i="6"/>
  <c r="BS18" i="6" s="1"/>
  <c r="BU18" i="6" s="1"/>
  <c r="BU24" i="6"/>
  <c r="BU21" i="6"/>
  <c r="BM18" i="6"/>
  <c r="BK15" i="1"/>
  <c r="BV15" i="1" s="1"/>
  <c r="BJ24" i="1"/>
  <c r="BU24" i="1" s="1"/>
  <c r="BY19" i="1"/>
  <c r="BM15" i="1"/>
  <c r="BK17" i="1"/>
  <c r="BV17" i="1" s="1"/>
  <c r="BY17" i="1" s="1"/>
  <c r="BK23" i="1"/>
  <c r="BV23" i="1" s="1"/>
  <c r="BK25" i="1"/>
  <c r="BV25" i="1" s="1"/>
  <c r="BI26" i="1"/>
  <c r="BT26" i="1" s="1"/>
  <c r="BM24" i="1"/>
  <c r="BK13" i="1"/>
  <c r="BV13" i="1" s="1"/>
  <c r="BK11" i="1"/>
  <c r="BV11" i="1" s="1"/>
  <c r="BM11" i="1"/>
  <c r="BI11" i="1"/>
  <c r="BT11" i="1" s="1"/>
  <c r="BL11" i="1"/>
  <c r="BW11" i="1" s="1"/>
  <c r="BJ11" i="1"/>
  <c r="BU11" i="1" s="1"/>
  <c r="BI12" i="1"/>
  <c r="BT12" i="1" s="1"/>
  <c r="BP12" i="5"/>
  <c r="BK24" i="6"/>
  <c r="BS24" i="6" s="1"/>
  <c r="BJ17" i="6"/>
  <c r="BR17" i="6" s="1"/>
  <c r="BI25" i="6"/>
  <c r="BQ25" i="6" s="1"/>
  <c r="BU25" i="6" s="1"/>
  <c r="BJ16" i="6"/>
  <c r="BR16" i="6" s="1"/>
  <c r="BJ13" i="6"/>
  <c r="BR13" i="6" s="1"/>
  <c r="BI17" i="6"/>
  <c r="BQ17" i="6" s="1"/>
  <c r="BU17" i="6" s="1"/>
  <c r="BM17" i="6"/>
  <c r="BJ24" i="6"/>
  <c r="BR24" i="6" s="1"/>
  <c r="BM16" i="6"/>
  <c r="BI14" i="6"/>
  <c r="BQ14" i="6" s="1"/>
  <c r="BU14" i="6" s="1"/>
  <c r="BK25" i="6"/>
  <c r="BS25" i="6" s="1"/>
  <c r="BL25" i="6"/>
  <c r="BT25" i="6" s="1"/>
  <c r="BL24" i="6"/>
  <c r="BT24" i="6" s="1"/>
  <c r="BI13" i="6"/>
  <c r="BQ13" i="6" s="1"/>
  <c r="BU13" i="6" s="1"/>
  <c r="BL16" i="6"/>
  <c r="BT16" i="6" s="1"/>
  <c r="BK17" i="6"/>
  <c r="BS17" i="6" s="1"/>
  <c r="BM25" i="6"/>
  <c r="BM13" i="6"/>
  <c r="BM24" i="6"/>
  <c r="BM14" i="6"/>
  <c r="BK14" i="6"/>
  <c r="BS14" i="6" s="1"/>
  <c r="BJ14" i="6"/>
  <c r="BR14" i="6" s="1"/>
  <c r="BI20" i="1"/>
  <c r="BT20" i="1" s="1"/>
  <c r="BI23" i="1"/>
  <c r="BT23" i="1" s="1"/>
  <c r="BM12" i="1"/>
  <c r="BL12" i="1"/>
  <c r="BW12" i="1" s="1"/>
  <c r="BJ25" i="1"/>
  <c r="BU25" i="1" s="1"/>
  <c r="BJ26" i="1"/>
  <c r="BU26" i="1" s="1"/>
  <c r="BJ22" i="1"/>
  <c r="BU22" i="1" s="1"/>
  <c r="BJ14" i="1"/>
  <c r="BU14" i="1" s="1"/>
  <c r="BM26" i="1"/>
  <c r="BI25" i="1"/>
  <c r="BT25" i="1" s="1"/>
  <c r="BM13" i="1"/>
  <c r="BI22" i="1"/>
  <c r="BT22" i="1" s="1"/>
  <c r="BJ23" i="1"/>
  <c r="BU23" i="1" s="1"/>
  <c r="BI17" i="1"/>
  <c r="BT17" i="1" s="1"/>
  <c r="BJ13" i="1"/>
  <c r="BU13" i="1" s="1"/>
  <c r="BI13" i="1"/>
  <c r="BT13" i="1" s="1"/>
  <c r="BI14" i="1"/>
  <c r="BT14" i="1" s="1"/>
  <c r="BM17" i="1"/>
  <c r="BL15" i="1"/>
  <c r="BW15" i="1" s="1"/>
  <c r="BL13" i="1"/>
  <c r="BW13" i="1" s="1"/>
  <c r="BL17" i="1"/>
  <c r="BW17" i="1" s="1"/>
  <c r="BM20" i="1"/>
  <c r="BJ15" i="1"/>
  <c r="BU15" i="1" s="1"/>
  <c r="BK26" i="1"/>
  <c r="BV26" i="1" s="1"/>
  <c r="BL20" i="1"/>
  <c r="BW20" i="1" s="1"/>
  <c r="BL14" i="1"/>
  <c r="BW14" i="1" s="1"/>
  <c r="BK20" i="1"/>
  <c r="BV20" i="1" s="1"/>
  <c r="BJ12" i="1"/>
  <c r="BU12" i="1" s="1"/>
  <c r="BI24" i="1"/>
  <c r="BT24" i="1" s="1"/>
  <c r="BM22" i="1"/>
  <c r="BK16" i="1"/>
  <c r="BV16" i="1" s="1"/>
  <c r="BM16" i="1"/>
  <c r="BJ16" i="1"/>
  <c r="BU16" i="1" s="1"/>
  <c r="BL16" i="1"/>
  <c r="BW16" i="1" s="1"/>
  <c r="BI16" i="1"/>
  <c r="BT16" i="1" s="1"/>
  <c r="BY16" i="1" s="1"/>
  <c r="BK18" i="1"/>
  <c r="BV18" i="1" s="1"/>
  <c r="BM18" i="1"/>
  <c r="BJ18" i="1"/>
  <c r="BU18" i="1" s="1"/>
  <c r="BL18" i="1"/>
  <c r="BW18" i="1" s="1"/>
  <c r="BI18" i="1"/>
  <c r="BT18" i="1" s="1"/>
  <c r="BK12" i="1"/>
  <c r="BV12" i="1" s="1"/>
  <c r="BM23" i="1"/>
  <c r="BL26" i="1"/>
  <c r="BW26" i="1" s="1"/>
  <c r="BL23" i="1"/>
  <c r="BW23" i="1" s="1"/>
  <c r="BM25" i="1"/>
  <c r="BJ17" i="1"/>
  <c r="BU17" i="1" s="1"/>
  <c r="BL25" i="1"/>
  <c r="BW25" i="1" s="1"/>
  <c r="BK14" i="1"/>
  <c r="BV14" i="1" s="1"/>
  <c r="BJ20" i="1"/>
  <c r="BU20" i="1" s="1"/>
  <c r="BI15" i="1"/>
  <c r="BT15" i="1" s="1"/>
  <c r="BL22" i="1"/>
  <c r="BW22" i="1" s="1"/>
  <c r="BT28" i="6"/>
  <c r="BT27" i="6"/>
  <c r="BT29" i="6"/>
  <c r="BT30" i="5"/>
  <c r="BY24" i="1" l="1"/>
  <c r="BY26" i="1"/>
  <c r="BZ23" i="1" s="1"/>
  <c r="BY15" i="1"/>
  <c r="BZ15" i="1" s="1"/>
  <c r="BY23" i="10"/>
  <c r="BZ23" i="10" s="1"/>
  <c r="BZ19" i="10"/>
  <c r="BZ15" i="10"/>
  <c r="BU11" i="11"/>
  <c r="BY11" i="11" s="1"/>
  <c r="CA11" i="11" s="1"/>
  <c r="BY11" i="10"/>
  <c r="BZ11" i="10" s="1"/>
  <c r="BU23" i="11"/>
  <c r="BY23" i="11" s="1"/>
  <c r="CA23" i="11" s="1"/>
  <c r="BY13" i="11"/>
  <c r="CA13" i="11" s="1"/>
  <c r="BU12" i="11"/>
  <c r="BY12" i="11" s="1"/>
  <c r="CA12" i="11" s="1"/>
  <c r="BU16" i="11"/>
  <c r="BU19" i="11"/>
  <c r="BY19" i="11" s="1"/>
  <c r="CA19" i="11" s="1"/>
  <c r="BZ22" i="11"/>
  <c r="BZ20" i="11"/>
  <c r="BZ26" i="11"/>
  <c r="BZ17" i="11"/>
  <c r="BZ21" i="11"/>
  <c r="BT19" i="9"/>
  <c r="BU16" i="6"/>
  <c r="BY18" i="1"/>
  <c r="BY20" i="1"/>
  <c r="BY25" i="1"/>
  <c r="BY23" i="1"/>
  <c r="BY13" i="1"/>
  <c r="BY22" i="1"/>
  <c r="BY14" i="1"/>
  <c r="BY12" i="1"/>
  <c r="BY11" i="1"/>
  <c r="BY25" i="6"/>
  <c r="BZ25" i="6" s="1"/>
  <c r="BY15" i="6"/>
  <c r="BZ15" i="6" s="1"/>
  <c r="BY24" i="6"/>
  <c r="BZ24" i="6" s="1"/>
  <c r="BT15" i="5"/>
  <c r="BT19" i="5"/>
  <c r="BT23" i="5"/>
  <c r="BT11" i="5"/>
  <c r="BY26" i="6"/>
  <c r="BZ26" i="6" s="1"/>
  <c r="BZ19" i="1" l="1"/>
  <c r="BZ13" i="11"/>
  <c r="BZ23" i="11"/>
  <c r="CB23" i="11" s="1"/>
  <c r="BY16" i="11"/>
  <c r="CA16" i="11" s="1"/>
  <c r="BZ11" i="11"/>
  <c r="BZ19" i="11"/>
  <c r="CB19" i="11" s="1"/>
  <c r="BZ12" i="11"/>
  <c r="CA24" i="6"/>
  <c r="CA25" i="6"/>
  <c r="CA15" i="6"/>
  <c r="CA26" i="6"/>
  <c r="BZ11" i="1"/>
  <c r="BY18" i="6"/>
  <c r="BZ18" i="6" s="1"/>
  <c r="BY14" i="6"/>
  <c r="BZ14" i="6" s="1"/>
  <c r="BY17" i="6"/>
  <c r="BZ17" i="6" s="1"/>
  <c r="BY19" i="6"/>
  <c r="BZ19" i="6" s="1"/>
  <c r="BY20" i="6"/>
  <c r="BZ20" i="6" s="1"/>
  <c r="BY21" i="6"/>
  <c r="BZ21" i="6" s="1"/>
  <c r="BY16" i="6"/>
  <c r="BZ16" i="6" s="1"/>
  <c r="BZ16" i="11" l="1"/>
  <c r="CB15" i="11" s="1"/>
  <c r="CB11" i="11"/>
  <c r="CA21" i="6"/>
  <c r="CA17" i="6"/>
  <c r="CA18" i="6"/>
  <c r="CA16" i="6"/>
  <c r="CB15" i="6" s="1"/>
  <c r="CA20" i="6"/>
  <c r="CA19" i="6"/>
  <c r="CA14" i="6"/>
  <c r="BY22" i="6"/>
  <c r="BZ22" i="6" s="1"/>
  <c r="BY12" i="6"/>
  <c r="BZ12" i="6" s="1"/>
  <c r="BY23" i="6"/>
  <c r="BZ23" i="6" s="1"/>
  <c r="BY13" i="6"/>
  <c r="BZ13" i="6" s="1"/>
  <c r="BY11" i="6"/>
  <c r="BZ11" i="6" s="1"/>
  <c r="CA22" i="6" l="1"/>
  <c r="CB19" i="6" s="1"/>
  <c r="CA11" i="6"/>
  <c r="CB11" i="6" s="1"/>
  <c r="CA13" i="6"/>
  <c r="CA23" i="6"/>
  <c r="CB23" i="6" s="1"/>
  <c r="CA12" i="6"/>
</calcChain>
</file>

<file path=xl/sharedStrings.xml><?xml version="1.0" encoding="utf-8"?>
<sst xmlns="http://schemas.openxmlformats.org/spreadsheetml/2006/main" count="1318" uniqueCount="224">
  <si>
    <t/>
  </si>
  <si>
    <t>input</t>
  </si>
  <si>
    <t>Number of poultry in each class j and subclass k</t>
  </si>
  <si>
    <t>Duration of stay for each class and subclass of poultry</t>
  </si>
  <si>
    <t>Njk</t>
  </si>
  <si>
    <t>Djk</t>
  </si>
  <si>
    <t>Ijk</t>
  </si>
  <si>
    <t>CPjk</t>
  </si>
  <si>
    <t>Poultry Class (jk)</t>
  </si>
  <si>
    <t>layers</t>
  </si>
  <si>
    <t>meatChickenGrowers</t>
  </si>
  <si>
    <t>meatOther</t>
  </si>
  <si>
    <t>DMD</t>
  </si>
  <si>
    <t>CP</t>
  </si>
  <si>
    <t>NR</t>
  </si>
  <si>
    <t>MMS</t>
  </si>
  <si>
    <t>manureWithLitter</t>
  </si>
  <si>
    <t>beltManureRemoval</t>
  </si>
  <si>
    <t>manureStoredInHouse</t>
  </si>
  <si>
    <t>solidStorage</t>
  </si>
  <si>
    <t>composting</t>
  </si>
  <si>
    <t>directProcessing</t>
  </si>
  <si>
    <t>digester</t>
  </si>
  <si>
    <t>FracGASM</t>
  </si>
  <si>
    <t>Efm</t>
  </si>
  <si>
    <t>jk</t>
  </si>
  <si>
    <t>i</t>
  </si>
  <si>
    <t>m</t>
  </si>
  <si>
    <t>Poultry class/subclass</t>
  </si>
  <si>
    <t>A</t>
  </si>
  <si>
    <t>Method 1</t>
  </si>
  <si>
    <t>VSjk</t>
  </si>
  <si>
    <t>DMDjk</t>
  </si>
  <si>
    <t>I</t>
  </si>
  <si>
    <t>Ajk</t>
  </si>
  <si>
    <t>State</t>
  </si>
  <si>
    <t>pastureRangeAndPaddock</t>
  </si>
  <si>
    <t>directApplication</t>
  </si>
  <si>
    <t>Production system</t>
  </si>
  <si>
    <t>MAT</t>
  </si>
  <si>
    <t>Dry Matter Intake</t>
  </si>
  <si>
    <t>Dry Matter Digestibility</t>
  </si>
  <si>
    <t>Crude Protein</t>
  </si>
  <si>
    <t>Ash Content</t>
  </si>
  <si>
    <t>Volatile Solids</t>
  </si>
  <si>
    <t>Nitrogen Retention Rate</t>
  </si>
  <si>
    <t>B0</t>
  </si>
  <si>
    <t>Emissions Potential</t>
  </si>
  <si>
    <t>constant</t>
  </si>
  <si>
    <t>4.6.1.1 (5)</t>
  </si>
  <si>
    <t>11a</t>
  </si>
  <si>
    <t>11b</t>
  </si>
  <si>
    <t>Allocation (stage 1)</t>
  </si>
  <si>
    <t>expression</t>
  </si>
  <si>
    <t>Allocation (stage 2)</t>
  </si>
  <si>
    <t>NSW</t>
  </si>
  <si>
    <t>Climate Zone</t>
  </si>
  <si>
    <t>wet</t>
  </si>
  <si>
    <t>(wet or dry)</t>
  </si>
  <si>
    <t>Leaching zone</t>
  </si>
  <si>
    <t>(true or false)</t>
  </si>
  <si>
    <t>Irrigated pasture</t>
  </si>
  <si>
    <t>Irrigated crop</t>
  </si>
  <si>
    <t>Non-irrigated crop (low rainfall)</t>
  </si>
  <si>
    <t>Non-irrigated crop (high rainfall)</t>
  </si>
  <si>
    <t>Non-irrigated pasture</t>
  </si>
  <si>
    <t>EFN2O</t>
  </si>
  <si>
    <t>dry</t>
  </si>
  <si>
    <t>EFPRP</t>
  </si>
  <si>
    <t>ACT</t>
  </si>
  <si>
    <t>QLD</t>
  </si>
  <si>
    <t>NT</t>
  </si>
  <si>
    <t>VIC</t>
  </si>
  <si>
    <t>SA</t>
  </si>
  <si>
    <t>WA</t>
  </si>
  <si>
    <t>TAS</t>
  </si>
  <si>
    <t>N/A</t>
  </si>
  <si>
    <t>MCFim BY STATE</t>
  </si>
  <si>
    <t>𝑀𝑗𝑘𝑚 𝑇=1 = 𝑉𝑆𝑗𝑘 × 𝐵𝑜𝑗 × 𝑀𝑀𝑆𝑗𝑚 𝑇=1 × 𝑀𝐶𝐹𝑖𝑚 × 𝜌</t>
  </si>
  <si>
    <t>4.6.1.1 (2)</t>
  </si>
  <si>
    <t>Density of methane</t>
  </si>
  <si>
    <t>VSL</t>
  </si>
  <si>
    <t>𝑉𝑆𝑇𝑖𝑗𝑚𝑇=2 = 𝑉𝑆𝑗𝑘 × 𝑀𝑀𝑆𝑗𝑚𝑇=1 × ( 1 − 𝑉𝑆𝐿𝑚𝑇=1)</t>
  </si>
  <si>
    <t>ECH4jm (T=1)</t>
  </si>
  <si>
    <t>𝑉𝑆𝑇𝑗𝑘 × 𝐵𝑂 × 𝑀𝑀𝑆𝑗𝑚𝑇=2 × 𝑀𝐶𝐹𝑖𝑚 × 𝜌</t>
  </si>
  <si>
    <t>ECH4jm (T=2)</t>
  </si>
  <si>
    <t>ECH4</t>
  </si>
  <si>
    <t>∑ ∑ ∑ ∑ (𝐷𝑗𝑘 × 𝑀𝑗𝑘𝑚𝑇 × 𝑁𝑗𝑘) × 10−3</t>
  </si>
  <si>
    <t>meatChickenBreeder</t>
  </si>
  <si>
    <t>NRjk</t>
  </si>
  <si>
    <t>AEjk</t>
  </si>
  <si>
    <t>𝑁𝑇𝑗𝑘𝑚 𝑇=2 = (𝑀𝑁𝑗𝑘𝑚𝑇=1 × (1 − 𝐹𝑟𝑎𝑐𝐺𝐴𝑆𝑀𝑚𝑇=1 − 𝐸𝐹𝑚𝑇=1))</t>
  </si>
  <si>
    <t>EN2O,dir</t>
  </si>
  <si>
    <t>Method 1 Inputs</t>
  </si>
  <si>
    <t>partial</t>
  </si>
  <si>
    <t>Boj</t>
  </si>
  <si>
    <t>CN2O</t>
  </si>
  <si>
    <t>Nitrogen leaving primary systems</t>
  </si>
  <si>
    <t>𝐸𝑁2𝑂,𝑑𝑖𝑟 = ∑ ∑ ∑ ∑ (𝑀𝑁𝑗𝑘𝑚𝑇 × 𝐸𝐹𝑗𝑚 × 𝐶𝑁2𝑂 ) × 10−3</t>
  </si>
  <si>
    <t>FracGASMsoil</t>
  </si>
  <si>
    <t>EN2O,ad</t>
  </si>
  <si>
    <t>MMSATMOS</t>
  </si>
  <si>
    <t>EFLeach</t>
  </si>
  <si>
    <t>FracLEACHMS</t>
  </si>
  <si>
    <t>FracWET</t>
  </si>
  <si>
    <t>EN2O,leach</t>
  </si>
  <si>
    <t>MCFim BY MAT</t>
  </si>
  <si>
    <t>10 or below</t>
  </si>
  <si>
    <t>28 or above</t>
  </si>
  <si>
    <t>MMSjm=11aT=1</t>
  </si>
  <si>
    <t>MMSjm=10T=1</t>
  </si>
  <si>
    <t>MMSjm=11bT=1</t>
  </si>
  <si>
    <t>MMSjm=14T=1</t>
  </si>
  <si>
    <t>Stage 1 manure allocations</t>
  </si>
  <si>
    <t>MMSm=4T=2</t>
  </si>
  <si>
    <t>MMSm=6T=2</t>
  </si>
  <si>
    <t>MMSm=7T=2</t>
  </si>
  <si>
    <t>MMSm=12T=2</t>
  </si>
  <si>
    <t>MMSm=13T=2</t>
  </si>
  <si>
    <t>Stage 2 manure allocations FROM manureWithLitter (m=10)</t>
  </si>
  <si>
    <t>Stage 2 manure allocations FROM beltManureRemoval (m=11a)</t>
  </si>
  <si>
    <t>Stage 2 manure allocations FROM beltManureRemoval (m=11b)</t>
  </si>
  <si>
    <t>MCFim=10</t>
  </si>
  <si>
    <t>MCFim=11a</t>
  </si>
  <si>
    <t>MCFim=11b</t>
  </si>
  <si>
    <t>MCFim=14</t>
  </si>
  <si>
    <t>Mjm=10T=1</t>
  </si>
  <si>
    <t>Mjm=11aT=1</t>
  </si>
  <si>
    <t>Mjm=11bT=1</t>
  </si>
  <si>
    <t>Mjm=14T=1</t>
  </si>
  <si>
    <t>ECH4jm=10</t>
  </si>
  <si>
    <t>ECH4jm=11a</t>
  </si>
  <si>
    <t>ECH4jm=11b</t>
  </si>
  <si>
    <t>ECH4jm=14</t>
  </si>
  <si>
    <t>MCFim=4</t>
  </si>
  <si>
    <t>MCFim=13</t>
  </si>
  <si>
    <t>MCFim=12</t>
  </si>
  <si>
    <t>MCFim=7</t>
  </si>
  <si>
    <t>MCFim=6</t>
  </si>
  <si>
    <t>VSLm=10T=1</t>
  </si>
  <si>
    <t>VSLm=11aT=1</t>
  </si>
  <si>
    <t>VSLm=11bT=1</t>
  </si>
  <si>
    <t>Allocation (stage 2) FROM m=10</t>
  </si>
  <si>
    <t>Allocation (stage 2) FROM m=11a</t>
  </si>
  <si>
    <t>VSTjm=10T=2</t>
  </si>
  <si>
    <t>VSTjm=11aT=2</t>
  </si>
  <si>
    <t>VSTjm=11bT=2</t>
  </si>
  <si>
    <t>VSTj</t>
  </si>
  <si>
    <t>Mjm=4T=2</t>
  </si>
  <si>
    <t>Mjm=13T=2</t>
  </si>
  <si>
    <t>Mjm=12T=2</t>
  </si>
  <si>
    <t>Mjm=7T=2</t>
  </si>
  <si>
    <t>Mjm=6T=2</t>
  </si>
  <si>
    <t>ECH4j</t>
  </si>
  <si>
    <t>EFm=10</t>
  </si>
  <si>
    <t>EFm=11a</t>
  </si>
  <si>
    <t>EFm=11b</t>
  </si>
  <si>
    <t>EFm=14</t>
  </si>
  <si>
    <t>FracGASMm=10</t>
  </si>
  <si>
    <t>FracGASMm=11a</t>
  </si>
  <si>
    <t>FracGASMm=11b</t>
  </si>
  <si>
    <t>FracGASMm=14</t>
  </si>
  <si>
    <t>FracGASMm=13</t>
  </si>
  <si>
    <t>FracGASMm=12</t>
  </si>
  <si>
    <t>FracGASMm=7</t>
  </si>
  <si>
    <t>FracGASMm=6</t>
  </si>
  <si>
    <t>FracGASMm=4</t>
  </si>
  <si>
    <t>EFm=4</t>
  </si>
  <si>
    <t>EFm=6</t>
  </si>
  <si>
    <t>EFm=7</t>
  </si>
  <si>
    <t>EFm=12</t>
  </si>
  <si>
    <t>EFm=13</t>
  </si>
  <si>
    <t>NIj</t>
  </si>
  <si>
    <t>NEj</t>
  </si>
  <si>
    <t>MNjkm=10T=1</t>
  </si>
  <si>
    <t>MNjkm=11aT=1</t>
  </si>
  <si>
    <t>MNjkm=11bT=1</t>
  </si>
  <si>
    <t>MNjkm=14T=1</t>
  </si>
  <si>
    <t>NTjkm=10T=2</t>
  </si>
  <si>
    <t>NTjkm=11aT=2</t>
  </si>
  <si>
    <t>NTjkm=11bT=2</t>
  </si>
  <si>
    <t>MNjm=4T=2</t>
  </si>
  <si>
    <t>MNjm=6T=2</t>
  </si>
  <si>
    <t>MNjm=7T=2</t>
  </si>
  <si>
    <t>MNjm=12T=2</t>
  </si>
  <si>
    <t>MNjm=13T=2</t>
  </si>
  <si>
    <t>EN2O,dir m=10</t>
  </si>
  <si>
    <t>EN2O,dir m=11a</t>
  </si>
  <si>
    <t>EN2O,dir m=11b</t>
  </si>
  <si>
    <t>EN2O,dir m=14</t>
  </si>
  <si>
    <t>EN2O,dir m=4</t>
  </si>
  <si>
    <t>EN2O,dir m=12</t>
  </si>
  <si>
    <t>EN2O,dir m=6</t>
  </si>
  <si>
    <t>EN2O,dir m=7</t>
  </si>
  <si>
    <t>EN2O,dir (j)</t>
  </si>
  <si>
    <t>EMN2O,PRP,dir (j)</t>
  </si>
  <si>
    <t>MMSATMOS (m=10)</t>
  </si>
  <si>
    <t>MMSATMOS (m=11a)</t>
  </si>
  <si>
    <t>MMSATMOS (m=11b)</t>
  </si>
  <si>
    <t>Mvol,m=14</t>
  </si>
  <si>
    <t>MMSATMOS (m=4)</t>
  </si>
  <si>
    <t>MMSATMOS (m=6)</t>
  </si>
  <si>
    <t>MMSATMOS (m=7)</t>
  </si>
  <si>
    <t>MMSATMOS (m=12)</t>
  </si>
  <si>
    <t>EN2O,ad (j)</t>
  </si>
  <si>
    <t>EN2O,ad (j, m=14)</t>
  </si>
  <si>
    <t>ECH4 (j) m=4</t>
  </si>
  <si>
    <t>ECH4 (j) m=6</t>
  </si>
  <si>
    <t>ECH4 (j) m=7</t>
  </si>
  <si>
    <t>ECH4 (j) m=12</t>
  </si>
  <si>
    <t>ECH4 (j) m=13</t>
  </si>
  <si>
    <t>MNLeachm=4</t>
  </si>
  <si>
    <t>MNLeachm=14</t>
  </si>
  <si>
    <t>EN2O,leachm=4</t>
  </si>
  <si>
    <t>EN2O,leachm=14</t>
  </si>
  <si>
    <t>Method 2</t>
  </si>
  <si>
    <t>DMDj</t>
  </si>
  <si>
    <t>Ij</t>
  </si>
  <si>
    <t>Dj</t>
  </si>
  <si>
    <t>Nj</t>
  </si>
  <si>
    <t>j</t>
  </si>
  <si>
    <t>CPj</t>
  </si>
  <si>
    <t>NRj</t>
  </si>
  <si>
    <t>Stage 2 manure allocations FROM manureStoredInHouse (m=11b)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</si>
</sst>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5" tint="0.79998168889431442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1" xfId="0" applyBorder="1"/>
    <xf numFmtId="164" fontId="0" fillId="0" borderId="0" xfId="0" applyNumberFormat="1"/>
    <xf numFmtId="0" fontId="0" fillId="6" borderId="0" xfId="0" applyFill="1"/>
    <xf numFmtId="0" fontId="0" fillId="2" borderId="1" xfId="0" applyFill="1" applyBorder="1"/>
    <xf numFmtId="0" fontId="0" fillId="5" borderId="1" xfId="0" applyFill="1" applyBorder="1"/>
    <xf numFmtId="164" fontId="0" fillId="0" borderId="1" xfId="0" applyNumberFormat="1" applyBorder="1"/>
    <xf numFmtId="0" fontId="3" fillId="7" borderId="0" xfId="0" applyFont="1" applyFill="1"/>
    <xf numFmtId="0" fontId="3" fillId="7" borderId="1" xfId="0" applyFont="1" applyFill="1" applyBorder="1"/>
    <xf numFmtId="0" fontId="3" fillId="8" borderId="0" xfId="0" applyFont="1" applyFill="1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4EF1-51EF-9649-B211-0AE83296A2EB}">
  <dimension ref="A2:BT30"/>
  <sheetViews>
    <sheetView topLeftCell="A9" workbookViewId="0">
      <selection activeCell="F12" sqref="F12"/>
    </sheetView>
  </sheetViews>
  <sheetFormatPr baseColWidth="10" defaultRowHeight="16" x14ac:dyDescent="0.2"/>
  <cols>
    <col min="6" max="6" width="20" customWidth="1"/>
    <col min="37" max="37" width="24" customWidth="1"/>
    <col min="39" max="39" width="14.1640625" customWidth="1"/>
    <col min="40" max="40" width="13.6640625" customWidth="1"/>
    <col min="41" max="41" width="14.1640625" customWidth="1"/>
    <col min="42" max="46" width="14.83203125" customWidth="1"/>
    <col min="47" max="47" width="12.6640625" bestFit="1" customWidth="1"/>
    <col min="48" max="51" width="16.33203125" customWidth="1"/>
    <col min="53" max="53" width="12.1640625" bestFit="1" customWidth="1"/>
    <col min="54" max="57" width="12.1640625" customWidth="1"/>
    <col min="60" max="60" width="12.1640625" bestFit="1" customWidth="1"/>
    <col min="69" max="69" width="12.1640625" bestFit="1" customWidth="1"/>
    <col min="70" max="70" width="12.1640625" customWidth="1"/>
    <col min="71" max="71" width="15.1640625" customWidth="1"/>
  </cols>
  <sheetData>
    <row r="2" spans="1:72" x14ac:dyDescent="0.2">
      <c r="A2" t="s">
        <v>30</v>
      </c>
    </row>
    <row r="4" spans="1:72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K4" t="s">
        <v>48</v>
      </c>
      <c r="L4" t="s">
        <v>48</v>
      </c>
      <c r="M4" t="s">
        <v>1</v>
      </c>
      <c r="N4" t="s">
        <v>1</v>
      </c>
      <c r="O4" t="s">
        <v>1</v>
      </c>
      <c r="P4" t="s">
        <v>1</v>
      </c>
      <c r="AF4" t="s">
        <v>53</v>
      </c>
      <c r="AG4" t="s">
        <v>48</v>
      </c>
      <c r="AH4" t="s">
        <v>48</v>
      </c>
      <c r="AI4" t="s">
        <v>48</v>
      </c>
      <c r="AO4" t="s">
        <v>48</v>
      </c>
      <c r="AP4" t="s">
        <v>53</v>
      </c>
      <c r="AU4" t="s">
        <v>94</v>
      </c>
      <c r="AZ4" t="s">
        <v>94</v>
      </c>
      <c r="BA4" t="s">
        <v>48</v>
      </c>
      <c r="BF4" t="s">
        <v>94</v>
      </c>
      <c r="BG4" t="s">
        <v>53</v>
      </c>
      <c r="BL4" t="s">
        <v>53</v>
      </c>
      <c r="BQ4" t="s">
        <v>94</v>
      </c>
      <c r="BT4" t="s">
        <v>53</v>
      </c>
    </row>
    <row r="5" spans="1:72" x14ac:dyDescent="0.2">
      <c r="L5" t="s">
        <v>0</v>
      </c>
      <c r="AF5" t="s">
        <v>49</v>
      </c>
      <c r="AG5" t="s">
        <v>0</v>
      </c>
      <c r="AH5" t="s">
        <v>0</v>
      </c>
      <c r="AP5" t="s">
        <v>79</v>
      </c>
    </row>
    <row r="6" spans="1:72" x14ac:dyDescent="0.2">
      <c r="AP6" t="s">
        <v>78</v>
      </c>
      <c r="BD6" t="s">
        <v>82</v>
      </c>
      <c r="BH6" t="s">
        <v>84</v>
      </c>
      <c r="BT6" t="s">
        <v>87</v>
      </c>
    </row>
    <row r="8" spans="1:72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44</v>
      </c>
      <c r="AG8" t="s">
        <v>43</v>
      </c>
      <c r="AH8" t="s">
        <v>47</v>
      </c>
    </row>
    <row r="10" spans="1:72" s="11" customFormat="1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4" t="s">
        <v>31</v>
      </c>
      <c r="AG10" s="14" t="s">
        <v>34</v>
      </c>
      <c r="AH10" s="14" t="s">
        <v>95</v>
      </c>
      <c r="AI10" s="14" t="s">
        <v>122</v>
      </c>
      <c r="AJ10" s="14" t="s">
        <v>123</v>
      </c>
      <c r="AK10" s="14" t="s">
        <v>124</v>
      </c>
      <c r="AL10" s="14" t="s">
        <v>125</v>
      </c>
      <c r="AM10" s="14" t="s">
        <v>126</v>
      </c>
      <c r="AN10" s="14" t="s">
        <v>127</v>
      </c>
      <c r="AO10" s="14" t="s">
        <v>128</v>
      </c>
      <c r="AP10" s="14" t="s">
        <v>129</v>
      </c>
      <c r="AQ10" s="14" t="s">
        <v>130</v>
      </c>
      <c r="AR10" s="14" t="s">
        <v>131</v>
      </c>
      <c r="AS10" s="14" t="s">
        <v>132</v>
      </c>
      <c r="AT10" s="14" t="s">
        <v>133</v>
      </c>
      <c r="AU10" s="15" t="s">
        <v>83</v>
      </c>
      <c r="AV10" s="14" t="s">
        <v>134</v>
      </c>
      <c r="AW10" s="14" t="s">
        <v>138</v>
      </c>
      <c r="AX10" s="14" t="s">
        <v>137</v>
      </c>
      <c r="AY10" s="14" t="s">
        <v>136</v>
      </c>
      <c r="AZ10" s="14" t="s">
        <v>135</v>
      </c>
      <c r="BA10" s="14" t="s">
        <v>139</v>
      </c>
      <c r="BB10" s="14" t="s">
        <v>140</v>
      </c>
      <c r="BC10" s="14" t="s">
        <v>141</v>
      </c>
      <c r="BD10" s="14" t="s">
        <v>144</v>
      </c>
      <c r="BE10" s="14" t="s">
        <v>145</v>
      </c>
      <c r="BF10" s="14" t="s">
        <v>146</v>
      </c>
      <c r="BG10" s="14" t="s">
        <v>147</v>
      </c>
      <c r="BH10" s="14" t="s">
        <v>148</v>
      </c>
      <c r="BI10" s="14" t="s">
        <v>152</v>
      </c>
      <c r="BJ10" s="14" t="s">
        <v>151</v>
      </c>
      <c r="BK10" s="14" t="s">
        <v>150</v>
      </c>
      <c r="BL10" s="14" t="s">
        <v>149</v>
      </c>
      <c r="BM10" s="14" t="s">
        <v>206</v>
      </c>
      <c r="BN10" s="14" t="s">
        <v>207</v>
      </c>
      <c r="BO10" s="18" t="s">
        <v>208</v>
      </c>
      <c r="BP10" s="14" t="s">
        <v>209</v>
      </c>
      <c r="BQ10" s="14" t="s">
        <v>210</v>
      </c>
      <c r="BR10" s="14" t="s">
        <v>85</v>
      </c>
      <c r="BS10" s="15" t="s">
        <v>153</v>
      </c>
      <c r="BT10" s="15" t="s">
        <v>86</v>
      </c>
    </row>
    <row r="11" spans="1:72" x14ac:dyDescent="0.2">
      <c r="A11" t="str">
        <f>'Input Scenarios'!A8</f>
        <v>NSW</v>
      </c>
      <c r="B11">
        <f>'Input Scenarios'!B8</f>
        <v>0</v>
      </c>
      <c r="C11" t="str">
        <f>'Input Scenarios'!C8</f>
        <v>Non-irrigated pasture</v>
      </c>
      <c r="D11" t="str">
        <f>'Input Scenarios'!D8</f>
        <v>wet</v>
      </c>
      <c r="E11" t="b">
        <f>'Input Scenarios'!E8</f>
        <v>1</v>
      </c>
      <c r="F11" t="str">
        <f>'Input Scenarios'!F8</f>
        <v>layers</v>
      </c>
      <c r="G11">
        <f>'Input Scenarios'!G8</f>
        <v>5000</v>
      </c>
      <c r="H11">
        <f>'Input Scenarios'!H8</f>
        <v>50</v>
      </c>
      <c r="I11">
        <f>IF('Input Scenarios'!I8&lt;&gt;"", 'Input Scenarios'!I8,_xlfn.XLOOKUP($F11,Constants!$A$2:$A$5,Constants!B$2:B$5))</f>
        <v>8.5999999999999993E-2</v>
      </c>
      <c r="J11">
        <f>IF('Input Scenarios'!J8&lt;&gt;"", 'Input Scenarios'!J8,_xlfn.XLOOKUP($F11,Constants!$A$2:$A$5,Constants!C$2:C$5))</f>
        <v>0.8</v>
      </c>
      <c r="K11">
        <f>IF('Input Scenarios'!K8&lt;&gt;"", 'Input Scenarios'!K8,_xlfn.XLOOKUP($F11,Constants!$A$2:$A$5,Constants!D$2:D$5))</f>
        <v>0.19</v>
      </c>
      <c r="L11">
        <f>IF('Input Scenarios'!L8&lt;&gt;"", 'Input Scenarios'!L8,_xlfn.XLOOKUP($F11,Constants!$A$2:$A$5,Constants!E$2:E$5))</f>
        <v>0.35</v>
      </c>
      <c r="M11">
        <f>'Input Scenarios'!M8</f>
        <v>0.1</v>
      </c>
      <c r="N11">
        <f>'Input Scenarios'!N8</f>
        <v>0.2</v>
      </c>
      <c r="O11">
        <f>'Input Scenarios'!O8</f>
        <v>0.3</v>
      </c>
      <c r="P11">
        <f>'Input Scenarios'!P8</f>
        <v>0.4</v>
      </c>
      <c r="Q11">
        <f>'Input Scenarios'!Q8</f>
        <v>0.15</v>
      </c>
      <c r="R11">
        <f>'Input Scenarios'!R8</f>
        <v>0.2</v>
      </c>
      <c r="S11">
        <f>'Input Scenarios'!S8</f>
        <v>0.25</v>
      </c>
      <c r="T11">
        <f>'Input Scenarios'!T8</f>
        <v>0.17</v>
      </c>
      <c r="U11">
        <f>'Input Scenarios'!U8</f>
        <v>0.23</v>
      </c>
      <c r="V11">
        <f>'Input Scenarios'!V8</f>
        <v>0.15</v>
      </c>
      <c r="W11">
        <f>'Input Scenarios'!W8</f>
        <v>0.2</v>
      </c>
      <c r="X11">
        <f>'Input Scenarios'!X8</f>
        <v>0.25</v>
      </c>
      <c r="Y11">
        <f>'Input Scenarios'!Y8</f>
        <v>0.17</v>
      </c>
      <c r="Z11">
        <f>'Input Scenarios'!Z8</f>
        <v>0.23</v>
      </c>
      <c r="AA11">
        <f>'Input Scenarios'!AA8</f>
        <v>0.15</v>
      </c>
      <c r="AB11">
        <f>'Input Scenarios'!AB8</f>
        <v>0.2</v>
      </c>
      <c r="AC11">
        <f>'Input Scenarios'!AC8</f>
        <v>0.25</v>
      </c>
      <c r="AD11">
        <f>'Input Scenarios'!AD8</f>
        <v>0.17</v>
      </c>
      <c r="AE11">
        <f>'Input Scenarios'!AE8</f>
        <v>0.23</v>
      </c>
      <c r="AF11">
        <f t="shared" ref="AF11:AF26" si="0">I11*(1-J11)*(1-AG11)</f>
        <v>1.4103999999999995E-2</v>
      </c>
      <c r="AG11">
        <f>IF(F11="", "",_xlfn.XLOOKUP(F11,Constants!$A$2:$A$5,Constants!F$2:F$5))</f>
        <v>0.18</v>
      </c>
      <c r="AH11">
        <f>IF(F11="", "",_xlfn.XLOOKUP(F11,Constants!$A$2:$A$5,Constants!G$2:G$5))</f>
        <v>0.39</v>
      </c>
      <c r="AI11">
        <f>_xlfn.XLOOKUP($A11, Constants!$F$8:$M$8,Constants!$F$9:$M$9)</f>
        <v>1.4999999999999999E-2</v>
      </c>
      <c r="AJ11">
        <f>_xlfn.XLOOKUP($A11, Constants!$F$8:$M$8,Constants!$F$10:$M$10)</f>
        <v>1.4999999999999999E-2</v>
      </c>
      <c r="AK11">
        <f>_xlfn.XLOOKUP($A11, Constants!$F$8:$M$8,Constants!$F$11:$M$11)</f>
        <v>1.4999999999999999E-2</v>
      </c>
      <c r="AL11">
        <f>_xlfn.XLOOKUP($A11, Constants!$F$8:$M$8,Constants!$F$16:$M$16)</f>
        <v>0.01</v>
      </c>
      <c r="AM11" s="12">
        <f>$AF11*$AH11*M11*AI11*Constants!$I$2</f>
        <v>5.5973698559999982E-6</v>
      </c>
      <c r="AN11" s="12">
        <f>$AF11*$AH11*N11*AJ11*Constants!$I$2</f>
        <v>1.1194739711999996E-5</v>
      </c>
      <c r="AO11" s="12">
        <f>$AF11*$AH11*O11*AK11*Constants!$I$2</f>
        <v>1.6792109567999992E-5</v>
      </c>
      <c r="AP11" s="12">
        <f>$AF11*$AH11*P11*AL11*Constants!$I$2</f>
        <v>1.4926319615999996E-5</v>
      </c>
      <c r="AQ11" s="12">
        <f>AM11*$G11*$H11</f>
        <v>1.3993424639999994</v>
      </c>
      <c r="AR11" s="12">
        <f t="shared" ref="AR11:AT11" si="1">AN11*$G11*$H11</f>
        <v>2.7986849279999988</v>
      </c>
      <c r="AS11" s="12">
        <f t="shared" si="1"/>
        <v>4.1980273919999975</v>
      </c>
      <c r="AT11" s="12">
        <f t="shared" si="1"/>
        <v>3.7315799039999993</v>
      </c>
      <c r="AU11" s="12">
        <f>SUM(AQ11:AT11)</f>
        <v>12.127634687999997</v>
      </c>
      <c r="AV11">
        <f>_xlfn.XLOOKUP($A11, Constants!$F$8:$M$8,Constants!$F$12:$M$12)</f>
        <v>0.02</v>
      </c>
      <c r="AW11">
        <f>_xlfn.XLOOKUP($A11, Constants!$F$8:$M$8,Constants!$F$13:$M$13)</f>
        <v>0.01</v>
      </c>
      <c r="AX11">
        <f>_xlfn.XLOOKUP($A11, Constants!$F$8:$M$8,Constants!$F$15:$M$15)</f>
        <v>0.1</v>
      </c>
      <c r="AY11">
        <f>_xlfn.XLOOKUP($A11, Constants!$F$8:$M$8,Constants!$F$14:$M$14)</f>
        <v>0</v>
      </c>
      <c r="AZ11">
        <f>_xlfn.XLOOKUP($A11, Constants!$F$8:$M$8,Constants!$F$17:$M$17)</f>
        <v>0</v>
      </c>
      <c r="BA11">
        <f>Constants!$E$9</f>
        <v>0.15</v>
      </c>
      <c r="BB11">
        <f>Constants!$E$10</f>
        <v>0</v>
      </c>
      <c r="BC11">
        <f>Constants!$E$11</f>
        <v>0.2</v>
      </c>
      <c r="BD11">
        <f t="shared" ref="BD11:BD26" si="2">$AF11*M11*(1-BA11)</f>
        <v>1.1988399999999996E-3</v>
      </c>
      <c r="BE11">
        <f t="shared" ref="BE11:BE26" si="3">$AF11*N11*(1-BB11)</f>
        <v>2.8207999999999992E-3</v>
      </c>
      <c r="BF11">
        <f t="shared" ref="BF11:BF26" si="4">$AF11*O11*(1-BC11)</f>
        <v>3.3849599999999989E-3</v>
      </c>
      <c r="BG11">
        <f>SUM(BD11:BF11)</f>
        <v>7.4045999999999973E-3</v>
      </c>
      <c r="BH11">
        <f>(($BD11*Q11)+($BE11*V11)+($BF11*AA11))*AV11*$AH11*Constants!$I$2</f>
        <v>5.8772383487999989E-6</v>
      </c>
      <c r="BI11">
        <f>(($BD11*R11)+($BE11*W11)+($BF11*AB11))*AW11*$AH11*Constants!$I$2</f>
        <v>3.918158899199999E-6</v>
      </c>
      <c r="BJ11">
        <f>(($BD11*S11)+($BE11*X11)+($BF11*AC11))*AX11*$AH11*Constants!$I$2</f>
        <v>4.8976986239999979E-5</v>
      </c>
      <c r="BK11">
        <f>(($BD11*T11)+($BE11*Y11)+($BF11*AD11))*AY11*$AH11*Constants!$I$2</f>
        <v>0</v>
      </c>
      <c r="BL11">
        <f>(($BD11*U11)+($BE11*Z11)+($BF11*AE11))*AZ11*$AH11*Constants!$I$2</f>
        <v>0</v>
      </c>
      <c r="BM11">
        <f>$G11*$H11*BH11</f>
        <v>1.4693095871999997</v>
      </c>
      <c r="BN11">
        <f t="shared" ref="BN11:BQ11" si="5">$G11*$H11*BI11</f>
        <v>0.97953972479999973</v>
      </c>
      <c r="BO11">
        <f t="shared" si="5"/>
        <v>12.244246559999995</v>
      </c>
      <c r="BP11">
        <f t="shared" si="5"/>
        <v>0</v>
      </c>
      <c r="BQ11">
        <f t="shared" si="5"/>
        <v>0</v>
      </c>
      <c r="BR11">
        <f>SUM(BM11:BQ11)</f>
        <v>14.693095871999994</v>
      </c>
      <c r="BS11" s="12">
        <f>AU11+BR11</f>
        <v>26.820730559999991</v>
      </c>
      <c r="BT11">
        <f>SUM(BS11:BS14)/1000</f>
        <v>0.11197675487999997</v>
      </c>
    </row>
    <row r="12" spans="1:72" x14ac:dyDescent="0.2">
      <c r="A12" t="str">
        <f>'Input Scenarios'!A9</f>
        <v>NSW</v>
      </c>
      <c r="B12">
        <f>'Input Scenarios'!B9</f>
        <v>0</v>
      </c>
      <c r="C12" t="str">
        <f>'Input Scenarios'!C9</f>
        <v>Non-irrigated pasture</v>
      </c>
      <c r="D12" t="str">
        <f>'Input Scenarios'!D9</f>
        <v>wet</v>
      </c>
      <c r="E12" t="b">
        <f>'Input Scenarios'!E9</f>
        <v>1</v>
      </c>
      <c r="F12" t="str">
        <f>'Input Scenarios'!F9</f>
        <v>meatChickenBreeder</v>
      </c>
      <c r="G12">
        <f>'Input Scenarios'!G9</f>
        <v>5000</v>
      </c>
      <c r="H12">
        <f>'Input Scenarios'!H9</f>
        <v>50</v>
      </c>
      <c r="I12">
        <f>IF('Input Scenarios'!I9&lt;&gt;"", 'Input Scenarios'!I9,_xlfn.XLOOKUP($F12,Constants!$A$2:$A$5,Constants!B$2:B$5))</f>
        <v>0.10299999999999999</v>
      </c>
      <c r="J12">
        <f>IF('Input Scenarios'!J9&lt;&gt;"", 'Input Scenarios'!J9,_xlfn.XLOOKUP($F12,Constants!$A$2:$A$5,Constants!C$2:C$5))</f>
        <v>0.8</v>
      </c>
      <c r="K12">
        <f>IF('Input Scenarios'!K9&lt;&gt;"", 'Input Scenarios'!K9,_xlfn.XLOOKUP($F12,Constants!$A$2:$A$5,Constants!D$2:D$5))</f>
        <v>0.19</v>
      </c>
      <c r="L12">
        <f>IF('Input Scenarios'!L9&lt;&gt;"", 'Input Scenarios'!L9,_xlfn.XLOOKUP($F12,Constants!$A$2:$A$5,Constants!E$2:E$5))</f>
        <v>0.32</v>
      </c>
      <c r="M12">
        <f>'Input Scenarios'!M9</f>
        <v>0.1</v>
      </c>
      <c r="N12">
        <f>'Input Scenarios'!N9</f>
        <v>0.2</v>
      </c>
      <c r="O12">
        <f>'Input Scenarios'!O9</f>
        <v>0.3</v>
      </c>
      <c r="P12">
        <f>'Input Scenarios'!P9</f>
        <v>0.4</v>
      </c>
      <c r="Q12">
        <f>'Input Scenarios'!Q9</f>
        <v>0.15</v>
      </c>
      <c r="R12">
        <f>'Input Scenarios'!R9</f>
        <v>0.2</v>
      </c>
      <c r="S12">
        <f>'Input Scenarios'!S9</f>
        <v>0.25</v>
      </c>
      <c r="T12">
        <f>'Input Scenarios'!T9</f>
        <v>0.17</v>
      </c>
      <c r="U12">
        <f>'Input Scenarios'!U9</f>
        <v>0.23</v>
      </c>
      <c r="V12">
        <f>'Input Scenarios'!V9</f>
        <v>0.15</v>
      </c>
      <c r="W12">
        <f>'Input Scenarios'!W9</f>
        <v>0.2</v>
      </c>
      <c r="X12">
        <f>'Input Scenarios'!X9</f>
        <v>0.25</v>
      </c>
      <c r="Y12">
        <f>'Input Scenarios'!Y9</f>
        <v>0.17</v>
      </c>
      <c r="Z12">
        <f>'Input Scenarios'!Z9</f>
        <v>0.23</v>
      </c>
      <c r="AA12">
        <f>'Input Scenarios'!AA9</f>
        <v>0.15</v>
      </c>
      <c r="AB12">
        <f>'Input Scenarios'!AB9</f>
        <v>0.2</v>
      </c>
      <c r="AC12">
        <f>'Input Scenarios'!AC9</f>
        <v>0.25</v>
      </c>
      <c r="AD12">
        <f>'Input Scenarios'!AD9</f>
        <v>0.17</v>
      </c>
      <c r="AE12">
        <f>'Input Scenarios'!AE9</f>
        <v>0.23</v>
      </c>
      <c r="AF12">
        <f t="shared" si="0"/>
        <v>1.6891999999999997E-2</v>
      </c>
      <c r="AG12">
        <f>IF(F12="", "",_xlfn.XLOOKUP(F12,Constants!$A$2:$A$5,Constants!F$2:F$5))</f>
        <v>0.18</v>
      </c>
      <c r="AH12">
        <f>IF(F12="", "",_xlfn.XLOOKUP(F12,Constants!$A$2:$A$5,Constants!G$2:G$5))</f>
        <v>0.36</v>
      </c>
      <c r="AI12">
        <f>_xlfn.XLOOKUP($A12, Constants!$F$8:$M$8,Constants!$F$9:$M$9)</f>
        <v>1.4999999999999999E-2</v>
      </c>
      <c r="AJ12">
        <f>_xlfn.XLOOKUP($A12, Constants!$F$8:$M$8,Constants!$F$10:$M$10)</f>
        <v>1.4999999999999999E-2</v>
      </c>
      <c r="AK12">
        <f>_xlfn.XLOOKUP($A12, Constants!$F$8:$M$8,Constants!$F$11:$M$11)</f>
        <v>1.4999999999999999E-2</v>
      </c>
      <c r="AL12">
        <f>_xlfn.XLOOKUP($A12, Constants!$F$8:$M$8,Constants!$F$16:$M$16)</f>
        <v>0.01</v>
      </c>
      <c r="AM12" s="12">
        <f>$AF12*$AH12*M12*AI12*Constants!$I$2</f>
        <v>6.1881477119999995E-6</v>
      </c>
      <c r="AN12" s="12">
        <f>$AF12*$AH12*N12*AJ12*Constants!$I$2</f>
        <v>1.2376295423999999E-5</v>
      </c>
      <c r="AO12" s="12">
        <f>$AF12*$AH12*O12*AK12*Constants!$I$2</f>
        <v>1.8564443135999995E-5</v>
      </c>
      <c r="AP12" s="12">
        <f>$AF12*$AH12*P12*AL12*Constants!$I$2</f>
        <v>1.6501727231999999E-5</v>
      </c>
      <c r="AQ12" s="12">
        <f t="shared" ref="AQ12:AQ26" si="6">AM12*$G12*$H12</f>
        <v>1.5470369279999998</v>
      </c>
      <c r="AR12" s="12">
        <f t="shared" ref="AR12:AR26" si="7">AN12*$G12*$H12</f>
        <v>3.0940738559999996</v>
      </c>
      <c r="AS12" s="12">
        <f t="shared" ref="AS12:AS26" si="8">AO12*$G12*$H12</f>
        <v>4.6411107839999985</v>
      </c>
      <c r="AT12" s="12">
        <f t="shared" ref="AT12:AT26" si="9">AP12*$G12*$H12</f>
        <v>4.1254318080000001</v>
      </c>
      <c r="AU12" s="12">
        <f t="shared" ref="AU12:AU26" si="10">SUM(AQ12:AT12)</f>
        <v>13.407653375999997</v>
      </c>
      <c r="AV12">
        <f>_xlfn.XLOOKUP($A12, Constants!$F$8:$M$8,Constants!$F$12:$M$12)</f>
        <v>0.02</v>
      </c>
      <c r="AW12">
        <f>_xlfn.XLOOKUP($A12, Constants!$F$8:$M$8,Constants!$F$13:$M$13)</f>
        <v>0.01</v>
      </c>
      <c r="AX12">
        <f>_xlfn.XLOOKUP($A12, Constants!$F$8:$M$8,Constants!$F$15:$M$15)</f>
        <v>0.1</v>
      </c>
      <c r="AY12">
        <f>_xlfn.XLOOKUP($A12, Constants!$F$8:$M$8,Constants!$F$14:$M$14)</f>
        <v>0</v>
      </c>
      <c r="AZ12">
        <f>_xlfn.XLOOKUP($A12, Constants!$F$8:$M$8,Constants!$F$17:$M$17)</f>
        <v>0</v>
      </c>
      <c r="BA12">
        <f>Constants!$E$9</f>
        <v>0.15</v>
      </c>
      <c r="BB12">
        <f>Constants!$E$10</f>
        <v>0</v>
      </c>
      <c r="BC12">
        <f>Constants!$E$11</f>
        <v>0.2</v>
      </c>
      <c r="BD12">
        <f t="shared" si="2"/>
        <v>1.4358199999999998E-3</v>
      </c>
      <c r="BE12">
        <f t="shared" si="3"/>
        <v>3.3783999999999997E-3</v>
      </c>
      <c r="BF12">
        <f t="shared" si="4"/>
        <v>4.0540799999999998E-3</v>
      </c>
      <c r="BG12">
        <f t="shared" ref="BG12:BG26" si="11">SUM(BD12:BF12)</f>
        <v>8.8682999999999991E-3</v>
      </c>
      <c r="BH12">
        <f>(($BD12*Q12)+($BE12*V12)+($BF12*AA12))*AV12*$AH12*Constants!$I$2</f>
        <v>6.4975550975999987E-6</v>
      </c>
      <c r="BI12">
        <f>(($BD12*R12)+($BE12*W12)+($BF12*AB12))*AW12*$AH12*Constants!$I$2</f>
        <v>4.3317033984000005E-6</v>
      </c>
      <c r="BJ12">
        <f>(($BD12*S12)+($BE12*X12)+($BF12*AC12))*AX12*$AH12*Constants!$I$2</f>
        <v>5.414629247999999E-5</v>
      </c>
      <c r="BK12">
        <f>(($BD12*T12)+($BE12*Y12)+($BF12*AD12))*AY12*$AH12*Constants!$I$2</f>
        <v>0</v>
      </c>
      <c r="BL12">
        <f>(($BD12*U12)+($BE12*Z12)+($BF12*AE12))*AZ12*$AH12*Constants!$I$2</f>
        <v>0</v>
      </c>
      <c r="BM12">
        <f t="shared" ref="BM12:BM26" si="12">$G12*$H12*BH12</f>
        <v>1.6243887743999996</v>
      </c>
      <c r="BN12">
        <f t="shared" ref="BN12:BN26" si="13">$G12*$H12*BI12</f>
        <v>1.0829258496</v>
      </c>
      <c r="BO12">
        <f t="shared" ref="BO12:BO26" si="14">$G12*$H12*BJ12</f>
        <v>13.536573119999998</v>
      </c>
      <c r="BP12">
        <f t="shared" ref="BP12:BP26" si="15">$G12*$H12*BK12</f>
        <v>0</v>
      </c>
      <c r="BQ12">
        <f t="shared" ref="BQ12:BQ26" si="16">$G12*$H12*BL12</f>
        <v>0</v>
      </c>
      <c r="BR12">
        <f t="shared" ref="BR12:BR25" si="17">SUM(BM12:BQ12)</f>
        <v>16.243887743999998</v>
      </c>
      <c r="BS12" s="12">
        <f t="shared" ref="BS12:BS26" si="18">AU12+BR12</f>
        <v>29.651541119999997</v>
      </c>
    </row>
    <row r="13" spans="1:72" x14ac:dyDescent="0.2">
      <c r="A13" t="str">
        <f>'Input Scenarios'!A10</f>
        <v>NSW</v>
      </c>
      <c r="B13">
        <f>'Input Scenarios'!B10</f>
        <v>0</v>
      </c>
      <c r="C13" t="str">
        <f>'Input Scenarios'!C10</f>
        <v>Non-irrigated pasture</v>
      </c>
      <c r="D13" t="str">
        <f>'Input Scenarios'!D10</f>
        <v>wet</v>
      </c>
      <c r="E13" t="b">
        <f>'Input Scenarios'!E10</f>
        <v>1</v>
      </c>
      <c r="F13" t="str">
        <f>'Input Scenarios'!F10</f>
        <v>meatChickenGrowers</v>
      </c>
      <c r="G13">
        <f>'Input Scenarios'!G10</f>
        <v>5000</v>
      </c>
      <c r="H13">
        <f>'Input Scenarios'!H10</f>
        <v>50</v>
      </c>
      <c r="I13">
        <f>IF('Input Scenarios'!I10&lt;&gt;"", 'Input Scenarios'!I10,_xlfn.XLOOKUP($F13,Constants!$A$2:$A$5,Constants!B$2:B$5))</f>
        <v>9.2999999999999999E-2</v>
      </c>
      <c r="J13">
        <f>IF('Input Scenarios'!J10&lt;&gt;"", 'Input Scenarios'!J10,_xlfn.XLOOKUP($F13,Constants!$A$2:$A$5,Constants!C$2:C$5))</f>
        <v>0.8</v>
      </c>
      <c r="K13">
        <f>IF('Input Scenarios'!K10&lt;&gt;"", 'Input Scenarios'!K10,_xlfn.XLOOKUP($F13,Constants!$A$2:$A$5,Constants!D$2:D$5))</f>
        <v>0.23</v>
      </c>
      <c r="L13">
        <f>IF('Input Scenarios'!L10&lt;&gt;"", 'Input Scenarios'!L10,_xlfn.XLOOKUP($F13,Constants!$A$2:$A$5,Constants!E$2:E$5))</f>
        <v>0.47</v>
      </c>
      <c r="M13">
        <f>'Input Scenarios'!M10</f>
        <v>0.1</v>
      </c>
      <c r="N13">
        <f>'Input Scenarios'!N10</f>
        <v>0.2</v>
      </c>
      <c r="O13">
        <f>'Input Scenarios'!O10</f>
        <v>0.3</v>
      </c>
      <c r="P13">
        <f>'Input Scenarios'!P10</f>
        <v>0.4</v>
      </c>
      <c r="Q13">
        <f>'Input Scenarios'!Q10</f>
        <v>0.15</v>
      </c>
      <c r="R13">
        <f>'Input Scenarios'!R10</f>
        <v>0.2</v>
      </c>
      <c r="S13">
        <f>'Input Scenarios'!S10</f>
        <v>0.25</v>
      </c>
      <c r="T13">
        <f>'Input Scenarios'!T10</f>
        <v>0.17</v>
      </c>
      <c r="U13">
        <f>'Input Scenarios'!U10</f>
        <v>0.23</v>
      </c>
      <c r="V13">
        <f>'Input Scenarios'!V10</f>
        <v>0.15</v>
      </c>
      <c r="W13">
        <f>'Input Scenarios'!W10</f>
        <v>0.2</v>
      </c>
      <c r="X13">
        <f>'Input Scenarios'!X10</f>
        <v>0.25</v>
      </c>
      <c r="Y13">
        <f>'Input Scenarios'!Y10</f>
        <v>0.17</v>
      </c>
      <c r="Z13">
        <f>'Input Scenarios'!Z10</f>
        <v>0.23</v>
      </c>
      <c r="AA13">
        <f>'Input Scenarios'!AA10</f>
        <v>0.15</v>
      </c>
      <c r="AB13">
        <f>'Input Scenarios'!AB10</f>
        <v>0.2</v>
      </c>
      <c r="AC13">
        <f>'Input Scenarios'!AC10</f>
        <v>0.25</v>
      </c>
      <c r="AD13">
        <f>'Input Scenarios'!AD10</f>
        <v>0.17</v>
      </c>
      <c r="AE13">
        <f>'Input Scenarios'!AE10</f>
        <v>0.23</v>
      </c>
      <c r="AF13">
        <f t="shared" si="0"/>
        <v>1.5809999999999994E-2</v>
      </c>
      <c r="AG13">
        <f>IF(F13="", "",_xlfn.XLOOKUP(F13,Constants!$A$2:$A$5,Constants!F$2:F$5))</f>
        <v>0.15</v>
      </c>
      <c r="AH13">
        <f>IF(F13="", "",_xlfn.XLOOKUP(F13,Constants!$A$2:$A$5,Constants!G$2:G$5))</f>
        <v>0.36</v>
      </c>
      <c r="AI13">
        <f>_xlfn.XLOOKUP($A13, Constants!$F$8:$M$8,Constants!$F$9:$M$9)</f>
        <v>1.4999999999999999E-2</v>
      </c>
      <c r="AJ13">
        <f>_xlfn.XLOOKUP($A13, Constants!$F$8:$M$8,Constants!$F$10:$M$10)</f>
        <v>1.4999999999999999E-2</v>
      </c>
      <c r="AK13">
        <f>_xlfn.XLOOKUP($A13, Constants!$F$8:$M$8,Constants!$F$11:$M$11)</f>
        <v>1.4999999999999999E-2</v>
      </c>
      <c r="AL13">
        <f>_xlfn.XLOOKUP($A13, Constants!$F$8:$M$8,Constants!$F$16:$M$16)</f>
        <v>0.01</v>
      </c>
      <c r="AM13" s="12">
        <f>$AF13*$AH13*M13*AI13*Constants!$I$2</f>
        <v>5.7917721599999983E-6</v>
      </c>
      <c r="AN13" s="12">
        <f>$AF13*$AH13*N13*AJ13*Constants!$I$2</f>
        <v>1.1583544319999997E-5</v>
      </c>
      <c r="AO13" s="12">
        <f>$AF13*$AH13*O13*AK13*Constants!$I$2</f>
        <v>1.7375316479999991E-5</v>
      </c>
      <c r="AP13" s="12">
        <f>$AF13*$AH13*P13*AL13*Constants!$I$2</f>
        <v>1.5444725759999997E-5</v>
      </c>
      <c r="AQ13" s="12">
        <f t="shared" si="6"/>
        <v>1.4479430399999997</v>
      </c>
      <c r="AR13" s="12">
        <f t="shared" si="7"/>
        <v>2.8958860799999995</v>
      </c>
      <c r="AS13" s="12">
        <f t="shared" si="8"/>
        <v>4.3438291199999979</v>
      </c>
      <c r="AT13" s="12">
        <f t="shared" si="9"/>
        <v>3.8611814399999993</v>
      </c>
      <c r="AU13" s="12">
        <f t="shared" si="10"/>
        <v>12.548839679999997</v>
      </c>
      <c r="AV13">
        <f>_xlfn.XLOOKUP($A13, Constants!$F$8:$M$8,Constants!$F$12:$M$12)</f>
        <v>0.02</v>
      </c>
      <c r="AW13">
        <f>_xlfn.XLOOKUP($A13, Constants!$F$8:$M$8,Constants!$F$13:$M$13)</f>
        <v>0.01</v>
      </c>
      <c r="AX13">
        <f>_xlfn.XLOOKUP($A13, Constants!$F$8:$M$8,Constants!$F$15:$M$15)</f>
        <v>0.1</v>
      </c>
      <c r="AY13">
        <f>_xlfn.XLOOKUP($A13, Constants!$F$8:$M$8,Constants!$F$14:$M$14)</f>
        <v>0</v>
      </c>
      <c r="AZ13">
        <f>_xlfn.XLOOKUP($A13, Constants!$F$8:$M$8,Constants!$F$17:$M$17)</f>
        <v>0</v>
      </c>
      <c r="BA13">
        <f>Constants!$E$9</f>
        <v>0.15</v>
      </c>
      <c r="BB13">
        <f>Constants!$E$10</f>
        <v>0</v>
      </c>
      <c r="BC13">
        <f>Constants!$E$11</f>
        <v>0.2</v>
      </c>
      <c r="BD13">
        <f t="shared" si="2"/>
        <v>1.3438499999999995E-3</v>
      </c>
      <c r="BE13">
        <f t="shared" si="3"/>
        <v>3.161999999999999E-3</v>
      </c>
      <c r="BF13">
        <f t="shared" si="4"/>
        <v>3.7943999999999986E-3</v>
      </c>
      <c r="BG13">
        <f t="shared" si="11"/>
        <v>8.3002499999999969E-3</v>
      </c>
      <c r="BH13">
        <f>(($BD13*Q13)+($BE13*V13)+($BF13*AA13))*AV13*$AH13*Constants!$I$2</f>
        <v>6.0813607679999965E-6</v>
      </c>
      <c r="BI13">
        <f>(($BD13*R13)+($BE13*W13)+($BF13*AB13))*AW13*$AH13*Constants!$I$2</f>
        <v>4.0542405119999988E-6</v>
      </c>
      <c r="BJ13">
        <f>(($BD13*S13)+($BE13*X13)+($BF13*AC13))*AX13*$AH13*Constants!$I$2</f>
        <v>5.0678006399999988E-5</v>
      </c>
      <c r="BK13">
        <f>(($BD13*T13)+($BE13*Y13)+($BF13*AD13))*AY13*$AH13*Constants!$I$2</f>
        <v>0</v>
      </c>
      <c r="BL13">
        <f>(($BD13*U13)+($BE13*Z13)+($BF13*AE13))*AZ13*$AH13*Constants!$I$2</f>
        <v>0</v>
      </c>
      <c r="BM13">
        <f t="shared" si="12"/>
        <v>1.520340191999999</v>
      </c>
      <c r="BN13">
        <f t="shared" si="13"/>
        <v>1.0135601279999997</v>
      </c>
      <c r="BO13">
        <f t="shared" si="14"/>
        <v>12.669501599999997</v>
      </c>
      <c r="BP13">
        <f t="shared" si="15"/>
        <v>0</v>
      </c>
      <c r="BQ13">
        <f t="shared" si="16"/>
        <v>0</v>
      </c>
      <c r="BR13">
        <f t="shared" si="17"/>
        <v>15.203401919999996</v>
      </c>
      <c r="BS13" s="12">
        <f t="shared" si="18"/>
        <v>27.752241599999991</v>
      </c>
    </row>
    <row r="14" spans="1:72" s="11" customFormat="1" x14ac:dyDescent="0.2">
      <c r="A14" s="11" t="str">
        <f>'Input Scenarios'!A11</f>
        <v>NSW</v>
      </c>
      <c r="B14" s="11">
        <f>'Input Scenarios'!B11</f>
        <v>0</v>
      </c>
      <c r="C14" s="11" t="str">
        <f>'Input Scenarios'!C11</f>
        <v>Non-irrigated pasture</v>
      </c>
      <c r="D14" s="11" t="str">
        <f>'Input Scenarios'!D11</f>
        <v>wet</v>
      </c>
      <c r="E14" s="11" t="b">
        <f>'Input Scenarios'!E11</f>
        <v>1</v>
      </c>
      <c r="F14" s="11" t="str">
        <f>'Input Scenarios'!F11</f>
        <v>meatOther</v>
      </c>
      <c r="G14" s="11">
        <f>'Input Scenarios'!G11</f>
        <v>5000</v>
      </c>
      <c r="H14" s="11">
        <f>'Input Scenarios'!H11</f>
        <v>50</v>
      </c>
      <c r="I14">
        <f>IF('Input Scenarios'!I11&lt;&gt;"", 'Input Scenarios'!I11,_xlfn.XLOOKUP($F14,Constants!$A$2:$A$5,Constants!B$2:B$5))</f>
        <v>9.2999999999999999E-2</v>
      </c>
      <c r="J14">
        <f>IF('Input Scenarios'!J11&lt;&gt;"", 'Input Scenarios'!J11,_xlfn.XLOOKUP($F14,Constants!$A$2:$A$5,Constants!C$2:C$5))</f>
        <v>0.8</v>
      </c>
      <c r="K14">
        <f>IF('Input Scenarios'!K11&lt;&gt;"", 'Input Scenarios'!K11,_xlfn.XLOOKUP($F14,Constants!$A$2:$A$5,Constants!D$2:D$5))</f>
        <v>0.23</v>
      </c>
      <c r="L14">
        <f>IF('Input Scenarios'!L11&lt;&gt;"", 'Input Scenarios'!L11,_xlfn.XLOOKUP($F14,Constants!$A$2:$A$5,Constants!E$2:E$5))</f>
        <v>0.47</v>
      </c>
      <c r="M14" s="11">
        <f>'Input Scenarios'!M11</f>
        <v>0.1</v>
      </c>
      <c r="N14" s="11">
        <f>'Input Scenarios'!N11</f>
        <v>0.2</v>
      </c>
      <c r="O14" s="11">
        <f>'Input Scenarios'!O11</f>
        <v>0.3</v>
      </c>
      <c r="P14" s="11">
        <f>'Input Scenarios'!P11</f>
        <v>0.4</v>
      </c>
      <c r="Q14" s="11">
        <f>'Input Scenarios'!Q11</f>
        <v>0.15</v>
      </c>
      <c r="R14" s="11">
        <f>'Input Scenarios'!R11</f>
        <v>0.2</v>
      </c>
      <c r="S14" s="11">
        <f>'Input Scenarios'!S11</f>
        <v>0.25</v>
      </c>
      <c r="T14" s="11">
        <f>'Input Scenarios'!T11</f>
        <v>0.17</v>
      </c>
      <c r="U14" s="11">
        <f>'Input Scenarios'!U11</f>
        <v>0.23</v>
      </c>
      <c r="V14" s="11">
        <f>'Input Scenarios'!V11</f>
        <v>0.15</v>
      </c>
      <c r="W14" s="11">
        <f>'Input Scenarios'!W11</f>
        <v>0.2</v>
      </c>
      <c r="X14" s="11">
        <f>'Input Scenarios'!X11</f>
        <v>0.25</v>
      </c>
      <c r="Y14" s="11">
        <f>'Input Scenarios'!Y11</f>
        <v>0.17</v>
      </c>
      <c r="Z14" s="11">
        <f>'Input Scenarios'!Z11</f>
        <v>0.23</v>
      </c>
      <c r="AA14" s="11">
        <f>'Input Scenarios'!AA11</f>
        <v>0.15</v>
      </c>
      <c r="AB14" s="11">
        <f>'Input Scenarios'!AB11</f>
        <v>0.2</v>
      </c>
      <c r="AC14" s="11">
        <f>'Input Scenarios'!AC11</f>
        <v>0.25</v>
      </c>
      <c r="AD14" s="11">
        <f>'Input Scenarios'!AD11</f>
        <v>0.17</v>
      </c>
      <c r="AE14" s="11">
        <f>'Input Scenarios'!AE11</f>
        <v>0.23</v>
      </c>
      <c r="AF14">
        <f t="shared" si="0"/>
        <v>1.5809999999999994E-2</v>
      </c>
      <c r="AG14" s="11">
        <f>IF(F14="", "",_xlfn.XLOOKUP(F14,Constants!$A$2:$A$5,Constants!F$2:F$5))</f>
        <v>0.15</v>
      </c>
      <c r="AH14" s="11">
        <f>IF(F14="", "",_xlfn.XLOOKUP(F14,Constants!$A$2:$A$5,Constants!G$2:G$5))</f>
        <v>0.36</v>
      </c>
      <c r="AI14" s="11">
        <f>_xlfn.XLOOKUP($A14, Constants!$F$8:$M$8,Constants!$F$9:$M$9)</f>
        <v>1.4999999999999999E-2</v>
      </c>
      <c r="AJ14" s="11">
        <f>_xlfn.XLOOKUP($A14, Constants!$F$8:$M$8,Constants!$F$10:$M$10)</f>
        <v>1.4999999999999999E-2</v>
      </c>
      <c r="AK14" s="11">
        <f>_xlfn.XLOOKUP($A14, Constants!$F$8:$M$8,Constants!$F$11:$M$11)</f>
        <v>1.4999999999999999E-2</v>
      </c>
      <c r="AL14" s="11">
        <f>_xlfn.XLOOKUP($A14, Constants!$F$8:$M$8,Constants!$F$16:$M$16)</f>
        <v>0.01</v>
      </c>
      <c r="AM14" s="12">
        <f>$AF14*$AH14*M14*AI14*Constants!$I$2</f>
        <v>5.7917721599999983E-6</v>
      </c>
      <c r="AN14" s="12">
        <f>$AF14*$AH14*N14*AJ14*Constants!$I$2</f>
        <v>1.1583544319999997E-5</v>
      </c>
      <c r="AO14" s="12">
        <f>$AF14*$AH14*O14*AK14*Constants!$I$2</f>
        <v>1.7375316479999991E-5</v>
      </c>
      <c r="AP14" s="12">
        <f>$AF14*$AH14*P14*AL14*Constants!$I$2</f>
        <v>1.5444725759999997E-5</v>
      </c>
      <c r="AQ14" s="16">
        <f t="shared" si="6"/>
        <v>1.4479430399999997</v>
      </c>
      <c r="AR14" s="16">
        <f t="shared" si="7"/>
        <v>2.8958860799999995</v>
      </c>
      <c r="AS14" s="16">
        <f t="shared" si="8"/>
        <v>4.3438291199999979</v>
      </c>
      <c r="AT14" s="16">
        <f t="shared" si="9"/>
        <v>3.8611814399999993</v>
      </c>
      <c r="AU14" s="16">
        <f t="shared" si="10"/>
        <v>12.548839679999997</v>
      </c>
      <c r="AV14" s="11">
        <f>_xlfn.XLOOKUP($A14, Constants!$F$8:$M$8,Constants!$F$12:$M$12)</f>
        <v>0.02</v>
      </c>
      <c r="AW14" s="11">
        <f>_xlfn.XLOOKUP($A14, Constants!$F$8:$M$8,Constants!$F$13:$M$13)</f>
        <v>0.01</v>
      </c>
      <c r="AX14" s="11">
        <f>_xlfn.XLOOKUP($A14, Constants!$F$8:$M$8,Constants!$F$15:$M$15)</f>
        <v>0.1</v>
      </c>
      <c r="AY14" s="11">
        <f>_xlfn.XLOOKUP($A14, Constants!$F$8:$M$8,Constants!$F$14:$M$14)</f>
        <v>0</v>
      </c>
      <c r="AZ14" s="11">
        <f>_xlfn.XLOOKUP($A14, Constants!$F$8:$M$8,Constants!$F$17:$M$17)</f>
        <v>0</v>
      </c>
      <c r="BA14" s="11">
        <f>Constants!$E$9</f>
        <v>0.15</v>
      </c>
      <c r="BB14" s="11">
        <f>Constants!$E$10</f>
        <v>0</v>
      </c>
      <c r="BC14" s="11">
        <f>Constants!$E$11</f>
        <v>0.2</v>
      </c>
      <c r="BD14" s="11">
        <f t="shared" si="2"/>
        <v>1.3438499999999995E-3</v>
      </c>
      <c r="BE14" s="11">
        <f t="shared" si="3"/>
        <v>3.161999999999999E-3</v>
      </c>
      <c r="BF14" s="11">
        <f t="shared" si="4"/>
        <v>3.7943999999999986E-3</v>
      </c>
      <c r="BG14" s="11">
        <f t="shared" si="11"/>
        <v>8.3002499999999969E-3</v>
      </c>
      <c r="BH14" s="11">
        <f>(($BD14*Q14)+($BE14*V14)+($BF14*AA14))*AV14*$AH14*Constants!$I$2</f>
        <v>6.0813607679999965E-6</v>
      </c>
      <c r="BI14" s="11">
        <f>(($BD14*R14)+($BE14*W14)+($BF14*AB14))*AW14*$AH14*Constants!$I$2</f>
        <v>4.0542405119999988E-6</v>
      </c>
      <c r="BJ14" s="11">
        <f>(($BD14*S14)+($BE14*X14)+($BF14*AC14))*AX14*$AH14*Constants!$I$2</f>
        <v>5.0678006399999988E-5</v>
      </c>
      <c r="BK14" s="11">
        <f>(($BD14*T14)+($BE14*Y14)+($BF14*AD14))*AY14*$AH14*Constants!$I$2</f>
        <v>0</v>
      </c>
      <c r="BL14" s="11">
        <f>(($BD14*U14)+($BE14*Z14)+($BF14*AE14))*AZ14*$AH14*Constants!$I$2</f>
        <v>0</v>
      </c>
      <c r="BM14">
        <f t="shared" si="12"/>
        <v>1.520340191999999</v>
      </c>
      <c r="BN14">
        <f t="shared" si="13"/>
        <v>1.0135601279999997</v>
      </c>
      <c r="BO14">
        <f t="shared" si="14"/>
        <v>12.669501599999997</v>
      </c>
      <c r="BP14">
        <f t="shared" si="15"/>
        <v>0</v>
      </c>
      <c r="BQ14">
        <f t="shared" si="16"/>
        <v>0</v>
      </c>
      <c r="BR14">
        <f t="shared" si="17"/>
        <v>15.203401919999996</v>
      </c>
      <c r="BS14" s="12">
        <f t="shared" si="18"/>
        <v>27.752241599999991</v>
      </c>
    </row>
    <row r="15" spans="1:72" x14ac:dyDescent="0.2">
      <c r="A15" t="str">
        <f>'Input Scenarios'!A12</f>
        <v>QLD</v>
      </c>
      <c r="B15">
        <f>'Input Scenarios'!B12</f>
        <v>0</v>
      </c>
      <c r="C15" t="str">
        <f>'Input Scenarios'!C12</f>
        <v>Irrigated crop</v>
      </c>
      <c r="D15" t="str">
        <f>'Input Scenarios'!D12</f>
        <v>dry</v>
      </c>
      <c r="E15" t="b">
        <f>'Input Scenarios'!E12</f>
        <v>1</v>
      </c>
      <c r="F15" t="str">
        <f>'Input Scenarios'!F12</f>
        <v>layers</v>
      </c>
      <c r="G15">
        <f>'Input Scenarios'!G12</f>
        <v>2250</v>
      </c>
      <c r="H15">
        <f>'Input Scenarios'!H12</f>
        <v>125</v>
      </c>
      <c r="I15">
        <f>IF('Input Scenarios'!I12&lt;&gt;"", 'Input Scenarios'!I12,_xlfn.XLOOKUP($F15,Constants!$A$2:$A$5,Constants!B$2:B$5))</f>
        <v>8.5999999999999993E-2</v>
      </c>
      <c r="J15">
        <f>IF('Input Scenarios'!J12&lt;&gt;"", 'Input Scenarios'!J12,_xlfn.XLOOKUP($F15,Constants!$A$2:$A$5,Constants!C$2:C$5))</f>
        <v>0.8</v>
      </c>
      <c r="K15">
        <f>IF('Input Scenarios'!K12&lt;&gt;"", 'Input Scenarios'!K12,_xlfn.XLOOKUP($F15,Constants!$A$2:$A$5,Constants!D$2:D$5))</f>
        <v>0.19</v>
      </c>
      <c r="L15">
        <f>IF('Input Scenarios'!L12&lt;&gt;"", 'Input Scenarios'!L12,_xlfn.XLOOKUP($F15,Constants!$A$2:$A$5,Constants!E$2:E$5))</f>
        <v>0.35</v>
      </c>
      <c r="M15">
        <f>'Input Scenarios'!M12</f>
        <v>0.4</v>
      </c>
      <c r="N15">
        <f>'Input Scenarios'!N12</f>
        <v>0.3</v>
      </c>
      <c r="O15">
        <f>'Input Scenarios'!O12</f>
        <v>0.2</v>
      </c>
      <c r="P15">
        <f>'Input Scenarios'!P12</f>
        <v>0.1</v>
      </c>
      <c r="Q15">
        <f>'Input Scenarios'!Q12</f>
        <v>0.2</v>
      </c>
      <c r="R15">
        <f>'Input Scenarios'!R12</f>
        <v>0.25</v>
      </c>
      <c r="S15">
        <f>'Input Scenarios'!S12</f>
        <v>0.2</v>
      </c>
      <c r="T15">
        <f>'Input Scenarios'!T12</f>
        <v>0.25</v>
      </c>
      <c r="U15">
        <f>'Input Scenarios'!U12</f>
        <v>0.1</v>
      </c>
      <c r="V15">
        <f>'Input Scenarios'!V12</f>
        <v>0.2</v>
      </c>
      <c r="W15">
        <f>'Input Scenarios'!W12</f>
        <v>0.25</v>
      </c>
      <c r="X15">
        <f>'Input Scenarios'!X12</f>
        <v>0.2</v>
      </c>
      <c r="Y15">
        <f>'Input Scenarios'!Y12</f>
        <v>0.25</v>
      </c>
      <c r="Z15">
        <f>'Input Scenarios'!Z12</f>
        <v>0.1</v>
      </c>
      <c r="AA15">
        <f>'Input Scenarios'!AA12</f>
        <v>0.2</v>
      </c>
      <c r="AB15">
        <f>'Input Scenarios'!AB12</f>
        <v>0.25</v>
      </c>
      <c r="AC15">
        <f>'Input Scenarios'!AC12</f>
        <v>0.2</v>
      </c>
      <c r="AD15">
        <f>'Input Scenarios'!AD12</f>
        <v>0.25</v>
      </c>
      <c r="AE15">
        <f>'Input Scenarios'!AE12</f>
        <v>0.1</v>
      </c>
      <c r="AF15">
        <f t="shared" si="0"/>
        <v>1.4103999999999995E-2</v>
      </c>
      <c r="AG15">
        <f>IF(F15="", "",_xlfn.XLOOKUP(F15,Constants!$A$2:$A$5,Constants!F$2:F$5))</f>
        <v>0.18</v>
      </c>
      <c r="AH15">
        <f>IF(F15="", "",_xlfn.XLOOKUP(F15,Constants!$A$2:$A$5,Constants!G$2:G$5))</f>
        <v>0.39</v>
      </c>
      <c r="AI15">
        <f>_xlfn.XLOOKUP($A15, Constants!$F$8:$M$8,Constants!$F$9:$M$9)</f>
        <v>1.4999999999999999E-2</v>
      </c>
      <c r="AJ15">
        <f>_xlfn.XLOOKUP($A15, Constants!$F$8:$M$8,Constants!$F$10:$M$10)</f>
        <v>1.4999999999999999E-2</v>
      </c>
      <c r="AK15">
        <f>_xlfn.XLOOKUP($A15, Constants!$F$8:$M$8,Constants!$F$11:$M$11)</f>
        <v>1.4999999999999999E-2</v>
      </c>
      <c r="AL15">
        <f>_xlfn.XLOOKUP($A15, Constants!$F$8:$M$8,Constants!$F$16:$M$16)</f>
        <v>0.03</v>
      </c>
      <c r="AM15" s="12">
        <f>$AF15*$AH15*M15*AI15*Constants!$I$2</f>
        <v>2.2389479423999993E-5</v>
      </c>
      <c r="AN15" s="12">
        <f>$AF15*$AH15*N15*AJ15*Constants!$I$2</f>
        <v>1.6792109567999992E-5</v>
      </c>
      <c r="AO15" s="12">
        <f>$AF15*$AH15*O15*AK15*Constants!$I$2</f>
        <v>1.1194739711999996E-5</v>
      </c>
      <c r="AP15" s="12">
        <f>$AF15*$AH15*P15*AL15*Constants!$I$2</f>
        <v>1.1194739711999996E-5</v>
      </c>
      <c r="AQ15" s="12">
        <f t="shared" si="6"/>
        <v>6.2970410879999976</v>
      </c>
      <c r="AR15" s="12">
        <f t="shared" si="7"/>
        <v>4.7227808159999976</v>
      </c>
      <c r="AS15" s="12">
        <f t="shared" si="8"/>
        <v>3.1485205439999988</v>
      </c>
      <c r="AT15" s="12">
        <f t="shared" si="9"/>
        <v>3.1485205439999988</v>
      </c>
      <c r="AU15" s="12">
        <f t="shared" si="10"/>
        <v>17.316862991999994</v>
      </c>
      <c r="AV15">
        <f>_xlfn.XLOOKUP($A15, Constants!$F$8:$M$8,Constants!$F$12:$M$12)</f>
        <v>0.02</v>
      </c>
      <c r="AW15">
        <f>_xlfn.XLOOKUP($A15, Constants!$F$8:$M$8,Constants!$F$13:$M$13)</f>
        <v>0.01</v>
      </c>
      <c r="AX15">
        <f>_xlfn.XLOOKUP($A15, Constants!$F$8:$M$8,Constants!$F$15:$M$15)</f>
        <v>0.1</v>
      </c>
      <c r="AY15">
        <f>_xlfn.XLOOKUP($A15, Constants!$F$8:$M$8,Constants!$F$14:$M$14)</f>
        <v>0</v>
      </c>
      <c r="AZ15">
        <f>_xlfn.XLOOKUP($A15, Constants!$F$8:$M$8,Constants!$F$17:$M$17)</f>
        <v>0</v>
      </c>
      <c r="BA15">
        <f>Constants!$E$9</f>
        <v>0.15</v>
      </c>
      <c r="BB15">
        <f>Constants!$E$10</f>
        <v>0</v>
      </c>
      <c r="BC15">
        <f>Constants!$E$11</f>
        <v>0.2</v>
      </c>
      <c r="BD15">
        <f t="shared" si="2"/>
        <v>4.7953599999999985E-3</v>
      </c>
      <c r="BE15">
        <f t="shared" si="3"/>
        <v>4.2311999999999983E-3</v>
      </c>
      <c r="BF15">
        <f t="shared" si="4"/>
        <v>2.2566399999999994E-3</v>
      </c>
      <c r="BG15">
        <f t="shared" si="11"/>
        <v>1.1283199999999995E-2</v>
      </c>
      <c r="BH15">
        <f>(($BD15*Q15)+($BE15*V15)+($BF15*AA15))*AV15*$AH15*Constants!$I$2</f>
        <v>1.1941055692799998E-5</v>
      </c>
      <c r="BI15">
        <f>(($BD15*R15)+($BE15*W15)+($BF15*AB15))*AW15*$AH15*Constants!$I$2</f>
        <v>7.4631598079999965E-6</v>
      </c>
      <c r="BJ15">
        <f>(($BD15*S15)+($BE15*X15)+($BF15*AC15))*AX15*$AH15*Constants!$I$2</f>
        <v>5.9705278463999992E-5</v>
      </c>
      <c r="BK15">
        <f>(($BD15*T15)+($BE15*Y15)+($BF15*AD15))*AY15*$AH15*Constants!$I$2</f>
        <v>0</v>
      </c>
      <c r="BL15">
        <f>(($BD15*U15)+($BE15*Z15)+($BF15*AE15))*AZ15*$AH15*Constants!$I$2</f>
        <v>0</v>
      </c>
      <c r="BM15">
        <f t="shared" si="12"/>
        <v>3.3584219135999995</v>
      </c>
      <c r="BN15">
        <f t="shared" si="13"/>
        <v>2.0990136959999992</v>
      </c>
      <c r="BO15">
        <f t="shared" si="14"/>
        <v>16.792109567999997</v>
      </c>
      <c r="BP15">
        <f t="shared" si="15"/>
        <v>0</v>
      </c>
      <c r="BQ15">
        <f t="shared" si="16"/>
        <v>0</v>
      </c>
      <c r="BR15">
        <f t="shared" si="17"/>
        <v>22.249545177599998</v>
      </c>
      <c r="BS15" s="12">
        <f t="shared" si="18"/>
        <v>39.566408169599995</v>
      </c>
      <c r="BT15">
        <f>SUM(BS15:BS18)/1000</f>
        <v>0.16519005622079999</v>
      </c>
    </row>
    <row r="16" spans="1:72" x14ac:dyDescent="0.2">
      <c r="A16" t="str">
        <f>'Input Scenarios'!A13</f>
        <v>QLD</v>
      </c>
      <c r="B16">
        <f>'Input Scenarios'!B13</f>
        <v>0</v>
      </c>
      <c r="C16" t="str">
        <f>'Input Scenarios'!C13</f>
        <v>Irrigated crop</v>
      </c>
      <c r="D16" t="str">
        <f>'Input Scenarios'!D13</f>
        <v>dry</v>
      </c>
      <c r="E16" t="b">
        <f>'Input Scenarios'!E13</f>
        <v>1</v>
      </c>
      <c r="F16" t="str">
        <f>'Input Scenarios'!F13</f>
        <v>meatChickenBreeder</v>
      </c>
      <c r="G16">
        <f>'Input Scenarios'!G13</f>
        <v>2250</v>
      </c>
      <c r="H16">
        <f>'Input Scenarios'!H13</f>
        <v>125</v>
      </c>
      <c r="I16">
        <f>IF('Input Scenarios'!I13&lt;&gt;"", 'Input Scenarios'!I13,_xlfn.XLOOKUP($F16,Constants!$A$2:$A$5,Constants!B$2:B$5))</f>
        <v>0.10299999999999999</v>
      </c>
      <c r="J16">
        <f>IF('Input Scenarios'!J13&lt;&gt;"", 'Input Scenarios'!J13,_xlfn.XLOOKUP($F16,Constants!$A$2:$A$5,Constants!C$2:C$5))</f>
        <v>0.8</v>
      </c>
      <c r="K16">
        <f>IF('Input Scenarios'!K13&lt;&gt;"", 'Input Scenarios'!K13,_xlfn.XLOOKUP($F16,Constants!$A$2:$A$5,Constants!D$2:D$5))</f>
        <v>0.19</v>
      </c>
      <c r="L16">
        <f>IF('Input Scenarios'!L13&lt;&gt;"", 'Input Scenarios'!L13,_xlfn.XLOOKUP($F16,Constants!$A$2:$A$5,Constants!E$2:E$5))</f>
        <v>0.32</v>
      </c>
      <c r="M16">
        <f>'Input Scenarios'!M13</f>
        <v>0.4</v>
      </c>
      <c r="N16">
        <f>'Input Scenarios'!N13</f>
        <v>0.3</v>
      </c>
      <c r="O16">
        <f>'Input Scenarios'!O13</f>
        <v>0.2</v>
      </c>
      <c r="P16">
        <f>'Input Scenarios'!P13</f>
        <v>0.1</v>
      </c>
      <c r="Q16">
        <f>'Input Scenarios'!Q13</f>
        <v>0.2</v>
      </c>
      <c r="R16">
        <f>'Input Scenarios'!R13</f>
        <v>0.25</v>
      </c>
      <c r="S16">
        <f>'Input Scenarios'!S13</f>
        <v>0.2</v>
      </c>
      <c r="T16">
        <f>'Input Scenarios'!T13</f>
        <v>0.25</v>
      </c>
      <c r="U16">
        <f>'Input Scenarios'!U13</f>
        <v>0.1</v>
      </c>
      <c r="V16">
        <f>'Input Scenarios'!V13</f>
        <v>0.2</v>
      </c>
      <c r="W16">
        <f>'Input Scenarios'!W13</f>
        <v>0.25</v>
      </c>
      <c r="X16">
        <f>'Input Scenarios'!X13</f>
        <v>0.2</v>
      </c>
      <c r="Y16">
        <f>'Input Scenarios'!Y13</f>
        <v>0.25</v>
      </c>
      <c r="Z16">
        <f>'Input Scenarios'!Z13</f>
        <v>0.1</v>
      </c>
      <c r="AA16">
        <f>'Input Scenarios'!AA13</f>
        <v>0.2</v>
      </c>
      <c r="AB16">
        <f>'Input Scenarios'!AB13</f>
        <v>0.25</v>
      </c>
      <c r="AC16">
        <f>'Input Scenarios'!AC13</f>
        <v>0.2</v>
      </c>
      <c r="AD16">
        <f>'Input Scenarios'!AD13</f>
        <v>0.25</v>
      </c>
      <c r="AE16">
        <f>'Input Scenarios'!AE13</f>
        <v>0.1</v>
      </c>
      <c r="AF16">
        <f t="shared" si="0"/>
        <v>1.6891999999999997E-2</v>
      </c>
      <c r="AG16">
        <f>IF(F16="", "",_xlfn.XLOOKUP(F16,Constants!$A$2:$A$5,Constants!F$2:F$5))</f>
        <v>0.18</v>
      </c>
      <c r="AH16">
        <f>IF(F16="", "",_xlfn.XLOOKUP(F16,Constants!$A$2:$A$5,Constants!G$2:G$5))</f>
        <v>0.36</v>
      </c>
      <c r="AI16">
        <f>_xlfn.XLOOKUP($A16, Constants!$F$8:$M$8,Constants!$F$9:$M$9)</f>
        <v>1.4999999999999999E-2</v>
      </c>
      <c r="AJ16">
        <f>_xlfn.XLOOKUP($A16, Constants!$F$8:$M$8,Constants!$F$10:$M$10)</f>
        <v>1.4999999999999999E-2</v>
      </c>
      <c r="AK16">
        <f>_xlfn.XLOOKUP($A16, Constants!$F$8:$M$8,Constants!$F$11:$M$11)</f>
        <v>1.4999999999999999E-2</v>
      </c>
      <c r="AL16">
        <f>_xlfn.XLOOKUP($A16, Constants!$F$8:$M$8,Constants!$F$16:$M$16)</f>
        <v>0.03</v>
      </c>
      <c r="AM16" s="12">
        <f>$AF16*$AH16*M16*AI16*Constants!$I$2</f>
        <v>2.4752590847999998E-5</v>
      </c>
      <c r="AN16" s="12">
        <f>$AF16*$AH16*N16*AJ16*Constants!$I$2</f>
        <v>1.8564443135999995E-5</v>
      </c>
      <c r="AO16" s="12">
        <f>$AF16*$AH16*O16*AK16*Constants!$I$2</f>
        <v>1.2376295423999999E-5</v>
      </c>
      <c r="AP16" s="12">
        <f>$AF16*$AH16*P16*AL16*Constants!$I$2</f>
        <v>1.2376295423999999E-5</v>
      </c>
      <c r="AQ16" s="12">
        <f t="shared" si="6"/>
        <v>6.9616661759999996</v>
      </c>
      <c r="AR16" s="12">
        <f t="shared" si="7"/>
        <v>5.2212496319999993</v>
      </c>
      <c r="AS16" s="12">
        <f t="shared" si="8"/>
        <v>3.4808330879999998</v>
      </c>
      <c r="AT16" s="12">
        <f t="shared" si="9"/>
        <v>3.4808330879999998</v>
      </c>
      <c r="AU16" s="12">
        <f t="shared" si="10"/>
        <v>19.144581983999998</v>
      </c>
      <c r="AV16">
        <f>_xlfn.XLOOKUP($A16, Constants!$F$8:$M$8,Constants!$F$12:$M$12)</f>
        <v>0.02</v>
      </c>
      <c r="AW16">
        <f>_xlfn.XLOOKUP($A16, Constants!$F$8:$M$8,Constants!$F$13:$M$13)</f>
        <v>0.01</v>
      </c>
      <c r="AX16">
        <f>_xlfn.XLOOKUP($A16, Constants!$F$8:$M$8,Constants!$F$15:$M$15)</f>
        <v>0.1</v>
      </c>
      <c r="AY16">
        <f>_xlfn.XLOOKUP($A16, Constants!$F$8:$M$8,Constants!$F$14:$M$14)</f>
        <v>0</v>
      </c>
      <c r="AZ16">
        <f>_xlfn.XLOOKUP($A16, Constants!$F$8:$M$8,Constants!$F$17:$M$17)</f>
        <v>0</v>
      </c>
      <c r="BA16">
        <f>Constants!$E$9</f>
        <v>0.15</v>
      </c>
      <c r="BB16">
        <f>Constants!$E$10</f>
        <v>0</v>
      </c>
      <c r="BC16">
        <f>Constants!$E$11</f>
        <v>0.2</v>
      </c>
      <c r="BD16">
        <f t="shared" si="2"/>
        <v>5.743279999999999E-3</v>
      </c>
      <c r="BE16">
        <f t="shared" si="3"/>
        <v>5.0675999999999994E-3</v>
      </c>
      <c r="BF16">
        <f t="shared" si="4"/>
        <v>2.70272E-3</v>
      </c>
      <c r="BG16">
        <f t="shared" si="11"/>
        <v>1.3513599999999999E-2</v>
      </c>
      <c r="BH16">
        <f>(($BD16*Q16)+($BE16*V16)+($BF16*AA16))*AV16*$AH16*Constants!$I$2</f>
        <v>1.3201381785599999E-5</v>
      </c>
      <c r="BI16">
        <f>(($BD16*R16)+($BE16*W16)+($BF16*AB16))*AW16*$AH16*Constants!$I$2</f>
        <v>8.2508636159999994E-6</v>
      </c>
      <c r="BJ16">
        <f>(($BD16*S16)+($BE16*X16)+($BF16*AC16))*AX16*$AH16*Constants!$I$2</f>
        <v>6.6006908927999995E-5</v>
      </c>
      <c r="BK16">
        <f>(($BD16*T16)+($BE16*Y16)+($BF16*AD16))*AY16*$AH16*Constants!$I$2</f>
        <v>0</v>
      </c>
      <c r="BL16">
        <f>(($BD16*U16)+($BE16*Z16)+($BF16*AE16))*AZ16*$AH16*Constants!$I$2</f>
        <v>0</v>
      </c>
      <c r="BM16">
        <f t="shared" si="12"/>
        <v>3.7128886271999999</v>
      </c>
      <c r="BN16">
        <f t="shared" si="13"/>
        <v>2.3205553919999997</v>
      </c>
      <c r="BO16">
        <f t="shared" si="14"/>
        <v>18.564443135999998</v>
      </c>
      <c r="BP16">
        <f t="shared" si="15"/>
        <v>0</v>
      </c>
      <c r="BQ16">
        <f t="shared" si="16"/>
        <v>0</v>
      </c>
      <c r="BR16">
        <f t="shared" si="17"/>
        <v>24.597887155199999</v>
      </c>
      <c r="BS16" s="12">
        <f t="shared" si="18"/>
        <v>43.742469139199997</v>
      </c>
    </row>
    <row r="17" spans="1:72" x14ac:dyDescent="0.2">
      <c r="A17" t="str">
        <f>'Input Scenarios'!A14</f>
        <v>QLD</v>
      </c>
      <c r="B17">
        <f>'Input Scenarios'!B14</f>
        <v>0</v>
      </c>
      <c r="C17" t="str">
        <f>'Input Scenarios'!C14</f>
        <v>Irrigated crop</v>
      </c>
      <c r="D17" t="str">
        <f>'Input Scenarios'!D14</f>
        <v>dry</v>
      </c>
      <c r="E17" t="b">
        <f>'Input Scenarios'!E14</f>
        <v>1</v>
      </c>
      <c r="F17" t="str">
        <f>'Input Scenarios'!F14</f>
        <v>meatChickenGrowers</v>
      </c>
      <c r="G17">
        <f>'Input Scenarios'!G14</f>
        <v>2250</v>
      </c>
      <c r="H17">
        <f>'Input Scenarios'!H14</f>
        <v>125</v>
      </c>
      <c r="I17">
        <f>IF('Input Scenarios'!I14&lt;&gt;"", 'Input Scenarios'!I14,_xlfn.XLOOKUP($F17,Constants!$A$2:$A$5,Constants!B$2:B$5))</f>
        <v>9.2999999999999999E-2</v>
      </c>
      <c r="J17">
        <f>IF('Input Scenarios'!J14&lt;&gt;"", 'Input Scenarios'!J14,_xlfn.XLOOKUP($F17,Constants!$A$2:$A$5,Constants!C$2:C$5))</f>
        <v>0.8</v>
      </c>
      <c r="K17">
        <f>IF('Input Scenarios'!K14&lt;&gt;"", 'Input Scenarios'!K14,_xlfn.XLOOKUP($F17,Constants!$A$2:$A$5,Constants!D$2:D$5))</f>
        <v>0.23</v>
      </c>
      <c r="L17">
        <f>IF('Input Scenarios'!L14&lt;&gt;"", 'Input Scenarios'!L14,_xlfn.XLOOKUP($F17,Constants!$A$2:$A$5,Constants!E$2:E$5))</f>
        <v>0.47</v>
      </c>
      <c r="M17">
        <f>'Input Scenarios'!M14</f>
        <v>0.4</v>
      </c>
      <c r="N17">
        <f>'Input Scenarios'!N14</f>
        <v>0.3</v>
      </c>
      <c r="O17">
        <f>'Input Scenarios'!O14</f>
        <v>0.2</v>
      </c>
      <c r="P17">
        <f>'Input Scenarios'!P14</f>
        <v>0.1</v>
      </c>
      <c r="Q17">
        <f>'Input Scenarios'!Q14</f>
        <v>0.2</v>
      </c>
      <c r="R17">
        <f>'Input Scenarios'!R14</f>
        <v>0.25</v>
      </c>
      <c r="S17">
        <f>'Input Scenarios'!S14</f>
        <v>0.2</v>
      </c>
      <c r="T17">
        <f>'Input Scenarios'!T14</f>
        <v>0.25</v>
      </c>
      <c r="U17">
        <f>'Input Scenarios'!U14</f>
        <v>0.1</v>
      </c>
      <c r="V17">
        <f>'Input Scenarios'!V14</f>
        <v>0.2</v>
      </c>
      <c r="W17">
        <f>'Input Scenarios'!W14</f>
        <v>0.25</v>
      </c>
      <c r="X17">
        <f>'Input Scenarios'!X14</f>
        <v>0.2</v>
      </c>
      <c r="Y17">
        <f>'Input Scenarios'!Y14</f>
        <v>0.25</v>
      </c>
      <c r="Z17">
        <f>'Input Scenarios'!Z14</f>
        <v>0.1</v>
      </c>
      <c r="AA17">
        <f>'Input Scenarios'!AA14</f>
        <v>0.2</v>
      </c>
      <c r="AB17">
        <f>'Input Scenarios'!AB14</f>
        <v>0.25</v>
      </c>
      <c r="AC17">
        <f>'Input Scenarios'!AC14</f>
        <v>0.2</v>
      </c>
      <c r="AD17">
        <f>'Input Scenarios'!AD14</f>
        <v>0.25</v>
      </c>
      <c r="AE17">
        <f>'Input Scenarios'!AE14</f>
        <v>0.1</v>
      </c>
      <c r="AF17">
        <f t="shared" si="0"/>
        <v>1.5809999999999994E-2</v>
      </c>
      <c r="AG17">
        <f>IF(F17="", "",_xlfn.XLOOKUP(F17,Constants!$A$2:$A$5,Constants!F$2:F$5))</f>
        <v>0.15</v>
      </c>
      <c r="AH17">
        <f>IF(F17="", "",_xlfn.XLOOKUP(F17,Constants!$A$2:$A$5,Constants!G$2:G$5))</f>
        <v>0.36</v>
      </c>
      <c r="AI17">
        <f>_xlfn.XLOOKUP($A17, Constants!$F$8:$M$8,Constants!$F$9:$M$9)</f>
        <v>1.4999999999999999E-2</v>
      </c>
      <c r="AJ17">
        <f>_xlfn.XLOOKUP($A17, Constants!$F$8:$M$8,Constants!$F$10:$M$10)</f>
        <v>1.4999999999999999E-2</v>
      </c>
      <c r="AK17">
        <f>_xlfn.XLOOKUP($A17, Constants!$F$8:$M$8,Constants!$F$11:$M$11)</f>
        <v>1.4999999999999999E-2</v>
      </c>
      <c r="AL17">
        <f>_xlfn.XLOOKUP($A17, Constants!$F$8:$M$8,Constants!$F$16:$M$16)</f>
        <v>0.03</v>
      </c>
      <c r="AM17" s="12">
        <f>$AF17*$AH17*M17*AI17*Constants!$I$2</f>
        <v>2.3167088639999993E-5</v>
      </c>
      <c r="AN17" s="12">
        <f>$AF17*$AH17*N17*AJ17*Constants!$I$2</f>
        <v>1.7375316479999991E-5</v>
      </c>
      <c r="AO17" s="12">
        <f>$AF17*$AH17*O17*AK17*Constants!$I$2</f>
        <v>1.1583544319999997E-5</v>
      </c>
      <c r="AP17" s="12">
        <f>$AF17*$AH17*P17*AL17*Constants!$I$2</f>
        <v>1.1583544319999997E-5</v>
      </c>
      <c r="AQ17" s="12">
        <f t="shared" si="6"/>
        <v>6.5157436799999982</v>
      </c>
      <c r="AR17" s="12">
        <f t="shared" si="7"/>
        <v>4.8868077599999982</v>
      </c>
      <c r="AS17" s="12">
        <f t="shared" si="8"/>
        <v>3.2578718399999991</v>
      </c>
      <c r="AT17" s="12">
        <f t="shared" si="9"/>
        <v>3.2578718399999991</v>
      </c>
      <c r="AU17" s="12">
        <f t="shared" si="10"/>
        <v>17.918295119999996</v>
      </c>
      <c r="AV17">
        <f>_xlfn.XLOOKUP($A17, Constants!$F$8:$M$8,Constants!$F$12:$M$12)</f>
        <v>0.02</v>
      </c>
      <c r="AW17">
        <f>_xlfn.XLOOKUP($A17, Constants!$F$8:$M$8,Constants!$F$13:$M$13)</f>
        <v>0.01</v>
      </c>
      <c r="AX17">
        <f>_xlfn.XLOOKUP($A17, Constants!$F$8:$M$8,Constants!$F$15:$M$15)</f>
        <v>0.1</v>
      </c>
      <c r="AY17">
        <f>_xlfn.XLOOKUP($A17, Constants!$F$8:$M$8,Constants!$F$14:$M$14)</f>
        <v>0</v>
      </c>
      <c r="AZ17">
        <f>_xlfn.XLOOKUP($A17, Constants!$F$8:$M$8,Constants!$F$17:$M$17)</f>
        <v>0</v>
      </c>
      <c r="BA17">
        <f>Constants!$E$9</f>
        <v>0.15</v>
      </c>
      <c r="BB17">
        <f>Constants!$E$10</f>
        <v>0</v>
      </c>
      <c r="BC17">
        <f>Constants!$E$11</f>
        <v>0.2</v>
      </c>
      <c r="BD17">
        <f t="shared" si="2"/>
        <v>5.3753999999999981E-3</v>
      </c>
      <c r="BE17">
        <f t="shared" si="3"/>
        <v>4.7429999999999981E-3</v>
      </c>
      <c r="BF17">
        <f t="shared" si="4"/>
        <v>2.5295999999999995E-3</v>
      </c>
      <c r="BG17">
        <f t="shared" si="11"/>
        <v>1.2647999999999996E-2</v>
      </c>
      <c r="BH17">
        <f>(($BD17*Q17)+($BE17*V17)+($BF17*AA17))*AV17*$AH17*Constants!$I$2</f>
        <v>1.2355780607999999E-5</v>
      </c>
      <c r="BI17">
        <f>(($BD17*R17)+($BE17*W17)+($BF17*AB17))*AW17*$AH17*Constants!$I$2</f>
        <v>7.7223628799999983E-6</v>
      </c>
      <c r="BJ17">
        <f>(($BD17*S17)+($BE17*X17)+($BF17*AC17))*AX17*$AH17*Constants!$I$2</f>
        <v>6.1778903039999986E-5</v>
      </c>
      <c r="BK17">
        <f>(($BD17*T17)+($BE17*Y17)+($BF17*AD17))*AY17*$AH17*Constants!$I$2</f>
        <v>0</v>
      </c>
      <c r="BL17">
        <f>(($BD17*U17)+($BE17*Z17)+($BF17*AE17))*AZ17*$AH17*Constants!$I$2</f>
        <v>0</v>
      </c>
      <c r="BM17">
        <f t="shared" si="12"/>
        <v>3.4750632959999996</v>
      </c>
      <c r="BN17">
        <f t="shared" si="13"/>
        <v>2.1719145599999994</v>
      </c>
      <c r="BO17">
        <f t="shared" si="14"/>
        <v>17.375316479999995</v>
      </c>
      <c r="BP17">
        <f t="shared" si="15"/>
        <v>0</v>
      </c>
      <c r="BQ17">
        <f t="shared" si="16"/>
        <v>0</v>
      </c>
      <c r="BR17">
        <f t="shared" si="17"/>
        <v>23.022294335999995</v>
      </c>
      <c r="BS17" s="12">
        <f t="shared" si="18"/>
        <v>40.940589455999991</v>
      </c>
    </row>
    <row r="18" spans="1:72" s="11" customFormat="1" x14ac:dyDescent="0.2">
      <c r="A18" s="11" t="str">
        <f>'Input Scenarios'!A15</f>
        <v>QLD</v>
      </c>
      <c r="B18" s="11">
        <f>'Input Scenarios'!B15</f>
        <v>0</v>
      </c>
      <c r="C18" s="11" t="str">
        <f>'Input Scenarios'!C15</f>
        <v>Irrigated crop</v>
      </c>
      <c r="D18" s="11" t="str">
        <f>'Input Scenarios'!D15</f>
        <v>dry</v>
      </c>
      <c r="E18" s="11" t="b">
        <f>'Input Scenarios'!E15</f>
        <v>1</v>
      </c>
      <c r="F18" s="11" t="str">
        <f>'Input Scenarios'!F15</f>
        <v>meatOther</v>
      </c>
      <c r="G18" s="11">
        <f>'Input Scenarios'!G15</f>
        <v>2250</v>
      </c>
      <c r="H18" s="11">
        <f>'Input Scenarios'!H15</f>
        <v>125</v>
      </c>
      <c r="I18">
        <f>IF('Input Scenarios'!I15&lt;&gt;"", 'Input Scenarios'!I15,_xlfn.XLOOKUP($F18,Constants!$A$2:$A$5,Constants!B$2:B$5))</f>
        <v>9.2999999999999999E-2</v>
      </c>
      <c r="J18">
        <f>IF('Input Scenarios'!J15&lt;&gt;"", 'Input Scenarios'!J15,_xlfn.XLOOKUP($F18,Constants!$A$2:$A$5,Constants!C$2:C$5))</f>
        <v>0.8</v>
      </c>
      <c r="K18">
        <f>IF('Input Scenarios'!K15&lt;&gt;"", 'Input Scenarios'!K15,_xlfn.XLOOKUP($F18,Constants!$A$2:$A$5,Constants!D$2:D$5))</f>
        <v>0.23</v>
      </c>
      <c r="L18">
        <f>IF('Input Scenarios'!L15&lt;&gt;"", 'Input Scenarios'!L15,_xlfn.XLOOKUP($F18,Constants!$A$2:$A$5,Constants!E$2:E$5))</f>
        <v>0.47</v>
      </c>
      <c r="M18" s="11">
        <f>'Input Scenarios'!M15</f>
        <v>0.4</v>
      </c>
      <c r="N18" s="11">
        <f>'Input Scenarios'!N15</f>
        <v>0.3</v>
      </c>
      <c r="O18" s="11">
        <f>'Input Scenarios'!O15</f>
        <v>0.2</v>
      </c>
      <c r="P18" s="11">
        <f>'Input Scenarios'!P15</f>
        <v>0.1</v>
      </c>
      <c r="Q18" s="11">
        <f>'Input Scenarios'!Q15</f>
        <v>0.2</v>
      </c>
      <c r="R18" s="11">
        <f>'Input Scenarios'!R15</f>
        <v>0.25</v>
      </c>
      <c r="S18" s="11">
        <f>'Input Scenarios'!S15</f>
        <v>0.2</v>
      </c>
      <c r="T18" s="11">
        <f>'Input Scenarios'!T15</f>
        <v>0.25</v>
      </c>
      <c r="U18" s="11">
        <f>'Input Scenarios'!U15</f>
        <v>0.1</v>
      </c>
      <c r="V18" s="11">
        <f>'Input Scenarios'!V15</f>
        <v>0.2</v>
      </c>
      <c r="W18" s="11">
        <f>'Input Scenarios'!W15</f>
        <v>0.25</v>
      </c>
      <c r="X18" s="11">
        <f>'Input Scenarios'!X15</f>
        <v>0.2</v>
      </c>
      <c r="Y18" s="11">
        <f>'Input Scenarios'!Y15</f>
        <v>0.25</v>
      </c>
      <c r="Z18" s="11">
        <f>'Input Scenarios'!Z15</f>
        <v>0.1</v>
      </c>
      <c r="AA18" s="11">
        <f>'Input Scenarios'!AA15</f>
        <v>0.2</v>
      </c>
      <c r="AB18" s="11">
        <f>'Input Scenarios'!AB15</f>
        <v>0.25</v>
      </c>
      <c r="AC18" s="11">
        <f>'Input Scenarios'!AC15</f>
        <v>0.2</v>
      </c>
      <c r="AD18" s="11">
        <f>'Input Scenarios'!AD15</f>
        <v>0.25</v>
      </c>
      <c r="AE18" s="11">
        <f>'Input Scenarios'!AE15</f>
        <v>0.1</v>
      </c>
      <c r="AF18">
        <f t="shared" si="0"/>
        <v>1.5809999999999994E-2</v>
      </c>
      <c r="AG18" s="11">
        <f>IF(F18="", "",_xlfn.XLOOKUP(F18,Constants!$A$2:$A$5,Constants!F$2:F$5))</f>
        <v>0.15</v>
      </c>
      <c r="AH18" s="11">
        <f>IF(F18="", "",_xlfn.XLOOKUP(F18,Constants!$A$2:$A$5,Constants!G$2:G$5))</f>
        <v>0.36</v>
      </c>
      <c r="AI18" s="11">
        <f>_xlfn.XLOOKUP($A18, Constants!$F$8:$M$8,Constants!$F$9:$M$9)</f>
        <v>1.4999999999999999E-2</v>
      </c>
      <c r="AJ18" s="11">
        <f>_xlfn.XLOOKUP($A18, Constants!$F$8:$M$8,Constants!$F$10:$M$10)</f>
        <v>1.4999999999999999E-2</v>
      </c>
      <c r="AK18" s="11">
        <f>_xlfn.XLOOKUP($A18, Constants!$F$8:$M$8,Constants!$F$11:$M$11)</f>
        <v>1.4999999999999999E-2</v>
      </c>
      <c r="AL18" s="11">
        <f>_xlfn.XLOOKUP($A18, Constants!$F$8:$M$8,Constants!$F$16:$M$16)</f>
        <v>0.03</v>
      </c>
      <c r="AM18" s="12">
        <f>$AF18*$AH18*M18*AI18*Constants!$I$2</f>
        <v>2.3167088639999993E-5</v>
      </c>
      <c r="AN18" s="12">
        <f>$AF18*$AH18*N18*AJ18*Constants!$I$2</f>
        <v>1.7375316479999991E-5</v>
      </c>
      <c r="AO18" s="12">
        <f>$AF18*$AH18*O18*AK18*Constants!$I$2</f>
        <v>1.1583544319999997E-5</v>
      </c>
      <c r="AP18" s="12">
        <f>$AF18*$AH18*P18*AL18*Constants!$I$2</f>
        <v>1.1583544319999997E-5</v>
      </c>
      <c r="AQ18" s="16">
        <f t="shared" si="6"/>
        <v>6.5157436799999982</v>
      </c>
      <c r="AR18" s="16">
        <f t="shared" si="7"/>
        <v>4.8868077599999982</v>
      </c>
      <c r="AS18" s="16">
        <f t="shared" si="8"/>
        <v>3.2578718399999991</v>
      </c>
      <c r="AT18" s="16">
        <f t="shared" si="9"/>
        <v>3.2578718399999991</v>
      </c>
      <c r="AU18" s="16">
        <f t="shared" si="10"/>
        <v>17.918295119999996</v>
      </c>
      <c r="AV18" s="11">
        <f>_xlfn.XLOOKUP($A18, Constants!$F$8:$M$8,Constants!$F$12:$M$12)</f>
        <v>0.02</v>
      </c>
      <c r="AW18" s="11">
        <f>_xlfn.XLOOKUP($A18, Constants!$F$8:$M$8,Constants!$F$13:$M$13)</f>
        <v>0.01</v>
      </c>
      <c r="AX18" s="11">
        <f>_xlfn.XLOOKUP($A18, Constants!$F$8:$M$8,Constants!$F$15:$M$15)</f>
        <v>0.1</v>
      </c>
      <c r="AY18" s="11">
        <f>_xlfn.XLOOKUP($A18, Constants!$F$8:$M$8,Constants!$F$14:$M$14)</f>
        <v>0</v>
      </c>
      <c r="AZ18" s="11">
        <f>_xlfn.XLOOKUP($A18, Constants!$F$8:$M$8,Constants!$F$17:$M$17)</f>
        <v>0</v>
      </c>
      <c r="BA18" s="11">
        <f>Constants!$E$9</f>
        <v>0.15</v>
      </c>
      <c r="BB18" s="11">
        <f>Constants!$E$10</f>
        <v>0</v>
      </c>
      <c r="BC18" s="11">
        <f>Constants!$E$11</f>
        <v>0.2</v>
      </c>
      <c r="BD18" s="11">
        <f t="shared" si="2"/>
        <v>5.3753999999999981E-3</v>
      </c>
      <c r="BE18" s="11">
        <f t="shared" si="3"/>
        <v>4.7429999999999981E-3</v>
      </c>
      <c r="BF18" s="11">
        <f t="shared" si="4"/>
        <v>2.5295999999999995E-3</v>
      </c>
      <c r="BG18" s="11">
        <f t="shared" si="11"/>
        <v>1.2647999999999996E-2</v>
      </c>
      <c r="BH18" s="11">
        <f>(($BD18*Q18)+($BE18*V18)+($BF18*AA18))*AV18*$AH18*Constants!$I$2</f>
        <v>1.2355780607999999E-5</v>
      </c>
      <c r="BI18" s="11">
        <f>(($BD18*R18)+($BE18*W18)+($BF18*AB18))*AW18*$AH18*Constants!$I$2</f>
        <v>7.7223628799999983E-6</v>
      </c>
      <c r="BJ18" s="11">
        <f>(($BD18*S18)+($BE18*X18)+($BF18*AC18))*AX18*$AH18*Constants!$I$2</f>
        <v>6.1778903039999986E-5</v>
      </c>
      <c r="BK18" s="11">
        <f>(($BD18*T18)+($BE18*Y18)+($BF18*AD18))*AY18*$AH18*Constants!$I$2</f>
        <v>0</v>
      </c>
      <c r="BL18" s="11">
        <f>(($BD18*U18)+($BE18*Z18)+($BF18*AE18))*AZ18*$AH18*Constants!$I$2</f>
        <v>0</v>
      </c>
      <c r="BM18">
        <f t="shared" si="12"/>
        <v>3.4750632959999996</v>
      </c>
      <c r="BN18">
        <f t="shared" si="13"/>
        <v>2.1719145599999994</v>
      </c>
      <c r="BO18">
        <f t="shared" si="14"/>
        <v>17.375316479999995</v>
      </c>
      <c r="BP18">
        <f t="shared" si="15"/>
        <v>0</v>
      </c>
      <c r="BQ18">
        <f t="shared" si="16"/>
        <v>0</v>
      </c>
      <c r="BR18">
        <f t="shared" si="17"/>
        <v>23.022294335999995</v>
      </c>
      <c r="BS18" s="12">
        <f t="shared" si="18"/>
        <v>40.940589455999991</v>
      </c>
    </row>
    <row r="19" spans="1:72" x14ac:dyDescent="0.2">
      <c r="A19" t="str">
        <f>'Input Scenarios'!A16</f>
        <v>TAS</v>
      </c>
      <c r="B19">
        <f>'Input Scenarios'!B16</f>
        <v>0</v>
      </c>
      <c r="C19" t="str">
        <f>'Input Scenarios'!C16</f>
        <v>Irrigated pasture</v>
      </c>
      <c r="D19" t="str">
        <f>'Input Scenarios'!D16</f>
        <v>wet</v>
      </c>
      <c r="E19" t="b">
        <f>'Input Scenarios'!E16</f>
        <v>1</v>
      </c>
      <c r="F19" t="str">
        <f>'Input Scenarios'!F16</f>
        <v>layers</v>
      </c>
      <c r="G19">
        <f>'Input Scenarios'!G16</f>
        <v>3333</v>
      </c>
      <c r="H19">
        <f>'Input Scenarios'!H16</f>
        <v>111</v>
      </c>
      <c r="I19">
        <f>IF('Input Scenarios'!I16&lt;&gt;"", 'Input Scenarios'!I16,_xlfn.XLOOKUP($F19,Constants!$A$2:$A$5,Constants!B$2:B$5))</f>
        <v>8.5999999999999993E-2</v>
      </c>
      <c r="J19">
        <f>IF('Input Scenarios'!J16&lt;&gt;"", 'Input Scenarios'!J16,_xlfn.XLOOKUP($F19,Constants!$A$2:$A$5,Constants!C$2:C$5))</f>
        <v>0.8</v>
      </c>
      <c r="K19">
        <f>IF('Input Scenarios'!K16&lt;&gt;"", 'Input Scenarios'!K16,_xlfn.XLOOKUP($F19,Constants!$A$2:$A$5,Constants!D$2:D$5))</f>
        <v>0.19</v>
      </c>
      <c r="L19">
        <f>IF('Input Scenarios'!L16&lt;&gt;"", 'Input Scenarios'!L16,_xlfn.XLOOKUP($F19,Constants!$A$2:$A$5,Constants!E$2:E$5))</f>
        <v>0.35</v>
      </c>
      <c r="M19">
        <f>'Input Scenarios'!M16</f>
        <v>0</v>
      </c>
      <c r="N19">
        <f>'Input Scenarios'!N16</f>
        <v>0.9</v>
      </c>
      <c r="O19">
        <f>'Input Scenarios'!O16</f>
        <v>0</v>
      </c>
      <c r="P19">
        <f>'Input Scenarios'!P16</f>
        <v>0.1</v>
      </c>
      <c r="Q19">
        <f>'Input Scenarios'!Q16</f>
        <v>0.34</v>
      </c>
      <c r="R19">
        <f>'Input Scenarios'!R16</f>
        <v>0.6</v>
      </c>
      <c r="S19">
        <f>'Input Scenarios'!S16</f>
        <v>0</v>
      </c>
      <c r="T19">
        <f>'Input Scenarios'!T16</f>
        <v>0</v>
      </c>
      <c r="U19">
        <f>'Input Scenarios'!U16</f>
        <v>0.06</v>
      </c>
      <c r="V19">
        <f>'Input Scenarios'!V16</f>
        <v>0.34</v>
      </c>
      <c r="W19">
        <f>'Input Scenarios'!W16</f>
        <v>0.6</v>
      </c>
      <c r="X19">
        <f>'Input Scenarios'!X16</f>
        <v>0</v>
      </c>
      <c r="Y19">
        <f>'Input Scenarios'!Y16</f>
        <v>0</v>
      </c>
      <c r="Z19">
        <f>'Input Scenarios'!Z16</f>
        <v>0.06</v>
      </c>
      <c r="AA19">
        <f>'Input Scenarios'!AA16</f>
        <v>0.34</v>
      </c>
      <c r="AB19">
        <f>'Input Scenarios'!AB16</f>
        <v>0.6</v>
      </c>
      <c r="AC19">
        <f>'Input Scenarios'!AC16</f>
        <v>0</v>
      </c>
      <c r="AD19">
        <f>'Input Scenarios'!AD16</f>
        <v>0</v>
      </c>
      <c r="AE19">
        <f>'Input Scenarios'!AE16</f>
        <v>0.06</v>
      </c>
      <c r="AF19">
        <f t="shared" si="0"/>
        <v>1.4103999999999995E-2</v>
      </c>
      <c r="AG19">
        <f>IF(F19="", "",_xlfn.XLOOKUP(F19,Constants!$A$2:$A$5,Constants!F$2:F$5))</f>
        <v>0.18</v>
      </c>
      <c r="AH19">
        <f>IF(F19="", "",_xlfn.XLOOKUP(F19,Constants!$A$2:$A$5,Constants!G$2:G$5))</f>
        <v>0.39</v>
      </c>
      <c r="AI19">
        <f>_xlfn.XLOOKUP($A19, Constants!$F$8:$M$8,Constants!$F$9:$M$9)</f>
        <v>1.4999999999999999E-2</v>
      </c>
      <c r="AJ19">
        <f>_xlfn.XLOOKUP($A19, Constants!$F$8:$M$8,Constants!$F$10:$M$10)</f>
        <v>1.4999999999999999E-2</v>
      </c>
      <c r="AK19">
        <f>_xlfn.XLOOKUP($A19, Constants!$F$8:$M$8,Constants!$F$11:$M$11)</f>
        <v>1.4999999999999999E-2</v>
      </c>
      <c r="AL19">
        <f>_xlfn.XLOOKUP($A19, Constants!$F$8:$M$8,Constants!$F$16:$M$16)</f>
        <v>0.01</v>
      </c>
      <c r="AM19" s="12">
        <f>$AF19*$AH19*M19*AI19*Constants!$I$2</f>
        <v>0</v>
      </c>
      <c r="AN19" s="12">
        <f>$AF19*$AH19*N19*AJ19*Constants!$I$2</f>
        <v>5.0376328703999986E-5</v>
      </c>
      <c r="AO19" s="12">
        <f>$AF19*$AH19*O19*AK19*Constants!$I$2</f>
        <v>0</v>
      </c>
      <c r="AP19" s="12">
        <f>$AF19*$AH19*P19*AL19*Constants!$I$2</f>
        <v>3.7315799039999991E-6</v>
      </c>
      <c r="AQ19" s="12">
        <f t="shared" si="6"/>
        <v>0</v>
      </c>
      <c r="AR19" s="12">
        <f t="shared" si="7"/>
        <v>18.637377696317948</v>
      </c>
      <c r="AS19" s="12">
        <f t="shared" si="8"/>
        <v>0</v>
      </c>
      <c r="AT19" s="12">
        <f t="shared" si="9"/>
        <v>1.3805464960235518</v>
      </c>
      <c r="AU19" s="12">
        <f t="shared" si="10"/>
        <v>20.0179241923415</v>
      </c>
      <c r="AV19">
        <f>_xlfn.XLOOKUP($A19, Constants!$F$8:$M$8,Constants!$F$12:$M$12)</f>
        <v>0.02</v>
      </c>
      <c r="AW19">
        <f>_xlfn.XLOOKUP($A19, Constants!$F$8:$M$8,Constants!$F$13:$M$13)</f>
        <v>5.0000000000000001E-3</v>
      </c>
      <c r="AX19">
        <f>_xlfn.XLOOKUP($A19, Constants!$F$8:$M$8,Constants!$F$15:$M$15)</f>
        <v>0.1</v>
      </c>
      <c r="AY19">
        <f>_xlfn.XLOOKUP($A19, Constants!$F$8:$M$8,Constants!$F$14:$M$14)</f>
        <v>0</v>
      </c>
      <c r="AZ19">
        <f>_xlfn.XLOOKUP($A19, Constants!$F$8:$M$8,Constants!$F$17:$M$17)</f>
        <v>0</v>
      </c>
      <c r="BA19">
        <f>Constants!$E$9</f>
        <v>0.15</v>
      </c>
      <c r="BB19">
        <f>Constants!$E$10</f>
        <v>0</v>
      </c>
      <c r="BC19">
        <f>Constants!$E$11</f>
        <v>0.2</v>
      </c>
      <c r="BD19">
        <f t="shared" si="2"/>
        <v>0</v>
      </c>
      <c r="BE19">
        <f t="shared" si="3"/>
        <v>1.2693599999999996E-2</v>
      </c>
      <c r="BF19">
        <f t="shared" si="4"/>
        <v>0</v>
      </c>
      <c r="BG19">
        <f t="shared" si="11"/>
        <v>1.2693599999999996E-2</v>
      </c>
      <c r="BH19">
        <f>(($BD19*Q19)+($BE19*V19)+($BF19*AA19))*AV19*$AH19*Constants!$I$2</f>
        <v>2.2837269012479995E-5</v>
      </c>
      <c r="BI19">
        <f>(($BD19*R19)+($BE19*W19)+($BF19*AB19))*AW19*$AH19*Constants!$I$2</f>
        <v>1.0075265740799997E-5</v>
      </c>
      <c r="BJ19">
        <f>(($BD19*S19)+($BE19*X19)+($BF19*AC19))*AX19*$AH19*Constants!$I$2</f>
        <v>0</v>
      </c>
      <c r="BK19">
        <f>(($BD19*T19)+($BE19*Y19)+($BF19*AD19))*AY19*$AH19*Constants!$I$2</f>
        <v>0</v>
      </c>
      <c r="BL19">
        <f>(($BD19*U19)+($BE19*Z19)+($BF19*AE19))*AZ19*$AH19*Constants!$I$2</f>
        <v>0</v>
      </c>
      <c r="BM19">
        <f t="shared" si="12"/>
        <v>8.448944555664136</v>
      </c>
      <c r="BN19">
        <f t="shared" si="13"/>
        <v>3.7274755392635894</v>
      </c>
      <c r="BO19">
        <f t="shared" si="14"/>
        <v>0</v>
      </c>
      <c r="BP19">
        <f t="shared" si="15"/>
        <v>0</v>
      </c>
      <c r="BQ19">
        <f t="shared" si="16"/>
        <v>0</v>
      </c>
      <c r="BR19">
        <f t="shared" si="17"/>
        <v>12.176420094927725</v>
      </c>
      <c r="BS19" s="12">
        <f t="shared" si="18"/>
        <v>32.194344287269224</v>
      </c>
      <c r="BT19">
        <f>SUM(BS19:BS22)/1000</f>
        <v>0.13441163322203981</v>
      </c>
    </row>
    <row r="20" spans="1:72" x14ac:dyDescent="0.2">
      <c r="A20" t="str">
        <f>'Input Scenarios'!A17</f>
        <v>TAS</v>
      </c>
      <c r="B20">
        <f>'Input Scenarios'!B17</f>
        <v>0</v>
      </c>
      <c r="C20" t="str">
        <f>'Input Scenarios'!C17</f>
        <v>Irrigated pasture</v>
      </c>
      <c r="D20" t="str">
        <f>'Input Scenarios'!D17</f>
        <v>wet</v>
      </c>
      <c r="E20" t="b">
        <f>'Input Scenarios'!E17</f>
        <v>1</v>
      </c>
      <c r="F20" t="str">
        <f>'Input Scenarios'!F17</f>
        <v>meatChickenBreeder</v>
      </c>
      <c r="G20">
        <f>'Input Scenarios'!G17</f>
        <v>3333</v>
      </c>
      <c r="H20">
        <f>'Input Scenarios'!H17</f>
        <v>111</v>
      </c>
      <c r="I20">
        <f>IF('Input Scenarios'!I17&lt;&gt;"", 'Input Scenarios'!I17,_xlfn.XLOOKUP($F20,Constants!$A$2:$A$5,Constants!B$2:B$5))</f>
        <v>0.10299999999999999</v>
      </c>
      <c r="J20">
        <f>IF('Input Scenarios'!J17&lt;&gt;"", 'Input Scenarios'!J17,_xlfn.XLOOKUP($F20,Constants!$A$2:$A$5,Constants!C$2:C$5))</f>
        <v>0.8</v>
      </c>
      <c r="K20">
        <f>IF('Input Scenarios'!K17&lt;&gt;"", 'Input Scenarios'!K17,_xlfn.XLOOKUP($F20,Constants!$A$2:$A$5,Constants!D$2:D$5))</f>
        <v>0.19</v>
      </c>
      <c r="L20">
        <f>IF('Input Scenarios'!L17&lt;&gt;"", 'Input Scenarios'!L17,_xlfn.XLOOKUP($F20,Constants!$A$2:$A$5,Constants!E$2:E$5))</f>
        <v>0.32</v>
      </c>
      <c r="M20">
        <f>'Input Scenarios'!M17</f>
        <v>0</v>
      </c>
      <c r="N20">
        <f>'Input Scenarios'!N17</f>
        <v>0.9</v>
      </c>
      <c r="O20">
        <f>'Input Scenarios'!O17</f>
        <v>0</v>
      </c>
      <c r="P20">
        <f>'Input Scenarios'!P17</f>
        <v>0.1</v>
      </c>
      <c r="Q20">
        <f>'Input Scenarios'!Q17</f>
        <v>0.34</v>
      </c>
      <c r="R20">
        <f>'Input Scenarios'!R17</f>
        <v>0.6</v>
      </c>
      <c r="S20">
        <f>'Input Scenarios'!S17</f>
        <v>0</v>
      </c>
      <c r="T20">
        <f>'Input Scenarios'!T17</f>
        <v>0</v>
      </c>
      <c r="U20">
        <f>'Input Scenarios'!U17</f>
        <v>0.06</v>
      </c>
      <c r="V20">
        <f>'Input Scenarios'!V17</f>
        <v>0.34</v>
      </c>
      <c r="W20">
        <f>'Input Scenarios'!W17</f>
        <v>0.6</v>
      </c>
      <c r="X20">
        <f>'Input Scenarios'!X17</f>
        <v>0</v>
      </c>
      <c r="Y20">
        <f>'Input Scenarios'!Y17</f>
        <v>0</v>
      </c>
      <c r="Z20">
        <f>'Input Scenarios'!Z17</f>
        <v>0.06</v>
      </c>
      <c r="AA20">
        <f>'Input Scenarios'!AA17</f>
        <v>0.34</v>
      </c>
      <c r="AB20">
        <f>'Input Scenarios'!AB17</f>
        <v>0.6</v>
      </c>
      <c r="AC20">
        <f>'Input Scenarios'!AC17</f>
        <v>0</v>
      </c>
      <c r="AD20">
        <f>'Input Scenarios'!AD17</f>
        <v>0</v>
      </c>
      <c r="AE20">
        <f>'Input Scenarios'!AE17</f>
        <v>0.06</v>
      </c>
      <c r="AF20">
        <f t="shared" si="0"/>
        <v>1.6891999999999997E-2</v>
      </c>
      <c r="AG20">
        <f>IF(F20="", "",_xlfn.XLOOKUP(F20,Constants!$A$2:$A$5,Constants!F$2:F$5))</f>
        <v>0.18</v>
      </c>
      <c r="AH20">
        <f>IF(F20="", "",_xlfn.XLOOKUP(F20,Constants!$A$2:$A$5,Constants!G$2:G$5))</f>
        <v>0.36</v>
      </c>
      <c r="AI20">
        <f>_xlfn.XLOOKUP($A20, Constants!$F$8:$M$8,Constants!$F$9:$M$9)</f>
        <v>1.4999999999999999E-2</v>
      </c>
      <c r="AJ20">
        <f>_xlfn.XLOOKUP($A20, Constants!$F$8:$M$8,Constants!$F$10:$M$10)</f>
        <v>1.4999999999999999E-2</v>
      </c>
      <c r="AK20">
        <f>_xlfn.XLOOKUP($A20, Constants!$F$8:$M$8,Constants!$F$11:$M$11)</f>
        <v>1.4999999999999999E-2</v>
      </c>
      <c r="AL20">
        <f>_xlfn.XLOOKUP($A20, Constants!$F$8:$M$8,Constants!$F$16:$M$16)</f>
        <v>0.01</v>
      </c>
      <c r="AM20" s="12">
        <f>$AF20*$AH20*M20*AI20*Constants!$I$2</f>
        <v>0</v>
      </c>
      <c r="AN20" s="12">
        <f>$AF20*$AH20*N20*AJ20*Constants!$I$2</f>
        <v>5.5693329407999986E-5</v>
      </c>
      <c r="AO20" s="12">
        <f>$AF20*$AH20*O20*AK20*Constants!$I$2</f>
        <v>0</v>
      </c>
      <c r="AP20" s="12">
        <f>$AF20*$AH20*P20*AL20*Constants!$I$2</f>
        <v>4.1254318079999997E-6</v>
      </c>
      <c r="AQ20" s="12">
        <f t="shared" si="6"/>
        <v>0</v>
      </c>
      <c r="AR20" s="12">
        <f t="shared" si="7"/>
        <v>20.604471227771899</v>
      </c>
      <c r="AS20" s="12">
        <f t="shared" si="8"/>
        <v>0</v>
      </c>
      <c r="AT20" s="12">
        <f t="shared" si="9"/>
        <v>1.5262571279831039</v>
      </c>
      <c r="AU20" s="12">
        <f t="shared" si="10"/>
        <v>22.130728355755004</v>
      </c>
      <c r="AV20">
        <f>_xlfn.XLOOKUP($A20, Constants!$F$8:$M$8,Constants!$F$12:$M$12)</f>
        <v>0.02</v>
      </c>
      <c r="AW20">
        <f>_xlfn.XLOOKUP($A20, Constants!$F$8:$M$8,Constants!$F$13:$M$13)</f>
        <v>5.0000000000000001E-3</v>
      </c>
      <c r="AX20">
        <f>_xlfn.XLOOKUP($A20, Constants!$F$8:$M$8,Constants!$F$15:$M$15)</f>
        <v>0.1</v>
      </c>
      <c r="AY20">
        <f>_xlfn.XLOOKUP($A20, Constants!$F$8:$M$8,Constants!$F$14:$M$14)</f>
        <v>0</v>
      </c>
      <c r="AZ20">
        <f>_xlfn.XLOOKUP($A20, Constants!$F$8:$M$8,Constants!$F$17:$M$17)</f>
        <v>0</v>
      </c>
      <c r="BA20">
        <f>Constants!$E$9</f>
        <v>0.15</v>
      </c>
      <c r="BB20">
        <f>Constants!$E$10</f>
        <v>0</v>
      </c>
      <c r="BC20">
        <f>Constants!$E$11</f>
        <v>0.2</v>
      </c>
      <c r="BD20">
        <f t="shared" si="2"/>
        <v>0</v>
      </c>
      <c r="BE20">
        <f t="shared" si="3"/>
        <v>1.5202799999999997E-2</v>
      </c>
      <c r="BF20">
        <f t="shared" si="4"/>
        <v>0</v>
      </c>
      <c r="BG20">
        <f t="shared" si="11"/>
        <v>1.5202799999999997E-2</v>
      </c>
      <c r="BH20">
        <f>(($BD20*Q20)+($BE20*V20)+($BF20*AA20))*AV20*$AH20*Constants!$I$2</f>
        <v>2.5247642664959993E-5</v>
      </c>
      <c r="BI20">
        <f>(($BD20*R20)+($BE20*W20)+($BF20*AB20))*AW20*$AH20*Constants!$I$2</f>
        <v>1.1138665881599999E-5</v>
      </c>
      <c r="BJ20">
        <f>(($BD20*S20)+($BE20*X20)+($BF20*AC20))*AX20*$AH20*Constants!$I$2</f>
        <v>0</v>
      </c>
      <c r="BK20">
        <f>(($BD20*T20)+($BE20*Y20)+($BF20*AD20))*AY20*$AH20*Constants!$I$2</f>
        <v>0</v>
      </c>
      <c r="BL20">
        <f>(($BD20*U20)+($BE20*Z20)+($BF20*AE20))*AZ20*$AH20*Constants!$I$2</f>
        <v>0</v>
      </c>
      <c r="BM20">
        <f t="shared" si="12"/>
        <v>9.3406936232565947</v>
      </c>
      <c r="BN20">
        <f t="shared" si="13"/>
        <v>4.1208942455543802</v>
      </c>
      <c r="BO20">
        <f t="shared" si="14"/>
        <v>0</v>
      </c>
      <c r="BP20">
        <f t="shared" si="15"/>
        <v>0</v>
      </c>
      <c r="BQ20">
        <f t="shared" si="16"/>
        <v>0</v>
      </c>
      <c r="BR20">
        <f t="shared" si="17"/>
        <v>13.461587868810975</v>
      </c>
      <c r="BS20" s="12">
        <f t="shared" si="18"/>
        <v>35.592316224565977</v>
      </c>
    </row>
    <row r="21" spans="1:72" x14ac:dyDescent="0.2">
      <c r="A21" t="str">
        <f>'Input Scenarios'!A18</f>
        <v>TAS</v>
      </c>
      <c r="B21">
        <f>'Input Scenarios'!B18</f>
        <v>0</v>
      </c>
      <c r="C21" t="str">
        <f>'Input Scenarios'!C18</f>
        <v>Irrigated pasture</v>
      </c>
      <c r="D21" t="str">
        <f>'Input Scenarios'!D18</f>
        <v>wet</v>
      </c>
      <c r="E21" t="b">
        <f>'Input Scenarios'!E18</f>
        <v>1</v>
      </c>
      <c r="F21" t="str">
        <f>'Input Scenarios'!F18</f>
        <v>meatChickenGrowers</v>
      </c>
      <c r="G21">
        <f>'Input Scenarios'!G18</f>
        <v>3333</v>
      </c>
      <c r="H21">
        <f>'Input Scenarios'!H18</f>
        <v>111</v>
      </c>
      <c r="I21">
        <f>IF('Input Scenarios'!I18&lt;&gt;"", 'Input Scenarios'!I18,_xlfn.XLOOKUP($F21,Constants!$A$2:$A$5,Constants!B$2:B$5))</f>
        <v>9.2999999999999999E-2</v>
      </c>
      <c r="J21">
        <f>IF('Input Scenarios'!J18&lt;&gt;"", 'Input Scenarios'!J18,_xlfn.XLOOKUP($F21,Constants!$A$2:$A$5,Constants!C$2:C$5))</f>
        <v>0.8</v>
      </c>
      <c r="K21">
        <f>IF('Input Scenarios'!K18&lt;&gt;"", 'Input Scenarios'!K18,_xlfn.XLOOKUP($F21,Constants!$A$2:$A$5,Constants!D$2:D$5))</f>
        <v>0.23</v>
      </c>
      <c r="L21">
        <f>IF('Input Scenarios'!L18&lt;&gt;"", 'Input Scenarios'!L18,_xlfn.XLOOKUP($F21,Constants!$A$2:$A$5,Constants!E$2:E$5))</f>
        <v>0.47</v>
      </c>
      <c r="M21">
        <f>'Input Scenarios'!M18</f>
        <v>0</v>
      </c>
      <c r="N21">
        <f>'Input Scenarios'!N18</f>
        <v>0.9</v>
      </c>
      <c r="O21">
        <f>'Input Scenarios'!O18</f>
        <v>0</v>
      </c>
      <c r="P21">
        <f>'Input Scenarios'!P18</f>
        <v>0.1</v>
      </c>
      <c r="Q21">
        <f>'Input Scenarios'!Q18</f>
        <v>0.34</v>
      </c>
      <c r="R21">
        <f>'Input Scenarios'!R18</f>
        <v>0.6</v>
      </c>
      <c r="S21">
        <f>'Input Scenarios'!S18</f>
        <v>0</v>
      </c>
      <c r="T21">
        <f>'Input Scenarios'!T18</f>
        <v>0</v>
      </c>
      <c r="U21">
        <f>'Input Scenarios'!U18</f>
        <v>0.06</v>
      </c>
      <c r="V21">
        <f>'Input Scenarios'!V18</f>
        <v>0.34</v>
      </c>
      <c r="W21">
        <f>'Input Scenarios'!W18</f>
        <v>0.6</v>
      </c>
      <c r="X21">
        <f>'Input Scenarios'!X18</f>
        <v>0</v>
      </c>
      <c r="Y21">
        <f>'Input Scenarios'!Y18</f>
        <v>0</v>
      </c>
      <c r="Z21">
        <f>'Input Scenarios'!Z18</f>
        <v>0.06</v>
      </c>
      <c r="AA21">
        <f>'Input Scenarios'!AA18</f>
        <v>0.34</v>
      </c>
      <c r="AB21">
        <f>'Input Scenarios'!AB18</f>
        <v>0.6</v>
      </c>
      <c r="AC21">
        <f>'Input Scenarios'!AC18</f>
        <v>0</v>
      </c>
      <c r="AD21">
        <f>'Input Scenarios'!AD18</f>
        <v>0</v>
      </c>
      <c r="AE21">
        <f>'Input Scenarios'!AE18</f>
        <v>0.06</v>
      </c>
      <c r="AF21">
        <f t="shared" si="0"/>
        <v>1.5809999999999994E-2</v>
      </c>
      <c r="AG21">
        <f>IF(F21="", "",_xlfn.XLOOKUP(F21,Constants!$A$2:$A$5,Constants!F$2:F$5))</f>
        <v>0.15</v>
      </c>
      <c r="AH21">
        <f>IF(F21="", "",_xlfn.XLOOKUP(F21,Constants!$A$2:$A$5,Constants!G$2:G$5))</f>
        <v>0.36</v>
      </c>
      <c r="AI21">
        <f>_xlfn.XLOOKUP($A21, Constants!$F$8:$M$8,Constants!$F$9:$M$9)</f>
        <v>1.4999999999999999E-2</v>
      </c>
      <c r="AJ21">
        <f>_xlfn.XLOOKUP($A21, Constants!$F$8:$M$8,Constants!$F$10:$M$10)</f>
        <v>1.4999999999999999E-2</v>
      </c>
      <c r="AK21">
        <f>_xlfn.XLOOKUP($A21, Constants!$F$8:$M$8,Constants!$F$11:$M$11)</f>
        <v>1.4999999999999999E-2</v>
      </c>
      <c r="AL21">
        <f>_xlfn.XLOOKUP($A21, Constants!$F$8:$M$8,Constants!$F$16:$M$16)</f>
        <v>0.01</v>
      </c>
      <c r="AM21" s="12">
        <f>$AF21*$AH21*M21*AI21*Constants!$I$2</f>
        <v>0</v>
      </c>
      <c r="AN21" s="12">
        <f>$AF21*$AH21*N21*AJ21*Constants!$I$2</f>
        <v>5.2125949439999981E-5</v>
      </c>
      <c r="AO21" s="12">
        <f>$AF21*$AH21*O21*AK21*Constants!$I$2</f>
        <v>0</v>
      </c>
      <c r="AP21" s="12">
        <f>$AF21*$AH21*P21*AL21*Constants!$I$2</f>
        <v>3.8611814399999991E-6</v>
      </c>
      <c r="AQ21" s="12">
        <f t="shared" si="6"/>
        <v>0</v>
      </c>
      <c r="AR21" s="12">
        <f t="shared" si="7"/>
        <v>19.284672632670713</v>
      </c>
      <c r="AS21" s="12">
        <f t="shared" si="8"/>
        <v>0</v>
      </c>
      <c r="AT21" s="12">
        <f t="shared" si="9"/>
        <v>1.4284942690867197</v>
      </c>
      <c r="AU21" s="12">
        <f t="shared" si="10"/>
        <v>20.713166901757432</v>
      </c>
      <c r="AV21">
        <f>_xlfn.XLOOKUP($A21, Constants!$F$8:$M$8,Constants!$F$12:$M$12)</f>
        <v>0.02</v>
      </c>
      <c r="AW21">
        <f>_xlfn.XLOOKUP($A21, Constants!$F$8:$M$8,Constants!$F$13:$M$13)</f>
        <v>5.0000000000000001E-3</v>
      </c>
      <c r="AX21">
        <f>_xlfn.XLOOKUP($A21, Constants!$F$8:$M$8,Constants!$F$15:$M$15)</f>
        <v>0.1</v>
      </c>
      <c r="AY21">
        <f>_xlfn.XLOOKUP($A21, Constants!$F$8:$M$8,Constants!$F$14:$M$14)</f>
        <v>0</v>
      </c>
      <c r="AZ21">
        <f>_xlfn.XLOOKUP($A21, Constants!$F$8:$M$8,Constants!$F$17:$M$17)</f>
        <v>0</v>
      </c>
      <c r="BA21">
        <f>Constants!$E$9</f>
        <v>0.15</v>
      </c>
      <c r="BB21">
        <f>Constants!$E$10</f>
        <v>0</v>
      </c>
      <c r="BC21">
        <f>Constants!$E$11</f>
        <v>0.2</v>
      </c>
      <c r="BD21">
        <f t="shared" si="2"/>
        <v>0</v>
      </c>
      <c r="BE21">
        <f t="shared" si="3"/>
        <v>1.4228999999999995E-2</v>
      </c>
      <c r="BF21">
        <f t="shared" si="4"/>
        <v>0</v>
      </c>
      <c r="BG21">
        <f t="shared" si="11"/>
        <v>1.4228999999999995E-2</v>
      </c>
      <c r="BH21">
        <f>(($BD21*Q21)+($BE21*V21)+($BF21*AA21))*AV21*$AH21*Constants!$I$2</f>
        <v>2.3630430412799991E-5</v>
      </c>
      <c r="BI21">
        <f>(($BD21*R21)+($BE21*W21)+($BF21*AB21))*AW21*$AH21*Constants!$I$2</f>
        <v>1.0425189887999997E-5</v>
      </c>
      <c r="BJ21">
        <f>(($BD21*S21)+($BE21*X21)+($BF21*AC21))*AX21*$AH21*Constants!$I$2</f>
        <v>0</v>
      </c>
      <c r="BK21">
        <f>(($BD21*T21)+($BE21*Y21)+($BF21*AD21))*AY21*$AH21*Constants!$I$2</f>
        <v>0</v>
      </c>
      <c r="BL21">
        <f>(($BD21*U21)+($BE21*Z21)+($BF21*AE21))*AZ21*$AH21*Constants!$I$2</f>
        <v>0</v>
      </c>
      <c r="BM21">
        <f t="shared" si="12"/>
        <v>8.7423849268107237</v>
      </c>
      <c r="BN21">
        <f t="shared" si="13"/>
        <v>3.8569345265341428</v>
      </c>
      <c r="BO21">
        <f t="shared" si="14"/>
        <v>0</v>
      </c>
      <c r="BP21">
        <f t="shared" si="15"/>
        <v>0</v>
      </c>
      <c r="BQ21">
        <f t="shared" si="16"/>
        <v>0</v>
      </c>
      <c r="BR21">
        <f t="shared" si="17"/>
        <v>12.599319453344867</v>
      </c>
      <c r="BS21" s="12">
        <f t="shared" si="18"/>
        <v>33.312486355102301</v>
      </c>
    </row>
    <row r="22" spans="1:72" s="11" customFormat="1" x14ac:dyDescent="0.2">
      <c r="A22" s="11" t="str">
        <f>'Input Scenarios'!A19</f>
        <v>TAS</v>
      </c>
      <c r="B22" s="11">
        <f>'Input Scenarios'!B19</f>
        <v>0</v>
      </c>
      <c r="C22" s="11" t="str">
        <f>'Input Scenarios'!C19</f>
        <v>Irrigated pasture</v>
      </c>
      <c r="D22" s="11" t="str">
        <f>'Input Scenarios'!D19</f>
        <v>wet</v>
      </c>
      <c r="E22" s="11" t="b">
        <f>'Input Scenarios'!E19</f>
        <v>1</v>
      </c>
      <c r="F22" s="11" t="str">
        <f>'Input Scenarios'!F19</f>
        <v>meatOther</v>
      </c>
      <c r="G22" s="11">
        <f>'Input Scenarios'!G19</f>
        <v>3333</v>
      </c>
      <c r="H22" s="11">
        <f>'Input Scenarios'!H19</f>
        <v>111</v>
      </c>
      <c r="I22">
        <f>IF('Input Scenarios'!I19&lt;&gt;"", 'Input Scenarios'!I19,_xlfn.XLOOKUP($F22,Constants!$A$2:$A$5,Constants!B$2:B$5))</f>
        <v>9.2999999999999999E-2</v>
      </c>
      <c r="J22">
        <f>IF('Input Scenarios'!J19&lt;&gt;"", 'Input Scenarios'!J19,_xlfn.XLOOKUP($F22,Constants!$A$2:$A$5,Constants!C$2:C$5))</f>
        <v>0.8</v>
      </c>
      <c r="K22">
        <f>IF('Input Scenarios'!K19&lt;&gt;"", 'Input Scenarios'!K19,_xlfn.XLOOKUP($F22,Constants!$A$2:$A$5,Constants!D$2:D$5))</f>
        <v>0.23</v>
      </c>
      <c r="L22">
        <f>IF('Input Scenarios'!L19&lt;&gt;"", 'Input Scenarios'!L19,_xlfn.XLOOKUP($F22,Constants!$A$2:$A$5,Constants!E$2:E$5))</f>
        <v>0.47</v>
      </c>
      <c r="M22" s="11">
        <f>'Input Scenarios'!M19</f>
        <v>0</v>
      </c>
      <c r="N22" s="11">
        <f>'Input Scenarios'!N19</f>
        <v>0.9</v>
      </c>
      <c r="O22" s="11">
        <f>'Input Scenarios'!O19</f>
        <v>0</v>
      </c>
      <c r="P22" s="11">
        <f>'Input Scenarios'!P19</f>
        <v>0.1</v>
      </c>
      <c r="Q22" s="11">
        <f>'Input Scenarios'!Q19</f>
        <v>0.34</v>
      </c>
      <c r="R22" s="11">
        <f>'Input Scenarios'!R19</f>
        <v>0.6</v>
      </c>
      <c r="S22" s="11">
        <f>'Input Scenarios'!S19</f>
        <v>0</v>
      </c>
      <c r="T22" s="11">
        <f>'Input Scenarios'!T19</f>
        <v>0</v>
      </c>
      <c r="U22" s="11">
        <f>'Input Scenarios'!U19</f>
        <v>0.06</v>
      </c>
      <c r="V22" s="11">
        <f>'Input Scenarios'!V19</f>
        <v>0.34</v>
      </c>
      <c r="W22" s="11">
        <f>'Input Scenarios'!W19</f>
        <v>0.6</v>
      </c>
      <c r="X22" s="11">
        <f>'Input Scenarios'!X19</f>
        <v>0</v>
      </c>
      <c r="Y22" s="11">
        <f>'Input Scenarios'!Y19</f>
        <v>0</v>
      </c>
      <c r="Z22" s="11">
        <f>'Input Scenarios'!Z19</f>
        <v>0.06</v>
      </c>
      <c r="AA22" s="11">
        <f>'Input Scenarios'!AA19</f>
        <v>0.34</v>
      </c>
      <c r="AB22" s="11">
        <f>'Input Scenarios'!AB19</f>
        <v>0.6</v>
      </c>
      <c r="AC22" s="11">
        <f>'Input Scenarios'!AC19</f>
        <v>0</v>
      </c>
      <c r="AD22" s="11">
        <f>'Input Scenarios'!AD19</f>
        <v>0</v>
      </c>
      <c r="AE22" s="11">
        <f>'Input Scenarios'!AE19</f>
        <v>0.06</v>
      </c>
      <c r="AF22">
        <f t="shared" si="0"/>
        <v>1.5809999999999994E-2</v>
      </c>
      <c r="AG22" s="11">
        <f>IF(F22="", "",_xlfn.XLOOKUP(F22,Constants!$A$2:$A$5,Constants!F$2:F$5))</f>
        <v>0.15</v>
      </c>
      <c r="AH22" s="11">
        <f>IF(F22="", "",_xlfn.XLOOKUP(F22,Constants!$A$2:$A$5,Constants!G$2:G$5))</f>
        <v>0.36</v>
      </c>
      <c r="AI22" s="11">
        <f>_xlfn.XLOOKUP($A22, Constants!$F$8:$M$8,Constants!$F$9:$M$9)</f>
        <v>1.4999999999999999E-2</v>
      </c>
      <c r="AJ22" s="11">
        <f>_xlfn.XLOOKUP($A22, Constants!$F$8:$M$8,Constants!$F$10:$M$10)</f>
        <v>1.4999999999999999E-2</v>
      </c>
      <c r="AK22" s="11">
        <f>_xlfn.XLOOKUP($A22, Constants!$F$8:$M$8,Constants!$F$11:$M$11)</f>
        <v>1.4999999999999999E-2</v>
      </c>
      <c r="AL22" s="11">
        <f>_xlfn.XLOOKUP($A22, Constants!$F$8:$M$8,Constants!$F$16:$M$16)</f>
        <v>0.01</v>
      </c>
      <c r="AM22" s="12">
        <f>$AF22*$AH22*M22*AI22*Constants!$I$2</f>
        <v>0</v>
      </c>
      <c r="AN22" s="12">
        <f>$AF22*$AH22*N22*AJ22*Constants!$I$2</f>
        <v>5.2125949439999981E-5</v>
      </c>
      <c r="AO22" s="12">
        <f>$AF22*$AH22*O22*AK22*Constants!$I$2</f>
        <v>0</v>
      </c>
      <c r="AP22" s="12">
        <f>$AF22*$AH22*P22*AL22*Constants!$I$2</f>
        <v>3.8611814399999991E-6</v>
      </c>
      <c r="AQ22" s="16">
        <f t="shared" si="6"/>
        <v>0</v>
      </c>
      <c r="AR22" s="16">
        <f t="shared" si="7"/>
        <v>19.284672632670713</v>
      </c>
      <c r="AS22" s="16">
        <f t="shared" si="8"/>
        <v>0</v>
      </c>
      <c r="AT22" s="16">
        <f t="shared" si="9"/>
        <v>1.4284942690867197</v>
      </c>
      <c r="AU22" s="16">
        <f t="shared" si="10"/>
        <v>20.713166901757432</v>
      </c>
      <c r="AV22" s="11">
        <f>_xlfn.XLOOKUP($A22, Constants!$F$8:$M$8,Constants!$F$12:$M$12)</f>
        <v>0.02</v>
      </c>
      <c r="AW22" s="11">
        <f>_xlfn.XLOOKUP($A22, Constants!$F$8:$M$8,Constants!$F$13:$M$13)</f>
        <v>5.0000000000000001E-3</v>
      </c>
      <c r="AX22" s="11">
        <f>_xlfn.XLOOKUP($A22, Constants!$F$8:$M$8,Constants!$F$15:$M$15)</f>
        <v>0.1</v>
      </c>
      <c r="AY22" s="11">
        <f>_xlfn.XLOOKUP($A22, Constants!$F$8:$M$8,Constants!$F$14:$M$14)</f>
        <v>0</v>
      </c>
      <c r="AZ22" s="11">
        <f>_xlfn.XLOOKUP($A22, Constants!$F$8:$M$8,Constants!$F$17:$M$17)</f>
        <v>0</v>
      </c>
      <c r="BA22" s="11">
        <f>Constants!$E$9</f>
        <v>0.15</v>
      </c>
      <c r="BB22" s="11">
        <f>Constants!$E$10</f>
        <v>0</v>
      </c>
      <c r="BC22" s="11">
        <f>Constants!$E$11</f>
        <v>0.2</v>
      </c>
      <c r="BD22" s="11">
        <f t="shared" si="2"/>
        <v>0</v>
      </c>
      <c r="BE22" s="11">
        <f t="shared" si="3"/>
        <v>1.4228999999999995E-2</v>
      </c>
      <c r="BF22" s="11">
        <f t="shared" si="4"/>
        <v>0</v>
      </c>
      <c r="BG22" s="11">
        <f t="shared" si="11"/>
        <v>1.4228999999999995E-2</v>
      </c>
      <c r="BH22" s="11">
        <f>(($BD22*Q22)+($BE22*V22)+($BF22*AA22))*AV22*$AH22*Constants!$I$2</f>
        <v>2.3630430412799991E-5</v>
      </c>
      <c r="BI22" s="11">
        <f>(($BD22*R22)+($BE22*W22)+($BF22*AB22))*AW22*$AH22*Constants!$I$2</f>
        <v>1.0425189887999997E-5</v>
      </c>
      <c r="BJ22" s="11">
        <f>(($BD22*S22)+($BE22*X22)+($BF22*AC22))*AX22*$AH22*Constants!$I$2</f>
        <v>0</v>
      </c>
      <c r="BK22" s="11">
        <f>(($BD22*T22)+($BE22*Y22)+($BF22*AD22))*AY22*$AH22*Constants!$I$2</f>
        <v>0</v>
      </c>
      <c r="BL22" s="11">
        <f>(($BD22*U22)+($BE22*Z22)+($BF22*AE22))*AZ22*$AH22*Constants!$I$2</f>
        <v>0</v>
      </c>
      <c r="BM22">
        <f t="shared" si="12"/>
        <v>8.7423849268107237</v>
      </c>
      <c r="BN22">
        <f t="shared" si="13"/>
        <v>3.8569345265341428</v>
      </c>
      <c r="BO22">
        <f t="shared" si="14"/>
        <v>0</v>
      </c>
      <c r="BP22">
        <f t="shared" si="15"/>
        <v>0</v>
      </c>
      <c r="BQ22">
        <f t="shared" si="16"/>
        <v>0</v>
      </c>
      <c r="BR22">
        <f t="shared" si="17"/>
        <v>12.599319453344867</v>
      </c>
      <c r="BS22" s="12">
        <f t="shared" si="18"/>
        <v>33.312486355102301</v>
      </c>
    </row>
    <row r="23" spans="1:72" x14ac:dyDescent="0.2">
      <c r="A23" t="str">
        <f>'Input Scenarios'!A20</f>
        <v>NT</v>
      </c>
      <c r="B23">
        <f>'Input Scenarios'!B20</f>
        <v>0</v>
      </c>
      <c r="C23" t="str">
        <f>'Input Scenarios'!C20</f>
        <v>Non-irrigated crop (high rainfall)</v>
      </c>
      <c r="D23" t="str">
        <f>'Input Scenarios'!D20</f>
        <v>dry</v>
      </c>
      <c r="E23" t="b">
        <f>'Input Scenarios'!E20</f>
        <v>0</v>
      </c>
      <c r="F23" t="str">
        <f>'Input Scenarios'!F20</f>
        <v>layers</v>
      </c>
      <c r="G23">
        <f>'Input Scenarios'!G20</f>
        <v>1234</v>
      </c>
      <c r="H23">
        <f>'Input Scenarios'!H20</f>
        <v>150</v>
      </c>
      <c r="I23">
        <f>IF('Input Scenarios'!I20&lt;&gt;"", 'Input Scenarios'!I20,_xlfn.XLOOKUP($F23,Constants!$A$2:$A$5,Constants!B$2:B$5))</f>
        <v>8.5999999999999993E-2</v>
      </c>
      <c r="J23">
        <f>IF('Input Scenarios'!J20&lt;&gt;"", 'Input Scenarios'!J20,_xlfn.XLOOKUP($F23,Constants!$A$2:$A$5,Constants!C$2:C$5))</f>
        <v>0.8</v>
      </c>
      <c r="K23">
        <f>IF('Input Scenarios'!K20&lt;&gt;"", 'Input Scenarios'!K20,_xlfn.XLOOKUP($F23,Constants!$A$2:$A$5,Constants!D$2:D$5))</f>
        <v>0.19</v>
      </c>
      <c r="L23">
        <f>IF('Input Scenarios'!L20&lt;&gt;"", 'Input Scenarios'!L20,_xlfn.XLOOKUP($F23,Constants!$A$2:$A$5,Constants!E$2:E$5))</f>
        <v>0.35</v>
      </c>
      <c r="M23">
        <f>'Input Scenarios'!M20</f>
        <v>0.1</v>
      </c>
      <c r="N23">
        <f>'Input Scenarios'!N20</f>
        <v>0</v>
      </c>
      <c r="O23">
        <f>'Input Scenarios'!O20</f>
        <v>0</v>
      </c>
      <c r="P23">
        <f>'Input Scenarios'!P20</f>
        <v>0.9</v>
      </c>
      <c r="Q23">
        <f>'Input Scenarios'!Q20</f>
        <v>0.5</v>
      </c>
      <c r="R23">
        <f>'Input Scenarios'!R20</f>
        <v>0.25</v>
      </c>
      <c r="S23">
        <f>'Input Scenarios'!S20</f>
        <v>0.25</v>
      </c>
      <c r="T23">
        <f>'Input Scenarios'!T20</f>
        <v>0</v>
      </c>
      <c r="U23">
        <f>'Input Scenarios'!U20</f>
        <v>0</v>
      </c>
      <c r="V23">
        <f>'Input Scenarios'!V20</f>
        <v>0.5</v>
      </c>
      <c r="W23">
        <f>'Input Scenarios'!W20</f>
        <v>0.25</v>
      </c>
      <c r="X23">
        <f>'Input Scenarios'!X20</f>
        <v>0.25</v>
      </c>
      <c r="Y23">
        <f>'Input Scenarios'!Y20</f>
        <v>0</v>
      </c>
      <c r="Z23">
        <f>'Input Scenarios'!Z20</f>
        <v>0</v>
      </c>
      <c r="AA23">
        <f>'Input Scenarios'!AA20</f>
        <v>0.5</v>
      </c>
      <c r="AB23">
        <f>'Input Scenarios'!AB20</f>
        <v>0.25</v>
      </c>
      <c r="AC23">
        <f>'Input Scenarios'!AC20</f>
        <v>0.25</v>
      </c>
      <c r="AD23">
        <f>'Input Scenarios'!AD20</f>
        <v>0</v>
      </c>
      <c r="AE23">
        <f>'Input Scenarios'!AE20</f>
        <v>0</v>
      </c>
      <c r="AF23">
        <f t="shared" si="0"/>
        <v>1.4103999999999995E-2</v>
      </c>
      <c r="AG23">
        <f>IF(F23="", "",_xlfn.XLOOKUP(F23,Constants!$A$2:$A$5,Constants!F$2:F$5))</f>
        <v>0.18</v>
      </c>
      <c r="AH23">
        <f>IF(F23="", "",_xlfn.XLOOKUP(F23,Constants!$A$2:$A$5,Constants!G$2:G$5))</f>
        <v>0.39</v>
      </c>
      <c r="AI23">
        <f>_xlfn.XLOOKUP($A23, Constants!$F$8:$M$8,Constants!$F$9:$M$9)</f>
        <v>1.4999999999999999E-2</v>
      </c>
      <c r="AJ23">
        <f>_xlfn.XLOOKUP($A23, Constants!$F$8:$M$8,Constants!$F$10:$M$10)</f>
        <v>1.4999999999999999E-2</v>
      </c>
      <c r="AK23">
        <f>_xlfn.XLOOKUP($A23, Constants!$F$8:$M$8,Constants!$F$11:$M$11)</f>
        <v>1.4999999999999999E-2</v>
      </c>
      <c r="AL23">
        <f>_xlfn.XLOOKUP($A23, Constants!$F$8:$M$8,Constants!$F$16:$M$16)</f>
        <v>0.03</v>
      </c>
      <c r="AM23" s="12">
        <f>$AF23*$AH23*M23*AI23*Constants!$I$2</f>
        <v>5.5973698559999982E-6</v>
      </c>
      <c r="AN23" s="12">
        <f>$AF23*$AH23*N23*AJ23*Constants!$I$2</f>
        <v>0</v>
      </c>
      <c r="AO23" s="12">
        <f>$AF23*$AH23*O23*AK23*Constants!$I$2</f>
        <v>0</v>
      </c>
      <c r="AP23" s="12">
        <f>$AF23*$AH23*P23*AL23*Constants!$I$2</f>
        <v>1.0075265740799997E-4</v>
      </c>
      <c r="AQ23" s="12">
        <f t="shared" si="6"/>
        <v>1.0360731603455997</v>
      </c>
      <c r="AR23" s="12">
        <f t="shared" si="7"/>
        <v>0</v>
      </c>
      <c r="AS23" s="12">
        <f t="shared" si="8"/>
        <v>0</v>
      </c>
      <c r="AT23" s="12">
        <f t="shared" si="9"/>
        <v>18.649316886220795</v>
      </c>
      <c r="AU23" s="12">
        <f t="shared" si="10"/>
        <v>19.685390046566393</v>
      </c>
      <c r="AV23">
        <f>_xlfn.XLOOKUP($A23, Constants!$F$8:$M$8,Constants!$F$12:$M$12)</f>
        <v>0.02</v>
      </c>
      <c r="AW23">
        <f>_xlfn.XLOOKUP($A23, Constants!$F$8:$M$8,Constants!$F$13:$M$13)</f>
        <v>0.01</v>
      </c>
      <c r="AX23">
        <f>_xlfn.XLOOKUP($A23, Constants!$F$8:$M$8,Constants!$F$15:$M$15)</f>
        <v>0.1</v>
      </c>
      <c r="AY23">
        <f>_xlfn.XLOOKUP($A23, Constants!$F$8:$M$8,Constants!$F$14:$M$14)</f>
        <v>0</v>
      </c>
      <c r="AZ23">
        <f>_xlfn.XLOOKUP($A23, Constants!$F$8:$M$8,Constants!$F$17:$M$17)</f>
        <v>0</v>
      </c>
      <c r="BA23">
        <f>Constants!$E$9</f>
        <v>0.15</v>
      </c>
      <c r="BB23">
        <f>Constants!$E$10</f>
        <v>0</v>
      </c>
      <c r="BC23">
        <f>Constants!$E$11</f>
        <v>0.2</v>
      </c>
      <c r="BD23">
        <f t="shared" si="2"/>
        <v>1.1988399999999996E-3</v>
      </c>
      <c r="BE23">
        <f t="shared" si="3"/>
        <v>0</v>
      </c>
      <c r="BF23">
        <f t="shared" si="4"/>
        <v>0</v>
      </c>
      <c r="BG23">
        <f t="shared" si="11"/>
        <v>1.1988399999999996E-3</v>
      </c>
      <c r="BH23">
        <f>(($BD23*Q23)+($BE23*V23)+($BF23*AA23))*AV23*$AH23*Constants!$I$2</f>
        <v>3.1718429183999993E-6</v>
      </c>
      <c r="BI23">
        <f>(($BD23*R23)+($BE23*W23)+($BF23*AB23))*AW23*$AH23*Constants!$I$2</f>
        <v>7.9296072959999984E-7</v>
      </c>
      <c r="BJ23">
        <f>(($BD23*S23)+($BE23*X23)+($BF23*AC23))*AX23*$AH23*Constants!$I$2</f>
        <v>7.9296072959999971E-6</v>
      </c>
      <c r="BK23">
        <f>(($BD23*T23)+($BE23*Y23)+($BF23*AD23))*AY23*$AH23*Constants!$I$2</f>
        <v>0</v>
      </c>
      <c r="BL23">
        <f>(($BD23*U23)+($BE23*Z23)+($BF23*AE23))*AZ23*$AH23*Constants!$I$2</f>
        <v>0</v>
      </c>
      <c r="BM23">
        <f t="shared" si="12"/>
        <v>0.58710812419583991</v>
      </c>
      <c r="BN23">
        <f t="shared" si="13"/>
        <v>0.14677703104895998</v>
      </c>
      <c r="BO23">
        <f t="shared" si="14"/>
        <v>1.4677703104895994</v>
      </c>
      <c r="BP23">
        <f t="shared" si="15"/>
        <v>0</v>
      </c>
      <c r="BQ23">
        <f t="shared" si="16"/>
        <v>0</v>
      </c>
      <c r="BR23">
        <f t="shared" si="17"/>
        <v>2.2016554657343992</v>
      </c>
      <c r="BS23" s="12">
        <f t="shared" si="18"/>
        <v>21.887045512300794</v>
      </c>
      <c r="BT23">
        <f>SUM(BS23:BS26)/1000</f>
        <v>9.1378582134278366E-2</v>
      </c>
    </row>
    <row r="24" spans="1:72" x14ac:dyDescent="0.2">
      <c r="A24" t="str">
        <f>'Input Scenarios'!A21</f>
        <v>NT</v>
      </c>
      <c r="B24">
        <f>'Input Scenarios'!B21</f>
        <v>0</v>
      </c>
      <c r="C24" t="str">
        <f>'Input Scenarios'!C21</f>
        <v>Non-irrigated crop (high rainfall)</v>
      </c>
      <c r="D24" t="str">
        <f>'Input Scenarios'!D21</f>
        <v>dry</v>
      </c>
      <c r="E24" t="b">
        <f>'Input Scenarios'!E21</f>
        <v>0</v>
      </c>
      <c r="F24" t="str">
        <f>'Input Scenarios'!F21</f>
        <v>meatChickenBreeder</v>
      </c>
      <c r="G24">
        <f>'Input Scenarios'!G21</f>
        <v>1234</v>
      </c>
      <c r="H24">
        <f>'Input Scenarios'!H21</f>
        <v>150</v>
      </c>
      <c r="I24">
        <f>IF('Input Scenarios'!I21&lt;&gt;"", 'Input Scenarios'!I21,_xlfn.XLOOKUP($F24,Constants!$A$2:$A$5,Constants!B$2:B$5))</f>
        <v>0.10299999999999999</v>
      </c>
      <c r="J24">
        <f>IF('Input Scenarios'!J21&lt;&gt;"", 'Input Scenarios'!J21,_xlfn.XLOOKUP($F24,Constants!$A$2:$A$5,Constants!C$2:C$5))</f>
        <v>0.8</v>
      </c>
      <c r="K24">
        <f>IF('Input Scenarios'!K21&lt;&gt;"", 'Input Scenarios'!K21,_xlfn.XLOOKUP($F24,Constants!$A$2:$A$5,Constants!D$2:D$5))</f>
        <v>0.19</v>
      </c>
      <c r="L24">
        <f>IF('Input Scenarios'!L21&lt;&gt;"", 'Input Scenarios'!L21,_xlfn.XLOOKUP($F24,Constants!$A$2:$A$5,Constants!E$2:E$5))</f>
        <v>0.32</v>
      </c>
      <c r="M24">
        <f>'Input Scenarios'!M21</f>
        <v>0.1</v>
      </c>
      <c r="N24">
        <f>'Input Scenarios'!N21</f>
        <v>0</v>
      </c>
      <c r="O24">
        <f>'Input Scenarios'!O21</f>
        <v>0</v>
      </c>
      <c r="P24">
        <f>'Input Scenarios'!P21</f>
        <v>0.9</v>
      </c>
      <c r="Q24">
        <f>'Input Scenarios'!Q21</f>
        <v>0.5</v>
      </c>
      <c r="R24">
        <f>'Input Scenarios'!R21</f>
        <v>0.25</v>
      </c>
      <c r="S24">
        <f>'Input Scenarios'!S21</f>
        <v>0.25</v>
      </c>
      <c r="T24">
        <f>'Input Scenarios'!T21</f>
        <v>0</v>
      </c>
      <c r="U24">
        <f>'Input Scenarios'!U21</f>
        <v>0</v>
      </c>
      <c r="V24">
        <f>'Input Scenarios'!V21</f>
        <v>0.5</v>
      </c>
      <c r="W24">
        <f>'Input Scenarios'!W21</f>
        <v>0.25</v>
      </c>
      <c r="X24">
        <f>'Input Scenarios'!X21</f>
        <v>0.25</v>
      </c>
      <c r="Y24">
        <f>'Input Scenarios'!Y21</f>
        <v>0</v>
      </c>
      <c r="Z24">
        <f>'Input Scenarios'!Z21</f>
        <v>0</v>
      </c>
      <c r="AA24">
        <f>'Input Scenarios'!AA21</f>
        <v>0.5</v>
      </c>
      <c r="AB24">
        <f>'Input Scenarios'!AB21</f>
        <v>0.25</v>
      </c>
      <c r="AC24">
        <f>'Input Scenarios'!AC21</f>
        <v>0.25</v>
      </c>
      <c r="AD24">
        <f>'Input Scenarios'!AD21</f>
        <v>0</v>
      </c>
      <c r="AE24">
        <f>'Input Scenarios'!AE21</f>
        <v>0</v>
      </c>
      <c r="AF24">
        <f t="shared" si="0"/>
        <v>1.6891999999999997E-2</v>
      </c>
      <c r="AG24">
        <f>IF(F24="", "",_xlfn.XLOOKUP(F24,Constants!$A$2:$A$5,Constants!F$2:F$5))</f>
        <v>0.18</v>
      </c>
      <c r="AH24">
        <f>IF(F24="", "",_xlfn.XLOOKUP(F24,Constants!$A$2:$A$5,Constants!G$2:G$5))</f>
        <v>0.36</v>
      </c>
      <c r="AI24">
        <f>_xlfn.XLOOKUP($A24, Constants!$F$8:$M$8,Constants!$F$9:$M$9)</f>
        <v>1.4999999999999999E-2</v>
      </c>
      <c r="AJ24">
        <f>_xlfn.XLOOKUP($A24, Constants!$F$8:$M$8,Constants!$F$10:$M$10)</f>
        <v>1.4999999999999999E-2</v>
      </c>
      <c r="AK24">
        <f>_xlfn.XLOOKUP($A24, Constants!$F$8:$M$8,Constants!$F$11:$M$11)</f>
        <v>1.4999999999999999E-2</v>
      </c>
      <c r="AL24">
        <f>_xlfn.XLOOKUP($A24, Constants!$F$8:$M$8,Constants!$F$16:$M$16)</f>
        <v>0.03</v>
      </c>
      <c r="AM24" s="12">
        <f>$AF24*$AH24*M24*AI24*Constants!$I$2</f>
        <v>6.1881477119999995E-6</v>
      </c>
      <c r="AN24" s="12">
        <f>$AF24*$AH24*N24*AJ24*Constants!$I$2</f>
        <v>0</v>
      </c>
      <c r="AO24" s="12">
        <f>$AF24*$AH24*O24*AK24*Constants!$I$2</f>
        <v>0</v>
      </c>
      <c r="AP24" s="12">
        <f>$AF24*$AH24*P24*AL24*Constants!$I$2</f>
        <v>1.1138665881599997E-4</v>
      </c>
      <c r="AQ24" s="12">
        <f t="shared" si="6"/>
        <v>1.1454261414911999</v>
      </c>
      <c r="AR24" s="12">
        <f t="shared" si="7"/>
        <v>0</v>
      </c>
      <c r="AS24" s="12">
        <f t="shared" si="8"/>
        <v>0</v>
      </c>
      <c r="AT24" s="12">
        <f t="shared" si="9"/>
        <v>20.617670546841595</v>
      </c>
      <c r="AU24" s="12">
        <f t="shared" si="10"/>
        <v>21.763096688332794</v>
      </c>
      <c r="AV24">
        <f>_xlfn.XLOOKUP($A24, Constants!$F$8:$M$8,Constants!$F$12:$M$12)</f>
        <v>0.02</v>
      </c>
      <c r="AW24">
        <f>_xlfn.XLOOKUP($A24, Constants!$F$8:$M$8,Constants!$F$13:$M$13)</f>
        <v>0.01</v>
      </c>
      <c r="AX24">
        <f>_xlfn.XLOOKUP($A24, Constants!$F$8:$M$8,Constants!$F$15:$M$15)</f>
        <v>0.1</v>
      </c>
      <c r="AY24">
        <f>_xlfn.XLOOKUP($A24, Constants!$F$8:$M$8,Constants!$F$14:$M$14)</f>
        <v>0</v>
      </c>
      <c r="AZ24">
        <f>_xlfn.XLOOKUP($A24, Constants!$F$8:$M$8,Constants!$F$17:$M$17)</f>
        <v>0</v>
      </c>
      <c r="BA24">
        <f>Constants!$E$9</f>
        <v>0.15</v>
      </c>
      <c r="BB24">
        <f>Constants!$E$10</f>
        <v>0</v>
      </c>
      <c r="BC24">
        <f>Constants!$E$11</f>
        <v>0.2</v>
      </c>
      <c r="BD24">
        <f t="shared" si="2"/>
        <v>1.4358199999999998E-3</v>
      </c>
      <c r="BE24">
        <f t="shared" si="3"/>
        <v>0</v>
      </c>
      <c r="BF24">
        <f t="shared" si="4"/>
        <v>0</v>
      </c>
      <c r="BG24">
        <f t="shared" si="11"/>
        <v>1.4358199999999998E-3</v>
      </c>
      <c r="BH24">
        <f>(($BD24*Q24)+($BE24*V24)+($BF24*AA24))*AV24*$AH24*Constants!$I$2</f>
        <v>3.5066170367999993E-6</v>
      </c>
      <c r="BI24">
        <f>(($BD24*R24)+($BE24*W24)+($BF24*AB24))*AW24*$AH24*Constants!$I$2</f>
        <v>8.7665425919999983E-7</v>
      </c>
      <c r="BJ24">
        <f>(($BD24*S24)+($BE24*X24)+($BF24*AC24))*AX24*$AH24*Constants!$I$2</f>
        <v>8.7665425919999985E-6</v>
      </c>
      <c r="BK24">
        <f>(($BD24*T24)+($BE24*Y24)+($BF24*AD24))*AY24*$AH24*Constants!$I$2</f>
        <v>0</v>
      </c>
      <c r="BL24">
        <f>(($BD24*U24)+($BE24*Z24)+($BF24*AE24))*AZ24*$AH24*Constants!$I$2</f>
        <v>0</v>
      </c>
      <c r="BM24">
        <f t="shared" si="12"/>
        <v>0.64907481351167984</v>
      </c>
      <c r="BN24">
        <f t="shared" si="13"/>
        <v>0.16226870337791996</v>
      </c>
      <c r="BO24">
        <f t="shared" si="14"/>
        <v>1.6226870337791997</v>
      </c>
      <c r="BP24">
        <f t="shared" si="15"/>
        <v>0</v>
      </c>
      <c r="BQ24">
        <f t="shared" si="16"/>
        <v>0</v>
      </c>
      <c r="BR24">
        <f t="shared" si="17"/>
        <v>2.4340305506687994</v>
      </c>
      <c r="BS24" s="12">
        <f t="shared" si="18"/>
        <v>24.197127239001595</v>
      </c>
    </row>
    <row r="25" spans="1:72" x14ac:dyDescent="0.2">
      <c r="A25" t="str">
        <f>'Input Scenarios'!A22</f>
        <v>NT</v>
      </c>
      <c r="B25">
        <f>'Input Scenarios'!B22</f>
        <v>0</v>
      </c>
      <c r="C25" t="str">
        <f>'Input Scenarios'!C22</f>
        <v>Non-irrigated crop (high rainfall)</v>
      </c>
      <c r="D25" t="str">
        <f>'Input Scenarios'!D22</f>
        <v>dry</v>
      </c>
      <c r="E25" t="b">
        <f>'Input Scenarios'!E22</f>
        <v>0</v>
      </c>
      <c r="F25" t="str">
        <f>'Input Scenarios'!F22</f>
        <v>meatChickenGrowers</v>
      </c>
      <c r="G25">
        <f>'Input Scenarios'!G22</f>
        <v>1234</v>
      </c>
      <c r="H25">
        <f>'Input Scenarios'!H22</f>
        <v>150</v>
      </c>
      <c r="I25">
        <f>IF('Input Scenarios'!I22&lt;&gt;"", 'Input Scenarios'!I22,_xlfn.XLOOKUP($F25,Constants!$A$2:$A$5,Constants!B$2:B$5))</f>
        <v>9.2999999999999999E-2</v>
      </c>
      <c r="J25">
        <f>IF('Input Scenarios'!J22&lt;&gt;"", 'Input Scenarios'!J22,_xlfn.XLOOKUP($F25,Constants!$A$2:$A$5,Constants!C$2:C$5))</f>
        <v>0.8</v>
      </c>
      <c r="K25">
        <f>IF('Input Scenarios'!K22&lt;&gt;"", 'Input Scenarios'!K22,_xlfn.XLOOKUP($F25,Constants!$A$2:$A$5,Constants!D$2:D$5))</f>
        <v>0.23</v>
      </c>
      <c r="L25">
        <f>IF('Input Scenarios'!L22&lt;&gt;"", 'Input Scenarios'!L22,_xlfn.XLOOKUP($F25,Constants!$A$2:$A$5,Constants!E$2:E$5))</f>
        <v>0.47</v>
      </c>
      <c r="M25">
        <f>'Input Scenarios'!M22</f>
        <v>0.1</v>
      </c>
      <c r="N25">
        <f>'Input Scenarios'!N22</f>
        <v>0</v>
      </c>
      <c r="O25">
        <f>'Input Scenarios'!O22</f>
        <v>0</v>
      </c>
      <c r="P25">
        <f>'Input Scenarios'!P22</f>
        <v>0.9</v>
      </c>
      <c r="Q25">
        <f>'Input Scenarios'!Q22</f>
        <v>0.5</v>
      </c>
      <c r="R25">
        <f>'Input Scenarios'!R22</f>
        <v>0.25</v>
      </c>
      <c r="S25">
        <f>'Input Scenarios'!S22</f>
        <v>0.25</v>
      </c>
      <c r="T25">
        <f>'Input Scenarios'!T22</f>
        <v>0</v>
      </c>
      <c r="U25">
        <f>'Input Scenarios'!U22</f>
        <v>0</v>
      </c>
      <c r="V25">
        <f>'Input Scenarios'!V22</f>
        <v>0.5</v>
      </c>
      <c r="W25">
        <f>'Input Scenarios'!W22</f>
        <v>0.25</v>
      </c>
      <c r="X25">
        <f>'Input Scenarios'!X22</f>
        <v>0.25</v>
      </c>
      <c r="Y25">
        <f>'Input Scenarios'!Y22</f>
        <v>0</v>
      </c>
      <c r="Z25">
        <f>'Input Scenarios'!Z22</f>
        <v>0</v>
      </c>
      <c r="AA25">
        <f>'Input Scenarios'!AA22</f>
        <v>0.5</v>
      </c>
      <c r="AB25">
        <f>'Input Scenarios'!AB22</f>
        <v>0.25</v>
      </c>
      <c r="AC25">
        <f>'Input Scenarios'!AC22</f>
        <v>0.25</v>
      </c>
      <c r="AD25">
        <f>'Input Scenarios'!AD22</f>
        <v>0</v>
      </c>
      <c r="AE25">
        <f>'Input Scenarios'!AE22</f>
        <v>0</v>
      </c>
      <c r="AF25">
        <f t="shared" si="0"/>
        <v>1.5809999999999994E-2</v>
      </c>
      <c r="AG25">
        <f>IF(F25="", "",_xlfn.XLOOKUP(F25,Constants!$A$2:$A$5,Constants!F$2:F$5))</f>
        <v>0.15</v>
      </c>
      <c r="AH25">
        <f>IF(F25="", "",_xlfn.XLOOKUP(F25,Constants!$A$2:$A$5,Constants!G$2:G$5))</f>
        <v>0.36</v>
      </c>
      <c r="AI25">
        <f>_xlfn.XLOOKUP($A25, Constants!$F$8:$M$8,Constants!$F$9:$M$9)</f>
        <v>1.4999999999999999E-2</v>
      </c>
      <c r="AJ25">
        <f>_xlfn.XLOOKUP($A25, Constants!$F$8:$M$8,Constants!$F$10:$M$10)</f>
        <v>1.4999999999999999E-2</v>
      </c>
      <c r="AK25">
        <f>_xlfn.XLOOKUP($A25, Constants!$F$8:$M$8,Constants!$F$11:$M$11)</f>
        <v>1.4999999999999999E-2</v>
      </c>
      <c r="AL25">
        <f>_xlfn.XLOOKUP($A25, Constants!$F$8:$M$8,Constants!$F$16:$M$16)</f>
        <v>0.03</v>
      </c>
      <c r="AM25" s="12">
        <f>$AF25*$AH25*M25*AI25*Constants!$I$2</f>
        <v>5.7917721599999983E-6</v>
      </c>
      <c r="AN25" s="12">
        <f>$AF25*$AH25*N25*AJ25*Constants!$I$2</f>
        <v>0</v>
      </c>
      <c r="AO25" s="12">
        <f>$AF25*$AH25*O25*AK25*Constants!$I$2</f>
        <v>0</v>
      </c>
      <c r="AP25" s="12">
        <f>$AF25*$AH25*P25*AL25*Constants!$I$2</f>
        <v>1.0425189887999996E-4</v>
      </c>
      <c r="AQ25" s="12">
        <f t="shared" si="6"/>
        <v>1.0720570268159997</v>
      </c>
      <c r="AR25" s="12">
        <f t="shared" si="7"/>
        <v>0</v>
      </c>
      <c r="AS25" s="12">
        <f t="shared" si="8"/>
        <v>0</v>
      </c>
      <c r="AT25" s="12">
        <f t="shared" si="9"/>
        <v>19.29702648268799</v>
      </c>
      <c r="AU25" s="12">
        <f t="shared" si="10"/>
        <v>20.369083509503991</v>
      </c>
      <c r="AV25">
        <f>_xlfn.XLOOKUP($A25, Constants!$F$8:$M$8,Constants!$F$12:$M$12)</f>
        <v>0.02</v>
      </c>
      <c r="AW25">
        <f>_xlfn.XLOOKUP($A25, Constants!$F$8:$M$8,Constants!$F$13:$M$13)</f>
        <v>0.01</v>
      </c>
      <c r="AX25">
        <f>_xlfn.XLOOKUP($A25, Constants!$F$8:$M$8,Constants!$F$15:$M$15)</f>
        <v>0.1</v>
      </c>
      <c r="AY25">
        <f>_xlfn.XLOOKUP($A25, Constants!$F$8:$M$8,Constants!$F$14:$M$14)</f>
        <v>0</v>
      </c>
      <c r="AZ25">
        <f>_xlfn.XLOOKUP($A25, Constants!$F$8:$M$8,Constants!$F$17:$M$17)</f>
        <v>0</v>
      </c>
      <c r="BA25">
        <f>Constants!$E$9</f>
        <v>0.15</v>
      </c>
      <c r="BB25">
        <f>Constants!$E$10</f>
        <v>0</v>
      </c>
      <c r="BC25">
        <f>Constants!$E$11</f>
        <v>0.2</v>
      </c>
      <c r="BD25">
        <f t="shared" si="2"/>
        <v>1.3438499999999995E-3</v>
      </c>
      <c r="BE25">
        <f t="shared" si="3"/>
        <v>0</v>
      </c>
      <c r="BF25">
        <f t="shared" si="4"/>
        <v>0</v>
      </c>
      <c r="BG25">
        <f t="shared" si="11"/>
        <v>1.3438499999999995E-3</v>
      </c>
      <c r="BH25">
        <f>(($BD25*Q25)+($BE25*V25)+($BF25*AA25))*AV25*$AH25*Constants!$I$2</f>
        <v>3.2820042239999985E-6</v>
      </c>
      <c r="BI25">
        <f>(($BD25*R25)+($BE25*W25)+($BF25*AB25))*AW25*$AH25*Constants!$I$2</f>
        <v>8.2050105599999962E-7</v>
      </c>
      <c r="BJ25">
        <f>(($BD25*S25)+($BE25*X25)+($BF25*AC25))*AX25*$AH25*Constants!$I$2</f>
        <v>8.2050105599999979E-6</v>
      </c>
      <c r="BK25">
        <f>(($BD25*T25)+($BE25*Y25)+($BF25*AD25))*AY25*$AH25*Constants!$I$2</f>
        <v>0</v>
      </c>
      <c r="BL25">
        <f>(($BD25*U25)+($BE25*Z25)+($BF25*AE25))*AZ25*$AH25*Constants!$I$2</f>
        <v>0</v>
      </c>
      <c r="BM25">
        <f t="shared" si="12"/>
        <v>0.6074989818623997</v>
      </c>
      <c r="BN25">
        <f t="shared" si="13"/>
        <v>0.15187474546559993</v>
      </c>
      <c r="BO25">
        <f t="shared" si="14"/>
        <v>1.5187474546559996</v>
      </c>
      <c r="BP25">
        <f t="shared" si="15"/>
        <v>0</v>
      </c>
      <c r="BQ25">
        <f t="shared" si="16"/>
        <v>0</v>
      </c>
      <c r="BR25">
        <f t="shared" si="17"/>
        <v>2.278121181983999</v>
      </c>
      <c r="BS25" s="12">
        <f t="shared" si="18"/>
        <v>22.647204691487989</v>
      </c>
    </row>
    <row r="26" spans="1:72" s="11" customFormat="1" x14ac:dyDescent="0.2">
      <c r="A26" s="11" t="str">
        <f>'Input Scenarios'!A23</f>
        <v>NT</v>
      </c>
      <c r="B26" s="11">
        <f>'Input Scenarios'!B23</f>
        <v>0</v>
      </c>
      <c r="C26" s="11" t="str">
        <f>'Input Scenarios'!C23</f>
        <v>Non-irrigated crop (high rainfall)</v>
      </c>
      <c r="D26" s="11" t="str">
        <f>'Input Scenarios'!D23</f>
        <v>dry</v>
      </c>
      <c r="E26" s="11" t="b">
        <f>'Input Scenarios'!E23</f>
        <v>0</v>
      </c>
      <c r="F26" s="11" t="str">
        <f>'Input Scenarios'!F23</f>
        <v>meatOther</v>
      </c>
      <c r="G26" s="11">
        <f>'Input Scenarios'!G23</f>
        <v>1234</v>
      </c>
      <c r="H26" s="11">
        <f>'Input Scenarios'!H23</f>
        <v>150</v>
      </c>
      <c r="I26">
        <f>IF('Input Scenarios'!I23&lt;&gt;"", 'Input Scenarios'!I23,_xlfn.XLOOKUP($F26,Constants!$A$2:$A$5,Constants!B$2:B$5))</f>
        <v>9.2999999999999999E-2</v>
      </c>
      <c r="J26">
        <f>IF('Input Scenarios'!J23&lt;&gt;"", 'Input Scenarios'!J23,_xlfn.XLOOKUP($F26,Constants!$A$2:$A$5,Constants!C$2:C$5))</f>
        <v>0.8</v>
      </c>
      <c r="K26">
        <f>IF('Input Scenarios'!K23&lt;&gt;"", 'Input Scenarios'!K23,_xlfn.XLOOKUP($F26,Constants!$A$2:$A$5,Constants!D$2:D$5))</f>
        <v>0.23</v>
      </c>
      <c r="L26">
        <f>IF('Input Scenarios'!L23&lt;&gt;"", 'Input Scenarios'!L23,_xlfn.XLOOKUP($F26,Constants!$A$2:$A$5,Constants!E$2:E$5))</f>
        <v>0.47</v>
      </c>
      <c r="M26" s="11">
        <f>'Input Scenarios'!M23</f>
        <v>0.1</v>
      </c>
      <c r="N26" s="11">
        <f>'Input Scenarios'!N23</f>
        <v>0</v>
      </c>
      <c r="O26" s="11">
        <f>'Input Scenarios'!O23</f>
        <v>0</v>
      </c>
      <c r="P26" s="11">
        <f>'Input Scenarios'!P23</f>
        <v>0.9</v>
      </c>
      <c r="Q26" s="11">
        <f>'Input Scenarios'!Q23</f>
        <v>0.5</v>
      </c>
      <c r="R26" s="11">
        <f>'Input Scenarios'!R23</f>
        <v>0.25</v>
      </c>
      <c r="S26" s="11">
        <f>'Input Scenarios'!S23</f>
        <v>0.25</v>
      </c>
      <c r="T26" s="11">
        <f>'Input Scenarios'!T23</f>
        <v>0</v>
      </c>
      <c r="U26" s="11">
        <f>'Input Scenarios'!U23</f>
        <v>0</v>
      </c>
      <c r="V26" s="11">
        <f>'Input Scenarios'!V23</f>
        <v>0.5</v>
      </c>
      <c r="W26" s="11">
        <f>'Input Scenarios'!W23</f>
        <v>0.25</v>
      </c>
      <c r="X26" s="11">
        <f>'Input Scenarios'!X23</f>
        <v>0.25</v>
      </c>
      <c r="Y26" s="11">
        <f>'Input Scenarios'!Y23</f>
        <v>0</v>
      </c>
      <c r="Z26" s="11">
        <f>'Input Scenarios'!Z23</f>
        <v>0</v>
      </c>
      <c r="AA26" s="11">
        <f>'Input Scenarios'!AA23</f>
        <v>0.5</v>
      </c>
      <c r="AB26" s="11">
        <f>'Input Scenarios'!AB23</f>
        <v>0.25</v>
      </c>
      <c r="AC26" s="11">
        <f>'Input Scenarios'!AC23</f>
        <v>0.25</v>
      </c>
      <c r="AD26" s="11">
        <f>'Input Scenarios'!AD23</f>
        <v>0</v>
      </c>
      <c r="AE26" s="11">
        <f>'Input Scenarios'!AE23</f>
        <v>0</v>
      </c>
      <c r="AF26">
        <f t="shared" si="0"/>
        <v>1.5809999999999994E-2</v>
      </c>
      <c r="AG26" s="11">
        <f>IF(F26="", "",_xlfn.XLOOKUP(F26,Constants!$A$2:$A$5,Constants!F$2:F$5))</f>
        <v>0.15</v>
      </c>
      <c r="AH26" s="11">
        <f>IF(F26="", "",_xlfn.XLOOKUP(F26,Constants!$A$2:$A$5,Constants!G$2:G$5))</f>
        <v>0.36</v>
      </c>
      <c r="AI26" s="11">
        <f>_xlfn.XLOOKUP($A26, Constants!$F$8:$M$8,Constants!$F$9:$M$9)</f>
        <v>1.4999999999999999E-2</v>
      </c>
      <c r="AJ26" s="11">
        <f>_xlfn.XLOOKUP($A26, Constants!$F$8:$M$8,Constants!$F$10:$M$10)</f>
        <v>1.4999999999999999E-2</v>
      </c>
      <c r="AK26" s="11">
        <f>_xlfn.XLOOKUP($A26, Constants!$F$8:$M$8,Constants!$F$11:$M$11)</f>
        <v>1.4999999999999999E-2</v>
      </c>
      <c r="AL26" s="11">
        <f>_xlfn.XLOOKUP($A26, Constants!$F$8:$M$8,Constants!$F$16:$M$16)</f>
        <v>0.03</v>
      </c>
      <c r="AM26" s="12">
        <f>$AF26*$AH26*M26*AI26*Constants!$I$2</f>
        <v>5.7917721599999983E-6</v>
      </c>
      <c r="AN26" s="12">
        <f>$AF26*$AH26*N26*AJ26*Constants!$I$2</f>
        <v>0</v>
      </c>
      <c r="AO26" s="12">
        <f>$AF26*$AH26*O26*AK26*Constants!$I$2</f>
        <v>0</v>
      </c>
      <c r="AP26" s="12">
        <f>$AF26*$AH26*P26*AL26*Constants!$I$2</f>
        <v>1.0425189887999996E-4</v>
      </c>
      <c r="AQ26" s="16">
        <f t="shared" si="6"/>
        <v>1.0720570268159997</v>
      </c>
      <c r="AR26" s="16">
        <f t="shared" si="7"/>
        <v>0</v>
      </c>
      <c r="AS26" s="16">
        <f t="shared" si="8"/>
        <v>0</v>
      </c>
      <c r="AT26" s="16">
        <f t="shared" si="9"/>
        <v>19.29702648268799</v>
      </c>
      <c r="AU26" s="16">
        <f t="shared" si="10"/>
        <v>20.369083509503991</v>
      </c>
      <c r="AV26" s="11">
        <f>_xlfn.XLOOKUP($A26, Constants!$F$8:$M$8,Constants!$F$12:$M$12)</f>
        <v>0.02</v>
      </c>
      <c r="AW26" s="11">
        <f>_xlfn.XLOOKUP($A26, Constants!$F$8:$M$8,Constants!$F$13:$M$13)</f>
        <v>0.01</v>
      </c>
      <c r="AX26" s="11">
        <f>_xlfn.XLOOKUP($A26, Constants!$F$8:$M$8,Constants!$F$15:$M$15)</f>
        <v>0.1</v>
      </c>
      <c r="AY26" s="11">
        <f>_xlfn.XLOOKUP($A26, Constants!$F$8:$M$8,Constants!$F$14:$M$14)</f>
        <v>0</v>
      </c>
      <c r="AZ26" s="11">
        <f>_xlfn.XLOOKUP($A26, Constants!$F$8:$M$8,Constants!$F$17:$M$17)</f>
        <v>0</v>
      </c>
      <c r="BA26" s="11">
        <f>Constants!$E$9</f>
        <v>0.15</v>
      </c>
      <c r="BB26" s="11">
        <f>Constants!$E$10</f>
        <v>0</v>
      </c>
      <c r="BC26" s="11">
        <f>Constants!$E$11</f>
        <v>0.2</v>
      </c>
      <c r="BD26" s="11">
        <f t="shared" si="2"/>
        <v>1.3438499999999995E-3</v>
      </c>
      <c r="BE26" s="11">
        <f t="shared" si="3"/>
        <v>0</v>
      </c>
      <c r="BF26" s="11">
        <f t="shared" si="4"/>
        <v>0</v>
      </c>
      <c r="BG26" s="11">
        <f t="shared" si="11"/>
        <v>1.3438499999999995E-3</v>
      </c>
      <c r="BH26" s="11">
        <f>(($BD26*Q26)+($BE26*V26)+($BF26*AA26))*AV26*$AH26*Constants!$I$2</f>
        <v>3.2820042239999985E-6</v>
      </c>
      <c r="BI26" s="11">
        <f>(($BD26*R26)+($BE26*W26)+($BF26*AB26))*AW26*$AH26*Constants!$I$2</f>
        <v>8.2050105599999962E-7</v>
      </c>
      <c r="BJ26" s="11">
        <f>(($BD26*S26)+($BE26*X26)+($BF26*AC26))*AX26*$AH26*Constants!$I$2</f>
        <v>8.2050105599999979E-6</v>
      </c>
      <c r="BK26" s="11">
        <f>(($BD26*T26)+($BE26*Y26)+($BF26*AD26))*AY26*$AH26*Constants!$I$2</f>
        <v>0</v>
      </c>
      <c r="BL26" s="11">
        <f>(($BD26*U26)+($BE26*Z26)+($BF26*AE26))*AZ26*$AH26*Constants!$I$2</f>
        <v>0</v>
      </c>
      <c r="BM26">
        <f t="shared" si="12"/>
        <v>0.6074989818623997</v>
      </c>
      <c r="BN26">
        <f t="shared" si="13"/>
        <v>0.15187474546559993</v>
      </c>
      <c r="BO26">
        <f t="shared" si="14"/>
        <v>1.5187474546559996</v>
      </c>
      <c r="BP26">
        <f t="shared" si="15"/>
        <v>0</v>
      </c>
      <c r="BQ26">
        <f t="shared" si="16"/>
        <v>0</v>
      </c>
      <c r="BR26">
        <f>SUM(BM26:BQ26)</f>
        <v>2.278121181983999</v>
      </c>
      <c r="BS26" s="12">
        <f t="shared" si="18"/>
        <v>22.647204691487989</v>
      </c>
    </row>
    <row r="27" spans="1:72" x14ac:dyDescent="0.2">
      <c r="AF27" t="str">
        <f>IF(F27="", "",I27*(1-#REF!)*(1-AG27))</f>
        <v/>
      </c>
      <c r="AG27" t="str">
        <f>IF(F27="", "",_xlfn.XLOOKUP(F27,Constants!$A$2:$A$5,Constants!F$2:F$5))</f>
        <v/>
      </c>
      <c r="AH27" t="str">
        <f>IF(F27="", "",_xlfn.XLOOKUP(F27,Constants!$A$2:$A$5,Constants!G$2:G$5))</f>
        <v/>
      </c>
      <c r="AP27" t="str">
        <f>IF(ISBLANK(M27),"",$AF$26*$AH$26*N27*AI27*Constants!$I$2)</f>
        <v/>
      </c>
      <c r="AU27" t="str">
        <f>IF(ISBLANK(G27), "", $G$26*AK27*$H$26)</f>
        <v/>
      </c>
      <c r="AZ27" t="str">
        <f>IF(ISBLANK(M27), "", $G$26*AP27*$H$26)</f>
        <v/>
      </c>
      <c r="BA27" t="str">
        <f>IF(OR(ISBLANK(M27), M27="pastureRangeAndPaddock"), "",_xlfn.XLOOKUP(M27,Constants!$B$9:$B$17,Constants!$E$9:$E$17))</f>
        <v/>
      </c>
      <c r="BF27" t="str">
        <f>IF(OR(ISBLANK(M27), M27="pastureRangeAndPaddock"), "",$AF$21*N27*(1-BA27))</f>
        <v/>
      </c>
      <c r="BG27" t="str">
        <f>IF(F27="", "",SUM(BF27:BF29))</f>
        <v/>
      </c>
      <c r="BT27" t="str">
        <f>IF(F27="", "", SUM(AZ27:AZ30,BQ27:BQ31)/1000)</f>
        <v/>
      </c>
    </row>
    <row r="28" spans="1:72" x14ac:dyDescent="0.2">
      <c r="AF28" t="str">
        <f>IF(F28="", "",I28*(1-#REF!)*(1-AG28))</f>
        <v/>
      </c>
      <c r="AG28" t="str">
        <f>IF(F28="", "",_xlfn.XLOOKUP(F28,Constants!$A$2:$A$5,Constants!F$2:F$5))</f>
        <v/>
      </c>
      <c r="AH28" t="str">
        <f>IF(F28="", "",_xlfn.XLOOKUP(F28,Constants!$A$2:$A$5,Constants!G$2:G$5))</f>
        <v/>
      </c>
      <c r="AP28" t="str">
        <f>IF(ISBLANK(M28),"",$AF$26*$AH$26*N28*AI28*Constants!$I$2)</f>
        <v/>
      </c>
      <c r="AU28" t="str">
        <f>IF(ISBLANK(G28), "", $G$26*AK28*$H$26)</f>
        <v/>
      </c>
      <c r="AZ28" t="str">
        <f>IF(ISBLANK(M28), "", $G$26*AP28*$H$26)</f>
        <v/>
      </c>
      <c r="BA28" t="str">
        <f>IF(OR(ISBLANK(M28), M28="pastureRangeAndPaddock"), "",_xlfn.XLOOKUP(M28,Constants!$B$9:$B$17,Constants!$E$9:$E$17))</f>
        <v/>
      </c>
      <c r="BF28" t="str">
        <f>IF(OR(ISBLANK(M28), M28="pastureRangeAndPaddock"), "",$AF$21*N28*(1-BA28))</f>
        <v/>
      </c>
      <c r="BG28" t="str">
        <f>IF(F28="", "",SUM(BF28:BF30))</f>
        <v/>
      </c>
      <c r="BT28" t="str">
        <f>IF(F28="", "", SUM(AZ28:AZ31,BF28:BF32)/1000)</f>
        <v/>
      </c>
    </row>
    <row r="29" spans="1:72" x14ac:dyDescent="0.2">
      <c r="AF29" t="str">
        <f>IF(F29="", "",I29*(1-#REF!)*(1-AG29))</f>
        <v/>
      </c>
      <c r="AG29" t="str">
        <f>IF(F29="", "",_xlfn.XLOOKUP(F29,Constants!$A$2:$A$5,Constants!F$2:F$5))</f>
        <v/>
      </c>
      <c r="AH29" t="str">
        <f>IF(F29="", "",_xlfn.XLOOKUP(F29,Constants!$A$2:$A$5,Constants!G$2:G$5))</f>
        <v/>
      </c>
      <c r="AP29" t="str">
        <f>IF(ISBLANK(M29),"",$AF$26*$AH$26*N29*AI29*Constants!$I$2)</f>
        <v/>
      </c>
      <c r="AU29" t="str">
        <f>IF(ISBLANK(G29), "", $G$26*AK29*$H$26)</f>
        <v/>
      </c>
      <c r="AZ29" t="str">
        <f>IF(ISBLANK(M29), "", $G$26*AP29*$H$26)</f>
        <v/>
      </c>
      <c r="BA29" t="str">
        <f>IF(OR(ISBLANK(M29), M29="pastureRangeAndPaddock"), "",_xlfn.XLOOKUP(M29,Constants!$B$9:$B$17,Constants!$E$9:$E$17))</f>
        <v/>
      </c>
      <c r="BF29" t="str">
        <f>IF(OR(ISBLANK(M29), M29="pastureRangeAndPaddock"), "",$AF$21*N29*(1-BA29))</f>
        <v/>
      </c>
      <c r="BG29" t="str">
        <f>IF(F29="", "",SUM(BF29:BF31))</f>
        <v/>
      </c>
      <c r="BT29" t="str">
        <f>IF(F29="", "", SUM(AL29:AL32,BF29:BF33)/1000)</f>
        <v/>
      </c>
    </row>
    <row r="30" spans="1:72" x14ac:dyDescent="0.2">
      <c r="AF30" t="str">
        <f>IF(F30="", "",I30*(1-#REF!)*(1-AG30))</f>
        <v/>
      </c>
      <c r="AG30" t="str">
        <f>IF(F30="", "",_xlfn.XLOOKUP(F30,Constants!$A$2:$A$5,Constants!F$2:F$5))</f>
        <v/>
      </c>
      <c r="AH30" t="str">
        <f>IF(F30="", "",_xlfn.XLOOKUP(F30,Constants!$A$2:$A$5,Constants!G$2:G$5))</f>
        <v/>
      </c>
      <c r="AP30" t="str">
        <f>IF(ISBLANK(M30),"",$AF$26*$AH$26*N30*AI30*Constants!$I$2)</f>
        <v/>
      </c>
      <c r="AU30" t="str">
        <f>IF(ISBLANK(G30), "", $G$26*AK30*$H$26)</f>
        <v/>
      </c>
      <c r="AZ30" t="str">
        <f>IF(ISBLANK(M30), "", $G$26*AP30*$H$26)</f>
        <v/>
      </c>
      <c r="BA30" t="str">
        <f>IF(OR(ISBLANK(M30), M30="pastureRangeAndPaddock"), "",_xlfn.XLOOKUP(M30,Constants!$B$9:$B$17,Constants!$E$9:$E$17))</f>
        <v/>
      </c>
      <c r="BF30" t="str">
        <f>IF(OR(ISBLANK(M30), M30="pastureRangeAndPaddock"), "",$AF$21*N30*(1-BA30))</f>
        <v/>
      </c>
      <c r="BG30" t="str">
        <f>IF(F30="", "",SUM(AP30:AP32))</f>
        <v/>
      </c>
      <c r="BT30" t="str">
        <f>IF(F30="", "", SUM(AL30:AL33,BF30:BF34)/1000)</f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B877-EC51-EA41-A5C7-94C73F209A65}">
  <dimension ref="A2:BT30"/>
  <sheetViews>
    <sheetView topLeftCell="C1" workbookViewId="0">
      <selection activeCell="AM15" sqref="AM15"/>
    </sheetView>
  </sheetViews>
  <sheetFormatPr baseColWidth="10" defaultRowHeight="16" x14ac:dyDescent="0.2"/>
  <cols>
    <col min="6" max="6" width="20" customWidth="1"/>
    <col min="37" max="37" width="24" customWidth="1"/>
    <col min="39" max="39" width="14.1640625" customWidth="1"/>
    <col min="40" max="40" width="13.6640625" customWidth="1"/>
    <col min="41" max="41" width="14.1640625" customWidth="1"/>
    <col min="42" max="46" width="14.83203125" customWidth="1"/>
    <col min="47" max="47" width="12.6640625" bestFit="1" customWidth="1"/>
    <col min="48" max="51" width="16.33203125" customWidth="1"/>
    <col min="53" max="53" width="12.1640625" bestFit="1" customWidth="1"/>
    <col min="54" max="57" width="12.1640625" customWidth="1"/>
    <col min="60" max="60" width="12.1640625" bestFit="1" customWidth="1"/>
    <col min="69" max="69" width="12.1640625" bestFit="1" customWidth="1"/>
    <col min="70" max="70" width="12.1640625" customWidth="1"/>
    <col min="71" max="71" width="15.1640625" customWidth="1"/>
  </cols>
  <sheetData>
    <row r="2" spans="1:72" x14ac:dyDescent="0.2">
      <c r="A2" t="s">
        <v>30</v>
      </c>
    </row>
    <row r="4" spans="1:72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K4" t="s">
        <v>48</v>
      </c>
      <c r="L4" t="s">
        <v>48</v>
      </c>
      <c r="M4" t="s">
        <v>1</v>
      </c>
      <c r="N4" t="s">
        <v>1</v>
      </c>
      <c r="O4" t="s">
        <v>1</v>
      </c>
      <c r="P4" t="s">
        <v>1</v>
      </c>
      <c r="AF4" t="s">
        <v>53</v>
      </c>
      <c r="AG4" t="s">
        <v>48</v>
      </c>
      <c r="AH4" t="s">
        <v>48</v>
      </c>
      <c r="AI4" t="s">
        <v>48</v>
      </c>
      <c r="AO4" t="s">
        <v>48</v>
      </c>
      <c r="AP4" t="s">
        <v>53</v>
      </c>
      <c r="AU4" t="s">
        <v>94</v>
      </c>
      <c r="AZ4" t="s">
        <v>94</v>
      </c>
      <c r="BA4" t="s">
        <v>48</v>
      </c>
      <c r="BF4" t="s">
        <v>94</v>
      </c>
      <c r="BG4" t="s">
        <v>53</v>
      </c>
      <c r="BL4" t="s">
        <v>53</v>
      </c>
      <c r="BQ4" t="s">
        <v>94</v>
      </c>
      <c r="BT4" t="s">
        <v>53</v>
      </c>
    </row>
    <row r="5" spans="1:72" x14ac:dyDescent="0.2">
      <c r="L5" t="s">
        <v>0</v>
      </c>
      <c r="AF5" t="s">
        <v>49</v>
      </c>
      <c r="AG5" t="s">
        <v>0</v>
      </c>
      <c r="AH5" t="s">
        <v>0</v>
      </c>
      <c r="AP5" t="s">
        <v>79</v>
      </c>
    </row>
    <row r="6" spans="1:72" x14ac:dyDescent="0.2">
      <c r="AP6" t="s">
        <v>78</v>
      </c>
      <c r="BD6" t="s">
        <v>82</v>
      </c>
      <c r="BH6" t="s">
        <v>84</v>
      </c>
      <c r="BT6" t="s">
        <v>87</v>
      </c>
    </row>
    <row r="8" spans="1:72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44</v>
      </c>
      <c r="AG8" t="s">
        <v>43</v>
      </c>
      <c r="AH8" t="s">
        <v>47</v>
      </c>
    </row>
    <row r="10" spans="1:72" s="11" customFormat="1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4" t="s">
        <v>31</v>
      </c>
      <c r="AG10" s="14" t="s">
        <v>34</v>
      </c>
      <c r="AH10" s="14" t="s">
        <v>95</v>
      </c>
      <c r="AI10" s="14" t="s">
        <v>122</v>
      </c>
      <c r="AJ10" s="14" t="s">
        <v>123</v>
      </c>
      <c r="AK10" s="14" t="s">
        <v>124</v>
      </c>
      <c r="AL10" s="14" t="s">
        <v>125</v>
      </c>
      <c r="AM10" s="14" t="s">
        <v>126</v>
      </c>
      <c r="AN10" s="14" t="s">
        <v>127</v>
      </c>
      <c r="AO10" s="14" t="s">
        <v>128</v>
      </c>
      <c r="AP10" s="14" t="s">
        <v>129</v>
      </c>
      <c r="AQ10" s="14" t="s">
        <v>130</v>
      </c>
      <c r="AR10" s="14" t="s">
        <v>131</v>
      </c>
      <c r="AS10" s="14" t="s">
        <v>132</v>
      </c>
      <c r="AT10" s="14" t="s">
        <v>133</v>
      </c>
      <c r="AU10" s="15" t="s">
        <v>83</v>
      </c>
      <c r="AV10" s="14" t="s">
        <v>134</v>
      </c>
      <c r="AW10" s="14" t="s">
        <v>138</v>
      </c>
      <c r="AX10" s="14" t="s">
        <v>137</v>
      </c>
      <c r="AY10" s="14" t="s">
        <v>136</v>
      </c>
      <c r="AZ10" s="14" t="s">
        <v>135</v>
      </c>
      <c r="BA10" s="14" t="s">
        <v>139</v>
      </c>
      <c r="BB10" s="14" t="s">
        <v>140</v>
      </c>
      <c r="BC10" s="14" t="s">
        <v>141</v>
      </c>
      <c r="BD10" s="14" t="s">
        <v>144</v>
      </c>
      <c r="BE10" s="14" t="s">
        <v>145</v>
      </c>
      <c r="BF10" s="14" t="s">
        <v>146</v>
      </c>
      <c r="BG10" s="14" t="s">
        <v>147</v>
      </c>
      <c r="BH10" s="14" t="s">
        <v>148</v>
      </c>
      <c r="BI10" s="14" t="s">
        <v>152</v>
      </c>
      <c r="BJ10" s="14" t="s">
        <v>151</v>
      </c>
      <c r="BK10" s="14" t="s">
        <v>150</v>
      </c>
      <c r="BL10" s="14" t="s">
        <v>149</v>
      </c>
      <c r="BM10" s="14" t="s">
        <v>206</v>
      </c>
      <c r="BN10" s="14" t="s">
        <v>207</v>
      </c>
      <c r="BO10" s="18" t="s">
        <v>208</v>
      </c>
      <c r="BP10" s="14" t="s">
        <v>209</v>
      </c>
      <c r="BQ10" s="14" t="s">
        <v>210</v>
      </c>
      <c r="BR10" s="15" t="s">
        <v>85</v>
      </c>
      <c r="BS10" s="15" t="s">
        <v>153</v>
      </c>
      <c r="BT10" s="15" t="s">
        <v>86</v>
      </c>
    </row>
    <row r="11" spans="1:72" x14ac:dyDescent="0.2">
      <c r="A11" t="str">
        <f>'Input Scenarios'!A32</f>
        <v>NSW</v>
      </c>
      <c r="B11">
        <f>'Input Scenarios'!B32</f>
        <v>13</v>
      </c>
      <c r="C11" t="str">
        <f>'Input Scenarios'!C32</f>
        <v>Non-irrigated pasture</v>
      </c>
      <c r="D11" t="str">
        <f>'Input Scenarios'!D32</f>
        <v>wet</v>
      </c>
      <c r="E11" t="b">
        <f>'Input Scenarios'!E32</f>
        <v>1</v>
      </c>
      <c r="F11" t="str">
        <f>'Input Scenarios'!F32</f>
        <v>layers</v>
      </c>
      <c r="G11">
        <f>'Input Scenarios'!G32</f>
        <v>5000</v>
      </c>
      <c r="H11">
        <f>'Input Scenarios'!H32</f>
        <v>50</v>
      </c>
      <c r="I11">
        <f>IF('Input Scenarios'!I32&lt;&gt;"", 'Input Scenarios'!I32,_xlfn.XLOOKUP($F11,Constants!$A$2:$A$5,Constants!B$2:B$5))</f>
        <v>8.7999999999999995E-2</v>
      </c>
      <c r="J11">
        <f>IF('Input Scenarios'!J32&lt;&gt;"", 'Input Scenarios'!J32,_xlfn.XLOOKUP($F11,Constants!$A$2:$A$5,Constants!C$2:C$5))</f>
        <v>0.8</v>
      </c>
      <c r="K11">
        <f>IF('Input Scenarios'!K32&lt;&gt;"", 'Input Scenarios'!K32,_xlfn.XLOOKUP($F11,Constants!$A$2:$A$5,Constants!D$2:D$5))</f>
        <v>0.2</v>
      </c>
      <c r="L11">
        <f>IF('Input Scenarios'!L32&lt;&gt;"", 'Input Scenarios'!L32,_xlfn.XLOOKUP($F11,Constants!$A$2:$A$5,Constants!E$2:E$5))</f>
        <v>0.35</v>
      </c>
      <c r="M11">
        <f>'Input Scenarios'!M32</f>
        <v>0.1</v>
      </c>
      <c r="N11">
        <f>'Input Scenarios'!N32</f>
        <v>0.2</v>
      </c>
      <c r="O11">
        <f>'Input Scenarios'!O32</f>
        <v>0.3</v>
      </c>
      <c r="P11">
        <f>'Input Scenarios'!P32</f>
        <v>0.4</v>
      </c>
      <c r="Q11">
        <f>'Input Scenarios'!Q32</f>
        <v>0.5</v>
      </c>
      <c r="R11">
        <f>'Input Scenarios'!R32</f>
        <v>0.5</v>
      </c>
      <c r="S11">
        <f>'Input Scenarios'!S32</f>
        <v>0</v>
      </c>
      <c r="T11">
        <f>'Input Scenarios'!T32</f>
        <v>0</v>
      </c>
      <c r="U11">
        <f>'Input Scenarios'!U32</f>
        <v>0</v>
      </c>
      <c r="V11">
        <f>'Input Scenarios'!V32</f>
        <v>0</v>
      </c>
      <c r="W11">
        <f>'Input Scenarios'!W32</f>
        <v>0</v>
      </c>
      <c r="X11">
        <f>'Input Scenarios'!X32</f>
        <v>0.75</v>
      </c>
      <c r="Y11">
        <f>'Input Scenarios'!Y32</f>
        <v>0.25</v>
      </c>
      <c r="Z11">
        <f>'Input Scenarios'!Z32</f>
        <v>0</v>
      </c>
      <c r="AA11">
        <f>'Input Scenarios'!AA32</f>
        <v>0</v>
      </c>
      <c r="AB11">
        <f>'Input Scenarios'!AB32</f>
        <v>0</v>
      </c>
      <c r="AC11">
        <f>'Input Scenarios'!AC32</f>
        <v>0</v>
      </c>
      <c r="AD11">
        <f>'Input Scenarios'!AD32</f>
        <v>0</v>
      </c>
      <c r="AE11">
        <f>'Input Scenarios'!AE32</f>
        <v>1</v>
      </c>
      <c r="AF11">
        <f t="shared" ref="AF11:AF26" si="0">I11*(1-J11)*(1-AG11)</f>
        <v>1.4431999999999997E-2</v>
      </c>
      <c r="AG11">
        <f>IF(F11="", "",_xlfn.XLOOKUP(F11,Constants!$A$2:$A$5,Constants!F$2:F$5))</f>
        <v>0.18</v>
      </c>
      <c r="AH11">
        <f>IF(F11="", "",_xlfn.XLOOKUP(F11,Constants!$A$2:$A$5,Constants!G$2:G$5))</f>
        <v>0.39</v>
      </c>
      <c r="AI11">
        <f>_xlfn.XLOOKUP($B11, Constants!$D$21:$D$39,Constants!E$21:E$39)</f>
        <v>1.4999999999999999E-2</v>
      </c>
      <c r="AJ11">
        <f>_xlfn.XLOOKUP($B11, Constants!$D$21:$D$39,Constants!F$21:F$39)</f>
        <v>1.4999999999999999E-2</v>
      </c>
      <c r="AK11">
        <f>_xlfn.XLOOKUP($B11, Constants!$D$21:$D$39,Constants!G$21:G$39)</f>
        <v>1.4999999999999999E-2</v>
      </c>
      <c r="AL11">
        <f>_xlfn.XLOOKUP($A11, Constants!$F$8:$M$8,Constants!$F$16:$M$16)</f>
        <v>0.01</v>
      </c>
      <c r="AM11" s="12">
        <f>$AF11*$AH11*M11*AI11*Constants!$I$2</f>
        <v>5.7275412479999987E-6</v>
      </c>
      <c r="AN11" s="12">
        <f>$AF11*$AH11*N11*AJ11*Constants!$I$2</f>
        <v>1.1455082495999997E-5</v>
      </c>
      <c r="AO11" s="12">
        <f>$AF11*$AH11*O11*AK11*Constants!$I$2</f>
        <v>1.7182623743999998E-5</v>
      </c>
      <c r="AP11" s="12">
        <f>$AF11*$AH11*P11*AL11*Constants!$I$2</f>
        <v>1.5273443327999996E-5</v>
      </c>
      <c r="AQ11" s="12">
        <f>AM11*$G11*$H11</f>
        <v>1.4318853119999997</v>
      </c>
      <c r="AR11" s="12">
        <f t="shared" ref="AR11:AT26" si="1">AN11*$G11*$H11</f>
        <v>2.8637706239999994</v>
      </c>
      <c r="AS11" s="12">
        <f t="shared" si="1"/>
        <v>4.2956559359999993</v>
      </c>
      <c r="AT11" s="12">
        <f t="shared" si="1"/>
        <v>3.8183608319999993</v>
      </c>
      <c r="AU11" s="12">
        <f>SUM(AQ11:AT11)</f>
        <v>12.409672703999998</v>
      </c>
      <c r="AV11">
        <f>_xlfn.XLOOKUP($B11, Constants!$D$21:$D$39,Constants!H$21:H$39)</f>
        <v>0.02</v>
      </c>
      <c r="AW11">
        <f>_xlfn.XLOOKUP($B11, Constants!$D$21:$D$39,Constants!I$21:I$39)</f>
        <v>5.0000000000000001E-3</v>
      </c>
      <c r="AX11">
        <f>_xlfn.XLOOKUP($B11, Constants!$D$21:$D$39,Constants!J$21:J$39)</f>
        <v>0.1</v>
      </c>
      <c r="AY11">
        <f>_xlfn.XLOOKUP($B11, Constants!$D$21:$D$39,Constants!K$21:K$39)</f>
        <v>0</v>
      </c>
      <c r="AZ11">
        <f>_xlfn.XLOOKUP($B11, Constants!$D$21:$D$39,Constants!L$21:L$39)</f>
        <v>0</v>
      </c>
      <c r="BA11">
        <f>Constants!$E$9</f>
        <v>0.15</v>
      </c>
      <c r="BB11">
        <f>Constants!$E$10</f>
        <v>0</v>
      </c>
      <c r="BC11">
        <f>Constants!$E$11</f>
        <v>0.2</v>
      </c>
      <c r="BD11">
        <f t="shared" ref="BD11:BF26" si="2">$AF11*M11*(1-BA11)</f>
        <v>1.2267199999999997E-3</v>
      </c>
      <c r="BE11">
        <f t="shared" si="2"/>
        <v>2.8863999999999995E-3</v>
      </c>
      <c r="BF11">
        <f t="shared" si="2"/>
        <v>3.4636799999999989E-3</v>
      </c>
      <c r="BG11">
        <f>SUM(BD11:BF11)</f>
        <v>7.5767999999999981E-3</v>
      </c>
      <c r="BH11">
        <f>(($BD11*Q11)+($BE11*V11)+($BF11*AA11))*AV11*$AH11*Constants!$I$2</f>
        <v>3.2456067071999995E-6</v>
      </c>
      <c r="BI11">
        <f>(($BD11*R11)+($BE11*W11)+($BF11*AB11))*AW11*$AH11*Constants!$I$2</f>
        <v>8.1140167679999987E-7</v>
      </c>
      <c r="BJ11">
        <f>(($BD11*S11)+($BE11*X11)+($BF11*AC11))*AX11*$AH11*Constants!$I$2</f>
        <v>5.7275412479999995E-5</v>
      </c>
      <c r="BK11">
        <f>(($BD11*T11)+($BE11*Y11)+($BF11*AD11))*AY11*$AH11*Constants!$I$2</f>
        <v>0</v>
      </c>
      <c r="BL11">
        <f>(($BD11*U11)+($BE11*Z11)+($BF11*AE11))*AZ11*$AH11*Constants!$I$2</f>
        <v>0</v>
      </c>
      <c r="BM11">
        <f>$G11*$H11*BH11</f>
        <v>0.81140167679999986</v>
      </c>
      <c r="BN11">
        <f t="shared" ref="BN11:BQ26" si="3">$G11*$H11*BI11</f>
        <v>0.20285041919999997</v>
      </c>
      <c r="BO11">
        <f t="shared" si="3"/>
        <v>14.318853119999998</v>
      </c>
      <c r="BP11">
        <f t="shared" si="3"/>
        <v>0</v>
      </c>
      <c r="BQ11">
        <f t="shared" si="3"/>
        <v>0</v>
      </c>
      <c r="BR11">
        <f>SUM(BM11:BQ11)</f>
        <v>15.333105215999998</v>
      </c>
      <c r="BS11" s="12">
        <f>AU11+BR11</f>
        <v>27.742777919999995</v>
      </c>
      <c r="BT11">
        <f>SUM(BS11:BS14)/1000</f>
        <v>0.10812490991999998</v>
      </c>
    </row>
    <row r="12" spans="1:72" x14ac:dyDescent="0.2">
      <c r="A12" t="str">
        <f>'Input Scenarios'!A33</f>
        <v>NSW</v>
      </c>
      <c r="B12">
        <f>'Input Scenarios'!B33</f>
        <v>13</v>
      </c>
      <c r="C12" t="str">
        <f>'Input Scenarios'!C33</f>
        <v>Non-irrigated pasture</v>
      </c>
      <c r="D12" t="str">
        <f>'Input Scenarios'!D33</f>
        <v>wet</v>
      </c>
      <c r="E12" t="b">
        <f>'Input Scenarios'!E33</f>
        <v>1</v>
      </c>
      <c r="F12" t="str">
        <f>'Input Scenarios'!F33</f>
        <v>meatChickenBreeder</v>
      </c>
      <c r="G12">
        <f>'Input Scenarios'!G33</f>
        <v>5000</v>
      </c>
      <c r="H12">
        <f>'Input Scenarios'!H33</f>
        <v>50</v>
      </c>
      <c r="I12">
        <f>IF('Input Scenarios'!I33&lt;&gt;"", 'Input Scenarios'!I33,_xlfn.XLOOKUP($F12,Constants!$A$2:$A$5,Constants!B$2:B$5))</f>
        <v>0.1</v>
      </c>
      <c r="J12">
        <f>IF('Input Scenarios'!J33&lt;&gt;"", 'Input Scenarios'!J33,_xlfn.XLOOKUP($F12,Constants!$A$2:$A$5,Constants!C$2:C$5))</f>
        <v>0.8</v>
      </c>
      <c r="K12">
        <f>IF('Input Scenarios'!K33&lt;&gt;"", 'Input Scenarios'!K33,_xlfn.XLOOKUP($F12,Constants!$A$2:$A$5,Constants!D$2:D$5))</f>
        <v>0.19</v>
      </c>
      <c r="L12">
        <f>IF('Input Scenarios'!L33&lt;&gt;"", 'Input Scenarios'!L33,_xlfn.XLOOKUP($F12,Constants!$A$2:$A$5,Constants!E$2:E$5))</f>
        <v>0.32</v>
      </c>
      <c r="M12">
        <f>'Input Scenarios'!M33</f>
        <v>0.1</v>
      </c>
      <c r="N12">
        <f>'Input Scenarios'!N33</f>
        <v>0.2</v>
      </c>
      <c r="O12">
        <f>'Input Scenarios'!O33</f>
        <v>0.3</v>
      </c>
      <c r="P12">
        <f>'Input Scenarios'!P33</f>
        <v>0.4</v>
      </c>
      <c r="Q12">
        <f>'Input Scenarios'!Q33</f>
        <v>0.5</v>
      </c>
      <c r="R12">
        <f>'Input Scenarios'!R33</f>
        <v>0.5</v>
      </c>
      <c r="S12">
        <f>'Input Scenarios'!S33</f>
        <v>0</v>
      </c>
      <c r="T12">
        <f>'Input Scenarios'!T33</f>
        <v>0</v>
      </c>
      <c r="U12">
        <f>'Input Scenarios'!U33</f>
        <v>0</v>
      </c>
      <c r="V12">
        <f>'Input Scenarios'!V33</f>
        <v>0</v>
      </c>
      <c r="W12">
        <f>'Input Scenarios'!W33</f>
        <v>0</v>
      </c>
      <c r="X12">
        <f>'Input Scenarios'!X33</f>
        <v>0.75</v>
      </c>
      <c r="Y12">
        <f>'Input Scenarios'!Y33</f>
        <v>0.25</v>
      </c>
      <c r="Z12">
        <f>'Input Scenarios'!Z33</f>
        <v>0</v>
      </c>
      <c r="AA12">
        <f>'Input Scenarios'!AA33</f>
        <v>0</v>
      </c>
      <c r="AB12">
        <f>'Input Scenarios'!AB33</f>
        <v>0</v>
      </c>
      <c r="AC12">
        <f>'Input Scenarios'!AC33</f>
        <v>0</v>
      </c>
      <c r="AD12">
        <f>'Input Scenarios'!AD33</f>
        <v>0</v>
      </c>
      <c r="AE12">
        <f>'Input Scenarios'!AE33</f>
        <v>1</v>
      </c>
      <c r="AF12">
        <f t="shared" si="0"/>
        <v>1.6399999999999998E-2</v>
      </c>
      <c r="AG12">
        <f>IF(F12="", "",_xlfn.XLOOKUP(F12,Constants!$A$2:$A$5,Constants!F$2:F$5))</f>
        <v>0.18</v>
      </c>
      <c r="AH12">
        <f>IF(F12="", "",_xlfn.XLOOKUP(F12,Constants!$A$2:$A$5,Constants!G$2:G$5))</f>
        <v>0.36</v>
      </c>
      <c r="AI12">
        <f>_xlfn.XLOOKUP($B12, Constants!$D$21:$D$39,Constants!E$21:E$39)</f>
        <v>1.4999999999999999E-2</v>
      </c>
      <c r="AJ12">
        <f>_xlfn.XLOOKUP($B12, Constants!$D$21:$D$39,Constants!F$21:F$39)</f>
        <v>1.4999999999999999E-2</v>
      </c>
      <c r="AK12">
        <f>_xlfn.XLOOKUP($B12, Constants!$D$21:$D$39,Constants!G$21:G$39)</f>
        <v>1.4999999999999999E-2</v>
      </c>
      <c r="AL12">
        <f>_xlfn.XLOOKUP($A12, Constants!$F$8:$M$8,Constants!$F$16:$M$16)</f>
        <v>0.01</v>
      </c>
      <c r="AM12" s="12">
        <f>$AF12*$AH12*M12*AI12*Constants!$I$2</f>
        <v>6.0079103999999984E-6</v>
      </c>
      <c r="AN12" s="12">
        <f>$AF12*$AH12*N12*AJ12*Constants!$I$2</f>
        <v>1.2015820799999997E-5</v>
      </c>
      <c r="AO12" s="12">
        <f>$AF12*$AH12*O12*AK12*Constants!$I$2</f>
        <v>1.8023731199999993E-5</v>
      </c>
      <c r="AP12" s="12">
        <f>$AF12*$AH12*P12*AL12*Constants!$I$2</f>
        <v>1.6021094399999998E-5</v>
      </c>
      <c r="AQ12" s="12">
        <f t="shared" ref="AQ12:AQ26" si="4">AM12*$G12*$H12</f>
        <v>1.5019775999999996</v>
      </c>
      <c r="AR12" s="12">
        <f t="shared" si="1"/>
        <v>3.0039551999999992</v>
      </c>
      <c r="AS12" s="12">
        <f t="shared" si="1"/>
        <v>4.5059327999999983</v>
      </c>
      <c r="AT12" s="12">
        <f t="shared" si="1"/>
        <v>4.0052735999999998</v>
      </c>
      <c r="AU12" s="12">
        <f t="shared" ref="AU12:AU26" si="5">SUM(AQ12:AT12)</f>
        <v>13.017139199999995</v>
      </c>
      <c r="AV12">
        <f>_xlfn.XLOOKUP($B12, Constants!$D$21:$D$39,Constants!H$21:H$39)</f>
        <v>0.02</v>
      </c>
      <c r="AW12">
        <f>_xlfn.XLOOKUP($B12, Constants!$D$21:$D$39,Constants!I$21:I$39)</f>
        <v>5.0000000000000001E-3</v>
      </c>
      <c r="AX12">
        <f>_xlfn.XLOOKUP($B12, Constants!$D$21:$D$39,Constants!J$21:J$39)</f>
        <v>0.1</v>
      </c>
      <c r="AY12">
        <f>_xlfn.XLOOKUP($B12, Constants!$D$21:$D$39,Constants!K$21:K$39)</f>
        <v>0</v>
      </c>
      <c r="AZ12">
        <f>_xlfn.XLOOKUP($B12, Constants!$D$21:$D$39,Constants!L$21:L$39)</f>
        <v>0</v>
      </c>
      <c r="BA12">
        <f>Constants!$E$9</f>
        <v>0.15</v>
      </c>
      <c r="BB12">
        <f>Constants!$E$10</f>
        <v>0</v>
      </c>
      <c r="BC12">
        <f>Constants!$E$11</f>
        <v>0.2</v>
      </c>
      <c r="BD12">
        <f t="shared" si="2"/>
        <v>1.3939999999999998E-3</v>
      </c>
      <c r="BE12">
        <f t="shared" si="2"/>
        <v>3.2799999999999999E-3</v>
      </c>
      <c r="BF12">
        <f t="shared" si="2"/>
        <v>3.9359999999999994E-3</v>
      </c>
      <c r="BG12">
        <f t="shared" ref="BG12:BG26" si="6">SUM(BD12:BF12)</f>
        <v>8.6099999999999996E-3</v>
      </c>
      <c r="BH12">
        <f>(($BD12*Q12)+($BE12*V12)+($BF12*AA12))*AV12*$AH12*Constants!$I$2</f>
        <v>3.4044825599999996E-6</v>
      </c>
      <c r="BI12">
        <f>(($BD12*R12)+($BE12*W12)+($BF12*AB12))*AW12*$AH12*Constants!$I$2</f>
        <v>8.511206399999999E-7</v>
      </c>
      <c r="BJ12">
        <f>(($BD12*S12)+($BE12*X12)+($BF12*AC12))*AX12*$AH12*Constants!$I$2</f>
        <v>6.0079104000000003E-5</v>
      </c>
      <c r="BK12">
        <f>(($BD12*T12)+($BE12*Y12)+($BF12*AD12))*AY12*$AH12*Constants!$I$2</f>
        <v>0</v>
      </c>
      <c r="BL12">
        <f>(($BD12*U12)+($BE12*Z12)+($BF12*AE12))*AZ12*$AH12*Constants!$I$2</f>
        <v>0</v>
      </c>
      <c r="BM12">
        <f t="shared" ref="BM12:BM26" si="7">$G12*$H12*BH12</f>
        <v>0.85112063999999987</v>
      </c>
      <c r="BN12">
        <f t="shared" si="3"/>
        <v>0.21278015999999997</v>
      </c>
      <c r="BO12">
        <f t="shared" si="3"/>
        <v>15.019776</v>
      </c>
      <c r="BP12">
        <f t="shared" si="3"/>
        <v>0</v>
      </c>
      <c r="BQ12">
        <f t="shared" si="3"/>
        <v>0</v>
      </c>
      <c r="BR12">
        <f t="shared" ref="BR12:BR25" si="8">SUM(BM12:BQ12)</f>
        <v>16.083676799999999</v>
      </c>
      <c r="BS12" s="12">
        <f t="shared" ref="BS12:BS26" si="9">AU12+BR12</f>
        <v>29.100815999999995</v>
      </c>
    </row>
    <row r="13" spans="1:72" x14ac:dyDescent="0.2">
      <c r="A13" t="str">
        <f>'Input Scenarios'!A34</f>
        <v>NSW</v>
      </c>
      <c r="B13">
        <f>'Input Scenarios'!B34</f>
        <v>13</v>
      </c>
      <c r="C13" t="str">
        <f>'Input Scenarios'!C34</f>
        <v>Non-irrigated pasture</v>
      </c>
      <c r="D13" t="str">
        <f>'Input Scenarios'!D34</f>
        <v>wet</v>
      </c>
      <c r="E13" t="b">
        <f>'Input Scenarios'!E34</f>
        <v>1</v>
      </c>
      <c r="F13" t="str">
        <f>'Input Scenarios'!F34</f>
        <v>meatChickenGrowers</v>
      </c>
      <c r="G13">
        <f>'Input Scenarios'!G34</f>
        <v>5000</v>
      </c>
      <c r="H13">
        <f>'Input Scenarios'!H34</f>
        <v>50</v>
      </c>
      <c r="I13">
        <f>IF('Input Scenarios'!I34&lt;&gt;"", 'Input Scenarios'!I34,_xlfn.XLOOKUP($F13,Constants!$A$2:$A$5,Constants!B$2:B$5))</f>
        <v>0.09</v>
      </c>
      <c r="J13">
        <f>IF('Input Scenarios'!J34&lt;&gt;"", 'Input Scenarios'!J34,_xlfn.XLOOKUP($F13,Constants!$A$2:$A$5,Constants!C$2:C$5))</f>
        <v>0.8</v>
      </c>
      <c r="K13">
        <f>IF('Input Scenarios'!K34&lt;&gt;"", 'Input Scenarios'!K34,_xlfn.XLOOKUP($F13,Constants!$A$2:$A$5,Constants!D$2:D$5))</f>
        <v>0.25</v>
      </c>
      <c r="L13">
        <f>IF('Input Scenarios'!L34&lt;&gt;"", 'Input Scenarios'!L34,_xlfn.XLOOKUP($F13,Constants!$A$2:$A$5,Constants!E$2:E$5))</f>
        <v>0.47</v>
      </c>
      <c r="M13">
        <f>'Input Scenarios'!M34</f>
        <v>0.1</v>
      </c>
      <c r="N13">
        <f>'Input Scenarios'!N34</f>
        <v>0.2</v>
      </c>
      <c r="O13">
        <f>'Input Scenarios'!O34</f>
        <v>0.3</v>
      </c>
      <c r="P13">
        <f>'Input Scenarios'!P34</f>
        <v>0.4</v>
      </c>
      <c r="Q13">
        <f>'Input Scenarios'!Q34</f>
        <v>0.5</v>
      </c>
      <c r="R13">
        <f>'Input Scenarios'!R34</f>
        <v>0.5</v>
      </c>
      <c r="S13">
        <f>'Input Scenarios'!S34</f>
        <v>0</v>
      </c>
      <c r="T13">
        <f>'Input Scenarios'!T34</f>
        <v>0</v>
      </c>
      <c r="U13">
        <f>'Input Scenarios'!U34</f>
        <v>0</v>
      </c>
      <c r="V13">
        <f>'Input Scenarios'!V34</f>
        <v>0</v>
      </c>
      <c r="W13">
        <f>'Input Scenarios'!W34</f>
        <v>0</v>
      </c>
      <c r="X13">
        <f>'Input Scenarios'!X34</f>
        <v>0.75</v>
      </c>
      <c r="Y13">
        <f>'Input Scenarios'!Y34</f>
        <v>0.25</v>
      </c>
      <c r="Z13">
        <f>'Input Scenarios'!Z34</f>
        <v>0</v>
      </c>
      <c r="AA13">
        <f>'Input Scenarios'!AA34</f>
        <v>0</v>
      </c>
      <c r="AB13">
        <f>'Input Scenarios'!AB34</f>
        <v>0</v>
      </c>
      <c r="AC13">
        <f>'Input Scenarios'!AC34</f>
        <v>0</v>
      </c>
      <c r="AD13">
        <f>'Input Scenarios'!AD34</f>
        <v>0</v>
      </c>
      <c r="AE13">
        <f>'Input Scenarios'!AE34</f>
        <v>1</v>
      </c>
      <c r="AF13">
        <f t="shared" si="0"/>
        <v>1.5299999999999996E-2</v>
      </c>
      <c r="AG13">
        <f>IF(F13="", "",_xlfn.XLOOKUP(F13,Constants!$A$2:$A$5,Constants!F$2:F$5))</f>
        <v>0.15</v>
      </c>
      <c r="AH13">
        <f>IF(F13="", "",_xlfn.XLOOKUP(F13,Constants!$A$2:$A$5,Constants!G$2:G$5))</f>
        <v>0.36</v>
      </c>
      <c r="AI13">
        <f>_xlfn.XLOOKUP($B13, Constants!$D$21:$D$39,Constants!E$21:E$39)</f>
        <v>1.4999999999999999E-2</v>
      </c>
      <c r="AJ13">
        <f>_xlfn.XLOOKUP($B13, Constants!$D$21:$D$39,Constants!F$21:F$39)</f>
        <v>1.4999999999999999E-2</v>
      </c>
      <c r="AK13">
        <f>_xlfn.XLOOKUP($B13, Constants!$D$21:$D$39,Constants!G$21:G$39)</f>
        <v>1.4999999999999999E-2</v>
      </c>
      <c r="AL13">
        <f>_xlfn.XLOOKUP($A13, Constants!$F$8:$M$8,Constants!$F$16:$M$16)</f>
        <v>0.01</v>
      </c>
      <c r="AM13" s="12">
        <f>$AF13*$AH13*M13*AI13*Constants!$I$2</f>
        <v>5.6049407999999976E-6</v>
      </c>
      <c r="AN13" s="12">
        <f>$AF13*$AH13*N13*AJ13*Constants!$I$2</f>
        <v>1.1209881599999995E-5</v>
      </c>
      <c r="AO13" s="12">
        <f>$AF13*$AH13*O13*AK13*Constants!$I$2</f>
        <v>1.6814822399999994E-5</v>
      </c>
      <c r="AP13" s="12">
        <f>$AF13*$AH13*P13*AL13*Constants!$I$2</f>
        <v>1.4946508799999996E-5</v>
      </c>
      <c r="AQ13" s="12">
        <f t="shared" si="4"/>
        <v>1.4012351999999995</v>
      </c>
      <c r="AR13" s="12">
        <f t="shared" si="1"/>
        <v>2.8024703999999989</v>
      </c>
      <c r="AS13" s="12">
        <f t="shared" si="1"/>
        <v>4.2037055999999984</v>
      </c>
      <c r="AT13" s="12">
        <f t="shared" si="1"/>
        <v>3.7366271999999991</v>
      </c>
      <c r="AU13" s="12">
        <f t="shared" si="5"/>
        <v>12.144038399999996</v>
      </c>
      <c r="AV13">
        <f>_xlfn.XLOOKUP($B13, Constants!$D$21:$D$39,Constants!H$21:H$39)</f>
        <v>0.02</v>
      </c>
      <c r="AW13">
        <f>_xlfn.XLOOKUP($B13, Constants!$D$21:$D$39,Constants!I$21:I$39)</f>
        <v>5.0000000000000001E-3</v>
      </c>
      <c r="AX13">
        <f>_xlfn.XLOOKUP($B13, Constants!$D$21:$D$39,Constants!J$21:J$39)</f>
        <v>0.1</v>
      </c>
      <c r="AY13">
        <f>_xlfn.XLOOKUP($B13, Constants!$D$21:$D$39,Constants!K$21:K$39)</f>
        <v>0</v>
      </c>
      <c r="AZ13">
        <f>_xlfn.XLOOKUP($B13, Constants!$D$21:$D$39,Constants!L$21:L$39)</f>
        <v>0</v>
      </c>
      <c r="BA13">
        <f>Constants!$E$9</f>
        <v>0.15</v>
      </c>
      <c r="BB13">
        <f>Constants!$E$10</f>
        <v>0</v>
      </c>
      <c r="BC13">
        <f>Constants!$E$11</f>
        <v>0.2</v>
      </c>
      <c r="BD13">
        <f t="shared" si="2"/>
        <v>1.3004999999999998E-3</v>
      </c>
      <c r="BE13">
        <f t="shared" si="2"/>
        <v>3.0599999999999994E-3</v>
      </c>
      <c r="BF13">
        <f t="shared" si="2"/>
        <v>3.671999999999999E-3</v>
      </c>
      <c r="BG13">
        <f t="shared" si="6"/>
        <v>8.032499999999998E-3</v>
      </c>
      <c r="BH13">
        <f>(($BD13*Q13)+($BE13*V13)+($BF13*AA13))*AV13*$AH13*Constants!$I$2</f>
        <v>3.1761331199999994E-6</v>
      </c>
      <c r="BI13">
        <f>(($BD13*R13)+($BE13*W13)+($BF13*AB13))*AW13*$AH13*Constants!$I$2</f>
        <v>7.9403327999999985E-7</v>
      </c>
      <c r="BJ13">
        <f>(($BD13*S13)+($BE13*X13)+($BF13*AC13))*AX13*$AH13*Constants!$I$2</f>
        <v>5.6049407999999987E-5</v>
      </c>
      <c r="BK13">
        <f>(($BD13*T13)+($BE13*Y13)+($BF13*AD13))*AY13*$AH13*Constants!$I$2</f>
        <v>0</v>
      </c>
      <c r="BL13">
        <f>(($BD13*U13)+($BE13*Z13)+($BF13*AE13))*AZ13*$AH13*Constants!$I$2</f>
        <v>0</v>
      </c>
      <c r="BM13">
        <f t="shared" si="7"/>
        <v>0.79403327999999984</v>
      </c>
      <c r="BN13">
        <f t="shared" si="3"/>
        <v>0.19850831999999996</v>
      </c>
      <c r="BO13">
        <f t="shared" si="3"/>
        <v>14.012351999999996</v>
      </c>
      <c r="BP13">
        <f t="shared" si="3"/>
        <v>0</v>
      </c>
      <c r="BQ13">
        <f t="shared" si="3"/>
        <v>0</v>
      </c>
      <c r="BR13">
        <f t="shared" si="8"/>
        <v>15.004893599999996</v>
      </c>
      <c r="BS13" s="12">
        <f t="shared" si="9"/>
        <v>27.148931999999991</v>
      </c>
    </row>
    <row r="14" spans="1:72" s="11" customFormat="1" x14ac:dyDescent="0.2">
      <c r="A14" t="str">
        <f>'Input Scenarios'!A35</f>
        <v>NSW</v>
      </c>
      <c r="B14">
        <f>'Input Scenarios'!B35</f>
        <v>13</v>
      </c>
      <c r="C14" t="str">
        <f>'Input Scenarios'!C35</f>
        <v>Non-irrigated pasture</v>
      </c>
      <c r="D14" t="str">
        <f>'Input Scenarios'!D35</f>
        <v>wet</v>
      </c>
      <c r="E14" t="b">
        <f>'Input Scenarios'!E35</f>
        <v>1</v>
      </c>
      <c r="F14" t="str">
        <f>'Input Scenarios'!F35</f>
        <v>meatOther</v>
      </c>
      <c r="G14">
        <f>'Input Scenarios'!G35</f>
        <v>5000</v>
      </c>
      <c r="H14">
        <f>'Input Scenarios'!H35</f>
        <v>50</v>
      </c>
      <c r="I14">
        <f>IF('Input Scenarios'!I35&lt;&gt;"", 'Input Scenarios'!I35,_xlfn.XLOOKUP($F14,Constants!$A$2:$A$5,Constants!B$2:B$5))</f>
        <v>0.08</v>
      </c>
      <c r="J14">
        <f>IF('Input Scenarios'!J35&lt;&gt;"", 'Input Scenarios'!J35,_xlfn.XLOOKUP($F14,Constants!$A$2:$A$5,Constants!C$2:C$5))</f>
        <v>0.8</v>
      </c>
      <c r="K14">
        <f>IF('Input Scenarios'!K35&lt;&gt;"", 'Input Scenarios'!K35,_xlfn.XLOOKUP($F14,Constants!$A$2:$A$5,Constants!D$2:D$5))</f>
        <v>0.23</v>
      </c>
      <c r="L14">
        <f>IF('Input Scenarios'!L35&lt;&gt;"", 'Input Scenarios'!L35,_xlfn.XLOOKUP($F14,Constants!$A$2:$A$5,Constants!E$2:E$5))</f>
        <v>0.47</v>
      </c>
      <c r="M14">
        <f>'Input Scenarios'!M35</f>
        <v>0.1</v>
      </c>
      <c r="N14">
        <f>'Input Scenarios'!N35</f>
        <v>0.2</v>
      </c>
      <c r="O14">
        <f>'Input Scenarios'!O35</f>
        <v>0.3</v>
      </c>
      <c r="P14">
        <f>'Input Scenarios'!P35</f>
        <v>0.4</v>
      </c>
      <c r="Q14">
        <f>'Input Scenarios'!Q35</f>
        <v>0.5</v>
      </c>
      <c r="R14">
        <f>'Input Scenarios'!R35</f>
        <v>0.5</v>
      </c>
      <c r="S14">
        <f>'Input Scenarios'!S35</f>
        <v>0</v>
      </c>
      <c r="T14">
        <f>'Input Scenarios'!T35</f>
        <v>0</v>
      </c>
      <c r="U14">
        <f>'Input Scenarios'!U35</f>
        <v>0</v>
      </c>
      <c r="V14">
        <f>'Input Scenarios'!V35</f>
        <v>0</v>
      </c>
      <c r="W14">
        <f>'Input Scenarios'!W35</f>
        <v>0</v>
      </c>
      <c r="X14">
        <f>'Input Scenarios'!X35</f>
        <v>0.75</v>
      </c>
      <c r="Y14">
        <f>'Input Scenarios'!Y35</f>
        <v>0.25</v>
      </c>
      <c r="Z14">
        <f>'Input Scenarios'!Z35</f>
        <v>0</v>
      </c>
      <c r="AA14">
        <f>'Input Scenarios'!AA35</f>
        <v>0</v>
      </c>
      <c r="AB14">
        <f>'Input Scenarios'!AB35</f>
        <v>0</v>
      </c>
      <c r="AC14">
        <f>'Input Scenarios'!AC35</f>
        <v>0</v>
      </c>
      <c r="AD14">
        <f>'Input Scenarios'!AD35</f>
        <v>0</v>
      </c>
      <c r="AE14">
        <f>'Input Scenarios'!AE35</f>
        <v>1</v>
      </c>
      <c r="AF14">
        <f t="shared" si="0"/>
        <v>1.3599999999999998E-2</v>
      </c>
      <c r="AG14" s="11">
        <f>IF(F14="", "",_xlfn.XLOOKUP(F14,Constants!$A$2:$A$5,Constants!F$2:F$5))</f>
        <v>0.15</v>
      </c>
      <c r="AH14" s="11">
        <f>IF(F14="", "",_xlfn.XLOOKUP(F14,Constants!$A$2:$A$5,Constants!G$2:G$5))</f>
        <v>0.36</v>
      </c>
      <c r="AI14">
        <f>_xlfn.XLOOKUP($B14, Constants!$D$21:$D$39,Constants!E$21:E$39)</f>
        <v>1.4999999999999999E-2</v>
      </c>
      <c r="AJ14">
        <f>_xlfn.XLOOKUP($B14, Constants!$D$21:$D$39,Constants!F$21:F$39)</f>
        <v>1.4999999999999999E-2</v>
      </c>
      <c r="AK14">
        <f>_xlfn.XLOOKUP($B14, Constants!$D$21:$D$39,Constants!G$21:G$39)</f>
        <v>1.4999999999999999E-2</v>
      </c>
      <c r="AL14" s="11">
        <f>_xlfn.XLOOKUP($A14, Constants!$F$8:$M$8,Constants!$F$16:$M$16)</f>
        <v>0.01</v>
      </c>
      <c r="AM14" s="12">
        <f>$AF14*$AH14*M14*AI14*Constants!$I$2</f>
        <v>4.9821695999999993E-6</v>
      </c>
      <c r="AN14" s="12">
        <f>$AF14*$AH14*N14*AJ14*Constants!$I$2</f>
        <v>9.9643391999999987E-6</v>
      </c>
      <c r="AO14" s="12">
        <f>$AF14*$AH14*O14*AK14*Constants!$I$2</f>
        <v>1.4946508799999996E-5</v>
      </c>
      <c r="AP14" s="12">
        <f>$AF14*$AH14*P14*AL14*Constants!$I$2</f>
        <v>1.3285785600000001E-5</v>
      </c>
      <c r="AQ14" s="16">
        <f t="shared" si="4"/>
        <v>1.2455423999999997</v>
      </c>
      <c r="AR14" s="16">
        <f t="shared" si="1"/>
        <v>2.4910847999999994</v>
      </c>
      <c r="AS14" s="16">
        <f t="shared" si="1"/>
        <v>3.7366271999999991</v>
      </c>
      <c r="AT14" s="16">
        <f t="shared" si="1"/>
        <v>3.3214464000000006</v>
      </c>
      <c r="AU14" s="16">
        <f t="shared" si="5"/>
        <v>10.794700799999999</v>
      </c>
      <c r="AV14">
        <f>_xlfn.XLOOKUP($B14, Constants!$D$21:$D$39,Constants!H$21:H$39)</f>
        <v>0.02</v>
      </c>
      <c r="AW14">
        <f>_xlfn.XLOOKUP($B14, Constants!$D$21:$D$39,Constants!I$21:I$39)</f>
        <v>5.0000000000000001E-3</v>
      </c>
      <c r="AX14">
        <f>_xlfn.XLOOKUP($B14, Constants!$D$21:$D$39,Constants!J$21:J$39)</f>
        <v>0.1</v>
      </c>
      <c r="AY14">
        <f>_xlfn.XLOOKUP($B14, Constants!$D$21:$D$39,Constants!K$21:K$39)</f>
        <v>0</v>
      </c>
      <c r="AZ14">
        <f>_xlfn.XLOOKUP($B14, Constants!$D$21:$D$39,Constants!L$21:L$39)</f>
        <v>0</v>
      </c>
      <c r="BA14" s="11">
        <f>Constants!$E$9</f>
        <v>0.15</v>
      </c>
      <c r="BB14" s="11">
        <f>Constants!$E$10</f>
        <v>0</v>
      </c>
      <c r="BC14" s="11">
        <f>Constants!$E$11</f>
        <v>0.2</v>
      </c>
      <c r="BD14" s="11">
        <f t="shared" si="2"/>
        <v>1.1559999999999999E-3</v>
      </c>
      <c r="BE14" s="11">
        <f t="shared" si="2"/>
        <v>2.7199999999999998E-3</v>
      </c>
      <c r="BF14" s="11">
        <f t="shared" si="2"/>
        <v>3.2639999999999995E-3</v>
      </c>
      <c r="BG14" s="11">
        <f t="shared" si="6"/>
        <v>7.1399999999999988E-3</v>
      </c>
      <c r="BH14" s="11">
        <f>(($BD14*Q14)+($BE14*V14)+($BF14*AA14))*AV14*$AH14*Constants!$I$2</f>
        <v>2.8232294399999996E-6</v>
      </c>
      <c r="BI14" s="11">
        <f>(($BD14*R14)+($BE14*W14)+($BF14*AB14))*AW14*$AH14*Constants!$I$2</f>
        <v>7.0580735999999989E-7</v>
      </c>
      <c r="BJ14" s="11">
        <f>(($BD14*S14)+($BE14*X14)+($BF14*AC14))*AX14*$AH14*Constants!$I$2</f>
        <v>4.9821695999999993E-5</v>
      </c>
      <c r="BK14" s="11">
        <f>(($BD14*T14)+($BE14*Y14)+($BF14*AD14))*AY14*$AH14*Constants!$I$2</f>
        <v>0</v>
      </c>
      <c r="BL14" s="11">
        <f>(($BD14*U14)+($BE14*Z14)+($BF14*AE14))*AZ14*$AH14*Constants!$I$2</f>
        <v>0</v>
      </c>
      <c r="BM14">
        <f t="shared" si="7"/>
        <v>0.70580735999999988</v>
      </c>
      <c r="BN14">
        <f t="shared" si="3"/>
        <v>0.17645183999999997</v>
      </c>
      <c r="BO14">
        <f t="shared" si="3"/>
        <v>12.455423999999999</v>
      </c>
      <c r="BP14">
        <f t="shared" si="3"/>
        <v>0</v>
      </c>
      <c r="BQ14">
        <f t="shared" si="3"/>
        <v>0</v>
      </c>
      <c r="BR14">
        <f t="shared" si="8"/>
        <v>13.337683199999999</v>
      </c>
      <c r="BS14" s="12">
        <f t="shared" si="9"/>
        <v>24.132383999999998</v>
      </c>
    </row>
    <row r="15" spans="1:72" x14ac:dyDescent="0.2">
      <c r="A15" t="str">
        <f>'Input Scenarios'!A36</f>
        <v>QLD</v>
      </c>
      <c r="B15">
        <f>'Input Scenarios'!B36</f>
        <v>15</v>
      </c>
      <c r="C15" t="str">
        <f>'Input Scenarios'!C36</f>
        <v>Irrigated crop</v>
      </c>
      <c r="D15" t="str">
        <f>'Input Scenarios'!D36</f>
        <v>dry</v>
      </c>
      <c r="E15" t="b">
        <f>'Input Scenarios'!E36</f>
        <v>1</v>
      </c>
      <c r="F15" t="str">
        <f>'Input Scenarios'!F36</f>
        <v>layers</v>
      </c>
      <c r="G15">
        <f>'Input Scenarios'!G36</f>
        <v>2250</v>
      </c>
      <c r="H15">
        <f>'Input Scenarios'!H36</f>
        <v>125</v>
      </c>
      <c r="I15">
        <f>IF('Input Scenarios'!I36&lt;&gt;"", 'Input Scenarios'!I36,_xlfn.XLOOKUP($F15,Constants!$A$2:$A$5,Constants!B$2:B$5))</f>
        <v>0.06</v>
      </c>
      <c r="J15">
        <f>IF('Input Scenarios'!J36&lt;&gt;"", 'Input Scenarios'!J36,_xlfn.XLOOKUP($F15,Constants!$A$2:$A$5,Constants!C$2:C$5))</f>
        <v>0.9</v>
      </c>
      <c r="K15">
        <f>IF('Input Scenarios'!K36&lt;&gt;"", 'Input Scenarios'!K36,_xlfn.XLOOKUP($F15,Constants!$A$2:$A$5,Constants!D$2:D$5))</f>
        <v>0.24</v>
      </c>
      <c r="L15">
        <f>IF('Input Scenarios'!L36&lt;&gt;"", 'Input Scenarios'!L36,_xlfn.XLOOKUP($F15,Constants!$A$2:$A$5,Constants!E$2:E$5))</f>
        <v>0.35</v>
      </c>
      <c r="M15">
        <f>'Input Scenarios'!M36</f>
        <v>0.4</v>
      </c>
      <c r="N15">
        <f>'Input Scenarios'!N36</f>
        <v>0.3</v>
      </c>
      <c r="O15">
        <f>'Input Scenarios'!O36</f>
        <v>0.2</v>
      </c>
      <c r="P15">
        <f>'Input Scenarios'!P36</f>
        <v>0.1</v>
      </c>
      <c r="Q15">
        <f>'Input Scenarios'!Q36</f>
        <v>0.2</v>
      </c>
      <c r="R15">
        <f>'Input Scenarios'!R36</f>
        <v>0.25</v>
      </c>
      <c r="S15">
        <f>'Input Scenarios'!S36</f>
        <v>0.2</v>
      </c>
      <c r="T15">
        <f>'Input Scenarios'!T36</f>
        <v>0.25</v>
      </c>
      <c r="U15">
        <f>'Input Scenarios'!U36</f>
        <v>0.1</v>
      </c>
      <c r="V15">
        <f>'Input Scenarios'!V36</f>
        <v>0.34</v>
      </c>
      <c r="W15">
        <f>'Input Scenarios'!W36</f>
        <v>0.6</v>
      </c>
      <c r="X15">
        <f>'Input Scenarios'!X36</f>
        <v>0</v>
      </c>
      <c r="Y15">
        <f>'Input Scenarios'!Y36</f>
        <v>0</v>
      </c>
      <c r="Z15">
        <f>'Input Scenarios'!Z36</f>
        <v>0.06</v>
      </c>
      <c r="AA15">
        <f>'Input Scenarios'!AA36</f>
        <v>0.5</v>
      </c>
      <c r="AB15">
        <f>'Input Scenarios'!AB36</f>
        <v>0.25</v>
      </c>
      <c r="AC15">
        <f>'Input Scenarios'!AC36</f>
        <v>0.25</v>
      </c>
      <c r="AD15">
        <f>'Input Scenarios'!AD36</f>
        <v>0</v>
      </c>
      <c r="AE15">
        <f>'Input Scenarios'!AE36</f>
        <v>0</v>
      </c>
      <c r="AF15">
        <f t="shared" si="0"/>
        <v>4.919999999999999E-3</v>
      </c>
      <c r="AG15">
        <f>IF(F15="", "",_xlfn.XLOOKUP(F15,Constants!$A$2:$A$5,Constants!F$2:F$5))</f>
        <v>0.18</v>
      </c>
      <c r="AH15">
        <f>IF(F15="", "",_xlfn.XLOOKUP(F15,Constants!$A$2:$A$5,Constants!G$2:G$5))</f>
        <v>0.39</v>
      </c>
      <c r="AI15">
        <f>_xlfn.XLOOKUP($B15, Constants!$D$21:$D$39,Constants!E$21:E$39)</f>
        <v>1.4999999999999999E-2</v>
      </c>
      <c r="AJ15">
        <f>_xlfn.XLOOKUP($B15, Constants!$D$21:$D$39,Constants!F$21:F$39)</f>
        <v>1.4999999999999999E-2</v>
      </c>
      <c r="AK15">
        <f>_xlfn.XLOOKUP($B15, Constants!$D$21:$D$39,Constants!G$21:G$39)</f>
        <v>1.4999999999999999E-2</v>
      </c>
      <c r="AL15">
        <f>_xlfn.XLOOKUP($A15, Constants!$F$8:$M$8,Constants!$F$16:$M$16)</f>
        <v>0.03</v>
      </c>
      <c r="AM15" s="12">
        <f>$AF15*$AH15*M15*AI15*Constants!$I$2</f>
        <v>7.8102835199999982E-6</v>
      </c>
      <c r="AN15" s="12">
        <f>$AF15*$AH15*N15*AJ15*Constants!$I$2</f>
        <v>5.8577126399999991E-6</v>
      </c>
      <c r="AO15" s="12">
        <f>$AF15*$AH15*O15*AK15*Constants!$I$2</f>
        <v>3.9051417599999991E-6</v>
      </c>
      <c r="AP15" s="12">
        <f>$AF15*$AH15*P15*AL15*Constants!$I$2</f>
        <v>3.9051417599999991E-6</v>
      </c>
      <c r="AQ15" s="12">
        <f t="shared" si="4"/>
        <v>2.1966422399999996</v>
      </c>
      <c r="AR15" s="12">
        <f t="shared" si="1"/>
        <v>1.6474816799999998</v>
      </c>
      <c r="AS15" s="12">
        <f t="shared" si="1"/>
        <v>1.0983211199999998</v>
      </c>
      <c r="AT15" s="12">
        <f t="shared" si="1"/>
        <v>1.0983211199999998</v>
      </c>
      <c r="AU15" s="12">
        <f t="shared" si="5"/>
        <v>6.0407661599999987</v>
      </c>
      <c r="AV15">
        <f>_xlfn.XLOOKUP($B15, Constants!$D$21:$D$39,Constants!H$21:H$39)</f>
        <v>0.02</v>
      </c>
      <c r="AW15">
        <f>_xlfn.XLOOKUP($B15, Constants!$D$21:$D$39,Constants!I$21:I$39)</f>
        <v>0.01</v>
      </c>
      <c r="AX15">
        <f>_xlfn.XLOOKUP($B15, Constants!$D$21:$D$39,Constants!J$21:J$39)</f>
        <v>0.1</v>
      </c>
      <c r="AY15">
        <f>_xlfn.XLOOKUP($B15, Constants!$D$21:$D$39,Constants!K$21:K$39)</f>
        <v>0</v>
      </c>
      <c r="AZ15">
        <f>_xlfn.XLOOKUP($B15, Constants!$D$21:$D$39,Constants!L$21:L$39)</f>
        <v>0</v>
      </c>
      <c r="BA15">
        <f>Constants!$E$9</f>
        <v>0.15</v>
      </c>
      <c r="BB15">
        <f>Constants!$E$10</f>
        <v>0</v>
      </c>
      <c r="BC15">
        <f>Constants!$E$11</f>
        <v>0.2</v>
      </c>
      <c r="BD15">
        <f t="shared" si="2"/>
        <v>1.6727999999999997E-3</v>
      </c>
      <c r="BE15">
        <f t="shared" si="2"/>
        <v>1.4759999999999997E-3</v>
      </c>
      <c r="BF15">
        <f t="shared" si="2"/>
        <v>7.8719999999999994E-4</v>
      </c>
      <c r="BG15">
        <f t="shared" si="6"/>
        <v>3.9359999999999994E-3</v>
      </c>
      <c r="BH15">
        <f>(($BD15*Q15)+($BE15*V15)+($BF15*AA15))*AV15*$AH15*Constants!$I$2</f>
        <v>6.5085696000000014E-6</v>
      </c>
      <c r="BI15">
        <f>(($BD15*R15)+($BE15*W15)+($BF15*AB15))*AW15*$AH15*Constants!$I$2</f>
        <v>3.9702274559999993E-6</v>
      </c>
      <c r="BJ15">
        <f>(($BD15*S15)+($BE15*X15)+($BF15*AC15))*AX15*$AH15*Constants!$I$2</f>
        <v>1.4058510335999998E-5</v>
      </c>
      <c r="BK15">
        <f>(($BD15*T15)+($BE15*Y15)+($BF15*AD15))*AY15*$AH15*Constants!$I$2</f>
        <v>0</v>
      </c>
      <c r="BL15">
        <f>(($BD15*U15)+($BE15*Z15)+($BF15*AE15))*AZ15*$AH15*Constants!$I$2</f>
        <v>0</v>
      </c>
      <c r="BM15">
        <f t="shared" si="7"/>
        <v>1.8305352000000004</v>
      </c>
      <c r="BN15">
        <f t="shared" si="3"/>
        <v>1.1166264719999999</v>
      </c>
      <c r="BO15">
        <f t="shared" si="3"/>
        <v>3.9539560319999993</v>
      </c>
      <c r="BP15">
        <f t="shared" si="3"/>
        <v>0</v>
      </c>
      <c r="BQ15">
        <f t="shared" si="3"/>
        <v>0</v>
      </c>
      <c r="BR15">
        <f t="shared" si="8"/>
        <v>6.9011177039999989</v>
      </c>
      <c r="BS15" s="12">
        <f>AU15+BR15</f>
        <v>12.941883863999998</v>
      </c>
      <c r="BT15">
        <f>SUM(BS15:BS18)/1000</f>
        <v>0.12774343528799997</v>
      </c>
    </row>
    <row r="16" spans="1:72" x14ac:dyDescent="0.2">
      <c r="A16" t="str">
        <f>'Input Scenarios'!A37</f>
        <v>QLD</v>
      </c>
      <c r="B16">
        <f>'Input Scenarios'!B37</f>
        <v>15</v>
      </c>
      <c r="C16" t="str">
        <f>'Input Scenarios'!C37</f>
        <v>Irrigated crop</v>
      </c>
      <c r="D16" t="str">
        <f>'Input Scenarios'!D37</f>
        <v>dry</v>
      </c>
      <c r="E16" t="b">
        <f>'Input Scenarios'!E37</f>
        <v>1</v>
      </c>
      <c r="F16" t="str">
        <f>'Input Scenarios'!F37</f>
        <v>meatChickenBreeder</v>
      </c>
      <c r="G16">
        <f>'Input Scenarios'!G37</f>
        <v>2250</v>
      </c>
      <c r="H16">
        <f>'Input Scenarios'!H37</f>
        <v>125</v>
      </c>
      <c r="I16">
        <f>IF('Input Scenarios'!I37&lt;&gt;"", 'Input Scenarios'!I37,_xlfn.XLOOKUP($F16,Constants!$A$2:$A$5,Constants!B$2:B$5))</f>
        <v>0.11</v>
      </c>
      <c r="J16">
        <f>IF('Input Scenarios'!J37&lt;&gt;"", 'Input Scenarios'!J37,_xlfn.XLOOKUP($F16,Constants!$A$2:$A$5,Constants!C$2:C$5))</f>
        <v>0.8</v>
      </c>
      <c r="K16">
        <f>IF('Input Scenarios'!K37&lt;&gt;"", 'Input Scenarios'!K37,_xlfn.XLOOKUP($F16,Constants!$A$2:$A$5,Constants!D$2:D$5))</f>
        <v>0.25</v>
      </c>
      <c r="L16">
        <f>IF('Input Scenarios'!L37&lt;&gt;"", 'Input Scenarios'!L37,_xlfn.XLOOKUP($F16,Constants!$A$2:$A$5,Constants!E$2:E$5))</f>
        <v>0.32</v>
      </c>
      <c r="M16">
        <f>'Input Scenarios'!M37</f>
        <v>0.4</v>
      </c>
      <c r="N16">
        <f>'Input Scenarios'!N37</f>
        <v>0.3</v>
      </c>
      <c r="O16">
        <f>'Input Scenarios'!O37</f>
        <v>0.2</v>
      </c>
      <c r="P16">
        <f>'Input Scenarios'!P37</f>
        <v>0.1</v>
      </c>
      <c r="Q16">
        <f>'Input Scenarios'!Q37</f>
        <v>0.2</v>
      </c>
      <c r="R16">
        <f>'Input Scenarios'!R37</f>
        <v>0.25</v>
      </c>
      <c r="S16">
        <f>'Input Scenarios'!S37</f>
        <v>0.2</v>
      </c>
      <c r="T16">
        <f>'Input Scenarios'!T37</f>
        <v>0.25</v>
      </c>
      <c r="U16">
        <f>'Input Scenarios'!U37</f>
        <v>0.1</v>
      </c>
      <c r="V16">
        <f>'Input Scenarios'!V37</f>
        <v>0.34</v>
      </c>
      <c r="W16">
        <f>'Input Scenarios'!W37</f>
        <v>0.6</v>
      </c>
      <c r="X16">
        <f>'Input Scenarios'!X37</f>
        <v>0</v>
      </c>
      <c r="Y16">
        <f>'Input Scenarios'!Y37</f>
        <v>0</v>
      </c>
      <c r="Z16">
        <f>'Input Scenarios'!Z37</f>
        <v>0.06</v>
      </c>
      <c r="AA16">
        <f>'Input Scenarios'!AA37</f>
        <v>0.5</v>
      </c>
      <c r="AB16">
        <f>'Input Scenarios'!AB37</f>
        <v>0.25</v>
      </c>
      <c r="AC16">
        <f>'Input Scenarios'!AC37</f>
        <v>0.25</v>
      </c>
      <c r="AD16">
        <f>'Input Scenarios'!AD37</f>
        <v>0</v>
      </c>
      <c r="AE16">
        <f>'Input Scenarios'!AE37</f>
        <v>0</v>
      </c>
      <c r="AF16">
        <f t="shared" si="0"/>
        <v>1.8039999999999997E-2</v>
      </c>
      <c r="AG16">
        <f>IF(F16="", "",_xlfn.XLOOKUP(F16,Constants!$A$2:$A$5,Constants!F$2:F$5))</f>
        <v>0.18</v>
      </c>
      <c r="AH16">
        <f>IF(F16="", "",_xlfn.XLOOKUP(F16,Constants!$A$2:$A$5,Constants!G$2:G$5))</f>
        <v>0.36</v>
      </c>
      <c r="AI16">
        <f>_xlfn.XLOOKUP($B16, Constants!$D$21:$D$39,Constants!E$21:E$39)</f>
        <v>1.4999999999999999E-2</v>
      </c>
      <c r="AJ16">
        <f>_xlfn.XLOOKUP($B16, Constants!$D$21:$D$39,Constants!F$21:F$39)</f>
        <v>1.4999999999999999E-2</v>
      </c>
      <c r="AK16">
        <f>_xlfn.XLOOKUP($B16, Constants!$D$21:$D$39,Constants!G$21:G$39)</f>
        <v>1.4999999999999999E-2</v>
      </c>
      <c r="AL16">
        <f>_xlfn.XLOOKUP($A16, Constants!$F$8:$M$8,Constants!$F$16:$M$16)</f>
        <v>0.03</v>
      </c>
      <c r="AM16" s="12">
        <f>$AF16*$AH16*M16*AI16*Constants!$I$2</f>
        <v>2.643480575999999E-5</v>
      </c>
      <c r="AN16" s="12">
        <f>$AF16*$AH16*N16*AJ16*Constants!$I$2</f>
        <v>1.9826104319999995E-5</v>
      </c>
      <c r="AO16" s="12">
        <f>$AF16*$AH16*O16*AK16*Constants!$I$2</f>
        <v>1.3217402879999995E-5</v>
      </c>
      <c r="AP16" s="12">
        <f>$AF16*$AH16*P16*AL16*Constants!$I$2</f>
        <v>1.3217402879999995E-5</v>
      </c>
      <c r="AQ16" s="12">
        <f t="shared" si="4"/>
        <v>7.4347891199999978</v>
      </c>
      <c r="AR16" s="12">
        <f t="shared" si="1"/>
        <v>5.5760918399999984</v>
      </c>
      <c r="AS16" s="12">
        <f t="shared" si="1"/>
        <v>3.7173945599999989</v>
      </c>
      <c r="AT16" s="12">
        <f t="shared" si="1"/>
        <v>3.7173945599999989</v>
      </c>
      <c r="AU16" s="12">
        <f t="shared" si="5"/>
        <v>20.445670079999996</v>
      </c>
      <c r="AV16">
        <f>_xlfn.XLOOKUP($B16, Constants!$D$21:$D$39,Constants!H$21:H$39)</f>
        <v>0.02</v>
      </c>
      <c r="AW16">
        <f>_xlfn.XLOOKUP($B16, Constants!$D$21:$D$39,Constants!I$21:I$39)</f>
        <v>0.01</v>
      </c>
      <c r="AX16">
        <f>_xlfn.XLOOKUP($B16, Constants!$D$21:$D$39,Constants!J$21:J$39)</f>
        <v>0.1</v>
      </c>
      <c r="AY16">
        <f>_xlfn.XLOOKUP($B16, Constants!$D$21:$D$39,Constants!K$21:K$39)</f>
        <v>0</v>
      </c>
      <c r="AZ16">
        <f>_xlfn.XLOOKUP($B16, Constants!$D$21:$D$39,Constants!L$21:L$39)</f>
        <v>0</v>
      </c>
      <c r="BA16">
        <f>Constants!$E$9</f>
        <v>0.15</v>
      </c>
      <c r="BB16">
        <f>Constants!$E$10</f>
        <v>0</v>
      </c>
      <c r="BC16">
        <f>Constants!$E$11</f>
        <v>0.2</v>
      </c>
      <c r="BD16">
        <f t="shared" si="2"/>
        <v>6.1335999999999995E-3</v>
      </c>
      <c r="BE16">
        <f t="shared" si="2"/>
        <v>5.4119999999999993E-3</v>
      </c>
      <c r="BF16">
        <f t="shared" si="2"/>
        <v>2.8863999999999999E-3</v>
      </c>
      <c r="BG16">
        <f t="shared" si="6"/>
        <v>1.4432E-2</v>
      </c>
      <c r="BH16">
        <f>(($BD16*Q16)+($BE16*V16)+($BF16*AA16))*AV16*$AH16*Constants!$I$2</f>
        <v>2.2029004800000003E-5</v>
      </c>
      <c r="BI16">
        <f>(($BD16*R16)+($BE16*W16)+($BF16*AB16))*AW16*$AH16*Constants!$I$2</f>
        <v>1.3437692928E-5</v>
      </c>
      <c r="BJ16">
        <f>(($BD16*S16)+($BE16*X16)+($BF16*AC16))*AX16*$AH16*Constants!$I$2</f>
        <v>4.7582650368000001E-5</v>
      </c>
      <c r="BK16">
        <f>(($BD16*T16)+($BE16*Y16)+($BF16*AD16))*AY16*$AH16*Constants!$I$2</f>
        <v>0</v>
      </c>
      <c r="BL16">
        <f>(($BD16*U16)+($BE16*Z16)+($BF16*AE16))*AZ16*$AH16*Constants!$I$2</f>
        <v>0</v>
      </c>
      <c r="BM16">
        <f t="shared" si="7"/>
        <v>6.1956576000000005</v>
      </c>
      <c r="BN16">
        <f t="shared" si="3"/>
        <v>3.7793511359999998</v>
      </c>
      <c r="BO16">
        <f t="shared" si="3"/>
        <v>13.382620416</v>
      </c>
      <c r="BP16">
        <f t="shared" si="3"/>
        <v>0</v>
      </c>
      <c r="BQ16">
        <f t="shared" si="3"/>
        <v>0</v>
      </c>
      <c r="BR16">
        <f t="shared" si="8"/>
        <v>23.357629152000001</v>
      </c>
      <c r="BS16" s="12">
        <f t="shared" si="9"/>
        <v>43.803299232000001</v>
      </c>
    </row>
    <row r="17" spans="1:72" x14ac:dyDescent="0.2">
      <c r="A17" t="str">
        <f>'Input Scenarios'!A38</f>
        <v>QLD</v>
      </c>
      <c r="B17">
        <f>'Input Scenarios'!B38</f>
        <v>15</v>
      </c>
      <c r="C17" t="str">
        <f>'Input Scenarios'!C38</f>
        <v>Irrigated crop</v>
      </c>
      <c r="D17" t="str">
        <f>'Input Scenarios'!D38</f>
        <v>dry</v>
      </c>
      <c r="E17" t="b">
        <f>'Input Scenarios'!E38</f>
        <v>1</v>
      </c>
      <c r="F17" t="str">
        <f>'Input Scenarios'!F38</f>
        <v>meatChickenGrowers</v>
      </c>
      <c r="G17">
        <f>'Input Scenarios'!G38</f>
        <v>2250</v>
      </c>
      <c r="H17">
        <f>'Input Scenarios'!H38</f>
        <v>125</v>
      </c>
      <c r="I17">
        <f>IF('Input Scenarios'!I38&lt;&gt;"", 'Input Scenarios'!I38,_xlfn.XLOOKUP($F17,Constants!$A$2:$A$5,Constants!B$2:B$5))</f>
        <v>7.9000000000000001E-2</v>
      </c>
      <c r="J17">
        <f>IF('Input Scenarios'!J38&lt;&gt;"", 'Input Scenarios'!J38,_xlfn.XLOOKUP($F17,Constants!$A$2:$A$5,Constants!C$2:C$5))</f>
        <v>0.8</v>
      </c>
      <c r="K17">
        <f>IF('Input Scenarios'!K38&lt;&gt;"", 'Input Scenarios'!K38,_xlfn.XLOOKUP($F17,Constants!$A$2:$A$5,Constants!D$2:D$5))</f>
        <v>0.23</v>
      </c>
      <c r="L17">
        <f>IF('Input Scenarios'!L38&lt;&gt;"", 'Input Scenarios'!L38,_xlfn.XLOOKUP($F17,Constants!$A$2:$A$5,Constants!E$2:E$5))</f>
        <v>0.47</v>
      </c>
      <c r="M17">
        <f>'Input Scenarios'!M38</f>
        <v>0.4</v>
      </c>
      <c r="N17">
        <f>'Input Scenarios'!N38</f>
        <v>0.3</v>
      </c>
      <c r="O17">
        <f>'Input Scenarios'!O38</f>
        <v>0.2</v>
      </c>
      <c r="P17">
        <f>'Input Scenarios'!P38</f>
        <v>0.1</v>
      </c>
      <c r="Q17">
        <f>'Input Scenarios'!Q38</f>
        <v>0.2</v>
      </c>
      <c r="R17">
        <f>'Input Scenarios'!R38</f>
        <v>0.25</v>
      </c>
      <c r="S17">
        <f>'Input Scenarios'!S38</f>
        <v>0.2</v>
      </c>
      <c r="T17">
        <f>'Input Scenarios'!T38</f>
        <v>0.25</v>
      </c>
      <c r="U17">
        <f>'Input Scenarios'!U38</f>
        <v>0.1</v>
      </c>
      <c r="V17">
        <f>'Input Scenarios'!V38</f>
        <v>0.34</v>
      </c>
      <c r="W17">
        <f>'Input Scenarios'!W38</f>
        <v>0.6</v>
      </c>
      <c r="X17">
        <f>'Input Scenarios'!X38</f>
        <v>0</v>
      </c>
      <c r="Y17">
        <f>'Input Scenarios'!Y38</f>
        <v>0</v>
      </c>
      <c r="Z17">
        <f>'Input Scenarios'!Z38</f>
        <v>0.06</v>
      </c>
      <c r="AA17">
        <f>'Input Scenarios'!AA38</f>
        <v>0.5</v>
      </c>
      <c r="AB17">
        <f>'Input Scenarios'!AB38</f>
        <v>0.25</v>
      </c>
      <c r="AC17">
        <f>'Input Scenarios'!AC38</f>
        <v>0.25</v>
      </c>
      <c r="AD17">
        <f>'Input Scenarios'!AD38</f>
        <v>0</v>
      </c>
      <c r="AE17">
        <f>'Input Scenarios'!AE38</f>
        <v>0</v>
      </c>
      <c r="AF17">
        <f t="shared" si="0"/>
        <v>1.3429999999999997E-2</v>
      </c>
      <c r="AG17">
        <f>IF(F17="", "",_xlfn.XLOOKUP(F17,Constants!$A$2:$A$5,Constants!F$2:F$5))</f>
        <v>0.15</v>
      </c>
      <c r="AH17">
        <f>IF(F17="", "",_xlfn.XLOOKUP(F17,Constants!$A$2:$A$5,Constants!G$2:G$5))</f>
        <v>0.36</v>
      </c>
      <c r="AI17">
        <f>_xlfn.XLOOKUP($B17, Constants!$D$21:$D$39,Constants!E$21:E$39)</f>
        <v>1.4999999999999999E-2</v>
      </c>
      <c r="AJ17">
        <f>_xlfn.XLOOKUP($B17, Constants!$D$21:$D$39,Constants!F$21:F$39)</f>
        <v>1.4999999999999999E-2</v>
      </c>
      <c r="AK17">
        <f>_xlfn.XLOOKUP($B17, Constants!$D$21:$D$39,Constants!G$21:G$39)</f>
        <v>1.4999999999999999E-2</v>
      </c>
      <c r="AL17">
        <f>_xlfn.XLOOKUP($A17, Constants!$F$8:$M$8,Constants!$F$16:$M$16)</f>
        <v>0.03</v>
      </c>
      <c r="AM17" s="12">
        <f>$AF17*$AH17*M17*AI17*Constants!$I$2</f>
        <v>1.9679569919999996E-5</v>
      </c>
      <c r="AN17" s="12">
        <f>$AF17*$AH17*N17*AJ17*Constants!$I$2</f>
        <v>1.4759677439999996E-5</v>
      </c>
      <c r="AO17" s="12">
        <f>$AF17*$AH17*O17*AK17*Constants!$I$2</f>
        <v>9.8397849599999982E-6</v>
      </c>
      <c r="AP17" s="12">
        <f>$AF17*$AH17*P17*AL17*Constants!$I$2</f>
        <v>9.8397849599999982E-6</v>
      </c>
      <c r="AQ17" s="12">
        <f t="shared" si="4"/>
        <v>5.534879039999999</v>
      </c>
      <c r="AR17" s="12">
        <f t="shared" si="1"/>
        <v>4.151159279999999</v>
      </c>
      <c r="AS17" s="12">
        <f t="shared" si="1"/>
        <v>2.7674395199999995</v>
      </c>
      <c r="AT17" s="12">
        <f t="shared" si="1"/>
        <v>2.7674395199999995</v>
      </c>
      <c r="AU17" s="12">
        <f t="shared" si="5"/>
        <v>15.220917359999998</v>
      </c>
      <c r="AV17">
        <f>_xlfn.XLOOKUP($B17, Constants!$D$21:$D$39,Constants!H$21:H$39)</f>
        <v>0.02</v>
      </c>
      <c r="AW17">
        <f>_xlfn.XLOOKUP($B17, Constants!$D$21:$D$39,Constants!I$21:I$39)</f>
        <v>0.01</v>
      </c>
      <c r="AX17">
        <f>_xlfn.XLOOKUP($B17, Constants!$D$21:$D$39,Constants!J$21:J$39)</f>
        <v>0.1</v>
      </c>
      <c r="AY17">
        <f>_xlfn.XLOOKUP($B17, Constants!$D$21:$D$39,Constants!K$21:K$39)</f>
        <v>0</v>
      </c>
      <c r="AZ17">
        <f>_xlfn.XLOOKUP($B17, Constants!$D$21:$D$39,Constants!L$21:L$39)</f>
        <v>0</v>
      </c>
      <c r="BA17">
        <f>Constants!$E$9</f>
        <v>0.15</v>
      </c>
      <c r="BB17">
        <f>Constants!$E$10</f>
        <v>0</v>
      </c>
      <c r="BC17">
        <f>Constants!$E$11</f>
        <v>0.2</v>
      </c>
      <c r="BD17">
        <f t="shared" si="2"/>
        <v>4.5661999999999994E-3</v>
      </c>
      <c r="BE17">
        <f t="shared" si="2"/>
        <v>4.0289999999999987E-3</v>
      </c>
      <c r="BF17">
        <f t="shared" si="2"/>
        <v>2.1487999999999998E-3</v>
      </c>
      <c r="BG17">
        <f t="shared" si="6"/>
        <v>1.0743999999999997E-2</v>
      </c>
      <c r="BH17">
        <f>(($BD17*Q17)+($BE17*V17)+($BF17*AA17))*AV17*$AH17*Constants!$I$2</f>
        <v>1.6399641599999996E-5</v>
      </c>
      <c r="BI17">
        <f>(($BD17*R17)+($BE17*W17)+($BF17*AB17))*AW17*$AH17*Constants!$I$2</f>
        <v>1.0003781375999997E-5</v>
      </c>
      <c r="BJ17">
        <f>(($BD17*S17)+($BE17*X17)+($BF17*AC17))*AX17*$AH17*Constants!$I$2</f>
        <v>3.5423225855999995E-5</v>
      </c>
      <c r="BK17">
        <f>(($BD17*T17)+($BE17*Y17)+($BF17*AD17))*AY17*$AH17*Constants!$I$2</f>
        <v>0</v>
      </c>
      <c r="BL17">
        <f>(($BD17*U17)+($BE17*Z17)+($BF17*AE17))*AZ17*$AH17*Constants!$I$2</f>
        <v>0</v>
      </c>
      <c r="BM17">
        <f t="shared" si="7"/>
        <v>4.6123991999999987</v>
      </c>
      <c r="BN17">
        <f t="shared" si="3"/>
        <v>2.8135635119999991</v>
      </c>
      <c r="BO17">
        <f t="shared" si="3"/>
        <v>9.9627822719999983</v>
      </c>
      <c r="BP17">
        <f t="shared" si="3"/>
        <v>0</v>
      </c>
      <c r="BQ17">
        <f t="shared" si="3"/>
        <v>0</v>
      </c>
      <c r="BR17">
        <f t="shared" si="8"/>
        <v>17.388744983999995</v>
      </c>
      <c r="BS17" s="12">
        <f t="shared" si="9"/>
        <v>32.609662343999993</v>
      </c>
    </row>
    <row r="18" spans="1:72" s="11" customFormat="1" x14ac:dyDescent="0.2">
      <c r="A18" t="str">
        <f>'Input Scenarios'!A39</f>
        <v>QLD</v>
      </c>
      <c r="B18">
        <f>'Input Scenarios'!B39</f>
        <v>15</v>
      </c>
      <c r="C18" t="str">
        <f>'Input Scenarios'!C39</f>
        <v>Irrigated crop</v>
      </c>
      <c r="D18" t="str">
        <f>'Input Scenarios'!D39</f>
        <v>dry</v>
      </c>
      <c r="E18" t="b">
        <f>'Input Scenarios'!E39</f>
        <v>1</v>
      </c>
      <c r="F18" t="str">
        <f>'Input Scenarios'!F39</f>
        <v>meatOther</v>
      </c>
      <c r="G18">
        <f>'Input Scenarios'!G39</f>
        <v>2250</v>
      </c>
      <c r="H18">
        <f>'Input Scenarios'!H39</f>
        <v>125</v>
      </c>
      <c r="I18">
        <f>IF('Input Scenarios'!I39&lt;&gt;"", 'Input Scenarios'!I39,_xlfn.XLOOKUP($F18,Constants!$A$2:$A$5,Constants!B$2:B$5))</f>
        <v>9.2999999999999999E-2</v>
      </c>
      <c r="J18">
        <f>IF('Input Scenarios'!J39&lt;&gt;"", 'Input Scenarios'!J39,_xlfn.XLOOKUP($F18,Constants!$A$2:$A$5,Constants!C$2:C$5))</f>
        <v>0.8</v>
      </c>
      <c r="K18">
        <f>IF('Input Scenarios'!K39&lt;&gt;"", 'Input Scenarios'!K39,_xlfn.XLOOKUP($F18,Constants!$A$2:$A$5,Constants!D$2:D$5))</f>
        <v>0.23</v>
      </c>
      <c r="L18">
        <f>IF('Input Scenarios'!L39&lt;&gt;"", 'Input Scenarios'!L39,_xlfn.XLOOKUP($F18,Constants!$A$2:$A$5,Constants!E$2:E$5))</f>
        <v>0.47</v>
      </c>
      <c r="M18">
        <f>'Input Scenarios'!M39</f>
        <v>0.4</v>
      </c>
      <c r="N18">
        <f>'Input Scenarios'!N39</f>
        <v>0.3</v>
      </c>
      <c r="O18">
        <f>'Input Scenarios'!O39</f>
        <v>0.2</v>
      </c>
      <c r="P18">
        <f>'Input Scenarios'!P39</f>
        <v>0.1</v>
      </c>
      <c r="Q18">
        <f>'Input Scenarios'!Q39</f>
        <v>0.2</v>
      </c>
      <c r="R18">
        <f>'Input Scenarios'!R39</f>
        <v>0.25</v>
      </c>
      <c r="S18">
        <f>'Input Scenarios'!S39</f>
        <v>0.2</v>
      </c>
      <c r="T18">
        <f>'Input Scenarios'!T39</f>
        <v>0.25</v>
      </c>
      <c r="U18">
        <f>'Input Scenarios'!U39</f>
        <v>0.1</v>
      </c>
      <c r="V18">
        <f>'Input Scenarios'!V39</f>
        <v>0.34</v>
      </c>
      <c r="W18">
        <f>'Input Scenarios'!W39</f>
        <v>0.6</v>
      </c>
      <c r="X18">
        <f>'Input Scenarios'!X39</f>
        <v>0</v>
      </c>
      <c r="Y18">
        <f>'Input Scenarios'!Y39</f>
        <v>0</v>
      </c>
      <c r="Z18">
        <f>'Input Scenarios'!Z39</f>
        <v>0.06</v>
      </c>
      <c r="AA18">
        <f>'Input Scenarios'!AA39</f>
        <v>0.5</v>
      </c>
      <c r="AB18">
        <f>'Input Scenarios'!AB39</f>
        <v>0.25</v>
      </c>
      <c r="AC18">
        <f>'Input Scenarios'!AC39</f>
        <v>0.25</v>
      </c>
      <c r="AD18">
        <f>'Input Scenarios'!AD39</f>
        <v>0</v>
      </c>
      <c r="AE18">
        <f>'Input Scenarios'!AE39</f>
        <v>0</v>
      </c>
      <c r="AF18">
        <f t="shared" si="0"/>
        <v>1.5809999999999994E-2</v>
      </c>
      <c r="AG18" s="11">
        <f>IF(F18="", "",_xlfn.XLOOKUP(F18,Constants!$A$2:$A$5,Constants!F$2:F$5))</f>
        <v>0.15</v>
      </c>
      <c r="AH18" s="11">
        <f>IF(F18="", "",_xlfn.XLOOKUP(F18,Constants!$A$2:$A$5,Constants!G$2:G$5))</f>
        <v>0.36</v>
      </c>
      <c r="AI18">
        <f>_xlfn.XLOOKUP($B18, Constants!$D$21:$D$39,Constants!E$21:E$39)</f>
        <v>1.4999999999999999E-2</v>
      </c>
      <c r="AJ18">
        <f>_xlfn.XLOOKUP($B18, Constants!$D$21:$D$39,Constants!F$21:F$39)</f>
        <v>1.4999999999999999E-2</v>
      </c>
      <c r="AK18">
        <f>_xlfn.XLOOKUP($B18, Constants!$D$21:$D$39,Constants!G$21:G$39)</f>
        <v>1.4999999999999999E-2</v>
      </c>
      <c r="AL18" s="11">
        <f>_xlfn.XLOOKUP($A18, Constants!$F$8:$M$8,Constants!$F$16:$M$16)</f>
        <v>0.03</v>
      </c>
      <c r="AM18" s="12">
        <f>$AF18*$AH18*M18*AI18*Constants!$I$2</f>
        <v>2.3167088639999993E-5</v>
      </c>
      <c r="AN18" s="12">
        <f>$AF18*$AH18*N18*AJ18*Constants!$I$2</f>
        <v>1.7375316479999991E-5</v>
      </c>
      <c r="AO18" s="12">
        <f>$AF18*$AH18*O18*AK18*Constants!$I$2</f>
        <v>1.1583544319999997E-5</v>
      </c>
      <c r="AP18" s="12">
        <f>$AF18*$AH18*P18*AL18*Constants!$I$2</f>
        <v>1.1583544319999997E-5</v>
      </c>
      <c r="AQ18" s="16">
        <f t="shared" si="4"/>
        <v>6.5157436799999982</v>
      </c>
      <c r="AR18" s="16">
        <f t="shared" si="1"/>
        <v>4.8868077599999982</v>
      </c>
      <c r="AS18" s="16">
        <f t="shared" si="1"/>
        <v>3.2578718399999991</v>
      </c>
      <c r="AT18" s="16">
        <f t="shared" si="1"/>
        <v>3.2578718399999991</v>
      </c>
      <c r="AU18" s="16">
        <f t="shared" si="5"/>
        <v>17.918295119999996</v>
      </c>
      <c r="AV18">
        <f>_xlfn.XLOOKUP($B18, Constants!$D$21:$D$39,Constants!H$21:H$39)</f>
        <v>0.02</v>
      </c>
      <c r="AW18">
        <f>_xlfn.XLOOKUP($B18, Constants!$D$21:$D$39,Constants!I$21:I$39)</f>
        <v>0.01</v>
      </c>
      <c r="AX18">
        <f>_xlfn.XLOOKUP($B18, Constants!$D$21:$D$39,Constants!J$21:J$39)</f>
        <v>0.1</v>
      </c>
      <c r="AY18">
        <f>_xlfn.XLOOKUP($B18, Constants!$D$21:$D$39,Constants!K$21:K$39)</f>
        <v>0</v>
      </c>
      <c r="AZ18">
        <f>_xlfn.XLOOKUP($B18, Constants!$D$21:$D$39,Constants!L$21:L$39)</f>
        <v>0</v>
      </c>
      <c r="BA18" s="11">
        <f>Constants!$E$9</f>
        <v>0.15</v>
      </c>
      <c r="BB18" s="11">
        <f>Constants!$E$10</f>
        <v>0</v>
      </c>
      <c r="BC18" s="11">
        <f>Constants!$E$11</f>
        <v>0.2</v>
      </c>
      <c r="BD18" s="11">
        <f t="shared" si="2"/>
        <v>5.3753999999999981E-3</v>
      </c>
      <c r="BE18" s="11">
        <f t="shared" si="2"/>
        <v>4.7429999999999981E-3</v>
      </c>
      <c r="BF18" s="11">
        <f t="shared" si="2"/>
        <v>2.5295999999999995E-3</v>
      </c>
      <c r="BG18" s="11">
        <f t="shared" si="6"/>
        <v>1.2647999999999996E-2</v>
      </c>
      <c r="BH18" s="11">
        <f>(($BD18*Q18)+($BE18*V18)+($BF18*AA18))*AV18*$AH18*Constants!$I$2</f>
        <v>1.9305907199999997E-5</v>
      </c>
      <c r="BI18" s="11">
        <f>(($BD18*R18)+($BE18*W18)+($BF18*AB18))*AW18*$AH18*Constants!$I$2</f>
        <v>1.1776603391999994E-5</v>
      </c>
      <c r="BJ18" s="11">
        <f>(($BD18*S18)+($BE18*X18)+($BF18*AC18))*AX18*$AH18*Constants!$I$2</f>
        <v>4.1700759551999988E-5</v>
      </c>
      <c r="BK18" s="11">
        <f>(($BD18*T18)+($BE18*Y18)+($BF18*AD18))*AY18*$AH18*Constants!$I$2</f>
        <v>0</v>
      </c>
      <c r="BL18" s="11">
        <f>(($BD18*U18)+($BE18*Z18)+($BF18*AE18))*AZ18*$AH18*Constants!$I$2</f>
        <v>0</v>
      </c>
      <c r="BM18">
        <f t="shared" si="7"/>
        <v>5.4297863999999993</v>
      </c>
      <c r="BN18">
        <f t="shared" si="3"/>
        <v>3.3121697039999982</v>
      </c>
      <c r="BO18">
        <f t="shared" si="3"/>
        <v>11.728338623999997</v>
      </c>
      <c r="BP18">
        <f t="shared" si="3"/>
        <v>0</v>
      </c>
      <c r="BQ18">
        <f t="shared" si="3"/>
        <v>0</v>
      </c>
      <c r="BR18">
        <f t="shared" si="8"/>
        <v>20.470294727999995</v>
      </c>
      <c r="BS18" s="12">
        <f t="shared" si="9"/>
        <v>38.388589847999995</v>
      </c>
    </row>
    <row r="19" spans="1:72" x14ac:dyDescent="0.2">
      <c r="A19" t="str">
        <f>'Input Scenarios'!A40</f>
        <v>TAS</v>
      </c>
      <c r="B19">
        <f>'Input Scenarios'!B40</f>
        <v>20</v>
      </c>
      <c r="C19" t="str">
        <f>'Input Scenarios'!C40</f>
        <v>Irrigated pasture</v>
      </c>
      <c r="D19" t="str">
        <f>'Input Scenarios'!D40</f>
        <v>wet</v>
      </c>
      <c r="E19" t="b">
        <f>'Input Scenarios'!E40</f>
        <v>1</v>
      </c>
      <c r="F19" t="str">
        <f>'Input Scenarios'!F40</f>
        <v>layers</v>
      </c>
      <c r="G19">
        <f>'Input Scenarios'!G40</f>
        <v>3333</v>
      </c>
      <c r="H19">
        <f>'Input Scenarios'!H40</f>
        <v>111</v>
      </c>
      <c r="I19">
        <f>IF('Input Scenarios'!I40&lt;&gt;"", 'Input Scenarios'!I40,_xlfn.XLOOKUP($F19,Constants!$A$2:$A$5,Constants!B$2:B$5))</f>
        <v>8.5999999999999993E-2</v>
      </c>
      <c r="J19">
        <f>IF('Input Scenarios'!J40&lt;&gt;"", 'Input Scenarios'!J40,_xlfn.XLOOKUP($F19,Constants!$A$2:$A$5,Constants!C$2:C$5))</f>
        <v>0.9</v>
      </c>
      <c r="K19">
        <f>IF('Input Scenarios'!K40&lt;&gt;"", 'Input Scenarios'!K40,_xlfn.XLOOKUP($F19,Constants!$A$2:$A$5,Constants!D$2:D$5))</f>
        <v>0.18</v>
      </c>
      <c r="L19">
        <f>IF('Input Scenarios'!L40&lt;&gt;"", 'Input Scenarios'!L40,_xlfn.XLOOKUP($F19,Constants!$A$2:$A$5,Constants!E$2:E$5))</f>
        <v>0.35</v>
      </c>
      <c r="M19">
        <f>'Input Scenarios'!M40</f>
        <v>0</v>
      </c>
      <c r="N19">
        <f>'Input Scenarios'!N40</f>
        <v>0.9</v>
      </c>
      <c r="O19">
        <f>'Input Scenarios'!O40</f>
        <v>0</v>
      </c>
      <c r="P19">
        <f>'Input Scenarios'!P40</f>
        <v>0.1</v>
      </c>
      <c r="Q19">
        <f>'Input Scenarios'!Q40</f>
        <v>1</v>
      </c>
      <c r="R19">
        <f>'Input Scenarios'!R40</f>
        <v>0</v>
      </c>
      <c r="S19">
        <f>'Input Scenarios'!S40</f>
        <v>0</v>
      </c>
      <c r="T19">
        <f>'Input Scenarios'!T40</f>
        <v>0</v>
      </c>
      <c r="U19">
        <f>'Input Scenarios'!U40</f>
        <v>0</v>
      </c>
      <c r="V19">
        <f>'Input Scenarios'!V40</f>
        <v>0</v>
      </c>
      <c r="W19">
        <f>'Input Scenarios'!W40</f>
        <v>1</v>
      </c>
      <c r="X19">
        <f>'Input Scenarios'!X40</f>
        <v>0</v>
      </c>
      <c r="Y19">
        <f>'Input Scenarios'!Y40</f>
        <v>0</v>
      </c>
      <c r="Z19">
        <f>'Input Scenarios'!Z40</f>
        <v>0</v>
      </c>
      <c r="AA19">
        <f>'Input Scenarios'!AA40</f>
        <v>0</v>
      </c>
      <c r="AB19">
        <f>'Input Scenarios'!AB40</f>
        <v>0</v>
      </c>
      <c r="AC19">
        <f>'Input Scenarios'!AC40</f>
        <v>1</v>
      </c>
      <c r="AD19">
        <f>'Input Scenarios'!AD40</f>
        <v>0</v>
      </c>
      <c r="AE19">
        <f>'Input Scenarios'!AE40</f>
        <v>0</v>
      </c>
      <c r="AF19">
        <f t="shared" si="0"/>
        <v>7.0519999999999975E-3</v>
      </c>
      <c r="AG19">
        <f>IF(F19="", "",_xlfn.XLOOKUP(F19,Constants!$A$2:$A$5,Constants!F$2:F$5))</f>
        <v>0.18</v>
      </c>
      <c r="AH19">
        <f>IF(F19="", "",_xlfn.XLOOKUP(F19,Constants!$A$2:$A$5,Constants!G$2:G$5))</f>
        <v>0.39</v>
      </c>
      <c r="AI19">
        <f>_xlfn.XLOOKUP($B19, Constants!$D$21:$D$39,Constants!E$21:E$39)</f>
        <v>1.4999999999999999E-2</v>
      </c>
      <c r="AJ19">
        <f>_xlfn.XLOOKUP($B19, Constants!$D$21:$D$39,Constants!F$21:F$39)</f>
        <v>1.4999999999999999E-2</v>
      </c>
      <c r="AK19">
        <f>_xlfn.XLOOKUP($B19, Constants!$D$21:$D$39,Constants!G$21:G$39)</f>
        <v>1.4999999999999999E-2</v>
      </c>
      <c r="AL19">
        <f>_xlfn.XLOOKUP($A19, Constants!$F$8:$M$8,Constants!$F$16:$M$16)</f>
        <v>0.01</v>
      </c>
      <c r="AM19" s="12">
        <f>$AF19*$AH19*M19*AI19*Constants!$I$2</f>
        <v>0</v>
      </c>
      <c r="AN19" s="12">
        <f>$AF19*$AH19*N19*AJ19*Constants!$I$2</f>
        <v>2.5188164351999993E-5</v>
      </c>
      <c r="AO19" s="12">
        <f>$AF19*$AH19*O19*AK19*Constants!$I$2</f>
        <v>0</v>
      </c>
      <c r="AP19" s="12">
        <f>$AF19*$AH19*P19*AL19*Constants!$I$2</f>
        <v>1.8657899519999995E-6</v>
      </c>
      <c r="AQ19" s="12">
        <f t="shared" si="4"/>
        <v>0</v>
      </c>
      <c r="AR19" s="12">
        <f t="shared" si="1"/>
        <v>9.318688848158974</v>
      </c>
      <c r="AS19" s="12">
        <f t="shared" si="1"/>
        <v>0</v>
      </c>
      <c r="AT19" s="12">
        <f t="shared" si="1"/>
        <v>0.69027324801177592</v>
      </c>
      <c r="AU19" s="12">
        <f t="shared" si="5"/>
        <v>10.00896209617075</v>
      </c>
      <c r="AV19">
        <f>_xlfn.XLOOKUP($B19, Constants!$D$21:$D$39,Constants!H$21:H$39)</f>
        <v>0.02</v>
      </c>
      <c r="AW19">
        <f>_xlfn.XLOOKUP($B19, Constants!$D$21:$D$39,Constants!I$21:I$39)</f>
        <v>0.01</v>
      </c>
      <c r="AX19">
        <f>_xlfn.XLOOKUP($B19, Constants!$D$21:$D$39,Constants!J$21:J$39)</f>
        <v>0.1</v>
      </c>
      <c r="AY19">
        <f>_xlfn.XLOOKUP($B19, Constants!$D$21:$D$39,Constants!K$21:K$39)</f>
        <v>0</v>
      </c>
      <c r="AZ19">
        <f>_xlfn.XLOOKUP($B19, Constants!$D$21:$D$39,Constants!L$21:L$39)</f>
        <v>0</v>
      </c>
      <c r="BA19">
        <f>Constants!$E$9</f>
        <v>0.15</v>
      </c>
      <c r="BB19">
        <f>Constants!$E$10</f>
        <v>0</v>
      </c>
      <c r="BC19">
        <f>Constants!$E$11</f>
        <v>0.2</v>
      </c>
      <c r="BD19">
        <f t="shared" si="2"/>
        <v>0</v>
      </c>
      <c r="BE19">
        <f t="shared" si="2"/>
        <v>6.3467999999999979E-3</v>
      </c>
      <c r="BF19">
        <f t="shared" si="2"/>
        <v>0</v>
      </c>
      <c r="BG19">
        <f t="shared" si="6"/>
        <v>6.3467999999999979E-3</v>
      </c>
      <c r="BH19">
        <f>(($BD19*Q19)+($BE19*V19)+($BF19*AA19))*AV19*$AH19*Constants!$I$2</f>
        <v>0</v>
      </c>
      <c r="BI19">
        <f>(($BD19*R19)+($BE19*W19)+($BF19*AB19))*AW19*$AH19*Constants!$I$2</f>
        <v>1.6792109567999995E-5</v>
      </c>
      <c r="BJ19">
        <f>(($BD19*S19)+($BE19*X19)+($BF19*AC19))*AX19*$AH19*Constants!$I$2</f>
        <v>0</v>
      </c>
      <c r="BK19">
        <f>(($BD19*T19)+($BE19*Y19)+($BF19*AD19))*AY19*$AH19*Constants!$I$2</f>
        <v>0</v>
      </c>
      <c r="BL19">
        <f>(($BD19*U19)+($BE19*Z19)+($BF19*AE19))*AZ19*$AH19*Constants!$I$2</f>
        <v>0</v>
      </c>
      <c r="BM19">
        <f t="shared" si="7"/>
        <v>0</v>
      </c>
      <c r="BN19">
        <f t="shared" si="3"/>
        <v>6.2124592321059824</v>
      </c>
      <c r="BO19">
        <f t="shared" si="3"/>
        <v>0</v>
      </c>
      <c r="BP19">
        <f t="shared" si="3"/>
        <v>0</v>
      </c>
      <c r="BQ19">
        <f t="shared" si="3"/>
        <v>0</v>
      </c>
      <c r="BR19">
        <f t="shared" si="8"/>
        <v>6.2124592321059824</v>
      </c>
      <c r="BS19" s="12">
        <f t="shared" si="9"/>
        <v>16.221421328276733</v>
      </c>
      <c r="BT19">
        <f>SUM(BS19:BS22)/1000</f>
        <v>0.13661977032831282</v>
      </c>
    </row>
    <row r="20" spans="1:72" x14ac:dyDescent="0.2">
      <c r="A20" t="str">
        <f>'Input Scenarios'!A41</f>
        <v>TAS</v>
      </c>
      <c r="B20">
        <f>'Input Scenarios'!B41</f>
        <v>20</v>
      </c>
      <c r="C20" t="str">
        <f>'Input Scenarios'!C41</f>
        <v>Irrigated pasture</v>
      </c>
      <c r="D20" t="str">
        <f>'Input Scenarios'!D41</f>
        <v>wet</v>
      </c>
      <c r="E20" t="b">
        <f>'Input Scenarios'!E41</f>
        <v>1</v>
      </c>
      <c r="F20" t="str">
        <f>'Input Scenarios'!F41</f>
        <v>meatChickenBreeder</v>
      </c>
      <c r="G20">
        <f>'Input Scenarios'!G41</f>
        <v>3333</v>
      </c>
      <c r="H20">
        <f>'Input Scenarios'!H41</f>
        <v>111</v>
      </c>
      <c r="I20">
        <f>IF('Input Scenarios'!I41&lt;&gt;"", 'Input Scenarios'!I41,_xlfn.XLOOKUP($F20,Constants!$A$2:$A$5,Constants!B$2:B$5))</f>
        <v>0.10299999999999999</v>
      </c>
      <c r="J20">
        <f>IF('Input Scenarios'!J41&lt;&gt;"", 'Input Scenarios'!J41,_xlfn.XLOOKUP($F20,Constants!$A$2:$A$5,Constants!C$2:C$5))</f>
        <v>0.7</v>
      </c>
      <c r="K20">
        <f>IF('Input Scenarios'!K41&lt;&gt;"", 'Input Scenarios'!K41,_xlfn.XLOOKUP($F20,Constants!$A$2:$A$5,Constants!D$2:D$5))</f>
        <v>0.19</v>
      </c>
      <c r="L20">
        <f>IF('Input Scenarios'!L41&lt;&gt;"", 'Input Scenarios'!L41,_xlfn.XLOOKUP($F20,Constants!$A$2:$A$5,Constants!E$2:E$5))</f>
        <v>0.32</v>
      </c>
      <c r="M20">
        <f>'Input Scenarios'!M41</f>
        <v>0</v>
      </c>
      <c r="N20">
        <f>'Input Scenarios'!N41</f>
        <v>0.9</v>
      </c>
      <c r="O20">
        <f>'Input Scenarios'!O41</f>
        <v>0</v>
      </c>
      <c r="P20">
        <f>'Input Scenarios'!P41</f>
        <v>0.1</v>
      </c>
      <c r="Q20">
        <f>'Input Scenarios'!Q41</f>
        <v>1</v>
      </c>
      <c r="R20">
        <f>'Input Scenarios'!R41</f>
        <v>0</v>
      </c>
      <c r="S20">
        <f>'Input Scenarios'!S41</f>
        <v>0</v>
      </c>
      <c r="T20">
        <f>'Input Scenarios'!T41</f>
        <v>0</v>
      </c>
      <c r="U20">
        <f>'Input Scenarios'!U41</f>
        <v>0</v>
      </c>
      <c r="V20">
        <f>'Input Scenarios'!V41</f>
        <v>0</v>
      </c>
      <c r="W20">
        <f>'Input Scenarios'!W41</f>
        <v>1</v>
      </c>
      <c r="X20">
        <f>'Input Scenarios'!X41</f>
        <v>0</v>
      </c>
      <c r="Y20">
        <f>'Input Scenarios'!Y41</f>
        <v>0</v>
      </c>
      <c r="Z20">
        <f>'Input Scenarios'!Z41</f>
        <v>0</v>
      </c>
      <c r="AA20">
        <f>'Input Scenarios'!AA41</f>
        <v>0</v>
      </c>
      <c r="AB20">
        <f>'Input Scenarios'!AB41</f>
        <v>0</v>
      </c>
      <c r="AC20">
        <f>'Input Scenarios'!AC41</f>
        <v>1</v>
      </c>
      <c r="AD20">
        <f>'Input Scenarios'!AD41</f>
        <v>0</v>
      </c>
      <c r="AE20">
        <f>'Input Scenarios'!AE41</f>
        <v>0</v>
      </c>
      <c r="AF20">
        <f t="shared" si="0"/>
        <v>2.5338000000000006E-2</v>
      </c>
      <c r="AG20">
        <f>IF(F20="", "",_xlfn.XLOOKUP(F20,Constants!$A$2:$A$5,Constants!F$2:F$5))</f>
        <v>0.18</v>
      </c>
      <c r="AH20">
        <f>IF(F20="", "",_xlfn.XLOOKUP(F20,Constants!$A$2:$A$5,Constants!G$2:G$5))</f>
        <v>0.36</v>
      </c>
      <c r="AI20">
        <f>_xlfn.XLOOKUP($B20, Constants!$D$21:$D$39,Constants!E$21:E$39)</f>
        <v>1.4999999999999999E-2</v>
      </c>
      <c r="AJ20">
        <f>_xlfn.XLOOKUP($B20, Constants!$D$21:$D$39,Constants!F$21:F$39)</f>
        <v>1.4999999999999999E-2</v>
      </c>
      <c r="AK20">
        <f>_xlfn.XLOOKUP($B20, Constants!$D$21:$D$39,Constants!G$21:G$39)</f>
        <v>1.4999999999999999E-2</v>
      </c>
      <c r="AL20">
        <f>_xlfn.XLOOKUP($A20, Constants!$F$8:$M$8,Constants!$F$16:$M$16)</f>
        <v>0.01</v>
      </c>
      <c r="AM20" s="12">
        <f>$AF20*$AH20*M20*AI20*Constants!$I$2</f>
        <v>0</v>
      </c>
      <c r="AN20" s="12">
        <f>$AF20*$AH20*N20*AJ20*Constants!$I$2</f>
        <v>8.3539994112000009E-5</v>
      </c>
      <c r="AO20" s="12">
        <f>$AF20*$AH20*O20*AK20*Constants!$I$2</f>
        <v>0</v>
      </c>
      <c r="AP20" s="12">
        <f>$AF20*$AH20*P20*AL20*Constants!$I$2</f>
        <v>6.1881477120000012E-6</v>
      </c>
      <c r="AQ20" s="12">
        <f t="shared" si="4"/>
        <v>0</v>
      </c>
      <c r="AR20" s="12">
        <f t="shared" si="1"/>
        <v>30.906706841657858</v>
      </c>
      <c r="AS20" s="12">
        <f t="shared" si="1"/>
        <v>0</v>
      </c>
      <c r="AT20" s="12">
        <f t="shared" si="1"/>
        <v>2.2893856919746565</v>
      </c>
      <c r="AU20" s="12">
        <f t="shared" si="5"/>
        <v>33.196092533632516</v>
      </c>
      <c r="AV20">
        <f>_xlfn.XLOOKUP($B20, Constants!$D$21:$D$39,Constants!H$21:H$39)</f>
        <v>0.02</v>
      </c>
      <c r="AW20">
        <f>_xlfn.XLOOKUP($B20, Constants!$D$21:$D$39,Constants!I$21:I$39)</f>
        <v>0.01</v>
      </c>
      <c r="AX20">
        <f>_xlfn.XLOOKUP($B20, Constants!$D$21:$D$39,Constants!J$21:J$39)</f>
        <v>0.1</v>
      </c>
      <c r="AY20">
        <f>_xlfn.XLOOKUP($B20, Constants!$D$21:$D$39,Constants!K$21:K$39)</f>
        <v>0</v>
      </c>
      <c r="AZ20">
        <f>_xlfn.XLOOKUP($B20, Constants!$D$21:$D$39,Constants!L$21:L$39)</f>
        <v>0</v>
      </c>
      <c r="BA20">
        <f>Constants!$E$9</f>
        <v>0.15</v>
      </c>
      <c r="BB20">
        <f>Constants!$E$10</f>
        <v>0</v>
      </c>
      <c r="BC20">
        <f>Constants!$E$11</f>
        <v>0.2</v>
      </c>
      <c r="BD20">
        <f t="shared" si="2"/>
        <v>0</v>
      </c>
      <c r="BE20">
        <f t="shared" si="2"/>
        <v>2.2804200000000007E-2</v>
      </c>
      <c r="BF20">
        <f t="shared" si="2"/>
        <v>0</v>
      </c>
      <c r="BG20">
        <f t="shared" si="6"/>
        <v>2.2804200000000007E-2</v>
      </c>
      <c r="BH20">
        <f>(($BD20*Q20)+($BE20*V20)+($BF20*AA20))*AV20*$AH20*Constants!$I$2</f>
        <v>0</v>
      </c>
      <c r="BI20">
        <f>(($BD20*R20)+($BE20*W20)+($BF20*AB20))*AW20*$AH20*Constants!$I$2</f>
        <v>5.5693329408000019E-5</v>
      </c>
      <c r="BJ20">
        <f>(($BD20*S20)+($BE20*X20)+($BF20*AC20))*AX20*$AH20*Constants!$I$2</f>
        <v>0</v>
      </c>
      <c r="BK20">
        <f>(($BD20*T20)+($BE20*Y20)+($BF20*AD20))*AY20*$AH20*Constants!$I$2</f>
        <v>0</v>
      </c>
      <c r="BL20">
        <f>(($BD20*U20)+($BE20*Z20)+($BF20*AE20))*AZ20*$AH20*Constants!$I$2</f>
        <v>0</v>
      </c>
      <c r="BM20">
        <f t="shared" si="7"/>
        <v>0</v>
      </c>
      <c r="BN20">
        <f t="shared" si="3"/>
        <v>20.60447122777191</v>
      </c>
      <c r="BO20">
        <f t="shared" si="3"/>
        <v>0</v>
      </c>
      <c r="BP20">
        <f t="shared" si="3"/>
        <v>0</v>
      </c>
      <c r="BQ20">
        <f t="shared" si="3"/>
        <v>0</v>
      </c>
      <c r="BR20">
        <f t="shared" si="8"/>
        <v>20.60447122777191</v>
      </c>
      <c r="BS20" s="12">
        <f t="shared" si="9"/>
        <v>53.800563761404426</v>
      </c>
    </row>
    <row r="21" spans="1:72" x14ac:dyDescent="0.2">
      <c r="A21" t="str">
        <f>'Input Scenarios'!A42</f>
        <v>TAS</v>
      </c>
      <c r="B21">
        <f>'Input Scenarios'!B42</f>
        <v>20</v>
      </c>
      <c r="C21" t="str">
        <f>'Input Scenarios'!C42</f>
        <v>Irrigated pasture</v>
      </c>
      <c r="D21" t="str">
        <f>'Input Scenarios'!D42</f>
        <v>wet</v>
      </c>
      <c r="E21" t="b">
        <f>'Input Scenarios'!E42</f>
        <v>1</v>
      </c>
      <c r="F21" t="str">
        <f>'Input Scenarios'!F42</f>
        <v>meatChickenGrowers</v>
      </c>
      <c r="G21">
        <f>'Input Scenarios'!G42</f>
        <v>3333</v>
      </c>
      <c r="H21">
        <f>'Input Scenarios'!H42</f>
        <v>111</v>
      </c>
      <c r="I21">
        <f>IF('Input Scenarios'!I42&lt;&gt;"", 'Input Scenarios'!I42,_xlfn.XLOOKUP($F21,Constants!$A$2:$A$5,Constants!B$2:B$5))</f>
        <v>0.09</v>
      </c>
      <c r="J21">
        <f>IF('Input Scenarios'!J42&lt;&gt;"", 'Input Scenarios'!J42,_xlfn.XLOOKUP($F21,Constants!$A$2:$A$5,Constants!C$2:C$5))</f>
        <v>0.9</v>
      </c>
      <c r="K21">
        <f>IF('Input Scenarios'!K42&lt;&gt;"", 'Input Scenarios'!K42,_xlfn.XLOOKUP($F21,Constants!$A$2:$A$5,Constants!D$2:D$5))</f>
        <v>0.18</v>
      </c>
      <c r="L21">
        <f>IF('Input Scenarios'!L42&lt;&gt;"", 'Input Scenarios'!L42,_xlfn.XLOOKUP($F21,Constants!$A$2:$A$5,Constants!E$2:E$5))</f>
        <v>0.47</v>
      </c>
      <c r="M21">
        <f>'Input Scenarios'!M42</f>
        <v>0</v>
      </c>
      <c r="N21">
        <f>'Input Scenarios'!N42</f>
        <v>0.9</v>
      </c>
      <c r="O21">
        <f>'Input Scenarios'!O42</f>
        <v>0</v>
      </c>
      <c r="P21">
        <f>'Input Scenarios'!P42</f>
        <v>0.1</v>
      </c>
      <c r="Q21">
        <f>'Input Scenarios'!Q42</f>
        <v>1</v>
      </c>
      <c r="R21">
        <f>'Input Scenarios'!R42</f>
        <v>0</v>
      </c>
      <c r="S21">
        <f>'Input Scenarios'!S42</f>
        <v>0</v>
      </c>
      <c r="T21">
        <f>'Input Scenarios'!T42</f>
        <v>0</v>
      </c>
      <c r="U21">
        <f>'Input Scenarios'!U42</f>
        <v>0</v>
      </c>
      <c r="V21">
        <f>'Input Scenarios'!V42</f>
        <v>0</v>
      </c>
      <c r="W21">
        <f>'Input Scenarios'!W42</f>
        <v>1</v>
      </c>
      <c r="X21">
        <f>'Input Scenarios'!X42</f>
        <v>0</v>
      </c>
      <c r="Y21">
        <f>'Input Scenarios'!Y42</f>
        <v>0</v>
      </c>
      <c r="Z21">
        <f>'Input Scenarios'!Z42</f>
        <v>0</v>
      </c>
      <c r="AA21">
        <f>'Input Scenarios'!AA42</f>
        <v>0</v>
      </c>
      <c r="AB21">
        <f>'Input Scenarios'!AB42</f>
        <v>0</v>
      </c>
      <c r="AC21">
        <f>'Input Scenarios'!AC42</f>
        <v>1</v>
      </c>
      <c r="AD21">
        <f>'Input Scenarios'!AD42</f>
        <v>0</v>
      </c>
      <c r="AE21">
        <f>'Input Scenarios'!AE42</f>
        <v>0</v>
      </c>
      <c r="AF21">
        <f t="shared" si="0"/>
        <v>7.6499999999999979E-3</v>
      </c>
      <c r="AG21">
        <f>IF(F21="", "",_xlfn.XLOOKUP(F21,Constants!$A$2:$A$5,Constants!F$2:F$5))</f>
        <v>0.15</v>
      </c>
      <c r="AH21">
        <f>IF(F21="", "",_xlfn.XLOOKUP(F21,Constants!$A$2:$A$5,Constants!G$2:G$5))</f>
        <v>0.36</v>
      </c>
      <c r="AI21">
        <f>_xlfn.XLOOKUP($B21, Constants!$D$21:$D$39,Constants!E$21:E$39)</f>
        <v>1.4999999999999999E-2</v>
      </c>
      <c r="AJ21">
        <f>_xlfn.XLOOKUP($B21, Constants!$D$21:$D$39,Constants!F$21:F$39)</f>
        <v>1.4999999999999999E-2</v>
      </c>
      <c r="AK21">
        <f>_xlfn.XLOOKUP($B21, Constants!$D$21:$D$39,Constants!G$21:G$39)</f>
        <v>1.4999999999999999E-2</v>
      </c>
      <c r="AL21">
        <f>_xlfn.XLOOKUP($A21, Constants!$F$8:$M$8,Constants!$F$16:$M$16)</f>
        <v>0.01</v>
      </c>
      <c r="AM21" s="12">
        <f>$AF21*$AH21*M21*AI21*Constants!$I$2</f>
        <v>0</v>
      </c>
      <c r="AN21" s="12">
        <f>$AF21*$AH21*N21*AJ21*Constants!$I$2</f>
        <v>2.522223359999999E-5</v>
      </c>
      <c r="AO21" s="12">
        <f>$AF21*$AH21*O21*AK21*Constants!$I$2</f>
        <v>0</v>
      </c>
      <c r="AP21" s="12">
        <f>$AF21*$AH21*P21*AL21*Constants!$I$2</f>
        <v>1.8683135999999995E-6</v>
      </c>
      <c r="AQ21" s="12">
        <f t="shared" si="4"/>
        <v>0</v>
      </c>
      <c r="AR21" s="12">
        <f t="shared" si="1"/>
        <v>9.3312932093567973</v>
      </c>
      <c r="AS21" s="12">
        <f t="shared" si="1"/>
        <v>0</v>
      </c>
      <c r="AT21" s="12">
        <f t="shared" si="1"/>
        <v>0.69120690439679988</v>
      </c>
      <c r="AU21" s="12">
        <f t="shared" si="5"/>
        <v>10.022500113753598</v>
      </c>
      <c r="AV21">
        <f>_xlfn.XLOOKUP($B21, Constants!$D$21:$D$39,Constants!H$21:H$39)</f>
        <v>0.02</v>
      </c>
      <c r="AW21">
        <f>_xlfn.XLOOKUP($B21, Constants!$D$21:$D$39,Constants!I$21:I$39)</f>
        <v>0.01</v>
      </c>
      <c r="AX21">
        <f>_xlfn.XLOOKUP($B21, Constants!$D$21:$D$39,Constants!J$21:J$39)</f>
        <v>0.1</v>
      </c>
      <c r="AY21">
        <f>_xlfn.XLOOKUP($B21, Constants!$D$21:$D$39,Constants!K$21:K$39)</f>
        <v>0</v>
      </c>
      <c r="AZ21">
        <f>_xlfn.XLOOKUP($B21, Constants!$D$21:$D$39,Constants!L$21:L$39)</f>
        <v>0</v>
      </c>
      <c r="BA21">
        <f>Constants!$E$9</f>
        <v>0.15</v>
      </c>
      <c r="BB21">
        <f>Constants!$E$10</f>
        <v>0</v>
      </c>
      <c r="BC21">
        <f>Constants!$E$11</f>
        <v>0.2</v>
      </c>
      <c r="BD21">
        <f t="shared" si="2"/>
        <v>0</v>
      </c>
      <c r="BE21">
        <f t="shared" si="2"/>
        <v>6.8849999999999979E-3</v>
      </c>
      <c r="BF21">
        <f t="shared" si="2"/>
        <v>0</v>
      </c>
      <c r="BG21">
        <f t="shared" si="6"/>
        <v>6.8849999999999979E-3</v>
      </c>
      <c r="BH21">
        <f>(($BD21*Q21)+($BE21*V21)+($BF21*AA21))*AV21*$AH21*Constants!$I$2</f>
        <v>0</v>
      </c>
      <c r="BI21">
        <f>(($BD21*R21)+($BE21*W21)+($BF21*AB21))*AW21*$AH21*Constants!$I$2</f>
        <v>1.6814822399999994E-5</v>
      </c>
      <c r="BJ21">
        <f>(($BD21*S21)+($BE21*X21)+($BF21*AC21))*AX21*$AH21*Constants!$I$2</f>
        <v>0</v>
      </c>
      <c r="BK21">
        <f>(($BD21*T21)+($BE21*Y21)+($BF21*AD21))*AY21*$AH21*Constants!$I$2</f>
        <v>0</v>
      </c>
      <c r="BL21">
        <f>(($BD21*U21)+($BE21*Z21)+($BF21*AE21))*AZ21*$AH21*Constants!$I$2</f>
        <v>0</v>
      </c>
      <c r="BM21">
        <f t="shared" si="7"/>
        <v>0</v>
      </c>
      <c r="BN21">
        <f t="shared" si="3"/>
        <v>6.2208621395711976</v>
      </c>
      <c r="BO21">
        <f t="shared" si="3"/>
        <v>0</v>
      </c>
      <c r="BP21">
        <f t="shared" si="3"/>
        <v>0</v>
      </c>
      <c r="BQ21">
        <f t="shared" si="3"/>
        <v>0</v>
      </c>
      <c r="BR21">
        <f t="shared" si="8"/>
        <v>6.2208621395711976</v>
      </c>
      <c r="BS21" s="12">
        <f t="shared" si="9"/>
        <v>16.243362253324797</v>
      </c>
    </row>
    <row r="22" spans="1:72" s="11" customFormat="1" x14ac:dyDescent="0.2">
      <c r="A22" t="str">
        <f>'Input Scenarios'!A43</f>
        <v>TAS</v>
      </c>
      <c r="B22">
        <f>'Input Scenarios'!B43</f>
        <v>20</v>
      </c>
      <c r="C22" t="str">
        <f>'Input Scenarios'!C43</f>
        <v>Irrigated pasture</v>
      </c>
      <c r="D22" t="str">
        <f>'Input Scenarios'!D43</f>
        <v>wet</v>
      </c>
      <c r="E22" t="b">
        <f>'Input Scenarios'!E43</f>
        <v>1</v>
      </c>
      <c r="F22" t="str">
        <f>'Input Scenarios'!F43</f>
        <v>meatOther</v>
      </c>
      <c r="G22">
        <f>'Input Scenarios'!G43</f>
        <v>3333</v>
      </c>
      <c r="H22">
        <f>'Input Scenarios'!H43</f>
        <v>111</v>
      </c>
      <c r="I22">
        <f>IF('Input Scenarios'!I43&lt;&gt;"", 'Input Scenarios'!I43,_xlfn.XLOOKUP($F22,Constants!$A$2:$A$5,Constants!B$2:B$5))</f>
        <v>9.2999999999999999E-2</v>
      </c>
      <c r="J22">
        <f>IF('Input Scenarios'!J43&lt;&gt;"", 'Input Scenarios'!J43,_xlfn.XLOOKUP($F22,Constants!$A$2:$A$5,Constants!C$2:C$5))</f>
        <v>0.7</v>
      </c>
      <c r="K22">
        <f>IF('Input Scenarios'!K43&lt;&gt;"", 'Input Scenarios'!K43,_xlfn.XLOOKUP($F22,Constants!$A$2:$A$5,Constants!D$2:D$5))</f>
        <v>0.23</v>
      </c>
      <c r="L22">
        <f>IF('Input Scenarios'!L43&lt;&gt;"", 'Input Scenarios'!L43,_xlfn.XLOOKUP($F22,Constants!$A$2:$A$5,Constants!E$2:E$5))</f>
        <v>0.47</v>
      </c>
      <c r="M22">
        <f>'Input Scenarios'!M43</f>
        <v>0</v>
      </c>
      <c r="N22">
        <f>'Input Scenarios'!N43</f>
        <v>0.9</v>
      </c>
      <c r="O22">
        <f>'Input Scenarios'!O43</f>
        <v>0</v>
      </c>
      <c r="P22">
        <f>'Input Scenarios'!P43</f>
        <v>0.1</v>
      </c>
      <c r="Q22">
        <f>'Input Scenarios'!Q43</f>
        <v>1</v>
      </c>
      <c r="R22">
        <f>'Input Scenarios'!R43</f>
        <v>0</v>
      </c>
      <c r="S22">
        <f>'Input Scenarios'!S43</f>
        <v>0</v>
      </c>
      <c r="T22">
        <f>'Input Scenarios'!T43</f>
        <v>0</v>
      </c>
      <c r="U22">
        <f>'Input Scenarios'!U43</f>
        <v>0</v>
      </c>
      <c r="V22">
        <f>'Input Scenarios'!V43</f>
        <v>0</v>
      </c>
      <c r="W22">
        <f>'Input Scenarios'!W43</f>
        <v>1</v>
      </c>
      <c r="X22">
        <f>'Input Scenarios'!X43</f>
        <v>0</v>
      </c>
      <c r="Y22">
        <f>'Input Scenarios'!Y43</f>
        <v>0</v>
      </c>
      <c r="Z22">
        <f>'Input Scenarios'!Z43</f>
        <v>0</v>
      </c>
      <c r="AA22">
        <f>'Input Scenarios'!AA43</f>
        <v>0</v>
      </c>
      <c r="AB22">
        <f>'Input Scenarios'!AB43</f>
        <v>0</v>
      </c>
      <c r="AC22">
        <f>'Input Scenarios'!AC43</f>
        <v>1</v>
      </c>
      <c r="AD22">
        <f>'Input Scenarios'!AD43</f>
        <v>0</v>
      </c>
      <c r="AE22">
        <f>'Input Scenarios'!AE43</f>
        <v>0</v>
      </c>
      <c r="AF22">
        <f t="shared" si="0"/>
        <v>2.3715000000000003E-2</v>
      </c>
      <c r="AG22" s="11">
        <f>IF(F22="", "",_xlfn.XLOOKUP(F22,Constants!$A$2:$A$5,Constants!F$2:F$5))</f>
        <v>0.15</v>
      </c>
      <c r="AH22" s="11">
        <f>IF(F22="", "",_xlfn.XLOOKUP(F22,Constants!$A$2:$A$5,Constants!G$2:G$5))</f>
        <v>0.36</v>
      </c>
      <c r="AI22">
        <f>_xlfn.XLOOKUP($B22, Constants!$D$21:$D$39,Constants!E$21:E$39)</f>
        <v>1.4999999999999999E-2</v>
      </c>
      <c r="AJ22">
        <f>_xlfn.XLOOKUP($B22, Constants!$D$21:$D$39,Constants!F$21:F$39)</f>
        <v>1.4999999999999999E-2</v>
      </c>
      <c r="AK22">
        <f>_xlfn.XLOOKUP($B22, Constants!$D$21:$D$39,Constants!G$21:G$39)</f>
        <v>1.4999999999999999E-2</v>
      </c>
      <c r="AL22" s="11">
        <f>_xlfn.XLOOKUP($A22, Constants!$F$8:$M$8,Constants!$F$16:$M$16)</f>
        <v>0.01</v>
      </c>
      <c r="AM22" s="12">
        <f>$AF22*$AH22*M22*AI22*Constants!$I$2</f>
        <v>0</v>
      </c>
      <c r="AN22" s="12">
        <f>$AF22*$AH22*N22*AJ22*Constants!$I$2</f>
        <v>7.8188924160000009E-5</v>
      </c>
      <c r="AO22" s="12">
        <f>$AF22*$AH22*O22*AK22*Constants!$I$2</f>
        <v>0</v>
      </c>
      <c r="AP22" s="12">
        <f>$AF22*$AH22*P22*AL22*Constants!$I$2</f>
        <v>5.7917721600000008E-6</v>
      </c>
      <c r="AQ22" s="16">
        <f t="shared" si="4"/>
        <v>0</v>
      </c>
      <c r="AR22" s="16">
        <f t="shared" si="1"/>
        <v>28.927008949006083</v>
      </c>
      <c r="AS22" s="16">
        <f t="shared" si="1"/>
        <v>0</v>
      </c>
      <c r="AT22" s="16">
        <f t="shared" si="1"/>
        <v>2.14274140363008</v>
      </c>
      <c r="AU22" s="16">
        <f t="shared" si="5"/>
        <v>31.069750352636163</v>
      </c>
      <c r="AV22">
        <f>_xlfn.XLOOKUP($B22, Constants!$D$21:$D$39,Constants!H$21:H$39)</f>
        <v>0.02</v>
      </c>
      <c r="AW22">
        <f>_xlfn.XLOOKUP($B22, Constants!$D$21:$D$39,Constants!I$21:I$39)</f>
        <v>0.01</v>
      </c>
      <c r="AX22">
        <f>_xlfn.XLOOKUP($B22, Constants!$D$21:$D$39,Constants!J$21:J$39)</f>
        <v>0.1</v>
      </c>
      <c r="AY22">
        <f>_xlfn.XLOOKUP($B22, Constants!$D$21:$D$39,Constants!K$21:K$39)</f>
        <v>0</v>
      </c>
      <c r="AZ22">
        <f>_xlfn.XLOOKUP($B22, Constants!$D$21:$D$39,Constants!L$21:L$39)</f>
        <v>0</v>
      </c>
      <c r="BA22" s="11">
        <f>Constants!$E$9</f>
        <v>0.15</v>
      </c>
      <c r="BB22" s="11">
        <f>Constants!$E$10</f>
        <v>0</v>
      </c>
      <c r="BC22" s="11">
        <f>Constants!$E$11</f>
        <v>0.2</v>
      </c>
      <c r="BD22" s="11">
        <f t="shared" si="2"/>
        <v>0</v>
      </c>
      <c r="BE22" s="11">
        <f t="shared" si="2"/>
        <v>2.1343500000000005E-2</v>
      </c>
      <c r="BF22" s="11">
        <f t="shared" si="2"/>
        <v>0</v>
      </c>
      <c r="BG22" s="11">
        <f t="shared" si="6"/>
        <v>2.1343500000000005E-2</v>
      </c>
      <c r="BH22" s="11">
        <f>(($BD22*Q22)+($BE22*V22)+($BF22*AA22))*AV22*$AH22*Constants!$I$2</f>
        <v>0</v>
      </c>
      <c r="BI22" s="11">
        <f>(($BD22*R22)+($BE22*W22)+($BF22*AB22))*AW22*$AH22*Constants!$I$2</f>
        <v>5.2125949440000008E-5</v>
      </c>
      <c r="BJ22" s="11">
        <f>(($BD22*S22)+($BE22*X22)+($BF22*AC22))*AX22*$AH22*Constants!$I$2</f>
        <v>0</v>
      </c>
      <c r="BK22" s="11">
        <f>(($BD22*T22)+($BE22*Y22)+($BF22*AD22))*AY22*$AH22*Constants!$I$2</f>
        <v>0</v>
      </c>
      <c r="BL22" s="11">
        <f>(($BD22*U22)+($BE22*Z22)+($BF22*AE22))*AZ22*$AH22*Constants!$I$2</f>
        <v>0</v>
      </c>
      <c r="BM22">
        <f t="shared" si="7"/>
        <v>0</v>
      </c>
      <c r="BN22">
        <f t="shared" si="3"/>
        <v>19.284672632670723</v>
      </c>
      <c r="BO22">
        <f t="shared" si="3"/>
        <v>0</v>
      </c>
      <c r="BP22">
        <f t="shared" si="3"/>
        <v>0</v>
      </c>
      <c r="BQ22">
        <f t="shared" si="3"/>
        <v>0</v>
      </c>
      <c r="BR22">
        <f t="shared" si="8"/>
        <v>19.284672632670723</v>
      </c>
      <c r="BS22" s="12">
        <f t="shared" si="9"/>
        <v>50.354422985306883</v>
      </c>
    </row>
    <row r="23" spans="1:72" x14ac:dyDescent="0.2">
      <c r="A23" t="str">
        <f>'Input Scenarios'!A44</f>
        <v>NT</v>
      </c>
      <c r="B23">
        <f>'Input Scenarios'!B44</f>
        <v>27</v>
      </c>
      <c r="C23" t="str">
        <f>'Input Scenarios'!C44</f>
        <v>Non-irrigated crop (high rainfall)</v>
      </c>
      <c r="D23" t="str">
        <f>'Input Scenarios'!D44</f>
        <v>dry</v>
      </c>
      <c r="E23" t="b">
        <f>'Input Scenarios'!E44</f>
        <v>0</v>
      </c>
      <c r="F23" t="str">
        <f>'Input Scenarios'!F44</f>
        <v>layers</v>
      </c>
      <c r="G23">
        <f>'Input Scenarios'!G44</f>
        <v>1234</v>
      </c>
      <c r="H23">
        <f>'Input Scenarios'!H44</f>
        <v>150</v>
      </c>
      <c r="I23">
        <f>IF('Input Scenarios'!I44&lt;&gt;"", 'Input Scenarios'!I44,_xlfn.XLOOKUP($F23,Constants!$A$2:$A$5,Constants!B$2:B$5))</f>
        <v>8.5999999999999993E-2</v>
      </c>
      <c r="J23">
        <f>IF('Input Scenarios'!J44&lt;&gt;"", 'Input Scenarios'!J44,_xlfn.XLOOKUP($F23,Constants!$A$2:$A$5,Constants!C$2:C$5))</f>
        <v>0.8</v>
      </c>
      <c r="K23">
        <f>IF('Input Scenarios'!K44&lt;&gt;"", 'Input Scenarios'!K44,_xlfn.XLOOKUP($F23,Constants!$A$2:$A$5,Constants!D$2:D$5))</f>
        <v>0.19</v>
      </c>
      <c r="L23">
        <f>IF('Input Scenarios'!L44&lt;&gt;"", 'Input Scenarios'!L44,_xlfn.XLOOKUP($F23,Constants!$A$2:$A$5,Constants!E$2:E$5))</f>
        <v>0.35</v>
      </c>
      <c r="M23">
        <f>'Input Scenarios'!M44</f>
        <v>0.1</v>
      </c>
      <c r="N23">
        <f>'Input Scenarios'!N44</f>
        <v>0</v>
      </c>
      <c r="O23">
        <f>'Input Scenarios'!O44</f>
        <v>0</v>
      </c>
      <c r="P23">
        <f>'Input Scenarios'!P44</f>
        <v>0.9</v>
      </c>
      <c r="Q23">
        <f>'Input Scenarios'!Q44</f>
        <v>0</v>
      </c>
      <c r="R23">
        <f>'Input Scenarios'!R44</f>
        <v>0.9</v>
      </c>
      <c r="S23">
        <f>'Input Scenarios'!S44</f>
        <v>0.1</v>
      </c>
      <c r="T23">
        <f>'Input Scenarios'!T44</f>
        <v>0</v>
      </c>
      <c r="U23">
        <f>'Input Scenarios'!U44</f>
        <v>0</v>
      </c>
      <c r="V23">
        <f>'Input Scenarios'!V44</f>
        <v>0</v>
      </c>
      <c r="W23">
        <f>'Input Scenarios'!W44</f>
        <v>1</v>
      </c>
      <c r="X23">
        <f>'Input Scenarios'!X44</f>
        <v>0</v>
      </c>
      <c r="Y23">
        <f>'Input Scenarios'!Y44</f>
        <v>0</v>
      </c>
      <c r="Z23">
        <f>'Input Scenarios'!Z44</f>
        <v>0</v>
      </c>
      <c r="AA23">
        <f>'Input Scenarios'!AA44</f>
        <v>0</v>
      </c>
      <c r="AB23">
        <f>'Input Scenarios'!AB44</f>
        <v>0</v>
      </c>
      <c r="AC23">
        <f>'Input Scenarios'!AC44</f>
        <v>1</v>
      </c>
      <c r="AD23">
        <f>'Input Scenarios'!AD44</f>
        <v>0</v>
      </c>
      <c r="AE23">
        <f>'Input Scenarios'!AE44</f>
        <v>0</v>
      </c>
      <c r="AF23">
        <f t="shared" si="0"/>
        <v>1.4103999999999995E-2</v>
      </c>
      <c r="AG23">
        <f>IF(F23="", "",_xlfn.XLOOKUP(F23,Constants!$A$2:$A$5,Constants!F$2:F$5))</f>
        <v>0.18</v>
      </c>
      <c r="AH23">
        <f>IF(F23="", "",_xlfn.XLOOKUP(F23,Constants!$A$2:$A$5,Constants!G$2:G$5))</f>
        <v>0.39</v>
      </c>
      <c r="AI23">
        <f>_xlfn.XLOOKUP($B23, Constants!$D$21:$D$39,Constants!E$21:E$39)</f>
        <v>1.4999999999999999E-2</v>
      </c>
      <c r="AJ23">
        <f>_xlfn.XLOOKUP($B23, Constants!$D$21:$D$39,Constants!F$21:F$39)</f>
        <v>1.4999999999999999E-2</v>
      </c>
      <c r="AK23">
        <f>_xlfn.XLOOKUP($B23, Constants!$D$21:$D$39,Constants!G$21:G$39)</f>
        <v>1.4999999999999999E-2</v>
      </c>
      <c r="AL23">
        <f>_xlfn.XLOOKUP($A23, Constants!$F$8:$M$8,Constants!$F$16:$M$16)</f>
        <v>0.03</v>
      </c>
      <c r="AM23" s="12">
        <f>$AF23*$AH23*M23*AI23*Constants!$I$2</f>
        <v>5.5973698559999982E-6</v>
      </c>
      <c r="AN23" s="12">
        <f>$AF23*$AH23*N23*AJ23*Constants!$I$2</f>
        <v>0</v>
      </c>
      <c r="AO23" s="12">
        <f>$AF23*$AH23*O23*AK23*Constants!$I$2</f>
        <v>0</v>
      </c>
      <c r="AP23" s="12">
        <f>$AF23*$AH23*P23*AL23*Constants!$I$2</f>
        <v>1.0075265740799997E-4</v>
      </c>
      <c r="AQ23" s="12">
        <f t="shared" si="4"/>
        <v>1.0360731603455997</v>
      </c>
      <c r="AR23" s="12">
        <f t="shared" si="1"/>
        <v>0</v>
      </c>
      <c r="AS23" s="12">
        <f t="shared" si="1"/>
        <v>0</v>
      </c>
      <c r="AT23" s="12">
        <f t="shared" si="1"/>
        <v>18.649316886220795</v>
      </c>
      <c r="AU23" s="12">
        <f t="shared" si="5"/>
        <v>19.685390046566393</v>
      </c>
      <c r="AV23">
        <f>_xlfn.XLOOKUP($B23, Constants!$D$21:$D$39,Constants!H$21:H$39)</f>
        <v>0.02</v>
      </c>
      <c r="AW23">
        <f>_xlfn.XLOOKUP($B23, Constants!$D$21:$D$39,Constants!I$21:I$39)</f>
        <v>1.4999999999999999E-2</v>
      </c>
      <c r="AX23">
        <f>_xlfn.XLOOKUP($B23, Constants!$D$21:$D$39,Constants!J$21:J$39)</f>
        <v>0.1</v>
      </c>
      <c r="AY23">
        <f>_xlfn.XLOOKUP($B23, Constants!$D$21:$D$39,Constants!K$21:K$39)</f>
        <v>0</v>
      </c>
      <c r="AZ23">
        <f>_xlfn.XLOOKUP($B23, Constants!$D$21:$D$39,Constants!L$21:L$39)</f>
        <v>0</v>
      </c>
      <c r="BA23">
        <f>Constants!$E$9</f>
        <v>0.15</v>
      </c>
      <c r="BB23">
        <f>Constants!$E$10</f>
        <v>0</v>
      </c>
      <c r="BC23">
        <f>Constants!$E$11</f>
        <v>0.2</v>
      </c>
      <c r="BD23">
        <f t="shared" si="2"/>
        <v>1.1988399999999996E-3</v>
      </c>
      <c r="BE23">
        <f t="shared" si="2"/>
        <v>0</v>
      </c>
      <c r="BF23">
        <f t="shared" si="2"/>
        <v>0</v>
      </c>
      <c r="BG23">
        <f t="shared" si="6"/>
        <v>1.1988399999999996E-3</v>
      </c>
      <c r="BH23">
        <f>(($BD23*Q23)+($BE23*V23)+($BF23*AA23))*AV23*$AH23*Constants!$I$2</f>
        <v>0</v>
      </c>
      <c r="BI23">
        <f>(($BD23*R23)+($BE23*W23)+($BF23*AB23))*AW23*$AH23*Constants!$I$2</f>
        <v>4.2819879398399986E-6</v>
      </c>
      <c r="BJ23">
        <f>(($BD23*S23)+($BE23*X23)+($BF23*AC23))*AX23*$AH23*Constants!$I$2</f>
        <v>3.1718429183999993E-6</v>
      </c>
      <c r="BK23">
        <f>(($BD23*T23)+($BE23*Y23)+($BF23*AD23))*AY23*$AH23*Constants!$I$2</f>
        <v>0</v>
      </c>
      <c r="BL23">
        <f>(($BD23*U23)+($BE23*Z23)+($BF23*AE23))*AZ23*$AH23*Constants!$I$2</f>
        <v>0</v>
      </c>
      <c r="BM23">
        <f t="shared" si="7"/>
        <v>0</v>
      </c>
      <c r="BN23">
        <f t="shared" si="3"/>
        <v>0.79259596766438378</v>
      </c>
      <c r="BO23">
        <f t="shared" si="3"/>
        <v>0.58710812419583991</v>
      </c>
      <c r="BP23">
        <f t="shared" si="3"/>
        <v>0</v>
      </c>
      <c r="BQ23">
        <f t="shared" si="3"/>
        <v>0</v>
      </c>
      <c r="BR23">
        <f t="shared" si="8"/>
        <v>1.3797040918602237</v>
      </c>
      <c r="BS23" s="12">
        <f t="shared" si="9"/>
        <v>21.065094138426616</v>
      </c>
      <c r="BT23">
        <f>SUM(BS23:BS26)/1000</f>
        <v>8.7946928872273122E-2</v>
      </c>
    </row>
    <row r="24" spans="1:72" x14ac:dyDescent="0.2">
      <c r="A24" t="str">
        <f>'Input Scenarios'!A45</f>
        <v>NT</v>
      </c>
      <c r="B24">
        <f>'Input Scenarios'!B45</f>
        <v>27</v>
      </c>
      <c r="C24" t="str">
        <f>'Input Scenarios'!C45</f>
        <v>Non-irrigated crop (high rainfall)</v>
      </c>
      <c r="D24" t="str">
        <f>'Input Scenarios'!D45</f>
        <v>dry</v>
      </c>
      <c r="E24" t="b">
        <f>'Input Scenarios'!E45</f>
        <v>0</v>
      </c>
      <c r="F24" t="str">
        <f>'Input Scenarios'!F45</f>
        <v>meatChickenBreeder</v>
      </c>
      <c r="G24">
        <f>'Input Scenarios'!G45</f>
        <v>1234</v>
      </c>
      <c r="H24">
        <f>'Input Scenarios'!H45</f>
        <v>150</v>
      </c>
      <c r="I24">
        <f>IF('Input Scenarios'!I45&lt;&gt;"", 'Input Scenarios'!I45,_xlfn.XLOOKUP($F24,Constants!$A$2:$A$5,Constants!B$2:B$5))</f>
        <v>0.10299999999999999</v>
      </c>
      <c r="J24">
        <f>IF('Input Scenarios'!J45&lt;&gt;"", 'Input Scenarios'!J45,_xlfn.XLOOKUP($F24,Constants!$A$2:$A$5,Constants!C$2:C$5))</f>
        <v>0.8</v>
      </c>
      <c r="K24">
        <f>IF('Input Scenarios'!K45&lt;&gt;"", 'Input Scenarios'!K45,_xlfn.XLOOKUP($F24,Constants!$A$2:$A$5,Constants!D$2:D$5))</f>
        <v>0.24</v>
      </c>
      <c r="L24">
        <f>IF('Input Scenarios'!L45&lt;&gt;"", 'Input Scenarios'!L45,_xlfn.XLOOKUP($F24,Constants!$A$2:$A$5,Constants!E$2:E$5))</f>
        <v>0.32</v>
      </c>
      <c r="M24">
        <f>'Input Scenarios'!M45</f>
        <v>0.1</v>
      </c>
      <c r="N24">
        <f>'Input Scenarios'!N45</f>
        <v>0</v>
      </c>
      <c r="O24">
        <f>'Input Scenarios'!O45</f>
        <v>0</v>
      </c>
      <c r="P24">
        <f>'Input Scenarios'!P45</f>
        <v>0.9</v>
      </c>
      <c r="Q24">
        <f>'Input Scenarios'!Q45</f>
        <v>0</v>
      </c>
      <c r="R24">
        <f>'Input Scenarios'!R45</f>
        <v>0.9</v>
      </c>
      <c r="S24">
        <f>'Input Scenarios'!S45</f>
        <v>0.1</v>
      </c>
      <c r="T24">
        <f>'Input Scenarios'!T45</f>
        <v>0</v>
      </c>
      <c r="U24">
        <f>'Input Scenarios'!U45</f>
        <v>0</v>
      </c>
      <c r="V24">
        <f>'Input Scenarios'!V45</f>
        <v>0</v>
      </c>
      <c r="W24">
        <f>'Input Scenarios'!W45</f>
        <v>1</v>
      </c>
      <c r="X24">
        <f>'Input Scenarios'!X45</f>
        <v>0</v>
      </c>
      <c r="Y24">
        <f>'Input Scenarios'!Y45</f>
        <v>0</v>
      </c>
      <c r="Z24">
        <f>'Input Scenarios'!Z45</f>
        <v>0</v>
      </c>
      <c r="AA24">
        <f>'Input Scenarios'!AA45</f>
        <v>0</v>
      </c>
      <c r="AB24">
        <f>'Input Scenarios'!AB45</f>
        <v>0</v>
      </c>
      <c r="AC24">
        <f>'Input Scenarios'!AC45</f>
        <v>1</v>
      </c>
      <c r="AD24">
        <f>'Input Scenarios'!AD45</f>
        <v>0</v>
      </c>
      <c r="AE24">
        <f>'Input Scenarios'!AE45</f>
        <v>0</v>
      </c>
      <c r="AF24">
        <f t="shared" si="0"/>
        <v>1.6891999999999997E-2</v>
      </c>
      <c r="AG24">
        <f>IF(F24="", "",_xlfn.XLOOKUP(F24,Constants!$A$2:$A$5,Constants!F$2:F$5))</f>
        <v>0.18</v>
      </c>
      <c r="AH24">
        <f>IF(F24="", "",_xlfn.XLOOKUP(F24,Constants!$A$2:$A$5,Constants!G$2:G$5))</f>
        <v>0.36</v>
      </c>
      <c r="AI24">
        <f>_xlfn.XLOOKUP($B24, Constants!$D$21:$D$39,Constants!E$21:E$39)</f>
        <v>1.4999999999999999E-2</v>
      </c>
      <c r="AJ24">
        <f>_xlfn.XLOOKUP($B24, Constants!$D$21:$D$39,Constants!F$21:F$39)</f>
        <v>1.4999999999999999E-2</v>
      </c>
      <c r="AK24">
        <f>_xlfn.XLOOKUP($B24, Constants!$D$21:$D$39,Constants!G$21:G$39)</f>
        <v>1.4999999999999999E-2</v>
      </c>
      <c r="AL24">
        <f>_xlfn.XLOOKUP($A24, Constants!$F$8:$M$8,Constants!$F$16:$M$16)</f>
        <v>0.03</v>
      </c>
      <c r="AM24" s="12">
        <f>$AF24*$AH24*M24*AI24*Constants!$I$2</f>
        <v>6.1881477119999995E-6</v>
      </c>
      <c r="AN24" s="12">
        <f>$AF24*$AH24*N24*AJ24*Constants!$I$2</f>
        <v>0</v>
      </c>
      <c r="AO24" s="12">
        <f>$AF24*$AH24*O24*AK24*Constants!$I$2</f>
        <v>0</v>
      </c>
      <c r="AP24" s="12">
        <f>$AF24*$AH24*P24*AL24*Constants!$I$2</f>
        <v>1.1138665881599997E-4</v>
      </c>
      <c r="AQ24" s="12">
        <f t="shared" si="4"/>
        <v>1.1454261414911999</v>
      </c>
      <c r="AR24" s="12">
        <f t="shared" si="1"/>
        <v>0</v>
      </c>
      <c r="AS24" s="12">
        <f t="shared" si="1"/>
        <v>0</v>
      </c>
      <c r="AT24" s="12">
        <f t="shared" si="1"/>
        <v>20.617670546841595</v>
      </c>
      <c r="AU24" s="12">
        <f t="shared" si="5"/>
        <v>21.763096688332794</v>
      </c>
      <c r="AV24">
        <f>_xlfn.XLOOKUP($B24, Constants!$D$21:$D$39,Constants!H$21:H$39)</f>
        <v>0.02</v>
      </c>
      <c r="AW24">
        <f>_xlfn.XLOOKUP($B24, Constants!$D$21:$D$39,Constants!I$21:I$39)</f>
        <v>1.4999999999999999E-2</v>
      </c>
      <c r="AX24">
        <f>_xlfn.XLOOKUP($B24, Constants!$D$21:$D$39,Constants!J$21:J$39)</f>
        <v>0.1</v>
      </c>
      <c r="AY24">
        <f>_xlfn.XLOOKUP($B24, Constants!$D$21:$D$39,Constants!K$21:K$39)</f>
        <v>0</v>
      </c>
      <c r="AZ24">
        <f>_xlfn.XLOOKUP($B24, Constants!$D$21:$D$39,Constants!L$21:L$39)</f>
        <v>0</v>
      </c>
      <c r="BA24">
        <f>Constants!$E$9</f>
        <v>0.15</v>
      </c>
      <c r="BB24">
        <f>Constants!$E$10</f>
        <v>0</v>
      </c>
      <c r="BC24">
        <f>Constants!$E$11</f>
        <v>0.2</v>
      </c>
      <c r="BD24">
        <f t="shared" si="2"/>
        <v>1.4358199999999998E-3</v>
      </c>
      <c r="BE24">
        <f t="shared" si="2"/>
        <v>0</v>
      </c>
      <c r="BF24">
        <f t="shared" si="2"/>
        <v>0</v>
      </c>
      <c r="BG24">
        <f t="shared" si="6"/>
        <v>1.4358199999999998E-3</v>
      </c>
      <c r="BH24">
        <f>(($BD24*Q24)+($BE24*V24)+($BF24*AA24))*AV24*$AH24*Constants!$I$2</f>
        <v>0</v>
      </c>
      <c r="BI24">
        <f>(($BD24*R24)+($BE24*W24)+($BF24*AB24))*AW24*$AH24*Constants!$I$2</f>
        <v>4.7339329996799985E-6</v>
      </c>
      <c r="BJ24">
        <f>(($BD24*S24)+($BE24*X24)+($BF24*AC24))*AX24*$AH24*Constants!$I$2</f>
        <v>3.5066170367999997E-6</v>
      </c>
      <c r="BK24">
        <f>(($BD24*T24)+($BE24*Y24)+($BF24*AD24))*AY24*$AH24*Constants!$I$2</f>
        <v>0</v>
      </c>
      <c r="BL24">
        <f>(($BD24*U24)+($BE24*Z24)+($BF24*AE24))*AZ24*$AH24*Constants!$I$2</f>
        <v>0</v>
      </c>
      <c r="BM24">
        <f t="shared" si="7"/>
        <v>0</v>
      </c>
      <c r="BN24">
        <f t="shared" si="3"/>
        <v>0.87625099824076769</v>
      </c>
      <c r="BO24">
        <f t="shared" si="3"/>
        <v>0.64907481351167995</v>
      </c>
      <c r="BP24">
        <f t="shared" si="3"/>
        <v>0</v>
      </c>
      <c r="BQ24">
        <f t="shared" si="3"/>
        <v>0</v>
      </c>
      <c r="BR24">
        <f t="shared" si="8"/>
        <v>1.5253258117524475</v>
      </c>
      <c r="BS24" s="12">
        <f t="shared" si="9"/>
        <v>23.288422500085243</v>
      </c>
    </row>
    <row r="25" spans="1:72" x14ac:dyDescent="0.2">
      <c r="A25" t="str">
        <f>'Input Scenarios'!A46</f>
        <v>NT</v>
      </c>
      <c r="B25">
        <f>'Input Scenarios'!B46</f>
        <v>27</v>
      </c>
      <c r="C25" t="str">
        <f>'Input Scenarios'!C46</f>
        <v>Non-irrigated crop (high rainfall)</v>
      </c>
      <c r="D25" t="str">
        <f>'Input Scenarios'!D46</f>
        <v>dry</v>
      </c>
      <c r="E25" t="b">
        <f>'Input Scenarios'!E46</f>
        <v>0</v>
      </c>
      <c r="F25" t="str">
        <f>'Input Scenarios'!F46</f>
        <v>meatChickenGrowers</v>
      </c>
      <c r="G25">
        <f>'Input Scenarios'!G46</f>
        <v>1234</v>
      </c>
      <c r="H25">
        <f>'Input Scenarios'!H46</f>
        <v>150</v>
      </c>
      <c r="I25">
        <f>IF('Input Scenarios'!I46&lt;&gt;"", 'Input Scenarios'!I46,_xlfn.XLOOKUP($F25,Constants!$A$2:$A$5,Constants!B$2:B$5))</f>
        <v>9.2999999999999999E-2</v>
      </c>
      <c r="J25">
        <f>IF('Input Scenarios'!J46&lt;&gt;"", 'Input Scenarios'!J46,_xlfn.XLOOKUP($F25,Constants!$A$2:$A$5,Constants!C$2:C$5))</f>
        <v>0.8</v>
      </c>
      <c r="K25">
        <f>IF('Input Scenarios'!K46&lt;&gt;"", 'Input Scenarios'!K46,_xlfn.XLOOKUP($F25,Constants!$A$2:$A$5,Constants!D$2:D$5))</f>
        <v>0.18</v>
      </c>
      <c r="L25">
        <f>IF('Input Scenarios'!L46&lt;&gt;"", 'Input Scenarios'!L46,_xlfn.XLOOKUP($F25,Constants!$A$2:$A$5,Constants!E$2:E$5))</f>
        <v>0.47</v>
      </c>
      <c r="M25">
        <f>'Input Scenarios'!M46</f>
        <v>0.1</v>
      </c>
      <c r="N25">
        <f>'Input Scenarios'!N46</f>
        <v>0</v>
      </c>
      <c r="O25">
        <f>'Input Scenarios'!O46</f>
        <v>0</v>
      </c>
      <c r="P25">
        <f>'Input Scenarios'!P46</f>
        <v>0.9</v>
      </c>
      <c r="Q25">
        <f>'Input Scenarios'!Q46</f>
        <v>0</v>
      </c>
      <c r="R25">
        <f>'Input Scenarios'!R46</f>
        <v>0.9</v>
      </c>
      <c r="S25">
        <f>'Input Scenarios'!S46</f>
        <v>0.1</v>
      </c>
      <c r="T25">
        <f>'Input Scenarios'!T46</f>
        <v>0</v>
      </c>
      <c r="U25">
        <f>'Input Scenarios'!U46</f>
        <v>0</v>
      </c>
      <c r="V25">
        <f>'Input Scenarios'!V46</f>
        <v>0</v>
      </c>
      <c r="W25">
        <f>'Input Scenarios'!W46</f>
        <v>1</v>
      </c>
      <c r="X25">
        <f>'Input Scenarios'!X46</f>
        <v>0</v>
      </c>
      <c r="Y25">
        <f>'Input Scenarios'!Y46</f>
        <v>0</v>
      </c>
      <c r="Z25">
        <f>'Input Scenarios'!Z46</f>
        <v>0</v>
      </c>
      <c r="AA25">
        <f>'Input Scenarios'!AA46</f>
        <v>0</v>
      </c>
      <c r="AB25">
        <f>'Input Scenarios'!AB46</f>
        <v>0</v>
      </c>
      <c r="AC25">
        <f>'Input Scenarios'!AC46</f>
        <v>1</v>
      </c>
      <c r="AD25">
        <f>'Input Scenarios'!AD46</f>
        <v>0</v>
      </c>
      <c r="AE25">
        <f>'Input Scenarios'!AE46</f>
        <v>0</v>
      </c>
      <c r="AF25">
        <f t="shared" si="0"/>
        <v>1.5809999999999994E-2</v>
      </c>
      <c r="AG25">
        <f>IF(F25="", "",_xlfn.XLOOKUP(F25,Constants!$A$2:$A$5,Constants!F$2:F$5))</f>
        <v>0.15</v>
      </c>
      <c r="AH25">
        <f>IF(F25="", "",_xlfn.XLOOKUP(F25,Constants!$A$2:$A$5,Constants!G$2:G$5))</f>
        <v>0.36</v>
      </c>
      <c r="AI25">
        <f>_xlfn.XLOOKUP($B25, Constants!$D$21:$D$39,Constants!E$21:E$39)</f>
        <v>1.4999999999999999E-2</v>
      </c>
      <c r="AJ25">
        <f>_xlfn.XLOOKUP($B25, Constants!$D$21:$D$39,Constants!F$21:F$39)</f>
        <v>1.4999999999999999E-2</v>
      </c>
      <c r="AK25">
        <f>_xlfn.XLOOKUP($B25, Constants!$D$21:$D$39,Constants!G$21:G$39)</f>
        <v>1.4999999999999999E-2</v>
      </c>
      <c r="AL25">
        <f>_xlfn.XLOOKUP($A25, Constants!$F$8:$M$8,Constants!$F$16:$M$16)</f>
        <v>0.03</v>
      </c>
      <c r="AM25" s="12">
        <f>$AF25*$AH25*M25*AI25*Constants!$I$2</f>
        <v>5.7917721599999983E-6</v>
      </c>
      <c r="AN25" s="12">
        <f>$AF25*$AH25*N25*AJ25*Constants!$I$2</f>
        <v>0</v>
      </c>
      <c r="AO25" s="12">
        <f>$AF25*$AH25*O25*AK25*Constants!$I$2</f>
        <v>0</v>
      </c>
      <c r="AP25" s="12">
        <f>$AF25*$AH25*P25*AL25*Constants!$I$2</f>
        <v>1.0425189887999996E-4</v>
      </c>
      <c r="AQ25" s="12">
        <f t="shared" si="4"/>
        <v>1.0720570268159997</v>
      </c>
      <c r="AR25" s="12">
        <f t="shared" si="1"/>
        <v>0</v>
      </c>
      <c r="AS25" s="12">
        <f t="shared" si="1"/>
        <v>0</v>
      </c>
      <c r="AT25" s="12">
        <f t="shared" si="1"/>
        <v>19.29702648268799</v>
      </c>
      <c r="AU25" s="12">
        <f t="shared" si="5"/>
        <v>20.369083509503991</v>
      </c>
      <c r="AV25">
        <f>_xlfn.XLOOKUP($B25, Constants!$D$21:$D$39,Constants!H$21:H$39)</f>
        <v>0.02</v>
      </c>
      <c r="AW25">
        <f>_xlfn.XLOOKUP($B25, Constants!$D$21:$D$39,Constants!I$21:I$39)</f>
        <v>1.4999999999999999E-2</v>
      </c>
      <c r="AX25">
        <f>_xlfn.XLOOKUP($B25, Constants!$D$21:$D$39,Constants!J$21:J$39)</f>
        <v>0.1</v>
      </c>
      <c r="AY25">
        <f>_xlfn.XLOOKUP($B25, Constants!$D$21:$D$39,Constants!K$21:K$39)</f>
        <v>0</v>
      </c>
      <c r="AZ25">
        <f>_xlfn.XLOOKUP($B25, Constants!$D$21:$D$39,Constants!L$21:L$39)</f>
        <v>0</v>
      </c>
      <c r="BA25">
        <f>Constants!$E$9</f>
        <v>0.15</v>
      </c>
      <c r="BB25">
        <f>Constants!$E$10</f>
        <v>0</v>
      </c>
      <c r="BC25">
        <f>Constants!$E$11</f>
        <v>0.2</v>
      </c>
      <c r="BD25">
        <f t="shared" si="2"/>
        <v>1.3438499999999995E-3</v>
      </c>
      <c r="BE25">
        <f t="shared" si="2"/>
        <v>0</v>
      </c>
      <c r="BF25">
        <f t="shared" si="2"/>
        <v>0</v>
      </c>
      <c r="BG25">
        <f t="shared" si="6"/>
        <v>1.3438499999999995E-3</v>
      </c>
      <c r="BH25">
        <f>(($BD25*Q25)+($BE25*V25)+($BF25*AA25))*AV25*$AH25*Constants!$I$2</f>
        <v>0</v>
      </c>
      <c r="BI25">
        <f>(($BD25*R25)+($BE25*W25)+($BF25*AB25))*AW25*$AH25*Constants!$I$2</f>
        <v>4.4307057023999981E-6</v>
      </c>
      <c r="BJ25">
        <f>(($BD25*S25)+($BE25*X25)+($BF25*AC25))*AX25*$AH25*Constants!$I$2</f>
        <v>3.2820042239999993E-6</v>
      </c>
      <c r="BK25">
        <f>(($BD25*T25)+($BE25*Y25)+($BF25*AD25))*AY25*$AH25*Constants!$I$2</f>
        <v>0</v>
      </c>
      <c r="BL25">
        <f>(($BD25*U25)+($BE25*Z25)+($BF25*AE25))*AZ25*$AH25*Constants!$I$2</f>
        <v>0</v>
      </c>
      <c r="BM25">
        <f t="shared" si="7"/>
        <v>0</v>
      </c>
      <c r="BN25">
        <f t="shared" si="3"/>
        <v>0.82012362551423967</v>
      </c>
      <c r="BO25">
        <f t="shared" si="3"/>
        <v>0.60749898186239992</v>
      </c>
      <c r="BP25">
        <f t="shared" si="3"/>
        <v>0</v>
      </c>
      <c r="BQ25">
        <f t="shared" si="3"/>
        <v>0</v>
      </c>
      <c r="BR25">
        <f t="shared" si="8"/>
        <v>1.4276226073766396</v>
      </c>
      <c r="BS25" s="12">
        <f t="shared" si="9"/>
        <v>21.796706116880632</v>
      </c>
    </row>
    <row r="26" spans="1:72" s="11" customFormat="1" x14ac:dyDescent="0.2">
      <c r="A26" t="str">
        <f>'Input Scenarios'!A47</f>
        <v>NT</v>
      </c>
      <c r="B26">
        <f>'Input Scenarios'!B47</f>
        <v>27</v>
      </c>
      <c r="C26" t="str">
        <f>'Input Scenarios'!C47</f>
        <v>Non-irrigated crop (high rainfall)</v>
      </c>
      <c r="D26" t="str">
        <f>'Input Scenarios'!D47</f>
        <v>dry</v>
      </c>
      <c r="E26" t="b">
        <f>'Input Scenarios'!E47</f>
        <v>0</v>
      </c>
      <c r="F26" t="str">
        <f>'Input Scenarios'!F47</f>
        <v>meatOther</v>
      </c>
      <c r="G26">
        <f>'Input Scenarios'!G47</f>
        <v>1234</v>
      </c>
      <c r="H26">
        <f>'Input Scenarios'!H47</f>
        <v>150</v>
      </c>
      <c r="I26">
        <f>IF('Input Scenarios'!I47&lt;&gt;"", 'Input Scenarios'!I47,_xlfn.XLOOKUP($F26,Constants!$A$2:$A$5,Constants!B$2:B$5))</f>
        <v>9.2999999999999999E-2</v>
      </c>
      <c r="J26">
        <f>IF('Input Scenarios'!J47&lt;&gt;"", 'Input Scenarios'!J47,_xlfn.XLOOKUP($F26,Constants!$A$2:$A$5,Constants!C$2:C$5))</f>
        <v>0.8</v>
      </c>
      <c r="K26">
        <f>IF('Input Scenarios'!K47&lt;&gt;"", 'Input Scenarios'!K47,_xlfn.XLOOKUP($F26,Constants!$A$2:$A$5,Constants!D$2:D$5))</f>
        <v>0.23</v>
      </c>
      <c r="L26">
        <f>IF('Input Scenarios'!L47&lt;&gt;"", 'Input Scenarios'!L47,_xlfn.XLOOKUP($F26,Constants!$A$2:$A$5,Constants!E$2:E$5))</f>
        <v>0.47</v>
      </c>
      <c r="M26">
        <f>'Input Scenarios'!M47</f>
        <v>0.1</v>
      </c>
      <c r="N26">
        <f>'Input Scenarios'!N47</f>
        <v>0</v>
      </c>
      <c r="O26">
        <f>'Input Scenarios'!O47</f>
        <v>0</v>
      </c>
      <c r="P26">
        <f>'Input Scenarios'!P47</f>
        <v>0.9</v>
      </c>
      <c r="Q26">
        <f>'Input Scenarios'!Q47</f>
        <v>0</v>
      </c>
      <c r="R26">
        <f>'Input Scenarios'!R47</f>
        <v>0.9</v>
      </c>
      <c r="S26">
        <f>'Input Scenarios'!S47</f>
        <v>0.1</v>
      </c>
      <c r="T26">
        <f>'Input Scenarios'!T47</f>
        <v>0</v>
      </c>
      <c r="U26">
        <f>'Input Scenarios'!U47</f>
        <v>0</v>
      </c>
      <c r="V26">
        <f>'Input Scenarios'!V47</f>
        <v>0</v>
      </c>
      <c r="W26">
        <f>'Input Scenarios'!W47</f>
        <v>1</v>
      </c>
      <c r="X26">
        <f>'Input Scenarios'!X47</f>
        <v>0</v>
      </c>
      <c r="Y26">
        <f>'Input Scenarios'!Y47</f>
        <v>0</v>
      </c>
      <c r="Z26">
        <f>'Input Scenarios'!Z47</f>
        <v>0</v>
      </c>
      <c r="AA26">
        <f>'Input Scenarios'!AA47</f>
        <v>0</v>
      </c>
      <c r="AB26">
        <f>'Input Scenarios'!AB47</f>
        <v>0</v>
      </c>
      <c r="AC26">
        <f>'Input Scenarios'!AC47</f>
        <v>1</v>
      </c>
      <c r="AD26">
        <f>'Input Scenarios'!AD47</f>
        <v>0</v>
      </c>
      <c r="AE26">
        <f>'Input Scenarios'!AE47</f>
        <v>0</v>
      </c>
      <c r="AF26">
        <f t="shared" si="0"/>
        <v>1.5809999999999994E-2</v>
      </c>
      <c r="AG26" s="11">
        <f>IF(F26="", "",_xlfn.XLOOKUP(F26,Constants!$A$2:$A$5,Constants!F$2:F$5))</f>
        <v>0.15</v>
      </c>
      <c r="AH26" s="11">
        <f>IF(F26="", "",_xlfn.XLOOKUP(F26,Constants!$A$2:$A$5,Constants!G$2:G$5))</f>
        <v>0.36</v>
      </c>
      <c r="AI26">
        <f>_xlfn.XLOOKUP($B26, Constants!$D$21:$D$39,Constants!E$21:E$39)</f>
        <v>1.4999999999999999E-2</v>
      </c>
      <c r="AJ26">
        <f>_xlfn.XLOOKUP($B26, Constants!$D$21:$D$39,Constants!F$21:F$39)</f>
        <v>1.4999999999999999E-2</v>
      </c>
      <c r="AK26">
        <f>_xlfn.XLOOKUP($B26, Constants!$D$21:$D$39,Constants!G$21:G$39)</f>
        <v>1.4999999999999999E-2</v>
      </c>
      <c r="AL26" s="11">
        <f>_xlfn.XLOOKUP($A26, Constants!$F$8:$M$8,Constants!$F$16:$M$16)</f>
        <v>0.03</v>
      </c>
      <c r="AM26" s="12">
        <f>$AF26*$AH26*M26*AI26*Constants!$I$2</f>
        <v>5.7917721599999983E-6</v>
      </c>
      <c r="AN26" s="12">
        <f>$AF26*$AH26*N26*AJ26*Constants!$I$2</f>
        <v>0</v>
      </c>
      <c r="AO26" s="12">
        <f>$AF26*$AH26*O26*AK26*Constants!$I$2</f>
        <v>0</v>
      </c>
      <c r="AP26" s="12">
        <f>$AF26*$AH26*P26*AL26*Constants!$I$2</f>
        <v>1.0425189887999996E-4</v>
      </c>
      <c r="AQ26" s="16">
        <f t="shared" si="4"/>
        <v>1.0720570268159997</v>
      </c>
      <c r="AR26" s="16">
        <f t="shared" si="1"/>
        <v>0</v>
      </c>
      <c r="AS26" s="16">
        <f t="shared" si="1"/>
        <v>0</v>
      </c>
      <c r="AT26" s="16">
        <f t="shared" si="1"/>
        <v>19.29702648268799</v>
      </c>
      <c r="AU26" s="16">
        <f t="shared" si="5"/>
        <v>20.369083509503991</v>
      </c>
      <c r="AV26">
        <f>_xlfn.XLOOKUP($B26, Constants!$D$21:$D$39,Constants!H$21:H$39)</f>
        <v>0.02</v>
      </c>
      <c r="AW26">
        <f>_xlfn.XLOOKUP($B26, Constants!$D$21:$D$39,Constants!I$21:I$39)</f>
        <v>1.4999999999999999E-2</v>
      </c>
      <c r="AX26">
        <f>_xlfn.XLOOKUP($B26, Constants!$D$21:$D$39,Constants!J$21:J$39)</f>
        <v>0.1</v>
      </c>
      <c r="AY26">
        <f>_xlfn.XLOOKUP($B26, Constants!$D$21:$D$39,Constants!K$21:K$39)</f>
        <v>0</v>
      </c>
      <c r="AZ26">
        <f>_xlfn.XLOOKUP($B26, Constants!$D$21:$D$39,Constants!L$21:L$39)</f>
        <v>0</v>
      </c>
      <c r="BA26" s="11">
        <f>Constants!$E$9</f>
        <v>0.15</v>
      </c>
      <c r="BB26" s="11">
        <f>Constants!$E$10</f>
        <v>0</v>
      </c>
      <c r="BC26" s="11">
        <f>Constants!$E$11</f>
        <v>0.2</v>
      </c>
      <c r="BD26" s="11">
        <f t="shared" si="2"/>
        <v>1.3438499999999995E-3</v>
      </c>
      <c r="BE26" s="11">
        <f t="shared" si="2"/>
        <v>0</v>
      </c>
      <c r="BF26" s="11">
        <f t="shared" si="2"/>
        <v>0</v>
      </c>
      <c r="BG26" s="11">
        <f t="shared" si="6"/>
        <v>1.3438499999999995E-3</v>
      </c>
      <c r="BH26" s="11">
        <f>(($BD26*Q26)+($BE26*V26)+($BF26*AA26))*AV26*$AH26*Constants!$I$2</f>
        <v>0</v>
      </c>
      <c r="BI26" s="11">
        <f>(($BD26*R26)+($BE26*W26)+($BF26*AB26))*AW26*$AH26*Constants!$I$2</f>
        <v>4.4307057023999981E-6</v>
      </c>
      <c r="BJ26" s="11">
        <f>(($BD26*S26)+($BE26*X26)+($BF26*AC26))*AX26*$AH26*Constants!$I$2</f>
        <v>3.2820042239999993E-6</v>
      </c>
      <c r="BK26" s="11">
        <f>(($BD26*T26)+($BE26*Y26)+($BF26*AD26))*AY26*$AH26*Constants!$I$2</f>
        <v>0</v>
      </c>
      <c r="BL26" s="11">
        <f>(($BD26*U26)+($BE26*Z26)+($BF26*AE26))*AZ26*$AH26*Constants!$I$2</f>
        <v>0</v>
      </c>
      <c r="BM26">
        <f t="shared" si="7"/>
        <v>0</v>
      </c>
      <c r="BN26">
        <f t="shared" si="3"/>
        <v>0.82012362551423967</v>
      </c>
      <c r="BO26">
        <f t="shared" si="3"/>
        <v>0.60749898186239992</v>
      </c>
      <c r="BP26">
        <f t="shared" si="3"/>
        <v>0</v>
      </c>
      <c r="BQ26">
        <f t="shared" si="3"/>
        <v>0</v>
      </c>
      <c r="BR26">
        <f>SUM(BM26:BQ26)</f>
        <v>1.4276226073766396</v>
      </c>
      <c r="BS26" s="12">
        <f t="shared" si="9"/>
        <v>21.796706116880632</v>
      </c>
    </row>
    <row r="27" spans="1:72" x14ac:dyDescent="0.2">
      <c r="AF27" t="str">
        <f>IF(F27="", "",I27*(1-#REF!)*(1-AG27))</f>
        <v/>
      </c>
      <c r="AG27" t="str">
        <f>IF(F27="", "",_xlfn.XLOOKUP(F27,Constants!$A$2:$A$5,Constants!F$2:F$5))</f>
        <v/>
      </c>
      <c r="AH27" t="str">
        <f>IF(F27="", "",_xlfn.XLOOKUP(F27,Constants!$A$2:$A$5,Constants!G$2:G$5))</f>
        <v/>
      </c>
      <c r="AP27" t="str">
        <f>IF(ISBLANK(M27),"",$AF$26*$AH$26*N27*AI27*Constants!$I$2)</f>
        <v/>
      </c>
      <c r="AU27" t="str">
        <f>IF(ISBLANK(G27), "", $G$26*AK27*$H$26)</f>
        <v/>
      </c>
      <c r="AZ27" t="str">
        <f>IF(ISBLANK(M27), "", $G$26*AP27*$H$26)</f>
        <v/>
      </c>
      <c r="BA27" t="str">
        <f>IF(OR(ISBLANK(M27), M27="pastureRangeAndPaddock"), "",_xlfn.XLOOKUP(M27,Constants!$B$9:$B$17,Constants!$E$9:$E$17))</f>
        <v/>
      </c>
      <c r="BF27" t="str">
        <f>IF(OR(ISBLANK(M27), M27="pastureRangeAndPaddock"), "",$AF$21*N27*(1-BA27))</f>
        <v/>
      </c>
      <c r="BG27" t="str">
        <f>IF(F27="", "",SUM(BF27:BF29))</f>
        <v/>
      </c>
      <c r="BT27" t="str">
        <f>IF(F27="", "", SUM(AZ27:AZ30,BQ27:BQ31)/1000)</f>
        <v/>
      </c>
    </row>
    <row r="28" spans="1:72" x14ac:dyDescent="0.2">
      <c r="AF28" t="str">
        <f>IF(F28="", "",I28*(1-#REF!)*(1-AG28))</f>
        <v/>
      </c>
      <c r="AG28" t="str">
        <f>IF(F28="", "",_xlfn.XLOOKUP(F28,Constants!$A$2:$A$5,Constants!F$2:F$5))</f>
        <v/>
      </c>
      <c r="AH28" t="str">
        <f>IF(F28="", "",_xlfn.XLOOKUP(F28,Constants!$A$2:$A$5,Constants!G$2:G$5))</f>
        <v/>
      </c>
      <c r="AP28" t="str">
        <f>IF(ISBLANK(M28),"",$AF$26*$AH$26*N28*AI28*Constants!$I$2)</f>
        <v/>
      </c>
      <c r="AU28" t="str">
        <f>IF(ISBLANK(G28), "", $G$26*AK28*$H$26)</f>
        <v/>
      </c>
      <c r="AZ28" t="str">
        <f>IF(ISBLANK(M28), "", $G$26*AP28*$H$26)</f>
        <v/>
      </c>
      <c r="BA28" t="str">
        <f>IF(OR(ISBLANK(M28), M28="pastureRangeAndPaddock"), "",_xlfn.XLOOKUP(M28,Constants!$B$9:$B$17,Constants!$E$9:$E$17))</f>
        <v/>
      </c>
      <c r="BF28" t="str">
        <f>IF(OR(ISBLANK(M28), M28="pastureRangeAndPaddock"), "",$AF$21*N28*(1-BA28))</f>
        <v/>
      </c>
      <c r="BG28" t="str">
        <f>IF(F28="", "",SUM(BF28:BF30))</f>
        <v/>
      </c>
      <c r="BT28" t="str">
        <f>IF(F28="", "", SUM(AZ28:AZ31,BF28:BF32)/1000)</f>
        <v/>
      </c>
    </row>
    <row r="29" spans="1:72" x14ac:dyDescent="0.2">
      <c r="AF29" t="str">
        <f>IF(F29="", "",I29*(1-#REF!)*(1-AG29))</f>
        <v/>
      </c>
      <c r="AG29" t="str">
        <f>IF(F29="", "",_xlfn.XLOOKUP(F29,Constants!$A$2:$A$5,Constants!F$2:F$5))</f>
        <v/>
      </c>
      <c r="AH29" t="str">
        <f>IF(F29="", "",_xlfn.XLOOKUP(F29,Constants!$A$2:$A$5,Constants!G$2:G$5))</f>
        <v/>
      </c>
      <c r="AP29" t="str">
        <f>IF(ISBLANK(M29),"",$AF$26*$AH$26*N29*AI29*Constants!$I$2)</f>
        <v/>
      </c>
      <c r="AU29" t="str">
        <f>IF(ISBLANK(G29), "", $G$26*AK29*$H$26)</f>
        <v/>
      </c>
      <c r="AZ29" t="str">
        <f>IF(ISBLANK(M29), "", $G$26*AP29*$H$26)</f>
        <v/>
      </c>
      <c r="BA29" t="str">
        <f>IF(OR(ISBLANK(M29), M29="pastureRangeAndPaddock"), "",_xlfn.XLOOKUP(M29,Constants!$B$9:$B$17,Constants!$E$9:$E$17))</f>
        <v/>
      </c>
      <c r="BF29" t="str">
        <f>IF(OR(ISBLANK(M29), M29="pastureRangeAndPaddock"), "",$AF$21*N29*(1-BA29))</f>
        <v/>
      </c>
      <c r="BG29" t="str">
        <f>IF(F29="", "",SUM(BF29:BF31))</f>
        <v/>
      </c>
      <c r="BT29" t="str">
        <f>IF(F29="", "", SUM(AL29:AL32,BF29:BF33)/1000)</f>
        <v/>
      </c>
    </row>
    <row r="30" spans="1:72" x14ac:dyDescent="0.2">
      <c r="AF30" t="str">
        <f>IF(F30="", "",I30*(1-#REF!)*(1-AG30))</f>
        <v/>
      </c>
      <c r="AG30" t="str">
        <f>IF(F30="", "",_xlfn.XLOOKUP(F30,Constants!$A$2:$A$5,Constants!F$2:F$5))</f>
        <v/>
      </c>
      <c r="AH30" t="str">
        <f>IF(F30="", "",_xlfn.XLOOKUP(F30,Constants!$A$2:$A$5,Constants!G$2:G$5))</f>
        <v/>
      </c>
      <c r="AP30" t="str">
        <f>IF(ISBLANK(M30),"",$AF$26*$AH$26*N30*AI30*Constants!$I$2)</f>
        <v/>
      </c>
      <c r="AU30" t="str">
        <f>IF(ISBLANK(G30), "", $G$26*AK30*$H$26)</f>
        <v/>
      </c>
      <c r="AZ30" t="str">
        <f>IF(ISBLANK(M30), "", $G$26*AP30*$H$26)</f>
        <v/>
      </c>
      <c r="BA30" t="str">
        <f>IF(OR(ISBLANK(M30), M30="pastureRangeAndPaddock"), "",_xlfn.XLOOKUP(M30,Constants!$B$9:$B$17,Constants!$E$9:$E$17))</f>
        <v/>
      </c>
      <c r="BF30" t="str">
        <f>IF(OR(ISBLANK(M30), M30="pastureRangeAndPaddock"), "",$AF$21*N30*(1-BA30))</f>
        <v/>
      </c>
      <c r="BG30" t="str">
        <f>IF(F30="", "",SUM(AP30:AP32))</f>
        <v/>
      </c>
      <c r="BT30" t="str">
        <f>IF(F30="", "", SUM(AL30:AL33,BF30:BF34)/1000)</f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I30"/>
  <sheetViews>
    <sheetView topLeftCell="AE3" workbookViewId="0">
      <selection activeCell="CA10" sqref="CA10:CB26"/>
    </sheetView>
  </sheetViews>
  <sheetFormatPr baseColWidth="10" defaultRowHeight="16" x14ac:dyDescent="0.2"/>
  <cols>
    <col min="6" max="6" width="22.6640625" customWidth="1"/>
    <col min="58" max="58" width="12.1640625" bestFit="1" customWidth="1"/>
    <col min="59" max="76" width="12.1640625" customWidth="1"/>
    <col min="77" max="78" width="12.1640625" bestFit="1" customWidth="1"/>
  </cols>
  <sheetData>
    <row r="2" spans="1:87" x14ac:dyDescent="0.2">
      <c r="A2" t="s">
        <v>30</v>
      </c>
    </row>
    <row r="4" spans="1:87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87" x14ac:dyDescent="0.2">
      <c r="K5" t="s">
        <v>0</v>
      </c>
      <c r="AF5" t="s">
        <v>0</v>
      </c>
      <c r="BF5" t="s">
        <v>97</v>
      </c>
    </row>
    <row r="6" spans="1:87" x14ac:dyDescent="0.2">
      <c r="BF6" t="s">
        <v>91</v>
      </c>
      <c r="BX6" t="s">
        <v>98</v>
      </c>
    </row>
    <row r="8" spans="1:87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87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182</v>
      </c>
      <c r="BK10" s="1" t="s">
        <v>183</v>
      </c>
      <c r="BL10" s="1" t="s">
        <v>184</v>
      </c>
      <c r="BM10" s="1" t="s">
        <v>185</v>
      </c>
      <c r="BN10" s="1" t="s">
        <v>68</v>
      </c>
      <c r="BO10" s="1" t="s">
        <v>96</v>
      </c>
      <c r="BP10" s="10" t="s">
        <v>186</v>
      </c>
      <c r="BQ10" s="10" t="s">
        <v>187</v>
      </c>
      <c r="BR10" s="19" t="s">
        <v>188</v>
      </c>
      <c r="BS10" s="19" t="s">
        <v>189</v>
      </c>
      <c r="BT10" s="19" t="s">
        <v>190</v>
      </c>
      <c r="BU10" s="19" t="s">
        <v>192</v>
      </c>
      <c r="BV10" s="19" t="s">
        <v>193</v>
      </c>
      <c r="BW10" s="19" t="s">
        <v>191</v>
      </c>
      <c r="BX10" s="10" t="s">
        <v>195</v>
      </c>
      <c r="BY10" s="10" t="s">
        <v>194</v>
      </c>
      <c r="BZ10" s="10" t="s">
        <v>92</v>
      </c>
    </row>
    <row r="11" spans="1:87" x14ac:dyDescent="0.2">
      <c r="A11" t="str">
        <f>'Input Scenarios'!A8</f>
        <v>NSW</v>
      </c>
      <c r="B11">
        <f>'Input Scenarios'!B8</f>
        <v>0</v>
      </c>
      <c r="C11" t="str">
        <f>'Input Scenarios'!C8</f>
        <v>Non-irrigated pasture</v>
      </c>
      <c r="D11" t="str">
        <f>'Input Scenarios'!D8</f>
        <v>wet</v>
      </c>
      <c r="E11" t="b">
        <f>'Input Scenarios'!E8</f>
        <v>1</v>
      </c>
      <c r="F11" t="str">
        <f>'Input Scenarios'!F8</f>
        <v>layers</v>
      </c>
      <c r="G11">
        <f>'Input Scenarios'!G8</f>
        <v>5000</v>
      </c>
      <c r="H11">
        <f>'Input Scenarios'!H8</f>
        <v>50</v>
      </c>
      <c r="I11">
        <f>IF('Input Scenarios'!I8&lt;&gt;"", 'Input Scenarios'!I8,_xlfn.XLOOKUP($F11,Constants!$A$2:$A$5,Constants!B$2:B$5))</f>
        <v>8.5999999999999993E-2</v>
      </c>
      <c r="J11">
        <f>IF('Input Scenarios'!J8&lt;&gt;"", 'Input Scenarios'!J8,_xlfn.XLOOKUP($F11,Constants!$A$2:$A$5,Constants!C$2:C$5))</f>
        <v>0.8</v>
      </c>
      <c r="K11">
        <f>IF('Input Scenarios'!K8&lt;&gt;"", 'Input Scenarios'!K8,_xlfn.XLOOKUP($F11,Constants!$A$2:$A$5,Constants!D$2:D$5))</f>
        <v>0.19</v>
      </c>
      <c r="L11">
        <f>IF('Input Scenarios'!L8&lt;&gt;"", 'Input Scenarios'!L8,_xlfn.XLOOKUP($F11,Constants!$A$2:$A$5,Constants!E$2:E$5))</f>
        <v>0.35</v>
      </c>
      <c r="M11">
        <f>'Input Scenarios'!M8</f>
        <v>0.1</v>
      </c>
      <c r="N11">
        <f>'Input Scenarios'!N8</f>
        <v>0.2</v>
      </c>
      <c r="O11">
        <f>'Input Scenarios'!O8</f>
        <v>0.3</v>
      </c>
      <c r="P11">
        <f>'Input Scenarios'!P8</f>
        <v>0.4</v>
      </c>
      <c r="Q11">
        <f>'Input Scenarios'!Q8</f>
        <v>0.15</v>
      </c>
      <c r="R11">
        <f>'Input Scenarios'!R8</f>
        <v>0.2</v>
      </c>
      <c r="S11">
        <f>'Input Scenarios'!S8</f>
        <v>0.25</v>
      </c>
      <c r="T11">
        <f>'Input Scenarios'!T8</f>
        <v>0.17</v>
      </c>
      <c r="U11">
        <f>'Input Scenarios'!U8</f>
        <v>0.23</v>
      </c>
      <c r="V11">
        <f>'Input Scenarios'!V8</f>
        <v>0.15</v>
      </c>
      <c r="W11">
        <f>'Input Scenarios'!W8</f>
        <v>0.2</v>
      </c>
      <c r="X11">
        <f>'Input Scenarios'!X8</f>
        <v>0.25</v>
      </c>
      <c r="Y11">
        <f>'Input Scenarios'!Y8</f>
        <v>0.17</v>
      </c>
      <c r="Z11">
        <f>'Input Scenarios'!Z8</f>
        <v>0.23</v>
      </c>
      <c r="AA11">
        <f>'Input Scenarios'!AA8</f>
        <v>0.15</v>
      </c>
      <c r="AB11">
        <f>'Input Scenarios'!AB8</f>
        <v>0.2</v>
      </c>
      <c r="AC11">
        <f>'Input Scenarios'!AC8</f>
        <v>0.25</v>
      </c>
      <c r="AD11">
        <f>'Input Scenarios'!AD8</f>
        <v>0.17</v>
      </c>
      <c r="AE11">
        <f>'Input Scenarios'!AE8</f>
        <v>0.23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2.6144000000000002E-3</v>
      </c>
      <c r="AZ11">
        <f>AY11*(1-L11)</f>
        <v>1.6993600000000002E-3</v>
      </c>
      <c r="BA11">
        <f t="shared" ref="BA11:BA26" si="0">G11*AZ11*H11</f>
        <v>424.84000000000003</v>
      </c>
      <c r="BB11">
        <f t="shared" ref="BB11:BB26" si="1">$BA11*M11</f>
        <v>42.484000000000009</v>
      </c>
      <c r="BC11">
        <f t="shared" ref="BC11:BC26" si="2">$BA11*N11</f>
        <v>84.968000000000018</v>
      </c>
      <c r="BD11">
        <f t="shared" ref="BD11:BD26" si="3">$BA11*O11</f>
        <v>127.452</v>
      </c>
      <c r="BE11">
        <f t="shared" ref="BE11:BE26" si="4">$BA11*P11</f>
        <v>169.93600000000004</v>
      </c>
      <c r="BF11">
        <f t="shared" ref="BF11:BF26" si="5">(BB11*(1-AG11-AK11))</f>
        <v>29.696316000000003</v>
      </c>
      <c r="BG11">
        <f t="shared" ref="BG11:BG26" si="6">(BC11*(1-AH11-AL11))</f>
        <v>80.634632000000011</v>
      </c>
      <c r="BH11">
        <f t="shared" ref="BH11:BH26" si="7">(BD11*(1-AI11-AM11))</f>
        <v>76.343747999999991</v>
      </c>
      <c r="BI11">
        <f t="shared" ref="BI11:BI26" si="8">($BF11*Q11)+($BG11*V11)+($BH11*AA11)</f>
        <v>28.001204399999999</v>
      </c>
      <c r="BJ11">
        <f t="shared" ref="BJ11:BJ26" si="9">($BF11*R11)+($BG11*W11)+($BH11*AB11)</f>
        <v>37.334939200000001</v>
      </c>
      <c r="BK11">
        <f t="shared" ref="BK11:BK26" si="10">($BF11*S11)+($BG11*X11)+($BH11*AC11)</f>
        <v>46.668673999999996</v>
      </c>
      <c r="BL11">
        <f t="shared" ref="BL11:BL26" si="11">($BF11*T11)+($BG11*Y11)+($BH11*AD11)</f>
        <v>31.73469832</v>
      </c>
      <c r="BM11">
        <f t="shared" ref="BM11:BM26" si="12">($BF11*U11)+($BG11*Z11)+($BH11*AE11)</f>
        <v>42.935180080000002</v>
      </c>
      <c r="BN11">
        <f>IF(D11="", "", _xlfn.XLOOKUP('4.6.1.3'!D11, Constants!$I$5:$I$6, Constants!$J$5:$J$6))</f>
        <v>6.0000000000000001E-3</v>
      </c>
      <c r="BO11">
        <f>Constants!$J$2</f>
        <v>1.57</v>
      </c>
      <c r="BP11">
        <f>BB11*AK11*$BO11</f>
        <v>6.6699880000000017E-2</v>
      </c>
      <c r="BQ11">
        <f t="shared" ref="BQ11:BS11" si="13">BC11*AL11*$BO11</f>
        <v>0.13339976000000003</v>
      </c>
      <c r="BR11">
        <f t="shared" si="13"/>
        <v>0.20009964000000002</v>
      </c>
      <c r="BS11">
        <f t="shared" si="13"/>
        <v>0</v>
      </c>
      <c r="BT11">
        <f>BI11*AT11*$BO11</f>
        <v>0.21980945454000003</v>
      </c>
      <c r="BU11">
        <f t="shared" ref="BU11:BW11" si="14">BJ11*AU11*$BO11</f>
        <v>0.58615854544000001</v>
      </c>
      <c r="BV11">
        <f t="shared" si="14"/>
        <v>0</v>
      </c>
      <c r="BW11">
        <f t="shared" si="14"/>
        <v>0</v>
      </c>
      <c r="BX11">
        <f>BE11* BN11*BO11</f>
        <v>1.6007971200000006</v>
      </c>
      <c r="BY11">
        <f>SUM(BP11:BW11)</f>
        <v>1.2061672799800001</v>
      </c>
      <c r="BZ11">
        <f>SUM(BX11:BY14)/1000</f>
        <v>1.2316180676760002E-2</v>
      </c>
    </row>
    <row r="12" spans="1:87" x14ac:dyDescent="0.2">
      <c r="A12" t="str">
        <f>'Input Scenarios'!A9</f>
        <v>NSW</v>
      </c>
      <c r="B12">
        <f>'Input Scenarios'!B9</f>
        <v>0</v>
      </c>
      <c r="C12" t="str">
        <f>'Input Scenarios'!C9</f>
        <v>Non-irrigated pasture</v>
      </c>
      <c r="D12" t="str">
        <f>'Input Scenarios'!D9</f>
        <v>wet</v>
      </c>
      <c r="E12" t="b">
        <f>'Input Scenarios'!E9</f>
        <v>1</v>
      </c>
      <c r="F12" t="str">
        <f>'Input Scenarios'!F9</f>
        <v>meatChickenBreeder</v>
      </c>
      <c r="G12">
        <f>'Input Scenarios'!G9</f>
        <v>5000</v>
      </c>
      <c r="H12">
        <f>'Input Scenarios'!H9</f>
        <v>50</v>
      </c>
      <c r="I12">
        <f>IF('Input Scenarios'!I9&lt;&gt;"", 'Input Scenarios'!I9,_xlfn.XLOOKUP($F12,Constants!$A$2:$A$5,Constants!B$2:B$5))</f>
        <v>0.10299999999999999</v>
      </c>
      <c r="J12">
        <f>IF('Input Scenarios'!J9&lt;&gt;"", 'Input Scenarios'!J9,_xlfn.XLOOKUP($F12,Constants!$A$2:$A$5,Constants!C$2:C$5))</f>
        <v>0.8</v>
      </c>
      <c r="K12">
        <f>IF('Input Scenarios'!K9&lt;&gt;"", 'Input Scenarios'!K9,_xlfn.XLOOKUP($F12,Constants!$A$2:$A$5,Constants!D$2:D$5))</f>
        <v>0.19</v>
      </c>
      <c r="L12">
        <f>IF('Input Scenarios'!L9&lt;&gt;"", 'Input Scenarios'!L9,_xlfn.XLOOKUP($F12,Constants!$A$2:$A$5,Constants!E$2:E$5))</f>
        <v>0.32</v>
      </c>
      <c r="M12">
        <f>'Input Scenarios'!M9</f>
        <v>0.1</v>
      </c>
      <c r="N12">
        <f>'Input Scenarios'!N9</f>
        <v>0.2</v>
      </c>
      <c r="O12">
        <f>'Input Scenarios'!O9</f>
        <v>0.3</v>
      </c>
      <c r="P12">
        <f>'Input Scenarios'!P9</f>
        <v>0.4</v>
      </c>
      <c r="Q12">
        <f>'Input Scenarios'!Q9</f>
        <v>0.15</v>
      </c>
      <c r="R12">
        <f>'Input Scenarios'!R9</f>
        <v>0.2</v>
      </c>
      <c r="S12">
        <f>'Input Scenarios'!S9</f>
        <v>0.25</v>
      </c>
      <c r="T12">
        <f>'Input Scenarios'!T9</f>
        <v>0.17</v>
      </c>
      <c r="U12">
        <f>'Input Scenarios'!U9</f>
        <v>0.23</v>
      </c>
      <c r="V12">
        <f>'Input Scenarios'!V9</f>
        <v>0.15</v>
      </c>
      <c r="W12">
        <f>'Input Scenarios'!W9</f>
        <v>0.2</v>
      </c>
      <c r="X12">
        <f>'Input Scenarios'!X9</f>
        <v>0.25</v>
      </c>
      <c r="Y12">
        <f>'Input Scenarios'!Y9</f>
        <v>0.17</v>
      </c>
      <c r="Z12">
        <f>'Input Scenarios'!Z9</f>
        <v>0.23</v>
      </c>
      <c r="AA12">
        <f>'Input Scenarios'!AA9</f>
        <v>0.15</v>
      </c>
      <c r="AB12">
        <f>'Input Scenarios'!AB9</f>
        <v>0.2</v>
      </c>
      <c r="AC12">
        <f>'Input Scenarios'!AC9</f>
        <v>0.25</v>
      </c>
      <c r="AD12">
        <f>'Input Scenarios'!AD9</f>
        <v>0.17</v>
      </c>
      <c r="AE12">
        <f>'Input Scenarios'!AE9</f>
        <v>0.23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15">I12*K12/6.25</f>
        <v>3.1312000000000002E-3</v>
      </c>
      <c r="AZ12">
        <f t="shared" ref="AZ12:AZ26" si="16">AY12*(1-L12)</f>
        <v>2.1292159999999997E-3</v>
      </c>
      <c r="BA12">
        <f t="shared" si="0"/>
        <v>532.30399999999997</v>
      </c>
      <c r="BB12">
        <f t="shared" si="1"/>
        <v>53.230400000000003</v>
      </c>
      <c r="BC12">
        <f t="shared" si="2"/>
        <v>106.46080000000001</v>
      </c>
      <c r="BD12">
        <f t="shared" si="3"/>
        <v>159.69119999999998</v>
      </c>
      <c r="BE12">
        <f t="shared" si="4"/>
        <v>212.92160000000001</v>
      </c>
      <c r="BF12">
        <f t="shared" si="5"/>
        <v>37.208049600000002</v>
      </c>
      <c r="BG12">
        <f t="shared" si="6"/>
        <v>101.03129920000001</v>
      </c>
      <c r="BH12">
        <f t="shared" si="7"/>
        <v>95.655028799999982</v>
      </c>
      <c r="BI12">
        <f t="shared" si="8"/>
        <v>35.084156639999996</v>
      </c>
      <c r="BJ12">
        <f t="shared" si="9"/>
        <v>46.77887552</v>
      </c>
      <c r="BK12">
        <f t="shared" si="10"/>
        <v>58.473594399999996</v>
      </c>
      <c r="BL12">
        <f t="shared" si="11"/>
        <v>39.762044192000005</v>
      </c>
      <c r="BM12">
        <f t="shared" si="12"/>
        <v>53.795706848000002</v>
      </c>
      <c r="BN12">
        <f>IF(D12="", "", _xlfn.XLOOKUP('4.6.1.3'!D12, Constants!$I$5:$I$6, Constants!$J$5:$J$6))</f>
        <v>6.0000000000000001E-3</v>
      </c>
      <c r="BO12">
        <f>Constants!$J$2</f>
        <v>1.57</v>
      </c>
      <c r="BP12">
        <f t="shared" ref="BP12:BP26" si="17">BB12*AK12*$BO12</f>
        <v>8.3571728000000012E-2</v>
      </c>
      <c r="BQ12">
        <f t="shared" ref="BQ12:BQ26" si="18">BC12*AL12*$BO12</f>
        <v>0.16714345600000002</v>
      </c>
      <c r="BR12">
        <f t="shared" ref="BR12:BR26" si="19">BD12*AM12*$BO12</f>
        <v>0.25071518399999998</v>
      </c>
      <c r="BS12">
        <f t="shared" ref="BS12:BS26" si="20">BE12*AN12*$BO12</f>
        <v>0</v>
      </c>
      <c r="BT12">
        <f t="shared" ref="BT12:BT26" si="21">BI12*AT12*$BO12</f>
        <v>0.27541062962399998</v>
      </c>
      <c r="BU12">
        <f t="shared" ref="BU12:BU26" si="22">BJ12*AU12*$BO12</f>
        <v>0.73442834566400006</v>
      </c>
      <c r="BV12">
        <f t="shared" ref="BV12:BV26" si="23">BK12*AV12*$BO12</f>
        <v>0</v>
      </c>
      <c r="BW12">
        <f t="shared" ref="BW12:BW26" si="24">BL12*AW12*$BO12</f>
        <v>0</v>
      </c>
      <c r="BX12">
        <f t="shared" ref="BX12:BX26" si="25">BE12* BN12*BO12</f>
        <v>2.0057214720000003</v>
      </c>
      <c r="BY12">
        <f t="shared" ref="BY12:BY26" si="26">SUM(BP12:BW12)</f>
        <v>1.5112693432880002</v>
      </c>
    </row>
    <row r="13" spans="1:87" x14ac:dyDescent="0.2">
      <c r="A13" t="str">
        <f>'Input Scenarios'!A10</f>
        <v>NSW</v>
      </c>
      <c r="B13">
        <f>'Input Scenarios'!B10</f>
        <v>0</v>
      </c>
      <c r="C13" t="str">
        <f>'Input Scenarios'!C10</f>
        <v>Non-irrigated pasture</v>
      </c>
      <c r="D13" t="str">
        <f>'Input Scenarios'!D10</f>
        <v>wet</v>
      </c>
      <c r="E13" t="b">
        <f>'Input Scenarios'!E10</f>
        <v>1</v>
      </c>
      <c r="F13" t="str">
        <f>'Input Scenarios'!F10</f>
        <v>meatChickenGrowers</v>
      </c>
      <c r="G13">
        <f>'Input Scenarios'!G10</f>
        <v>5000</v>
      </c>
      <c r="H13">
        <f>'Input Scenarios'!H10</f>
        <v>50</v>
      </c>
      <c r="I13">
        <f>IF('Input Scenarios'!I10&lt;&gt;"", 'Input Scenarios'!I10,_xlfn.XLOOKUP($F13,Constants!$A$2:$A$5,Constants!B$2:B$5))</f>
        <v>9.2999999999999999E-2</v>
      </c>
      <c r="J13">
        <f>IF('Input Scenarios'!J10&lt;&gt;"", 'Input Scenarios'!J10,_xlfn.XLOOKUP($F13,Constants!$A$2:$A$5,Constants!C$2:C$5))</f>
        <v>0.8</v>
      </c>
      <c r="K13">
        <f>IF('Input Scenarios'!K10&lt;&gt;"", 'Input Scenarios'!K10,_xlfn.XLOOKUP($F13,Constants!$A$2:$A$5,Constants!D$2:D$5))</f>
        <v>0.23</v>
      </c>
      <c r="L13">
        <f>IF('Input Scenarios'!L10&lt;&gt;"", 'Input Scenarios'!L10,_xlfn.XLOOKUP($F13,Constants!$A$2:$A$5,Constants!E$2:E$5))</f>
        <v>0.47</v>
      </c>
      <c r="M13">
        <f>'Input Scenarios'!M10</f>
        <v>0.1</v>
      </c>
      <c r="N13">
        <f>'Input Scenarios'!N10</f>
        <v>0.2</v>
      </c>
      <c r="O13">
        <f>'Input Scenarios'!O10</f>
        <v>0.3</v>
      </c>
      <c r="P13">
        <f>'Input Scenarios'!P10</f>
        <v>0.4</v>
      </c>
      <c r="Q13">
        <f>'Input Scenarios'!Q10</f>
        <v>0.15</v>
      </c>
      <c r="R13">
        <f>'Input Scenarios'!R10</f>
        <v>0.2</v>
      </c>
      <c r="S13">
        <f>'Input Scenarios'!S10</f>
        <v>0.25</v>
      </c>
      <c r="T13">
        <f>'Input Scenarios'!T10</f>
        <v>0.17</v>
      </c>
      <c r="U13">
        <f>'Input Scenarios'!U10</f>
        <v>0.23</v>
      </c>
      <c r="V13">
        <f>'Input Scenarios'!V10</f>
        <v>0.15</v>
      </c>
      <c r="W13">
        <f>'Input Scenarios'!W10</f>
        <v>0.2</v>
      </c>
      <c r="X13">
        <f>'Input Scenarios'!X10</f>
        <v>0.25</v>
      </c>
      <c r="Y13">
        <f>'Input Scenarios'!Y10</f>
        <v>0.17</v>
      </c>
      <c r="Z13">
        <f>'Input Scenarios'!Z10</f>
        <v>0.23</v>
      </c>
      <c r="AA13">
        <f>'Input Scenarios'!AA10</f>
        <v>0.15</v>
      </c>
      <c r="AB13">
        <f>'Input Scenarios'!AB10</f>
        <v>0.2</v>
      </c>
      <c r="AC13">
        <f>'Input Scenarios'!AC10</f>
        <v>0.25</v>
      </c>
      <c r="AD13">
        <f>'Input Scenarios'!AD10</f>
        <v>0.17</v>
      </c>
      <c r="AE13">
        <f>'Input Scenarios'!AE10</f>
        <v>0.23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15"/>
        <v>3.4223999999999999E-3</v>
      </c>
      <c r="AZ13">
        <f t="shared" si="16"/>
        <v>1.813872E-3</v>
      </c>
      <c r="BA13">
        <f t="shared" si="0"/>
        <v>453.46799999999996</v>
      </c>
      <c r="BB13">
        <f t="shared" si="1"/>
        <v>45.346800000000002</v>
      </c>
      <c r="BC13">
        <f t="shared" si="2"/>
        <v>90.693600000000004</v>
      </c>
      <c r="BD13">
        <f t="shared" si="3"/>
        <v>136.04039999999998</v>
      </c>
      <c r="BE13">
        <f t="shared" si="4"/>
        <v>181.38720000000001</v>
      </c>
      <c r="BF13">
        <f t="shared" si="5"/>
        <v>31.6974132</v>
      </c>
      <c r="BG13">
        <f t="shared" si="6"/>
        <v>86.0682264</v>
      </c>
      <c r="BH13">
        <f t="shared" si="7"/>
        <v>81.488199599999987</v>
      </c>
      <c r="BI13">
        <f t="shared" si="8"/>
        <v>29.888075879999995</v>
      </c>
      <c r="BJ13">
        <f t="shared" si="9"/>
        <v>39.850767840000003</v>
      </c>
      <c r="BK13">
        <f t="shared" si="10"/>
        <v>49.813459799999997</v>
      </c>
      <c r="BL13">
        <f t="shared" si="11"/>
        <v>33.873152664000003</v>
      </c>
      <c r="BM13">
        <f t="shared" si="12"/>
        <v>45.828383016000004</v>
      </c>
      <c r="BN13">
        <f>IF(D13="", "", _xlfn.XLOOKUP('4.6.1.3'!D13, Constants!$I$5:$I$6, Constants!$J$5:$J$6))</f>
        <v>6.0000000000000001E-3</v>
      </c>
      <c r="BO13">
        <f>Constants!$J$2</f>
        <v>1.57</v>
      </c>
      <c r="BP13">
        <f t="shared" si="17"/>
        <v>7.1194476000000007E-2</v>
      </c>
      <c r="BQ13">
        <f t="shared" si="18"/>
        <v>0.14238895200000001</v>
      </c>
      <c r="BR13">
        <f t="shared" si="19"/>
        <v>0.21358342799999996</v>
      </c>
      <c r="BS13">
        <f t="shared" si="20"/>
        <v>0</v>
      </c>
      <c r="BT13">
        <f t="shared" si="21"/>
        <v>0.234621395658</v>
      </c>
      <c r="BU13">
        <f t="shared" si="22"/>
        <v>0.62565705508800018</v>
      </c>
      <c r="BV13">
        <f t="shared" si="23"/>
        <v>0</v>
      </c>
      <c r="BW13">
        <f t="shared" si="24"/>
        <v>0</v>
      </c>
      <c r="BX13">
        <f t="shared" si="25"/>
        <v>1.7086674240000002</v>
      </c>
      <c r="BY13">
        <f t="shared" si="26"/>
        <v>1.2874453067460001</v>
      </c>
    </row>
    <row r="14" spans="1:87" x14ac:dyDescent="0.2">
      <c r="A14" s="11" t="str">
        <f>'Input Scenarios'!A11</f>
        <v>NSW</v>
      </c>
      <c r="B14" s="11">
        <f>'Input Scenarios'!B11</f>
        <v>0</v>
      </c>
      <c r="C14" s="11" t="str">
        <f>'Input Scenarios'!C11</f>
        <v>Non-irrigated pasture</v>
      </c>
      <c r="D14" s="11" t="str">
        <f>'Input Scenarios'!D11</f>
        <v>wet</v>
      </c>
      <c r="E14" s="11" t="b">
        <f>'Input Scenarios'!E11</f>
        <v>1</v>
      </c>
      <c r="F14" s="11" t="str">
        <f>'Input Scenarios'!F11</f>
        <v>meatOther</v>
      </c>
      <c r="G14" s="11">
        <f>'Input Scenarios'!G11</f>
        <v>5000</v>
      </c>
      <c r="H14" s="11">
        <f>'Input Scenarios'!H11</f>
        <v>50</v>
      </c>
      <c r="I14">
        <f>IF('Input Scenarios'!I11&lt;&gt;"", 'Input Scenarios'!I11,_xlfn.XLOOKUP($F14,Constants!$A$2:$A$5,Constants!B$2:B$5))</f>
        <v>9.2999999999999999E-2</v>
      </c>
      <c r="J14">
        <f>IF('Input Scenarios'!J11&lt;&gt;"", 'Input Scenarios'!J11,_xlfn.XLOOKUP($F14,Constants!$A$2:$A$5,Constants!C$2:C$5))</f>
        <v>0.8</v>
      </c>
      <c r="K14">
        <f>IF('Input Scenarios'!K11&lt;&gt;"", 'Input Scenarios'!K11,_xlfn.XLOOKUP($F14,Constants!$A$2:$A$5,Constants!D$2:D$5))</f>
        <v>0.23</v>
      </c>
      <c r="L14">
        <f>IF('Input Scenarios'!L11&lt;&gt;"", 'Input Scenarios'!L11,_xlfn.XLOOKUP($F14,Constants!$A$2:$A$5,Constants!E$2:E$5))</f>
        <v>0.47</v>
      </c>
      <c r="M14" s="11">
        <f>'Input Scenarios'!M11</f>
        <v>0.1</v>
      </c>
      <c r="N14" s="11">
        <f>'Input Scenarios'!N11</f>
        <v>0.2</v>
      </c>
      <c r="O14" s="11">
        <f>'Input Scenarios'!O11</f>
        <v>0.3</v>
      </c>
      <c r="P14" s="11">
        <f>'Input Scenarios'!P11</f>
        <v>0.4</v>
      </c>
      <c r="Q14" s="11">
        <f>'Input Scenarios'!Q11</f>
        <v>0.15</v>
      </c>
      <c r="R14" s="11">
        <f>'Input Scenarios'!R11</f>
        <v>0.2</v>
      </c>
      <c r="S14" s="11">
        <f>'Input Scenarios'!S11</f>
        <v>0.25</v>
      </c>
      <c r="T14" s="11">
        <f>'Input Scenarios'!T11</f>
        <v>0.17</v>
      </c>
      <c r="U14" s="11">
        <f>'Input Scenarios'!U11</f>
        <v>0.23</v>
      </c>
      <c r="V14" s="11">
        <f>'Input Scenarios'!V11</f>
        <v>0.15</v>
      </c>
      <c r="W14" s="11">
        <f>'Input Scenarios'!W11</f>
        <v>0.2</v>
      </c>
      <c r="X14" s="11">
        <f>'Input Scenarios'!X11</f>
        <v>0.25</v>
      </c>
      <c r="Y14" s="11">
        <f>'Input Scenarios'!Y11</f>
        <v>0.17</v>
      </c>
      <c r="Z14" s="11">
        <f>'Input Scenarios'!Z11</f>
        <v>0.23</v>
      </c>
      <c r="AA14" s="11">
        <f>'Input Scenarios'!AA11</f>
        <v>0.15</v>
      </c>
      <c r="AB14" s="11">
        <f>'Input Scenarios'!AB11</f>
        <v>0.2</v>
      </c>
      <c r="AC14" s="11">
        <f>'Input Scenarios'!AC11</f>
        <v>0.25</v>
      </c>
      <c r="AD14" s="11">
        <f>'Input Scenarios'!AD11</f>
        <v>0.17</v>
      </c>
      <c r="AE14" s="11">
        <f>'Input Scenarios'!AE11</f>
        <v>0.23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15"/>
        <v>3.4223999999999999E-3</v>
      </c>
      <c r="AZ14">
        <f t="shared" si="16"/>
        <v>1.813872E-3</v>
      </c>
      <c r="BA14">
        <f t="shared" si="0"/>
        <v>453.46799999999996</v>
      </c>
      <c r="BB14">
        <f t="shared" si="1"/>
        <v>45.346800000000002</v>
      </c>
      <c r="BC14">
        <f t="shared" si="2"/>
        <v>90.693600000000004</v>
      </c>
      <c r="BD14">
        <f t="shared" si="3"/>
        <v>136.04039999999998</v>
      </c>
      <c r="BE14">
        <f t="shared" si="4"/>
        <v>181.38720000000001</v>
      </c>
      <c r="BF14">
        <f t="shared" si="5"/>
        <v>31.6974132</v>
      </c>
      <c r="BG14">
        <f t="shared" si="6"/>
        <v>86.0682264</v>
      </c>
      <c r="BH14">
        <f t="shared" si="7"/>
        <v>81.488199599999987</v>
      </c>
      <c r="BI14">
        <f t="shared" si="8"/>
        <v>29.888075879999995</v>
      </c>
      <c r="BJ14">
        <f t="shared" si="9"/>
        <v>39.850767840000003</v>
      </c>
      <c r="BK14">
        <f t="shared" si="10"/>
        <v>49.813459799999997</v>
      </c>
      <c r="BL14">
        <f t="shared" si="11"/>
        <v>33.873152664000003</v>
      </c>
      <c r="BM14">
        <f t="shared" si="12"/>
        <v>45.828383016000004</v>
      </c>
      <c r="BN14">
        <f>IF(D14="", "", _xlfn.XLOOKUP('4.6.1.3'!D14, Constants!$I$5:$I$6, Constants!$J$5:$J$6))</f>
        <v>6.0000000000000001E-3</v>
      </c>
      <c r="BO14">
        <f>Constants!$J$2</f>
        <v>1.57</v>
      </c>
      <c r="BP14">
        <f t="shared" si="17"/>
        <v>7.1194476000000007E-2</v>
      </c>
      <c r="BQ14">
        <f t="shared" si="18"/>
        <v>0.14238895200000001</v>
      </c>
      <c r="BR14">
        <f t="shared" si="19"/>
        <v>0.21358342799999996</v>
      </c>
      <c r="BS14">
        <f t="shared" si="20"/>
        <v>0</v>
      </c>
      <c r="BT14">
        <f t="shared" si="21"/>
        <v>0.234621395658</v>
      </c>
      <c r="BU14">
        <f t="shared" si="22"/>
        <v>0.62565705508800018</v>
      </c>
      <c r="BV14">
        <f t="shared" si="23"/>
        <v>0</v>
      </c>
      <c r="BW14">
        <f t="shared" si="24"/>
        <v>0</v>
      </c>
      <c r="BX14">
        <f t="shared" si="25"/>
        <v>1.7086674240000002</v>
      </c>
      <c r="BY14">
        <f t="shared" si="26"/>
        <v>1.2874453067460001</v>
      </c>
    </row>
    <row r="15" spans="1:87" s="11" customFormat="1" x14ac:dyDescent="0.2">
      <c r="A15" t="str">
        <f>'Input Scenarios'!A12</f>
        <v>QLD</v>
      </c>
      <c r="B15">
        <f>'Input Scenarios'!B12</f>
        <v>0</v>
      </c>
      <c r="C15" t="str">
        <f>'Input Scenarios'!C12</f>
        <v>Irrigated crop</v>
      </c>
      <c r="D15" t="str">
        <f>'Input Scenarios'!D12</f>
        <v>dry</v>
      </c>
      <c r="E15" t="b">
        <f>'Input Scenarios'!E12</f>
        <v>1</v>
      </c>
      <c r="F15" t="str">
        <f>'Input Scenarios'!F12</f>
        <v>layers</v>
      </c>
      <c r="G15">
        <f>'Input Scenarios'!G12</f>
        <v>2250</v>
      </c>
      <c r="H15">
        <f>'Input Scenarios'!H12</f>
        <v>125</v>
      </c>
      <c r="I15">
        <f>IF('Input Scenarios'!I12&lt;&gt;"", 'Input Scenarios'!I12,_xlfn.XLOOKUP($F15,Constants!$A$2:$A$5,Constants!B$2:B$5))</f>
        <v>8.5999999999999993E-2</v>
      </c>
      <c r="J15">
        <f>IF('Input Scenarios'!J12&lt;&gt;"", 'Input Scenarios'!J12,_xlfn.XLOOKUP($F15,Constants!$A$2:$A$5,Constants!C$2:C$5))</f>
        <v>0.8</v>
      </c>
      <c r="K15">
        <f>IF('Input Scenarios'!K12&lt;&gt;"", 'Input Scenarios'!K12,_xlfn.XLOOKUP($F15,Constants!$A$2:$A$5,Constants!D$2:D$5))</f>
        <v>0.19</v>
      </c>
      <c r="L15">
        <f>IF('Input Scenarios'!L12&lt;&gt;"", 'Input Scenarios'!L12,_xlfn.XLOOKUP($F15,Constants!$A$2:$A$5,Constants!E$2:E$5))</f>
        <v>0.35</v>
      </c>
      <c r="M15">
        <f>'Input Scenarios'!M12</f>
        <v>0.4</v>
      </c>
      <c r="N15">
        <f>'Input Scenarios'!N12</f>
        <v>0.3</v>
      </c>
      <c r="O15">
        <f>'Input Scenarios'!O12</f>
        <v>0.2</v>
      </c>
      <c r="P15">
        <f>'Input Scenarios'!P12</f>
        <v>0.1</v>
      </c>
      <c r="Q15">
        <f>'Input Scenarios'!Q12</f>
        <v>0.2</v>
      </c>
      <c r="R15">
        <f>'Input Scenarios'!R12</f>
        <v>0.25</v>
      </c>
      <c r="S15">
        <f>'Input Scenarios'!S12</f>
        <v>0.2</v>
      </c>
      <c r="T15">
        <f>'Input Scenarios'!T12</f>
        <v>0.25</v>
      </c>
      <c r="U15">
        <f>'Input Scenarios'!U12</f>
        <v>0.1</v>
      </c>
      <c r="V15">
        <f>'Input Scenarios'!V12</f>
        <v>0.2</v>
      </c>
      <c r="W15">
        <f>'Input Scenarios'!W12</f>
        <v>0.25</v>
      </c>
      <c r="X15">
        <f>'Input Scenarios'!X12</f>
        <v>0.2</v>
      </c>
      <c r="Y15">
        <f>'Input Scenarios'!Y12</f>
        <v>0.25</v>
      </c>
      <c r="Z15">
        <f>'Input Scenarios'!Z12</f>
        <v>0.1</v>
      </c>
      <c r="AA15">
        <f>'Input Scenarios'!AA12</f>
        <v>0.2</v>
      </c>
      <c r="AB15">
        <f>'Input Scenarios'!AB12</f>
        <v>0.25</v>
      </c>
      <c r="AC15">
        <f>'Input Scenarios'!AC12</f>
        <v>0.2</v>
      </c>
      <c r="AD15">
        <f>'Input Scenarios'!AD12</f>
        <v>0.25</v>
      </c>
      <c r="AE15">
        <f>'Input Scenarios'!AE12</f>
        <v>0.1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15"/>
        <v>2.6144000000000002E-3</v>
      </c>
      <c r="AZ15">
        <f t="shared" si="16"/>
        <v>1.6993600000000002E-3</v>
      </c>
      <c r="BA15">
        <f t="shared" si="0"/>
        <v>477.94500000000005</v>
      </c>
      <c r="BB15">
        <f t="shared" si="1"/>
        <v>191.17800000000003</v>
      </c>
      <c r="BC15">
        <f t="shared" si="2"/>
        <v>143.3835</v>
      </c>
      <c r="BD15">
        <f t="shared" si="3"/>
        <v>95.589000000000013</v>
      </c>
      <c r="BE15">
        <f t="shared" si="4"/>
        <v>47.794500000000006</v>
      </c>
      <c r="BF15">
        <f t="shared" si="5"/>
        <v>133.633422</v>
      </c>
      <c r="BG15">
        <f t="shared" si="6"/>
        <v>136.0709415</v>
      </c>
      <c r="BH15">
        <f t="shared" si="7"/>
        <v>57.257811000000004</v>
      </c>
      <c r="BI15">
        <f t="shared" si="8"/>
        <v>65.392434899999998</v>
      </c>
      <c r="BJ15">
        <f t="shared" si="9"/>
        <v>81.740543625000001</v>
      </c>
      <c r="BK15">
        <f t="shared" si="10"/>
        <v>65.392434899999998</v>
      </c>
      <c r="BL15">
        <f t="shared" si="11"/>
        <v>81.740543625000001</v>
      </c>
      <c r="BM15">
        <f t="shared" si="12"/>
        <v>32.696217449999999</v>
      </c>
      <c r="BN15">
        <f>IF(D15="", "", _xlfn.XLOOKUP('4.6.1.3'!D15, Constants!$I$5:$I$6, Constants!$J$5:$J$6))</f>
        <v>2E-3</v>
      </c>
      <c r="BO15">
        <f>Constants!$J$2</f>
        <v>1.57</v>
      </c>
      <c r="BP15">
        <f t="shared" si="17"/>
        <v>0.30014946000000009</v>
      </c>
      <c r="BQ15">
        <f t="shared" si="18"/>
        <v>0.22511209500000001</v>
      </c>
      <c r="BR15">
        <f t="shared" si="19"/>
        <v>0.15007473000000005</v>
      </c>
      <c r="BS15">
        <f t="shared" si="20"/>
        <v>0</v>
      </c>
      <c r="BT15">
        <f t="shared" si="21"/>
        <v>0.51333061396500002</v>
      </c>
      <c r="BU15">
        <f t="shared" si="22"/>
        <v>1.2833265349125</v>
      </c>
      <c r="BV15">
        <f t="shared" si="23"/>
        <v>0</v>
      </c>
      <c r="BW15">
        <f t="shared" si="24"/>
        <v>0</v>
      </c>
      <c r="BX15">
        <f t="shared" si="25"/>
        <v>0.15007473000000005</v>
      </c>
      <c r="BY15">
        <f t="shared" si="26"/>
        <v>2.4719934338775005</v>
      </c>
      <c r="BZ15">
        <f>SUM(BX15:BY18)/1000</f>
        <v>1.1504907313154998E-2</v>
      </c>
      <c r="CA15"/>
      <c r="CB15"/>
      <c r="CC15"/>
      <c r="CD15"/>
      <c r="CE15"/>
      <c r="CF15"/>
      <c r="CG15"/>
      <c r="CH15"/>
      <c r="CI15"/>
    </row>
    <row r="16" spans="1:87" x14ac:dyDescent="0.2">
      <c r="A16" t="str">
        <f>'Input Scenarios'!A13</f>
        <v>QLD</v>
      </c>
      <c r="B16">
        <f>'Input Scenarios'!B13</f>
        <v>0</v>
      </c>
      <c r="C16" t="str">
        <f>'Input Scenarios'!C13</f>
        <v>Irrigated crop</v>
      </c>
      <c r="D16" t="str">
        <f>'Input Scenarios'!D13</f>
        <v>dry</v>
      </c>
      <c r="E16" t="b">
        <f>'Input Scenarios'!E13</f>
        <v>1</v>
      </c>
      <c r="F16" t="str">
        <f>'Input Scenarios'!F13</f>
        <v>meatChickenBreeder</v>
      </c>
      <c r="G16">
        <f>'Input Scenarios'!G13</f>
        <v>2250</v>
      </c>
      <c r="H16">
        <f>'Input Scenarios'!H13</f>
        <v>125</v>
      </c>
      <c r="I16">
        <f>IF('Input Scenarios'!I13&lt;&gt;"", 'Input Scenarios'!I13,_xlfn.XLOOKUP($F16,Constants!$A$2:$A$5,Constants!B$2:B$5))</f>
        <v>0.10299999999999999</v>
      </c>
      <c r="J16">
        <f>IF('Input Scenarios'!J13&lt;&gt;"", 'Input Scenarios'!J13,_xlfn.XLOOKUP($F16,Constants!$A$2:$A$5,Constants!C$2:C$5))</f>
        <v>0.8</v>
      </c>
      <c r="K16">
        <f>IF('Input Scenarios'!K13&lt;&gt;"", 'Input Scenarios'!K13,_xlfn.XLOOKUP($F16,Constants!$A$2:$A$5,Constants!D$2:D$5))</f>
        <v>0.19</v>
      </c>
      <c r="L16">
        <f>IF('Input Scenarios'!L13&lt;&gt;"", 'Input Scenarios'!L13,_xlfn.XLOOKUP($F16,Constants!$A$2:$A$5,Constants!E$2:E$5))</f>
        <v>0.32</v>
      </c>
      <c r="M16">
        <f>'Input Scenarios'!M13</f>
        <v>0.4</v>
      </c>
      <c r="N16">
        <f>'Input Scenarios'!N13</f>
        <v>0.3</v>
      </c>
      <c r="O16">
        <f>'Input Scenarios'!O13</f>
        <v>0.2</v>
      </c>
      <c r="P16">
        <f>'Input Scenarios'!P13</f>
        <v>0.1</v>
      </c>
      <c r="Q16">
        <f>'Input Scenarios'!Q13</f>
        <v>0.2</v>
      </c>
      <c r="R16">
        <f>'Input Scenarios'!R13</f>
        <v>0.25</v>
      </c>
      <c r="S16">
        <f>'Input Scenarios'!S13</f>
        <v>0.2</v>
      </c>
      <c r="T16">
        <f>'Input Scenarios'!T13</f>
        <v>0.25</v>
      </c>
      <c r="U16">
        <f>'Input Scenarios'!U13</f>
        <v>0.1</v>
      </c>
      <c r="V16">
        <f>'Input Scenarios'!V13</f>
        <v>0.2</v>
      </c>
      <c r="W16">
        <f>'Input Scenarios'!W13</f>
        <v>0.25</v>
      </c>
      <c r="X16">
        <f>'Input Scenarios'!X13</f>
        <v>0.2</v>
      </c>
      <c r="Y16">
        <f>'Input Scenarios'!Y13</f>
        <v>0.25</v>
      </c>
      <c r="Z16">
        <f>'Input Scenarios'!Z13</f>
        <v>0.1</v>
      </c>
      <c r="AA16">
        <f>'Input Scenarios'!AA13</f>
        <v>0.2</v>
      </c>
      <c r="AB16">
        <f>'Input Scenarios'!AB13</f>
        <v>0.25</v>
      </c>
      <c r="AC16">
        <f>'Input Scenarios'!AC13</f>
        <v>0.2</v>
      </c>
      <c r="AD16">
        <f>'Input Scenarios'!AD13</f>
        <v>0.25</v>
      </c>
      <c r="AE16">
        <f>'Input Scenarios'!AE13</f>
        <v>0.1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15"/>
        <v>3.1312000000000002E-3</v>
      </c>
      <c r="AZ16">
        <f t="shared" si="16"/>
        <v>2.1292159999999997E-3</v>
      </c>
      <c r="BA16">
        <f t="shared" si="0"/>
        <v>598.84199999999987</v>
      </c>
      <c r="BB16">
        <f t="shared" si="1"/>
        <v>239.53679999999997</v>
      </c>
      <c r="BC16">
        <f t="shared" si="2"/>
        <v>179.65259999999995</v>
      </c>
      <c r="BD16">
        <f t="shared" si="3"/>
        <v>119.76839999999999</v>
      </c>
      <c r="BE16">
        <f t="shared" si="4"/>
        <v>59.884199999999993</v>
      </c>
      <c r="BF16">
        <f t="shared" si="5"/>
        <v>167.43622319999997</v>
      </c>
      <c r="BG16">
        <f t="shared" si="6"/>
        <v>170.49031739999995</v>
      </c>
      <c r="BH16">
        <f t="shared" si="7"/>
        <v>71.74127159999999</v>
      </c>
      <c r="BI16">
        <f t="shared" si="8"/>
        <v>81.933562439999974</v>
      </c>
      <c r="BJ16">
        <f t="shared" si="9"/>
        <v>102.41695304999999</v>
      </c>
      <c r="BK16">
        <f t="shared" si="10"/>
        <v>81.933562439999974</v>
      </c>
      <c r="BL16">
        <f t="shared" si="11"/>
        <v>102.41695304999999</v>
      </c>
      <c r="BM16">
        <f t="shared" si="12"/>
        <v>40.966781219999987</v>
      </c>
      <c r="BN16">
        <f>IF(D16="", "", _xlfn.XLOOKUP('4.6.1.3'!D16, Constants!$I$5:$I$6, Constants!$J$5:$J$6))</f>
        <v>2E-3</v>
      </c>
      <c r="BO16">
        <f>Constants!$J$2</f>
        <v>1.57</v>
      </c>
      <c r="BP16">
        <f t="shared" si="17"/>
        <v>0.37607277599999994</v>
      </c>
      <c r="BQ16">
        <f t="shared" si="18"/>
        <v>0.28205458199999994</v>
      </c>
      <c r="BR16">
        <f t="shared" si="19"/>
        <v>0.18803638799999997</v>
      </c>
      <c r="BS16">
        <f t="shared" si="20"/>
        <v>0</v>
      </c>
      <c r="BT16">
        <f t="shared" si="21"/>
        <v>0.64317846515399979</v>
      </c>
      <c r="BU16">
        <f t="shared" si="22"/>
        <v>1.6079461628849998</v>
      </c>
      <c r="BV16">
        <f t="shared" si="23"/>
        <v>0</v>
      </c>
      <c r="BW16">
        <f t="shared" si="24"/>
        <v>0</v>
      </c>
      <c r="BX16">
        <f t="shared" si="25"/>
        <v>0.18803638799999997</v>
      </c>
      <c r="BY16">
        <f t="shared" si="26"/>
        <v>3.0972883740389996</v>
      </c>
    </row>
    <row r="17" spans="1:87" x14ac:dyDescent="0.2">
      <c r="A17" t="str">
        <f>'Input Scenarios'!A14</f>
        <v>QLD</v>
      </c>
      <c r="B17">
        <f>'Input Scenarios'!B14</f>
        <v>0</v>
      </c>
      <c r="C17" t="str">
        <f>'Input Scenarios'!C14</f>
        <v>Irrigated crop</v>
      </c>
      <c r="D17" t="str">
        <f>'Input Scenarios'!D14</f>
        <v>dry</v>
      </c>
      <c r="E17" t="b">
        <f>'Input Scenarios'!E14</f>
        <v>1</v>
      </c>
      <c r="F17" t="str">
        <f>'Input Scenarios'!F14</f>
        <v>meatChickenGrowers</v>
      </c>
      <c r="G17">
        <f>'Input Scenarios'!G14</f>
        <v>2250</v>
      </c>
      <c r="H17">
        <f>'Input Scenarios'!H14</f>
        <v>125</v>
      </c>
      <c r="I17">
        <f>IF('Input Scenarios'!I14&lt;&gt;"", 'Input Scenarios'!I14,_xlfn.XLOOKUP($F17,Constants!$A$2:$A$5,Constants!B$2:B$5))</f>
        <v>9.2999999999999999E-2</v>
      </c>
      <c r="J17">
        <f>IF('Input Scenarios'!J14&lt;&gt;"", 'Input Scenarios'!J14,_xlfn.XLOOKUP($F17,Constants!$A$2:$A$5,Constants!C$2:C$5))</f>
        <v>0.8</v>
      </c>
      <c r="K17">
        <f>IF('Input Scenarios'!K14&lt;&gt;"", 'Input Scenarios'!K14,_xlfn.XLOOKUP($F17,Constants!$A$2:$A$5,Constants!D$2:D$5))</f>
        <v>0.23</v>
      </c>
      <c r="L17">
        <f>IF('Input Scenarios'!L14&lt;&gt;"", 'Input Scenarios'!L14,_xlfn.XLOOKUP($F17,Constants!$A$2:$A$5,Constants!E$2:E$5))</f>
        <v>0.47</v>
      </c>
      <c r="M17">
        <f>'Input Scenarios'!M14</f>
        <v>0.4</v>
      </c>
      <c r="N17">
        <f>'Input Scenarios'!N14</f>
        <v>0.3</v>
      </c>
      <c r="O17">
        <f>'Input Scenarios'!O14</f>
        <v>0.2</v>
      </c>
      <c r="P17">
        <f>'Input Scenarios'!P14</f>
        <v>0.1</v>
      </c>
      <c r="Q17">
        <f>'Input Scenarios'!Q14</f>
        <v>0.2</v>
      </c>
      <c r="R17">
        <f>'Input Scenarios'!R14</f>
        <v>0.25</v>
      </c>
      <c r="S17">
        <f>'Input Scenarios'!S14</f>
        <v>0.2</v>
      </c>
      <c r="T17">
        <f>'Input Scenarios'!T14</f>
        <v>0.25</v>
      </c>
      <c r="U17">
        <f>'Input Scenarios'!U14</f>
        <v>0.1</v>
      </c>
      <c r="V17">
        <f>'Input Scenarios'!V14</f>
        <v>0.2</v>
      </c>
      <c r="W17">
        <f>'Input Scenarios'!W14</f>
        <v>0.25</v>
      </c>
      <c r="X17">
        <f>'Input Scenarios'!X14</f>
        <v>0.2</v>
      </c>
      <c r="Y17">
        <f>'Input Scenarios'!Y14</f>
        <v>0.25</v>
      </c>
      <c r="Z17">
        <f>'Input Scenarios'!Z14</f>
        <v>0.1</v>
      </c>
      <c r="AA17">
        <f>'Input Scenarios'!AA14</f>
        <v>0.2</v>
      </c>
      <c r="AB17">
        <f>'Input Scenarios'!AB14</f>
        <v>0.25</v>
      </c>
      <c r="AC17">
        <f>'Input Scenarios'!AC14</f>
        <v>0.2</v>
      </c>
      <c r="AD17">
        <f>'Input Scenarios'!AD14</f>
        <v>0.25</v>
      </c>
      <c r="AE17">
        <f>'Input Scenarios'!AE14</f>
        <v>0.1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15"/>
        <v>3.4223999999999999E-3</v>
      </c>
      <c r="AZ17">
        <f t="shared" si="16"/>
        <v>1.813872E-3</v>
      </c>
      <c r="BA17">
        <f t="shared" si="0"/>
        <v>510.1515</v>
      </c>
      <c r="BB17">
        <f t="shared" si="1"/>
        <v>204.06060000000002</v>
      </c>
      <c r="BC17">
        <f t="shared" si="2"/>
        <v>153.04544999999999</v>
      </c>
      <c r="BD17">
        <f t="shared" si="3"/>
        <v>102.03030000000001</v>
      </c>
      <c r="BE17">
        <f t="shared" si="4"/>
        <v>51.015150000000006</v>
      </c>
      <c r="BF17">
        <f t="shared" si="5"/>
        <v>142.63835940000001</v>
      </c>
      <c r="BG17">
        <f t="shared" si="6"/>
        <v>145.24013204999997</v>
      </c>
      <c r="BH17">
        <f t="shared" si="7"/>
        <v>61.116149700000001</v>
      </c>
      <c r="BI17">
        <f t="shared" si="8"/>
        <v>69.798928230000001</v>
      </c>
      <c r="BJ17">
        <f t="shared" si="9"/>
        <v>87.248660287499987</v>
      </c>
      <c r="BK17">
        <f t="shared" si="10"/>
        <v>69.798928230000001</v>
      </c>
      <c r="BL17">
        <f t="shared" si="11"/>
        <v>87.248660287499987</v>
      </c>
      <c r="BM17">
        <f t="shared" si="12"/>
        <v>34.899464115000001</v>
      </c>
      <c r="BN17">
        <f>IF(D17="", "", _xlfn.XLOOKUP('4.6.1.3'!D17, Constants!$I$5:$I$6, Constants!$J$5:$J$6))</f>
        <v>2E-3</v>
      </c>
      <c r="BO17">
        <f>Constants!$J$2</f>
        <v>1.57</v>
      </c>
      <c r="BP17">
        <f t="shared" si="17"/>
        <v>0.32037514200000006</v>
      </c>
      <c r="BQ17">
        <f t="shared" si="18"/>
        <v>0.24028135650000002</v>
      </c>
      <c r="BR17">
        <f t="shared" si="19"/>
        <v>0.16018757100000003</v>
      </c>
      <c r="BS17">
        <f t="shared" si="20"/>
        <v>0</v>
      </c>
      <c r="BT17">
        <f t="shared" si="21"/>
        <v>0.54792158660550006</v>
      </c>
      <c r="BU17">
        <f t="shared" si="22"/>
        <v>1.3698039665137498</v>
      </c>
      <c r="BV17">
        <f t="shared" si="23"/>
        <v>0</v>
      </c>
      <c r="BW17">
        <f t="shared" si="24"/>
        <v>0</v>
      </c>
      <c r="BX17">
        <f t="shared" si="25"/>
        <v>0.16018757100000003</v>
      </c>
      <c r="BY17">
        <f t="shared" si="26"/>
        <v>2.6385696226192499</v>
      </c>
    </row>
    <row r="18" spans="1:87" x14ac:dyDescent="0.2">
      <c r="A18" s="11" t="str">
        <f>'Input Scenarios'!A15</f>
        <v>QLD</v>
      </c>
      <c r="B18" s="11">
        <f>'Input Scenarios'!B15</f>
        <v>0</v>
      </c>
      <c r="C18" s="11" t="str">
        <f>'Input Scenarios'!C15</f>
        <v>Irrigated crop</v>
      </c>
      <c r="D18" s="11" t="str">
        <f>'Input Scenarios'!D15</f>
        <v>dry</v>
      </c>
      <c r="E18" s="11" t="b">
        <f>'Input Scenarios'!E15</f>
        <v>1</v>
      </c>
      <c r="F18" s="11" t="str">
        <f>'Input Scenarios'!F15</f>
        <v>meatOther</v>
      </c>
      <c r="G18" s="11">
        <f>'Input Scenarios'!G15</f>
        <v>2250</v>
      </c>
      <c r="H18" s="11">
        <f>'Input Scenarios'!H15</f>
        <v>125</v>
      </c>
      <c r="I18">
        <f>IF('Input Scenarios'!I15&lt;&gt;"", 'Input Scenarios'!I15,_xlfn.XLOOKUP($F18,Constants!$A$2:$A$5,Constants!B$2:B$5))</f>
        <v>9.2999999999999999E-2</v>
      </c>
      <c r="J18">
        <f>IF('Input Scenarios'!J15&lt;&gt;"", 'Input Scenarios'!J15,_xlfn.XLOOKUP($F18,Constants!$A$2:$A$5,Constants!C$2:C$5))</f>
        <v>0.8</v>
      </c>
      <c r="K18">
        <f>IF('Input Scenarios'!K15&lt;&gt;"", 'Input Scenarios'!K15,_xlfn.XLOOKUP($F18,Constants!$A$2:$A$5,Constants!D$2:D$5))</f>
        <v>0.23</v>
      </c>
      <c r="L18">
        <f>IF('Input Scenarios'!L15&lt;&gt;"", 'Input Scenarios'!L15,_xlfn.XLOOKUP($F18,Constants!$A$2:$A$5,Constants!E$2:E$5))</f>
        <v>0.47</v>
      </c>
      <c r="M18" s="11">
        <f>'Input Scenarios'!M15</f>
        <v>0.4</v>
      </c>
      <c r="N18" s="11">
        <f>'Input Scenarios'!N15</f>
        <v>0.3</v>
      </c>
      <c r="O18" s="11">
        <f>'Input Scenarios'!O15</f>
        <v>0.2</v>
      </c>
      <c r="P18" s="11">
        <f>'Input Scenarios'!P15</f>
        <v>0.1</v>
      </c>
      <c r="Q18" s="11">
        <f>'Input Scenarios'!Q15</f>
        <v>0.2</v>
      </c>
      <c r="R18" s="11">
        <f>'Input Scenarios'!R15</f>
        <v>0.25</v>
      </c>
      <c r="S18" s="11">
        <f>'Input Scenarios'!S15</f>
        <v>0.2</v>
      </c>
      <c r="T18" s="11">
        <f>'Input Scenarios'!T15</f>
        <v>0.25</v>
      </c>
      <c r="U18" s="11">
        <f>'Input Scenarios'!U15</f>
        <v>0.1</v>
      </c>
      <c r="V18" s="11">
        <f>'Input Scenarios'!V15</f>
        <v>0.2</v>
      </c>
      <c r="W18" s="11">
        <f>'Input Scenarios'!W15</f>
        <v>0.25</v>
      </c>
      <c r="X18" s="11">
        <f>'Input Scenarios'!X15</f>
        <v>0.2</v>
      </c>
      <c r="Y18" s="11">
        <f>'Input Scenarios'!Y15</f>
        <v>0.25</v>
      </c>
      <c r="Z18" s="11">
        <f>'Input Scenarios'!Z15</f>
        <v>0.1</v>
      </c>
      <c r="AA18" s="11">
        <f>'Input Scenarios'!AA15</f>
        <v>0.2</v>
      </c>
      <c r="AB18" s="11">
        <f>'Input Scenarios'!AB15</f>
        <v>0.25</v>
      </c>
      <c r="AC18" s="11">
        <f>'Input Scenarios'!AC15</f>
        <v>0.2</v>
      </c>
      <c r="AD18" s="11">
        <f>'Input Scenarios'!AD15</f>
        <v>0.25</v>
      </c>
      <c r="AE18" s="11">
        <f>'Input Scenarios'!AE15</f>
        <v>0.1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15"/>
        <v>3.4223999999999999E-3</v>
      </c>
      <c r="AZ18">
        <f t="shared" si="16"/>
        <v>1.813872E-3</v>
      </c>
      <c r="BA18">
        <f t="shared" si="0"/>
        <v>510.1515</v>
      </c>
      <c r="BB18">
        <f t="shared" si="1"/>
        <v>204.06060000000002</v>
      </c>
      <c r="BC18">
        <f t="shared" si="2"/>
        <v>153.04544999999999</v>
      </c>
      <c r="BD18">
        <f t="shared" si="3"/>
        <v>102.03030000000001</v>
      </c>
      <c r="BE18">
        <f t="shared" si="4"/>
        <v>51.015150000000006</v>
      </c>
      <c r="BF18">
        <f t="shared" si="5"/>
        <v>142.63835940000001</v>
      </c>
      <c r="BG18">
        <f t="shared" si="6"/>
        <v>145.24013204999997</v>
      </c>
      <c r="BH18">
        <f t="shared" si="7"/>
        <v>61.116149700000001</v>
      </c>
      <c r="BI18">
        <f t="shared" si="8"/>
        <v>69.798928230000001</v>
      </c>
      <c r="BJ18">
        <f t="shared" si="9"/>
        <v>87.248660287499987</v>
      </c>
      <c r="BK18">
        <f t="shared" si="10"/>
        <v>69.798928230000001</v>
      </c>
      <c r="BL18">
        <f t="shared" si="11"/>
        <v>87.248660287499987</v>
      </c>
      <c r="BM18">
        <f t="shared" si="12"/>
        <v>34.899464115000001</v>
      </c>
      <c r="BN18">
        <f>IF(D18="", "", _xlfn.XLOOKUP('4.6.1.3'!D18, Constants!$I$5:$I$6, Constants!$J$5:$J$6))</f>
        <v>2E-3</v>
      </c>
      <c r="BO18">
        <f>Constants!$J$2</f>
        <v>1.57</v>
      </c>
      <c r="BP18">
        <f t="shared" si="17"/>
        <v>0.32037514200000006</v>
      </c>
      <c r="BQ18">
        <f t="shared" si="18"/>
        <v>0.24028135650000002</v>
      </c>
      <c r="BR18">
        <f t="shared" si="19"/>
        <v>0.16018757100000003</v>
      </c>
      <c r="BS18">
        <f t="shared" si="20"/>
        <v>0</v>
      </c>
      <c r="BT18">
        <f t="shared" si="21"/>
        <v>0.54792158660550006</v>
      </c>
      <c r="BU18">
        <f t="shared" si="22"/>
        <v>1.3698039665137498</v>
      </c>
      <c r="BV18">
        <f t="shared" si="23"/>
        <v>0</v>
      </c>
      <c r="BW18">
        <f t="shared" si="24"/>
        <v>0</v>
      </c>
      <c r="BX18">
        <f t="shared" si="25"/>
        <v>0.16018757100000003</v>
      </c>
      <c r="BY18">
        <f t="shared" si="26"/>
        <v>2.6385696226192499</v>
      </c>
    </row>
    <row r="19" spans="1:87" x14ac:dyDescent="0.2">
      <c r="A19" t="str">
        <f>'Input Scenarios'!A16</f>
        <v>TAS</v>
      </c>
      <c r="B19">
        <f>'Input Scenarios'!B16</f>
        <v>0</v>
      </c>
      <c r="C19" t="str">
        <f>'Input Scenarios'!C16</f>
        <v>Irrigated pasture</v>
      </c>
      <c r="D19" t="str">
        <f>'Input Scenarios'!D16</f>
        <v>wet</v>
      </c>
      <c r="E19" t="b">
        <f>'Input Scenarios'!E16</f>
        <v>1</v>
      </c>
      <c r="F19" t="str">
        <f>'Input Scenarios'!F16</f>
        <v>layers</v>
      </c>
      <c r="G19">
        <f>'Input Scenarios'!G16</f>
        <v>3333</v>
      </c>
      <c r="H19">
        <f>'Input Scenarios'!H16</f>
        <v>111</v>
      </c>
      <c r="I19">
        <f>IF('Input Scenarios'!I16&lt;&gt;"", 'Input Scenarios'!I16,_xlfn.XLOOKUP($F19,Constants!$A$2:$A$5,Constants!B$2:B$5))</f>
        <v>8.5999999999999993E-2</v>
      </c>
      <c r="J19">
        <f>IF('Input Scenarios'!J16&lt;&gt;"", 'Input Scenarios'!J16,_xlfn.XLOOKUP($F19,Constants!$A$2:$A$5,Constants!C$2:C$5))</f>
        <v>0.8</v>
      </c>
      <c r="K19">
        <f>IF('Input Scenarios'!K16&lt;&gt;"", 'Input Scenarios'!K16,_xlfn.XLOOKUP($F19,Constants!$A$2:$A$5,Constants!D$2:D$5))</f>
        <v>0.19</v>
      </c>
      <c r="L19">
        <f>IF('Input Scenarios'!L16&lt;&gt;"", 'Input Scenarios'!L16,_xlfn.XLOOKUP($F19,Constants!$A$2:$A$5,Constants!E$2:E$5))</f>
        <v>0.35</v>
      </c>
      <c r="M19">
        <f>'Input Scenarios'!M16</f>
        <v>0</v>
      </c>
      <c r="N19">
        <f>'Input Scenarios'!N16</f>
        <v>0.9</v>
      </c>
      <c r="O19">
        <f>'Input Scenarios'!O16</f>
        <v>0</v>
      </c>
      <c r="P19">
        <f>'Input Scenarios'!P16</f>
        <v>0.1</v>
      </c>
      <c r="Q19">
        <f>'Input Scenarios'!Q16</f>
        <v>0.34</v>
      </c>
      <c r="R19">
        <f>'Input Scenarios'!R16</f>
        <v>0.6</v>
      </c>
      <c r="S19">
        <f>'Input Scenarios'!S16</f>
        <v>0</v>
      </c>
      <c r="T19">
        <f>'Input Scenarios'!T16</f>
        <v>0</v>
      </c>
      <c r="U19">
        <f>'Input Scenarios'!U16</f>
        <v>0.06</v>
      </c>
      <c r="V19">
        <f>'Input Scenarios'!V16</f>
        <v>0.34</v>
      </c>
      <c r="W19">
        <f>'Input Scenarios'!W16</f>
        <v>0.6</v>
      </c>
      <c r="X19">
        <f>'Input Scenarios'!X16</f>
        <v>0</v>
      </c>
      <c r="Y19">
        <f>'Input Scenarios'!Y16</f>
        <v>0</v>
      </c>
      <c r="Z19">
        <f>'Input Scenarios'!Z16</f>
        <v>0.06</v>
      </c>
      <c r="AA19">
        <f>'Input Scenarios'!AA16</f>
        <v>0.34</v>
      </c>
      <c r="AB19">
        <f>'Input Scenarios'!AB16</f>
        <v>0.6</v>
      </c>
      <c r="AC19">
        <f>'Input Scenarios'!AC16</f>
        <v>0</v>
      </c>
      <c r="AD19">
        <f>'Input Scenarios'!AD16</f>
        <v>0</v>
      </c>
      <c r="AE19">
        <f>'Input Scenarios'!AE16</f>
        <v>0.06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15"/>
        <v>2.6144000000000002E-3</v>
      </c>
      <c r="AZ19">
        <f t="shared" si="16"/>
        <v>1.6993600000000002E-3</v>
      </c>
      <c r="BA19">
        <f t="shared" si="0"/>
        <v>628.70032368000011</v>
      </c>
      <c r="BB19">
        <f t="shared" si="1"/>
        <v>0</v>
      </c>
      <c r="BC19">
        <f t="shared" si="2"/>
        <v>565.8302913120001</v>
      </c>
      <c r="BD19">
        <f t="shared" si="3"/>
        <v>0</v>
      </c>
      <c r="BE19">
        <f t="shared" si="4"/>
        <v>62.870032368000011</v>
      </c>
      <c r="BF19">
        <f t="shared" si="5"/>
        <v>0</v>
      </c>
      <c r="BG19">
        <f t="shared" si="6"/>
        <v>536.97294645508805</v>
      </c>
      <c r="BH19">
        <f t="shared" si="7"/>
        <v>0</v>
      </c>
      <c r="BI19">
        <f t="shared" si="8"/>
        <v>182.57080179472996</v>
      </c>
      <c r="BJ19">
        <f t="shared" si="9"/>
        <v>322.18376787305283</v>
      </c>
      <c r="BK19">
        <f t="shared" si="10"/>
        <v>0</v>
      </c>
      <c r="BL19">
        <f t="shared" si="11"/>
        <v>0</v>
      </c>
      <c r="BM19">
        <f t="shared" si="12"/>
        <v>32.218376787305282</v>
      </c>
      <c r="BN19">
        <f>IF(D19="", "", _xlfn.XLOOKUP('4.6.1.3'!D19, Constants!$I$5:$I$6, Constants!$J$5:$J$6))</f>
        <v>6.0000000000000001E-3</v>
      </c>
      <c r="BO19">
        <f>Constants!$J$2</f>
        <v>1.57</v>
      </c>
      <c r="BP19">
        <f t="shared" si="17"/>
        <v>0</v>
      </c>
      <c r="BQ19">
        <f t="shared" si="18"/>
        <v>0.88835355735984023</v>
      </c>
      <c r="BR19">
        <f t="shared" si="19"/>
        <v>0</v>
      </c>
      <c r="BS19">
        <f t="shared" si="20"/>
        <v>0</v>
      </c>
      <c r="BT19">
        <f t="shared" si="21"/>
        <v>1.4331807940886301</v>
      </c>
      <c r="BU19">
        <f t="shared" si="22"/>
        <v>5.0582851556069297</v>
      </c>
      <c r="BV19">
        <f t="shared" si="23"/>
        <v>0</v>
      </c>
      <c r="BW19">
        <f t="shared" si="24"/>
        <v>0</v>
      </c>
      <c r="BX19">
        <f t="shared" si="25"/>
        <v>0.59223570490656008</v>
      </c>
      <c r="BY19">
        <f t="shared" si="26"/>
        <v>7.3798195070553998</v>
      </c>
      <c r="BZ19">
        <f>SUM(BX19:BY22)/1000</f>
        <v>3.4979165519993527E-2</v>
      </c>
    </row>
    <row r="20" spans="1:87" s="11" customFormat="1" x14ac:dyDescent="0.2">
      <c r="A20" t="str">
        <f>'Input Scenarios'!A17</f>
        <v>TAS</v>
      </c>
      <c r="B20">
        <f>'Input Scenarios'!B17</f>
        <v>0</v>
      </c>
      <c r="C20" t="str">
        <f>'Input Scenarios'!C17</f>
        <v>Irrigated pasture</v>
      </c>
      <c r="D20" t="str">
        <f>'Input Scenarios'!D17</f>
        <v>wet</v>
      </c>
      <c r="E20" t="b">
        <f>'Input Scenarios'!E17</f>
        <v>1</v>
      </c>
      <c r="F20" t="str">
        <f>'Input Scenarios'!F17</f>
        <v>meatChickenBreeder</v>
      </c>
      <c r="G20">
        <f>'Input Scenarios'!G17</f>
        <v>3333</v>
      </c>
      <c r="H20">
        <f>'Input Scenarios'!H17</f>
        <v>111</v>
      </c>
      <c r="I20">
        <f>IF('Input Scenarios'!I17&lt;&gt;"", 'Input Scenarios'!I17,_xlfn.XLOOKUP($F20,Constants!$A$2:$A$5,Constants!B$2:B$5))</f>
        <v>0.10299999999999999</v>
      </c>
      <c r="J20">
        <f>IF('Input Scenarios'!J17&lt;&gt;"", 'Input Scenarios'!J17,_xlfn.XLOOKUP($F20,Constants!$A$2:$A$5,Constants!C$2:C$5))</f>
        <v>0.8</v>
      </c>
      <c r="K20">
        <f>IF('Input Scenarios'!K17&lt;&gt;"", 'Input Scenarios'!K17,_xlfn.XLOOKUP($F20,Constants!$A$2:$A$5,Constants!D$2:D$5))</f>
        <v>0.19</v>
      </c>
      <c r="L20">
        <f>IF('Input Scenarios'!L17&lt;&gt;"", 'Input Scenarios'!L17,_xlfn.XLOOKUP($F20,Constants!$A$2:$A$5,Constants!E$2:E$5))</f>
        <v>0.32</v>
      </c>
      <c r="M20">
        <f>'Input Scenarios'!M17</f>
        <v>0</v>
      </c>
      <c r="N20">
        <f>'Input Scenarios'!N17</f>
        <v>0.9</v>
      </c>
      <c r="O20">
        <f>'Input Scenarios'!O17</f>
        <v>0</v>
      </c>
      <c r="P20">
        <f>'Input Scenarios'!P17</f>
        <v>0.1</v>
      </c>
      <c r="Q20">
        <f>'Input Scenarios'!Q17</f>
        <v>0.34</v>
      </c>
      <c r="R20">
        <f>'Input Scenarios'!R17</f>
        <v>0.6</v>
      </c>
      <c r="S20">
        <f>'Input Scenarios'!S17</f>
        <v>0</v>
      </c>
      <c r="T20">
        <f>'Input Scenarios'!T17</f>
        <v>0</v>
      </c>
      <c r="U20">
        <f>'Input Scenarios'!U17</f>
        <v>0.06</v>
      </c>
      <c r="V20">
        <f>'Input Scenarios'!V17</f>
        <v>0.34</v>
      </c>
      <c r="W20">
        <f>'Input Scenarios'!W17</f>
        <v>0.6</v>
      </c>
      <c r="X20">
        <f>'Input Scenarios'!X17</f>
        <v>0</v>
      </c>
      <c r="Y20">
        <f>'Input Scenarios'!Y17</f>
        <v>0</v>
      </c>
      <c r="Z20">
        <f>'Input Scenarios'!Z17</f>
        <v>0.06</v>
      </c>
      <c r="AA20">
        <f>'Input Scenarios'!AA17</f>
        <v>0.34</v>
      </c>
      <c r="AB20">
        <f>'Input Scenarios'!AB17</f>
        <v>0.6</v>
      </c>
      <c r="AC20">
        <f>'Input Scenarios'!AC17</f>
        <v>0</v>
      </c>
      <c r="AD20">
        <f>'Input Scenarios'!AD17</f>
        <v>0</v>
      </c>
      <c r="AE20">
        <f>'Input Scenarios'!AE17</f>
        <v>0.06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15"/>
        <v>3.1312000000000002E-3</v>
      </c>
      <c r="AZ20">
        <f t="shared" si="16"/>
        <v>2.1292159999999997E-3</v>
      </c>
      <c r="BA20">
        <f t="shared" si="0"/>
        <v>787.7311390079999</v>
      </c>
      <c r="BB20">
        <f t="shared" si="1"/>
        <v>0</v>
      </c>
      <c r="BC20">
        <f t="shared" si="2"/>
        <v>708.95802510719989</v>
      </c>
      <c r="BD20">
        <f t="shared" si="3"/>
        <v>0</v>
      </c>
      <c r="BE20">
        <f t="shared" si="4"/>
        <v>78.773113900799999</v>
      </c>
      <c r="BF20">
        <f t="shared" si="5"/>
        <v>0</v>
      </c>
      <c r="BG20">
        <f t="shared" si="6"/>
        <v>672.8011658267327</v>
      </c>
      <c r="BH20">
        <f t="shared" si="7"/>
        <v>0</v>
      </c>
      <c r="BI20">
        <f t="shared" si="8"/>
        <v>228.75239638108914</v>
      </c>
      <c r="BJ20">
        <f t="shared" si="9"/>
        <v>403.68069949603961</v>
      </c>
      <c r="BK20">
        <f t="shared" si="10"/>
        <v>0</v>
      </c>
      <c r="BL20">
        <f t="shared" si="11"/>
        <v>0</v>
      </c>
      <c r="BM20">
        <f t="shared" si="12"/>
        <v>40.368069949603964</v>
      </c>
      <c r="BN20">
        <f>IF(D20="", "", _xlfn.XLOOKUP('4.6.1.3'!D20, Constants!$I$5:$I$6, Constants!$J$5:$J$6))</f>
        <v>6.0000000000000001E-3</v>
      </c>
      <c r="BO20">
        <f>Constants!$J$2</f>
        <v>1.57</v>
      </c>
      <c r="BP20">
        <f t="shared" si="17"/>
        <v>0</v>
      </c>
      <c r="BQ20">
        <f t="shared" si="18"/>
        <v>1.1130640994183039</v>
      </c>
      <c r="BR20">
        <f t="shared" si="19"/>
        <v>0</v>
      </c>
      <c r="BS20">
        <f t="shared" si="20"/>
        <v>0</v>
      </c>
      <c r="BT20">
        <f t="shared" si="21"/>
        <v>1.7957063115915497</v>
      </c>
      <c r="BU20">
        <f t="shared" si="22"/>
        <v>6.3377869820878221</v>
      </c>
      <c r="BV20">
        <f t="shared" si="23"/>
        <v>0</v>
      </c>
      <c r="BW20">
        <f t="shared" si="24"/>
        <v>0</v>
      </c>
      <c r="BX20">
        <f t="shared" si="25"/>
        <v>0.74204273294553602</v>
      </c>
      <c r="BY20">
        <f t="shared" si="26"/>
        <v>9.2465573930976745</v>
      </c>
      <c r="BZ20"/>
      <c r="CA20"/>
      <c r="CB20"/>
      <c r="CC20"/>
      <c r="CD20"/>
      <c r="CE20"/>
      <c r="CF20"/>
      <c r="CG20"/>
      <c r="CH20"/>
      <c r="CI20"/>
    </row>
    <row r="21" spans="1:87" x14ac:dyDescent="0.2">
      <c r="A21" t="str">
        <f>'Input Scenarios'!A18</f>
        <v>TAS</v>
      </c>
      <c r="B21">
        <f>'Input Scenarios'!B18</f>
        <v>0</v>
      </c>
      <c r="C21" t="str">
        <f>'Input Scenarios'!C18</f>
        <v>Irrigated pasture</v>
      </c>
      <c r="D21" t="str">
        <f>'Input Scenarios'!D18</f>
        <v>wet</v>
      </c>
      <c r="E21" t="b">
        <f>'Input Scenarios'!E18</f>
        <v>1</v>
      </c>
      <c r="F21" t="str">
        <f>'Input Scenarios'!F18</f>
        <v>meatChickenGrowers</v>
      </c>
      <c r="G21">
        <f>'Input Scenarios'!G18</f>
        <v>3333</v>
      </c>
      <c r="H21">
        <f>'Input Scenarios'!H18</f>
        <v>111</v>
      </c>
      <c r="I21">
        <f>IF('Input Scenarios'!I18&lt;&gt;"", 'Input Scenarios'!I18,_xlfn.XLOOKUP($F21,Constants!$A$2:$A$5,Constants!B$2:B$5))</f>
        <v>9.2999999999999999E-2</v>
      </c>
      <c r="J21">
        <f>IF('Input Scenarios'!J18&lt;&gt;"", 'Input Scenarios'!J18,_xlfn.XLOOKUP($F21,Constants!$A$2:$A$5,Constants!C$2:C$5))</f>
        <v>0.8</v>
      </c>
      <c r="K21">
        <f>IF('Input Scenarios'!K18&lt;&gt;"", 'Input Scenarios'!K18,_xlfn.XLOOKUP($F21,Constants!$A$2:$A$5,Constants!D$2:D$5))</f>
        <v>0.23</v>
      </c>
      <c r="L21">
        <f>IF('Input Scenarios'!L18&lt;&gt;"", 'Input Scenarios'!L18,_xlfn.XLOOKUP($F21,Constants!$A$2:$A$5,Constants!E$2:E$5))</f>
        <v>0.47</v>
      </c>
      <c r="M21">
        <f>'Input Scenarios'!M18</f>
        <v>0</v>
      </c>
      <c r="N21">
        <f>'Input Scenarios'!N18</f>
        <v>0.9</v>
      </c>
      <c r="O21">
        <f>'Input Scenarios'!O18</f>
        <v>0</v>
      </c>
      <c r="P21">
        <f>'Input Scenarios'!P18</f>
        <v>0.1</v>
      </c>
      <c r="Q21">
        <f>'Input Scenarios'!Q18</f>
        <v>0.34</v>
      </c>
      <c r="R21">
        <f>'Input Scenarios'!R18</f>
        <v>0.6</v>
      </c>
      <c r="S21">
        <f>'Input Scenarios'!S18</f>
        <v>0</v>
      </c>
      <c r="T21">
        <f>'Input Scenarios'!T18</f>
        <v>0</v>
      </c>
      <c r="U21">
        <f>'Input Scenarios'!U18</f>
        <v>0.06</v>
      </c>
      <c r="V21">
        <f>'Input Scenarios'!V18</f>
        <v>0.34</v>
      </c>
      <c r="W21">
        <f>'Input Scenarios'!W18</f>
        <v>0.6</v>
      </c>
      <c r="X21">
        <f>'Input Scenarios'!X18</f>
        <v>0</v>
      </c>
      <c r="Y21">
        <f>'Input Scenarios'!Y18</f>
        <v>0</v>
      </c>
      <c r="Z21">
        <f>'Input Scenarios'!Z18</f>
        <v>0.06</v>
      </c>
      <c r="AA21">
        <f>'Input Scenarios'!AA18</f>
        <v>0.34</v>
      </c>
      <c r="AB21">
        <f>'Input Scenarios'!AB18</f>
        <v>0.6</v>
      </c>
      <c r="AC21">
        <f>'Input Scenarios'!AC18</f>
        <v>0</v>
      </c>
      <c r="AD21">
        <f>'Input Scenarios'!AD18</f>
        <v>0</v>
      </c>
      <c r="AE21">
        <f>'Input Scenarios'!AE18</f>
        <v>0.06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15"/>
        <v>3.4223999999999999E-3</v>
      </c>
      <c r="AZ21">
        <f t="shared" si="16"/>
        <v>1.813872E-3</v>
      </c>
      <c r="BA21">
        <f t="shared" si="0"/>
        <v>671.06552673600004</v>
      </c>
      <c r="BB21">
        <f t="shared" si="1"/>
        <v>0</v>
      </c>
      <c r="BC21">
        <f t="shared" si="2"/>
        <v>603.9589740624001</v>
      </c>
      <c r="BD21">
        <f t="shared" si="3"/>
        <v>0</v>
      </c>
      <c r="BE21">
        <f t="shared" si="4"/>
        <v>67.106552673600007</v>
      </c>
      <c r="BF21">
        <f t="shared" si="5"/>
        <v>0</v>
      </c>
      <c r="BG21">
        <f t="shared" si="6"/>
        <v>573.15706638521772</v>
      </c>
      <c r="BH21">
        <f t="shared" si="7"/>
        <v>0</v>
      </c>
      <c r="BI21">
        <f t="shared" si="8"/>
        <v>194.87340257097404</v>
      </c>
      <c r="BJ21">
        <f t="shared" si="9"/>
        <v>343.89423983113062</v>
      </c>
      <c r="BK21">
        <f t="shared" si="10"/>
        <v>0</v>
      </c>
      <c r="BL21">
        <f t="shared" si="11"/>
        <v>0</v>
      </c>
      <c r="BM21">
        <f t="shared" si="12"/>
        <v>34.389423983113062</v>
      </c>
      <c r="BN21">
        <f>IF(D21="", "", _xlfn.XLOOKUP('4.6.1.3'!D21, Constants!$I$5:$I$6, Constants!$J$5:$J$6))</f>
        <v>6.0000000000000001E-3</v>
      </c>
      <c r="BO21">
        <f>Constants!$J$2</f>
        <v>1.57</v>
      </c>
      <c r="BP21">
        <f t="shared" si="17"/>
        <v>0</v>
      </c>
      <c r="BQ21">
        <f t="shared" si="18"/>
        <v>0.94821558927796812</v>
      </c>
      <c r="BR21">
        <f t="shared" si="19"/>
        <v>0</v>
      </c>
      <c r="BS21">
        <f t="shared" si="20"/>
        <v>0</v>
      </c>
      <c r="BT21">
        <f t="shared" si="21"/>
        <v>1.5297562101821462</v>
      </c>
      <c r="BU21">
        <f t="shared" si="22"/>
        <v>5.3991395653487508</v>
      </c>
      <c r="BV21">
        <f t="shared" si="23"/>
        <v>0</v>
      </c>
      <c r="BW21">
        <f t="shared" si="24"/>
        <v>0</v>
      </c>
      <c r="BX21">
        <f t="shared" si="25"/>
        <v>0.63214372618531212</v>
      </c>
      <c r="BY21">
        <f t="shared" si="26"/>
        <v>7.8771113648088651</v>
      </c>
    </row>
    <row r="22" spans="1:87" x14ac:dyDescent="0.2">
      <c r="A22" s="11" t="str">
        <f>'Input Scenarios'!A19</f>
        <v>TAS</v>
      </c>
      <c r="B22" s="11">
        <f>'Input Scenarios'!B19</f>
        <v>0</v>
      </c>
      <c r="C22" s="11" t="str">
        <f>'Input Scenarios'!C19</f>
        <v>Irrigated pasture</v>
      </c>
      <c r="D22" s="11" t="str">
        <f>'Input Scenarios'!D19</f>
        <v>wet</v>
      </c>
      <c r="E22" s="11" t="b">
        <f>'Input Scenarios'!E19</f>
        <v>1</v>
      </c>
      <c r="F22" s="11" t="str">
        <f>'Input Scenarios'!F19</f>
        <v>meatOther</v>
      </c>
      <c r="G22" s="11">
        <f>'Input Scenarios'!G19</f>
        <v>3333</v>
      </c>
      <c r="H22" s="11">
        <f>'Input Scenarios'!H19</f>
        <v>111</v>
      </c>
      <c r="I22">
        <f>IF('Input Scenarios'!I19&lt;&gt;"", 'Input Scenarios'!I19,_xlfn.XLOOKUP($F22,Constants!$A$2:$A$5,Constants!B$2:B$5))</f>
        <v>9.2999999999999999E-2</v>
      </c>
      <c r="J22">
        <f>IF('Input Scenarios'!J19&lt;&gt;"", 'Input Scenarios'!J19,_xlfn.XLOOKUP($F22,Constants!$A$2:$A$5,Constants!C$2:C$5))</f>
        <v>0.8</v>
      </c>
      <c r="K22">
        <f>IF('Input Scenarios'!K19&lt;&gt;"", 'Input Scenarios'!K19,_xlfn.XLOOKUP($F22,Constants!$A$2:$A$5,Constants!D$2:D$5))</f>
        <v>0.23</v>
      </c>
      <c r="L22">
        <f>IF('Input Scenarios'!L19&lt;&gt;"", 'Input Scenarios'!L19,_xlfn.XLOOKUP($F22,Constants!$A$2:$A$5,Constants!E$2:E$5))</f>
        <v>0.47</v>
      </c>
      <c r="M22" s="11">
        <f>'Input Scenarios'!M19</f>
        <v>0</v>
      </c>
      <c r="N22" s="11">
        <f>'Input Scenarios'!N19</f>
        <v>0.9</v>
      </c>
      <c r="O22" s="11">
        <f>'Input Scenarios'!O19</f>
        <v>0</v>
      </c>
      <c r="P22" s="11">
        <f>'Input Scenarios'!P19</f>
        <v>0.1</v>
      </c>
      <c r="Q22" s="11">
        <f>'Input Scenarios'!Q19</f>
        <v>0.34</v>
      </c>
      <c r="R22" s="11">
        <f>'Input Scenarios'!R19</f>
        <v>0.6</v>
      </c>
      <c r="S22" s="11">
        <f>'Input Scenarios'!S19</f>
        <v>0</v>
      </c>
      <c r="T22" s="11">
        <f>'Input Scenarios'!T19</f>
        <v>0</v>
      </c>
      <c r="U22" s="11">
        <f>'Input Scenarios'!U19</f>
        <v>0.06</v>
      </c>
      <c r="V22" s="11">
        <f>'Input Scenarios'!V19</f>
        <v>0.34</v>
      </c>
      <c r="W22" s="11">
        <f>'Input Scenarios'!W19</f>
        <v>0.6</v>
      </c>
      <c r="X22" s="11">
        <f>'Input Scenarios'!X19</f>
        <v>0</v>
      </c>
      <c r="Y22" s="11">
        <f>'Input Scenarios'!Y19</f>
        <v>0</v>
      </c>
      <c r="Z22" s="11">
        <f>'Input Scenarios'!Z19</f>
        <v>0.06</v>
      </c>
      <c r="AA22" s="11">
        <f>'Input Scenarios'!AA19</f>
        <v>0.34</v>
      </c>
      <c r="AB22" s="11">
        <f>'Input Scenarios'!AB19</f>
        <v>0.6</v>
      </c>
      <c r="AC22" s="11">
        <f>'Input Scenarios'!AC19</f>
        <v>0</v>
      </c>
      <c r="AD22" s="11">
        <f>'Input Scenarios'!AD19</f>
        <v>0</v>
      </c>
      <c r="AE22" s="11">
        <f>'Input Scenarios'!AE19</f>
        <v>0.06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15"/>
        <v>3.4223999999999999E-3</v>
      </c>
      <c r="AZ22">
        <f t="shared" si="16"/>
        <v>1.813872E-3</v>
      </c>
      <c r="BA22">
        <f t="shared" si="0"/>
        <v>671.06552673600004</v>
      </c>
      <c r="BB22">
        <f t="shared" si="1"/>
        <v>0</v>
      </c>
      <c r="BC22">
        <f t="shared" si="2"/>
        <v>603.9589740624001</v>
      </c>
      <c r="BD22">
        <f t="shared" si="3"/>
        <v>0</v>
      </c>
      <c r="BE22">
        <f t="shared" si="4"/>
        <v>67.106552673600007</v>
      </c>
      <c r="BF22">
        <f t="shared" si="5"/>
        <v>0</v>
      </c>
      <c r="BG22">
        <f t="shared" si="6"/>
        <v>573.15706638521772</v>
      </c>
      <c r="BH22">
        <f t="shared" si="7"/>
        <v>0</v>
      </c>
      <c r="BI22">
        <f t="shared" si="8"/>
        <v>194.87340257097404</v>
      </c>
      <c r="BJ22">
        <f t="shared" si="9"/>
        <v>343.89423983113062</v>
      </c>
      <c r="BK22">
        <f t="shared" si="10"/>
        <v>0</v>
      </c>
      <c r="BL22">
        <f t="shared" si="11"/>
        <v>0</v>
      </c>
      <c r="BM22">
        <f t="shared" si="12"/>
        <v>34.389423983113062</v>
      </c>
      <c r="BN22">
        <f>IF(D22="", "", _xlfn.XLOOKUP('4.6.1.3'!D22, Constants!$I$5:$I$6, Constants!$J$5:$J$6))</f>
        <v>6.0000000000000001E-3</v>
      </c>
      <c r="BO22">
        <f>Constants!$J$2</f>
        <v>1.57</v>
      </c>
      <c r="BP22">
        <f t="shared" si="17"/>
        <v>0</v>
      </c>
      <c r="BQ22">
        <f t="shared" si="18"/>
        <v>0.94821558927796812</v>
      </c>
      <c r="BR22">
        <f t="shared" si="19"/>
        <v>0</v>
      </c>
      <c r="BS22">
        <f t="shared" si="20"/>
        <v>0</v>
      </c>
      <c r="BT22">
        <f t="shared" si="21"/>
        <v>1.5297562101821462</v>
      </c>
      <c r="BU22">
        <f t="shared" si="22"/>
        <v>5.3991395653487508</v>
      </c>
      <c r="BV22">
        <f t="shared" si="23"/>
        <v>0</v>
      </c>
      <c r="BW22">
        <f t="shared" si="24"/>
        <v>0</v>
      </c>
      <c r="BX22">
        <f t="shared" si="25"/>
        <v>0.63214372618531212</v>
      </c>
      <c r="BY22">
        <f t="shared" si="26"/>
        <v>7.8771113648088651</v>
      </c>
    </row>
    <row r="23" spans="1:87" x14ac:dyDescent="0.2">
      <c r="A23" t="str">
        <f>'Input Scenarios'!A20</f>
        <v>NT</v>
      </c>
      <c r="B23">
        <f>'Input Scenarios'!B20</f>
        <v>0</v>
      </c>
      <c r="C23" t="str">
        <f>'Input Scenarios'!C20</f>
        <v>Non-irrigated crop (high rainfall)</v>
      </c>
      <c r="D23" t="str">
        <f>'Input Scenarios'!D20</f>
        <v>dry</v>
      </c>
      <c r="E23" t="b">
        <f>'Input Scenarios'!E20</f>
        <v>0</v>
      </c>
      <c r="F23" t="str">
        <f>'Input Scenarios'!F20</f>
        <v>layers</v>
      </c>
      <c r="G23">
        <f>'Input Scenarios'!G20</f>
        <v>1234</v>
      </c>
      <c r="H23">
        <f>'Input Scenarios'!H20</f>
        <v>150</v>
      </c>
      <c r="I23">
        <f>IF('Input Scenarios'!I20&lt;&gt;"", 'Input Scenarios'!I20,_xlfn.XLOOKUP($F23,Constants!$A$2:$A$5,Constants!B$2:B$5))</f>
        <v>8.5999999999999993E-2</v>
      </c>
      <c r="J23">
        <f>IF('Input Scenarios'!J20&lt;&gt;"", 'Input Scenarios'!J20,_xlfn.XLOOKUP($F23,Constants!$A$2:$A$5,Constants!C$2:C$5))</f>
        <v>0.8</v>
      </c>
      <c r="K23">
        <f>IF('Input Scenarios'!K20&lt;&gt;"", 'Input Scenarios'!K20,_xlfn.XLOOKUP($F23,Constants!$A$2:$A$5,Constants!D$2:D$5))</f>
        <v>0.19</v>
      </c>
      <c r="L23">
        <f>IF('Input Scenarios'!L20&lt;&gt;"", 'Input Scenarios'!L20,_xlfn.XLOOKUP($F23,Constants!$A$2:$A$5,Constants!E$2:E$5))</f>
        <v>0.35</v>
      </c>
      <c r="M23">
        <f>'Input Scenarios'!M20</f>
        <v>0.1</v>
      </c>
      <c r="N23">
        <f>'Input Scenarios'!N20</f>
        <v>0</v>
      </c>
      <c r="O23">
        <f>'Input Scenarios'!O20</f>
        <v>0</v>
      </c>
      <c r="P23">
        <f>'Input Scenarios'!P20</f>
        <v>0.9</v>
      </c>
      <c r="Q23">
        <f>'Input Scenarios'!Q20</f>
        <v>0.5</v>
      </c>
      <c r="R23">
        <f>'Input Scenarios'!R20</f>
        <v>0.25</v>
      </c>
      <c r="S23">
        <f>'Input Scenarios'!S20</f>
        <v>0.25</v>
      </c>
      <c r="T23">
        <f>'Input Scenarios'!T20</f>
        <v>0</v>
      </c>
      <c r="U23">
        <f>'Input Scenarios'!U20</f>
        <v>0</v>
      </c>
      <c r="V23">
        <f>'Input Scenarios'!V20</f>
        <v>0.5</v>
      </c>
      <c r="W23">
        <f>'Input Scenarios'!W20</f>
        <v>0.25</v>
      </c>
      <c r="X23">
        <f>'Input Scenarios'!X20</f>
        <v>0.25</v>
      </c>
      <c r="Y23">
        <f>'Input Scenarios'!Y20</f>
        <v>0</v>
      </c>
      <c r="Z23">
        <f>'Input Scenarios'!Z20</f>
        <v>0</v>
      </c>
      <c r="AA23">
        <f>'Input Scenarios'!AA20</f>
        <v>0.5</v>
      </c>
      <c r="AB23">
        <f>'Input Scenarios'!AB20</f>
        <v>0.25</v>
      </c>
      <c r="AC23">
        <f>'Input Scenarios'!AC20</f>
        <v>0.25</v>
      </c>
      <c r="AD23">
        <f>'Input Scenarios'!AD20</f>
        <v>0</v>
      </c>
      <c r="AE23">
        <f>'Input Scenarios'!AE20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15"/>
        <v>2.6144000000000002E-3</v>
      </c>
      <c r="AZ23">
        <f t="shared" si="16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2"/>
        <v>0</v>
      </c>
      <c r="BD23">
        <f t="shared" si="3"/>
        <v>0</v>
      </c>
      <c r="BE23">
        <f t="shared" si="4"/>
        <v>283.09638240000004</v>
      </c>
      <c r="BF23">
        <f t="shared" si="5"/>
        <v>21.987152366400004</v>
      </c>
      <c r="BG23">
        <f t="shared" si="6"/>
        <v>0</v>
      </c>
      <c r="BH23">
        <f t="shared" si="7"/>
        <v>0</v>
      </c>
      <c r="BI23">
        <f t="shared" si="8"/>
        <v>10.993576183200002</v>
      </c>
      <c r="BJ23">
        <f t="shared" si="9"/>
        <v>5.4967880916000009</v>
      </c>
      <c r="BK23">
        <f t="shared" si="10"/>
        <v>5.4967880916000009</v>
      </c>
      <c r="BL23">
        <f t="shared" si="11"/>
        <v>0</v>
      </c>
      <c r="BM23">
        <f t="shared" si="12"/>
        <v>0</v>
      </c>
      <c r="BN23">
        <f>IF(D23="", "", _xlfn.XLOOKUP('4.6.1.3'!D23, Constants!$I$5:$I$6, Constants!$J$5:$J$6))</f>
        <v>2E-3</v>
      </c>
      <c r="BO23">
        <f>Constants!$J$2</f>
        <v>1.57</v>
      </c>
      <c r="BP23">
        <f t="shared" si="17"/>
        <v>4.9384591152000015E-2</v>
      </c>
      <c r="BQ23">
        <f t="shared" si="18"/>
        <v>0</v>
      </c>
      <c r="BR23">
        <f t="shared" si="19"/>
        <v>0</v>
      </c>
      <c r="BS23">
        <f t="shared" si="20"/>
        <v>0</v>
      </c>
      <c r="BT23">
        <f t="shared" si="21"/>
        <v>8.6299573038120012E-2</v>
      </c>
      <c r="BU23">
        <f t="shared" si="22"/>
        <v>8.6299573038120012E-2</v>
      </c>
      <c r="BV23">
        <f t="shared" si="23"/>
        <v>0</v>
      </c>
      <c r="BW23">
        <f t="shared" si="24"/>
        <v>0</v>
      </c>
      <c r="BX23">
        <f t="shared" si="25"/>
        <v>0.88892264073600025</v>
      </c>
      <c r="BY23">
        <f t="shared" si="26"/>
        <v>0.22198373722824005</v>
      </c>
      <c r="BZ23">
        <f>SUM(BX23:BY26)/1000</f>
        <v>4.8743488396468804E-3</v>
      </c>
    </row>
    <row r="24" spans="1:87" x14ac:dyDescent="0.2">
      <c r="A24" t="str">
        <f>'Input Scenarios'!A21</f>
        <v>NT</v>
      </c>
      <c r="B24">
        <f>'Input Scenarios'!B21</f>
        <v>0</v>
      </c>
      <c r="C24" t="str">
        <f>'Input Scenarios'!C21</f>
        <v>Non-irrigated crop (high rainfall)</v>
      </c>
      <c r="D24" t="str">
        <f>'Input Scenarios'!D21</f>
        <v>dry</v>
      </c>
      <c r="E24" t="b">
        <f>'Input Scenarios'!E21</f>
        <v>0</v>
      </c>
      <c r="F24" t="str">
        <f>'Input Scenarios'!F21</f>
        <v>meatChickenBreeder</v>
      </c>
      <c r="G24">
        <f>'Input Scenarios'!G21</f>
        <v>1234</v>
      </c>
      <c r="H24">
        <f>'Input Scenarios'!H21</f>
        <v>150</v>
      </c>
      <c r="I24">
        <f>IF('Input Scenarios'!I21&lt;&gt;"", 'Input Scenarios'!I21,_xlfn.XLOOKUP($F24,Constants!$A$2:$A$5,Constants!B$2:B$5))</f>
        <v>0.10299999999999999</v>
      </c>
      <c r="J24">
        <f>IF('Input Scenarios'!J21&lt;&gt;"", 'Input Scenarios'!J21,_xlfn.XLOOKUP($F24,Constants!$A$2:$A$5,Constants!C$2:C$5))</f>
        <v>0.8</v>
      </c>
      <c r="K24">
        <f>IF('Input Scenarios'!K21&lt;&gt;"", 'Input Scenarios'!K21,_xlfn.XLOOKUP($F24,Constants!$A$2:$A$5,Constants!D$2:D$5))</f>
        <v>0.19</v>
      </c>
      <c r="L24">
        <f>IF('Input Scenarios'!L21&lt;&gt;"", 'Input Scenarios'!L21,_xlfn.XLOOKUP($F24,Constants!$A$2:$A$5,Constants!E$2:E$5))</f>
        <v>0.32</v>
      </c>
      <c r="M24">
        <f>'Input Scenarios'!M21</f>
        <v>0.1</v>
      </c>
      <c r="N24">
        <f>'Input Scenarios'!N21</f>
        <v>0</v>
      </c>
      <c r="O24">
        <f>'Input Scenarios'!O21</f>
        <v>0</v>
      </c>
      <c r="P24">
        <f>'Input Scenarios'!P21</f>
        <v>0.9</v>
      </c>
      <c r="Q24">
        <f>'Input Scenarios'!Q21</f>
        <v>0.5</v>
      </c>
      <c r="R24">
        <f>'Input Scenarios'!R21</f>
        <v>0.25</v>
      </c>
      <c r="S24">
        <f>'Input Scenarios'!S21</f>
        <v>0.25</v>
      </c>
      <c r="T24">
        <f>'Input Scenarios'!T21</f>
        <v>0</v>
      </c>
      <c r="U24">
        <f>'Input Scenarios'!U21</f>
        <v>0</v>
      </c>
      <c r="V24">
        <f>'Input Scenarios'!V21</f>
        <v>0.5</v>
      </c>
      <c r="W24">
        <f>'Input Scenarios'!W21</f>
        <v>0.25</v>
      </c>
      <c r="X24">
        <f>'Input Scenarios'!X21</f>
        <v>0.25</v>
      </c>
      <c r="Y24">
        <f>'Input Scenarios'!Y21</f>
        <v>0</v>
      </c>
      <c r="Z24">
        <f>'Input Scenarios'!Z21</f>
        <v>0</v>
      </c>
      <c r="AA24">
        <f>'Input Scenarios'!AA21</f>
        <v>0.5</v>
      </c>
      <c r="AB24">
        <f>'Input Scenarios'!AB21</f>
        <v>0.25</v>
      </c>
      <c r="AC24">
        <f>'Input Scenarios'!AC21</f>
        <v>0.25</v>
      </c>
      <c r="AD24">
        <f>'Input Scenarios'!AD21</f>
        <v>0</v>
      </c>
      <c r="AE24">
        <f>'Input Scenarios'!AE21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15"/>
        <v>3.1312000000000002E-3</v>
      </c>
      <c r="AZ24">
        <f t="shared" si="16"/>
        <v>2.1292159999999997E-3</v>
      </c>
      <c r="BA24">
        <f t="shared" si="0"/>
        <v>394.11788159999992</v>
      </c>
      <c r="BB24">
        <f t="shared" si="1"/>
        <v>39.411788159999993</v>
      </c>
      <c r="BC24">
        <f t="shared" si="2"/>
        <v>0</v>
      </c>
      <c r="BD24">
        <f t="shared" si="3"/>
        <v>0</v>
      </c>
      <c r="BE24">
        <f t="shared" si="4"/>
        <v>354.70609343999996</v>
      </c>
      <c r="BF24">
        <f t="shared" si="5"/>
        <v>27.548839923839992</v>
      </c>
      <c r="BG24">
        <f t="shared" si="6"/>
        <v>0</v>
      </c>
      <c r="BH24">
        <f t="shared" si="7"/>
        <v>0</v>
      </c>
      <c r="BI24">
        <f t="shared" si="8"/>
        <v>13.774419961919996</v>
      </c>
      <c r="BJ24">
        <f t="shared" si="9"/>
        <v>6.887209980959998</v>
      </c>
      <c r="BK24">
        <f t="shared" si="10"/>
        <v>6.887209980959998</v>
      </c>
      <c r="BL24">
        <f t="shared" si="11"/>
        <v>0</v>
      </c>
      <c r="BM24">
        <f t="shared" si="12"/>
        <v>0</v>
      </c>
      <c r="BN24">
        <f>IF(D24="", "", _xlfn.XLOOKUP('4.6.1.3'!D24, Constants!$I$5:$I$6, Constants!$J$5:$J$6))</f>
        <v>2E-3</v>
      </c>
      <c r="BO24">
        <f>Constants!$J$2</f>
        <v>1.57</v>
      </c>
      <c r="BP24">
        <f t="shared" si="17"/>
        <v>6.1876507411199995E-2</v>
      </c>
      <c r="BQ24">
        <f t="shared" si="18"/>
        <v>0</v>
      </c>
      <c r="BR24">
        <f t="shared" si="19"/>
        <v>0</v>
      </c>
      <c r="BS24">
        <f t="shared" si="20"/>
        <v>0</v>
      </c>
      <c r="BT24">
        <f t="shared" si="21"/>
        <v>0.10812919670107196</v>
      </c>
      <c r="BU24">
        <f t="shared" si="22"/>
        <v>0.10812919670107196</v>
      </c>
      <c r="BV24">
        <f t="shared" si="23"/>
        <v>0</v>
      </c>
      <c r="BW24">
        <f t="shared" si="24"/>
        <v>0</v>
      </c>
      <c r="BX24">
        <f t="shared" si="25"/>
        <v>1.1137771334016</v>
      </c>
      <c r="BY24">
        <f t="shared" si="26"/>
        <v>0.27813490081334391</v>
      </c>
    </row>
    <row r="25" spans="1:87" s="11" customFormat="1" x14ac:dyDescent="0.2">
      <c r="A25" t="str">
        <f>'Input Scenarios'!A22</f>
        <v>NT</v>
      </c>
      <c r="B25">
        <f>'Input Scenarios'!B22</f>
        <v>0</v>
      </c>
      <c r="C25" t="str">
        <f>'Input Scenarios'!C22</f>
        <v>Non-irrigated crop (high rainfall)</v>
      </c>
      <c r="D25" t="str">
        <f>'Input Scenarios'!D22</f>
        <v>dry</v>
      </c>
      <c r="E25" t="b">
        <f>'Input Scenarios'!E22</f>
        <v>0</v>
      </c>
      <c r="F25" t="str">
        <f>'Input Scenarios'!F22</f>
        <v>meatChickenGrowers</v>
      </c>
      <c r="G25">
        <f>'Input Scenarios'!G22</f>
        <v>1234</v>
      </c>
      <c r="H25">
        <f>'Input Scenarios'!H22</f>
        <v>150</v>
      </c>
      <c r="I25">
        <f>IF('Input Scenarios'!I22&lt;&gt;"", 'Input Scenarios'!I22,_xlfn.XLOOKUP($F25,Constants!$A$2:$A$5,Constants!B$2:B$5))</f>
        <v>9.2999999999999999E-2</v>
      </c>
      <c r="J25">
        <f>IF('Input Scenarios'!J22&lt;&gt;"", 'Input Scenarios'!J22,_xlfn.XLOOKUP($F25,Constants!$A$2:$A$5,Constants!C$2:C$5))</f>
        <v>0.8</v>
      </c>
      <c r="K25">
        <f>IF('Input Scenarios'!K22&lt;&gt;"", 'Input Scenarios'!K22,_xlfn.XLOOKUP($F25,Constants!$A$2:$A$5,Constants!D$2:D$5))</f>
        <v>0.23</v>
      </c>
      <c r="L25">
        <f>IF('Input Scenarios'!L22&lt;&gt;"", 'Input Scenarios'!L22,_xlfn.XLOOKUP($F25,Constants!$A$2:$A$5,Constants!E$2:E$5))</f>
        <v>0.47</v>
      </c>
      <c r="M25">
        <f>'Input Scenarios'!M22</f>
        <v>0.1</v>
      </c>
      <c r="N25">
        <f>'Input Scenarios'!N22</f>
        <v>0</v>
      </c>
      <c r="O25">
        <f>'Input Scenarios'!O22</f>
        <v>0</v>
      </c>
      <c r="P25">
        <f>'Input Scenarios'!P22</f>
        <v>0.9</v>
      </c>
      <c r="Q25">
        <f>'Input Scenarios'!Q22</f>
        <v>0.5</v>
      </c>
      <c r="R25">
        <f>'Input Scenarios'!R22</f>
        <v>0.25</v>
      </c>
      <c r="S25">
        <f>'Input Scenarios'!S22</f>
        <v>0.25</v>
      </c>
      <c r="T25">
        <f>'Input Scenarios'!T22</f>
        <v>0</v>
      </c>
      <c r="U25">
        <f>'Input Scenarios'!U22</f>
        <v>0</v>
      </c>
      <c r="V25">
        <f>'Input Scenarios'!V22</f>
        <v>0.5</v>
      </c>
      <c r="W25">
        <f>'Input Scenarios'!W22</f>
        <v>0.25</v>
      </c>
      <c r="X25">
        <f>'Input Scenarios'!X22</f>
        <v>0.25</v>
      </c>
      <c r="Y25">
        <f>'Input Scenarios'!Y22</f>
        <v>0</v>
      </c>
      <c r="Z25">
        <f>'Input Scenarios'!Z22</f>
        <v>0</v>
      </c>
      <c r="AA25">
        <f>'Input Scenarios'!AA22</f>
        <v>0.5</v>
      </c>
      <c r="AB25">
        <f>'Input Scenarios'!AB22</f>
        <v>0.25</v>
      </c>
      <c r="AC25">
        <f>'Input Scenarios'!AC22</f>
        <v>0.25</v>
      </c>
      <c r="AD25">
        <f>'Input Scenarios'!AD22</f>
        <v>0</v>
      </c>
      <c r="AE25">
        <f>'Input Scenarios'!AE22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15"/>
        <v>3.4223999999999999E-3</v>
      </c>
      <c r="AZ25">
        <f t="shared" si="16"/>
        <v>1.813872E-3</v>
      </c>
      <c r="BA25">
        <f t="shared" si="0"/>
        <v>335.74770719999998</v>
      </c>
      <c r="BB25">
        <f t="shared" si="1"/>
        <v>33.574770719999997</v>
      </c>
      <c r="BC25">
        <f t="shared" si="2"/>
        <v>0</v>
      </c>
      <c r="BD25">
        <f t="shared" si="3"/>
        <v>0</v>
      </c>
      <c r="BE25">
        <f t="shared" si="4"/>
        <v>302.17293647999998</v>
      </c>
      <c r="BF25">
        <f t="shared" si="5"/>
        <v>23.468764733279997</v>
      </c>
      <c r="BG25">
        <f t="shared" si="6"/>
        <v>0</v>
      </c>
      <c r="BH25">
        <f t="shared" si="7"/>
        <v>0</v>
      </c>
      <c r="BI25">
        <f t="shared" si="8"/>
        <v>11.734382366639998</v>
      </c>
      <c r="BJ25">
        <f t="shared" si="9"/>
        <v>5.8671911833199992</v>
      </c>
      <c r="BK25">
        <f t="shared" si="10"/>
        <v>5.8671911833199992</v>
      </c>
      <c r="BL25">
        <f t="shared" si="11"/>
        <v>0</v>
      </c>
      <c r="BM25">
        <f t="shared" si="12"/>
        <v>0</v>
      </c>
      <c r="BN25">
        <f>IF(D25="", "", _xlfn.XLOOKUP('4.6.1.3'!D25, Constants!$I$5:$I$6, Constants!$J$5:$J$6))</f>
        <v>2E-3</v>
      </c>
      <c r="BO25">
        <f>Constants!$J$2</f>
        <v>1.57</v>
      </c>
      <c r="BP25">
        <f t="shared" si="17"/>
        <v>5.2712390030399993E-2</v>
      </c>
      <c r="BQ25">
        <f t="shared" si="18"/>
        <v>0</v>
      </c>
      <c r="BR25">
        <f t="shared" si="19"/>
        <v>0</v>
      </c>
      <c r="BS25">
        <f t="shared" si="20"/>
        <v>0</v>
      </c>
      <c r="BT25">
        <f t="shared" si="21"/>
        <v>9.2114901578123992E-2</v>
      </c>
      <c r="BU25">
        <f t="shared" si="22"/>
        <v>9.2114901578123992E-2</v>
      </c>
      <c r="BV25">
        <f t="shared" si="23"/>
        <v>0</v>
      </c>
      <c r="BW25">
        <f t="shared" si="24"/>
        <v>0</v>
      </c>
      <c r="BX25">
        <f t="shared" si="25"/>
        <v>0.94882302054720002</v>
      </c>
      <c r="BY25">
        <f t="shared" si="26"/>
        <v>0.23694219318664797</v>
      </c>
      <c r="BZ25"/>
      <c r="CA25"/>
      <c r="CB25"/>
      <c r="CC25"/>
      <c r="CD25"/>
      <c r="CE25"/>
      <c r="CF25"/>
      <c r="CG25"/>
      <c r="CH25"/>
      <c r="CI25"/>
    </row>
    <row r="26" spans="1:87" x14ac:dyDescent="0.2">
      <c r="A26" s="11" t="str">
        <f>'Input Scenarios'!A23</f>
        <v>NT</v>
      </c>
      <c r="B26" s="11">
        <f>'Input Scenarios'!B23</f>
        <v>0</v>
      </c>
      <c r="C26" s="11" t="str">
        <f>'Input Scenarios'!C23</f>
        <v>Non-irrigated crop (high rainfall)</v>
      </c>
      <c r="D26" s="11" t="str">
        <f>'Input Scenarios'!D23</f>
        <v>dry</v>
      </c>
      <c r="E26" s="11" t="b">
        <f>'Input Scenarios'!E23</f>
        <v>0</v>
      </c>
      <c r="F26" s="11" t="str">
        <f>'Input Scenarios'!F23</f>
        <v>meatOther</v>
      </c>
      <c r="G26" s="11">
        <f>'Input Scenarios'!G23</f>
        <v>1234</v>
      </c>
      <c r="H26" s="11">
        <f>'Input Scenarios'!H23</f>
        <v>150</v>
      </c>
      <c r="I26">
        <f>IF('Input Scenarios'!I23&lt;&gt;"", 'Input Scenarios'!I23,_xlfn.XLOOKUP($F26,Constants!$A$2:$A$5,Constants!B$2:B$5))</f>
        <v>9.2999999999999999E-2</v>
      </c>
      <c r="J26">
        <f>IF('Input Scenarios'!J23&lt;&gt;"", 'Input Scenarios'!J23,_xlfn.XLOOKUP($F26,Constants!$A$2:$A$5,Constants!C$2:C$5))</f>
        <v>0.8</v>
      </c>
      <c r="K26">
        <f>IF('Input Scenarios'!K23&lt;&gt;"", 'Input Scenarios'!K23,_xlfn.XLOOKUP($F26,Constants!$A$2:$A$5,Constants!D$2:D$5))</f>
        <v>0.23</v>
      </c>
      <c r="L26">
        <f>IF('Input Scenarios'!L23&lt;&gt;"", 'Input Scenarios'!L23,_xlfn.XLOOKUP($F26,Constants!$A$2:$A$5,Constants!E$2:E$5))</f>
        <v>0.47</v>
      </c>
      <c r="M26" s="11">
        <f>'Input Scenarios'!M23</f>
        <v>0.1</v>
      </c>
      <c r="N26" s="11">
        <f>'Input Scenarios'!N23</f>
        <v>0</v>
      </c>
      <c r="O26" s="11">
        <f>'Input Scenarios'!O23</f>
        <v>0</v>
      </c>
      <c r="P26" s="11">
        <f>'Input Scenarios'!P23</f>
        <v>0.9</v>
      </c>
      <c r="Q26" s="11">
        <f>'Input Scenarios'!Q23</f>
        <v>0.5</v>
      </c>
      <c r="R26" s="11">
        <f>'Input Scenarios'!R23</f>
        <v>0.25</v>
      </c>
      <c r="S26" s="11">
        <f>'Input Scenarios'!S23</f>
        <v>0.25</v>
      </c>
      <c r="T26" s="11">
        <f>'Input Scenarios'!T23</f>
        <v>0</v>
      </c>
      <c r="U26" s="11">
        <f>'Input Scenarios'!U23</f>
        <v>0</v>
      </c>
      <c r="V26" s="11">
        <f>'Input Scenarios'!V23</f>
        <v>0.5</v>
      </c>
      <c r="W26" s="11">
        <f>'Input Scenarios'!W23</f>
        <v>0.25</v>
      </c>
      <c r="X26" s="11">
        <f>'Input Scenarios'!X23</f>
        <v>0.25</v>
      </c>
      <c r="Y26" s="11">
        <f>'Input Scenarios'!Y23</f>
        <v>0</v>
      </c>
      <c r="Z26" s="11">
        <f>'Input Scenarios'!Z23</f>
        <v>0</v>
      </c>
      <c r="AA26" s="11">
        <f>'Input Scenarios'!AA23</f>
        <v>0.5</v>
      </c>
      <c r="AB26" s="11">
        <f>'Input Scenarios'!AB23</f>
        <v>0.25</v>
      </c>
      <c r="AC26" s="11">
        <f>'Input Scenarios'!AC23</f>
        <v>0.25</v>
      </c>
      <c r="AD26" s="11">
        <f>'Input Scenarios'!AD23</f>
        <v>0</v>
      </c>
      <c r="AE26" s="11">
        <f>'Input Scenarios'!AE23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15"/>
        <v>3.4223999999999999E-3</v>
      </c>
      <c r="AZ26">
        <f t="shared" si="16"/>
        <v>1.813872E-3</v>
      </c>
      <c r="BA26">
        <f t="shared" si="0"/>
        <v>335.74770719999998</v>
      </c>
      <c r="BB26">
        <f t="shared" si="1"/>
        <v>33.574770719999997</v>
      </c>
      <c r="BC26">
        <f t="shared" si="2"/>
        <v>0</v>
      </c>
      <c r="BD26">
        <f t="shared" si="3"/>
        <v>0</v>
      </c>
      <c r="BE26">
        <f t="shared" si="4"/>
        <v>302.17293647999998</v>
      </c>
      <c r="BF26">
        <f t="shared" si="5"/>
        <v>23.468764733279997</v>
      </c>
      <c r="BG26">
        <f t="shared" si="6"/>
        <v>0</v>
      </c>
      <c r="BH26">
        <f t="shared" si="7"/>
        <v>0</v>
      </c>
      <c r="BI26">
        <f t="shared" si="8"/>
        <v>11.734382366639998</v>
      </c>
      <c r="BJ26">
        <f t="shared" si="9"/>
        <v>5.8671911833199992</v>
      </c>
      <c r="BK26">
        <f t="shared" si="10"/>
        <v>5.8671911833199992</v>
      </c>
      <c r="BL26">
        <f t="shared" si="11"/>
        <v>0</v>
      </c>
      <c r="BM26">
        <f t="shared" si="12"/>
        <v>0</v>
      </c>
      <c r="BN26">
        <f>IF(D26="", "", _xlfn.XLOOKUP('4.6.1.3'!D26, Constants!$I$5:$I$6, Constants!$J$5:$J$6))</f>
        <v>2E-3</v>
      </c>
      <c r="BO26">
        <f>Constants!$J$2</f>
        <v>1.57</v>
      </c>
      <c r="BP26">
        <f t="shared" si="17"/>
        <v>5.2712390030399993E-2</v>
      </c>
      <c r="BQ26">
        <f t="shared" si="18"/>
        <v>0</v>
      </c>
      <c r="BR26">
        <f t="shared" si="19"/>
        <v>0</v>
      </c>
      <c r="BS26">
        <f t="shared" si="20"/>
        <v>0</v>
      </c>
      <c r="BT26">
        <f t="shared" si="21"/>
        <v>9.2114901578123992E-2</v>
      </c>
      <c r="BU26">
        <f t="shared" si="22"/>
        <v>9.2114901578123992E-2</v>
      </c>
      <c r="BV26">
        <f t="shared" si="23"/>
        <v>0</v>
      </c>
      <c r="BW26">
        <f t="shared" si="24"/>
        <v>0</v>
      </c>
      <c r="BX26">
        <f t="shared" si="25"/>
        <v>0.94882302054720002</v>
      </c>
      <c r="BY26">
        <f t="shared" si="26"/>
        <v>0.23694219318664797</v>
      </c>
    </row>
    <row r="30" spans="1:87" s="11" customFormat="1" x14ac:dyDescent="0.2">
      <c r="A30"/>
      <c r="B30"/>
      <c r="C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9AFB-285F-AB46-A944-AEFF4DEA9701}">
  <dimension ref="A2:CI30"/>
  <sheetViews>
    <sheetView workbookViewId="0">
      <selection activeCell="A11" sqref="A11:AE26"/>
    </sheetView>
  </sheetViews>
  <sheetFormatPr baseColWidth="10" defaultRowHeight="16" x14ac:dyDescent="0.2"/>
  <cols>
    <col min="6" max="6" width="22.6640625" customWidth="1"/>
    <col min="58" max="58" width="12.1640625" bestFit="1" customWidth="1"/>
    <col min="59" max="76" width="12.1640625" customWidth="1"/>
    <col min="77" max="78" width="12.1640625" bestFit="1" customWidth="1"/>
  </cols>
  <sheetData>
    <row r="2" spans="1:87" x14ac:dyDescent="0.2">
      <c r="A2" t="s">
        <v>30</v>
      </c>
    </row>
    <row r="4" spans="1:87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87" x14ac:dyDescent="0.2">
      <c r="K5" t="s">
        <v>0</v>
      </c>
      <c r="AF5" t="s">
        <v>0</v>
      </c>
      <c r="BF5" t="s">
        <v>97</v>
      </c>
    </row>
    <row r="6" spans="1:87" x14ac:dyDescent="0.2">
      <c r="BF6" t="s">
        <v>91</v>
      </c>
      <c r="BX6" t="s">
        <v>98</v>
      </c>
    </row>
    <row r="8" spans="1:87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87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182</v>
      </c>
      <c r="BK10" s="1" t="s">
        <v>183</v>
      </c>
      <c r="BL10" s="1" t="s">
        <v>184</v>
      </c>
      <c r="BM10" s="1" t="s">
        <v>185</v>
      </c>
      <c r="BN10" s="1" t="s">
        <v>68</v>
      </c>
      <c r="BO10" s="1" t="s">
        <v>96</v>
      </c>
      <c r="BP10" s="10" t="s">
        <v>186</v>
      </c>
      <c r="BQ10" s="10" t="s">
        <v>187</v>
      </c>
      <c r="BR10" s="19" t="s">
        <v>188</v>
      </c>
      <c r="BS10" s="19" t="s">
        <v>189</v>
      </c>
      <c r="BT10" s="19" t="s">
        <v>190</v>
      </c>
      <c r="BU10" s="19" t="s">
        <v>192</v>
      </c>
      <c r="BV10" s="19" t="s">
        <v>193</v>
      </c>
      <c r="BW10" s="19" t="s">
        <v>191</v>
      </c>
      <c r="BX10" s="10" t="s">
        <v>195</v>
      </c>
      <c r="BY10" s="10" t="s">
        <v>194</v>
      </c>
      <c r="BZ10" s="10" t="s">
        <v>92</v>
      </c>
    </row>
    <row r="11" spans="1:87" x14ac:dyDescent="0.2">
      <c r="A11" t="str">
        <f>'Input Scenarios'!A32</f>
        <v>NSW</v>
      </c>
      <c r="B11">
        <f>'Input Scenarios'!B32</f>
        <v>13</v>
      </c>
      <c r="C11" t="str">
        <f>'Input Scenarios'!C32</f>
        <v>Non-irrigated pasture</v>
      </c>
      <c r="D11" t="str">
        <f>'Input Scenarios'!D32</f>
        <v>wet</v>
      </c>
      <c r="E11" t="b">
        <f>'Input Scenarios'!E32</f>
        <v>1</v>
      </c>
      <c r="F11" t="str">
        <f>'Input Scenarios'!F32</f>
        <v>layers</v>
      </c>
      <c r="G11">
        <f>'Input Scenarios'!G32</f>
        <v>5000</v>
      </c>
      <c r="H11">
        <f>'Input Scenarios'!H32</f>
        <v>50</v>
      </c>
      <c r="I11">
        <f>IF('Input Scenarios'!I32&lt;&gt;"", 'Input Scenarios'!I32,_xlfn.XLOOKUP($F11,Constants!$A$2:$A$5,Constants!B$2:B$5))</f>
        <v>8.7999999999999995E-2</v>
      </c>
      <c r="J11">
        <f>IF('Input Scenarios'!J32&lt;&gt;"", 'Input Scenarios'!J32,_xlfn.XLOOKUP($F11,Constants!$A$2:$A$5,Constants!C$2:C$5))</f>
        <v>0.8</v>
      </c>
      <c r="K11">
        <f>IF('Input Scenarios'!K32&lt;&gt;"", 'Input Scenarios'!K32,_xlfn.XLOOKUP($F11,Constants!$A$2:$A$5,Constants!D$2:D$5))</f>
        <v>0.2</v>
      </c>
      <c r="L11">
        <f>IF('Input Scenarios'!L32&lt;&gt;"", 'Input Scenarios'!L32,_xlfn.XLOOKUP($F11,Constants!$A$2:$A$5,Constants!E$2:E$5))</f>
        <v>0.35</v>
      </c>
      <c r="M11">
        <f>'Input Scenarios'!M32</f>
        <v>0.1</v>
      </c>
      <c r="N11">
        <f>'Input Scenarios'!N32</f>
        <v>0.2</v>
      </c>
      <c r="O11">
        <f>'Input Scenarios'!O32</f>
        <v>0.3</v>
      </c>
      <c r="P11">
        <f>'Input Scenarios'!P32</f>
        <v>0.4</v>
      </c>
      <c r="Q11">
        <f>'Input Scenarios'!Q32</f>
        <v>0.5</v>
      </c>
      <c r="R11">
        <f>'Input Scenarios'!R32</f>
        <v>0.5</v>
      </c>
      <c r="S11">
        <f>'Input Scenarios'!S32</f>
        <v>0</v>
      </c>
      <c r="T11">
        <f>'Input Scenarios'!T32</f>
        <v>0</v>
      </c>
      <c r="U11">
        <f>'Input Scenarios'!U32</f>
        <v>0</v>
      </c>
      <c r="V11">
        <f>'Input Scenarios'!V32</f>
        <v>0</v>
      </c>
      <c r="W11">
        <f>'Input Scenarios'!W32</f>
        <v>0</v>
      </c>
      <c r="X11">
        <f>'Input Scenarios'!X32</f>
        <v>0.75</v>
      </c>
      <c r="Y11">
        <f>'Input Scenarios'!Y32</f>
        <v>0.25</v>
      </c>
      <c r="Z11">
        <f>'Input Scenarios'!Z32</f>
        <v>0</v>
      </c>
      <c r="AA11">
        <f>'Input Scenarios'!AA32</f>
        <v>0</v>
      </c>
      <c r="AB11">
        <f>'Input Scenarios'!AB32</f>
        <v>0</v>
      </c>
      <c r="AC11">
        <f>'Input Scenarios'!AC32</f>
        <v>0</v>
      </c>
      <c r="AD11">
        <f>'Input Scenarios'!AD32</f>
        <v>0</v>
      </c>
      <c r="AE11">
        <f>'Input Scenarios'!AE32</f>
        <v>1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2.8160000000000004E-3</v>
      </c>
      <c r="AZ11">
        <f>AY11*(1-L11)</f>
        <v>1.8304000000000003E-3</v>
      </c>
      <c r="BA11">
        <f t="shared" ref="BA11:BA26" si="0">G11*AZ11*H11</f>
        <v>457.6</v>
      </c>
      <c r="BB11">
        <f t="shared" ref="BB11:BE26" si="1">$BA11*M11</f>
        <v>45.760000000000005</v>
      </c>
      <c r="BC11">
        <f t="shared" si="1"/>
        <v>91.52000000000001</v>
      </c>
      <c r="BD11">
        <f t="shared" si="1"/>
        <v>137.28</v>
      </c>
      <c r="BE11">
        <f t="shared" si="1"/>
        <v>183.04000000000002</v>
      </c>
      <c r="BF11">
        <f t="shared" ref="BF11:BH26" si="2">(BB11*(1-AG11-AK11))</f>
        <v>31.986240000000002</v>
      </c>
      <c r="BG11">
        <f t="shared" si="2"/>
        <v>86.85248</v>
      </c>
      <c r="BH11">
        <f t="shared" si="2"/>
        <v>82.230719999999991</v>
      </c>
      <c r="BI11">
        <f t="shared" ref="BI11:BM26" si="3">($BF11*Q11)+($BG11*V11)+($BH11*AA11)</f>
        <v>15.993120000000001</v>
      </c>
      <c r="BJ11">
        <f t="shared" si="3"/>
        <v>15.993120000000001</v>
      </c>
      <c r="BK11">
        <f t="shared" si="3"/>
        <v>65.139359999999996</v>
      </c>
      <c r="BL11">
        <f t="shared" si="3"/>
        <v>21.71312</v>
      </c>
      <c r="BM11">
        <f t="shared" si="3"/>
        <v>82.230719999999991</v>
      </c>
      <c r="BN11">
        <f>IF(D11="", "", _xlfn.XLOOKUP('4.6.1.4'!D11, Constants!$I$5:$I$6, Constants!$J$5:$J$6))</f>
        <v>6.0000000000000001E-3</v>
      </c>
      <c r="BO11">
        <f>Constants!$J$2</f>
        <v>1.57</v>
      </c>
      <c r="BP11">
        <f>BB11*AK11*$BO11</f>
        <v>7.1843200000000024E-2</v>
      </c>
      <c r="BQ11">
        <f t="shared" ref="BQ11:BS26" si="4">BC11*AL11*$BO11</f>
        <v>0.14368640000000005</v>
      </c>
      <c r="BR11">
        <f t="shared" si="4"/>
        <v>0.21552960000000002</v>
      </c>
      <c r="BS11">
        <f t="shared" si="4"/>
        <v>0</v>
      </c>
      <c r="BT11">
        <f>BI11*AT11*$BO11</f>
        <v>0.12554599200000002</v>
      </c>
      <c r="BU11">
        <f t="shared" ref="BU11:BW26" si="5">BJ11*AU11*$BO11</f>
        <v>0.25109198400000005</v>
      </c>
      <c r="BV11">
        <f t="shared" si="5"/>
        <v>0</v>
      </c>
      <c r="BW11">
        <f t="shared" si="5"/>
        <v>0</v>
      </c>
      <c r="BX11">
        <f>BE11* BN11*BO11</f>
        <v>1.7242368000000001</v>
      </c>
      <c r="BY11">
        <f>SUM(BP11:BW11)</f>
        <v>0.80769717600000024</v>
      </c>
      <c r="BZ11">
        <f>SUM(BX11:BY14)/1000</f>
        <v>1.01890423473E-2</v>
      </c>
    </row>
    <row r="12" spans="1:87" x14ac:dyDescent="0.2">
      <c r="A12" t="str">
        <f>'Input Scenarios'!A33</f>
        <v>NSW</v>
      </c>
      <c r="B12">
        <f>'Input Scenarios'!B33</f>
        <v>13</v>
      </c>
      <c r="C12" t="str">
        <f>'Input Scenarios'!C33</f>
        <v>Non-irrigated pasture</v>
      </c>
      <c r="D12" t="str">
        <f>'Input Scenarios'!D33</f>
        <v>wet</v>
      </c>
      <c r="E12" t="b">
        <f>'Input Scenarios'!E33</f>
        <v>1</v>
      </c>
      <c r="F12" t="str">
        <f>'Input Scenarios'!F33</f>
        <v>meatChickenBreeder</v>
      </c>
      <c r="G12">
        <f>'Input Scenarios'!G33</f>
        <v>5000</v>
      </c>
      <c r="H12">
        <f>'Input Scenarios'!H33</f>
        <v>50</v>
      </c>
      <c r="I12">
        <f>IF('Input Scenarios'!I33&lt;&gt;"", 'Input Scenarios'!I33,_xlfn.XLOOKUP($F12,Constants!$A$2:$A$5,Constants!B$2:B$5))</f>
        <v>0.1</v>
      </c>
      <c r="J12">
        <f>IF('Input Scenarios'!J33&lt;&gt;"", 'Input Scenarios'!J33,_xlfn.XLOOKUP($F12,Constants!$A$2:$A$5,Constants!C$2:C$5))</f>
        <v>0.8</v>
      </c>
      <c r="K12">
        <f>IF('Input Scenarios'!K33&lt;&gt;"", 'Input Scenarios'!K33,_xlfn.XLOOKUP($F12,Constants!$A$2:$A$5,Constants!D$2:D$5))</f>
        <v>0.19</v>
      </c>
      <c r="L12">
        <f>IF('Input Scenarios'!L33&lt;&gt;"", 'Input Scenarios'!L33,_xlfn.XLOOKUP($F12,Constants!$A$2:$A$5,Constants!E$2:E$5))</f>
        <v>0.32</v>
      </c>
      <c r="M12">
        <f>'Input Scenarios'!M33</f>
        <v>0.1</v>
      </c>
      <c r="N12">
        <f>'Input Scenarios'!N33</f>
        <v>0.2</v>
      </c>
      <c r="O12">
        <f>'Input Scenarios'!O33</f>
        <v>0.3</v>
      </c>
      <c r="P12">
        <f>'Input Scenarios'!P33</f>
        <v>0.4</v>
      </c>
      <c r="Q12">
        <f>'Input Scenarios'!Q33</f>
        <v>0.5</v>
      </c>
      <c r="R12">
        <f>'Input Scenarios'!R33</f>
        <v>0.5</v>
      </c>
      <c r="S12">
        <f>'Input Scenarios'!S33</f>
        <v>0</v>
      </c>
      <c r="T12">
        <f>'Input Scenarios'!T33</f>
        <v>0</v>
      </c>
      <c r="U12">
        <f>'Input Scenarios'!U33</f>
        <v>0</v>
      </c>
      <c r="V12">
        <f>'Input Scenarios'!V33</f>
        <v>0</v>
      </c>
      <c r="W12">
        <f>'Input Scenarios'!W33</f>
        <v>0</v>
      </c>
      <c r="X12">
        <f>'Input Scenarios'!X33</f>
        <v>0.75</v>
      </c>
      <c r="Y12">
        <f>'Input Scenarios'!Y33</f>
        <v>0.25</v>
      </c>
      <c r="Z12">
        <f>'Input Scenarios'!Z33</f>
        <v>0</v>
      </c>
      <c r="AA12">
        <f>'Input Scenarios'!AA33</f>
        <v>0</v>
      </c>
      <c r="AB12">
        <f>'Input Scenarios'!AB33</f>
        <v>0</v>
      </c>
      <c r="AC12">
        <f>'Input Scenarios'!AC33</f>
        <v>0</v>
      </c>
      <c r="AD12">
        <f>'Input Scenarios'!AD33</f>
        <v>0</v>
      </c>
      <c r="AE12">
        <f>'Input Scenarios'!AE33</f>
        <v>1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6">I12*K12/6.25</f>
        <v>3.0400000000000006E-3</v>
      </c>
      <c r="AZ12">
        <f t="shared" ref="AZ12:AZ26" si="7">AY12*(1-L12)</f>
        <v>2.0672000000000004E-3</v>
      </c>
      <c r="BA12">
        <f t="shared" si="0"/>
        <v>516.80000000000007</v>
      </c>
      <c r="BB12">
        <f t="shared" si="1"/>
        <v>51.680000000000007</v>
      </c>
      <c r="BC12">
        <f t="shared" si="1"/>
        <v>103.36000000000001</v>
      </c>
      <c r="BD12">
        <f t="shared" si="1"/>
        <v>155.04000000000002</v>
      </c>
      <c r="BE12">
        <f t="shared" si="1"/>
        <v>206.72000000000003</v>
      </c>
      <c r="BF12">
        <f t="shared" si="2"/>
        <v>36.124320000000004</v>
      </c>
      <c r="BG12">
        <f t="shared" si="2"/>
        <v>98.088640000000012</v>
      </c>
      <c r="BH12">
        <f t="shared" si="2"/>
        <v>92.868960000000015</v>
      </c>
      <c r="BI12">
        <f t="shared" si="3"/>
        <v>18.062160000000002</v>
      </c>
      <c r="BJ12">
        <f t="shared" si="3"/>
        <v>18.062160000000002</v>
      </c>
      <c r="BK12">
        <f t="shared" si="3"/>
        <v>73.566480000000013</v>
      </c>
      <c r="BL12">
        <f t="shared" si="3"/>
        <v>24.522160000000003</v>
      </c>
      <c r="BM12">
        <f t="shared" si="3"/>
        <v>92.868960000000015</v>
      </c>
      <c r="BN12">
        <f>IF(D12="", "", _xlfn.XLOOKUP('4.6.1.4'!D12, Constants!$I$5:$I$6, Constants!$J$5:$J$6))</f>
        <v>6.0000000000000001E-3</v>
      </c>
      <c r="BO12">
        <f>Constants!$J$2</f>
        <v>1.57</v>
      </c>
      <c r="BP12">
        <f t="shared" ref="BP12:BP26" si="8">BB12*AK12*$BO12</f>
        <v>8.1137600000000018E-2</v>
      </c>
      <c r="BQ12">
        <f t="shared" si="4"/>
        <v>0.16227520000000004</v>
      </c>
      <c r="BR12">
        <f t="shared" si="4"/>
        <v>0.24341280000000004</v>
      </c>
      <c r="BS12">
        <f t="shared" si="4"/>
        <v>0</v>
      </c>
      <c r="BT12">
        <f t="shared" ref="BT12:BT26" si="9">BI12*AT12*$BO12</f>
        <v>0.14178795600000002</v>
      </c>
      <c r="BU12">
        <f t="shared" si="5"/>
        <v>0.28357591200000004</v>
      </c>
      <c r="BV12">
        <f t="shared" si="5"/>
        <v>0</v>
      </c>
      <c r="BW12">
        <f t="shared" si="5"/>
        <v>0</v>
      </c>
      <c r="BX12">
        <f t="shared" ref="BX12:BX26" si="10">BE12* BN12*BO12</f>
        <v>1.9473024000000003</v>
      </c>
      <c r="BY12">
        <f t="shared" ref="BY12:BY26" si="11">SUM(BP12:BW12)</f>
        <v>0.91218946800000023</v>
      </c>
    </row>
    <row r="13" spans="1:87" x14ac:dyDescent="0.2">
      <c r="A13" t="str">
        <f>'Input Scenarios'!A34</f>
        <v>NSW</v>
      </c>
      <c r="B13">
        <f>'Input Scenarios'!B34</f>
        <v>13</v>
      </c>
      <c r="C13" t="str">
        <f>'Input Scenarios'!C34</f>
        <v>Non-irrigated pasture</v>
      </c>
      <c r="D13" t="str">
        <f>'Input Scenarios'!D34</f>
        <v>wet</v>
      </c>
      <c r="E13" t="b">
        <f>'Input Scenarios'!E34</f>
        <v>1</v>
      </c>
      <c r="F13" t="str">
        <f>'Input Scenarios'!F34</f>
        <v>meatChickenGrowers</v>
      </c>
      <c r="G13">
        <f>'Input Scenarios'!G34</f>
        <v>5000</v>
      </c>
      <c r="H13">
        <f>'Input Scenarios'!H34</f>
        <v>50</v>
      </c>
      <c r="I13">
        <f>IF('Input Scenarios'!I34&lt;&gt;"", 'Input Scenarios'!I34,_xlfn.XLOOKUP($F13,Constants!$A$2:$A$5,Constants!B$2:B$5))</f>
        <v>0.09</v>
      </c>
      <c r="J13">
        <f>IF('Input Scenarios'!J34&lt;&gt;"", 'Input Scenarios'!J34,_xlfn.XLOOKUP($F13,Constants!$A$2:$A$5,Constants!C$2:C$5))</f>
        <v>0.8</v>
      </c>
      <c r="K13">
        <f>IF('Input Scenarios'!K34&lt;&gt;"", 'Input Scenarios'!K34,_xlfn.XLOOKUP($F13,Constants!$A$2:$A$5,Constants!D$2:D$5))</f>
        <v>0.25</v>
      </c>
      <c r="L13">
        <f>IF('Input Scenarios'!L34&lt;&gt;"", 'Input Scenarios'!L34,_xlfn.XLOOKUP($F13,Constants!$A$2:$A$5,Constants!E$2:E$5))</f>
        <v>0.47</v>
      </c>
      <c r="M13">
        <f>'Input Scenarios'!M34</f>
        <v>0.1</v>
      </c>
      <c r="N13">
        <f>'Input Scenarios'!N34</f>
        <v>0.2</v>
      </c>
      <c r="O13">
        <f>'Input Scenarios'!O34</f>
        <v>0.3</v>
      </c>
      <c r="P13">
        <f>'Input Scenarios'!P34</f>
        <v>0.4</v>
      </c>
      <c r="Q13">
        <f>'Input Scenarios'!Q34</f>
        <v>0.5</v>
      </c>
      <c r="R13">
        <f>'Input Scenarios'!R34</f>
        <v>0.5</v>
      </c>
      <c r="S13">
        <f>'Input Scenarios'!S34</f>
        <v>0</v>
      </c>
      <c r="T13">
        <f>'Input Scenarios'!T34</f>
        <v>0</v>
      </c>
      <c r="U13">
        <f>'Input Scenarios'!U34</f>
        <v>0</v>
      </c>
      <c r="V13">
        <f>'Input Scenarios'!V34</f>
        <v>0</v>
      </c>
      <c r="W13">
        <f>'Input Scenarios'!W34</f>
        <v>0</v>
      </c>
      <c r="X13">
        <f>'Input Scenarios'!X34</f>
        <v>0.75</v>
      </c>
      <c r="Y13">
        <f>'Input Scenarios'!Y34</f>
        <v>0.25</v>
      </c>
      <c r="Z13">
        <f>'Input Scenarios'!Z34</f>
        <v>0</v>
      </c>
      <c r="AA13">
        <f>'Input Scenarios'!AA34</f>
        <v>0</v>
      </c>
      <c r="AB13">
        <f>'Input Scenarios'!AB34</f>
        <v>0</v>
      </c>
      <c r="AC13">
        <f>'Input Scenarios'!AC34</f>
        <v>0</v>
      </c>
      <c r="AD13">
        <f>'Input Scenarios'!AD34</f>
        <v>0</v>
      </c>
      <c r="AE13">
        <f>'Input Scenarios'!AE34</f>
        <v>1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6"/>
        <v>3.5999999999999999E-3</v>
      </c>
      <c r="AZ13">
        <f t="shared" si="7"/>
        <v>1.908E-3</v>
      </c>
      <c r="BA13">
        <f t="shared" si="0"/>
        <v>476.99999999999994</v>
      </c>
      <c r="BB13">
        <f t="shared" si="1"/>
        <v>47.699999999999996</v>
      </c>
      <c r="BC13">
        <f t="shared" si="1"/>
        <v>95.399999999999991</v>
      </c>
      <c r="BD13">
        <f t="shared" si="1"/>
        <v>143.09999999999997</v>
      </c>
      <c r="BE13">
        <f t="shared" si="1"/>
        <v>190.79999999999998</v>
      </c>
      <c r="BF13">
        <f t="shared" si="2"/>
        <v>33.342299999999994</v>
      </c>
      <c r="BG13">
        <f t="shared" si="2"/>
        <v>90.534599999999983</v>
      </c>
      <c r="BH13">
        <f t="shared" si="2"/>
        <v>85.716899999999981</v>
      </c>
      <c r="BI13">
        <f t="shared" si="3"/>
        <v>16.671149999999997</v>
      </c>
      <c r="BJ13">
        <f t="shared" si="3"/>
        <v>16.671149999999997</v>
      </c>
      <c r="BK13">
        <f t="shared" si="3"/>
        <v>67.900949999999995</v>
      </c>
      <c r="BL13">
        <f t="shared" si="3"/>
        <v>22.633649999999996</v>
      </c>
      <c r="BM13">
        <f t="shared" si="3"/>
        <v>85.716899999999981</v>
      </c>
      <c r="BN13">
        <f>IF(D13="", "", _xlfn.XLOOKUP('4.6.1.4'!D13, Constants!$I$5:$I$6, Constants!$J$5:$J$6))</f>
        <v>6.0000000000000001E-3</v>
      </c>
      <c r="BO13">
        <f>Constants!$J$2</f>
        <v>1.57</v>
      </c>
      <c r="BP13">
        <f t="shared" si="8"/>
        <v>7.4888999999999997E-2</v>
      </c>
      <c r="BQ13">
        <f t="shared" si="4"/>
        <v>0.14977799999999999</v>
      </c>
      <c r="BR13">
        <f t="shared" si="4"/>
        <v>0.22466699999999998</v>
      </c>
      <c r="BS13">
        <f t="shared" si="4"/>
        <v>0</v>
      </c>
      <c r="BT13">
        <f t="shared" si="9"/>
        <v>0.1308685275</v>
      </c>
      <c r="BU13">
        <f t="shared" si="5"/>
        <v>0.261737055</v>
      </c>
      <c r="BV13">
        <f t="shared" si="5"/>
        <v>0</v>
      </c>
      <c r="BW13">
        <f t="shared" si="5"/>
        <v>0</v>
      </c>
      <c r="BX13">
        <f t="shared" si="10"/>
        <v>1.7973359999999998</v>
      </c>
      <c r="BY13">
        <f t="shared" si="11"/>
        <v>0.84193958250000001</v>
      </c>
    </row>
    <row r="14" spans="1:87" x14ac:dyDescent="0.2">
      <c r="A14" t="str">
        <f>'Input Scenarios'!A35</f>
        <v>NSW</v>
      </c>
      <c r="B14">
        <f>'Input Scenarios'!B35</f>
        <v>13</v>
      </c>
      <c r="C14" t="str">
        <f>'Input Scenarios'!C35</f>
        <v>Non-irrigated pasture</v>
      </c>
      <c r="D14" t="str">
        <f>'Input Scenarios'!D35</f>
        <v>wet</v>
      </c>
      <c r="E14" t="b">
        <f>'Input Scenarios'!E35</f>
        <v>1</v>
      </c>
      <c r="F14" t="str">
        <f>'Input Scenarios'!F35</f>
        <v>meatOther</v>
      </c>
      <c r="G14">
        <f>'Input Scenarios'!G35</f>
        <v>5000</v>
      </c>
      <c r="H14">
        <f>'Input Scenarios'!H35</f>
        <v>50</v>
      </c>
      <c r="I14">
        <f>IF('Input Scenarios'!I35&lt;&gt;"", 'Input Scenarios'!I35,_xlfn.XLOOKUP($F14,Constants!$A$2:$A$5,Constants!B$2:B$5))</f>
        <v>0.08</v>
      </c>
      <c r="J14">
        <f>IF('Input Scenarios'!J35&lt;&gt;"", 'Input Scenarios'!J35,_xlfn.XLOOKUP($F14,Constants!$A$2:$A$5,Constants!C$2:C$5))</f>
        <v>0.8</v>
      </c>
      <c r="K14">
        <f>IF('Input Scenarios'!K35&lt;&gt;"", 'Input Scenarios'!K35,_xlfn.XLOOKUP($F14,Constants!$A$2:$A$5,Constants!D$2:D$5))</f>
        <v>0.23</v>
      </c>
      <c r="L14">
        <f>IF('Input Scenarios'!L35&lt;&gt;"", 'Input Scenarios'!L35,_xlfn.XLOOKUP($F14,Constants!$A$2:$A$5,Constants!E$2:E$5))</f>
        <v>0.47</v>
      </c>
      <c r="M14">
        <f>'Input Scenarios'!M35</f>
        <v>0.1</v>
      </c>
      <c r="N14">
        <f>'Input Scenarios'!N35</f>
        <v>0.2</v>
      </c>
      <c r="O14">
        <f>'Input Scenarios'!O35</f>
        <v>0.3</v>
      </c>
      <c r="P14">
        <f>'Input Scenarios'!P35</f>
        <v>0.4</v>
      </c>
      <c r="Q14">
        <f>'Input Scenarios'!Q35</f>
        <v>0.5</v>
      </c>
      <c r="R14">
        <f>'Input Scenarios'!R35</f>
        <v>0.5</v>
      </c>
      <c r="S14">
        <f>'Input Scenarios'!S35</f>
        <v>0</v>
      </c>
      <c r="T14">
        <f>'Input Scenarios'!T35</f>
        <v>0</v>
      </c>
      <c r="U14">
        <f>'Input Scenarios'!U35</f>
        <v>0</v>
      </c>
      <c r="V14">
        <f>'Input Scenarios'!V35</f>
        <v>0</v>
      </c>
      <c r="W14">
        <f>'Input Scenarios'!W35</f>
        <v>0</v>
      </c>
      <c r="X14">
        <f>'Input Scenarios'!X35</f>
        <v>0.75</v>
      </c>
      <c r="Y14">
        <f>'Input Scenarios'!Y35</f>
        <v>0.25</v>
      </c>
      <c r="Z14">
        <f>'Input Scenarios'!Z35</f>
        <v>0</v>
      </c>
      <c r="AA14">
        <f>'Input Scenarios'!AA35</f>
        <v>0</v>
      </c>
      <c r="AB14">
        <f>'Input Scenarios'!AB35</f>
        <v>0</v>
      </c>
      <c r="AC14">
        <f>'Input Scenarios'!AC35</f>
        <v>0</v>
      </c>
      <c r="AD14">
        <f>'Input Scenarios'!AD35</f>
        <v>0</v>
      </c>
      <c r="AE14">
        <f>'Input Scenarios'!AE35</f>
        <v>1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6"/>
        <v>2.944E-3</v>
      </c>
      <c r="AZ14">
        <f t="shared" si="7"/>
        <v>1.56032E-3</v>
      </c>
      <c r="BA14">
        <f t="shared" si="0"/>
        <v>390.08000000000004</v>
      </c>
      <c r="BB14">
        <f t="shared" si="1"/>
        <v>39.00800000000001</v>
      </c>
      <c r="BC14">
        <f t="shared" si="1"/>
        <v>78.01600000000002</v>
      </c>
      <c r="BD14">
        <f t="shared" si="1"/>
        <v>117.024</v>
      </c>
      <c r="BE14">
        <f t="shared" si="1"/>
        <v>156.03200000000004</v>
      </c>
      <c r="BF14">
        <f t="shared" si="2"/>
        <v>27.266592000000006</v>
      </c>
      <c r="BG14">
        <f t="shared" si="2"/>
        <v>74.037184000000011</v>
      </c>
      <c r="BH14">
        <f t="shared" si="2"/>
        <v>70.097375999999997</v>
      </c>
      <c r="BI14">
        <f t="shared" si="3"/>
        <v>13.633296000000003</v>
      </c>
      <c r="BJ14">
        <f t="shared" si="3"/>
        <v>13.633296000000003</v>
      </c>
      <c r="BK14">
        <f t="shared" si="3"/>
        <v>55.527888000000004</v>
      </c>
      <c r="BL14">
        <f t="shared" si="3"/>
        <v>18.509296000000003</v>
      </c>
      <c r="BM14">
        <f t="shared" si="3"/>
        <v>70.097375999999997</v>
      </c>
      <c r="BN14">
        <f>IF(D14="", "", _xlfn.XLOOKUP('4.6.1.4'!D14, Constants!$I$5:$I$6, Constants!$J$5:$J$6))</f>
        <v>6.0000000000000001E-3</v>
      </c>
      <c r="BO14">
        <f>Constants!$J$2</f>
        <v>1.57</v>
      </c>
      <c r="BP14">
        <f t="shared" si="8"/>
        <v>6.1242560000000015E-2</v>
      </c>
      <c r="BQ14">
        <f t="shared" si="4"/>
        <v>0.12248512000000003</v>
      </c>
      <c r="BR14">
        <f t="shared" si="4"/>
        <v>0.18372768</v>
      </c>
      <c r="BS14">
        <f t="shared" si="4"/>
        <v>0</v>
      </c>
      <c r="BT14">
        <f t="shared" si="9"/>
        <v>0.10702137360000002</v>
      </c>
      <c r="BU14">
        <f t="shared" si="5"/>
        <v>0.21404274720000005</v>
      </c>
      <c r="BV14">
        <f t="shared" si="5"/>
        <v>0</v>
      </c>
      <c r="BW14">
        <f t="shared" si="5"/>
        <v>0</v>
      </c>
      <c r="BX14">
        <f t="shared" si="10"/>
        <v>1.4698214400000005</v>
      </c>
      <c r="BY14">
        <f t="shared" si="11"/>
        <v>0.68851948080000014</v>
      </c>
    </row>
    <row r="15" spans="1:87" s="11" customFormat="1" x14ac:dyDescent="0.2">
      <c r="A15" t="str">
        <f>'Input Scenarios'!A36</f>
        <v>QLD</v>
      </c>
      <c r="B15">
        <f>'Input Scenarios'!B36</f>
        <v>15</v>
      </c>
      <c r="C15" t="str">
        <f>'Input Scenarios'!C36</f>
        <v>Irrigated crop</v>
      </c>
      <c r="D15" t="str">
        <f>'Input Scenarios'!D36</f>
        <v>dry</v>
      </c>
      <c r="E15" t="b">
        <f>'Input Scenarios'!E36</f>
        <v>1</v>
      </c>
      <c r="F15" t="str">
        <f>'Input Scenarios'!F36</f>
        <v>layers</v>
      </c>
      <c r="G15">
        <f>'Input Scenarios'!G36</f>
        <v>2250</v>
      </c>
      <c r="H15">
        <f>'Input Scenarios'!H36</f>
        <v>125</v>
      </c>
      <c r="I15">
        <f>IF('Input Scenarios'!I36&lt;&gt;"", 'Input Scenarios'!I36,_xlfn.XLOOKUP($F15,Constants!$A$2:$A$5,Constants!B$2:B$5))</f>
        <v>0.06</v>
      </c>
      <c r="J15">
        <f>IF('Input Scenarios'!J36&lt;&gt;"", 'Input Scenarios'!J36,_xlfn.XLOOKUP($F15,Constants!$A$2:$A$5,Constants!C$2:C$5))</f>
        <v>0.9</v>
      </c>
      <c r="K15">
        <f>IF('Input Scenarios'!K36&lt;&gt;"", 'Input Scenarios'!K36,_xlfn.XLOOKUP($F15,Constants!$A$2:$A$5,Constants!D$2:D$5))</f>
        <v>0.24</v>
      </c>
      <c r="L15">
        <f>IF('Input Scenarios'!L36&lt;&gt;"", 'Input Scenarios'!L36,_xlfn.XLOOKUP($F15,Constants!$A$2:$A$5,Constants!E$2:E$5))</f>
        <v>0.35</v>
      </c>
      <c r="M15">
        <f>'Input Scenarios'!M36</f>
        <v>0.4</v>
      </c>
      <c r="N15">
        <f>'Input Scenarios'!N36</f>
        <v>0.3</v>
      </c>
      <c r="O15">
        <f>'Input Scenarios'!O36</f>
        <v>0.2</v>
      </c>
      <c r="P15">
        <f>'Input Scenarios'!P36</f>
        <v>0.1</v>
      </c>
      <c r="Q15">
        <f>'Input Scenarios'!Q36</f>
        <v>0.2</v>
      </c>
      <c r="R15">
        <f>'Input Scenarios'!R36</f>
        <v>0.25</v>
      </c>
      <c r="S15">
        <f>'Input Scenarios'!S36</f>
        <v>0.2</v>
      </c>
      <c r="T15">
        <f>'Input Scenarios'!T36</f>
        <v>0.25</v>
      </c>
      <c r="U15">
        <f>'Input Scenarios'!U36</f>
        <v>0.1</v>
      </c>
      <c r="V15">
        <f>'Input Scenarios'!V36</f>
        <v>0.34</v>
      </c>
      <c r="W15">
        <f>'Input Scenarios'!W36</f>
        <v>0.6</v>
      </c>
      <c r="X15">
        <f>'Input Scenarios'!X36</f>
        <v>0</v>
      </c>
      <c r="Y15">
        <f>'Input Scenarios'!Y36</f>
        <v>0</v>
      </c>
      <c r="Z15">
        <f>'Input Scenarios'!Z36</f>
        <v>0.06</v>
      </c>
      <c r="AA15">
        <f>'Input Scenarios'!AA36</f>
        <v>0.5</v>
      </c>
      <c r="AB15">
        <f>'Input Scenarios'!AB36</f>
        <v>0.25</v>
      </c>
      <c r="AC15">
        <f>'Input Scenarios'!AC36</f>
        <v>0.25</v>
      </c>
      <c r="AD15">
        <f>'Input Scenarios'!AD36</f>
        <v>0</v>
      </c>
      <c r="AE15">
        <f>'Input Scenarios'!AE36</f>
        <v>0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6"/>
        <v>2.3040000000000001E-3</v>
      </c>
      <c r="AZ15">
        <f t="shared" si="7"/>
        <v>1.4976000000000002E-3</v>
      </c>
      <c r="BA15">
        <f t="shared" si="0"/>
        <v>421.2000000000001</v>
      </c>
      <c r="BB15">
        <f t="shared" si="1"/>
        <v>168.48000000000005</v>
      </c>
      <c r="BC15">
        <f t="shared" si="1"/>
        <v>126.36000000000003</v>
      </c>
      <c r="BD15">
        <f t="shared" si="1"/>
        <v>84.240000000000023</v>
      </c>
      <c r="BE15">
        <f t="shared" si="1"/>
        <v>42.120000000000012</v>
      </c>
      <c r="BF15">
        <f t="shared" si="2"/>
        <v>117.76752000000002</v>
      </c>
      <c r="BG15">
        <f t="shared" si="2"/>
        <v>119.91564000000002</v>
      </c>
      <c r="BH15">
        <f t="shared" si="2"/>
        <v>50.45976000000001</v>
      </c>
      <c r="BI15">
        <f t="shared" si="3"/>
        <v>89.554701600000016</v>
      </c>
      <c r="BJ15">
        <f t="shared" si="3"/>
        <v>114.00620400000001</v>
      </c>
      <c r="BK15">
        <f t="shared" si="3"/>
        <v>36.168444000000008</v>
      </c>
      <c r="BL15">
        <f t="shared" si="3"/>
        <v>29.441880000000005</v>
      </c>
      <c r="BM15">
        <f t="shared" si="3"/>
        <v>18.971690400000004</v>
      </c>
      <c r="BN15">
        <f>IF(D15="", "", _xlfn.XLOOKUP('4.6.1.4'!D15, Constants!$I$5:$I$6, Constants!$J$5:$J$6))</f>
        <v>2E-3</v>
      </c>
      <c r="BO15">
        <f>Constants!$J$2</f>
        <v>1.57</v>
      </c>
      <c r="BP15">
        <f t="shared" si="8"/>
        <v>0.26451360000000007</v>
      </c>
      <c r="BQ15">
        <f t="shared" si="4"/>
        <v>0.19838520000000004</v>
      </c>
      <c r="BR15">
        <f t="shared" si="4"/>
        <v>0.13225680000000004</v>
      </c>
      <c r="BS15">
        <f t="shared" si="4"/>
        <v>0</v>
      </c>
      <c r="BT15">
        <f t="shared" si="9"/>
        <v>0.70300440756000016</v>
      </c>
      <c r="BU15">
        <f t="shared" si="5"/>
        <v>1.7898974028000003</v>
      </c>
      <c r="BV15">
        <f t="shared" si="5"/>
        <v>0</v>
      </c>
      <c r="BW15">
        <f t="shared" si="5"/>
        <v>0</v>
      </c>
      <c r="BX15">
        <f t="shared" si="10"/>
        <v>0.13225680000000004</v>
      </c>
      <c r="BY15">
        <f t="shared" si="11"/>
        <v>3.0880574103600007</v>
      </c>
      <c r="BZ15">
        <f>SUM(BX15:BY18)/1000</f>
        <v>1.6867703069281804E-2</v>
      </c>
      <c r="CA15"/>
      <c r="CB15"/>
      <c r="CC15"/>
      <c r="CD15"/>
      <c r="CE15"/>
      <c r="CF15"/>
      <c r="CG15"/>
      <c r="CH15"/>
      <c r="CI15"/>
    </row>
    <row r="16" spans="1:87" x14ac:dyDescent="0.2">
      <c r="A16" t="str">
        <f>'Input Scenarios'!A37</f>
        <v>QLD</v>
      </c>
      <c r="B16">
        <f>'Input Scenarios'!B37</f>
        <v>15</v>
      </c>
      <c r="C16" t="str">
        <f>'Input Scenarios'!C37</f>
        <v>Irrigated crop</v>
      </c>
      <c r="D16" t="str">
        <f>'Input Scenarios'!D37</f>
        <v>dry</v>
      </c>
      <c r="E16" t="b">
        <f>'Input Scenarios'!E37</f>
        <v>1</v>
      </c>
      <c r="F16" t="str">
        <f>'Input Scenarios'!F37</f>
        <v>meatChickenBreeder</v>
      </c>
      <c r="G16">
        <f>'Input Scenarios'!G37</f>
        <v>2250</v>
      </c>
      <c r="H16">
        <f>'Input Scenarios'!H37</f>
        <v>125</v>
      </c>
      <c r="I16">
        <f>IF('Input Scenarios'!I37&lt;&gt;"", 'Input Scenarios'!I37,_xlfn.XLOOKUP($F16,Constants!$A$2:$A$5,Constants!B$2:B$5))</f>
        <v>0.11</v>
      </c>
      <c r="J16">
        <f>IF('Input Scenarios'!J37&lt;&gt;"", 'Input Scenarios'!J37,_xlfn.XLOOKUP($F16,Constants!$A$2:$A$5,Constants!C$2:C$5))</f>
        <v>0.8</v>
      </c>
      <c r="K16">
        <f>IF('Input Scenarios'!K37&lt;&gt;"", 'Input Scenarios'!K37,_xlfn.XLOOKUP($F16,Constants!$A$2:$A$5,Constants!D$2:D$5))</f>
        <v>0.25</v>
      </c>
      <c r="L16">
        <f>IF('Input Scenarios'!L37&lt;&gt;"", 'Input Scenarios'!L37,_xlfn.XLOOKUP($F16,Constants!$A$2:$A$5,Constants!E$2:E$5))</f>
        <v>0.32</v>
      </c>
      <c r="M16">
        <f>'Input Scenarios'!M37</f>
        <v>0.4</v>
      </c>
      <c r="N16">
        <f>'Input Scenarios'!N37</f>
        <v>0.3</v>
      </c>
      <c r="O16">
        <f>'Input Scenarios'!O37</f>
        <v>0.2</v>
      </c>
      <c r="P16">
        <f>'Input Scenarios'!P37</f>
        <v>0.1</v>
      </c>
      <c r="Q16">
        <f>'Input Scenarios'!Q37</f>
        <v>0.2</v>
      </c>
      <c r="R16">
        <f>'Input Scenarios'!R37</f>
        <v>0.25</v>
      </c>
      <c r="S16">
        <f>'Input Scenarios'!S37</f>
        <v>0.2</v>
      </c>
      <c r="T16">
        <f>'Input Scenarios'!T37</f>
        <v>0.25</v>
      </c>
      <c r="U16">
        <f>'Input Scenarios'!U37</f>
        <v>0.1</v>
      </c>
      <c r="V16">
        <f>'Input Scenarios'!V37</f>
        <v>0.34</v>
      </c>
      <c r="W16">
        <f>'Input Scenarios'!W37</f>
        <v>0.6</v>
      </c>
      <c r="X16">
        <f>'Input Scenarios'!X37</f>
        <v>0</v>
      </c>
      <c r="Y16">
        <f>'Input Scenarios'!Y37</f>
        <v>0</v>
      </c>
      <c r="Z16">
        <f>'Input Scenarios'!Z37</f>
        <v>0.06</v>
      </c>
      <c r="AA16">
        <f>'Input Scenarios'!AA37</f>
        <v>0.5</v>
      </c>
      <c r="AB16">
        <f>'Input Scenarios'!AB37</f>
        <v>0.25</v>
      </c>
      <c r="AC16">
        <f>'Input Scenarios'!AC37</f>
        <v>0.25</v>
      </c>
      <c r="AD16">
        <f>'Input Scenarios'!AD37</f>
        <v>0</v>
      </c>
      <c r="AE16">
        <f>'Input Scenarios'!AE37</f>
        <v>0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6"/>
        <v>4.4000000000000003E-3</v>
      </c>
      <c r="AZ16">
        <f t="shared" si="7"/>
        <v>2.9919999999999999E-3</v>
      </c>
      <c r="BA16">
        <f t="shared" si="0"/>
        <v>841.49999999999989</v>
      </c>
      <c r="BB16">
        <f t="shared" si="1"/>
        <v>336.59999999999997</v>
      </c>
      <c r="BC16">
        <f t="shared" si="1"/>
        <v>252.44999999999996</v>
      </c>
      <c r="BD16">
        <f t="shared" si="1"/>
        <v>168.29999999999998</v>
      </c>
      <c r="BE16">
        <f t="shared" si="1"/>
        <v>84.149999999999991</v>
      </c>
      <c r="BF16">
        <f t="shared" si="2"/>
        <v>235.28339999999997</v>
      </c>
      <c r="BG16">
        <f t="shared" si="2"/>
        <v>239.57504999999995</v>
      </c>
      <c r="BH16">
        <f t="shared" si="2"/>
        <v>100.81169999999999</v>
      </c>
      <c r="BI16">
        <f t="shared" si="3"/>
        <v>178.91804699999997</v>
      </c>
      <c r="BJ16">
        <f t="shared" si="3"/>
        <v>227.76880499999993</v>
      </c>
      <c r="BK16">
        <f t="shared" si="3"/>
        <v>72.259604999999993</v>
      </c>
      <c r="BL16">
        <f t="shared" si="3"/>
        <v>58.820849999999993</v>
      </c>
      <c r="BM16">
        <f t="shared" si="3"/>
        <v>37.902842999999997</v>
      </c>
      <c r="BN16">
        <f>IF(D16="", "", _xlfn.XLOOKUP('4.6.1.4'!D16, Constants!$I$5:$I$6, Constants!$J$5:$J$6))</f>
        <v>2E-3</v>
      </c>
      <c r="BO16">
        <f>Constants!$J$2</f>
        <v>1.57</v>
      </c>
      <c r="BP16">
        <f t="shared" si="8"/>
        <v>0.52846199999999999</v>
      </c>
      <c r="BQ16">
        <f t="shared" si="4"/>
        <v>0.39634649999999993</v>
      </c>
      <c r="BR16">
        <f t="shared" si="4"/>
        <v>0.26423099999999999</v>
      </c>
      <c r="BS16">
        <f t="shared" si="4"/>
        <v>0</v>
      </c>
      <c r="BT16">
        <f t="shared" si="9"/>
        <v>1.4045066689499999</v>
      </c>
      <c r="BU16">
        <f t="shared" si="5"/>
        <v>3.5759702384999987</v>
      </c>
      <c r="BV16">
        <f t="shared" si="5"/>
        <v>0</v>
      </c>
      <c r="BW16">
        <f t="shared" si="5"/>
        <v>0</v>
      </c>
      <c r="BX16">
        <f t="shared" si="10"/>
        <v>0.26423099999999999</v>
      </c>
      <c r="BY16">
        <f t="shared" si="11"/>
        <v>6.1695164074499989</v>
      </c>
    </row>
    <row r="17" spans="1:87" x14ac:dyDescent="0.2">
      <c r="A17" t="str">
        <f>'Input Scenarios'!A38</f>
        <v>QLD</v>
      </c>
      <c r="B17">
        <f>'Input Scenarios'!B38</f>
        <v>15</v>
      </c>
      <c r="C17" t="str">
        <f>'Input Scenarios'!C38</f>
        <v>Irrigated crop</v>
      </c>
      <c r="D17" t="str">
        <f>'Input Scenarios'!D38</f>
        <v>dry</v>
      </c>
      <c r="E17" t="b">
        <f>'Input Scenarios'!E38</f>
        <v>1</v>
      </c>
      <c r="F17" t="str">
        <f>'Input Scenarios'!F38</f>
        <v>meatChickenGrowers</v>
      </c>
      <c r="G17">
        <f>'Input Scenarios'!G38</f>
        <v>2250</v>
      </c>
      <c r="H17">
        <f>'Input Scenarios'!H38</f>
        <v>125</v>
      </c>
      <c r="I17">
        <f>IF('Input Scenarios'!I38&lt;&gt;"", 'Input Scenarios'!I38,_xlfn.XLOOKUP($F17,Constants!$A$2:$A$5,Constants!B$2:B$5))</f>
        <v>7.9000000000000001E-2</v>
      </c>
      <c r="J17">
        <f>IF('Input Scenarios'!J38&lt;&gt;"", 'Input Scenarios'!J38,_xlfn.XLOOKUP($F17,Constants!$A$2:$A$5,Constants!C$2:C$5))</f>
        <v>0.8</v>
      </c>
      <c r="K17">
        <f>IF('Input Scenarios'!K38&lt;&gt;"", 'Input Scenarios'!K38,_xlfn.XLOOKUP($F17,Constants!$A$2:$A$5,Constants!D$2:D$5))</f>
        <v>0.23</v>
      </c>
      <c r="L17">
        <f>IF('Input Scenarios'!L38&lt;&gt;"", 'Input Scenarios'!L38,_xlfn.XLOOKUP($F17,Constants!$A$2:$A$5,Constants!E$2:E$5))</f>
        <v>0.47</v>
      </c>
      <c r="M17">
        <f>'Input Scenarios'!M38</f>
        <v>0.4</v>
      </c>
      <c r="N17">
        <f>'Input Scenarios'!N38</f>
        <v>0.3</v>
      </c>
      <c r="O17">
        <f>'Input Scenarios'!O38</f>
        <v>0.2</v>
      </c>
      <c r="P17">
        <f>'Input Scenarios'!P38</f>
        <v>0.1</v>
      </c>
      <c r="Q17">
        <f>'Input Scenarios'!Q38</f>
        <v>0.2</v>
      </c>
      <c r="R17">
        <f>'Input Scenarios'!R38</f>
        <v>0.25</v>
      </c>
      <c r="S17">
        <f>'Input Scenarios'!S38</f>
        <v>0.2</v>
      </c>
      <c r="T17">
        <f>'Input Scenarios'!T38</f>
        <v>0.25</v>
      </c>
      <c r="U17">
        <f>'Input Scenarios'!U38</f>
        <v>0.1</v>
      </c>
      <c r="V17">
        <f>'Input Scenarios'!V38</f>
        <v>0.34</v>
      </c>
      <c r="W17">
        <f>'Input Scenarios'!W38</f>
        <v>0.6</v>
      </c>
      <c r="X17">
        <f>'Input Scenarios'!X38</f>
        <v>0</v>
      </c>
      <c r="Y17">
        <f>'Input Scenarios'!Y38</f>
        <v>0</v>
      </c>
      <c r="Z17">
        <f>'Input Scenarios'!Z38</f>
        <v>0.06</v>
      </c>
      <c r="AA17">
        <f>'Input Scenarios'!AA38</f>
        <v>0.5</v>
      </c>
      <c r="AB17">
        <f>'Input Scenarios'!AB38</f>
        <v>0.25</v>
      </c>
      <c r="AC17">
        <f>'Input Scenarios'!AC38</f>
        <v>0.25</v>
      </c>
      <c r="AD17">
        <f>'Input Scenarios'!AD38</f>
        <v>0</v>
      </c>
      <c r="AE17">
        <f>'Input Scenarios'!AE38</f>
        <v>0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6"/>
        <v>2.9072000000000004E-3</v>
      </c>
      <c r="AZ17">
        <f t="shared" si="7"/>
        <v>1.5408160000000002E-3</v>
      </c>
      <c r="BA17">
        <f t="shared" si="0"/>
        <v>433.35450000000003</v>
      </c>
      <c r="BB17">
        <f t="shared" si="1"/>
        <v>173.34180000000003</v>
      </c>
      <c r="BC17">
        <f t="shared" si="1"/>
        <v>130.00635</v>
      </c>
      <c r="BD17">
        <f t="shared" si="1"/>
        <v>86.670900000000017</v>
      </c>
      <c r="BE17">
        <f t="shared" si="1"/>
        <v>43.335450000000009</v>
      </c>
      <c r="BF17">
        <f t="shared" si="2"/>
        <v>121.16591820000002</v>
      </c>
      <c r="BG17">
        <f t="shared" si="2"/>
        <v>123.37602614999999</v>
      </c>
      <c r="BH17">
        <f t="shared" si="2"/>
        <v>51.915869100000009</v>
      </c>
      <c r="BI17">
        <f t="shared" si="3"/>
        <v>92.138967081000004</v>
      </c>
      <c r="BJ17">
        <f t="shared" si="3"/>
        <v>117.296062515</v>
      </c>
      <c r="BK17">
        <f t="shared" si="3"/>
        <v>37.212150915000009</v>
      </c>
      <c r="BL17">
        <f t="shared" si="3"/>
        <v>30.291479550000005</v>
      </c>
      <c r="BM17">
        <f t="shared" si="3"/>
        <v>19.519153389000003</v>
      </c>
      <c r="BN17">
        <f>IF(D17="", "", _xlfn.XLOOKUP('4.6.1.4'!D17, Constants!$I$5:$I$6, Constants!$J$5:$J$6))</f>
        <v>2E-3</v>
      </c>
      <c r="BO17">
        <f>Constants!$J$2</f>
        <v>1.57</v>
      </c>
      <c r="BP17">
        <f t="shared" si="8"/>
        <v>0.27214662600000006</v>
      </c>
      <c r="BQ17">
        <f t="shared" si="4"/>
        <v>0.20410996949999999</v>
      </c>
      <c r="BR17">
        <f t="shared" si="4"/>
        <v>0.13607331300000003</v>
      </c>
      <c r="BS17">
        <f t="shared" si="4"/>
        <v>0</v>
      </c>
      <c r="BT17">
        <f t="shared" si="9"/>
        <v>0.72329089158585003</v>
      </c>
      <c r="BU17">
        <f t="shared" si="5"/>
        <v>1.8415481814855001</v>
      </c>
      <c r="BV17">
        <f t="shared" si="5"/>
        <v>0</v>
      </c>
      <c r="BW17">
        <f t="shared" si="5"/>
        <v>0</v>
      </c>
      <c r="BX17">
        <f t="shared" si="10"/>
        <v>0.13607331300000003</v>
      </c>
      <c r="BY17">
        <f t="shared" si="11"/>
        <v>3.1771689815713504</v>
      </c>
    </row>
    <row r="18" spans="1:87" x14ac:dyDescent="0.2">
      <c r="A18" t="str">
        <f>'Input Scenarios'!A39</f>
        <v>QLD</v>
      </c>
      <c r="B18">
        <f>'Input Scenarios'!B39</f>
        <v>15</v>
      </c>
      <c r="C18" t="str">
        <f>'Input Scenarios'!C39</f>
        <v>Irrigated crop</v>
      </c>
      <c r="D18" t="str">
        <f>'Input Scenarios'!D39</f>
        <v>dry</v>
      </c>
      <c r="E18" t="b">
        <f>'Input Scenarios'!E39</f>
        <v>1</v>
      </c>
      <c r="F18" t="str">
        <f>'Input Scenarios'!F39</f>
        <v>meatOther</v>
      </c>
      <c r="G18">
        <f>'Input Scenarios'!G39</f>
        <v>2250</v>
      </c>
      <c r="H18">
        <f>'Input Scenarios'!H39</f>
        <v>125</v>
      </c>
      <c r="I18">
        <f>IF('Input Scenarios'!I39&lt;&gt;"", 'Input Scenarios'!I39,_xlfn.XLOOKUP($F18,Constants!$A$2:$A$5,Constants!B$2:B$5))</f>
        <v>9.2999999999999999E-2</v>
      </c>
      <c r="J18">
        <f>IF('Input Scenarios'!J39&lt;&gt;"", 'Input Scenarios'!J39,_xlfn.XLOOKUP($F18,Constants!$A$2:$A$5,Constants!C$2:C$5))</f>
        <v>0.8</v>
      </c>
      <c r="K18">
        <f>IF('Input Scenarios'!K39&lt;&gt;"", 'Input Scenarios'!K39,_xlfn.XLOOKUP($F18,Constants!$A$2:$A$5,Constants!D$2:D$5))</f>
        <v>0.23</v>
      </c>
      <c r="L18">
        <f>IF('Input Scenarios'!L39&lt;&gt;"", 'Input Scenarios'!L39,_xlfn.XLOOKUP($F18,Constants!$A$2:$A$5,Constants!E$2:E$5))</f>
        <v>0.47</v>
      </c>
      <c r="M18">
        <f>'Input Scenarios'!M39</f>
        <v>0.4</v>
      </c>
      <c r="N18">
        <f>'Input Scenarios'!N39</f>
        <v>0.3</v>
      </c>
      <c r="O18">
        <f>'Input Scenarios'!O39</f>
        <v>0.2</v>
      </c>
      <c r="P18">
        <f>'Input Scenarios'!P39</f>
        <v>0.1</v>
      </c>
      <c r="Q18">
        <f>'Input Scenarios'!Q39</f>
        <v>0.2</v>
      </c>
      <c r="R18">
        <f>'Input Scenarios'!R39</f>
        <v>0.25</v>
      </c>
      <c r="S18">
        <f>'Input Scenarios'!S39</f>
        <v>0.2</v>
      </c>
      <c r="T18">
        <f>'Input Scenarios'!T39</f>
        <v>0.25</v>
      </c>
      <c r="U18">
        <f>'Input Scenarios'!U39</f>
        <v>0.1</v>
      </c>
      <c r="V18">
        <f>'Input Scenarios'!V39</f>
        <v>0.34</v>
      </c>
      <c r="W18">
        <f>'Input Scenarios'!W39</f>
        <v>0.6</v>
      </c>
      <c r="X18">
        <f>'Input Scenarios'!X39</f>
        <v>0</v>
      </c>
      <c r="Y18">
        <f>'Input Scenarios'!Y39</f>
        <v>0</v>
      </c>
      <c r="Z18">
        <f>'Input Scenarios'!Z39</f>
        <v>0.06</v>
      </c>
      <c r="AA18">
        <f>'Input Scenarios'!AA39</f>
        <v>0.5</v>
      </c>
      <c r="AB18">
        <f>'Input Scenarios'!AB39</f>
        <v>0.25</v>
      </c>
      <c r="AC18">
        <f>'Input Scenarios'!AC39</f>
        <v>0.25</v>
      </c>
      <c r="AD18">
        <f>'Input Scenarios'!AD39</f>
        <v>0</v>
      </c>
      <c r="AE18">
        <f>'Input Scenarios'!AE39</f>
        <v>0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6"/>
        <v>3.4223999999999999E-3</v>
      </c>
      <c r="AZ18">
        <f t="shared" si="7"/>
        <v>1.813872E-3</v>
      </c>
      <c r="BA18">
        <f t="shared" si="0"/>
        <v>510.1515</v>
      </c>
      <c r="BB18">
        <f t="shared" si="1"/>
        <v>204.06060000000002</v>
      </c>
      <c r="BC18">
        <f t="shared" si="1"/>
        <v>153.04544999999999</v>
      </c>
      <c r="BD18">
        <f t="shared" si="1"/>
        <v>102.03030000000001</v>
      </c>
      <c r="BE18">
        <f t="shared" si="1"/>
        <v>51.015150000000006</v>
      </c>
      <c r="BF18">
        <f t="shared" si="2"/>
        <v>142.63835940000001</v>
      </c>
      <c r="BG18">
        <f t="shared" si="2"/>
        <v>145.24013204999997</v>
      </c>
      <c r="BH18">
        <f t="shared" si="2"/>
        <v>61.116149700000001</v>
      </c>
      <c r="BI18">
        <f t="shared" si="3"/>
        <v>108.467391627</v>
      </c>
      <c r="BJ18">
        <f t="shared" si="3"/>
        <v>138.08270650499998</v>
      </c>
      <c r="BK18">
        <f t="shared" si="3"/>
        <v>43.806709305000005</v>
      </c>
      <c r="BL18">
        <f t="shared" si="3"/>
        <v>35.659589850000003</v>
      </c>
      <c r="BM18">
        <f t="shared" si="3"/>
        <v>22.978243862999999</v>
      </c>
      <c r="BN18">
        <f>IF(D18="", "", _xlfn.XLOOKUP('4.6.1.4'!D18, Constants!$I$5:$I$6, Constants!$J$5:$J$6))</f>
        <v>2E-3</v>
      </c>
      <c r="BO18">
        <f>Constants!$J$2</f>
        <v>1.57</v>
      </c>
      <c r="BP18">
        <f t="shared" si="8"/>
        <v>0.32037514200000006</v>
      </c>
      <c r="BQ18">
        <f t="shared" si="4"/>
        <v>0.24028135650000002</v>
      </c>
      <c r="BR18">
        <f t="shared" si="4"/>
        <v>0.16018757100000003</v>
      </c>
      <c r="BS18">
        <f t="shared" si="4"/>
        <v>0</v>
      </c>
      <c r="BT18">
        <f t="shared" si="9"/>
        <v>0.85146902427195015</v>
      </c>
      <c r="BU18">
        <f t="shared" si="5"/>
        <v>2.1678984921284998</v>
      </c>
      <c r="BV18">
        <f t="shared" si="5"/>
        <v>0</v>
      </c>
      <c r="BW18">
        <f t="shared" si="5"/>
        <v>0</v>
      </c>
      <c r="BX18">
        <f t="shared" si="10"/>
        <v>0.16018757100000003</v>
      </c>
      <c r="BY18">
        <f t="shared" si="11"/>
        <v>3.7402115859004503</v>
      </c>
    </row>
    <row r="19" spans="1:87" x14ac:dyDescent="0.2">
      <c r="A19" t="str">
        <f>'Input Scenarios'!A40</f>
        <v>TAS</v>
      </c>
      <c r="B19">
        <f>'Input Scenarios'!B40</f>
        <v>20</v>
      </c>
      <c r="C19" t="str">
        <f>'Input Scenarios'!C40</f>
        <v>Irrigated pasture</v>
      </c>
      <c r="D19" t="str">
        <f>'Input Scenarios'!D40</f>
        <v>wet</v>
      </c>
      <c r="E19" t="b">
        <f>'Input Scenarios'!E40</f>
        <v>1</v>
      </c>
      <c r="F19" t="str">
        <f>'Input Scenarios'!F40</f>
        <v>layers</v>
      </c>
      <c r="G19">
        <f>'Input Scenarios'!G40</f>
        <v>3333</v>
      </c>
      <c r="H19">
        <f>'Input Scenarios'!H40</f>
        <v>111</v>
      </c>
      <c r="I19">
        <f>IF('Input Scenarios'!I40&lt;&gt;"", 'Input Scenarios'!I40,_xlfn.XLOOKUP($F19,Constants!$A$2:$A$5,Constants!B$2:B$5))</f>
        <v>8.5999999999999993E-2</v>
      </c>
      <c r="J19">
        <f>IF('Input Scenarios'!J40&lt;&gt;"", 'Input Scenarios'!J40,_xlfn.XLOOKUP($F19,Constants!$A$2:$A$5,Constants!C$2:C$5))</f>
        <v>0.9</v>
      </c>
      <c r="K19">
        <f>IF('Input Scenarios'!K40&lt;&gt;"", 'Input Scenarios'!K40,_xlfn.XLOOKUP($F19,Constants!$A$2:$A$5,Constants!D$2:D$5))</f>
        <v>0.18</v>
      </c>
      <c r="L19">
        <f>IF('Input Scenarios'!L40&lt;&gt;"", 'Input Scenarios'!L40,_xlfn.XLOOKUP($F19,Constants!$A$2:$A$5,Constants!E$2:E$5))</f>
        <v>0.35</v>
      </c>
      <c r="M19">
        <f>'Input Scenarios'!M40</f>
        <v>0</v>
      </c>
      <c r="N19">
        <f>'Input Scenarios'!N40</f>
        <v>0.9</v>
      </c>
      <c r="O19">
        <f>'Input Scenarios'!O40</f>
        <v>0</v>
      </c>
      <c r="P19">
        <f>'Input Scenarios'!P40</f>
        <v>0.1</v>
      </c>
      <c r="Q19">
        <f>'Input Scenarios'!Q40</f>
        <v>1</v>
      </c>
      <c r="R19">
        <f>'Input Scenarios'!R40</f>
        <v>0</v>
      </c>
      <c r="S19">
        <f>'Input Scenarios'!S40</f>
        <v>0</v>
      </c>
      <c r="T19">
        <f>'Input Scenarios'!T40</f>
        <v>0</v>
      </c>
      <c r="U19">
        <f>'Input Scenarios'!U40</f>
        <v>0</v>
      </c>
      <c r="V19">
        <f>'Input Scenarios'!V40</f>
        <v>0</v>
      </c>
      <c r="W19">
        <f>'Input Scenarios'!W40</f>
        <v>1</v>
      </c>
      <c r="X19">
        <f>'Input Scenarios'!X40</f>
        <v>0</v>
      </c>
      <c r="Y19">
        <f>'Input Scenarios'!Y40</f>
        <v>0</v>
      </c>
      <c r="Z19">
        <f>'Input Scenarios'!Z40</f>
        <v>0</v>
      </c>
      <c r="AA19">
        <f>'Input Scenarios'!AA40</f>
        <v>0</v>
      </c>
      <c r="AB19">
        <f>'Input Scenarios'!AB40</f>
        <v>0</v>
      </c>
      <c r="AC19">
        <f>'Input Scenarios'!AC40</f>
        <v>1</v>
      </c>
      <c r="AD19">
        <f>'Input Scenarios'!AD40</f>
        <v>0</v>
      </c>
      <c r="AE19">
        <f>'Input Scenarios'!AE40</f>
        <v>0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6"/>
        <v>2.4767999999999999E-3</v>
      </c>
      <c r="AZ19">
        <f t="shared" si="7"/>
        <v>1.6099199999999999E-3</v>
      </c>
      <c r="BA19">
        <f t="shared" si="0"/>
        <v>595.61083295999993</v>
      </c>
      <c r="BB19">
        <f t="shared" si="1"/>
        <v>0</v>
      </c>
      <c r="BC19">
        <f t="shared" si="1"/>
        <v>536.04974966399993</v>
      </c>
      <c r="BD19">
        <f t="shared" si="1"/>
        <v>0</v>
      </c>
      <c r="BE19">
        <f t="shared" si="1"/>
        <v>59.561083295999993</v>
      </c>
      <c r="BF19">
        <f t="shared" si="2"/>
        <v>0</v>
      </c>
      <c r="BG19">
        <f t="shared" si="2"/>
        <v>508.71121243113589</v>
      </c>
      <c r="BH19">
        <f t="shared" si="2"/>
        <v>0</v>
      </c>
      <c r="BI19">
        <f t="shared" si="3"/>
        <v>0</v>
      </c>
      <c r="BJ19">
        <f t="shared" si="3"/>
        <v>508.71121243113589</v>
      </c>
      <c r="BK19">
        <f t="shared" si="3"/>
        <v>0</v>
      </c>
      <c r="BL19">
        <f t="shared" si="3"/>
        <v>0</v>
      </c>
      <c r="BM19">
        <f t="shared" si="3"/>
        <v>0</v>
      </c>
      <c r="BN19">
        <f>IF(D19="", "", _xlfn.XLOOKUP('4.6.1.4'!D19, Constants!$I$5:$I$6, Constants!$J$5:$J$6))</f>
        <v>6.0000000000000001E-3</v>
      </c>
      <c r="BO19">
        <f>Constants!$J$2</f>
        <v>1.57</v>
      </c>
      <c r="BP19">
        <f t="shared" si="8"/>
        <v>0</v>
      </c>
      <c r="BQ19">
        <f t="shared" si="4"/>
        <v>0.84159810697248005</v>
      </c>
      <c r="BR19">
        <f t="shared" si="4"/>
        <v>0</v>
      </c>
      <c r="BS19">
        <f t="shared" si="4"/>
        <v>0</v>
      </c>
      <c r="BT19">
        <f t="shared" si="9"/>
        <v>0</v>
      </c>
      <c r="BU19">
        <f t="shared" si="5"/>
        <v>7.9867660351688334</v>
      </c>
      <c r="BV19">
        <f t="shared" si="5"/>
        <v>0</v>
      </c>
      <c r="BW19">
        <f t="shared" si="5"/>
        <v>0</v>
      </c>
      <c r="BX19">
        <f t="shared" si="10"/>
        <v>0.56106540464831989</v>
      </c>
      <c r="BY19">
        <f t="shared" si="11"/>
        <v>8.8283641421413144</v>
      </c>
      <c r="BZ19">
        <f>SUM(BX19:BY22)/1000</f>
        <v>4.0398529195833921E-2</v>
      </c>
    </row>
    <row r="20" spans="1:87" s="11" customFormat="1" x14ac:dyDescent="0.2">
      <c r="A20" t="str">
        <f>'Input Scenarios'!A41</f>
        <v>TAS</v>
      </c>
      <c r="B20">
        <f>'Input Scenarios'!B41</f>
        <v>20</v>
      </c>
      <c r="C20" t="str">
        <f>'Input Scenarios'!C41</f>
        <v>Irrigated pasture</v>
      </c>
      <c r="D20" t="str">
        <f>'Input Scenarios'!D41</f>
        <v>wet</v>
      </c>
      <c r="E20" t="b">
        <f>'Input Scenarios'!E41</f>
        <v>1</v>
      </c>
      <c r="F20" t="str">
        <f>'Input Scenarios'!F41</f>
        <v>meatChickenBreeder</v>
      </c>
      <c r="G20">
        <f>'Input Scenarios'!G41</f>
        <v>3333</v>
      </c>
      <c r="H20">
        <f>'Input Scenarios'!H41</f>
        <v>111</v>
      </c>
      <c r="I20">
        <f>IF('Input Scenarios'!I41&lt;&gt;"", 'Input Scenarios'!I41,_xlfn.XLOOKUP($F20,Constants!$A$2:$A$5,Constants!B$2:B$5))</f>
        <v>0.10299999999999999</v>
      </c>
      <c r="J20">
        <f>IF('Input Scenarios'!J41&lt;&gt;"", 'Input Scenarios'!J41,_xlfn.XLOOKUP($F20,Constants!$A$2:$A$5,Constants!C$2:C$5))</f>
        <v>0.7</v>
      </c>
      <c r="K20">
        <f>IF('Input Scenarios'!K41&lt;&gt;"", 'Input Scenarios'!K41,_xlfn.XLOOKUP($F20,Constants!$A$2:$A$5,Constants!D$2:D$5))</f>
        <v>0.19</v>
      </c>
      <c r="L20">
        <f>IF('Input Scenarios'!L41&lt;&gt;"", 'Input Scenarios'!L41,_xlfn.XLOOKUP($F20,Constants!$A$2:$A$5,Constants!E$2:E$5))</f>
        <v>0.32</v>
      </c>
      <c r="M20">
        <f>'Input Scenarios'!M41</f>
        <v>0</v>
      </c>
      <c r="N20">
        <f>'Input Scenarios'!N41</f>
        <v>0.9</v>
      </c>
      <c r="O20">
        <f>'Input Scenarios'!O41</f>
        <v>0</v>
      </c>
      <c r="P20">
        <f>'Input Scenarios'!P41</f>
        <v>0.1</v>
      </c>
      <c r="Q20">
        <f>'Input Scenarios'!Q41</f>
        <v>1</v>
      </c>
      <c r="R20">
        <f>'Input Scenarios'!R41</f>
        <v>0</v>
      </c>
      <c r="S20">
        <f>'Input Scenarios'!S41</f>
        <v>0</v>
      </c>
      <c r="T20">
        <f>'Input Scenarios'!T41</f>
        <v>0</v>
      </c>
      <c r="U20">
        <f>'Input Scenarios'!U41</f>
        <v>0</v>
      </c>
      <c r="V20">
        <f>'Input Scenarios'!V41</f>
        <v>0</v>
      </c>
      <c r="W20">
        <f>'Input Scenarios'!W41</f>
        <v>1</v>
      </c>
      <c r="X20">
        <f>'Input Scenarios'!X41</f>
        <v>0</v>
      </c>
      <c r="Y20">
        <f>'Input Scenarios'!Y41</f>
        <v>0</v>
      </c>
      <c r="Z20">
        <f>'Input Scenarios'!Z41</f>
        <v>0</v>
      </c>
      <c r="AA20">
        <f>'Input Scenarios'!AA41</f>
        <v>0</v>
      </c>
      <c r="AB20">
        <f>'Input Scenarios'!AB41</f>
        <v>0</v>
      </c>
      <c r="AC20">
        <f>'Input Scenarios'!AC41</f>
        <v>1</v>
      </c>
      <c r="AD20">
        <f>'Input Scenarios'!AD41</f>
        <v>0</v>
      </c>
      <c r="AE20">
        <f>'Input Scenarios'!AE41</f>
        <v>0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6"/>
        <v>3.1312000000000002E-3</v>
      </c>
      <c r="AZ20">
        <f t="shared" si="7"/>
        <v>2.1292159999999997E-3</v>
      </c>
      <c r="BA20">
        <f t="shared" si="0"/>
        <v>787.7311390079999</v>
      </c>
      <c r="BB20">
        <f t="shared" si="1"/>
        <v>0</v>
      </c>
      <c r="BC20">
        <f t="shared" si="1"/>
        <v>708.95802510719989</v>
      </c>
      <c r="BD20">
        <f t="shared" si="1"/>
        <v>0</v>
      </c>
      <c r="BE20">
        <f t="shared" si="1"/>
        <v>78.773113900799999</v>
      </c>
      <c r="BF20">
        <f t="shared" si="2"/>
        <v>0</v>
      </c>
      <c r="BG20">
        <f t="shared" si="2"/>
        <v>672.8011658267327</v>
      </c>
      <c r="BH20">
        <f t="shared" si="2"/>
        <v>0</v>
      </c>
      <c r="BI20">
        <f t="shared" si="3"/>
        <v>0</v>
      </c>
      <c r="BJ20">
        <f t="shared" si="3"/>
        <v>672.8011658267327</v>
      </c>
      <c r="BK20">
        <f t="shared" si="3"/>
        <v>0</v>
      </c>
      <c r="BL20">
        <f t="shared" si="3"/>
        <v>0</v>
      </c>
      <c r="BM20">
        <f t="shared" si="3"/>
        <v>0</v>
      </c>
      <c r="BN20">
        <f>IF(D20="", "", _xlfn.XLOOKUP('4.6.1.4'!D20, Constants!$I$5:$I$6, Constants!$J$5:$J$6))</f>
        <v>6.0000000000000001E-3</v>
      </c>
      <c r="BO20">
        <f>Constants!$J$2</f>
        <v>1.57</v>
      </c>
      <c r="BP20">
        <f t="shared" si="8"/>
        <v>0</v>
      </c>
      <c r="BQ20">
        <f t="shared" si="4"/>
        <v>1.1130640994183039</v>
      </c>
      <c r="BR20">
        <f t="shared" si="4"/>
        <v>0</v>
      </c>
      <c r="BS20">
        <f t="shared" si="4"/>
        <v>0</v>
      </c>
      <c r="BT20">
        <f t="shared" si="9"/>
        <v>0</v>
      </c>
      <c r="BU20">
        <f t="shared" si="5"/>
        <v>10.562978303479705</v>
      </c>
      <c r="BV20">
        <f t="shared" si="5"/>
        <v>0</v>
      </c>
      <c r="BW20">
        <f t="shared" si="5"/>
        <v>0</v>
      </c>
      <c r="BX20">
        <f t="shared" si="10"/>
        <v>0.74204273294553602</v>
      </c>
      <c r="BY20">
        <f t="shared" si="11"/>
        <v>11.676042402898009</v>
      </c>
      <c r="BZ20"/>
      <c r="CA20"/>
      <c r="CB20"/>
      <c r="CC20"/>
      <c r="CD20"/>
      <c r="CE20"/>
      <c r="CF20"/>
      <c r="CG20"/>
      <c r="CH20"/>
      <c r="CI20"/>
    </row>
    <row r="21" spans="1:87" x14ac:dyDescent="0.2">
      <c r="A21" t="str">
        <f>'Input Scenarios'!A42</f>
        <v>TAS</v>
      </c>
      <c r="B21">
        <f>'Input Scenarios'!B42</f>
        <v>20</v>
      </c>
      <c r="C21" t="str">
        <f>'Input Scenarios'!C42</f>
        <v>Irrigated pasture</v>
      </c>
      <c r="D21" t="str">
        <f>'Input Scenarios'!D42</f>
        <v>wet</v>
      </c>
      <c r="E21" t="b">
        <f>'Input Scenarios'!E42</f>
        <v>1</v>
      </c>
      <c r="F21" t="str">
        <f>'Input Scenarios'!F42</f>
        <v>meatChickenGrowers</v>
      </c>
      <c r="G21">
        <f>'Input Scenarios'!G42</f>
        <v>3333</v>
      </c>
      <c r="H21">
        <f>'Input Scenarios'!H42</f>
        <v>111</v>
      </c>
      <c r="I21">
        <f>IF('Input Scenarios'!I42&lt;&gt;"", 'Input Scenarios'!I42,_xlfn.XLOOKUP($F21,Constants!$A$2:$A$5,Constants!B$2:B$5))</f>
        <v>0.09</v>
      </c>
      <c r="J21">
        <f>IF('Input Scenarios'!J42&lt;&gt;"", 'Input Scenarios'!J42,_xlfn.XLOOKUP($F21,Constants!$A$2:$A$5,Constants!C$2:C$5))</f>
        <v>0.9</v>
      </c>
      <c r="K21">
        <f>IF('Input Scenarios'!K42&lt;&gt;"", 'Input Scenarios'!K42,_xlfn.XLOOKUP($F21,Constants!$A$2:$A$5,Constants!D$2:D$5))</f>
        <v>0.18</v>
      </c>
      <c r="L21">
        <f>IF('Input Scenarios'!L42&lt;&gt;"", 'Input Scenarios'!L42,_xlfn.XLOOKUP($F21,Constants!$A$2:$A$5,Constants!E$2:E$5))</f>
        <v>0.47</v>
      </c>
      <c r="M21">
        <f>'Input Scenarios'!M42</f>
        <v>0</v>
      </c>
      <c r="N21">
        <f>'Input Scenarios'!N42</f>
        <v>0.9</v>
      </c>
      <c r="O21">
        <f>'Input Scenarios'!O42</f>
        <v>0</v>
      </c>
      <c r="P21">
        <f>'Input Scenarios'!P42</f>
        <v>0.1</v>
      </c>
      <c r="Q21">
        <f>'Input Scenarios'!Q42</f>
        <v>1</v>
      </c>
      <c r="R21">
        <f>'Input Scenarios'!R42</f>
        <v>0</v>
      </c>
      <c r="S21">
        <f>'Input Scenarios'!S42</f>
        <v>0</v>
      </c>
      <c r="T21">
        <f>'Input Scenarios'!T42</f>
        <v>0</v>
      </c>
      <c r="U21">
        <f>'Input Scenarios'!U42</f>
        <v>0</v>
      </c>
      <c r="V21">
        <f>'Input Scenarios'!V42</f>
        <v>0</v>
      </c>
      <c r="W21">
        <f>'Input Scenarios'!W42</f>
        <v>1</v>
      </c>
      <c r="X21">
        <f>'Input Scenarios'!X42</f>
        <v>0</v>
      </c>
      <c r="Y21">
        <f>'Input Scenarios'!Y42</f>
        <v>0</v>
      </c>
      <c r="Z21">
        <f>'Input Scenarios'!Z42</f>
        <v>0</v>
      </c>
      <c r="AA21">
        <f>'Input Scenarios'!AA42</f>
        <v>0</v>
      </c>
      <c r="AB21">
        <f>'Input Scenarios'!AB42</f>
        <v>0</v>
      </c>
      <c r="AC21">
        <f>'Input Scenarios'!AC42</f>
        <v>1</v>
      </c>
      <c r="AD21">
        <f>'Input Scenarios'!AD42</f>
        <v>0</v>
      </c>
      <c r="AE21">
        <f>'Input Scenarios'!AE42</f>
        <v>0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6"/>
        <v>2.5919999999999997E-3</v>
      </c>
      <c r="AZ21">
        <f t="shared" si="7"/>
        <v>1.3737599999999999E-3</v>
      </c>
      <c r="BA21">
        <f t="shared" si="0"/>
        <v>508.24037087999994</v>
      </c>
      <c r="BB21">
        <f t="shared" si="1"/>
        <v>0</v>
      </c>
      <c r="BC21">
        <f t="shared" si="1"/>
        <v>457.41633379199993</v>
      </c>
      <c r="BD21">
        <f t="shared" si="1"/>
        <v>0</v>
      </c>
      <c r="BE21">
        <f t="shared" si="1"/>
        <v>50.824037087999997</v>
      </c>
      <c r="BF21">
        <f t="shared" si="2"/>
        <v>0</v>
      </c>
      <c r="BG21">
        <f t="shared" si="2"/>
        <v>434.08810076860789</v>
      </c>
      <c r="BH21">
        <f t="shared" si="2"/>
        <v>0</v>
      </c>
      <c r="BI21">
        <f t="shared" si="3"/>
        <v>0</v>
      </c>
      <c r="BJ21">
        <f t="shared" si="3"/>
        <v>434.08810076860789</v>
      </c>
      <c r="BK21">
        <f t="shared" si="3"/>
        <v>0</v>
      </c>
      <c r="BL21">
        <f t="shared" si="3"/>
        <v>0</v>
      </c>
      <c r="BM21">
        <f t="shared" si="3"/>
        <v>0</v>
      </c>
      <c r="BN21">
        <f>IF(D21="", "", _xlfn.XLOOKUP('4.6.1.4'!D21, Constants!$I$5:$I$6, Constants!$J$5:$J$6))</f>
        <v>6.0000000000000001E-3</v>
      </c>
      <c r="BO21">
        <f>Constants!$J$2</f>
        <v>1.57</v>
      </c>
      <c r="BP21">
        <f t="shared" si="8"/>
        <v>0</v>
      </c>
      <c r="BQ21">
        <f t="shared" si="4"/>
        <v>0.71814364405343989</v>
      </c>
      <c r="BR21">
        <f t="shared" si="4"/>
        <v>0</v>
      </c>
      <c r="BS21">
        <f t="shared" si="4"/>
        <v>0</v>
      </c>
      <c r="BT21">
        <f t="shared" si="9"/>
        <v>0</v>
      </c>
      <c r="BU21">
        <f t="shared" si="5"/>
        <v>6.8151831820671438</v>
      </c>
      <c r="BV21">
        <f t="shared" si="5"/>
        <v>0</v>
      </c>
      <c r="BW21">
        <f t="shared" si="5"/>
        <v>0</v>
      </c>
      <c r="BX21">
        <f t="shared" si="10"/>
        <v>0.47876242936895996</v>
      </c>
      <c r="BY21">
        <f t="shared" si="11"/>
        <v>7.5333268261205841</v>
      </c>
    </row>
    <row r="22" spans="1:87" x14ac:dyDescent="0.2">
      <c r="A22" t="str">
        <f>'Input Scenarios'!A43</f>
        <v>TAS</v>
      </c>
      <c r="B22">
        <f>'Input Scenarios'!B43</f>
        <v>20</v>
      </c>
      <c r="C22" t="str">
        <f>'Input Scenarios'!C43</f>
        <v>Irrigated pasture</v>
      </c>
      <c r="D22" t="str">
        <f>'Input Scenarios'!D43</f>
        <v>wet</v>
      </c>
      <c r="E22" t="b">
        <f>'Input Scenarios'!E43</f>
        <v>1</v>
      </c>
      <c r="F22" t="str">
        <f>'Input Scenarios'!F43</f>
        <v>meatOther</v>
      </c>
      <c r="G22">
        <f>'Input Scenarios'!G43</f>
        <v>3333</v>
      </c>
      <c r="H22">
        <f>'Input Scenarios'!H43</f>
        <v>111</v>
      </c>
      <c r="I22">
        <f>IF('Input Scenarios'!I43&lt;&gt;"", 'Input Scenarios'!I43,_xlfn.XLOOKUP($F22,Constants!$A$2:$A$5,Constants!B$2:B$5))</f>
        <v>9.2999999999999999E-2</v>
      </c>
      <c r="J22">
        <f>IF('Input Scenarios'!J43&lt;&gt;"", 'Input Scenarios'!J43,_xlfn.XLOOKUP($F22,Constants!$A$2:$A$5,Constants!C$2:C$5))</f>
        <v>0.7</v>
      </c>
      <c r="K22">
        <f>IF('Input Scenarios'!K43&lt;&gt;"", 'Input Scenarios'!K43,_xlfn.XLOOKUP($F22,Constants!$A$2:$A$5,Constants!D$2:D$5))</f>
        <v>0.23</v>
      </c>
      <c r="L22">
        <f>IF('Input Scenarios'!L43&lt;&gt;"", 'Input Scenarios'!L43,_xlfn.XLOOKUP($F22,Constants!$A$2:$A$5,Constants!E$2:E$5))</f>
        <v>0.47</v>
      </c>
      <c r="M22">
        <f>'Input Scenarios'!M43</f>
        <v>0</v>
      </c>
      <c r="N22">
        <f>'Input Scenarios'!N43</f>
        <v>0.9</v>
      </c>
      <c r="O22">
        <f>'Input Scenarios'!O43</f>
        <v>0</v>
      </c>
      <c r="P22">
        <f>'Input Scenarios'!P43</f>
        <v>0.1</v>
      </c>
      <c r="Q22">
        <f>'Input Scenarios'!Q43</f>
        <v>1</v>
      </c>
      <c r="R22">
        <f>'Input Scenarios'!R43</f>
        <v>0</v>
      </c>
      <c r="S22">
        <f>'Input Scenarios'!S43</f>
        <v>0</v>
      </c>
      <c r="T22">
        <f>'Input Scenarios'!T43</f>
        <v>0</v>
      </c>
      <c r="U22">
        <f>'Input Scenarios'!U43</f>
        <v>0</v>
      </c>
      <c r="V22">
        <f>'Input Scenarios'!V43</f>
        <v>0</v>
      </c>
      <c r="W22">
        <f>'Input Scenarios'!W43</f>
        <v>1</v>
      </c>
      <c r="X22">
        <f>'Input Scenarios'!X43</f>
        <v>0</v>
      </c>
      <c r="Y22">
        <f>'Input Scenarios'!Y43</f>
        <v>0</v>
      </c>
      <c r="Z22">
        <f>'Input Scenarios'!Z43</f>
        <v>0</v>
      </c>
      <c r="AA22">
        <f>'Input Scenarios'!AA43</f>
        <v>0</v>
      </c>
      <c r="AB22">
        <f>'Input Scenarios'!AB43</f>
        <v>0</v>
      </c>
      <c r="AC22">
        <f>'Input Scenarios'!AC43</f>
        <v>1</v>
      </c>
      <c r="AD22">
        <f>'Input Scenarios'!AD43</f>
        <v>0</v>
      </c>
      <c r="AE22">
        <f>'Input Scenarios'!AE43</f>
        <v>0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6"/>
        <v>3.4223999999999999E-3</v>
      </c>
      <c r="AZ22">
        <f t="shared" si="7"/>
        <v>1.813872E-3</v>
      </c>
      <c r="BA22">
        <f t="shared" si="0"/>
        <v>671.06552673600004</v>
      </c>
      <c r="BB22">
        <f t="shared" si="1"/>
        <v>0</v>
      </c>
      <c r="BC22">
        <f t="shared" si="1"/>
        <v>603.9589740624001</v>
      </c>
      <c r="BD22">
        <f t="shared" si="1"/>
        <v>0</v>
      </c>
      <c r="BE22">
        <f t="shared" si="1"/>
        <v>67.106552673600007</v>
      </c>
      <c r="BF22">
        <f t="shared" si="2"/>
        <v>0</v>
      </c>
      <c r="BG22">
        <f t="shared" si="2"/>
        <v>573.15706638521772</v>
      </c>
      <c r="BH22">
        <f t="shared" si="2"/>
        <v>0</v>
      </c>
      <c r="BI22">
        <f t="shared" si="3"/>
        <v>0</v>
      </c>
      <c r="BJ22">
        <f t="shared" si="3"/>
        <v>573.15706638521772</v>
      </c>
      <c r="BK22">
        <f t="shared" si="3"/>
        <v>0</v>
      </c>
      <c r="BL22">
        <f t="shared" si="3"/>
        <v>0</v>
      </c>
      <c r="BM22">
        <f t="shared" si="3"/>
        <v>0</v>
      </c>
      <c r="BN22">
        <f>IF(D22="", "", _xlfn.XLOOKUP('4.6.1.4'!D22, Constants!$I$5:$I$6, Constants!$J$5:$J$6))</f>
        <v>6.0000000000000001E-3</v>
      </c>
      <c r="BO22">
        <f>Constants!$J$2</f>
        <v>1.57</v>
      </c>
      <c r="BP22">
        <f t="shared" si="8"/>
        <v>0</v>
      </c>
      <c r="BQ22">
        <f t="shared" si="4"/>
        <v>0.94821558927796812</v>
      </c>
      <c r="BR22">
        <f t="shared" si="4"/>
        <v>0</v>
      </c>
      <c r="BS22">
        <f t="shared" si="4"/>
        <v>0</v>
      </c>
      <c r="BT22">
        <f t="shared" si="9"/>
        <v>0</v>
      </c>
      <c r="BU22">
        <f t="shared" si="5"/>
        <v>8.9985659422479181</v>
      </c>
      <c r="BV22">
        <f t="shared" si="5"/>
        <v>0</v>
      </c>
      <c r="BW22">
        <f t="shared" si="5"/>
        <v>0</v>
      </c>
      <c r="BX22">
        <f t="shared" si="10"/>
        <v>0.63214372618531212</v>
      </c>
      <c r="BY22">
        <f t="shared" si="11"/>
        <v>9.9467815315258861</v>
      </c>
    </row>
    <row r="23" spans="1:87" x14ac:dyDescent="0.2">
      <c r="A23" t="str">
        <f>'Input Scenarios'!A44</f>
        <v>NT</v>
      </c>
      <c r="B23">
        <f>'Input Scenarios'!B44</f>
        <v>27</v>
      </c>
      <c r="C23" t="str">
        <f>'Input Scenarios'!C44</f>
        <v>Non-irrigated crop (high rainfall)</v>
      </c>
      <c r="D23" t="str">
        <f>'Input Scenarios'!D44</f>
        <v>dry</v>
      </c>
      <c r="E23" t="b">
        <f>'Input Scenarios'!E44</f>
        <v>0</v>
      </c>
      <c r="F23" t="str">
        <f>'Input Scenarios'!F44</f>
        <v>layers</v>
      </c>
      <c r="G23">
        <f>'Input Scenarios'!G44</f>
        <v>1234</v>
      </c>
      <c r="H23">
        <f>'Input Scenarios'!H44</f>
        <v>150</v>
      </c>
      <c r="I23">
        <f>IF('Input Scenarios'!I44&lt;&gt;"", 'Input Scenarios'!I44,_xlfn.XLOOKUP($F23,Constants!$A$2:$A$5,Constants!B$2:B$5))</f>
        <v>8.5999999999999993E-2</v>
      </c>
      <c r="J23">
        <f>IF('Input Scenarios'!J44&lt;&gt;"", 'Input Scenarios'!J44,_xlfn.XLOOKUP($F23,Constants!$A$2:$A$5,Constants!C$2:C$5))</f>
        <v>0.8</v>
      </c>
      <c r="K23">
        <f>IF('Input Scenarios'!K44&lt;&gt;"", 'Input Scenarios'!K44,_xlfn.XLOOKUP($F23,Constants!$A$2:$A$5,Constants!D$2:D$5))</f>
        <v>0.19</v>
      </c>
      <c r="L23">
        <f>IF('Input Scenarios'!L44&lt;&gt;"", 'Input Scenarios'!L44,_xlfn.XLOOKUP($F23,Constants!$A$2:$A$5,Constants!E$2:E$5))</f>
        <v>0.35</v>
      </c>
      <c r="M23">
        <f>'Input Scenarios'!M44</f>
        <v>0.1</v>
      </c>
      <c r="N23">
        <f>'Input Scenarios'!N44</f>
        <v>0</v>
      </c>
      <c r="O23">
        <f>'Input Scenarios'!O44</f>
        <v>0</v>
      </c>
      <c r="P23">
        <f>'Input Scenarios'!P44</f>
        <v>0.9</v>
      </c>
      <c r="Q23">
        <f>'Input Scenarios'!Q44</f>
        <v>0</v>
      </c>
      <c r="R23">
        <f>'Input Scenarios'!R44</f>
        <v>0.9</v>
      </c>
      <c r="S23">
        <f>'Input Scenarios'!S44</f>
        <v>0.1</v>
      </c>
      <c r="T23">
        <f>'Input Scenarios'!T44</f>
        <v>0</v>
      </c>
      <c r="U23">
        <f>'Input Scenarios'!U44</f>
        <v>0</v>
      </c>
      <c r="V23">
        <f>'Input Scenarios'!V44</f>
        <v>0</v>
      </c>
      <c r="W23">
        <f>'Input Scenarios'!W44</f>
        <v>1</v>
      </c>
      <c r="X23">
        <f>'Input Scenarios'!X44</f>
        <v>0</v>
      </c>
      <c r="Y23">
        <f>'Input Scenarios'!Y44</f>
        <v>0</v>
      </c>
      <c r="Z23">
        <f>'Input Scenarios'!Z44</f>
        <v>0</v>
      </c>
      <c r="AA23">
        <f>'Input Scenarios'!AA44</f>
        <v>0</v>
      </c>
      <c r="AB23">
        <f>'Input Scenarios'!AB44</f>
        <v>0</v>
      </c>
      <c r="AC23">
        <f>'Input Scenarios'!AC44</f>
        <v>1</v>
      </c>
      <c r="AD23">
        <f>'Input Scenarios'!AD44</f>
        <v>0</v>
      </c>
      <c r="AE23">
        <f>'Input Scenarios'!AE44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6"/>
        <v>2.6144000000000002E-3</v>
      </c>
      <c r="AZ23">
        <f t="shared" si="7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1"/>
        <v>0</v>
      </c>
      <c r="BD23">
        <f t="shared" si="1"/>
        <v>0</v>
      </c>
      <c r="BE23">
        <f t="shared" si="1"/>
        <v>283.09638240000004</v>
      </c>
      <c r="BF23">
        <f t="shared" si="2"/>
        <v>21.987152366400004</v>
      </c>
      <c r="BG23">
        <f t="shared" si="2"/>
        <v>0</v>
      </c>
      <c r="BH23">
        <f t="shared" si="2"/>
        <v>0</v>
      </c>
      <c r="BI23">
        <f t="shared" si="3"/>
        <v>0</v>
      </c>
      <c r="BJ23">
        <f t="shared" si="3"/>
        <v>19.788437129760005</v>
      </c>
      <c r="BK23">
        <f t="shared" si="3"/>
        <v>2.1987152366400005</v>
      </c>
      <c r="BL23">
        <f t="shared" si="3"/>
        <v>0</v>
      </c>
      <c r="BM23">
        <f t="shared" si="3"/>
        <v>0</v>
      </c>
      <c r="BN23">
        <f>IF(D23="", "", _xlfn.XLOOKUP('4.6.1.4'!D23, Constants!$I$5:$I$6, Constants!$J$5:$J$6))</f>
        <v>2E-3</v>
      </c>
      <c r="BO23">
        <f>Constants!$J$2</f>
        <v>1.57</v>
      </c>
      <c r="BP23">
        <f t="shared" si="8"/>
        <v>4.9384591152000015E-2</v>
      </c>
      <c r="BQ23">
        <f t="shared" si="4"/>
        <v>0</v>
      </c>
      <c r="BR23">
        <f t="shared" si="4"/>
        <v>0</v>
      </c>
      <c r="BS23">
        <f t="shared" si="4"/>
        <v>0</v>
      </c>
      <c r="BT23">
        <f t="shared" si="9"/>
        <v>0</v>
      </c>
      <c r="BU23">
        <f t="shared" si="5"/>
        <v>0.31067846293723211</v>
      </c>
      <c r="BV23">
        <f t="shared" si="5"/>
        <v>0</v>
      </c>
      <c r="BW23">
        <f t="shared" si="5"/>
        <v>0</v>
      </c>
      <c r="BX23">
        <f t="shared" si="10"/>
        <v>0.88892264073600025</v>
      </c>
      <c r="BY23">
        <f t="shared" si="11"/>
        <v>0.36006305408923212</v>
      </c>
      <c r="BZ23">
        <f>SUM(BX23:BY26)/1000</f>
        <v>5.6022082674537848E-3</v>
      </c>
    </row>
    <row r="24" spans="1:87" x14ac:dyDescent="0.2">
      <c r="A24" t="str">
        <f>'Input Scenarios'!A45</f>
        <v>NT</v>
      </c>
      <c r="B24">
        <f>'Input Scenarios'!B45</f>
        <v>27</v>
      </c>
      <c r="C24" t="str">
        <f>'Input Scenarios'!C45</f>
        <v>Non-irrigated crop (high rainfall)</v>
      </c>
      <c r="D24" t="str">
        <f>'Input Scenarios'!D45</f>
        <v>dry</v>
      </c>
      <c r="E24" t="b">
        <f>'Input Scenarios'!E45</f>
        <v>0</v>
      </c>
      <c r="F24" t="str">
        <f>'Input Scenarios'!F45</f>
        <v>meatChickenBreeder</v>
      </c>
      <c r="G24">
        <f>'Input Scenarios'!G45</f>
        <v>1234</v>
      </c>
      <c r="H24">
        <f>'Input Scenarios'!H45</f>
        <v>150</v>
      </c>
      <c r="I24">
        <f>IF('Input Scenarios'!I45&lt;&gt;"", 'Input Scenarios'!I45,_xlfn.XLOOKUP($F24,Constants!$A$2:$A$5,Constants!B$2:B$5))</f>
        <v>0.10299999999999999</v>
      </c>
      <c r="J24">
        <f>IF('Input Scenarios'!J45&lt;&gt;"", 'Input Scenarios'!J45,_xlfn.XLOOKUP($F24,Constants!$A$2:$A$5,Constants!C$2:C$5))</f>
        <v>0.8</v>
      </c>
      <c r="K24">
        <f>IF('Input Scenarios'!K45&lt;&gt;"", 'Input Scenarios'!K45,_xlfn.XLOOKUP($F24,Constants!$A$2:$A$5,Constants!D$2:D$5))</f>
        <v>0.24</v>
      </c>
      <c r="L24">
        <f>IF('Input Scenarios'!L45&lt;&gt;"", 'Input Scenarios'!L45,_xlfn.XLOOKUP($F24,Constants!$A$2:$A$5,Constants!E$2:E$5))</f>
        <v>0.32</v>
      </c>
      <c r="M24">
        <f>'Input Scenarios'!M45</f>
        <v>0.1</v>
      </c>
      <c r="N24">
        <f>'Input Scenarios'!N45</f>
        <v>0</v>
      </c>
      <c r="O24">
        <f>'Input Scenarios'!O45</f>
        <v>0</v>
      </c>
      <c r="P24">
        <f>'Input Scenarios'!P45</f>
        <v>0.9</v>
      </c>
      <c r="Q24">
        <f>'Input Scenarios'!Q45</f>
        <v>0</v>
      </c>
      <c r="R24">
        <f>'Input Scenarios'!R45</f>
        <v>0.9</v>
      </c>
      <c r="S24">
        <f>'Input Scenarios'!S45</f>
        <v>0.1</v>
      </c>
      <c r="T24">
        <f>'Input Scenarios'!T45</f>
        <v>0</v>
      </c>
      <c r="U24">
        <f>'Input Scenarios'!U45</f>
        <v>0</v>
      </c>
      <c r="V24">
        <f>'Input Scenarios'!V45</f>
        <v>0</v>
      </c>
      <c r="W24">
        <f>'Input Scenarios'!W45</f>
        <v>1</v>
      </c>
      <c r="X24">
        <f>'Input Scenarios'!X45</f>
        <v>0</v>
      </c>
      <c r="Y24">
        <f>'Input Scenarios'!Y45</f>
        <v>0</v>
      </c>
      <c r="Z24">
        <f>'Input Scenarios'!Z45</f>
        <v>0</v>
      </c>
      <c r="AA24">
        <f>'Input Scenarios'!AA45</f>
        <v>0</v>
      </c>
      <c r="AB24">
        <f>'Input Scenarios'!AB45</f>
        <v>0</v>
      </c>
      <c r="AC24">
        <f>'Input Scenarios'!AC45</f>
        <v>1</v>
      </c>
      <c r="AD24">
        <f>'Input Scenarios'!AD45</f>
        <v>0</v>
      </c>
      <c r="AE24">
        <f>'Input Scenarios'!AE45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6"/>
        <v>3.9551999999999999E-3</v>
      </c>
      <c r="AZ24">
        <f t="shared" si="7"/>
        <v>2.6895359999999997E-3</v>
      </c>
      <c r="BA24">
        <f t="shared" si="0"/>
        <v>497.83311359999993</v>
      </c>
      <c r="BB24">
        <f t="shared" si="1"/>
        <v>49.783311359999999</v>
      </c>
      <c r="BC24">
        <f t="shared" si="1"/>
        <v>0</v>
      </c>
      <c r="BD24">
        <f t="shared" si="1"/>
        <v>0</v>
      </c>
      <c r="BE24">
        <f t="shared" si="1"/>
        <v>448.04980223999996</v>
      </c>
      <c r="BF24">
        <f t="shared" si="2"/>
        <v>34.79853464064</v>
      </c>
      <c r="BG24">
        <f t="shared" si="2"/>
        <v>0</v>
      </c>
      <c r="BH24">
        <f t="shared" si="2"/>
        <v>0</v>
      </c>
      <c r="BI24">
        <f t="shared" si="3"/>
        <v>0</v>
      </c>
      <c r="BJ24">
        <f t="shared" si="3"/>
        <v>31.318681176576</v>
      </c>
      <c r="BK24">
        <f t="shared" si="3"/>
        <v>3.479853464064</v>
      </c>
      <c r="BL24">
        <f t="shared" si="3"/>
        <v>0</v>
      </c>
      <c r="BM24">
        <f t="shared" si="3"/>
        <v>0</v>
      </c>
      <c r="BN24">
        <f>IF(D24="", "", _xlfn.XLOOKUP('4.6.1.4'!D24, Constants!$I$5:$I$6, Constants!$J$5:$J$6))</f>
        <v>2E-3</v>
      </c>
      <c r="BO24">
        <f>Constants!$J$2</f>
        <v>1.57</v>
      </c>
      <c r="BP24">
        <f t="shared" si="8"/>
        <v>7.8159798835199995E-2</v>
      </c>
      <c r="BQ24">
        <f t="shared" si="4"/>
        <v>0</v>
      </c>
      <c r="BR24">
        <f t="shared" si="4"/>
        <v>0</v>
      </c>
      <c r="BS24">
        <f t="shared" si="4"/>
        <v>0</v>
      </c>
      <c r="BT24">
        <f t="shared" si="9"/>
        <v>0</v>
      </c>
      <c r="BU24">
        <f t="shared" si="5"/>
        <v>0.49170329447224326</v>
      </c>
      <c r="BV24">
        <f t="shared" si="5"/>
        <v>0</v>
      </c>
      <c r="BW24">
        <f t="shared" si="5"/>
        <v>0</v>
      </c>
      <c r="BX24">
        <f t="shared" si="10"/>
        <v>1.4068763790335999</v>
      </c>
      <c r="BY24">
        <f t="shared" si="11"/>
        <v>0.56986309330744322</v>
      </c>
    </row>
    <row r="25" spans="1:87" s="11" customFormat="1" x14ac:dyDescent="0.2">
      <c r="A25" t="str">
        <f>'Input Scenarios'!A46</f>
        <v>NT</v>
      </c>
      <c r="B25">
        <f>'Input Scenarios'!B46</f>
        <v>27</v>
      </c>
      <c r="C25" t="str">
        <f>'Input Scenarios'!C46</f>
        <v>Non-irrigated crop (high rainfall)</v>
      </c>
      <c r="D25" t="str">
        <f>'Input Scenarios'!D46</f>
        <v>dry</v>
      </c>
      <c r="E25" t="b">
        <f>'Input Scenarios'!E46</f>
        <v>0</v>
      </c>
      <c r="F25" t="str">
        <f>'Input Scenarios'!F46</f>
        <v>meatChickenGrowers</v>
      </c>
      <c r="G25">
        <f>'Input Scenarios'!G46</f>
        <v>1234</v>
      </c>
      <c r="H25">
        <f>'Input Scenarios'!H46</f>
        <v>150</v>
      </c>
      <c r="I25">
        <f>IF('Input Scenarios'!I46&lt;&gt;"", 'Input Scenarios'!I46,_xlfn.XLOOKUP($F25,Constants!$A$2:$A$5,Constants!B$2:B$5))</f>
        <v>9.2999999999999999E-2</v>
      </c>
      <c r="J25">
        <f>IF('Input Scenarios'!J46&lt;&gt;"", 'Input Scenarios'!J46,_xlfn.XLOOKUP($F25,Constants!$A$2:$A$5,Constants!C$2:C$5))</f>
        <v>0.8</v>
      </c>
      <c r="K25">
        <f>IF('Input Scenarios'!K46&lt;&gt;"", 'Input Scenarios'!K46,_xlfn.XLOOKUP($F25,Constants!$A$2:$A$5,Constants!D$2:D$5))</f>
        <v>0.18</v>
      </c>
      <c r="L25">
        <f>IF('Input Scenarios'!L46&lt;&gt;"", 'Input Scenarios'!L46,_xlfn.XLOOKUP($F25,Constants!$A$2:$A$5,Constants!E$2:E$5))</f>
        <v>0.47</v>
      </c>
      <c r="M25">
        <f>'Input Scenarios'!M46</f>
        <v>0.1</v>
      </c>
      <c r="N25">
        <f>'Input Scenarios'!N46</f>
        <v>0</v>
      </c>
      <c r="O25">
        <f>'Input Scenarios'!O46</f>
        <v>0</v>
      </c>
      <c r="P25">
        <f>'Input Scenarios'!P46</f>
        <v>0.9</v>
      </c>
      <c r="Q25">
        <f>'Input Scenarios'!Q46</f>
        <v>0</v>
      </c>
      <c r="R25">
        <f>'Input Scenarios'!R46</f>
        <v>0.9</v>
      </c>
      <c r="S25">
        <f>'Input Scenarios'!S46</f>
        <v>0.1</v>
      </c>
      <c r="T25">
        <f>'Input Scenarios'!T46</f>
        <v>0</v>
      </c>
      <c r="U25">
        <f>'Input Scenarios'!U46</f>
        <v>0</v>
      </c>
      <c r="V25">
        <f>'Input Scenarios'!V46</f>
        <v>0</v>
      </c>
      <c r="W25">
        <f>'Input Scenarios'!W46</f>
        <v>1</v>
      </c>
      <c r="X25">
        <f>'Input Scenarios'!X46</f>
        <v>0</v>
      </c>
      <c r="Y25">
        <f>'Input Scenarios'!Y46</f>
        <v>0</v>
      </c>
      <c r="Z25">
        <f>'Input Scenarios'!Z46</f>
        <v>0</v>
      </c>
      <c r="AA25">
        <f>'Input Scenarios'!AA46</f>
        <v>0</v>
      </c>
      <c r="AB25">
        <f>'Input Scenarios'!AB46</f>
        <v>0</v>
      </c>
      <c r="AC25">
        <f>'Input Scenarios'!AC46</f>
        <v>1</v>
      </c>
      <c r="AD25">
        <f>'Input Scenarios'!AD46</f>
        <v>0</v>
      </c>
      <c r="AE25">
        <f>'Input Scenarios'!AE46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6"/>
        <v>2.6783999999999996E-3</v>
      </c>
      <c r="AZ25">
        <f t="shared" si="7"/>
        <v>1.4195519999999999E-3</v>
      </c>
      <c r="BA25">
        <f t="shared" si="0"/>
        <v>262.75907519999998</v>
      </c>
      <c r="BB25">
        <f t="shared" si="1"/>
        <v>26.275907520000001</v>
      </c>
      <c r="BC25">
        <f t="shared" si="1"/>
        <v>0</v>
      </c>
      <c r="BD25">
        <f t="shared" si="1"/>
        <v>0</v>
      </c>
      <c r="BE25">
        <f t="shared" si="1"/>
        <v>236.48316767999998</v>
      </c>
      <c r="BF25">
        <f t="shared" si="2"/>
        <v>18.366859356479999</v>
      </c>
      <c r="BG25">
        <f t="shared" si="2"/>
        <v>0</v>
      </c>
      <c r="BH25">
        <f t="shared" si="2"/>
        <v>0</v>
      </c>
      <c r="BI25">
        <f t="shared" si="3"/>
        <v>0</v>
      </c>
      <c r="BJ25">
        <f t="shared" si="3"/>
        <v>16.530173420832</v>
      </c>
      <c r="BK25">
        <f t="shared" si="3"/>
        <v>1.8366859356480001</v>
      </c>
      <c r="BL25">
        <f t="shared" si="3"/>
        <v>0</v>
      </c>
      <c r="BM25">
        <f t="shared" si="3"/>
        <v>0</v>
      </c>
      <c r="BN25">
        <f>IF(D25="", "", _xlfn.XLOOKUP('4.6.1.4'!D25, Constants!$I$5:$I$6, Constants!$J$5:$J$6))</f>
        <v>2E-3</v>
      </c>
      <c r="BO25">
        <f>Constants!$J$2</f>
        <v>1.57</v>
      </c>
      <c r="BP25">
        <f t="shared" si="8"/>
        <v>4.1253174806400006E-2</v>
      </c>
      <c r="BQ25">
        <f t="shared" si="4"/>
        <v>0</v>
      </c>
      <c r="BR25">
        <f t="shared" si="4"/>
        <v>0</v>
      </c>
      <c r="BS25">
        <f t="shared" si="4"/>
        <v>0</v>
      </c>
      <c r="BT25">
        <f t="shared" si="9"/>
        <v>0</v>
      </c>
      <c r="BU25">
        <f t="shared" si="5"/>
        <v>0.25952372270706242</v>
      </c>
      <c r="BV25">
        <f t="shared" si="5"/>
        <v>0</v>
      </c>
      <c r="BW25">
        <f t="shared" si="5"/>
        <v>0</v>
      </c>
      <c r="BX25">
        <f t="shared" si="10"/>
        <v>0.7425571465152</v>
      </c>
      <c r="BY25">
        <f t="shared" si="11"/>
        <v>0.30077689751346243</v>
      </c>
      <c r="BZ25"/>
      <c r="CA25"/>
      <c r="CB25"/>
      <c r="CC25"/>
      <c r="CD25"/>
      <c r="CE25"/>
      <c r="CF25"/>
      <c r="CG25"/>
      <c r="CH25"/>
      <c r="CI25"/>
    </row>
    <row r="26" spans="1:87" x14ac:dyDescent="0.2">
      <c r="A26" t="str">
        <f>'Input Scenarios'!A47</f>
        <v>NT</v>
      </c>
      <c r="B26">
        <f>'Input Scenarios'!B47</f>
        <v>27</v>
      </c>
      <c r="C26" t="str">
        <f>'Input Scenarios'!C47</f>
        <v>Non-irrigated crop (high rainfall)</v>
      </c>
      <c r="D26" t="str">
        <f>'Input Scenarios'!D47</f>
        <v>dry</v>
      </c>
      <c r="E26" t="b">
        <f>'Input Scenarios'!E47</f>
        <v>0</v>
      </c>
      <c r="F26" t="str">
        <f>'Input Scenarios'!F47</f>
        <v>meatOther</v>
      </c>
      <c r="G26">
        <f>'Input Scenarios'!G47</f>
        <v>1234</v>
      </c>
      <c r="H26">
        <f>'Input Scenarios'!H47</f>
        <v>150</v>
      </c>
      <c r="I26">
        <f>IF('Input Scenarios'!I47&lt;&gt;"", 'Input Scenarios'!I47,_xlfn.XLOOKUP($F26,Constants!$A$2:$A$5,Constants!B$2:B$5))</f>
        <v>9.2999999999999999E-2</v>
      </c>
      <c r="J26">
        <f>IF('Input Scenarios'!J47&lt;&gt;"", 'Input Scenarios'!J47,_xlfn.XLOOKUP($F26,Constants!$A$2:$A$5,Constants!C$2:C$5))</f>
        <v>0.8</v>
      </c>
      <c r="K26">
        <f>IF('Input Scenarios'!K47&lt;&gt;"", 'Input Scenarios'!K47,_xlfn.XLOOKUP($F26,Constants!$A$2:$A$5,Constants!D$2:D$5))</f>
        <v>0.23</v>
      </c>
      <c r="L26">
        <f>IF('Input Scenarios'!L47&lt;&gt;"", 'Input Scenarios'!L47,_xlfn.XLOOKUP($F26,Constants!$A$2:$A$5,Constants!E$2:E$5))</f>
        <v>0.47</v>
      </c>
      <c r="M26">
        <f>'Input Scenarios'!M47</f>
        <v>0.1</v>
      </c>
      <c r="N26">
        <f>'Input Scenarios'!N47</f>
        <v>0</v>
      </c>
      <c r="O26">
        <f>'Input Scenarios'!O47</f>
        <v>0</v>
      </c>
      <c r="P26">
        <f>'Input Scenarios'!P47</f>
        <v>0.9</v>
      </c>
      <c r="Q26">
        <f>'Input Scenarios'!Q47</f>
        <v>0</v>
      </c>
      <c r="R26">
        <f>'Input Scenarios'!R47</f>
        <v>0.9</v>
      </c>
      <c r="S26">
        <f>'Input Scenarios'!S47</f>
        <v>0.1</v>
      </c>
      <c r="T26">
        <f>'Input Scenarios'!T47</f>
        <v>0</v>
      </c>
      <c r="U26">
        <f>'Input Scenarios'!U47</f>
        <v>0</v>
      </c>
      <c r="V26">
        <f>'Input Scenarios'!V47</f>
        <v>0</v>
      </c>
      <c r="W26">
        <f>'Input Scenarios'!W47</f>
        <v>1</v>
      </c>
      <c r="X26">
        <f>'Input Scenarios'!X47</f>
        <v>0</v>
      </c>
      <c r="Y26">
        <f>'Input Scenarios'!Y47</f>
        <v>0</v>
      </c>
      <c r="Z26">
        <f>'Input Scenarios'!Z47</f>
        <v>0</v>
      </c>
      <c r="AA26">
        <f>'Input Scenarios'!AA47</f>
        <v>0</v>
      </c>
      <c r="AB26">
        <f>'Input Scenarios'!AB47</f>
        <v>0</v>
      </c>
      <c r="AC26">
        <f>'Input Scenarios'!AC47</f>
        <v>1</v>
      </c>
      <c r="AD26">
        <f>'Input Scenarios'!AD47</f>
        <v>0</v>
      </c>
      <c r="AE26">
        <f>'Input Scenarios'!AE47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6"/>
        <v>3.4223999999999999E-3</v>
      </c>
      <c r="AZ26">
        <f t="shared" si="7"/>
        <v>1.813872E-3</v>
      </c>
      <c r="BA26">
        <f t="shared" si="0"/>
        <v>335.74770719999998</v>
      </c>
      <c r="BB26">
        <f t="shared" si="1"/>
        <v>33.574770719999997</v>
      </c>
      <c r="BC26">
        <f t="shared" si="1"/>
        <v>0</v>
      </c>
      <c r="BD26">
        <f t="shared" si="1"/>
        <v>0</v>
      </c>
      <c r="BE26">
        <f t="shared" si="1"/>
        <v>302.17293647999998</v>
      </c>
      <c r="BF26">
        <f t="shared" si="2"/>
        <v>23.468764733279997</v>
      </c>
      <c r="BG26">
        <f t="shared" si="2"/>
        <v>0</v>
      </c>
      <c r="BH26">
        <f t="shared" si="2"/>
        <v>0</v>
      </c>
      <c r="BI26">
        <f t="shared" si="3"/>
        <v>0</v>
      </c>
      <c r="BJ26">
        <f t="shared" si="3"/>
        <v>21.121888259951998</v>
      </c>
      <c r="BK26">
        <f t="shared" si="3"/>
        <v>2.3468764733279999</v>
      </c>
      <c r="BL26">
        <f t="shared" si="3"/>
        <v>0</v>
      </c>
      <c r="BM26">
        <f t="shared" si="3"/>
        <v>0</v>
      </c>
      <c r="BN26">
        <f>IF(D26="", "", _xlfn.XLOOKUP('4.6.1.4'!D26, Constants!$I$5:$I$6, Constants!$J$5:$J$6))</f>
        <v>2E-3</v>
      </c>
      <c r="BO26">
        <f>Constants!$J$2</f>
        <v>1.57</v>
      </c>
      <c r="BP26">
        <f t="shared" si="8"/>
        <v>5.2712390030399993E-2</v>
      </c>
      <c r="BQ26">
        <f t="shared" si="4"/>
        <v>0</v>
      </c>
      <c r="BR26">
        <f t="shared" si="4"/>
        <v>0</v>
      </c>
      <c r="BS26">
        <f t="shared" si="4"/>
        <v>0</v>
      </c>
      <c r="BT26">
        <f t="shared" si="9"/>
        <v>0</v>
      </c>
      <c r="BU26">
        <f t="shared" si="5"/>
        <v>0.33161364568124641</v>
      </c>
      <c r="BV26">
        <f t="shared" si="5"/>
        <v>0</v>
      </c>
      <c r="BW26">
        <f t="shared" si="5"/>
        <v>0</v>
      </c>
      <c r="BX26">
        <f t="shared" si="10"/>
        <v>0.94882302054720002</v>
      </c>
      <c r="BY26">
        <f t="shared" si="11"/>
        <v>0.38432603571164642</v>
      </c>
    </row>
    <row r="30" spans="1:87" s="11" customFormat="1" x14ac:dyDescent="0.2">
      <c r="A30"/>
      <c r="B30"/>
      <c r="C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4FC7-4E95-334D-BAFB-568C04780500}">
  <dimension ref="A2:CJ30"/>
  <sheetViews>
    <sheetView topLeftCell="A2" workbookViewId="0">
      <selection activeCell="A11" sqref="A11:AE26"/>
    </sheetView>
  </sheetViews>
  <sheetFormatPr baseColWidth="10" defaultRowHeight="16" x14ac:dyDescent="0.2"/>
  <cols>
    <col min="25" max="26" width="12.1640625" bestFit="1" customWidth="1"/>
    <col min="28" max="28" width="12.1640625" bestFit="1" customWidth="1"/>
    <col min="29" max="70" width="12.1640625" customWidth="1"/>
  </cols>
  <sheetData>
    <row r="2" spans="1:88" x14ac:dyDescent="0.2">
      <c r="A2" t="s">
        <v>30</v>
      </c>
    </row>
    <row r="4" spans="1:88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88" x14ac:dyDescent="0.2">
      <c r="K5" t="s">
        <v>0</v>
      </c>
      <c r="AF5" t="s">
        <v>0</v>
      </c>
      <c r="BF5" t="s">
        <v>97</v>
      </c>
    </row>
    <row r="6" spans="1:88" x14ac:dyDescent="0.2">
      <c r="BF6" t="s">
        <v>91</v>
      </c>
    </row>
    <row r="8" spans="1:88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88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182</v>
      </c>
      <c r="BK10" s="1" t="s">
        <v>183</v>
      </c>
      <c r="BL10" s="1" t="s">
        <v>184</v>
      </c>
      <c r="BM10" s="1" t="s">
        <v>185</v>
      </c>
      <c r="BN10" s="1" t="s">
        <v>196</v>
      </c>
      <c r="BO10" s="1" t="s">
        <v>197</v>
      </c>
      <c r="BP10" s="1" t="s">
        <v>198</v>
      </c>
      <c r="BQ10" s="1" t="s">
        <v>200</v>
      </c>
      <c r="BR10" s="1" t="s">
        <v>201</v>
      </c>
      <c r="BS10" s="1" t="s">
        <v>202</v>
      </c>
      <c r="BT10" s="1" t="s">
        <v>203</v>
      </c>
      <c r="BU10" s="1" t="s">
        <v>101</v>
      </c>
      <c r="BV10" s="1" t="s">
        <v>99</v>
      </c>
      <c r="BW10" s="1" t="s">
        <v>199</v>
      </c>
      <c r="BX10" s="1" t="s">
        <v>66</v>
      </c>
      <c r="BY10" s="1" t="s">
        <v>96</v>
      </c>
      <c r="BZ10" s="10" t="s">
        <v>204</v>
      </c>
      <c r="CA10" s="10" t="s">
        <v>205</v>
      </c>
      <c r="CB10" s="10" t="s">
        <v>100</v>
      </c>
    </row>
    <row r="11" spans="1:88" x14ac:dyDescent="0.2">
      <c r="A11" t="str">
        <f>'Input Scenarios'!A8</f>
        <v>NSW</v>
      </c>
      <c r="B11">
        <f>'Input Scenarios'!B8</f>
        <v>0</v>
      </c>
      <c r="C11" t="str">
        <f>'Input Scenarios'!C8</f>
        <v>Non-irrigated pasture</v>
      </c>
      <c r="D11" t="str">
        <f>'Input Scenarios'!D8</f>
        <v>wet</v>
      </c>
      <c r="E11" t="b">
        <f>'Input Scenarios'!E8</f>
        <v>1</v>
      </c>
      <c r="F11" t="str">
        <f>'Input Scenarios'!F8</f>
        <v>layers</v>
      </c>
      <c r="G11">
        <f>'Input Scenarios'!G8</f>
        <v>5000</v>
      </c>
      <c r="H11">
        <f>'Input Scenarios'!H8</f>
        <v>50</v>
      </c>
      <c r="I11">
        <f>IF('Input Scenarios'!I8&lt;&gt;"", 'Input Scenarios'!I8,_xlfn.XLOOKUP($F11,Constants!$A$2:$A$5,Constants!B$2:B$5))</f>
        <v>8.5999999999999993E-2</v>
      </c>
      <c r="J11">
        <f>IF('Input Scenarios'!J8&lt;&gt;"", 'Input Scenarios'!J8,_xlfn.XLOOKUP($F11,Constants!$A$2:$A$5,Constants!C$2:C$5))</f>
        <v>0.8</v>
      </c>
      <c r="K11">
        <f>IF('Input Scenarios'!K8&lt;&gt;"", 'Input Scenarios'!K8,_xlfn.XLOOKUP($F11,Constants!$A$2:$A$5,Constants!D$2:D$5))</f>
        <v>0.19</v>
      </c>
      <c r="L11">
        <f>IF('Input Scenarios'!L8&lt;&gt;"", 'Input Scenarios'!L8,_xlfn.XLOOKUP($F11,Constants!$A$2:$A$5,Constants!E$2:E$5))</f>
        <v>0.35</v>
      </c>
      <c r="M11">
        <f>'Input Scenarios'!M8</f>
        <v>0.1</v>
      </c>
      <c r="N11">
        <f>'Input Scenarios'!N8</f>
        <v>0.2</v>
      </c>
      <c r="O11">
        <f>'Input Scenarios'!O8</f>
        <v>0.3</v>
      </c>
      <c r="P11">
        <f>'Input Scenarios'!P8</f>
        <v>0.4</v>
      </c>
      <c r="Q11">
        <f>'Input Scenarios'!Q8</f>
        <v>0.15</v>
      </c>
      <c r="R11">
        <f>'Input Scenarios'!R8</f>
        <v>0.2</v>
      </c>
      <c r="S11">
        <f>'Input Scenarios'!S8</f>
        <v>0.25</v>
      </c>
      <c r="T11">
        <f>'Input Scenarios'!T8</f>
        <v>0.17</v>
      </c>
      <c r="U11">
        <f>'Input Scenarios'!U8</f>
        <v>0.23</v>
      </c>
      <c r="V11">
        <f>'Input Scenarios'!V8</f>
        <v>0.15</v>
      </c>
      <c r="W11">
        <f>'Input Scenarios'!W8</f>
        <v>0.2</v>
      </c>
      <c r="X11">
        <f>'Input Scenarios'!X8</f>
        <v>0.25</v>
      </c>
      <c r="Y11">
        <f>'Input Scenarios'!Y8</f>
        <v>0.17</v>
      </c>
      <c r="Z11">
        <f>'Input Scenarios'!Z8</f>
        <v>0.23</v>
      </c>
      <c r="AA11">
        <f>'Input Scenarios'!AA8</f>
        <v>0.15</v>
      </c>
      <c r="AB11">
        <f>'Input Scenarios'!AB8</f>
        <v>0.2</v>
      </c>
      <c r="AC11">
        <f>'Input Scenarios'!AC8</f>
        <v>0.25</v>
      </c>
      <c r="AD11">
        <f>'Input Scenarios'!AD8</f>
        <v>0.17</v>
      </c>
      <c r="AE11">
        <f>'Input Scenarios'!AE8</f>
        <v>0.23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2.6144000000000002E-3</v>
      </c>
      <c r="AZ11">
        <f>AY11*(1-L11)</f>
        <v>1.6993600000000002E-3</v>
      </c>
      <c r="BA11">
        <f t="shared" ref="BA11:BA26" si="0">G11*AZ11*H11</f>
        <v>424.84000000000003</v>
      </c>
      <c r="BB11">
        <f t="shared" ref="BB11:BB26" si="1">$BA11*M11</f>
        <v>42.484000000000009</v>
      </c>
      <c r="BC11">
        <f t="shared" ref="BC11:BC26" si="2">$BA11*N11</f>
        <v>84.968000000000018</v>
      </c>
      <c r="BD11">
        <f t="shared" ref="BD11:BD26" si="3">$BA11*O11</f>
        <v>127.452</v>
      </c>
      <c r="BE11">
        <f t="shared" ref="BE11:BE26" si="4">$BA11*P11</f>
        <v>169.93600000000004</v>
      </c>
      <c r="BF11">
        <f t="shared" ref="BF11:BF26" si="5">(BB11*(1-AG11-AK11))</f>
        <v>29.696316000000003</v>
      </c>
      <c r="BG11">
        <f t="shared" ref="BG11:BG26" si="6">(BC11*(1-AH11-AL11))</f>
        <v>80.634632000000011</v>
      </c>
      <c r="BH11">
        <f t="shared" ref="BH11:BH26" si="7">(BD11*(1-AI11-AM11))</f>
        <v>76.343747999999991</v>
      </c>
      <c r="BI11">
        <f t="shared" ref="BI11:BI26" si="8">($BF11*Q11)+($BG11*V11)+($BH11*AA11)</f>
        <v>28.001204399999999</v>
      </c>
      <c r="BJ11">
        <f t="shared" ref="BJ11:BJ26" si="9">($BF11*R11)+($BG11*W11)+($BH11*AB11)</f>
        <v>37.334939200000001</v>
      </c>
      <c r="BK11">
        <f t="shared" ref="BK11:BK26" si="10">($BF11*S11)+($BG11*X11)+($BH11*AC11)</f>
        <v>46.668673999999996</v>
      </c>
      <c r="BL11">
        <f t="shared" ref="BL11:BL26" si="11">($BF11*T11)+($BG11*Y11)+($BH11*AD11)</f>
        <v>31.73469832</v>
      </c>
      <c r="BM11">
        <f t="shared" ref="BM11:BM26" si="12">($BF11*U11)+($BG11*Z11)+($BH11*AE11)</f>
        <v>42.935180080000002</v>
      </c>
      <c r="BN11">
        <f>BB11*AG11</f>
        <v>12.745200000000002</v>
      </c>
      <c r="BO11">
        <f t="shared" ref="BO11:BP11" si="13">BC11*AH11</f>
        <v>4.2484000000000011</v>
      </c>
      <c r="BP11">
        <f t="shared" si="13"/>
        <v>50.980800000000002</v>
      </c>
      <c r="BQ11">
        <f>BI11*AO11</f>
        <v>5.6002408800000003</v>
      </c>
      <c r="BR11">
        <f t="shared" ref="BR11:BT11" si="14">BJ11*AP11</f>
        <v>7.4669878400000007</v>
      </c>
      <c r="BS11">
        <f t="shared" si="14"/>
        <v>0</v>
      </c>
      <c r="BT11">
        <f t="shared" si="14"/>
        <v>0</v>
      </c>
      <c r="BU11">
        <f>SUM(BN11:BT11)</f>
        <v>81.041628720000006</v>
      </c>
      <c r="BV11">
        <f>Constants!$K$2</f>
        <v>0.21</v>
      </c>
      <c r="BW11">
        <f>BE11*BV11</f>
        <v>35.686560000000007</v>
      </c>
      <c r="BX11">
        <f>IF(C11="", "", _xlfn.XLOOKUP(C11,Constants!$A$20:$A$24,Constants!$B$20:$B$24))</f>
        <v>1.8E-3</v>
      </c>
      <c r="BY11">
        <f>IF(BU11="","",Constants!$J$2)</f>
        <v>1.57</v>
      </c>
      <c r="BZ11">
        <f>BU11*BX11*BY11</f>
        <v>0.22902364276272</v>
      </c>
      <c r="CA11">
        <f>BW11*BX11*BY11</f>
        <v>0.10085021856000001</v>
      </c>
      <c r="CB11">
        <f>SUM(BZ11:CA14)/1000</f>
        <v>1.44739494260064E-3</v>
      </c>
    </row>
    <row r="12" spans="1:88" x14ac:dyDescent="0.2">
      <c r="A12" t="str">
        <f>'Input Scenarios'!A9</f>
        <v>NSW</v>
      </c>
      <c r="B12">
        <f>'Input Scenarios'!B9</f>
        <v>0</v>
      </c>
      <c r="C12" t="str">
        <f>'Input Scenarios'!C9</f>
        <v>Non-irrigated pasture</v>
      </c>
      <c r="D12" t="str">
        <f>'Input Scenarios'!D9</f>
        <v>wet</v>
      </c>
      <c r="E12" t="b">
        <f>'Input Scenarios'!E9</f>
        <v>1</v>
      </c>
      <c r="F12" t="str">
        <f>'Input Scenarios'!F9</f>
        <v>meatChickenBreeder</v>
      </c>
      <c r="G12">
        <f>'Input Scenarios'!G9</f>
        <v>5000</v>
      </c>
      <c r="H12">
        <f>'Input Scenarios'!H9</f>
        <v>50</v>
      </c>
      <c r="I12">
        <f>IF('Input Scenarios'!I9&lt;&gt;"", 'Input Scenarios'!I9,_xlfn.XLOOKUP($F12,Constants!$A$2:$A$5,Constants!B$2:B$5))</f>
        <v>0.10299999999999999</v>
      </c>
      <c r="J12">
        <f>IF('Input Scenarios'!J9&lt;&gt;"", 'Input Scenarios'!J9,_xlfn.XLOOKUP($F12,Constants!$A$2:$A$5,Constants!C$2:C$5))</f>
        <v>0.8</v>
      </c>
      <c r="K12">
        <f>IF('Input Scenarios'!K9&lt;&gt;"", 'Input Scenarios'!K9,_xlfn.XLOOKUP($F12,Constants!$A$2:$A$5,Constants!D$2:D$5))</f>
        <v>0.19</v>
      </c>
      <c r="L12">
        <f>IF('Input Scenarios'!L9&lt;&gt;"", 'Input Scenarios'!L9,_xlfn.XLOOKUP($F12,Constants!$A$2:$A$5,Constants!E$2:E$5))</f>
        <v>0.32</v>
      </c>
      <c r="M12">
        <f>'Input Scenarios'!M9</f>
        <v>0.1</v>
      </c>
      <c r="N12">
        <f>'Input Scenarios'!N9</f>
        <v>0.2</v>
      </c>
      <c r="O12">
        <f>'Input Scenarios'!O9</f>
        <v>0.3</v>
      </c>
      <c r="P12">
        <f>'Input Scenarios'!P9</f>
        <v>0.4</v>
      </c>
      <c r="Q12">
        <f>'Input Scenarios'!Q9</f>
        <v>0.15</v>
      </c>
      <c r="R12">
        <f>'Input Scenarios'!R9</f>
        <v>0.2</v>
      </c>
      <c r="S12">
        <f>'Input Scenarios'!S9</f>
        <v>0.25</v>
      </c>
      <c r="T12">
        <f>'Input Scenarios'!T9</f>
        <v>0.17</v>
      </c>
      <c r="U12">
        <f>'Input Scenarios'!U9</f>
        <v>0.23</v>
      </c>
      <c r="V12">
        <f>'Input Scenarios'!V9</f>
        <v>0.15</v>
      </c>
      <c r="W12">
        <f>'Input Scenarios'!W9</f>
        <v>0.2</v>
      </c>
      <c r="X12">
        <f>'Input Scenarios'!X9</f>
        <v>0.25</v>
      </c>
      <c r="Y12">
        <f>'Input Scenarios'!Y9</f>
        <v>0.17</v>
      </c>
      <c r="Z12">
        <f>'Input Scenarios'!Z9</f>
        <v>0.23</v>
      </c>
      <c r="AA12">
        <f>'Input Scenarios'!AA9</f>
        <v>0.15</v>
      </c>
      <c r="AB12">
        <f>'Input Scenarios'!AB9</f>
        <v>0.2</v>
      </c>
      <c r="AC12">
        <f>'Input Scenarios'!AC9</f>
        <v>0.25</v>
      </c>
      <c r="AD12">
        <f>'Input Scenarios'!AD9</f>
        <v>0.17</v>
      </c>
      <c r="AE12">
        <f>'Input Scenarios'!AE9</f>
        <v>0.23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15">I12*K12/6.25</f>
        <v>3.1312000000000002E-3</v>
      </c>
      <c r="AZ12">
        <f t="shared" ref="AZ12:AZ26" si="16">AY12*(1-L12)</f>
        <v>2.1292159999999997E-3</v>
      </c>
      <c r="BA12">
        <f t="shared" si="0"/>
        <v>532.30399999999997</v>
      </c>
      <c r="BB12">
        <f t="shared" si="1"/>
        <v>53.230400000000003</v>
      </c>
      <c r="BC12">
        <f t="shared" si="2"/>
        <v>106.46080000000001</v>
      </c>
      <c r="BD12">
        <f t="shared" si="3"/>
        <v>159.69119999999998</v>
      </c>
      <c r="BE12">
        <f t="shared" si="4"/>
        <v>212.92160000000001</v>
      </c>
      <c r="BF12">
        <f t="shared" si="5"/>
        <v>37.208049600000002</v>
      </c>
      <c r="BG12">
        <f t="shared" si="6"/>
        <v>101.03129920000001</v>
      </c>
      <c r="BH12">
        <f t="shared" si="7"/>
        <v>95.655028799999982</v>
      </c>
      <c r="BI12">
        <f t="shared" si="8"/>
        <v>35.084156639999996</v>
      </c>
      <c r="BJ12">
        <f t="shared" si="9"/>
        <v>46.77887552</v>
      </c>
      <c r="BK12">
        <f t="shared" si="10"/>
        <v>58.473594399999996</v>
      </c>
      <c r="BL12">
        <f t="shared" si="11"/>
        <v>39.762044192000005</v>
      </c>
      <c r="BM12">
        <f t="shared" si="12"/>
        <v>53.795706848000002</v>
      </c>
      <c r="BN12">
        <f t="shared" ref="BN12:BN26" si="17">BB12*AG12</f>
        <v>15.96912</v>
      </c>
      <c r="BO12">
        <f t="shared" ref="BO12:BO26" si="18">BC12*AH12</f>
        <v>5.3230400000000007</v>
      </c>
      <c r="BP12">
        <f t="shared" ref="BP12:BP26" si="19">BD12*AI12</f>
        <v>63.876479999999994</v>
      </c>
      <c r="BQ12">
        <f t="shared" ref="BQ12:BQ26" si="20">BI12*AO12</f>
        <v>7.0168313279999994</v>
      </c>
      <c r="BR12">
        <f t="shared" ref="BR12:BR26" si="21">BJ12*AP12</f>
        <v>9.355775104000001</v>
      </c>
      <c r="BS12">
        <f t="shared" ref="BS12:BS26" si="22">BK12*AQ12</f>
        <v>0</v>
      </c>
      <c r="BT12">
        <f t="shared" ref="BT12:BT26" si="23">BL12*AR12</f>
        <v>0</v>
      </c>
      <c r="BU12">
        <f t="shared" ref="BU12:BU26" si="24">SUM(BN12:BT12)</f>
        <v>101.54124643199999</v>
      </c>
      <c r="BV12">
        <f>Constants!$K$2</f>
        <v>0.21</v>
      </c>
      <c r="BW12">
        <f t="shared" ref="BW12:BW26" si="25">BE12*BV12</f>
        <v>44.713535999999998</v>
      </c>
      <c r="BX12">
        <f>IF(C12="", "", _xlfn.XLOOKUP(C12,Constants!$A$20:$A$24,Constants!$B$20:$B$24))</f>
        <v>1.8E-3</v>
      </c>
      <c r="BY12">
        <f>IF(BU12="","",Constants!$J$2)</f>
        <v>1.57</v>
      </c>
      <c r="BZ12">
        <f t="shared" ref="BZ12:BZ26" si="26">BU12*BX12*BY12</f>
        <v>0.28695556241683196</v>
      </c>
      <c r="CA12">
        <f t="shared" ref="CA12:CA26" si="27">BW12*BX12*BY12</f>
        <v>0.126360452736</v>
      </c>
    </row>
    <row r="13" spans="1:88" x14ac:dyDescent="0.2">
      <c r="A13" t="str">
        <f>'Input Scenarios'!A10</f>
        <v>NSW</v>
      </c>
      <c r="B13">
        <f>'Input Scenarios'!B10</f>
        <v>0</v>
      </c>
      <c r="C13" t="str">
        <f>'Input Scenarios'!C10</f>
        <v>Non-irrigated pasture</v>
      </c>
      <c r="D13" t="str">
        <f>'Input Scenarios'!D10</f>
        <v>wet</v>
      </c>
      <c r="E13" t="b">
        <f>'Input Scenarios'!E10</f>
        <v>1</v>
      </c>
      <c r="F13" t="str">
        <f>'Input Scenarios'!F10</f>
        <v>meatChickenGrowers</v>
      </c>
      <c r="G13">
        <f>'Input Scenarios'!G10</f>
        <v>5000</v>
      </c>
      <c r="H13">
        <f>'Input Scenarios'!H10</f>
        <v>50</v>
      </c>
      <c r="I13">
        <f>IF('Input Scenarios'!I10&lt;&gt;"", 'Input Scenarios'!I10,_xlfn.XLOOKUP($F13,Constants!$A$2:$A$5,Constants!B$2:B$5))</f>
        <v>9.2999999999999999E-2</v>
      </c>
      <c r="J13">
        <f>IF('Input Scenarios'!J10&lt;&gt;"", 'Input Scenarios'!J10,_xlfn.XLOOKUP($F13,Constants!$A$2:$A$5,Constants!C$2:C$5))</f>
        <v>0.8</v>
      </c>
      <c r="K13">
        <f>IF('Input Scenarios'!K10&lt;&gt;"", 'Input Scenarios'!K10,_xlfn.XLOOKUP($F13,Constants!$A$2:$A$5,Constants!D$2:D$5))</f>
        <v>0.23</v>
      </c>
      <c r="L13">
        <f>IF('Input Scenarios'!L10&lt;&gt;"", 'Input Scenarios'!L10,_xlfn.XLOOKUP($F13,Constants!$A$2:$A$5,Constants!E$2:E$5))</f>
        <v>0.47</v>
      </c>
      <c r="M13">
        <f>'Input Scenarios'!M10</f>
        <v>0.1</v>
      </c>
      <c r="N13">
        <f>'Input Scenarios'!N10</f>
        <v>0.2</v>
      </c>
      <c r="O13">
        <f>'Input Scenarios'!O10</f>
        <v>0.3</v>
      </c>
      <c r="P13">
        <f>'Input Scenarios'!P10</f>
        <v>0.4</v>
      </c>
      <c r="Q13">
        <f>'Input Scenarios'!Q10</f>
        <v>0.15</v>
      </c>
      <c r="R13">
        <f>'Input Scenarios'!R10</f>
        <v>0.2</v>
      </c>
      <c r="S13">
        <f>'Input Scenarios'!S10</f>
        <v>0.25</v>
      </c>
      <c r="T13">
        <f>'Input Scenarios'!T10</f>
        <v>0.17</v>
      </c>
      <c r="U13">
        <f>'Input Scenarios'!U10</f>
        <v>0.23</v>
      </c>
      <c r="V13">
        <f>'Input Scenarios'!V10</f>
        <v>0.15</v>
      </c>
      <c r="W13">
        <f>'Input Scenarios'!W10</f>
        <v>0.2</v>
      </c>
      <c r="X13">
        <f>'Input Scenarios'!X10</f>
        <v>0.25</v>
      </c>
      <c r="Y13">
        <f>'Input Scenarios'!Y10</f>
        <v>0.17</v>
      </c>
      <c r="Z13">
        <f>'Input Scenarios'!Z10</f>
        <v>0.23</v>
      </c>
      <c r="AA13">
        <f>'Input Scenarios'!AA10</f>
        <v>0.15</v>
      </c>
      <c r="AB13">
        <f>'Input Scenarios'!AB10</f>
        <v>0.2</v>
      </c>
      <c r="AC13">
        <f>'Input Scenarios'!AC10</f>
        <v>0.25</v>
      </c>
      <c r="AD13">
        <f>'Input Scenarios'!AD10</f>
        <v>0.17</v>
      </c>
      <c r="AE13">
        <f>'Input Scenarios'!AE10</f>
        <v>0.23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15"/>
        <v>3.4223999999999999E-3</v>
      </c>
      <c r="AZ13">
        <f t="shared" si="16"/>
        <v>1.813872E-3</v>
      </c>
      <c r="BA13">
        <f t="shared" si="0"/>
        <v>453.46799999999996</v>
      </c>
      <c r="BB13">
        <f t="shared" si="1"/>
        <v>45.346800000000002</v>
      </c>
      <c r="BC13">
        <f t="shared" si="2"/>
        <v>90.693600000000004</v>
      </c>
      <c r="BD13">
        <f t="shared" si="3"/>
        <v>136.04039999999998</v>
      </c>
      <c r="BE13">
        <f t="shared" si="4"/>
        <v>181.38720000000001</v>
      </c>
      <c r="BF13">
        <f t="shared" si="5"/>
        <v>31.6974132</v>
      </c>
      <c r="BG13">
        <f t="shared" si="6"/>
        <v>86.0682264</v>
      </c>
      <c r="BH13">
        <f t="shared" si="7"/>
        <v>81.488199599999987</v>
      </c>
      <c r="BI13">
        <f t="shared" si="8"/>
        <v>29.888075879999995</v>
      </c>
      <c r="BJ13">
        <f t="shared" si="9"/>
        <v>39.850767840000003</v>
      </c>
      <c r="BK13">
        <f t="shared" si="10"/>
        <v>49.813459799999997</v>
      </c>
      <c r="BL13">
        <f t="shared" si="11"/>
        <v>33.873152664000003</v>
      </c>
      <c r="BM13">
        <f t="shared" si="12"/>
        <v>45.828383016000004</v>
      </c>
      <c r="BN13">
        <f t="shared" si="17"/>
        <v>13.604039999999999</v>
      </c>
      <c r="BO13">
        <f t="shared" si="18"/>
        <v>4.5346800000000007</v>
      </c>
      <c r="BP13">
        <f t="shared" si="19"/>
        <v>54.416159999999991</v>
      </c>
      <c r="BQ13">
        <f t="shared" si="20"/>
        <v>5.9776151759999996</v>
      </c>
      <c r="BR13">
        <f t="shared" si="21"/>
        <v>7.9701535680000006</v>
      </c>
      <c r="BS13">
        <f t="shared" si="22"/>
        <v>0</v>
      </c>
      <c r="BT13">
        <f t="shared" si="23"/>
        <v>0</v>
      </c>
      <c r="BU13">
        <f t="shared" si="24"/>
        <v>86.502648743999998</v>
      </c>
      <c r="BV13">
        <f>Constants!$K$2</f>
        <v>0.21</v>
      </c>
      <c r="BW13">
        <f t="shared" si="25"/>
        <v>38.091312000000002</v>
      </c>
      <c r="BX13">
        <f>IF(C13="", "", _xlfn.XLOOKUP(C13,Constants!$A$20:$A$24,Constants!$B$20:$B$24))</f>
        <v>1.8E-3</v>
      </c>
      <c r="BY13">
        <f>IF(BU13="","",Constants!$J$2)</f>
        <v>1.57</v>
      </c>
      <c r="BZ13">
        <f t="shared" si="26"/>
        <v>0.24445648535054401</v>
      </c>
      <c r="CA13">
        <f t="shared" si="27"/>
        <v>0.107646047712</v>
      </c>
    </row>
    <row r="14" spans="1:88" x14ac:dyDescent="0.2">
      <c r="A14" s="11" t="str">
        <f>'Input Scenarios'!A11</f>
        <v>NSW</v>
      </c>
      <c r="B14" s="11">
        <f>'Input Scenarios'!B11</f>
        <v>0</v>
      </c>
      <c r="C14" s="11" t="str">
        <f>'Input Scenarios'!C11</f>
        <v>Non-irrigated pasture</v>
      </c>
      <c r="D14" s="11" t="str">
        <f>'Input Scenarios'!D11</f>
        <v>wet</v>
      </c>
      <c r="E14" s="11" t="b">
        <f>'Input Scenarios'!E11</f>
        <v>1</v>
      </c>
      <c r="F14" s="11" t="str">
        <f>'Input Scenarios'!F11</f>
        <v>meatOther</v>
      </c>
      <c r="G14" s="11">
        <f>'Input Scenarios'!G11</f>
        <v>5000</v>
      </c>
      <c r="H14" s="11">
        <f>'Input Scenarios'!H11</f>
        <v>50</v>
      </c>
      <c r="I14">
        <f>IF('Input Scenarios'!I11&lt;&gt;"", 'Input Scenarios'!I11,_xlfn.XLOOKUP($F14,Constants!$A$2:$A$5,Constants!B$2:B$5))</f>
        <v>9.2999999999999999E-2</v>
      </c>
      <c r="J14">
        <f>IF('Input Scenarios'!J11&lt;&gt;"", 'Input Scenarios'!J11,_xlfn.XLOOKUP($F14,Constants!$A$2:$A$5,Constants!C$2:C$5))</f>
        <v>0.8</v>
      </c>
      <c r="K14">
        <f>IF('Input Scenarios'!K11&lt;&gt;"", 'Input Scenarios'!K11,_xlfn.XLOOKUP($F14,Constants!$A$2:$A$5,Constants!D$2:D$5))</f>
        <v>0.23</v>
      </c>
      <c r="L14">
        <f>IF('Input Scenarios'!L11&lt;&gt;"", 'Input Scenarios'!L11,_xlfn.XLOOKUP($F14,Constants!$A$2:$A$5,Constants!E$2:E$5))</f>
        <v>0.47</v>
      </c>
      <c r="M14" s="11">
        <f>'Input Scenarios'!M11</f>
        <v>0.1</v>
      </c>
      <c r="N14" s="11">
        <f>'Input Scenarios'!N11</f>
        <v>0.2</v>
      </c>
      <c r="O14" s="11">
        <f>'Input Scenarios'!O11</f>
        <v>0.3</v>
      </c>
      <c r="P14" s="11">
        <f>'Input Scenarios'!P11</f>
        <v>0.4</v>
      </c>
      <c r="Q14" s="11">
        <f>'Input Scenarios'!Q11</f>
        <v>0.15</v>
      </c>
      <c r="R14" s="11">
        <f>'Input Scenarios'!R11</f>
        <v>0.2</v>
      </c>
      <c r="S14" s="11">
        <f>'Input Scenarios'!S11</f>
        <v>0.25</v>
      </c>
      <c r="T14" s="11">
        <f>'Input Scenarios'!T11</f>
        <v>0.17</v>
      </c>
      <c r="U14" s="11">
        <f>'Input Scenarios'!U11</f>
        <v>0.23</v>
      </c>
      <c r="V14" s="11">
        <f>'Input Scenarios'!V11</f>
        <v>0.15</v>
      </c>
      <c r="W14" s="11">
        <f>'Input Scenarios'!W11</f>
        <v>0.2</v>
      </c>
      <c r="X14" s="11">
        <f>'Input Scenarios'!X11</f>
        <v>0.25</v>
      </c>
      <c r="Y14" s="11">
        <f>'Input Scenarios'!Y11</f>
        <v>0.17</v>
      </c>
      <c r="Z14" s="11">
        <f>'Input Scenarios'!Z11</f>
        <v>0.23</v>
      </c>
      <c r="AA14" s="11">
        <f>'Input Scenarios'!AA11</f>
        <v>0.15</v>
      </c>
      <c r="AB14" s="11">
        <f>'Input Scenarios'!AB11</f>
        <v>0.2</v>
      </c>
      <c r="AC14" s="11">
        <f>'Input Scenarios'!AC11</f>
        <v>0.25</v>
      </c>
      <c r="AD14" s="11">
        <f>'Input Scenarios'!AD11</f>
        <v>0.17</v>
      </c>
      <c r="AE14" s="11">
        <f>'Input Scenarios'!AE11</f>
        <v>0.23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15"/>
        <v>3.4223999999999999E-3</v>
      </c>
      <c r="AZ14">
        <f t="shared" si="16"/>
        <v>1.813872E-3</v>
      </c>
      <c r="BA14">
        <f t="shared" si="0"/>
        <v>453.46799999999996</v>
      </c>
      <c r="BB14">
        <f t="shared" si="1"/>
        <v>45.346800000000002</v>
      </c>
      <c r="BC14">
        <f t="shared" si="2"/>
        <v>90.693600000000004</v>
      </c>
      <c r="BD14">
        <f t="shared" si="3"/>
        <v>136.04039999999998</v>
      </c>
      <c r="BE14">
        <f t="shared" si="4"/>
        <v>181.38720000000001</v>
      </c>
      <c r="BF14">
        <f t="shared" si="5"/>
        <v>31.6974132</v>
      </c>
      <c r="BG14">
        <f t="shared" si="6"/>
        <v>86.0682264</v>
      </c>
      <c r="BH14">
        <f t="shared" si="7"/>
        <v>81.488199599999987</v>
      </c>
      <c r="BI14">
        <f t="shared" si="8"/>
        <v>29.888075879999995</v>
      </c>
      <c r="BJ14">
        <f t="shared" si="9"/>
        <v>39.850767840000003</v>
      </c>
      <c r="BK14">
        <f t="shared" si="10"/>
        <v>49.813459799999997</v>
      </c>
      <c r="BL14">
        <f t="shared" si="11"/>
        <v>33.873152664000003</v>
      </c>
      <c r="BM14">
        <f t="shared" si="12"/>
        <v>45.828383016000004</v>
      </c>
      <c r="BN14">
        <f t="shared" si="17"/>
        <v>13.604039999999999</v>
      </c>
      <c r="BO14">
        <f t="shared" si="18"/>
        <v>4.5346800000000007</v>
      </c>
      <c r="BP14">
        <f t="shared" si="19"/>
        <v>54.416159999999991</v>
      </c>
      <c r="BQ14">
        <f t="shared" si="20"/>
        <v>5.9776151759999996</v>
      </c>
      <c r="BR14">
        <f t="shared" si="21"/>
        <v>7.9701535680000006</v>
      </c>
      <c r="BS14">
        <f t="shared" si="22"/>
        <v>0</v>
      </c>
      <c r="BT14">
        <f t="shared" si="23"/>
        <v>0</v>
      </c>
      <c r="BU14">
        <f t="shared" si="24"/>
        <v>86.502648743999998</v>
      </c>
      <c r="BV14">
        <f>Constants!$K$2</f>
        <v>0.21</v>
      </c>
      <c r="BW14">
        <f t="shared" si="25"/>
        <v>38.091312000000002</v>
      </c>
      <c r="BX14">
        <f>IF(C14="", "", _xlfn.XLOOKUP(C14,Constants!$A$20:$A$24,Constants!$B$20:$B$24))</f>
        <v>1.8E-3</v>
      </c>
      <c r="BY14">
        <f>IF(BU14="","",Constants!$J$2)</f>
        <v>1.57</v>
      </c>
      <c r="BZ14">
        <f t="shared" si="26"/>
        <v>0.24445648535054401</v>
      </c>
      <c r="CA14">
        <f t="shared" si="27"/>
        <v>0.107646047712</v>
      </c>
    </row>
    <row r="15" spans="1:88" s="11" customFormat="1" x14ac:dyDescent="0.2">
      <c r="A15" t="str">
        <f>'Input Scenarios'!A12</f>
        <v>QLD</v>
      </c>
      <c r="B15">
        <f>'Input Scenarios'!B12</f>
        <v>0</v>
      </c>
      <c r="C15" t="str">
        <f>'Input Scenarios'!C12</f>
        <v>Irrigated crop</v>
      </c>
      <c r="D15" t="str">
        <f>'Input Scenarios'!D12</f>
        <v>dry</v>
      </c>
      <c r="E15" t="b">
        <f>'Input Scenarios'!E12</f>
        <v>1</v>
      </c>
      <c r="F15" t="str">
        <f>'Input Scenarios'!F12</f>
        <v>layers</v>
      </c>
      <c r="G15">
        <f>'Input Scenarios'!G12</f>
        <v>2250</v>
      </c>
      <c r="H15">
        <f>'Input Scenarios'!H12</f>
        <v>125</v>
      </c>
      <c r="I15">
        <f>IF('Input Scenarios'!I12&lt;&gt;"", 'Input Scenarios'!I12,_xlfn.XLOOKUP($F15,Constants!$A$2:$A$5,Constants!B$2:B$5))</f>
        <v>8.5999999999999993E-2</v>
      </c>
      <c r="J15">
        <f>IF('Input Scenarios'!J12&lt;&gt;"", 'Input Scenarios'!J12,_xlfn.XLOOKUP($F15,Constants!$A$2:$A$5,Constants!C$2:C$5))</f>
        <v>0.8</v>
      </c>
      <c r="K15">
        <f>IF('Input Scenarios'!K12&lt;&gt;"", 'Input Scenarios'!K12,_xlfn.XLOOKUP($F15,Constants!$A$2:$A$5,Constants!D$2:D$5))</f>
        <v>0.19</v>
      </c>
      <c r="L15">
        <f>IF('Input Scenarios'!L12&lt;&gt;"", 'Input Scenarios'!L12,_xlfn.XLOOKUP($F15,Constants!$A$2:$A$5,Constants!E$2:E$5))</f>
        <v>0.35</v>
      </c>
      <c r="M15">
        <f>'Input Scenarios'!M12</f>
        <v>0.4</v>
      </c>
      <c r="N15">
        <f>'Input Scenarios'!N12</f>
        <v>0.3</v>
      </c>
      <c r="O15">
        <f>'Input Scenarios'!O12</f>
        <v>0.2</v>
      </c>
      <c r="P15">
        <f>'Input Scenarios'!P12</f>
        <v>0.1</v>
      </c>
      <c r="Q15">
        <f>'Input Scenarios'!Q12</f>
        <v>0.2</v>
      </c>
      <c r="R15">
        <f>'Input Scenarios'!R12</f>
        <v>0.25</v>
      </c>
      <c r="S15">
        <f>'Input Scenarios'!S12</f>
        <v>0.2</v>
      </c>
      <c r="T15">
        <f>'Input Scenarios'!T12</f>
        <v>0.25</v>
      </c>
      <c r="U15">
        <f>'Input Scenarios'!U12</f>
        <v>0.1</v>
      </c>
      <c r="V15">
        <f>'Input Scenarios'!V12</f>
        <v>0.2</v>
      </c>
      <c r="W15">
        <f>'Input Scenarios'!W12</f>
        <v>0.25</v>
      </c>
      <c r="X15">
        <f>'Input Scenarios'!X12</f>
        <v>0.2</v>
      </c>
      <c r="Y15">
        <f>'Input Scenarios'!Y12</f>
        <v>0.25</v>
      </c>
      <c r="Z15">
        <f>'Input Scenarios'!Z12</f>
        <v>0.1</v>
      </c>
      <c r="AA15">
        <f>'Input Scenarios'!AA12</f>
        <v>0.2</v>
      </c>
      <c r="AB15">
        <f>'Input Scenarios'!AB12</f>
        <v>0.25</v>
      </c>
      <c r="AC15">
        <f>'Input Scenarios'!AC12</f>
        <v>0.2</v>
      </c>
      <c r="AD15">
        <f>'Input Scenarios'!AD12</f>
        <v>0.25</v>
      </c>
      <c r="AE15">
        <f>'Input Scenarios'!AE12</f>
        <v>0.1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15"/>
        <v>2.6144000000000002E-3</v>
      </c>
      <c r="AZ15">
        <f t="shared" si="16"/>
        <v>1.6993600000000002E-3</v>
      </c>
      <c r="BA15">
        <f t="shared" si="0"/>
        <v>477.94500000000005</v>
      </c>
      <c r="BB15">
        <f t="shared" si="1"/>
        <v>191.17800000000003</v>
      </c>
      <c r="BC15">
        <f t="shared" si="2"/>
        <v>143.3835</v>
      </c>
      <c r="BD15">
        <f t="shared" si="3"/>
        <v>95.589000000000013</v>
      </c>
      <c r="BE15">
        <f t="shared" si="4"/>
        <v>47.794500000000006</v>
      </c>
      <c r="BF15">
        <f t="shared" si="5"/>
        <v>133.633422</v>
      </c>
      <c r="BG15">
        <f t="shared" si="6"/>
        <v>136.0709415</v>
      </c>
      <c r="BH15">
        <f t="shared" si="7"/>
        <v>57.257811000000004</v>
      </c>
      <c r="BI15">
        <f t="shared" si="8"/>
        <v>65.392434899999998</v>
      </c>
      <c r="BJ15">
        <f t="shared" si="9"/>
        <v>81.740543625000001</v>
      </c>
      <c r="BK15">
        <f t="shared" si="10"/>
        <v>65.392434899999998</v>
      </c>
      <c r="BL15">
        <f t="shared" si="11"/>
        <v>81.740543625000001</v>
      </c>
      <c r="BM15">
        <f t="shared" si="12"/>
        <v>32.696217449999999</v>
      </c>
      <c r="BN15">
        <f t="shared" si="17"/>
        <v>57.353400000000008</v>
      </c>
      <c r="BO15">
        <f t="shared" si="18"/>
        <v>7.1691750000000001</v>
      </c>
      <c r="BP15">
        <f t="shared" si="19"/>
        <v>38.235600000000005</v>
      </c>
      <c r="BQ15">
        <f t="shared" si="20"/>
        <v>13.078486980000001</v>
      </c>
      <c r="BR15">
        <f t="shared" si="21"/>
        <v>16.348108724999999</v>
      </c>
      <c r="BS15">
        <f t="shared" si="22"/>
        <v>0</v>
      </c>
      <c r="BT15">
        <f t="shared" si="23"/>
        <v>0</v>
      </c>
      <c r="BU15">
        <f t="shared" si="24"/>
        <v>132.18477070500001</v>
      </c>
      <c r="BV15">
        <f>Constants!$K$2</f>
        <v>0.21</v>
      </c>
      <c r="BW15">
        <f t="shared" si="25"/>
        <v>10.036845000000001</v>
      </c>
      <c r="BX15">
        <f>IF(C15="", "", _xlfn.XLOOKUP(C15,Constants!$A$20:$A$24,Constants!$B$20:$B$24))</f>
        <v>7.0000000000000001E-3</v>
      </c>
      <c r="BY15">
        <f>IF(BU15="","",Constants!$J$2)</f>
        <v>1.57</v>
      </c>
      <c r="BZ15">
        <f t="shared" si="26"/>
        <v>1.4527106300479502</v>
      </c>
      <c r="CA15">
        <f t="shared" si="27"/>
        <v>0.11030492655000002</v>
      </c>
      <c r="CB15">
        <f>SUM(BZ15:CA18)/1000</f>
        <v>6.8580784265679E-3</v>
      </c>
      <c r="CC15"/>
      <c r="CD15"/>
      <c r="CE15"/>
      <c r="CF15"/>
      <c r="CG15"/>
      <c r="CH15"/>
      <c r="CI15"/>
      <c r="CJ15"/>
    </row>
    <row r="16" spans="1:88" x14ac:dyDescent="0.2">
      <c r="A16" t="str">
        <f>'Input Scenarios'!A13</f>
        <v>QLD</v>
      </c>
      <c r="B16">
        <f>'Input Scenarios'!B13</f>
        <v>0</v>
      </c>
      <c r="C16" t="str">
        <f>'Input Scenarios'!C13</f>
        <v>Irrigated crop</v>
      </c>
      <c r="D16" t="str">
        <f>'Input Scenarios'!D13</f>
        <v>dry</v>
      </c>
      <c r="E16" t="b">
        <f>'Input Scenarios'!E13</f>
        <v>1</v>
      </c>
      <c r="F16" t="str">
        <f>'Input Scenarios'!F13</f>
        <v>meatChickenBreeder</v>
      </c>
      <c r="G16">
        <f>'Input Scenarios'!G13</f>
        <v>2250</v>
      </c>
      <c r="H16">
        <f>'Input Scenarios'!H13</f>
        <v>125</v>
      </c>
      <c r="I16">
        <f>IF('Input Scenarios'!I13&lt;&gt;"", 'Input Scenarios'!I13,_xlfn.XLOOKUP($F16,Constants!$A$2:$A$5,Constants!B$2:B$5))</f>
        <v>0.10299999999999999</v>
      </c>
      <c r="J16">
        <f>IF('Input Scenarios'!J13&lt;&gt;"", 'Input Scenarios'!J13,_xlfn.XLOOKUP($F16,Constants!$A$2:$A$5,Constants!C$2:C$5))</f>
        <v>0.8</v>
      </c>
      <c r="K16">
        <f>IF('Input Scenarios'!K13&lt;&gt;"", 'Input Scenarios'!K13,_xlfn.XLOOKUP($F16,Constants!$A$2:$A$5,Constants!D$2:D$5))</f>
        <v>0.19</v>
      </c>
      <c r="L16">
        <f>IF('Input Scenarios'!L13&lt;&gt;"", 'Input Scenarios'!L13,_xlfn.XLOOKUP($F16,Constants!$A$2:$A$5,Constants!E$2:E$5))</f>
        <v>0.32</v>
      </c>
      <c r="M16">
        <f>'Input Scenarios'!M13</f>
        <v>0.4</v>
      </c>
      <c r="N16">
        <f>'Input Scenarios'!N13</f>
        <v>0.3</v>
      </c>
      <c r="O16">
        <f>'Input Scenarios'!O13</f>
        <v>0.2</v>
      </c>
      <c r="P16">
        <f>'Input Scenarios'!P13</f>
        <v>0.1</v>
      </c>
      <c r="Q16">
        <f>'Input Scenarios'!Q13</f>
        <v>0.2</v>
      </c>
      <c r="R16">
        <f>'Input Scenarios'!R13</f>
        <v>0.25</v>
      </c>
      <c r="S16">
        <f>'Input Scenarios'!S13</f>
        <v>0.2</v>
      </c>
      <c r="T16">
        <f>'Input Scenarios'!T13</f>
        <v>0.25</v>
      </c>
      <c r="U16">
        <f>'Input Scenarios'!U13</f>
        <v>0.1</v>
      </c>
      <c r="V16">
        <f>'Input Scenarios'!V13</f>
        <v>0.2</v>
      </c>
      <c r="W16">
        <f>'Input Scenarios'!W13</f>
        <v>0.25</v>
      </c>
      <c r="X16">
        <f>'Input Scenarios'!X13</f>
        <v>0.2</v>
      </c>
      <c r="Y16">
        <f>'Input Scenarios'!Y13</f>
        <v>0.25</v>
      </c>
      <c r="Z16">
        <f>'Input Scenarios'!Z13</f>
        <v>0.1</v>
      </c>
      <c r="AA16">
        <f>'Input Scenarios'!AA13</f>
        <v>0.2</v>
      </c>
      <c r="AB16">
        <f>'Input Scenarios'!AB13</f>
        <v>0.25</v>
      </c>
      <c r="AC16">
        <f>'Input Scenarios'!AC13</f>
        <v>0.2</v>
      </c>
      <c r="AD16">
        <f>'Input Scenarios'!AD13</f>
        <v>0.25</v>
      </c>
      <c r="AE16">
        <f>'Input Scenarios'!AE13</f>
        <v>0.1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15"/>
        <v>3.1312000000000002E-3</v>
      </c>
      <c r="AZ16">
        <f t="shared" si="16"/>
        <v>2.1292159999999997E-3</v>
      </c>
      <c r="BA16">
        <f t="shared" si="0"/>
        <v>598.84199999999987</v>
      </c>
      <c r="BB16">
        <f t="shared" si="1"/>
        <v>239.53679999999997</v>
      </c>
      <c r="BC16">
        <f t="shared" si="2"/>
        <v>179.65259999999995</v>
      </c>
      <c r="BD16">
        <f t="shared" si="3"/>
        <v>119.76839999999999</v>
      </c>
      <c r="BE16">
        <f t="shared" si="4"/>
        <v>59.884199999999993</v>
      </c>
      <c r="BF16">
        <f t="shared" si="5"/>
        <v>167.43622319999997</v>
      </c>
      <c r="BG16">
        <f t="shared" si="6"/>
        <v>170.49031739999995</v>
      </c>
      <c r="BH16">
        <f t="shared" si="7"/>
        <v>71.74127159999999</v>
      </c>
      <c r="BI16">
        <f t="shared" si="8"/>
        <v>81.933562439999974</v>
      </c>
      <c r="BJ16">
        <f t="shared" si="9"/>
        <v>102.41695304999999</v>
      </c>
      <c r="BK16">
        <f t="shared" si="10"/>
        <v>81.933562439999974</v>
      </c>
      <c r="BL16">
        <f t="shared" si="11"/>
        <v>102.41695304999999</v>
      </c>
      <c r="BM16">
        <f t="shared" si="12"/>
        <v>40.966781219999987</v>
      </c>
      <c r="BN16">
        <f t="shared" si="17"/>
        <v>71.861039999999988</v>
      </c>
      <c r="BO16">
        <f t="shared" si="18"/>
        <v>8.9826299999999986</v>
      </c>
      <c r="BP16">
        <f t="shared" si="19"/>
        <v>47.907359999999997</v>
      </c>
      <c r="BQ16">
        <f t="shared" si="20"/>
        <v>16.386712487999997</v>
      </c>
      <c r="BR16">
        <f t="shared" si="21"/>
        <v>20.483390610000001</v>
      </c>
      <c r="BS16">
        <f t="shared" si="22"/>
        <v>0</v>
      </c>
      <c r="BT16">
        <f t="shared" si="23"/>
        <v>0</v>
      </c>
      <c r="BU16">
        <f t="shared" si="24"/>
        <v>165.62113309799997</v>
      </c>
      <c r="BV16">
        <f>Constants!$K$2</f>
        <v>0.21</v>
      </c>
      <c r="BW16">
        <f t="shared" si="25"/>
        <v>12.575681999999999</v>
      </c>
      <c r="BX16">
        <f>IF(C16="", "", _xlfn.XLOOKUP(C16,Constants!$A$20:$A$24,Constants!$B$20:$B$24))</f>
        <v>7.0000000000000001E-3</v>
      </c>
      <c r="BY16">
        <f>IF(BU16="","",Constants!$J$2)</f>
        <v>1.57</v>
      </c>
      <c r="BZ16">
        <f t="shared" si="26"/>
        <v>1.8201762527470198</v>
      </c>
      <c r="CA16">
        <f t="shared" si="27"/>
        <v>0.13820674517999998</v>
      </c>
    </row>
    <row r="17" spans="1:88" x14ac:dyDescent="0.2">
      <c r="A17" t="str">
        <f>'Input Scenarios'!A14</f>
        <v>QLD</v>
      </c>
      <c r="B17">
        <f>'Input Scenarios'!B14</f>
        <v>0</v>
      </c>
      <c r="C17" t="str">
        <f>'Input Scenarios'!C14</f>
        <v>Irrigated crop</v>
      </c>
      <c r="D17" t="str">
        <f>'Input Scenarios'!D14</f>
        <v>dry</v>
      </c>
      <c r="E17" t="b">
        <f>'Input Scenarios'!E14</f>
        <v>1</v>
      </c>
      <c r="F17" t="str">
        <f>'Input Scenarios'!F14</f>
        <v>meatChickenGrowers</v>
      </c>
      <c r="G17">
        <f>'Input Scenarios'!G14</f>
        <v>2250</v>
      </c>
      <c r="H17">
        <f>'Input Scenarios'!H14</f>
        <v>125</v>
      </c>
      <c r="I17">
        <f>IF('Input Scenarios'!I14&lt;&gt;"", 'Input Scenarios'!I14,_xlfn.XLOOKUP($F17,Constants!$A$2:$A$5,Constants!B$2:B$5))</f>
        <v>9.2999999999999999E-2</v>
      </c>
      <c r="J17">
        <f>IF('Input Scenarios'!J14&lt;&gt;"", 'Input Scenarios'!J14,_xlfn.XLOOKUP($F17,Constants!$A$2:$A$5,Constants!C$2:C$5))</f>
        <v>0.8</v>
      </c>
      <c r="K17">
        <f>IF('Input Scenarios'!K14&lt;&gt;"", 'Input Scenarios'!K14,_xlfn.XLOOKUP($F17,Constants!$A$2:$A$5,Constants!D$2:D$5))</f>
        <v>0.23</v>
      </c>
      <c r="L17">
        <f>IF('Input Scenarios'!L14&lt;&gt;"", 'Input Scenarios'!L14,_xlfn.XLOOKUP($F17,Constants!$A$2:$A$5,Constants!E$2:E$5))</f>
        <v>0.47</v>
      </c>
      <c r="M17">
        <f>'Input Scenarios'!M14</f>
        <v>0.4</v>
      </c>
      <c r="N17">
        <f>'Input Scenarios'!N14</f>
        <v>0.3</v>
      </c>
      <c r="O17">
        <f>'Input Scenarios'!O14</f>
        <v>0.2</v>
      </c>
      <c r="P17">
        <f>'Input Scenarios'!P14</f>
        <v>0.1</v>
      </c>
      <c r="Q17">
        <f>'Input Scenarios'!Q14</f>
        <v>0.2</v>
      </c>
      <c r="R17">
        <f>'Input Scenarios'!R14</f>
        <v>0.25</v>
      </c>
      <c r="S17">
        <f>'Input Scenarios'!S14</f>
        <v>0.2</v>
      </c>
      <c r="T17">
        <f>'Input Scenarios'!T14</f>
        <v>0.25</v>
      </c>
      <c r="U17">
        <f>'Input Scenarios'!U14</f>
        <v>0.1</v>
      </c>
      <c r="V17">
        <f>'Input Scenarios'!V14</f>
        <v>0.2</v>
      </c>
      <c r="W17">
        <f>'Input Scenarios'!W14</f>
        <v>0.25</v>
      </c>
      <c r="X17">
        <f>'Input Scenarios'!X14</f>
        <v>0.2</v>
      </c>
      <c r="Y17">
        <f>'Input Scenarios'!Y14</f>
        <v>0.25</v>
      </c>
      <c r="Z17">
        <f>'Input Scenarios'!Z14</f>
        <v>0.1</v>
      </c>
      <c r="AA17">
        <f>'Input Scenarios'!AA14</f>
        <v>0.2</v>
      </c>
      <c r="AB17">
        <f>'Input Scenarios'!AB14</f>
        <v>0.25</v>
      </c>
      <c r="AC17">
        <f>'Input Scenarios'!AC14</f>
        <v>0.2</v>
      </c>
      <c r="AD17">
        <f>'Input Scenarios'!AD14</f>
        <v>0.25</v>
      </c>
      <c r="AE17">
        <f>'Input Scenarios'!AE14</f>
        <v>0.1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15"/>
        <v>3.4223999999999999E-3</v>
      </c>
      <c r="AZ17">
        <f t="shared" si="16"/>
        <v>1.813872E-3</v>
      </c>
      <c r="BA17">
        <f t="shared" si="0"/>
        <v>510.1515</v>
      </c>
      <c r="BB17">
        <f t="shared" si="1"/>
        <v>204.06060000000002</v>
      </c>
      <c r="BC17">
        <f t="shared" si="2"/>
        <v>153.04544999999999</v>
      </c>
      <c r="BD17">
        <f t="shared" si="3"/>
        <v>102.03030000000001</v>
      </c>
      <c r="BE17">
        <f t="shared" si="4"/>
        <v>51.015150000000006</v>
      </c>
      <c r="BF17">
        <f t="shared" si="5"/>
        <v>142.63835940000001</v>
      </c>
      <c r="BG17">
        <f t="shared" si="6"/>
        <v>145.24013204999997</v>
      </c>
      <c r="BH17">
        <f t="shared" si="7"/>
        <v>61.116149700000001</v>
      </c>
      <c r="BI17">
        <f t="shared" si="8"/>
        <v>69.798928230000001</v>
      </c>
      <c r="BJ17">
        <f t="shared" si="9"/>
        <v>87.248660287499987</v>
      </c>
      <c r="BK17">
        <f t="shared" si="10"/>
        <v>69.798928230000001</v>
      </c>
      <c r="BL17">
        <f t="shared" si="11"/>
        <v>87.248660287499987</v>
      </c>
      <c r="BM17">
        <f t="shared" si="12"/>
        <v>34.899464115000001</v>
      </c>
      <c r="BN17">
        <f t="shared" si="17"/>
        <v>61.218180000000004</v>
      </c>
      <c r="BO17">
        <f t="shared" si="18"/>
        <v>7.6522724999999996</v>
      </c>
      <c r="BP17">
        <f t="shared" si="19"/>
        <v>40.812120000000007</v>
      </c>
      <c r="BQ17">
        <f t="shared" si="20"/>
        <v>13.959785646</v>
      </c>
      <c r="BR17">
        <f t="shared" si="21"/>
        <v>17.449732057499997</v>
      </c>
      <c r="BS17">
        <f t="shared" si="22"/>
        <v>0</v>
      </c>
      <c r="BT17">
        <f t="shared" si="23"/>
        <v>0</v>
      </c>
      <c r="BU17">
        <f t="shared" si="24"/>
        <v>141.09209020349999</v>
      </c>
      <c r="BV17">
        <f>Constants!$K$2</f>
        <v>0.21</v>
      </c>
      <c r="BW17">
        <f t="shared" si="25"/>
        <v>10.713181500000001</v>
      </c>
      <c r="BX17">
        <f>IF(C17="", "", _xlfn.XLOOKUP(C17,Constants!$A$20:$A$24,Constants!$B$20:$B$24))</f>
        <v>7.0000000000000001E-3</v>
      </c>
      <c r="BY17">
        <f>IF(BU17="","",Constants!$J$2)</f>
        <v>1.57</v>
      </c>
      <c r="BZ17">
        <f t="shared" si="26"/>
        <v>1.550602071336465</v>
      </c>
      <c r="CA17">
        <f t="shared" si="27"/>
        <v>0.11773786468500003</v>
      </c>
    </row>
    <row r="18" spans="1:88" x14ac:dyDescent="0.2">
      <c r="A18" s="11" t="str">
        <f>'Input Scenarios'!A15</f>
        <v>QLD</v>
      </c>
      <c r="B18" s="11">
        <f>'Input Scenarios'!B15</f>
        <v>0</v>
      </c>
      <c r="C18" s="11" t="str">
        <f>'Input Scenarios'!C15</f>
        <v>Irrigated crop</v>
      </c>
      <c r="D18" s="11" t="str">
        <f>'Input Scenarios'!D15</f>
        <v>dry</v>
      </c>
      <c r="E18" s="11" t="b">
        <f>'Input Scenarios'!E15</f>
        <v>1</v>
      </c>
      <c r="F18" s="11" t="str">
        <f>'Input Scenarios'!F15</f>
        <v>meatOther</v>
      </c>
      <c r="G18" s="11">
        <f>'Input Scenarios'!G15</f>
        <v>2250</v>
      </c>
      <c r="H18" s="11">
        <f>'Input Scenarios'!H15</f>
        <v>125</v>
      </c>
      <c r="I18">
        <f>IF('Input Scenarios'!I15&lt;&gt;"", 'Input Scenarios'!I15,_xlfn.XLOOKUP($F18,Constants!$A$2:$A$5,Constants!B$2:B$5))</f>
        <v>9.2999999999999999E-2</v>
      </c>
      <c r="J18">
        <f>IF('Input Scenarios'!J15&lt;&gt;"", 'Input Scenarios'!J15,_xlfn.XLOOKUP($F18,Constants!$A$2:$A$5,Constants!C$2:C$5))</f>
        <v>0.8</v>
      </c>
      <c r="K18">
        <f>IF('Input Scenarios'!K15&lt;&gt;"", 'Input Scenarios'!K15,_xlfn.XLOOKUP($F18,Constants!$A$2:$A$5,Constants!D$2:D$5))</f>
        <v>0.23</v>
      </c>
      <c r="L18">
        <f>IF('Input Scenarios'!L15&lt;&gt;"", 'Input Scenarios'!L15,_xlfn.XLOOKUP($F18,Constants!$A$2:$A$5,Constants!E$2:E$5))</f>
        <v>0.47</v>
      </c>
      <c r="M18" s="11">
        <f>'Input Scenarios'!M15</f>
        <v>0.4</v>
      </c>
      <c r="N18" s="11">
        <f>'Input Scenarios'!N15</f>
        <v>0.3</v>
      </c>
      <c r="O18" s="11">
        <f>'Input Scenarios'!O15</f>
        <v>0.2</v>
      </c>
      <c r="P18" s="11">
        <f>'Input Scenarios'!P15</f>
        <v>0.1</v>
      </c>
      <c r="Q18" s="11">
        <f>'Input Scenarios'!Q15</f>
        <v>0.2</v>
      </c>
      <c r="R18" s="11">
        <f>'Input Scenarios'!R15</f>
        <v>0.25</v>
      </c>
      <c r="S18" s="11">
        <f>'Input Scenarios'!S15</f>
        <v>0.2</v>
      </c>
      <c r="T18" s="11">
        <f>'Input Scenarios'!T15</f>
        <v>0.25</v>
      </c>
      <c r="U18" s="11">
        <f>'Input Scenarios'!U15</f>
        <v>0.1</v>
      </c>
      <c r="V18" s="11">
        <f>'Input Scenarios'!V15</f>
        <v>0.2</v>
      </c>
      <c r="W18" s="11">
        <f>'Input Scenarios'!W15</f>
        <v>0.25</v>
      </c>
      <c r="X18" s="11">
        <f>'Input Scenarios'!X15</f>
        <v>0.2</v>
      </c>
      <c r="Y18" s="11">
        <f>'Input Scenarios'!Y15</f>
        <v>0.25</v>
      </c>
      <c r="Z18" s="11">
        <f>'Input Scenarios'!Z15</f>
        <v>0.1</v>
      </c>
      <c r="AA18" s="11">
        <f>'Input Scenarios'!AA15</f>
        <v>0.2</v>
      </c>
      <c r="AB18" s="11">
        <f>'Input Scenarios'!AB15</f>
        <v>0.25</v>
      </c>
      <c r="AC18" s="11">
        <f>'Input Scenarios'!AC15</f>
        <v>0.2</v>
      </c>
      <c r="AD18" s="11">
        <f>'Input Scenarios'!AD15</f>
        <v>0.25</v>
      </c>
      <c r="AE18" s="11">
        <f>'Input Scenarios'!AE15</f>
        <v>0.1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15"/>
        <v>3.4223999999999999E-3</v>
      </c>
      <c r="AZ18">
        <f t="shared" si="16"/>
        <v>1.813872E-3</v>
      </c>
      <c r="BA18">
        <f t="shared" si="0"/>
        <v>510.1515</v>
      </c>
      <c r="BB18">
        <f t="shared" si="1"/>
        <v>204.06060000000002</v>
      </c>
      <c r="BC18">
        <f t="shared" si="2"/>
        <v>153.04544999999999</v>
      </c>
      <c r="BD18">
        <f t="shared" si="3"/>
        <v>102.03030000000001</v>
      </c>
      <c r="BE18">
        <f t="shared" si="4"/>
        <v>51.015150000000006</v>
      </c>
      <c r="BF18">
        <f t="shared" si="5"/>
        <v>142.63835940000001</v>
      </c>
      <c r="BG18">
        <f t="shared" si="6"/>
        <v>145.24013204999997</v>
      </c>
      <c r="BH18">
        <f t="shared" si="7"/>
        <v>61.116149700000001</v>
      </c>
      <c r="BI18">
        <f t="shared" si="8"/>
        <v>69.798928230000001</v>
      </c>
      <c r="BJ18">
        <f t="shared" si="9"/>
        <v>87.248660287499987</v>
      </c>
      <c r="BK18">
        <f t="shared" si="10"/>
        <v>69.798928230000001</v>
      </c>
      <c r="BL18">
        <f t="shared" si="11"/>
        <v>87.248660287499987</v>
      </c>
      <c r="BM18">
        <f t="shared" si="12"/>
        <v>34.899464115000001</v>
      </c>
      <c r="BN18">
        <f t="shared" si="17"/>
        <v>61.218180000000004</v>
      </c>
      <c r="BO18">
        <f t="shared" si="18"/>
        <v>7.6522724999999996</v>
      </c>
      <c r="BP18">
        <f t="shared" si="19"/>
        <v>40.812120000000007</v>
      </c>
      <c r="BQ18">
        <f t="shared" si="20"/>
        <v>13.959785646</v>
      </c>
      <c r="BR18">
        <f t="shared" si="21"/>
        <v>17.449732057499997</v>
      </c>
      <c r="BS18">
        <f t="shared" si="22"/>
        <v>0</v>
      </c>
      <c r="BT18">
        <f t="shared" si="23"/>
        <v>0</v>
      </c>
      <c r="BU18">
        <f t="shared" si="24"/>
        <v>141.09209020349999</v>
      </c>
      <c r="BV18">
        <f>Constants!$K$2</f>
        <v>0.21</v>
      </c>
      <c r="BW18">
        <f t="shared" si="25"/>
        <v>10.713181500000001</v>
      </c>
      <c r="BX18">
        <f>IF(C18="", "", _xlfn.XLOOKUP(C18,Constants!$A$20:$A$24,Constants!$B$20:$B$24))</f>
        <v>7.0000000000000001E-3</v>
      </c>
      <c r="BY18">
        <f>IF(BU18="","",Constants!$J$2)</f>
        <v>1.57</v>
      </c>
      <c r="BZ18">
        <f t="shared" si="26"/>
        <v>1.550602071336465</v>
      </c>
      <c r="CA18">
        <f t="shared" si="27"/>
        <v>0.11773786468500003</v>
      </c>
    </row>
    <row r="19" spans="1:88" x14ac:dyDescent="0.2">
      <c r="A19" t="str">
        <f>'Input Scenarios'!A16</f>
        <v>TAS</v>
      </c>
      <c r="B19">
        <f>'Input Scenarios'!B16</f>
        <v>0</v>
      </c>
      <c r="C19" t="str">
        <f>'Input Scenarios'!C16</f>
        <v>Irrigated pasture</v>
      </c>
      <c r="D19" t="str">
        <f>'Input Scenarios'!D16</f>
        <v>wet</v>
      </c>
      <c r="E19" t="b">
        <f>'Input Scenarios'!E16</f>
        <v>1</v>
      </c>
      <c r="F19" t="str">
        <f>'Input Scenarios'!F16</f>
        <v>layers</v>
      </c>
      <c r="G19">
        <f>'Input Scenarios'!G16</f>
        <v>3333</v>
      </c>
      <c r="H19">
        <f>'Input Scenarios'!H16</f>
        <v>111</v>
      </c>
      <c r="I19">
        <f>IF('Input Scenarios'!I16&lt;&gt;"", 'Input Scenarios'!I16,_xlfn.XLOOKUP($F19,Constants!$A$2:$A$5,Constants!B$2:B$5))</f>
        <v>8.5999999999999993E-2</v>
      </c>
      <c r="J19">
        <f>IF('Input Scenarios'!J16&lt;&gt;"", 'Input Scenarios'!J16,_xlfn.XLOOKUP($F19,Constants!$A$2:$A$5,Constants!C$2:C$5))</f>
        <v>0.8</v>
      </c>
      <c r="K19">
        <f>IF('Input Scenarios'!K16&lt;&gt;"", 'Input Scenarios'!K16,_xlfn.XLOOKUP($F19,Constants!$A$2:$A$5,Constants!D$2:D$5))</f>
        <v>0.19</v>
      </c>
      <c r="L19">
        <f>IF('Input Scenarios'!L16&lt;&gt;"", 'Input Scenarios'!L16,_xlfn.XLOOKUP($F19,Constants!$A$2:$A$5,Constants!E$2:E$5))</f>
        <v>0.35</v>
      </c>
      <c r="M19">
        <f>'Input Scenarios'!M16</f>
        <v>0</v>
      </c>
      <c r="N19">
        <f>'Input Scenarios'!N16</f>
        <v>0.9</v>
      </c>
      <c r="O19">
        <f>'Input Scenarios'!O16</f>
        <v>0</v>
      </c>
      <c r="P19">
        <f>'Input Scenarios'!P16</f>
        <v>0.1</v>
      </c>
      <c r="Q19">
        <f>'Input Scenarios'!Q16</f>
        <v>0.34</v>
      </c>
      <c r="R19">
        <f>'Input Scenarios'!R16</f>
        <v>0.6</v>
      </c>
      <c r="S19">
        <f>'Input Scenarios'!S16</f>
        <v>0</v>
      </c>
      <c r="T19">
        <f>'Input Scenarios'!T16</f>
        <v>0</v>
      </c>
      <c r="U19">
        <f>'Input Scenarios'!U16</f>
        <v>0.06</v>
      </c>
      <c r="V19">
        <f>'Input Scenarios'!V16</f>
        <v>0.34</v>
      </c>
      <c r="W19">
        <f>'Input Scenarios'!W16</f>
        <v>0.6</v>
      </c>
      <c r="X19">
        <f>'Input Scenarios'!X16</f>
        <v>0</v>
      </c>
      <c r="Y19">
        <f>'Input Scenarios'!Y16</f>
        <v>0</v>
      </c>
      <c r="Z19">
        <f>'Input Scenarios'!Z16</f>
        <v>0.06</v>
      </c>
      <c r="AA19">
        <f>'Input Scenarios'!AA16</f>
        <v>0.34</v>
      </c>
      <c r="AB19">
        <f>'Input Scenarios'!AB16</f>
        <v>0.6</v>
      </c>
      <c r="AC19">
        <f>'Input Scenarios'!AC16</f>
        <v>0</v>
      </c>
      <c r="AD19">
        <f>'Input Scenarios'!AD16</f>
        <v>0</v>
      </c>
      <c r="AE19">
        <f>'Input Scenarios'!AE16</f>
        <v>0.06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15"/>
        <v>2.6144000000000002E-3</v>
      </c>
      <c r="AZ19">
        <f t="shared" si="16"/>
        <v>1.6993600000000002E-3</v>
      </c>
      <c r="BA19">
        <f t="shared" si="0"/>
        <v>628.70032368000011</v>
      </c>
      <c r="BB19">
        <f t="shared" si="1"/>
        <v>0</v>
      </c>
      <c r="BC19">
        <f t="shared" si="2"/>
        <v>565.8302913120001</v>
      </c>
      <c r="BD19">
        <f t="shared" si="3"/>
        <v>0</v>
      </c>
      <c r="BE19">
        <f t="shared" si="4"/>
        <v>62.870032368000011</v>
      </c>
      <c r="BF19">
        <f t="shared" si="5"/>
        <v>0</v>
      </c>
      <c r="BG19">
        <f t="shared" si="6"/>
        <v>536.97294645508805</v>
      </c>
      <c r="BH19">
        <f t="shared" si="7"/>
        <v>0</v>
      </c>
      <c r="BI19">
        <f t="shared" si="8"/>
        <v>182.57080179472996</v>
      </c>
      <c r="BJ19">
        <f t="shared" si="9"/>
        <v>322.18376787305283</v>
      </c>
      <c r="BK19">
        <f t="shared" si="10"/>
        <v>0</v>
      </c>
      <c r="BL19">
        <f t="shared" si="11"/>
        <v>0</v>
      </c>
      <c r="BM19">
        <f t="shared" si="12"/>
        <v>32.218376787305282</v>
      </c>
      <c r="BN19">
        <f t="shared" si="17"/>
        <v>0</v>
      </c>
      <c r="BO19">
        <f t="shared" si="18"/>
        <v>28.291514565600007</v>
      </c>
      <c r="BP19">
        <f t="shared" si="19"/>
        <v>0</v>
      </c>
      <c r="BQ19">
        <f t="shared" si="20"/>
        <v>36.514160358945993</v>
      </c>
      <c r="BR19">
        <f t="shared" si="21"/>
        <v>64.436753574610563</v>
      </c>
      <c r="BS19">
        <f t="shared" si="22"/>
        <v>0</v>
      </c>
      <c r="BT19">
        <f t="shared" si="23"/>
        <v>0</v>
      </c>
      <c r="BU19">
        <f t="shared" si="24"/>
        <v>129.24242849915657</v>
      </c>
      <c r="BV19">
        <f>Constants!$K$2</f>
        <v>0.21</v>
      </c>
      <c r="BW19">
        <f t="shared" si="25"/>
        <v>13.202706797280001</v>
      </c>
      <c r="BX19">
        <f>IF(C19="", "", _xlfn.XLOOKUP(C19,Constants!$A$20:$A$24,Constants!$B$20:$B$24))</f>
        <v>5.8999999999999999E-3</v>
      </c>
      <c r="BY19">
        <f>IF(BU19="","",Constants!$J$2)</f>
        <v>1.57</v>
      </c>
      <c r="BZ19">
        <f t="shared" si="26"/>
        <v>1.1971726151876874</v>
      </c>
      <c r="CA19">
        <f t="shared" si="27"/>
        <v>0.12229667306320466</v>
      </c>
      <c r="CB19">
        <f>SUM(BZ19:CA22)/1000</f>
        <v>5.7894650005713266E-3</v>
      </c>
    </row>
    <row r="20" spans="1:88" s="11" customFormat="1" x14ac:dyDescent="0.2">
      <c r="A20" t="str">
        <f>'Input Scenarios'!A17</f>
        <v>TAS</v>
      </c>
      <c r="B20">
        <f>'Input Scenarios'!B17</f>
        <v>0</v>
      </c>
      <c r="C20" t="str">
        <f>'Input Scenarios'!C17</f>
        <v>Irrigated pasture</v>
      </c>
      <c r="D20" t="str">
        <f>'Input Scenarios'!D17</f>
        <v>wet</v>
      </c>
      <c r="E20" t="b">
        <f>'Input Scenarios'!E17</f>
        <v>1</v>
      </c>
      <c r="F20" t="str">
        <f>'Input Scenarios'!F17</f>
        <v>meatChickenBreeder</v>
      </c>
      <c r="G20">
        <f>'Input Scenarios'!G17</f>
        <v>3333</v>
      </c>
      <c r="H20">
        <f>'Input Scenarios'!H17</f>
        <v>111</v>
      </c>
      <c r="I20">
        <f>IF('Input Scenarios'!I17&lt;&gt;"", 'Input Scenarios'!I17,_xlfn.XLOOKUP($F20,Constants!$A$2:$A$5,Constants!B$2:B$5))</f>
        <v>0.10299999999999999</v>
      </c>
      <c r="J20">
        <f>IF('Input Scenarios'!J17&lt;&gt;"", 'Input Scenarios'!J17,_xlfn.XLOOKUP($F20,Constants!$A$2:$A$5,Constants!C$2:C$5))</f>
        <v>0.8</v>
      </c>
      <c r="K20">
        <f>IF('Input Scenarios'!K17&lt;&gt;"", 'Input Scenarios'!K17,_xlfn.XLOOKUP($F20,Constants!$A$2:$A$5,Constants!D$2:D$5))</f>
        <v>0.19</v>
      </c>
      <c r="L20">
        <f>IF('Input Scenarios'!L17&lt;&gt;"", 'Input Scenarios'!L17,_xlfn.XLOOKUP($F20,Constants!$A$2:$A$5,Constants!E$2:E$5))</f>
        <v>0.32</v>
      </c>
      <c r="M20">
        <f>'Input Scenarios'!M17</f>
        <v>0</v>
      </c>
      <c r="N20">
        <f>'Input Scenarios'!N17</f>
        <v>0.9</v>
      </c>
      <c r="O20">
        <f>'Input Scenarios'!O17</f>
        <v>0</v>
      </c>
      <c r="P20">
        <f>'Input Scenarios'!P17</f>
        <v>0.1</v>
      </c>
      <c r="Q20">
        <f>'Input Scenarios'!Q17</f>
        <v>0.34</v>
      </c>
      <c r="R20">
        <f>'Input Scenarios'!R17</f>
        <v>0.6</v>
      </c>
      <c r="S20">
        <f>'Input Scenarios'!S17</f>
        <v>0</v>
      </c>
      <c r="T20">
        <f>'Input Scenarios'!T17</f>
        <v>0</v>
      </c>
      <c r="U20">
        <f>'Input Scenarios'!U17</f>
        <v>0.06</v>
      </c>
      <c r="V20">
        <f>'Input Scenarios'!V17</f>
        <v>0.34</v>
      </c>
      <c r="W20">
        <f>'Input Scenarios'!W17</f>
        <v>0.6</v>
      </c>
      <c r="X20">
        <f>'Input Scenarios'!X17</f>
        <v>0</v>
      </c>
      <c r="Y20">
        <f>'Input Scenarios'!Y17</f>
        <v>0</v>
      </c>
      <c r="Z20">
        <f>'Input Scenarios'!Z17</f>
        <v>0.06</v>
      </c>
      <c r="AA20">
        <f>'Input Scenarios'!AA17</f>
        <v>0.34</v>
      </c>
      <c r="AB20">
        <f>'Input Scenarios'!AB17</f>
        <v>0.6</v>
      </c>
      <c r="AC20">
        <f>'Input Scenarios'!AC17</f>
        <v>0</v>
      </c>
      <c r="AD20">
        <f>'Input Scenarios'!AD17</f>
        <v>0</v>
      </c>
      <c r="AE20">
        <f>'Input Scenarios'!AE17</f>
        <v>0.06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15"/>
        <v>3.1312000000000002E-3</v>
      </c>
      <c r="AZ20">
        <f t="shared" si="16"/>
        <v>2.1292159999999997E-3</v>
      </c>
      <c r="BA20">
        <f t="shared" si="0"/>
        <v>787.7311390079999</v>
      </c>
      <c r="BB20">
        <f t="shared" si="1"/>
        <v>0</v>
      </c>
      <c r="BC20">
        <f t="shared" si="2"/>
        <v>708.95802510719989</v>
      </c>
      <c r="BD20">
        <f t="shared" si="3"/>
        <v>0</v>
      </c>
      <c r="BE20">
        <f t="shared" si="4"/>
        <v>78.773113900799999</v>
      </c>
      <c r="BF20">
        <f t="shared" si="5"/>
        <v>0</v>
      </c>
      <c r="BG20">
        <f t="shared" si="6"/>
        <v>672.8011658267327</v>
      </c>
      <c r="BH20">
        <f t="shared" si="7"/>
        <v>0</v>
      </c>
      <c r="BI20">
        <f t="shared" si="8"/>
        <v>228.75239638108914</v>
      </c>
      <c r="BJ20">
        <f t="shared" si="9"/>
        <v>403.68069949603961</v>
      </c>
      <c r="BK20">
        <f t="shared" si="10"/>
        <v>0</v>
      </c>
      <c r="BL20">
        <f t="shared" si="11"/>
        <v>0</v>
      </c>
      <c r="BM20">
        <f t="shared" si="12"/>
        <v>40.368069949603964</v>
      </c>
      <c r="BN20">
        <f t="shared" si="17"/>
        <v>0</v>
      </c>
      <c r="BO20">
        <f t="shared" si="18"/>
        <v>35.447901255359994</v>
      </c>
      <c r="BP20">
        <f t="shared" si="19"/>
        <v>0</v>
      </c>
      <c r="BQ20">
        <f t="shared" si="20"/>
        <v>45.750479276217831</v>
      </c>
      <c r="BR20">
        <f t="shared" si="21"/>
        <v>80.736139899207927</v>
      </c>
      <c r="BS20">
        <f t="shared" si="22"/>
        <v>0</v>
      </c>
      <c r="BT20">
        <f t="shared" si="23"/>
        <v>0</v>
      </c>
      <c r="BU20">
        <f t="shared" si="24"/>
        <v>161.93452043078577</v>
      </c>
      <c r="BV20">
        <f>Constants!$K$2</f>
        <v>0.21</v>
      </c>
      <c r="BW20">
        <f t="shared" si="25"/>
        <v>16.542353919168001</v>
      </c>
      <c r="BX20">
        <f>IF(C20="", "", _xlfn.XLOOKUP(C20,Constants!$A$20:$A$24,Constants!$B$20:$B$24))</f>
        <v>5.8999999999999999E-3</v>
      </c>
      <c r="BY20">
        <f>IF(BU20="","",Constants!$J$2)</f>
        <v>1.57</v>
      </c>
      <c r="BZ20">
        <f t="shared" si="26"/>
        <v>1.4999994627503686</v>
      </c>
      <c r="CA20">
        <f t="shared" si="27"/>
        <v>0.15323182435325319</v>
      </c>
      <c r="CB20"/>
      <c r="CC20"/>
      <c r="CD20"/>
      <c r="CE20"/>
      <c r="CF20"/>
      <c r="CG20"/>
      <c r="CH20"/>
      <c r="CI20"/>
      <c r="CJ20"/>
    </row>
    <row r="21" spans="1:88" x14ac:dyDescent="0.2">
      <c r="A21" t="str">
        <f>'Input Scenarios'!A18</f>
        <v>TAS</v>
      </c>
      <c r="B21">
        <f>'Input Scenarios'!B18</f>
        <v>0</v>
      </c>
      <c r="C21" t="str">
        <f>'Input Scenarios'!C18</f>
        <v>Irrigated pasture</v>
      </c>
      <c r="D21" t="str">
        <f>'Input Scenarios'!D18</f>
        <v>wet</v>
      </c>
      <c r="E21" t="b">
        <f>'Input Scenarios'!E18</f>
        <v>1</v>
      </c>
      <c r="F21" t="str">
        <f>'Input Scenarios'!F18</f>
        <v>meatChickenGrowers</v>
      </c>
      <c r="G21">
        <f>'Input Scenarios'!G18</f>
        <v>3333</v>
      </c>
      <c r="H21">
        <f>'Input Scenarios'!H18</f>
        <v>111</v>
      </c>
      <c r="I21">
        <f>IF('Input Scenarios'!I18&lt;&gt;"", 'Input Scenarios'!I18,_xlfn.XLOOKUP($F21,Constants!$A$2:$A$5,Constants!B$2:B$5))</f>
        <v>9.2999999999999999E-2</v>
      </c>
      <c r="J21">
        <f>IF('Input Scenarios'!J18&lt;&gt;"", 'Input Scenarios'!J18,_xlfn.XLOOKUP($F21,Constants!$A$2:$A$5,Constants!C$2:C$5))</f>
        <v>0.8</v>
      </c>
      <c r="K21">
        <f>IF('Input Scenarios'!K18&lt;&gt;"", 'Input Scenarios'!K18,_xlfn.XLOOKUP($F21,Constants!$A$2:$A$5,Constants!D$2:D$5))</f>
        <v>0.23</v>
      </c>
      <c r="L21">
        <f>IF('Input Scenarios'!L18&lt;&gt;"", 'Input Scenarios'!L18,_xlfn.XLOOKUP($F21,Constants!$A$2:$A$5,Constants!E$2:E$5))</f>
        <v>0.47</v>
      </c>
      <c r="M21">
        <f>'Input Scenarios'!M18</f>
        <v>0</v>
      </c>
      <c r="N21">
        <f>'Input Scenarios'!N18</f>
        <v>0.9</v>
      </c>
      <c r="O21">
        <f>'Input Scenarios'!O18</f>
        <v>0</v>
      </c>
      <c r="P21">
        <f>'Input Scenarios'!P18</f>
        <v>0.1</v>
      </c>
      <c r="Q21">
        <f>'Input Scenarios'!Q18</f>
        <v>0.34</v>
      </c>
      <c r="R21">
        <f>'Input Scenarios'!R18</f>
        <v>0.6</v>
      </c>
      <c r="S21">
        <f>'Input Scenarios'!S18</f>
        <v>0</v>
      </c>
      <c r="T21">
        <f>'Input Scenarios'!T18</f>
        <v>0</v>
      </c>
      <c r="U21">
        <f>'Input Scenarios'!U18</f>
        <v>0.06</v>
      </c>
      <c r="V21">
        <f>'Input Scenarios'!V18</f>
        <v>0.34</v>
      </c>
      <c r="W21">
        <f>'Input Scenarios'!W18</f>
        <v>0.6</v>
      </c>
      <c r="X21">
        <f>'Input Scenarios'!X18</f>
        <v>0</v>
      </c>
      <c r="Y21">
        <f>'Input Scenarios'!Y18</f>
        <v>0</v>
      </c>
      <c r="Z21">
        <f>'Input Scenarios'!Z18</f>
        <v>0.06</v>
      </c>
      <c r="AA21">
        <f>'Input Scenarios'!AA18</f>
        <v>0.34</v>
      </c>
      <c r="AB21">
        <f>'Input Scenarios'!AB18</f>
        <v>0.6</v>
      </c>
      <c r="AC21">
        <f>'Input Scenarios'!AC18</f>
        <v>0</v>
      </c>
      <c r="AD21">
        <f>'Input Scenarios'!AD18</f>
        <v>0</v>
      </c>
      <c r="AE21">
        <f>'Input Scenarios'!AE18</f>
        <v>0.06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15"/>
        <v>3.4223999999999999E-3</v>
      </c>
      <c r="AZ21">
        <f t="shared" si="16"/>
        <v>1.813872E-3</v>
      </c>
      <c r="BA21">
        <f t="shared" si="0"/>
        <v>671.06552673600004</v>
      </c>
      <c r="BB21">
        <f t="shared" si="1"/>
        <v>0</v>
      </c>
      <c r="BC21">
        <f t="shared" si="2"/>
        <v>603.9589740624001</v>
      </c>
      <c r="BD21">
        <f t="shared" si="3"/>
        <v>0</v>
      </c>
      <c r="BE21">
        <f t="shared" si="4"/>
        <v>67.106552673600007</v>
      </c>
      <c r="BF21">
        <f t="shared" si="5"/>
        <v>0</v>
      </c>
      <c r="BG21">
        <f t="shared" si="6"/>
        <v>573.15706638521772</v>
      </c>
      <c r="BH21">
        <f t="shared" si="7"/>
        <v>0</v>
      </c>
      <c r="BI21">
        <f t="shared" si="8"/>
        <v>194.87340257097404</v>
      </c>
      <c r="BJ21">
        <f t="shared" si="9"/>
        <v>343.89423983113062</v>
      </c>
      <c r="BK21">
        <f t="shared" si="10"/>
        <v>0</v>
      </c>
      <c r="BL21">
        <f t="shared" si="11"/>
        <v>0</v>
      </c>
      <c r="BM21">
        <f t="shared" si="12"/>
        <v>34.389423983113062</v>
      </c>
      <c r="BN21">
        <f t="shared" si="17"/>
        <v>0</v>
      </c>
      <c r="BO21">
        <f t="shared" si="18"/>
        <v>30.197948703120005</v>
      </c>
      <c r="BP21">
        <f t="shared" si="19"/>
        <v>0</v>
      </c>
      <c r="BQ21">
        <f t="shared" si="20"/>
        <v>38.974680514194809</v>
      </c>
      <c r="BR21">
        <f t="shared" si="21"/>
        <v>68.778847966226124</v>
      </c>
      <c r="BS21">
        <f t="shared" si="22"/>
        <v>0</v>
      </c>
      <c r="BT21">
        <f t="shared" si="23"/>
        <v>0</v>
      </c>
      <c r="BU21">
        <f t="shared" si="24"/>
        <v>137.95147718354093</v>
      </c>
      <c r="BV21">
        <f>Constants!$K$2</f>
        <v>0.21</v>
      </c>
      <c r="BW21">
        <f t="shared" si="25"/>
        <v>14.092376061456001</v>
      </c>
      <c r="BX21">
        <f>IF(C21="", "", _xlfn.XLOOKUP(C21,Constants!$A$20:$A$24,Constants!$B$20:$B$24))</f>
        <v>5.8999999999999999E-3</v>
      </c>
      <c r="BY21">
        <f>IF(BU21="","",Constants!$J$2)</f>
        <v>1.57</v>
      </c>
      <c r="BZ21">
        <f t="shared" si="26"/>
        <v>1.2778445331511397</v>
      </c>
      <c r="CA21">
        <f t="shared" si="27"/>
        <v>0.13053767945726694</v>
      </c>
    </row>
    <row r="22" spans="1:88" x14ac:dyDescent="0.2">
      <c r="A22" s="11" t="str">
        <f>'Input Scenarios'!A19</f>
        <v>TAS</v>
      </c>
      <c r="B22" s="11">
        <f>'Input Scenarios'!B19</f>
        <v>0</v>
      </c>
      <c r="C22" s="11" t="str">
        <f>'Input Scenarios'!C19</f>
        <v>Irrigated pasture</v>
      </c>
      <c r="D22" s="11" t="str">
        <f>'Input Scenarios'!D19</f>
        <v>wet</v>
      </c>
      <c r="E22" s="11" t="b">
        <f>'Input Scenarios'!E19</f>
        <v>1</v>
      </c>
      <c r="F22" s="11" t="str">
        <f>'Input Scenarios'!F19</f>
        <v>meatOther</v>
      </c>
      <c r="G22" s="11">
        <f>'Input Scenarios'!G19</f>
        <v>3333</v>
      </c>
      <c r="H22" s="11">
        <f>'Input Scenarios'!H19</f>
        <v>111</v>
      </c>
      <c r="I22">
        <f>IF('Input Scenarios'!I19&lt;&gt;"", 'Input Scenarios'!I19,_xlfn.XLOOKUP($F22,Constants!$A$2:$A$5,Constants!B$2:B$5))</f>
        <v>9.2999999999999999E-2</v>
      </c>
      <c r="J22">
        <f>IF('Input Scenarios'!J19&lt;&gt;"", 'Input Scenarios'!J19,_xlfn.XLOOKUP($F22,Constants!$A$2:$A$5,Constants!C$2:C$5))</f>
        <v>0.8</v>
      </c>
      <c r="K22">
        <f>IF('Input Scenarios'!K19&lt;&gt;"", 'Input Scenarios'!K19,_xlfn.XLOOKUP($F22,Constants!$A$2:$A$5,Constants!D$2:D$5))</f>
        <v>0.23</v>
      </c>
      <c r="L22">
        <f>IF('Input Scenarios'!L19&lt;&gt;"", 'Input Scenarios'!L19,_xlfn.XLOOKUP($F22,Constants!$A$2:$A$5,Constants!E$2:E$5))</f>
        <v>0.47</v>
      </c>
      <c r="M22" s="11">
        <f>'Input Scenarios'!M19</f>
        <v>0</v>
      </c>
      <c r="N22" s="11">
        <f>'Input Scenarios'!N19</f>
        <v>0.9</v>
      </c>
      <c r="O22" s="11">
        <f>'Input Scenarios'!O19</f>
        <v>0</v>
      </c>
      <c r="P22" s="11">
        <f>'Input Scenarios'!P19</f>
        <v>0.1</v>
      </c>
      <c r="Q22" s="11">
        <f>'Input Scenarios'!Q19</f>
        <v>0.34</v>
      </c>
      <c r="R22" s="11">
        <f>'Input Scenarios'!R19</f>
        <v>0.6</v>
      </c>
      <c r="S22" s="11">
        <f>'Input Scenarios'!S19</f>
        <v>0</v>
      </c>
      <c r="T22" s="11">
        <f>'Input Scenarios'!T19</f>
        <v>0</v>
      </c>
      <c r="U22" s="11">
        <f>'Input Scenarios'!U19</f>
        <v>0.06</v>
      </c>
      <c r="V22" s="11">
        <f>'Input Scenarios'!V19</f>
        <v>0.34</v>
      </c>
      <c r="W22" s="11">
        <f>'Input Scenarios'!W19</f>
        <v>0.6</v>
      </c>
      <c r="X22" s="11">
        <f>'Input Scenarios'!X19</f>
        <v>0</v>
      </c>
      <c r="Y22" s="11">
        <f>'Input Scenarios'!Y19</f>
        <v>0</v>
      </c>
      <c r="Z22" s="11">
        <f>'Input Scenarios'!Z19</f>
        <v>0.06</v>
      </c>
      <c r="AA22" s="11">
        <f>'Input Scenarios'!AA19</f>
        <v>0.34</v>
      </c>
      <c r="AB22" s="11">
        <f>'Input Scenarios'!AB19</f>
        <v>0.6</v>
      </c>
      <c r="AC22" s="11">
        <f>'Input Scenarios'!AC19</f>
        <v>0</v>
      </c>
      <c r="AD22" s="11">
        <f>'Input Scenarios'!AD19</f>
        <v>0</v>
      </c>
      <c r="AE22" s="11">
        <f>'Input Scenarios'!AE19</f>
        <v>0.06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15"/>
        <v>3.4223999999999999E-3</v>
      </c>
      <c r="AZ22">
        <f t="shared" si="16"/>
        <v>1.813872E-3</v>
      </c>
      <c r="BA22">
        <f t="shared" si="0"/>
        <v>671.06552673600004</v>
      </c>
      <c r="BB22">
        <f t="shared" si="1"/>
        <v>0</v>
      </c>
      <c r="BC22">
        <f t="shared" si="2"/>
        <v>603.9589740624001</v>
      </c>
      <c r="BD22">
        <f t="shared" si="3"/>
        <v>0</v>
      </c>
      <c r="BE22">
        <f t="shared" si="4"/>
        <v>67.106552673600007</v>
      </c>
      <c r="BF22">
        <f t="shared" si="5"/>
        <v>0</v>
      </c>
      <c r="BG22">
        <f t="shared" si="6"/>
        <v>573.15706638521772</v>
      </c>
      <c r="BH22">
        <f t="shared" si="7"/>
        <v>0</v>
      </c>
      <c r="BI22">
        <f t="shared" si="8"/>
        <v>194.87340257097404</v>
      </c>
      <c r="BJ22">
        <f t="shared" si="9"/>
        <v>343.89423983113062</v>
      </c>
      <c r="BK22">
        <f t="shared" si="10"/>
        <v>0</v>
      </c>
      <c r="BL22">
        <f t="shared" si="11"/>
        <v>0</v>
      </c>
      <c r="BM22">
        <f t="shared" si="12"/>
        <v>34.389423983113062</v>
      </c>
      <c r="BN22">
        <f t="shared" si="17"/>
        <v>0</v>
      </c>
      <c r="BO22">
        <f t="shared" si="18"/>
        <v>30.197948703120005</v>
      </c>
      <c r="BP22">
        <f t="shared" si="19"/>
        <v>0</v>
      </c>
      <c r="BQ22">
        <f t="shared" si="20"/>
        <v>38.974680514194809</v>
      </c>
      <c r="BR22">
        <f t="shared" si="21"/>
        <v>68.778847966226124</v>
      </c>
      <c r="BS22">
        <f t="shared" si="22"/>
        <v>0</v>
      </c>
      <c r="BT22">
        <f t="shared" si="23"/>
        <v>0</v>
      </c>
      <c r="BU22">
        <f t="shared" si="24"/>
        <v>137.95147718354093</v>
      </c>
      <c r="BV22">
        <f>Constants!$K$2</f>
        <v>0.21</v>
      </c>
      <c r="BW22">
        <f t="shared" si="25"/>
        <v>14.092376061456001</v>
      </c>
      <c r="BX22">
        <f>IF(C22="", "", _xlfn.XLOOKUP(C22,Constants!$A$20:$A$24,Constants!$B$20:$B$24))</f>
        <v>5.8999999999999999E-3</v>
      </c>
      <c r="BY22">
        <f>IF(BU22="","",Constants!$J$2)</f>
        <v>1.57</v>
      </c>
      <c r="BZ22">
        <f t="shared" si="26"/>
        <v>1.2778445331511397</v>
      </c>
      <c r="CA22">
        <f t="shared" si="27"/>
        <v>0.13053767945726694</v>
      </c>
    </row>
    <row r="23" spans="1:88" x14ac:dyDescent="0.2">
      <c r="A23" t="str">
        <f>'Input Scenarios'!A20</f>
        <v>NT</v>
      </c>
      <c r="B23">
        <f>'Input Scenarios'!B20</f>
        <v>0</v>
      </c>
      <c r="C23" t="str">
        <f>'Input Scenarios'!C20</f>
        <v>Non-irrigated crop (high rainfall)</v>
      </c>
      <c r="D23" t="str">
        <f>'Input Scenarios'!D20</f>
        <v>dry</v>
      </c>
      <c r="E23" t="b">
        <f>'Input Scenarios'!E20</f>
        <v>0</v>
      </c>
      <c r="F23" t="str">
        <f>'Input Scenarios'!F20</f>
        <v>layers</v>
      </c>
      <c r="G23">
        <f>'Input Scenarios'!G20</f>
        <v>1234</v>
      </c>
      <c r="H23">
        <f>'Input Scenarios'!H20</f>
        <v>150</v>
      </c>
      <c r="I23">
        <f>IF('Input Scenarios'!I20&lt;&gt;"", 'Input Scenarios'!I20,_xlfn.XLOOKUP($F23,Constants!$A$2:$A$5,Constants!B$2:B$5))</f>
        <v>8.5999999999999993E-2</v>
      </c>
      <c r="J23">
        <f>IF('Input Scenarios'!J20&lt;&gt;"", 'Input Scenarios'!J20,_xlfn.XLOOKUP($F23,Constants!$A$2:$A$5,Constants!C$2:C$5))</f>
        <v>0.8</v>
      </c>
      <c r="K23">
        <f>IF('Input Scenarios'!K20&lt;&gt;"", 'Input Scenarios'!K20,_xlfn.XLOOKUP($F23,Constants!$A$2:$A$5,Constants!D$2:D$5))</f>
        <v>0.19</v>
      </c>
      <c r="L23">
        <f>IF('Input Scenarios'!L20&lt;&gt;"", 'Input Scenarios'!L20,_xlfn.XLOOKUP($F23,Constants!$A$2:$A$5,Constants!E$2:E$5))</f>
        <v>0.35</v>
      </c>
      <c r="M23">
        <f>'Input Scenarios'!M20</f>
        <v>0.1</v>
      </c>
      <c r="N23">
        <f>'Input Scenarios'!N20</f>
        <v>0</v>
      </c>
      <c r="O23">
        <f>'Input Scenarios'!O20</f>
        <v>0</v>
      </c>
      <c r="P23">
        <f>'Input Scenarios'!P20</f>
        <v>0.9</v>
      </c>
      <c r="Q23">
        <f>'Input Scenarios'!Q20</f>
        <v>0.5</v>
      </c>
      <c r="R23">
        <f>'Input Scenarios'!R20</f>
        <v>0.25</v>
      </c>
      <c r="S23">
        <f>'Input Scenarios'!S20</f>
        <v>0.25</v>
      </c>
      <c r="T23">
        <f>'Input Scenarios'!T20</f>
        <v>0</v>
      </c>
      <c r="U23">
        <f>'Input Scenarios'!U20</f>
        <v>0</v>
      </c>
      <c r="V23">
        <f>'Input Scenarios'!V20</f>
        <v>0.5</v>
      </c>
      <c r="W23">
        <f>'Input Scenarios'!W20</f>
        <v>0.25</v>
      </c>
      <c r="X23">
        <f>'Input Scenarios'!X20</f>
        <v>0.25</v>
      </c>
      <c r="Y23">
        <f>'Input Scenarios'!Y20</f>
        <v>0</v>
      </c>
      <c r="Z23">
        <f>'Input Scenarios'!Z20</f>
        <v>0</v>
      </c>
      <c r="AA23">
        <f>'Input Scenarios'!AA20</f>
        <v>0.5</v>
      </c>
      <c r="AB23">
        <f>'Input Scenarios'!AB20</f>
        <v>0.25</v>
      </c>
      <c r="AC23">
        <f>'Input Scenarios'!AC20</f>
        <v>0.25</v>
      </c>
      <c r="AD23">
        <f>'Input Scenarios'!AD20</f>
        <v>0</v>
      </c>
      <c r="AE23">
        <f>'Input Scenarios'!AE20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15"/>
        <v>2.6144000000000002E-3</v>
      </c>
      <c r="AZ23">
        <f t="shared" si="16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2"/>
        <v>0</v>
      </c>
      <c r="BD23">
        <f t="shared" si="3"/>
        <v>0</v>
      </c>
      <c r="BE23">
        <f t="shared" si="4"/>
        <v>283.09638240000004</v>
      </c>
      <c r="BF23">
        <f t="shared" si="5"/>
        <v>21.987152366400004</v>
      </c>
      <c r="BG23">
        <f t="shared" si="6"/>
        <v>0</v>
      </c>
      <c r="BH23">
        <f t="shared" si="7"/>
        <v>0</v>
      </c>
      <c r="BI23">
        <f t="shared" si="8"/>
        <v>10.993576183200002</v>
      </c>
      <c r="BJ23">
        <f t="shared" si="9"/>
        <v>5.4967880916000009</v>
      </c>
      <c r="BK23">
        <f t="shared" si="10"/>
        <v>5.4967880916000009</v>
      </c>
      <c r="BL23">
        <f t="shared" si="11"/>
        <v>0</v>
      </c>
      <c r="BM23">
        <f t="shared" si="12"/>
        <v>0</v>
      </c>
      <c r="BN23">
        <f t="shared" si="17"/>
        <v>9.4365460800000012</v>
      </c>
      <c r="BO23">
        <f t="shared" si="18"/>
        <v>0</v>
      </c>
      <c r="BP23">
        <f t="shared" si="19"/>
        <v>0</v>
      </c>
      <c r="BQ23">
        <f t="shared" si="20"/>
        <v>2.1987152366400005</v>
      </c>
      <c r="BR23">
        <f t="shared" si="21"/>
        <v>1.0993576183200002</v>
      </c>
      <c r="BS23">
        <f t="shared" si="22"/>
        <v>0</v>
      </c>
      <c r="BT23">
        <f t="shared" si="23"/>
        <v>0</v>
      </c>
      <c r="BU23">
        <f t="shared" si="24"/>
        <v>12.734618934960002</v>
      </c>
      <c r="BV23">
        <f>Constants!$K$2</f>
        <v>0.21</v>
      </c>
      <c r="BW23">
        <f t="shared" si="25"/>
        <v>59.450240304000005</v>
      </c>
      <c r="BX23">
        <f>IF(C23="", "", _xlfn.XLOOKUP(C23,Constants!$A$20:$A$24,Constants!$B$20:$B$24))</f>
        <v>8.0000000000000002E-3</v>
      </c>
      <c r="BY23">
        <f>IF(BU23="","",Constants!$J$2)</f>
        <v>1.57</v>
      </c>
      <c r="BZ23">
        <f t="shared" si="26"/>
        <v>0.15994681382309764</v>
      </c>
      <c r="CA23">
        <f t="shared" si="27"/>
        <v>0.74669501821824014</v>
      </c>
      <c r="CB23">
        <f>SUM(BZ23:CA26)/1000</f>
        <v>3.978092708482291E-3</v>
      </c>
    </row>
    <row r="24" spans="1:88" x14ac:dyDescent="0.2">
      <c r="A24" t="str">
        <f>'Input Scenarios'!A21</f>
        <v>NT</v>
      </c>
      <c r="B24">
        <f>'Input Scenarios'!B21</f>
        <v>0</v>
      </c>
      <c r="C24" t="str">
        <f>'Input Scenarios'!C21</f>
        <v>Non-irrigated crop (high rainfall)</v>
      </c>
      <c r="D24" t="str">
        <f>'Input Scenarios'!D21</f>
        <v>dry</v>
      </c>
      <c r="E24" t="b">
        <f>'Input Scenarios'!E21</f>
        <v>0</v>
      </c>
      <c r="F24" t="str">
        <f>'Input Scenarios'!F21</f>
        <v>meatChickenBreeder</v>
      </c>
      <c r="G24">
        <f>'Input Scenarios'!G21</f>
        <v>1234</v>
      </c>
      <c r="H24">
        <f>'Input Scenarios'!H21</f>
        <v>150</v>
      </c>
      <c r="I24">
        <f>IF('Input Scenarios'!I21&lt;&gt;"", 'Input Scenarios'!I21,_xlfn.XLOOKUP($F24,Constants!$A$2:$A$5,Constants!B$2:B$5))</f>
        <v>0.10299999999999999</v>
      </c>
      <c r="J24">
        <f>IF('Input Scenarios'!J21&lt;&gt;"", 'Input Scenarios'!J21,_xlfn.XLOOKUP($F24,Constants!$A$2:$A$5,Constants!C$2:C$5))</f>
        <v>0.8</v>
      </c>
      <c r="K24">
        <f>IF('Input Scenarios'!K21&lt;&gt;"", 'Input Scenarios'!K21,_xlfn.XLOOKUP($F24,Constants!$A$2:$A$5,Constants!D$2:D$5))</f>
        <v>0.19</v>
      </c>
      <c r="L24">
        <f>IF('Input Scenarios'!L21&lt;&gt;"", 'Input Scenarios'!L21,_xlfn.XLOOKUP($F24,Constants!$A$2:$A$5,Constants!E$2:E$5))</f>
        <v>0.32</v>
      </c>
      <c r="M24">
        <f>'Input Scenarios'!M21</f>
        <v>0.1</v>
      </c>
      <c r="N24">
        <f>'Input Scenarios'!N21</f>
        <v>0</v>
      </c>
      <c r="O24">
        <f>'Input Scenarios'!O21</f>
        <v>0</v>
      </c>
      <c r="P24">
        <f>'Input Scenarios'!P21</f>
        <v>0.9</v>
      </c>
      <c r="Q24">
        <f>'Input Scenarios'!Q21</f>
        <v>0.5</v>
      </c>
      <c r="R24">
        <f>'Input Scenarios'!R21</f>
        <v>0.25</v>
      </c>
      <c r="S24">
        <f>'Input Scenarios'!S21</f>
        <v>0.25</v>
      </c>
      <c r="T24">
        <f>'Input Scenarios'!T21</f>
        <v>0</v>
      </c>
      <c r="U24">
        <f>'Input Scenarios'!U21</f>
        <v>0</v>
      </c>
      <c r="V24">
        <f>'Input Scenarios'!V21</f>
        <v>0.5</v>
      </c>
      <c r="W24">
        <f>'Input Scenarios'!W21</f>
        <v>0.25</v>
      </c>
      <c r="X24">
        <f>'Input Scenarios'!X21</f>
        <v>0.25</v>
      </c>
      <c r="Y24">
        <f>'Input Scenarios'!Y21</f>
        <v>0</v>
      </c>
      <c r="Z24">
        <f>'Input Scenarios'!Z21</f>
        <v>0</v>
      </c>
      <c r="AA24">
        <f>'Input Scenarios'!AA21</f>
        <v>0.5</v>
      </c>
      <c r="AB24">
        <f>'Input Scenarios'!AB21</f>
        <v>0.25</v>
      </c>
      <c r="AC24">
        <f>'Input Scenarios'!AC21</f>
        <v>0.25</v>
      </c>
      <c r="AD24">
        <f>'Input Scenarios'!AD21</f>
        <v>0</v>
      </c>
      <c r="AE24">
        <f>'Input Scenarios'!AE21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15"/>
        <v>3.1312000000000002E-3</v>
      </c>
      <c r="AZ24">
        <f t="shared" si="16"/>
        <v>2.1292159999999997E-3</v>
      </c>
      <c r="BA24">
        <f t="shared" si="0"/>
        <v>394.11788159999992</v>
      </c>
      <c r="BB24">
        <f t="shared" si="1"/>
        <v>39.411788159999993</v>
      </c>
      <c r="BC24">
        <f t="shared" si="2"/>
        <v>0</v>
      </c>
      <c r="BD24">
        <f t="shared" si="3"/>
        <v>0</v>
      </c>
      <c r="BE24">
        <f t="shared" si="4"/>
        <v>354.70609343999996</v>
      </c>
      <c r="BF24">
        <f t="shared" si="5"/>
        <v>27.548839923839992</v>
      </c>
      <c r="BG24">
        <f t="shared" si="6"/>
        <v>0</v>
      </c>
      <c r="BH24">
        <f t="shared" si="7"/>
        <v>0</v>
      </c>
      <c r="BI24">
        <f t="shared" si="8"/>
        <v>13.774419961919996</v>
      </c>
      <c r="BJ24">
        <f t="shared" si="9"/>
        <v>6.887209980959998</v>
      </c>
      <c r="BK24">
        <f t="shared" si="10"/>
        <v>6.887209980959998</v>
      </c>
      <c r="BL24">
        <f t="shared" si="11"/>
        <v>0</v>
      </c>
      <c r="BM24">
        <f t="shared" si="12"/>
        <v>0</v>
      </c>
      <c r="BN24">
        <f t="shared" si="17"/>
        <v>11.823536447999997</v>
      </c>
      <c r="BO24">
        <f t="shared" si="18"/>
        <v>0</v>
      </c>
      <c r="BP24">
        <f t="shared" si="19"/>
        <v>0</v>
      </c>
      <c r="BQ24">
        <f t="shared" si="20"/>
        <v>2.7548839923839994</v>
      </c>
      <c r="BR24">
        <f t="shared" si="21"/>
        <v>1.3774419961919997</v>
      </c>
      <c r="BS24">
        <f t="shared" si="22"/>
        <v>0</v>
      </c>
      <c r="BT24">
        <f t="shared" si="23"/>
        <v>0</v>
      </c>
      <c r="BU24">
        <f t="shared" si="24"/>
        <v>15.955862436575996</v>
      </c>
      <c r="BV24">
        <f>Constants!$K$2</f>
        <v>0.21</v>
      </c>
      <c r="BW24">
        <f t="shared" si="25"/>
        <v>74.488279622399986</v>
      </c>
      <c r="BX24">
        <f>IF(C24="", "", _xlfn.XLOOKUP(C24,Constants!$A$20:$A$24,Constants!$B$20:$B$24))</f>
        <v>8.0000000000000002E-3</v>
      </c>
      <c r="BY24">
        <f>IF(BU24="","",Constants!$J$2)</f>
        <v>1.57</v>
      </c>
      <c r="BZ24">
        <f t="shared" si="26"/>
        <v>0.2004056322033945</v>
      </c>
      <c r="CA24">
        <f t="shared" si="27"/>
        <v>0.93557279205734378</v>
      </c>
    </row>
    <row r="25" spans="1:88" s="11" customFormat="1" x14ac:dyDescent="0.2">
      <c r="A25" t="str">
        <f>'Input Scenarios'!A22</f>
        <v>NT</v>
      </c>
      <c r="B25">
        <f>'Input Scenarios'!B22</f>
        <v>0</v>
      </c>
      <c r="C25" t="str">
        <f>'Input Scenarios'!C22</f>
        <v>Non-irrigated crop (high rainfall)</v>
      </c>
      <c r="D25" t="str">
        <f>'Input Scenarios'!D22</f>
        <v>dry</v>
      </c>
      <c r="E25" t="b">
        <f>'Input Scenarios'!E22</f>
        <v>0</v>
      </c>
      <c r="F25" t="str">
        <f>'Input Scenarios'!F22</f>
        <v>meatChickenGrowers</v>
      </c>
      <c r="G25">
        <f>'Input Scenarios'!G22</f>
        <v>1234</v>
      </c>
      <c r="H25">
        <f>'Input Scenarios'!H22</f>
        <v>150</v>
      </c>
      <c r="I25">
        <f>IF('Input Scenarios'!I22&lt;&gt;"", 'Input Scenarios'!I22,_xlfn.XLOOKUP($F25,Constants!$A$2:$A$5,Constants!B$2:B$5))</f>
        <v>9.2999999999999999E-2</v>
      </c>
      <c r="J25">
        <f>IF('Input Scenarios'!J22&lt;&gt;"", 'Input Scenarios'!J22,_xlfn.XLOOKUP($F25,Constants!$A$2:$A$5,Constants!C$2:C$5))</f>
        <v>0.8</v>
      </c>
      <c r="K25">
        <f>IF('Input Scenarios'!K22&lt;&gt;"", 'Input Scenarios'!K22,_xlfn.XLOOKUP($F25,Constants!$A$2:$A$5,Constants!D$2:D$5))</f>
        <v>0.23</v>
      </c>
      <c r="L25">
        <f>IF('Input Scenarios'!L22&lt;&gt;"", 'Input Scenarios'!L22,_xlfn.XLOOKUP($F25,Constants!$A$2:$A$5,Constants!E$2:E$5))</f>
        <v>0.47</v>
      </c>
      <c r="M25">
        <f>'Input Scenarios'!M22</f>
        <v>0.1</v>
      </c>
      <c r="N25">
        <f>'Input Scenarios'!N22</f>
        <v>0</v>
      </c>
      <c r="O25">
        <f>'Input Scenarios'!O22</f>
        <v>0</v>
      </c>
      <c r="P25">
        <f>'Input Scenarios'!P22</f>
        <v>0.9</v>
      </c>
      <c r="Q25">
        <f>'Input Scenarios'!Q22</f>
        <v>0.5</v>
      </c>
      <c r="R25">
        <f>'Input Scenarios'!R22</f>
        <v>0.25</v>
      </c>
      <c r="S25">
        <f>'Input Scenarios'!S22</f>
        <v>0.25</v>
      </c>
      <c r="T25">
        <f>'Input Scenarios'!T22</f>
        <v>0</v>
      </c>
      <c r="U25">
        <f>'Input Scenarios'!U22</f>
        <v>0</v>
      </c>
      <c r="V25">
        <f>'Input Scenarios'!V22</f>
        <v>0.5</v>
      </c>
      <c r="W25">
        <f>'Input Scenarios'!W22</f>
        <v>0.25</v>
      </c>
      <c r="X25">
        <f>'Input Scenarios'!X22</f>
        <v>0.25</v>
      </c>
      <c r="Y25">
        <f>'Input Scenarios'!Y22</f>
        <v>0</v>
      </c>
      <c r="Z25">
        <f>'Input Scenarios'!Z22</f>
        <v>0</v>
      </c>
      <c r="AA25">
        <f>'Input Scenarios'!AA22</f>
        <v>0.5</v>
      </c>
      <c r="AB25">
        <f>'Input Scenarios'!AB22</f>
        <v>0.25</v>
      </c>
      <c r="AC25">
        <f>'Input Scenarios'!AC22</f>
        <v>0.25</v>
      </c>
      <c r="AD25">
        <f>'Input Scenarios'!AD22</f>
        <v>0</v>
      </c>
      <c r="AE25">
        <f>'Input Scenarios'!AE22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15"/>
        <v>3.4223999999999999E-3</v>
      </c>
      <c r="AZ25">
        <f t="shared" si="16"/>
        <v>1.813872E-3</v>
      </c>
      <c r="BA25">
        <f t="shared" si="0"/>
        <v>335.74770719999998</v>
      </c>
      <c r="BB25">
        <f t="shared" si="1"/>
        <v>33.574770719999997</v>
      </c>
      <c r="BC25">
        <f t="shared" si="2"/>
        <v>0</v>
      </c>
      <c r="BD25">
        <f t="shared" si="3"/>
        <v>0</v>
      </c>
      <c r="BE25">
        <f t="shared" si="4"/>
        <v>302.17293647999998</v>
      </c>
      <c r="BF25">
        <f t="shared" si="5"/>
        <v>23.468764733279997</v>
      </c>
      <c r="BG25">
        <f t="shared" si="6"/>
        <v>0</v>
      </c>
      <c r="BH25">
        <f t="shared" si="7"/>
        <v>0</v>
      </c>
      <c r="BI25">
        <f t="shared" si="8"/>
        <v>11.734382366639998</v>
      </c>
      <c r="BJ25">
        <f t="shared" si="9"/>
        <v>5.8671911833199992</v>
      </c>
      <c r="BK25">
        <f t="shared" si="10"/>
        <v>5.8671911833199992</v>
      </c>
      <c r="BL25">
        <f t="shared" si="11"/>
        <v>0</v>
      </c>
      <c r="BM25">
        <f t="shared" si="12"/>
        <v>0</v>
      </c>
      <c r="BN25">
        <f t="shared" si="17"/>
        <v>10.072431215999998</v>
      </c>
      <c r="BO25">
        <f t="shared" si="18"/>
        <v>0</v>
      </c>
      <c r="BP25">
        <f t="shared" si="19"/>
        <v>0</v>
      </c>
      <c r="BQ25">
        <f t="shared" si="20"/>
        <v>2.3468764733279999</v>
      </c>
      <c r="BR25">
        <f t="shared" si="21"/>
        <v>1.1734382366639999</v>
      </c>
      <c r="BS25">
        <f t="shared" si="22"/>
        <v>0</v>
      </c>
      <c r="BT25">
        <f t="shared" si="23"/>
        <v>0</v>
      </c>
      <c r="BU25">
        <f t="shared" si="24"/>
        <v>13.592745925991997</v>
      </c>
      <c r="BV25">
        <f>Constants!$K$2</f>
        <v>0.21</v>
      </c>
      <c r="BW25">
        <f t="shared" si="25"/>
        <v>63.456316660799992</v>
      </c>
      <c r="BX25">
        <f>IF(C25="", "", _xlfn.XLOOKUP(C25,Constants!$A$20:$A$24,Constants!$B$20:$B$24))</f>
        <v>8.0000000000000002E-3</v>
      </c>
      <c r="BY25">
        <f>IF(BU25="","",Constants!$J$2)</f>
        <v>1.57</v>
      </c>
      <c r="BZ25">
        <f t="shared" si="26"/>
        <v>0.17072488883045947</v>
      </c>
      <c r="CA25">
        <f t="shared" si="27"/>
        <v>0.79701133725964801</v>
      </c>
      <c r="CB25"/>
      <c r="CC25"/>
      <c r="CD25"/>
      <c r="CE25"/>
      <c r="CF25"/>
      <c r="CG25"/>
      <c r="CH25"/>
      <c r="CI25"/>
      <c r="CJ25"/>
    </row>
    <row r="26" spans="1:88" x14ac:dyDescent="0.2">
      <c r="A26" s="11" t="str">
        <f>'Input Scenarios'!A23</f>
        <v>NT</v>
      </c>
      <c r="B26" s="11">
        <f>'Input Scenarios'!B23</f>
        <v>0</v>
      </c>
      <c r="C26" s="11" t="str">
        <f>'Input Scenarios'!C23</f>
        <v>Non-irrigated crop (high rainfall)</v>
      </c>
      <c r="D26" s="11" t="str">
        <f>'Input Scenarios'!D23</f>
        <v>dry</v>
      </c>
      <c r="E26" s="11" t="b">
        <f>'Input Scenarios'!E23</f>
        <v>0</v>
      </c>
      <c r="F26" s="11" t="str">
        <f>'Input Scenarios'!F23</f>
        <v>meatOther</v>
      </c>
      <c r="G26" s="11">
        <f>'Input Scenarios'!G23</f>
        <v>1234</v>
      </c>
      <c r="H26" s="11">
        <f>'Input Scenarios'!H23</f>
        <v>150</v>
      </c>
      <c r="I26">
        <f>IF('Input Scenarios'!I23&lt;&gt;"", 'Input Scenarios'!I23,_xlfn.XLOOKUP($F26,Constants!$A$2:$A$5,Constants!B$2:B$5))</f>
        <v>9.2999999999999999E-2</v>
      </c>
      <c r="J26">
        <f>IF('Input Scenarios'!J23&lt;&gt;"", 'Input Scenarios'!J23,_xlfn.XLOOKUP($F26,Constants!$A$2:$A$5,Constants!C$2:C$5))</f>
        <v>0.8</v>
      </c>
      <c r="K26">
        <f>IF('Input Scenarios'!K23&lt;&gt;"", 'Input Scenarios'!K23,_xlfn.XLOOKUP($F26,Constants!$A$2:$A$5,Constants!D$2:D$5))</f>
        <v>0.23</v>
      </c>
      <c r="L26">
        <f>IF('Input Scenarios'!L23&lt;&gt;"", 'Input Scenarios'!L23,_xlfn.XLOOKUP($F26,Constants!$A$2:$A$5,Constants!E$2:E$5))</f>
        <v>0.47</v>
      </c>
      <c r="M26" s="11">
        <f>'Input Scenarios'!M23</f>
        <v>0.1</v>
      </c>
      <c r="N26" s="11">
        <f>'Input Scenarios'!N23</f>
        <v>0</v>
      </c>
      <c r="O26" s="11">
        <f>'Input Scenarios'!O23</f>
        <v>0</v>
      </c>
      <c r="P26" s="11">
        <f>'Input Scenarios'!P23</f>
        <v>0.9</v>
      </c>
      <c r="Q26" s="11">
        <f>'Input Scenarios'!Q23</f>
        <v>0.5</v>
      </c>
      <c r="R26" s="11">
        <f>'Input Scenarios'!R23</f>
        <v>0.25</v>
      </c>
      <c r="S26" s="11">
        <f>'Input Scenarios'!S23</f>
        <v>0.25</v>
      </c>
      <c r="T26" s="11">
        <f>'Input Scenarios'!T23</f>
        <v>0</v>
      </c>
      <c r="U26" s="11">
        <f>'Input Scenarios'!U23</f>
        <v>0</v>
      </c>
      <c r="V26" s="11">
        <f>'Input Scenarios'!V23</f>
        <v>0.5</v>
      </c>
      <c r="W26" s="11">
        <f>'Input Scenarios'!W23</f>
        <v>0.25</v>
      </c>
      <c r="X26" s="11">
        <f>'Input Scenarios'!X23</f>
        <v>0.25</v>
      </c>
      <c r="Y26" s="11">
        <f>'Input Scenarios'!Y23</f>
        <v>0</v>
      </c>
      <c r="Z26" s="11">
        <f>'Input Scenarios'!Z23</f>
        <v>0</v>
      </c>
      <c r="AA26" s="11">
        <f>'Input Scenarios'!AA23</f>
        <v>0.5</v>
      </c>
      <c r="AB26" s="11">
        <f>'Input Scenarios'!AB23</f>
        <v>0.25</v>
      </c>
      <c r="AC26" s="11">
        <f>'Input Scenarios'!AC23</f>
        <v>0.25</v>
      </c>
      <c r="AD26" s="11">
        <f>'Input Scenarios'!AD23</f>
        <v>0</v>
      </c>
      <c r="AE26" s="11">
        <f>'Input Scenarios'!AE23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15"/>
        <v>3.4223999999999999E-3</v>
      </c>
      <c r="AZ26">
        <f t="shared" si="16"/>
        <v>1.813872E-3</v>
      </c>
      <c r="BA26">
        <f t="shared" si="0"/>
        <v>335.74770719999998</v>
      </c>
      <c r="BB26">
        <f t="shared" si="1"/>
        <v>33.574770719999997</v>
      </c>
      <c r="BC26">
        <f t="shared" si="2"/>
        <v>0</v>
      </c>
      <c r="BD26">
        <f t="shared" si="3"/>
        <v>0</v>
      </c>
      <c r="BE26">
        <f t="shared" si="4"/>
        <v>302.17293647999998</v>
      </c>
      <c r="BF26">
        <f t="shared" si="5"/>
        <v>23.468764733279997</v>
      </c>
      <c r="BG26">
        <f t="shared" si="6"/>
        <v>0</v>
      </c>
      <c r="BH26">
        <f t="shared" si="7"/>
        <v>0</v>
      </c>
      <c r="BI26">
        <f t="shared" si="8"/>
        <v>11.734382366639998</v>
      </c>
      <c r="BJ26">
        <f t="shared" si="9"/>
        <v>5.8671911833199992</v>
      </c>
      <c r="BK26">
        <f t="shared" si="10"/>
        <v>5.8671911833199992</v>
      </c>
      <c r="BL26">
        <f t="shared" si="11"/>
        <v>0</v>
      </c>
      <c r="BM26">
        <f t="shared" si="12"/>
        <v>0</v>
      </c>
      <c r="BN26">
        <f t="shared" si="17"/>
        <v>10.072431215999998</v>
      </c>
      <c r="BO26">
        <f t="shared" si="18"/>
        <v>0</v>
      </c>
      <c r="BP26">
        <f t="shared" si="19"/>
        <v>0</v>
      </c>
      <c r="BQ26">
        <f t="shared" si="20"/>
        <v>2.3468764733279999</v>
      </c>
      <c r="BR26">
        <f t="shared" si="21"/>
        <v>1.1734382366639999</v>
      </c>
      <c r="BS26">
        <f t="shared" si="22"/>
        <v>0</v>
      </c>
      <c r="BT26">
        <f t="shared" si="23"/>
        <v>0</v>
      </c>
      <c r="BU26">
        <f t="shared" si="24"/>
        <v>13.592745925991997</v>
      </c>
      <c r="BV26">
        <f>Constants!$K$2</f>
        <v>0.21</v>
      </c>
      <c r="BW26">
        <f t="shared" si="25"/>
        <v>63.456316660799992</v>
      </c>
      <c r="BX26">
        <f>IF(C26="", "", _xlfn.XLOOKUP(C26,Constants!$A$20:$A$24,Constants!$B$20:$B$24))</f>
        <v>8.0000000000000002E-3</v>
      </c>
      <c r="BY26">
        <f>IF(BU26="","",Constants!$J$2)</f>
        <v>1.57</v>
      </c>
      <c r="BZ26">
        <f t="shared" si="26"/>
        <v>0.17072488883045947</v>
      </c>
      <c r="CA26">
        <f t="shared" si="27"/>
        <v>0.79701133725964801</v>
      </c>
    </row>
    <row r="27" spans="1:88" x14ac:dyDescent="0.2">
      <c r="BS27" t="str">
        <f>IF(L27="", "",IF( L27="pastureRangeAndPaddock",Y27*Constants!$K$2, Y27*S27))</f>
        <v/>
      </c>
      <c r="BT27" t="str">
        <f t="shared" ref="BT27:BT30" si="28">IF(OR(N27="", N27="directApplication"), "",AB27*U27)</f>
        <v/>
      </c>
      <c r="BU27" t="str">
        <f t="shared" ref="BU27:BU30" si="29">IF(F27="", "", SUM(BS27:BT31))</f>
        <v/>
      </c>
      <c r="BX27" t="str">
        <f>IF(C27="", "", _xlfn.XLOOKUP(C27,Constants!$A$20:$A$24,Constants!$B$20:$B$24))</f>
        <v/>
      </c>
      <c r="BY27" t="str">
        <f>IF(BU27="","",Constants!$J$2)</f>
        <v/>
      </c>
      <c r="BZ27" t="str">
        <f t="shared" ref="BZ27:BZ30" si="30">IF(BU27="", "", (BU27*BX27*BY27)/1000)</f>
        <v/>
      </c>
    </row>
    <row r="28" spans="1:88" x14ac:dyDescent="0.2">
      <c r="BS28" t="str">
        <f>IF(L28="", "",IF( L28="pastureRangeAndPaddock",Y28*Constants!$K$2, Y28*S28))</f>
        <v/>
      </c>
      <c r="BT28" t="str">
        <f t="shared" si="28"/>
        <v/>
      </c>
      <c r="BU28" t="str">
        <f t="shared" si="29"/>
        <v/>
      </c>
      <c r="BX28" t="str">
        <f>IF(C28="", "", _xlfn.XLOOKUP(C28,Constants!$A$20:$A$24,Constants!$B$20:$B$24))</f>
        <v/>
      </c>
      <c r="BY28" t="str">
        <f>IF(BU28="","",Constants!$J$2)</f>
        <v/>
      </c>
      <c r="BZ28" t="str">
        <f t="shared" si="30"/>
        <v/>
      </c>
    </row>
    <row r="29" spans="1:88" x14ac:dyDescent="0.2">
      <c r="BS29" t="str">
        <f>IF(L29="", "",IF( L29="pastureRangeAndPaddock",Y29*Constants!$K$2, Y29*S29))</f>
        <v/>
      </c>
      <c r="BT29" t="str">
        <f t="shared" si="28"/>
        <v/>
      </c>
      <c r="BU29" t="str">
        <f t="shared" si="29"/>
        <v/>
      </c>
      <c r="BX29" t="str">
        <f>IF(C29="", "", _xlfn.XLOOKUP(C29,Constants!$A$20:$A$24,Constants!$B$20:$B$24))</f>
        <v/>
      </c>
      <c r="BY29" t="str">
        <f>IF(BU29="","",Constants!$J$2)</f>
        <v/>
      </c>
      <c r="BZ29" t="str">
        <f t="shared" si="30"/>
        <v/>
      </c>
    </row>
    <row r="30" spans="1:88" s="11" customFormat="1" x14ac:dyDescent="0.2">
      <c r="A30"/>
      <c r="B30"/>
      <c r="C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t="str">
        <f>IF(L30="", "",IF( L30="pastureRangeAndPaddock",Y30*Constants!$K$2, Y30*S30))</f>
        <v/>
      </c>
      <c r="BT30" t="str">
        <f t="shared" si="28"/>
        <v/>
      </c>
      <c r="BU30" t="str">
        <f t="shared" si="29"/>
        <v/>
      </c>
      <c r="BV30"/>
      <c r="BW30"/>
      <c r="BX30" t="str">
        <f>IF(C30="", "", _xlfn.XLOOKUP(C30,Constants!$A$20:$A$24,Constants!$B$20:$B$24))</f>
        <v/>
      </c>
      <c r="BY30" t="str">
        <f>IF(BU30="","",Constants!$J$2)</f>
        <v/>
      </c>
      <c r="BZ30" t="str">
        <f t="shared" si="3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C313-FFED-AE4E-A4C3-AD3D7A0880EA}">
  <dimension ref="A2:CJ30"/>
  <sheetViews>
    <sheetView workbookViewId="0">
      <selection activeCell="A11" sqref="A11:AE26"/>
    </sheetView>
  </sheetViews>
  <sheetFormatPr baseColWidth="10" defaultRowHeight="16" x14ac:dyDescent="0.2"/>
  <cols>
    <col min="25" max="26" width="12.1640625" bestFit="1" customWidth="1"/>
    <col min="28" max="28" width="12.1640625" bestFit="1" customWidth="1"/>
    <col min="29" max="70" width="12.1640625" customWidth="1"/>
  </cols>
  <sheetData>
    <row r="2" spans="1:88" x14ac:dyDescent="0.2">
      <c r="A2" t="s">
        <v>30</v>
      </c>
    </row>
    <row r="4" spans="1:88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88" x14ac:dyDescent="0.2">
      <c r="K5" t="s">
        <v>0</v>
      </c>
      <c r="AF5" t="s">
        <v>0</v>
      </c>
      <c r="BF5" t="s">
        <v>97</v>
      </c>
    </row>
    <row r="6" spans="1:88" x14ac:dyDescent="0.2">
      <c r="BF6" t="s">
        <v>91</v>
      </c>
    </row>
    <row r="8" spans="1:88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88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182</v>
      </c>
      <c r="BK10" s="1" t="s">
        <v>183</v>
      </c>
      <c r="BL10" s="1" t="s">
        <v>184</v>
      </c>
      <c r="BM10" s="1" t="s">
        <v>185</v>
      </c>
      <c r="BN10" s="1" t="s">
        <v>196</v>
      </c>
      <c r="BO10" s="1" t="s">
        <v>197</v>
      </c>
      <c r="BP10" s="1" t="s">
        <v>198</v>
      </c>
      <c r="BQ10" s="1" t="s">
        <v>200</v>
      </c>
      <c r="BR10" s="1" t="s">
        <v>201</v>
      </c>
      <c r="BS10" s="1" t="s">
        <v>202</v>
      </c>
      <c r="BT10" s="1" t="s">
        <v>203</v>
      </c>
      <c r="BU10" s="1" t="s">
        <v>101</v>
      </c>
      <c r="BV10" s="1" t="s">
        <v>99</v>
      </c>
      <c r="BW10" s="1" t="s">
        <v>199</v>
      </c>
      <c r="BX10" s="1" t="s">
        <v>66</v>
      </c>
      <c r="BY10" s="1" t="s">
        <v>96</v>
      </c>
      <c r="BZ10" s="10" t="s">
        <v>204</v>
      </c>
      <c r="CA10" s="10" t="s">
        <v>205</v>
      </c>
      <c r="CB10" s="10" t="s">
        <v>100</v>
      </c>
    </row>
    <row r="11" spans="1:88" x14ac:dyDescent="0.2">
      <c r="A11" t="str">
        <f>'Input Scenarios'!A32</f>
        <v>NSW</v>
      </c>
      <c r="B11">
        <f>'Input Scenarios'!B32</f>
        <v>13</v>
      </c>
      <c r="C11" t="str">
        <f>'Input Scenarios'!C32</f>
        <v>Non-irrigated pasture</v>
      </c>
      <c r="D11" t="str">
        <f>'Input Scenarios'!D32</f>
        <v>wet</v>
      </c>
      <c r="E11" t="b">
        <f>'Input Scenarios'!E32</f>
        <v>1</v>
      </c>
      <c r="F11" t="str">
        <f>'Input Scenarios'!F32</f>
        <v>layers</v>
      </c>
      <c r="G11">
        <f>'Input Scenarios'!G32</f>
        <v>5000</v>
      </c>
      <c r="H11">
        <f>'Input Scenarios'!H32</f>
        <v>50</v>
      </c>
      <c r="I11">
        <f>IF('Input Scenarios'!I32&lt;&gt;"", 'Input Scenarios'!I32,_xlfn.XLOOKUP($F11,Constants!$A$2:$A$5,Constants!B$2:B$5))</f>
        <v>8.7999999999999995E-2</v>
      </c>
      <c r="J11">
        <f>IF('Input Scenarios'!J32&lt;&gt;"", 'Input Scenarios'!J32,_xlfn.XLOOKUP($F11,Constants!$A$2:$A$5,Constants!C$2:C$5))</f>
        <v>0.8</v>
      </c>
      <c r="K11">
        <f>IF('Input Scenarios'!K32&lt;&gt;"", 'Input Scenarios'!K32,_xlfn.XLOOKUP($F11,Constants!$A$2:$A$5,Constants!D$2:D$5))</f>
        <v>0.2</v>
      </c>
      <c r="L11">
        <f>IF('Input Scenarios'!L32&lt;&gt;"", 'Input Scenarios'!L32,_xlfn.XLOOKUP($F11,Constants!$A$2:$A$5,Constants!E$2:E$5))</f>
        <v>0.35</v>
      </c>
      <c r="M11">
        <f>'Input Scenarios'!M32</f>
        <v>0.1</v>
      </c>
      <c r="N11">
        <f>'Input Scenarios'!N32</f>
        <v>0.2</v>
      </c>
      <c r="O11">
        <f>'Input Scenarios'!O32</f>
        <v>0.3</v>
      </c>
      <c r="P11">
        <f>'Input Scenarios'!P32</f>
        <v>0.4</v>
      </c>
      <c r="Q11">
        <f>'Input Scenarios'!Q32</f>
        <v>0.5</v>
      </c>
      <c r="R11">
        <f>'Input Scenarios'!R32</f>
        <v>0.5</v>
      </c>
      <c r="S11">
        <f>'Input Scenarios'!S32</f>
        <v>0</v>
      </c>
      <c r="T11">
        <f>'Input Scenarios'!T32</f>
        <v>0</v>
      </c>
      <c r="U11">
        <f>'Input Scenarios'!U32</f>
        <v>0</v>
      </c>
      <c r="V11">
        <f>'Input Scenarios'!V32</f>
        <v>0</v>
      </c>
      <c r="W11">
        <f>'Input Scenarios'!W32</f>
        <v>0</v>
      </c>
      <c r="X11">
        <f>'Input Scenarios'!X32</f>
        <v>0.75</v>
      </c>
      <c r="Y11">
        <f>'Input Scenarios'!Y32</f>
        <v>0.25</v>
      </c>
      <c r="Z11">
        <f>'Input Scenarios'!Z32</f>
        <v>0</v>
      </c>
      <c r="AA11">
        <f>'Input Scenarios'!AA32</f>
        <v>0</v>
      </c>
      <c r="AB11">
        <f>'Input Scenarios'!AB32</f>
        <v>0</v>
      </c>
      <c r="AC11">
        <f>'Input Scenarios'!AC32</f>
        <v>0</v>
      </c>
      <c r="AD11">
        <f>'Input Scenarios'!AD32</f>
        <v>0</v>
      </c>
      <c r="AE11">
        <f>'Input Scenarios'!AE32</f>
        <v>1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2.8160000000000004E-3</v>
      </c>
      <c r="AZ11">
        <f>AY11*(1-L11)</f>
        <v>1.8304000000000003E-3</v>
      </c>
      <c r="BA11">
        <f t="shared" ref="BA11:BA26" si="0">G11*AZ11*H11</f>
        <v>457.6</v>
      </c>
      <c r="BB11">
        <f t="shared" ref="BB11:BE26" si="1">$BA11*M11</f>
        <v>45.760000000000005</v>
      </c>
      <c r="BC11">
        <f t="shared" si="1"/>
        <v>91.52000000000001</v>
      </c>
      <c r="BD11">
        <f t="shared" si="1"/>
        <v>137.28</v>
      </c>
      <c r="BE11">
        <f t="shared" si="1"/>
        <v>183.04000000000002</v>
      </c>
      <c r="BF11">
        <f t="shared" ref="BF11:BH26" si="2">(BB11*(1-AG11-AK11))</f>
        <v>31.986240000000002</v>
      </c>
      <c r="BG11">
        <f t="shared" si="2"/>
        <v>86.85248</v>
      </c>
      <c r="BH11">
        <f t="shared" si="2"/>
        <v>82.230719999999991</v>
      </c>
      <c r="BI11">
        <f t="shared" ref="BI11:BM26" si="3">($BF11*Q11)+($BG11*V11)+($BH11*AA11)</f>
        <v>15.993120000000001</v>
      </c>
      <c r="BJ11">
        <f t="shared" si="3"/>
        <v>15.993120000000001</v>
      </c>
      <c r="BK11">
        <f t="shared" si="3"/>
        <v>65.139359999999996</v>
      </c>
      <c r="BL11">
        <f t="shared" si="3"/>
        <v>21.71312</v>
      </c>
      <c r="BM11">
        <f t="shared" si="3"/>
        <v>82.230719999999991</v>
      </c>
      <c r="BN11">
        <f>BB11*AG11</f>
        <v>13.728000000000002</v>
      </c>
      <c r="BO11">
        <f t="shared" ref="BO11:BP26" si="4">BC11*AH11</f>
        <v>4.5760000000000005</v>
      </c>
      <c r="BP11">
        <f t="shared" si="4"/>
        <v>54.912000000000006</v>
      </c>
      <c r="BQ11">
        <f>BI11*AO11</f>
        <v>3.1986240000000006</v>
      </c>
      <c r="BR11">
        <f t="shared" ref="BR11:BT26" si="5">BJ11*AP11</f>
        <v>3.1986240000000006</v>
      </c>
      <c r="BS11">
        <f t="shared" si="5"/>
        <v>0</v>
      </c>
      <c r="BT11">
        <f t="shared" si="5"/>
        <v>0</v>
      </c>
      <c r="BU11">
        <f>SUM(BN11:BT11)</f>
        <v>79.613247999999999</v>
      </c>
      <c r="BV11">
        <f>Constants!$K$2</f>
        <v>0.21</v>
      </c>
      <c r="BW11">
        <f>BE11*BV11</f>
        <v>38.438400000000001</v>
      </c>
      <c r="BX11">
        <f>IF(C11="", "", _xlfn.XLOOKUP(C11,Constants!$A$20:$A$24,Constants!$B$20:$B$24))</f>
        <v>1.8E-3</v>
      </c>
      <c r="BY11">
        <f>IF(BU11="","",Constants!$J$2)</f>
        <v>1.57</v>
      </c>
      <c r="BZ11">
        <f>BU11*BX11*BY11</f>
        <v>0.224987038848</v>
      </c>
      <c r="CA11">
        <f>BW11*BX11*BY11</f>
        <v>0.10862691840000001</v>
      </c>
      <c r="CB11">
        <f>SUM(BZ11:CA14)/1000</f>
        <v>1.3425337193904003E-3</v>
      </c>
    </row>
    <row r="12" spans="1:88" x14ac:dyDescent="0.2">
      <c r="A12" t="str">
        <f>'Input Scenarios'!A33</f>
        <v>NSW</v>
      </c>
      <c r="B12">
        <f>'Input Scenarios'!B33</f>
        <v>13</v>
      </c>
      <c r="C12" t="str">
        <f>'Input Scenarios'!C33</f>
        <v>Non-irrigated pasture</v>
      </c>
      <c r="D12" t="str">
        <f>'Input Scenarios'!D33</f>
        <v>wet</v>
      </c>
      <c r="E12" t="b">
        <f>'Input Scenarios'!E33</f>
        <v>1</v>
      </c>
      <c r="F12" t="str">
        <f>'Input Scenarios'!F33</f>
        <v>meatChickenBreeder</v>
      </c>
      <c r="G12">
        <f>'Input Scenarios'!G33</f>
        <v>5000</v>
      </c>
      <c r="H12">
        <f>'Input Scenarios'!H33</f>
        <v>50</v>
      </c>
      <c r="I12">
        <f>IF('Input Scenarios'!I33&lt;&gt;"", 'Input Scenarios'!I33,_xlfn.XLOOKUP($F12,Constants!$A$2:$A$5,Constants!B$2:B$5))</f>
        <v>0.1</v>
      </c>
      <c r="J12">
        <f>IF('Input Scenarios'!J33&lt;&gt;"", 'Input Scenarios'!J33,_xlfn.XLOOKUP($F12,Constants!$A$2:$A$5,Constants!C$2:C$5))</f>
        <v>0.8</v>
      </c>
      <c r="K12">
        <f>IF('Input Scenarios'!K33&lt;&gt;"", 'Input Scenarios'!K33,_xlfn.XLOOKUP($F12,Constants!$A$2:$A$5,Constants!D$2:D$5))</f>
        <v>0.19</v>
      </c>
      <c r="L12">
        <f>IF('Input Scenarios'!L33&lt;&gt;"", 'Input Scenarios'!L33,_xlfn.XLOOKUP($F12,Constants!$A$2:$A$5,Constants!E$2:E$5))</f>
        <v>0.32</v>
      </c>
      <c r="M12">
        <f>'Input Scenarios'!M33</f>
        <v>0.1</v>
      </c>
      <c r="N12">
        <f>'Input Scenarios'!N33</f>
        <v>0.2</v>
      </c>
      <c r="O12">
        <f>'Input Scenarios'!O33</f>
        <v>0.3</v>
      </c>
      <c r="P12">
        <f>'Input Scenarios'!P33</f>
        <v>0.4</v>
      </c>
      <c r="Q12">
        <f>'Input Scenarios'!Q33</f>
        <v>0.5</v>
      </c>
      <c r="R12">
        <f>'Input Scenarios'!R33</f>
        <v>0.5</v>
      </c>
      <c r="S12">
        <f>'Input Scenarios'!S33</f>
        <v>0</v>
      </c>
      <c r="T12">
        <f>'Input Scenarios'!T33</f>
        <v>0</v>
      </c>
      <c r="U12">
        <f>'Input Scenarios'!U33</f>
        <v>0</v>
      </c>
      <c r="V12">
        <f>'Input Scenarios'!V33</f>
        <v>0</v>
      </c>
      <c r="W12">
        <f>'Input Scenarios'!W33</f>
        <v>0</v>
      </c>
      <c r="X12">
        <f>'Input Scenarios'!X33</f>
        <v>0.75</v>
      </c>
      <c r="Y12">
        <f>'Input Scenarios'!Y33</f>
        <v>0.25</v>
      </c>
      <c r="Z12">
        <f>'Input Scenarios'!Z33</f>
        <v>0</v>
      </c>
      <c r="AA12">
        <f>'Input Scenarios'!AA33</f>
        <v>0</v>
      </c>
      <c r="AB12">
        <f>'Input Scenarios'!AB33</f>
        <v>0</v>
      </c>
      <c r="AC12">
        <f>'Input Scenarios'!AC33</f>
        <v>0</v>
      </c>
      <c r="AD12">
        <f>'Input Scenarios'!AD33</f>
        <v>0</v>
      </c>
      <c r="AE12">
        <f>'Input Scenarios'!AE33</f>
        <v>1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6">I12*K12/6.25</f>
        <v>3.0400000000000006E-3</v>
      </c>
      <c r="AZ12">
        <f t="shared" ref="AZ12:AZ26" si="7">AY12*(1-L12)</f>
        <v>2.0672000000000004E-3</v>
      </c>
      <c r="BA12">
        <f t="shared" si="0"/>
        <v>516.80000000000007</v>
      </c>
      <c r="BB12">
        <f t="shared" si="1"/>
        <v>51.680000000000007</v>
      </c>
      <c r="BC12">
        <f t="shared" si="1"/>
        <v>103.36000000000001</v>
      </c>
      <c r="BD12">
        <f t="shared" si="1"/>
        <v>155.04000000000002</v>
      </c>
      <c r="BE12">
        <f t="shared" si="1"/>
        <v>206.72000000000003</v>
      </c>
      <c r="BF12">
        <f t="shared" si="2"/>
        <v>36.124320000000004</v>
      </c>
      <c r="BG12">
        <f t="shared" si="2"/>
        <v>98.088640000000012</v>
      </c>
      <c r="BH12">
        <f t="shared" si="2"/>
        <v>92.868960000000015</v>
      </c>
      <c r="BI12">
        <f t="shared" si="3"/>
        <v>18.062160000000002</v>
      </c>
      <c r="BJ12">
        <f t="shared" si="3"/>
        <v>18.062160000000002</v>
      </c>
      <c r="BK12">
        <f t="shared" si="3"/>
        <v>73.566480000000013</v>
      </c>
      <c r="BL12">
        <f t="shared" si="3"/>
        <v>24.522160000000003</v>
      </c>
      <c r="BM12">
        <f t="shared" si="3"/>
        <v>92.868960000000015</v>
      </c>
      <c r="BN12">
        <f t="shared" ref="BN12:BN26" si="8">BB12*AG12</f>
        <v>15.504000000000001</v>
      </c>
      <c r="BO12">
        <f t="shared" si="4"/>
        <v>5.168000000000001</v>
      </c>
      <c r="BP12">
        <f t="shared" si="4"/>
        <v>62.016000000000012</v>
      </c>
      <c r="BQ12">
        <f t="shared" ref="BQ12:BQ26" si="9">BI12*AO12</f>
        <v>3.6124320000000005</v>
      </c>
      <c r="BR12">
        <f t="shared" si="5"/>
        <v>3.6124320000000005</v>
      </c>
      <c r="BS12">
        <f t="shared" si="5"/>
        <v>0</v>
      </c>
      <c r="BT12">
        <f t="shared" si="5"/>
        <v>0</v>
      </c>
      <c r="BU12">
        <f t="shared" ref="BU12:BU26" si="10">SUM(BN12:BT12)</f>
        <v>89.912864000000013</v>
      </c>
      <c r="BV12">
        <f>Constants!$K$2</f>
        <v>0.21</v>
      </c>
      <c r="BW12">
        <f t="shared" ref="BW12:BW26" si="11">BE12*BV12</f>
        <v>43.411200000000001</v>
      </c>
      <c r="BX12">
        <f>IF(C12="", "", _xlfn.XLOOKUP(C12,Constants!$A$20:$A$24,Constants!$B$20:$B$24))</f>
        <v>1.8E-3</v>
      </c>
      <c r="BY12">
        <f>IF(BU12="","",Constants!$J$2)</f>
        <v>1.57</v>
      </c>
      <c r="BZ12">
        <f t="shared" ref="BZ12:BZ26" si="12">BU12*BX12*BY12</f>
        <v>0.25409375366400005</v>
      </c>
      <c r="CA12">
        <f t="shared" ref="CA12:CA26" si="13">BW12*BX12*BY12</f>
        <v>0.1226800512</v>
      </c>
    </row>
    <row r="13" spans="1:88" x14ac:dyDescent="0.2">
      <c r="A13" t="str">
        <f>'Input Scenarios'!A34</f>
        <v>NSW</v>
      </c>
      <c r="B13">
        <f>'Input Scenarios'!B34</f>
        <v>13</v>
      </c>
      <c r="C13" t="str">
        <f>'Input Scenarios'!C34</f>
        <v>Non-irrigated pasture</v>
      </c>
      <c r="D13" t="str">
        <f>'Input Scenarios'!D34</f>
        <v>wet</v>
      </c>
      <c r="E13" t="b">
        <f>'Input Scenarios'!E34</f>
        <v>1</v>
      </c>
      <c r="F13" t="str">
        <f>'Input Scenarios'!F34</f>
        <v>meatChickenGrowers</v>
      </c>
      <c r="G13">
        <f>'Input Scenarios'!G34</f>
        <v>5000</v>
      </c>
      <c r="H13">
        <f>'Input Scenarios'!H34</f>
        <v>50</v>
      </c>
      <c r="I13">
        <f>IF('Input Scenarios'!I34&lt;&gt;"", 'Input Scenarios'!I34,_xlfn.XLOOKUP($F13,Constants!$A$2:$A$5,Constants!B$2:B$5))</f>
        <v>0.09</v>
      </c>
      <c r="J13">
        <f>IF('Input Scenarios'!J34&lt;&gt;"", 'Input Scenarios'!J34,_xlfn.XLOOKUP($F13,Constants!$A$2:$A$5,Constants!C$2:C$5))</f>
        <v>0.8</v>
      </c>
      <c r="K13">
        <f>IF('Input Scenarios'!K34&lt;&gt;"", 'Input Scenarios'!K34,_xlfn.XLOOKUP($F13,Constants!$A$2:$A$5,Constants!D$2:D$5))</f>
        <v>0.25</v>
      </c>
      <c r="L13">
        <f>IF('Input Scenarios'!L34&lt;&gt;"", 'Input Scenarios'!L34,_xlfn.XLOOKUP($F13,Constants!$A$2:$A$5,Constants!E$2:E$5))</f>
        <v>0.47</v>
      </c>
      <c r="M13">
        <f>'Input Scenarios'!M34</f>
        <v>0.1</v>
      </c>
      <c r="N13">
        <f>'Input Scenarios'!N34</f>
        <v>0.2</v>
      </c>
      <c r="O13">
        <f>'Input Scenarios'!O34</f>
        <v>0.3</v>
      </c>
      <c r="P13">
        <f>'Input Scenarios'!P34</f>
        <v>0.4</v>
      </c>
      <c r="Q13">
        <f>'Input Scenarios'!Q34</f>
        <v>0.5</v>
      </c>
      <c r="R13">
        <f>'Input Scenarios'!R34</f>
        <v>0.5</v>
      </c>
      <c r="S13">
        <f>'Input Scenarios'!S34</f>
        <v>0</v>
      </c>
      <c r="T13">
        <f>'Input Scenarios'!T34</f>
        <v>0</v>
      </c>
      <c r="U13">
        <f>'Input Scenarios'!U34</f>
        <v>0</v>
      </c>
      <c r="V13">
        <f>'Input Scenarios'!V34</f>
        <v>0</v>
      </c>
      <c r="W13">
        <f>'Input Scenarios'!W34</f>
        <v>0</v>
      </c>
      <c r="X13">
        <f>'Input Scenarios'!X34</f>
        <v>0.75</v>
      </c>
      <c r="Y13">
        <f>'Input Scenarios'!Y34</f>
        <v>0.25</v>
      </c>
      <c r="Z13">
        <f>'Input Scenarios'!Z34</f>
        <v>0</v>
      </c>
      <c r="AA13">
        <f>'Input Scenarios'!AA34</f>
        <v>0</v>
      </c>
      <c r="AB13">
        <f>'Input Scenarios'!AB34</f>
        <v>0</v>
      </c>
      <c r="AC13">
        <f>'Input Scenarios'!AC34</f>
        <v>0</v>
      </c>
      <c r="AD13">
        <f>'Input Scenarios'!AD34</f>
        <v>0</v>
      </c>
      <c r="AE13">
        <f>'Input Scenarios'!AE34</f>
        <v>1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6"/>
        <v>3.5999999999999999E-3</v>
      </c>
      <c r="AZ13">
        <f t="shared" si="7"/>
        <v>1.908E-3</v>
      </c>
      <c r="BA13">
        <f t="shared" si="0"/>
        <v>476.99999999999994</v>
      </c>
      <c r="BB13">
        <f t="shared" si="1"/>
        <v>47.699999999999996</v>
      </c>
      <c r="BC13">
        <f t="shared" si="1"/>
        <v>95.399999999999991</v>
      </c>
      <c r="BD13">
        <f t="shared" si="1"/>
        <v>143.09999999999997</v>
      </c>
      <c r="BE13">
        <f t="shared" si="1"/>
        <v>190.79999999999998</v>
      </c>
      <c r="BF13">
        <f t="shared" si="2"/>
        <v>33.342299999999994</v>
      </c>
      <c r="BG13">
        <f t="shared" si="2"/>
        <v>90.534599999999983</v>
      </c>
      <c r="BH13">
        <f t="shared" si="2"/>
        <v>85.716899999999981</v>
      </c>
      <c r="BI13">
        <f t="shared" si="3"/>
        <v>16.671149999999997</v>
      </c>
      <c r="BJ13">
        <f t="shared" si="3"/>
        <v>16.671149999999997</v>
      </c>
      <c r="BK13">
        <f t="shared" si="3"/>
        <v>67.900949999999995</v>
      </c>
      <c r="BL13">
        <f t="shared" si="3"/>
        <v>22.633649999999996</v>
      </c>
      <c r="BM13">
        <f t="shared" si="3"/>
        <v>85.716899999999981</v>
      </c>
      <c r="BN13">
        <f t="shared" si="8"/>
        <v>14.309999999999999</v>
      </c>
      <c r="BO13">
        <f t="shared" si="4"/>
        <v>4.7699999999999996</v>
      </c>
      <c r="BP13">
        <f t="shared" si="4"/>
        <v>57.239999999999988</v>
      </c>
      <c r="BQ13">
        <f t="shared" si="9"/>
        <v>3.3342299999999998</v>
      </c>
      <c r="BR13">
        <f t="shared" si="5"/>
        <v>3.3342299999999998</v>
      </c>
      <c r="BS13">
        <f t="shared" si="5"/>
        <v>0</v>
      </c>
      <c r="BT13">
        <f t="shared" si="5"/>
        <v>0</v>
      </c>
      <c r="BU13">
        <f t="shared" si="10"/>
        <v>82.988460000000003</v>
      </c>
      <c r="BV13">
        <f>Constants!$K$2</f>
        <v>0.21</v>
      </c>
      <c r="BW13">
        <f t="shared" si="11"/>
        <v>40.067999999999998</v>
      </c>
      <c r="BX13">
        <f>IF(C13="", "", _xlfn.XLOOKUP(C13,Constants!$A$20:$A$24,Constants!$B$20:$B$24))</f>
        <v>1.8E-3</v>
      </c>
      <c r="BY13">
        <f>IF(BU13="","",Constants!$J$2)</f>
        <v>1.57</v>
      </c>
      <c r="BZ13">
        <f t="shared" si="12"/>
        <v>0.23452538796000003</v>
      </c>
      <c r="CA13">
        <f t="shared" si="13"/>
        <v>0.11323216799999999</v>
      </c>
    </row>
    <row r="14" spans="1:88" x14ac:dyDescent="0.2">
      <c r="A14" t="str">
        <f>'Input Scenarios'!A35</f>
        <v>NSW</v>
      </c>
      <c r="B14">
        <f>'Input Scenarios'!B35</f>
        <v>13</v>
      </c>
      <c r="C14" t="str">
        <f>'Input Scenarios'!C35</f>
        <v>Non-irrigated pasture</v>
      </c>
      <c r="D14" t="str">
        <f>'Input Scenarios'!D35</f>
        <v>wet</v>
      </c>
      <c r="E14" t="b">
        <f>'Input Scenarios'!E35</f>
        <v>1</v>
      </c>
      <c r="F14" t="str">
        <f>'Input Scenarios'!F35</f>
        <v>meatOther</v>
      </c>
      <c r="G14">
        <f>'Input Scenarios'!G35</f>
        <v>5000</v>
      </c>
      <c r="H14">
        <f>'Input Scenarios'!H35</f>
        <v>50</v>
      </c>
      <c r="I14">
        <f>IF('Input Scenarios'!I35&lt;&gt;"", 'Input Scenarios'!I35,_xlfn.XLOOKUP($F14,Constants!$A$2:$A$5,Constants!B$2:B$5))</f>
        <v>0.08</v>
      </c>
      <c r="J14">
        <f>IF('Input Scenarios'!J35&lt;&gt;"", 'Input Scenarios'!J35,_xlfn.XLOOKUP($F14,Constants!$A$2:$A$5,Constants!C$2:C$5))</f>
        <v>0.8</v>
      </c>
      <c r="K14">
        <f>IF('Input Scenarios'!K35&lt;&gt;"", 'Input Scenarios'!K35,_xlfn.XLOOKUP($F14,Constants!$A$2:$A$5,Constants!D$2:D$5))</f>
        <v>0.23</v>
      </c>
      <c r="L14">
        <f>IF('Input Scenarios'!L35&lt;&gt;"", 'Input Scenarios'!L35,_xlfn.XLOOKUP($F14,Constants!$A$2:$A$5,Constants!E$2:E$5))</f>
        <v>0.47</v>
      </c>
      <c r="M14">
        <f>'Input Scenarios'!M35</f>
        <v>0.1</v>
      </c>
      <c r="N14">
        <f>'Input Scenarios'!N35</f>
        <v>0.2</v>
      </c>
      <c r="O14">
        <f>'Input Scenarios'!O35</f>
        <v>0.3</v>
      </c>
      <c r="P14">
        <f>'Input Scenarios'!P35</f>
        <v>0.4</v>
      </c>
      <c r="Q14">
        <f>'Input Scenarios'!Q35</f>
        <v>0.5</v>
      </c>
      <c r="R14">
        <f>'Input Scenarios'!R35</f>
        <v>0.5</v>
      </c>
      <c r="S14">
        <f>'Input Scenarios'!S35</f>
        <v>0</v>
      </c>
      <c r="T14">
        <f>'Input Scenarios'!T35</f>
        <v>0</v>
      </c>
      <c r="U14">
        <f>'Input Scenarios'!U35</f>
        <v>0</v>
      </c>
      <c r="V14">
        <f>'Input Scenarios'!V35</f>
        <v>0</v>
      </c>
      <c r="W14">
        <f>'Input Scenarios'!W35</f>
        <v>0</v>
      </c>
      <c r="X14">
        <f>'Input Scenarios'!X35</f>
        <v>0.75</v>
      </c>
      <c r="Y14">
        <f>'Input Scenarios'!Y35</f>
        <v>0.25</v>
      </c>
      <c r="Z14">
        <f>'Input Scenarios'!Z35</f>
        <v>0</v>
      </c>
      <c r="AA14">
        <f>'Input Scenarios'!AA35</f>
        <v>0</v>
      </c>
      <c r="AB14">
        <f>'Input Scenarios'!AB35</f>
        <v>0</v>
      </c>
      <c r="AC14">
        <f>'Input Scenarios'!AC35</f>
        <v>0</v>
      </c>
      <c r="AD14">
        <f>'Input Scenarios'!AD35</f>
        <v>0</v>
      </c>
      <c r="AE14">
        <f>'Input Scenarios'!AE35</f>
        <v>1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6"/>
        <v>2.944E-3</v>
      </c>
      <c r="AZ14">
        <f t="shared" si="7"/>
        <v>1.56032E-3</v>
      </c>
      <c r="BA14">
        <f t="shared" si="0"/>
        <v>390.08000000000004</v>
      </c>
      <c r="BB14">
        <f t="shared" si="1"/>
        <v>39.00800000000001</v>
      </c>
      <c r="BC14">
        <f t="shared" si="1"/>
        <v>78.01600000000002</v>
      </c>
      <c r="BD14">
        <f t="shared" si="1"/>
        <v>117.024</v>
      </c>
      <c r="BE14">
        <f t="shared" si="1"/>
        <v>156.03200000000004</v>
      </c>
      <c r="BF14">
        <f t="shared" si="2"/>
        <v>27.266592000000006</v>
      </c>
      <c r="BG14">
        <f t="shared" si="2"/>
        <v>74.037184000000011</v>
      </c>
      <c r="BH14">
        <f t="shared" si="2"/>
        <v>70.097375999999997</v>
      </c>
      <c r="BI14">
        <f t="shared" si="3"/>
        <v>13.633296000000003</v>
      </c>
      <c r="BJ14">
        <f t="shared" si="3"/>
        <v>13.633296000000003</v>
      </c>
      <c r="BK14">
        <f t="shared" si="3"/>
        <v>55.527888000000004</v>
      </c>
      <c r="BL14">
        <f t="shared" si="3"/>
        <v>18.509296000000003</v>
      </c>
      <c r="BM14">
        <f t="shared" si="3"/>
        <v>70.097375999999997</v>
      </c>
      <c r="BN14">
        <f t="shared" si="8"/>
        <v>11.702400000000003</v>
      </c>
      <c r="BO14">
        <f t="shared" si="4"/>
        <v>3.9008000000000012</v>
      </c>
      <c r="BP14">
        <f t="shared" si="4"/>
        <v>46.809600000000003</v>
      </c>
      <c r="BQ14">
        <f t="shared" si="9"/>
        <v>2.7266592000000007</v>
      </c>
      <c r="BR14">
        <f t="shared" si="5"/>
        <v>2.7266592000000007</v>
      </c>
      <c r="BS14">
        <f t="shared" si="5"/>
        <v>0</v>
      </c>
      <c r="BT14">
        <f t="shared" si="5"/>
        <v>0</v>
      </c>
      <c r="BU14">
        <f t="shared" si="10"/>
        <v>67.866118400000005</v>
      </c>
      <c r="BV14">
        <f>Constants!$K$2</f>
        <v>0.21</v>
      </c>
      <c r="BW14">
        <f t="shared" si="11"/>
        <v>32.766720000000007</v>
      </c>
      <c r="BX14">
        <f>IF(C14="", "", _xlfn.XLOOKUP(C14,Constants!$A$20:$A$24,Constants!$B$20:$B$24))</f>
        <v>1.8E-3</v>
      </c>
      <c r="BY14">
        <f>IF(BU14="","",Constants!$J$2)</f>
        <v>1.57</v>
      </c>
      <c r="BZ14">
        <f t="shared" si="12"/>
        <v>0.19178965059840003</v>
      </c>
      <c r="CA14">
        <f t="shared" si="13"/>
        <v>9.2598750720000025E-2</v>
      </c>
    </row>
    <row r="15" spans="1:88" s="11" customFormat="1" x14ac:dyDescent="0.2">
      <c r="A15" t="str">
        <f>'Input Scenarios'!A36</f>
        <v>QLD</v>
      </c>
      <c r="B15">
        <f>'Input Scenarios'!B36</f>
        <v>15</v>
      </c>
      <c r="C15" t="str">
        <f>'Input Scenarios'!C36</f>
        <v>Irrigated crop</v>
      </c>
      <c r="D15" t="str">
        <f>'Input Scenarios'!D36</f>
        <v>dry</v>
      </c>
      <c r="E15" t="b">
        <f>'Input Scenarios'!E36</f>
        <v>1</v>
      </c>
      <c r="F15" t="str">
        <f>'Input Scenarios'!F36</f>
        <v>layers</v>
      </c>
      <c r="G15">
        <f>'Input Scenarios'!G36</f>
        <v>2250</v>
      </c>
      <c r="H15">
        <f>'Input Scenarios'!H36</f>
        <v>125</v>
      </c>
      <c r="I15">
        <f>IF('Input Scenarios'!I36&lt;&gt;"", 'Input Scenarios'!I36,_xlfn.XLOOKUP($F15,Constants!$A$2:$A$5,Constants!B$2:B$5))</f>
        <v>0.06</v>
      </c>
      <c r="J15">
        <f>IF('Input Scenarios'!J36&lt;&gt;"", 'Input Scenarios'!J36,_xlfn.XLOOKUP($F15,Constants!$A$2:$A$5,Constants!C$2:C$5))</f>
        <v>0.9</v>
      </c>
      <c r="K15">
        <f>IF('Input Scenarios'!K36&lt;&gt;"", 'Input Scenarios'!K36,_xlfn.XLOOKUP($F15,Constants!$A$2:$A$5,Constants!D$2:D$5))</f>
        <v>0.24</v>
      </c>
      <c r="L15">
        <f>IF('Input Scenarios'!L36&lt;&gt;"", 'Input Scenarios'!L36,_xlfn.XLOOKUP($F15,Constants!$A$2:$A$5,Constants!E$2:E$5))</f>
        <v>0.35</v>
      </c>
      <c r="M15">
        <f>'Input Scenarios'!M36</f>
        <v>0.4</v>
      </c>
      <c r="N15">
        <f>'Input Scenarios'!N36</f>
        <v>0.3</v>
      </c>
      <c r="O15">
        <f>'Input Scenarios'!O36</f>
        <v>0.2</v>
      </c>
      <c r="P15">
        <f>'Input Scenarios'!P36</f>
        <v>0.1</v>
      </c>
      <c r="Q15">
        <f>'Input Scenarios'!Q36</f>
        <v>0.2</v>
      </c>
      <c r="R15">
        <f>'Input Scenarios'!R36</f>
        <v>0.25</v>
      </c>
      <c r="S15">
        <f>'Input Scenarios'!S36</f>
        <v>0.2</v>
      </c>
      <c r="T15">
        <f>'Input Scenarios'!T36</f>
        <v>0.25</v>
      </c>
      <c r="U15">
        <f>'Input Scenarios'!U36</f>
        <v>0.1</v>
      </c>
      <c r="V15">
        <f>'Input Scenarios'!V36</f>
        <v>0.34</v>
      </c>
      <c r="W15">
        <f>'Input Scenarios'!W36</f>
        <v>0.6</v>
      </c>
      <c r="X15">
        <f>'Input Scenarios'!X36</f>
        <v>0</v>
      </c>
      <c r="Y15">
        <f>'Input Scenarios'!Y36</f>
        <v>0</v>
      </c>
      <c r="Z15">
        <f>'Input Scenarios'!Z36</f>
        <v>0.06</v>
      </c>
      <c r="AA15">
        <f>'Input Scenarios'!AA36</f>
        <v>0.5</v>
      </c>
      <c r="AB15">
        <f>'Input Scenarios'!AB36</f>
        <v>0.25</v>
      </c>
      <c r="AC15">
        <f>'Input Scenarios'!AC36</f>
        <v>0.25</v>
      </c>
      <c r="AD15">
        <f>'Input Scenarios'!AD36</f>
        <v>0</v>
      </c>
      <c r="AE15">
        <f>'Input Scenarios'!AE36</f>
        <v>0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6"/>
        <v>2.3040000000000001E-3</v>
      </c>
      <c r="AZ15">
        <f t="shared" si="7"/>
        <v>1.4976000000000002E-3</v>
      </c>
      <c r="BA15">
        <f t="shared" si="0"/>
        <v>421.2000000000001</v>
      </c>
      <c r="BB15">
        <f t="shared" si="1"/>
        <v>168.48000000000005</v>
      </c>
      <c r="BC15">
        <f t="shared" si="1"/>
        <v>126.36000000000003</v>
      </c>
      <c r="BD15">
        <f t="shared" si="1"/>
        <v>84.240000000000023</v>
      </c>
      <c r="BE15">
        <f t="shared" si="1"/>
        <v>42.120000000000012</v>
      </c>
      <c r="BF15">
        <f t="shared" si="2"/>
        <v>117.76752000000002</v>
      </c>
      <c r="BG15">
        <f t="shared" si="2"/>
        <v>119.91564000000002</v>
      </c>
      <c r="BH15">
        <f t="shared" si="2"/>
        <v>50.45976000000001</v>
      </c>
      <c r="BI15">
        <f t="shared" si="3"/>
        <v>89.554701600000016</v>
      </c>
      <c r="BJ15">
        <f t="shared" si="3"/>
        <v>114.00620400000001</v>
      </c>
      <c r="BK15">
        <f t="shared" si="3"/>
        <v>36.168444000000008</v>
      </c>
      <c r="BL15">
        <f t="shared" si="3"/>
        <v>29.441880000000005</v>
      </c>
      <c r="BM15">
        <f t="shared" si="3"/>
        <v>18.971690400000004</v>
      </c>
      <c r="BN15">
        <f t="shared" si="8"/>
        <v>50.544000000000011</v>
      </c>
      <c r="BO15">
        <f t="shared" si="4"/>
        <v>6.3180000000000014</v>
      </c>
      <c r="BP15">
        <f t="shared" si="4"/>
        <v>33.696000000000012</v>
      </c>
      <c r="BQ15">
        <f t="shared" si="9"/>
        <v>17.910940320000005</v>
      </c>
      <c r="BR15">
        <f t="shared" si="5"/>
        <v>22.801240800000002</v>
      </c>
      <c r="BS15">
        <f t="shared" si="5"/>
        <v>0</v>
      </c>
      <c r="BT15">
        <f t="shared" si="5"/>
        <v>0</v>
      </c>
      <c r="BU15">
        <f t="shared" si="10"/>
        <v>131.27018112000002</v>
      </c>
      <c r="BV15">
        <f>Constants!$K$2</f>
        <v>0.21</v>
      </c>
      <c r="BW15">
        <f t="shared" si="11"/>
        <v>8.8452000000000019</v>
      </c>
      <c r="BX15">
        <f>IF(C15="", "", _xlfn.XLOOKUP(C15,Constants!$A$20:$A$24,Constants!$B$20:$B$24))</f>
        <v>7.0000000000000001E-3</v>
      </c>
      <c r="BY15">
        <f>IF(BU15="","",Constants!$J$2)</f>
        <v>1.57</v>
      </c>
      <c r="BZ15">
        <f t="shared" si="12"/>
        <v>1.4426592905088003</v>
      </c>
      <c r="CA15">
        <f t="shared" si="13"/>
        <v>9.7208748000000025E-2</v>
      </c>
      <c r="CB15">
        <f>SUM(BZ15:CA18)/1000</f>
        <v>8.065684011790945E-3</v>
      </c>
      <c r="CC15"/>
      <c r="CD15"/>
      <c r="CE15"/>
      <c r="CF15"/>
      <c r="CG15"/>
      <c r="CH15"/>
      <c r="CI15"/>
      <c r="CJ15"/>
    </row>
    <row r="16" spans="1:88" x14ac:dyDescent="0.2">
      <c r="A16" t="str">
        <f>'Input Scenarios'!A37</f>
        <v>QLD</v>
      </c>
      <c r="B16">
        <f>'Input Scenarios'!B37</f>
        <v>15</v>
      </c>
      <c r="C16" t="str">
        <f>'Input Scenarios'!C37</f>
        <v>Irrigated crop</v>
      </c>
      <c r="D16" t="str">
        <f>'Input Scenarios'!D37</f>
        <v>dry</v>
      </c>
      <c r="E16" t="b">
        <f>'Input Scenarios'!E37</f>
        <v>1</v>
      </c>
      <c r="F16" t="str">
        <f>'Input Scenarios'!F37</f>
        <v>meatChickenBreeder</v>
      </c>
      <c r="G16">
        <f>'Input Scenarios'!G37</f>
        <v>2250</v>
      </c>
      <c r="H16">
        <f>'Input Scenarios'!H37</f>
        <v>125</v>
      </c>
      <c r="I16">
        <f>IF('Input Scenarios'!I37&lt;&gt;"", 'Input Scenarios'!I37,_xlfn.XLOOKUP($F16,Constants!$A$2:$A$5,Constants!B$2:B$5))</f>
        <v>0.11</v>
      </c>
      <c r="J16">
        <f>IF('Input Scenarios'!J37&lt;&gt;"", 'Input Scenarios'!J37,_xlfn.XLOOKUP($F16,Constants!$A$2:$A$5,Constants!C$2:C$5))</f>
        <v>0.8</v>
      </c>
      <c r="K16">
        <f>IF('Input Scenarios'!K37&lt;&gt;"", 'Input Scenarios'!K37,_xlfn.XLOOKUP($F16,Constants!$A$2:$A$5,Constants!D$2:D$5))</f>
        <v>0.25</v>
      </c>
      <c r="L16">
        <f>IF('Input Scenarios'!L37&lt;&gt;"", 'Input Scenarios'!L37,_xlfn.XLOOKUP($F16,Constants!$A$2:$A$5,Constants!E$2:E$5))</f>
        <v>0.32</v>
      </c>
      <c r="M16">
        <f>'Input Scenarios'!M37</f>
        <v>0.4</v>
      </c>
      <c r="N16">
        <f>'Input Scenarios'!N37</f>
        <v>0.3</v>
      </c>
      <c r="O16">
        <f>'Input Scenarios'!O37</f>
        <v>0.2</v>
      </c>
      <c r="P16">
        <f>'Input Scenarios'!P37</f>
        <v>0.1</v>
      </c>
      <c r="Q16">
        <f>'Input Scenarios'!Q37</f>
        <v>0.2</v>
      </c>
      <c r="R16">
        <f>'Input Scenarios'!R37</f>
        <v>0.25</v>
      </c>
      <c r="S16">
        <f>'Input Scenarios'!S37</f>
        <v>0.2</v>
      </c>
      <c r="T16">
        <f>'Input Scenarios'!T37</f>
        <v>0.25</v>
      </c>
      <c r="U16">
        <f>'Input Scenarios'!U37</f>
        <v>0.1</v>
      </c>
      <c r="V16">
        <f>'Input Scenarios'!V37</f>
        <v>0.34</v>
      </c>
      <c r="W16">
        <f>'Input Scenarios'!W37</f>
        <v>0.6</v>
      </c>
      <c r="X16">
        <f>'Input Scenarios'!X37</f>
        <v>0</v>
      </c>
      <c r="Y16">
        <f>'Input Scenarios'!Y37</f>
        <v>0</v>
      </c>
      <c r="Z16">
        <f>'Input Scenarios'!Z37</f>
        <v>0.06</v>
      </c>
      <c r="AA16">
        <f>'Input Scenarios'!AA37</f>
        <v>0.5</v>
      </c>
      <c r="AB16">
        <f>'Input Scenarios'!AB37</f>
        <v>0.25</v>
      </c>
      <c r="AC16">
        <f>'Input Scenarios'!AC37</f>
        <v>0.25</v>
      </c>
      <c r="AD16">
        <f>'Input Scenarios'!AD37</f>
        <v>0</v>
      </c>
      <c r="AE16">
        <f>'Input Scenarios'!AE37</f>
        <v>0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6"/>
        <v>4.4000000000000003E-3</v>
      </c>
      <c r="AZ16">
        <f t="shared" si="7"/>
        <v>2.9919999999999999E-3</v>
      </c>
      <c r="BA16">
        <f t="shared" si="0"/>
        <v>841.49999999999989</v>
      </c>
      <c r="BB16">
        <f t="shared" si="1"/>
        <v>336.59999999999997</v>
      </c>
      <c r="BC16">
        <f t="shared" si="1"/>
        <v>252.44999999999996</v>
      </c>
      <c r="BD16">
        <f t="shared" si="1"/>
        <v>168.29999999999998</v>
      </c>
      <c r="BE16">
        <f t="shared" si="1"/>
        <v>84.149999999999991</v>
      </c>
      <c r="BF16">
        <f t="shared" si="2"/>
        <v>235.28339999999997</v>
      </c>
      <c r="BG16">
        <f t="shared" si="2"/>
        <v>239.57504999999995</v>
      </c>
      <c r="BH16">
        <f t="shared" si="2"/>
        <v>100.81169999999999</v>
      </c>
      <c r="BI16">
        <f t="shared" si="3"/>
        <v>178.91804699999997</v>
      </c>
      <c r="BJ16">
        <f t="shared" si="3"/>
        <v>227.76880499999993</v>
      </c>
      <c r="BK16">
        <f t="shared" si="3"/>
        <v>72.259604999999993</v>
      </c>
      <c r="BL16">
        <f t="shared" si="3"/>
        <v>58.820849999999993</v>
      </c>
      <c r="BM16">
        <f t="shared" si="3"/>
        <v>37.902842999999997</v>
      </c>
      <c r="BN16">
        <f t="shared" si="8"/>
        <v>100.97999999999999</v>
      </c>
      <c r="BO16">
        <f t="shared" si="4"/>
        <v>12.622499999999999</v>
      </c>
      <c r="BP16">
        <f t="shared" si="4"/>
        <v>67.319999999999993</v>
      </c>
      <c r="BQ16">
        <f t="shared" si="9"/>
        <v>35.783609399999996</v>
      </c>
      <c r="BR16">
        <f t="shared" si="5"/>
        <v>45.553760999999987</v>
      </c>
      <c r="BS16">
        <f t="shared" si="5"/>
        <v>0</v>
      </c>
      <c r="BT16">
        <f t="shared" si="5"/>
        <v>0</v>
      </c>
      <c r="BU16">
        <f t="shared" si="10"/>
        <v>262.25987039999995</v>
      </c>
      <c r="BV16">
        <f>Constants!$K$2</f>
        <v>0.21</v>
      </c>
      <c r="BW16">
        <f t="shared" si="11"/>
        <v>17.671499999999998</v>
      </c>
      <c r="BX16">
        <f>IF(C16="", "", _xlfn.XLOOKUP(C16,Constants!$A$20:$A$24,Constants!$B$20:$B$24))</f>
        <v>7.0000000000000001E-3</v>
      </c>
      <c r="BY16">
        <f>IF(BU16="","",Constants!$J$2)</f>
        <v>1.57</v>
      </c>
      <c r="BZ16">
        <f t="shared" si="12"/>
        <v>2.8822359756959997</v>
      </c>
      <c r="CA16">
        <f t="shared" si="13"/>
        <v>0.194209785</v>
      </c>
    </row>
    <row r="17" spans="1:88" x14ac:dyDescent="0.2">
      <c r="A17" t="str">
        <f>'Input Scenarios'!A38</f>
        <v>QLD</v>
      </c>
      <c r="B17">
        <f>'Input Scenarios'!B38</f>
        <v>15</v>
      </c>
      <c r="C17" t="str">
        <f>'Input Scenarios'!C38</f>
        <v>Irrigated crop</v>
      </c>
      <c r="D17" t="str">
        <f>'Input Scenarios'!D38</f>
        <v>dry</v>
      </c>
      <c r="E17" t="b">
        <f>'Input Scenarios'!E38</f>
        <v>1</v>
      </c>
      <c r="F17" t="str">
        <f>'Input Scenarios'!F38</f>
        <v>meatChickenGrowers</v>
      </c>
      <c r="G17">
        <f>'Input Scenarios'!G38</f>
        <v>2250</v>
      </c>
      <c r="H17">
        <f>'Input Scenarios'!H38</f>
        <v>125</v>
      </c>
      <c r="I17">
        <f>IF('Input Scenarios'!I38&lt;&gt;"", 'Input Scenarios'!I38,_xlfn.XLOOKUP($F17,Constants!$A$2:$A$5,Constants!B$2:B$5))</f>
        <v>7.9000000000000001E-2</v>
      </c>
      <c r="J17">
        <f>IF('Input Scenarios'!J38&lt;&gt;"", 'Input Scenarios'!J38,_xlfn.XLOOKUP($F17,Constants!$A$2:$A$5,Constants!C$2:C$5))</f>
        <v>0.8</v>
      </c>
      <c r="K17">
        <f>IF('Input Scenarios'!K38&lt;&gt;"", 'Input Scenarios'!K38,_xlfn.XLOOKUP($F17,Constants!$A$2:$A$5,Constants!D$2:D$5))</f>
        <v>0.23</v>
      </c>
      <c r="L17">
        <f>IF('Input Scenarios'!L38&lt;&gt;"", 'Input Scenarios'!L38,_xlfn.XLOOKUP($F17,Constants!$A$2:$A$5,Constants!E$2:E$5))</f>
        <v>0.47</v>
      </c>
      <c r="M17">
        <f>'Input Scenarios'!M38</f>
        <v>0.4</v>
      </c>
      <c r="N17">
        <f>'Input Scenarios'!N38</f>
        <v>0.3</v>
      </c>
      <c r="O17">
        <f>'Input Scenarios'!O38</f>
        <v>0.2</v>
      </c>
      <c r="P17">
        <f>'Input Scenarios'!P38</f>
        <v>0.1</v>
      </c>
      <c r="Q17">
        <f>'Input Scenarios'!Q38</f>
        <v>0.2</v>
      </c>
      <c r="R17">
        <f>'Input Scenarios'!R38</f>
        <v>0.25</v>
      </c>
      <c r="S17">
        <f>'Input Scenarios'!S38</f>
        <v>0.2</v>
      </c>
      <c r="T17">
        <f>'Input Scenarios'!T38</f>
        <v>0.25</v>
      </c>
      <c r="U17">
        <f>'Input Scenarios'!U38</f>
        <v>0.1</v>
      </c>
      <c r="V17">
        <f>'Input Scenarios'!V38</f>
        <v>0.34</v>
      </c>
      <c r="W17">
        <f>'Input Scenarios'!W38</f>
        <v>0.6</v>
      </c>
      <c r="X17">
        <f>'Input Scenarios'!X38</f>
        <v>0</v>
      </c>
      <c r="Y17">
        <f>'Input Scenarios'!Y38</f>
        <v>0</v>
      </c>
      <c r="Z17">
        <f>'Input Scenarios'!Z38</f>
        <v>0.06</v>
      </c>
      <c r="AA17">
        <f>'Input Scenarios'!AA38</f>
        <v>0.5</v>
      </c>
      <c r="AB17">
        <f>'Input Scenarios'!AB38</f>
        <v>0.25</v>
      </c>
      <c r="AC17">
        <f>'Input Scenarios'!AC38</f>
        <v>0.25</v>
      </c>
      <c r="AD17">
        <f>'Input Scenarios'!AD38</f>
        <v>0</v>
      </c>
      <c r="AE17">
        <f>'Input Scenarios'!AE38</f>
        <v>0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6"/>
        <v>2.9072000000000004E-3</v>
      </c>
      <c r="AZ17">
        <f t="shared" si="7"/>
        <v>1.5408160000000002E-3</v>
      </c>
      <c r="BA17">
        <f t="shared" si="0"/>
        <v>433.35450000000003</v>
      </c>
      <c r="BB17">
        <f t="shared" si="1"/>
        <v>173.34180000000003</v>
      </c>
      <c r="BC17">
        <f t="shared" si="1"/>
        <v>130.00635</v>
      </c>
      <c r="BD17">
        <f t="shared" si="1"/>
        <v>86.670900000000017</v>
      </c>
      <c r="BE17">
        <f t="shared" si="1"/>
        <v>43.335450000000009</v>
      </c>
      <c r="BF17">
        <f t="shared" si="2"/>
        <v>121.16591820000002</v>
      </c>
      <c r="BG17">
        <f t="shared" si="2"/>
        <v>123.37602614999999</v>
      </c>
      <c r="BH17">
        <f t="shared" si="2"/>
        <v>51.915869100000009</v>
      </c>
      <c r="BI17">
        <f t="shared" si="3"/>
        <v>92.138967081000004</v>
      </c>
      <c r="BJ17">
        <f t="shared" si="3"/>
        <v>117.296062515</v>
      </c>
      <c r="BK17">
        <f t="shared" si="3"/>
        <v>37.212150915000009</v>
      </c>
      <c r="BL17">
        <f t="shared" si="3"/>
        <v>30.291479550000005</v>
      </c>
      <c r="BM17">
        <f t="shared" si="3"/>
        <v>19.519153389000003</v>
      </c>
      <c r="BN17">
        <f t="shared" si="8"/>
        <v>52.00254000000001</v>
      </c>
      <c r="BO17">
        <f t="shared" si="4"/>
        <v>6.5003175000000004</v>
      </c>
      <c r="BP17">
        <f t="shared" si="4"/>
        <v>34.668360000000007</v>
      </c>
      <c r="BQ17">
        <f t="shared" si="9"/>
        <v>18.4277934162</v>
      </c>
      <c r="BR17">
        <f t="shared" si="5"/>
        <v>23.459212503000003</v>
      </c>
      <c r="BS17">
        <f t="shared" si="5"/>
        <v>0</v>
      </c>
      <c r="BT17">
        <f t="shared" si="5"/>
        <v>0</v>
      </c>
      <c r="BU17">
        <f t="shared" si="10"/>
        <v>135.05822341920003</v>
      </c>
      <c r="BV17">
        <f>Constants!$K$2</f>
        <v>0.21</v>
      </c>
      <c r="BW17">
        <f t="shared" si="11"/>
        <v>9.1004445000000018</v>
      </c>
      <c r="BX17">
        <f>IF(C17="", "", _xlfn.XLOOKUP(C17,Constants!$A$20:$A$24,Constants!$B$20:$B$24))</f>
        <v>7.0000000000000001E-3</v>
      </c>
      <c r="BY17">
        <f>IF(BU17="","",Constants!$J$2)</f>
        <v>1.57</v>
      </c>
      <c r="BZ17">
        <f t="shared" si="12"/>
        <v>1.4842898753770084</v>
      </c>
      <c r="CA17">
        <f t="shared" si="13"/>
        <v>0.10001388505500003</v>
      </c>
    </row>
    <row r="18" spans="1:88" x14ac:dyDescent="0.2">
      <c r="A18" t="str">
        <f>'Input Scenarios'!A39</f>
        <v>QLD</v>
      </c>
      <c r="B18">
        <f>'Input Scenarios'!B39</f>
        <v>15</v>
      </c>
      <c r="C18" t="str">
        <f>'Input Scenarios'!C39</f>
        <v>Irrigated crop</v>
      </c>
      <c r="D18" t="str">
        <f>'Input Scenarios'!D39</f>
        <v>dry</v>
      </c>
      <c r="E18" t="b">
        <f>'Input Scenarios'!E39</f>
        <v>1</v>
      </c>
      <c r="F18" t="str">
        <f>'Input Scenarios'!F39</f>
        <v>meatOther</v>
      </c>
      <c r="G18">
        <f>'Input Scenarios'!G39</f>
        <v>2250</v>
      </c>
      <c r="H18">
        <f>'Input Scenarios'!H39</f>
        <v>125</v>
      </c>
      <c r="I18">
        <f>IF('Input Scenarios'!I39&lt;&gt;"", 'Input Scenarios'!I39,_xlfn.XLOOKUP($F18,Constants!$A$2:$A$5,Constants!B$2:B$5))</f>
        <v>9.2999999999999999E-2</v>
      </c>
      <c r="J18">
        <f>IF('Input Scenarios'!J39&lt;&gt;"", 'Input Scenarios'!J39,_xlfn.XLOOKUP($F18,Constants!$A$2:$A$5,Constants!C$2:C$5))</f>
        <v>0.8</v>
      </c>
      <c r="K18">
        <f>IF('Input Scenarios'!K39&lt;&gt;"", 'Input Scenarios'!K39,_xlfn.XLOOKUP($F18,Constants!$A$2:$A$5,Constants!D$2:D$5))</f>
        <v>0.23</v>
      </c>
      <c r="L18">
        <f>IF('Input Scenarios'!L39&lt;&gt;"", 'Input Scenarios'!L39,_xlfn.XLOOKUP($F18,Constants!$A$2:$A$5,Constants!E$2:E$5))</f>
        <v>0.47</v>
      </c>
      <c r="M18">
        <f>'Input Scenarios'!M39</f>
        <v>0.4</v>
      </c>
      <c r="N18">
        <f>'Input Scenarios'!N39</f>
        <v>0.3</v>
      </c>
      <c r="O18">
        <f>'Input Scenarios'!O39</f>
        <v>0.2</v>
      </c>
      <c r="P18">
        <f>'Input Scenarios'!P39</f>
        <v>0.1</v>
      </c>
      <c r="Q18">
        <f>'Input Scenarios'!Q39</f>
        <v>0.2</v>
      </c>
      <c r="R18">
        <f>'Input Scenarios'!R39</f>
        <v>0.25</v>
      </c>
      <c r="S18">
        <f>'Input Scenarios'!S39</f>
        <v>0.2</v>
      </c>
      <c r="T18">
        <f>'Input Scenarios'!T39</f>
        <v>0.25</v>
      </c>
      <c r="U18">
        <f>'Input Scenarios'!U39</f>
        <v>0.1</v>
      </c>
      <c r="V18">
        <f>'Input Scenarios'!V39</f>
        <v>0.34</v>
      </c>
      <c r="W18">
        <f>'Input Scenarios'!W39</f>
        <v>0.6</v>
      </c>
      <c r="X18">
        <f>'Input Scenarios'!X39</f>
        <v>0</v>
      </c>
      <c r="Y18">
        <f>'Input Scenarios'!Y39</f>
        <v>0</v>
      </c>
      <c r="Z18">
        <f>'Input Scenarios'!Z39</f>
        <v>0.06</v>
      </c>
      <c r="AA18">
        <f>'Input Scenarios'!AA39</f>
        <v>0.5</v>
      </c>
      <c r="AB18">
        <f>'Input Scenarios'!AB39</f>
        <v>0.25</v>
      </c>
      <c r="AC18">
        <f>'Input Scenarios'!AC39</f>
        <v>0.25</v>
      </c>
      <c r="AD18">
        <f>'Input Scenarios'!AD39</f>
        <v>0</v>
      </c>
      <c r="AE18">
        <f>'Input Scenarios'!AE39</f>
        <v>0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6"/>
        <v>3.4223999999999999E-3</v>
      </c>
      <c r="AZ18">
        <f t="shared" si="7"/>
        <v>1.813872E-3</v>
      </c>
      <c r="BA18">
        <f t="shared" si="0"/>
        <v>510.1515</v>
      </c>
      <c r="BB18">
        <f t="shared" si="1"/>
        <v>204.06060000000002</v>
      </c>
      <c r="BC18">
        <f t="shared" si="1"/>
        <v>153.04544999999999</v>
      </c>
      <c r="BD18">
        <f t="shared" si="1"/>
        <v>102.03030000000001</v>
      </c>
      <c r="BE18">
        <f t="shared" si="1"/>
        <v>51.015150000000006</v>
      </c>
      <c r="BF18">
        <f t="shared" si="2"/>
        <v>142.63835940000001</v>
      </c>
      <c r="BG18">
        <f t="shared" si="2"/>
        <v>145.24013204999997</v>
      </c>
      <c r="BH18">
        <f t="shared" si="2"/>
        <v>61.116149700000001</v>
      </c>
      <c r="BI18">
        <f t="shared" si="3"/>
        <v>108.467391627</v>
      </c>
      <c r="BJ18">
        <f t="shared" si="3"/>
        <v>138.08270650499998</v>
      </c>
      <c r="BK18">
        <f t="shared" si="3"/>
        <v>43.806709305000005</v>
      </c>
      <c r="BL18">
        <f t="shared" si="3"/>
        <v>35.659589850000003</v>
      </c>
      <c r="BM18">
        <f t="shared" si="3"/>
        <v>22.978243862999999</v>
      </c>
      <c r="BN18">
        <f t="shared" si="8"/>
        <v>61.218180000000004</v>
      </c>
      <c r="BO18">
        <f t="shared" si="4"/>
        <v>7.6522724999999996</v>
      </c>
      <c r="BP18">
        <f t="shared" si="4"/>
        <v>40.812120000000007</v>
      </c>
      <c r="BQ18">
        <f t="shared" si="9"/>
        <v>21.693478325400001</v>
      </c>
      <c r="BR18">
        <f t="shared" si="5"/>
        <v>27.616541300999998</v>
      </c>
      <c r="BS18">
        <f t="shared" si="5"/>
        <v>0</v>
      </c>
      <c r="BT18">
        <f t="shared" si="5"/>
        <v>0</v>
      </c>
      <c r="BU18">
        <f t="shared" si="10"/>
        <v>158.99259212639998</v>
      </c>
      <c r="BV18">
        <f>Constants!$K$2</f>
        <v>0.21</v>
      </c>
      <c r="BW18">
        <f t="shared" si="11"/>
        <v>10.713181500000001</v>
      </c>
      <c r="BX18">
        <f>IF(C18="", "", _xlfn.XLOOKUP(C18,Constants!$A$20:$A$24,Constants!$B$20:$B$24))</f>
        <v>7.0000000000000001E-3</v>
      </c>
      <c r="BY18">
        <f>IF(BU18="","",Constants!$J$2)</f>
        <v>1.57</v>
      </c>
      <c r="BZ18">
        <f t="shared" si="12"/>
        <v>1.747328587469136</v>
      </c>
      <c r="CA18">
        <f t="shared" si="13"/>
        <v>0.11773786468500003</v>
      </c>
    </row>
    <row r="19" spans="1:88" x14ac:dyDescent="0.2">
      <c r="A19" t="str">
        <f>'Input Scenarios'!A40</f>
        <v>TAS</v>
      </c>
      <c r="B19">
        <f>'Input Scenarios'!B40</f>
        <v>20</v>
      </c>
      <c r="C19" t="str">
        <f>'Input Scenarios'!C40</f>
        <v>Irrigated pasture</v>
      </c>
      <c r="D19" t="str">
        <f>'Input Scenarios'!D40</f>
        <v>wet</v>
      </c>
      <c r="E19" t="b">
        <f>'Input Scenarios'!E40</f>
        <v>1</v>
      </c>
      <c r="F19" t="str">
        <f>'Input Scenarios'!F40</f>
        <v>layers</v>
      </c>
      <c r="G19">
        <f>'Input Scenarios'!G40</f>
        <v>3333</v>
      </c>
      <c r="H19">
        <f>'Input Scenarios'!H40</f>
        <v>111</v>
      </c>
      <c r="I19">
        <f>IF('Input Scenarios'!I40&lt;&gt;"", 'Input Scenarios'!I40,_xlfn.XLOOKUP($F19,Constants!$A$2:$A$5,Constants!B$2:B$5))</f>
        <v>8.5999999999999993E-2</v>
      </c>
      <c r="J19">
        <f>IF('Input Scenarios'!J40&lt;&gt;"", 'Input Scenarios'!J40,_xlfn.XLOOKUP($F19,Constants!$A$2:$A$5,Constants!C$2:C$5))</f>
        <v>0.9</v>
      </c>
      <c r="K19">
        <f>IF('Input Scenarios'!K40&lt;&gt;"", 'Input Scenarios'!K40,_xlfn.XLOOKUP($F19,Constants!$A$2:$A$5,Constants!D$2:D$5))</f>
        <v>0.18</v>
      </c>
      <c r="L19">
        <f>IF('Input Scenarios'!L40&lt;&gt;"", 'Input Scenarios'!L40,_xlfn.XLOOKUP($F19,Constants!$A$2:$A$5,Constants!E$2:E$5))</f>
        <v>0.35</v>
      </c>
      <c r="M19">
        <f>'Input Scenarios'!M40</f>
        <v>0</v>
      </c>
      <c r="N19">
        <f>'Input Scenarios'!N40</f>
        <v>0.9</v>
      </c>
      <c r="O19">
        <f>'Input Scenarios'!O40</f>
        <v>0</v>
      </c>
      <c r="P19">
        <f>'Input Scenarios'!P40</f>
        <v>0.1</v>
      </c>
      <c r="Q19">
        <f>'Input Scenarios'!Q40</f>
        <v>1</v>
      </c>
      <c r="R19">
        <f>'Input Scenarios'!R40</f>
        <v>0</v>
      </c>
      <c r="S19">
        <f>'Input Scenarios'!S40</f>
        <v>0</v>
      </c>
      <c r="T19">
        <f>'Input Scenarios'!T40</f>
        <v>0</v>
      </c>
      <c r="U19">
        <f>'Input Scenarios'!U40</f>
        <v>0</v>
      </c>
      <c r="V19">
        <f>'Input Scenarios'!V40</f>
        <v>0</v>
      </c>
      <c r="W19">
        <f>'Input Scenarios'!W40</f>
        <v>1</v>
      </c>
      <c r="X19">
        <f>'Input Scenarios'!X40</f>
        <v>0</v>
      </c>
      <c r="Y19">
        <f>'Input Scenarios'!Y40</f>
        <v>0</v>
      </c>
      <c r="Z19">
        <f>'Input Scenarios'!Z40</f>
        <v>0</v>
      </c>
      <c r="AA19">
        <f>'Input Scenarios'!AA40</f>
        <v>0</v>
      </c>
      <c r="AB19">
        <f>'Input Scenarios'!AB40</f>
        <v>0</v>
      </c>
      <c r="AC19">
        <f>'Input Scenarios'!AC40</f>
        <v>1</v>
      </c>
      <c r="AD19">
        <f>'Input Scenarios'!AD40</f>
        <v>0</v>
      </c>
      <c r="AE19">
        <f>'Input Scenarios'!AE40</f>
        <v>0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6"/>
        <v>2.4767999999999999E-3</v>
      </c>
      <c r="AZ19">
        <f t="shared" si="7"/>
        <v>1.6099199999999999E-3</v>
      </c>
      <c r="BA19">
        <f t="shared" si="0"/>
        <v>595.61083295999993</v>
      </c>
      <c r="BB19">
        <f t="shared" si="1"/>
        <v>0</v>
      </c>
      <c r="BC19">
        <f t="shared" si="1"/>
        <v>536.04974966399993</v>
      </c>
      <c r="BD19">
        <f t="shared" si="1"/>
        <v>0</v>
      </c>
      <c r="BE19">
        <f t="shared" si="1"/>
        <v>59.561083295999993</v>
      </c>
      <c r="BF19">
        <f t="shared" si="2"/>
        <v>0</v>
      </c>
      <c r="BG19">
        <f t="shared" si="2"/>
        <v>508.71121243113589</v>
      </c>
      <c r="BH19">
        <f t="shared" si="2"/>
        <v>0</v>
      </c>
      <c r="BI19">
        <f t="shared" si="3"/>
        <v>0</v>
      </c>
      <c r="BJ19">
        <f t="shared" si="3"/>
        <v>508.71121243113589</v>
      </c>
      <c r="BK19">
        <f t="shared" si="3"/>
        <v>0</v>
      </c>
      <c r="BL19">
        <f t="shared" si="3"/>
        <v>0</v>
      </c>
      <c r="BM19">
        <f t="shared" si="3"/>
        <v>0</v>
      </c>
      <c r="BN19">
        <f t="shared" si="8"/>
        <v>0</v>
      </c>
      <c r="BO19">
        <f t="shared" si="4"/>
        <v>26.802487483199997</v>
      </c>
      <c r="BP19">
        <f t="shared" si="4"/>
        <v>0</v>
      </c>
      <c r="BQ19">
        <f t="shared" si="9"/>
        <v>0</v>
      </c>
      <c r="BR19">
        <f t="shared" si="5"/>
        <v>101.74224248622718</v>
      </c>
      <c r="BS19">
        <f t="shared" si="5"/>
        <v>0</v>
      </c>
      <c r="BT19">
        <f t="shared" si="5"/>
        <v>0</v>
      </c>
      <c r="BU19">
        <f t="shared" si="10"/>
        <v>128.54472996942718</v>
      </c>
      <c r="BV19">
        <f>Constants!$K$2</f>
        <v>0.21</v>
      </c>
      <c r="BW19">
        <f t="shared" si="11"/>
        <v>12.507827492159999</v>
      </c>
      <c r="BX19">
        <f>IF(C19="", "", _xlfn.XLOOKUP(C19,Constants!$A$20:$A$24,Constants!$B$20:$B$24))</f>
        <v>5.8999999999999999E-3</v>
      </c>
      <c r="BY19">
        <f>IF(BU19="","",Constants!$J$2)</f>
        <v>1.57</v>
      </c>
      <c r="BZ19">
        <f t="shared" si="12"/>
        <v>1.1907098337068041</v>
      </c>
      <c r="CA19">
        <f t="shared" si="13"/>
        <v>0.11586000605987808</v>
      </c>
      <c r="CB19">
        <f>SUM(BZ19:CA22)/1000</f>
        <v>5.6215875048828395E-3</v>
      </c>
    </row>
    <row r="20" spans="1:88" s="11" customFormat="1" x14ac:dyDescent="0.2">
      <c r="A20" t="str">
        <f>'Input Scenarios'!A41</f>
        <v>TAS</v>
      </c>
      <c r="B20">
        <f>'Input Scenarios'!B41</f>
        <v>20</v>
      </c>
      <c r="C20" t="str">
        <f>'Input Scenarios'!C41</f>
        <v>Irrigated pasture</v>
      </c>
      <c r="D20" t="str">
        <f>'Input Scenarios'!D41</f>
        <v>wet</v>
      </c>
      <c r="E20" t="b">
        <f>'Input Scenarios'!E41</f>
        <v>1</v>
      </c>
      <c r="F20" t="str">
        <f>'Input Scenarios'!F41</f>
        <v>meatChickenBreeder</v>
      </c>
      <c r="G20">
        <f>'Input Scenarios'!G41</f>
        <v>3333</v>
      </c>
      <c r="H20">
        <f>'Input Scenarios'!H41</f>
        <v>111</v>
      </c>
      <c r="I20">
        <f>IF('Input Scenarios'!I41&lt;&gt;"", 'Input Scenarios'!I41,_xlfn.XLOOKUP($F20,Constants!$A$2:$A$5,Constants!B$2:B$5))</f>
        <v>0.10299999999999999</v>
      </c>
      <c r="J20">
        <f>IF('Input Scenarios'!J41&lt;&gt;"", 'Input Scenarios'!J41,_xlfn.XLOOKUP($F20,Constants!$A$2:$A$5,Constants!C$2:C$5))</f>
        <v>0.7</v>
      </c>
      <c r="K20">
        <f>IF('Input Scenarios'!K41&lt;&gt;"", 'Input Scenarios'!K41,_xlfn.XLOOKUP($F20,Constants!$A$2:$A$5,Constants!D$2:D$5))</f>
        <v>0.19</v>
      </c>
      <c r="L20">
        <f>IF('Input Scenarios'!L41&lt;&gt;"", 'Input Scenarios'!L41,_xlfn.XLOOKUP($F20,Constants!$A$2:$A$5,Constants!E$2:E$5))</f>
        <v>0.32</v>
      </c>
      <c r="M20">
        <f>'Input Scenarios'!M41</f>
        <v>0</v>
      </c>
      <c r="N20">
        <f>'Input Scenarios'!N41</f>
        <v>0.9</v>
      </c>
      <c r="O20">
        <f>'Input Scenarios'!O41</f>
        <v>0</v>
      </c>
      <c r="P20">
        <f>'Input Scenarios'!P41</f>
        <v>0.1</v>
      </c>
      <c r="Q20">
        <f>'Input Scenarios'!Q41</f>
        <v>1</v>
      </c>
      <c r="R20">
        <f>'Input Scenarios'!R41</f>
        <v>0</v>
      </c>
      <c r="S20">
        <f>'Input Scenarios'!S41</f>
        <v>0</v>
      </c>
      <c r="T20">
        <f>'Input Scenarios'!T41</f>
        <v>0</v>
      </c>
      <c r="U20">
        <f>'Input Scenarios'!U41</f>
        <v>0</v>
      </c>
      <c r="V20">
        <f>'Input Scenarios'!V41</f>
        <v>0</v>
      </c>
      <c r="W20">
        <f>'Input Scenarios'!W41</f>
        <v>1</v>
      </c>
      <c r="X20">
        <f>'Input Scenarios'!X41</f>
        <v>0</v>
      </c>
      <c r="Y20">
        <f>'Input Scenarios'!Y41</f>
        <v>0</v>
      </c>
      <c r="Z20">
        <f>'Input Scenarios'!Z41</f>
        <v>0</v>
      </c>
      <c r="AA20">
        <f>'Input Scenarios'!AA41</f>
        <v>0</v>
      </c>
      <c r="AB20">
        <f>'Input Scenarios'!AB41</f>
        <v>0</v>
      </c>
      <c r="AC20">
        <f>'Input Scenarios'!AC41</f>
        <v>1</v>
      </c>
      <c r="AD20">
        <f>'Input Scenarios'!AD41</f>
        <v>0</v>
      </c>
      <c r="AE20">
        <f>'Input Scenarios'!AE41</f>
        <v>0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6"/>
        <v>3.1312000000000002E-3</v>
      </c>
      <c r="AZ20">
        <f t="shared" si="7"/>
        <v>2.1292159999999997E-3</v>
      </c>
      <c r="BA20">
        <f t="shared" si="0"/>
        <v>787.7311390079999</v>
      </c>
      <c r="BB20">
        <f t="shared" si="1"/>
        <v>0</v>
      </c>
      <c r="BC20">
        <f t="shared" si="1"/>
        <v>708.95802510719989</v>
      </c>
      <c r="BD20">
        <f t="shared" si="1"/>
        <v>0</v>
      </c>
      <c r="BE20">
        <f t="shared" si="1"/>
        <v>78.773113900799999</v>
      </c>
      <c r="BF20">
        <f t="shared" si="2"/>
        <v>0</v>
      </c>
      <c r="BG20">
        <f t="shared" si="2"/>
        <v>672.8011658267327</v>
      </c>
      <c r="BH20">
        <f t="shared" si="2"/>
        <v>0</v>
      </c>
      <c r="BI20">
        <f t="shared" si="3"/>
        <v>0</v>
      </c>
      <c r="BJ20">
        <f t="shared" si="3"/>
        <v>672.8011658267327</v>
      </c>
      <c r="BK20">
        <f t="shared" si="3"/>
        <v>0</v>
      </c>
      <c r="BL20">
        <f t="shared" si="3"/>
        <v>0</v>
      </c>
      <c r="BM20">
        <f t="shared" si="3"/>
        <v>0</v>
      </c>
      <c r="BN20">
        <f t="shared" si="8"/>
        <v>0</v>
      </c>
      <c r="BO20">
        <f t="shared" si="4"/>
        <v>35.447901255359994</v>
      </c>
      <c r="BP20">
        <f t="shared" si="4"/>
        <v>0</v>
      </c>
      <c r="BQ20">
        <f t="shared" si="9"/>
        <v>0</v>
      </c>
      <c r="BR20">
        <f t="shared" si="5"/>
        <v>134.56023316534655</v>
      </c>
      <c r="BS20">
        <f t="shared" si="5"/>
        <v>0</v>
      </c>
      <c r="BT20">
        <f t="shared" si="5"/>
        <v>0</v>
      </c>
      <c r="BU20">
        <f t="shared" si="10"/>
        <v>170.00813442070654</v>
      </c>
      <c r="BV20">
        <f>Constants!$K$2</f>
        <v>0.21</v>
      </c>
      <c r="BW20">
        <f t="shared" si="11"/>
        <v>16.542353919168001</v>
      </c>
      <c r="BX20">
        <f>IF(C20="", "", _xlfn.XLOOKUP(C20,Constants!$A$20:$A$24,Constants!$B$20:$B$24))</f>
        <v>5.8999999999999999E-3</v>
      </c>
      <c r="BY20">
        <f>IF(BU20="","",Constants!$J$2)</f>
        <v>1.57</v>
      </c>
      <c r="BZ20">
        <f t="shared" si="12"/>
        <v>1.5747853491390047</v>
      </c>
      <c r="CA20">
        <f t="shared" si="13"/>
        <v>0.15323182435325319</v>
      </c>
      <c r="CB20"/>
      <c r="CC20"/>
      <c r="CD20"/>
      <c r="CE20"/>
      <c r="CF20"/>
      <c r="CG20"/>
      <c r="CH20"/>
      <c r="CI20"/>
      <c r="CJ20"/>
    </row>
    <row r="21" spans="1:88" x14ac:dyDescent="0.2">
      <c r="A21" t="str">
        <f>'Input Scenarios'!A42</f>
        <v>TAS</v>
      </c>
      <c r="B21">
        <f>'Input Scenarios'!B42</f>
        <v>20</v>
      </c>
      <c r="C21" t="str">
        <f>'Input Scenarios'!C42</f>
        <v>Irrigated pasture</v>
      </c>
      <c r="D21" t="str">
        <f>'Input Scenarios'!D42</f>
        <v>wet</v>
      </c>
      <c r="E21" t="b">
        <f>'Input Scenarios'!E42</f>
        <v>1</v>
      </c>
      <c r="F21" t="str">
        <f>'Input Scenarios'!F42</f>
        <v>meatChickenGrowers</v>
      </c>
      <c r="G21">
        <f>'Input Scenarios'!G42</f>
        <v>3333</v>
      </c>
      <c r="H21">
        <f>'Input Scenarios'!H42</f>
        <v>111</v>
      </c>
      <c r="I21">
        <f>IF('Input Scenarios'!I42&lt;&gt;"", 'Input Scenarios'!I42,_xlfn.XLOOKUP($F21,Constants!$A$2:$A$5,Constants!B$2:B$5))</f>
        <v>0.09</v>
      </c>
      <c r="J21">
        <f>IF('Input Scenarios'!J42&lt;&gt;"", 'Input Scenarios'!J42,_xlfn.XLOOKUP($F21,Constants!$A$2:$A$5,Constants!C$2:C$5))</f>
        <v>0.9</v>
      </c>
      <c r="K21">
        <f>IF('Input Scenarios'!K42&lt;&gt;"", 'Input Scenarios'!K42,_xlfn.XLOOKUP($F21,Constants!$A$2:$A$5,Constants!D$2:D$5))</f>
        <v>0.18</v>
      </c>
      <c r="L21">
        <f>IF('Input Scenarios'!L42&lt;&gt;"", 'Input Scenarios'!L42,_xlfn.XLOOKUP($F21,Constants!$A$2:$A$5,Constants!E$2:E$5))</f>
        <v>0.47</v>
      </c>
      <c r="M21">
        <f>'Input Scenarios'!M42</f>
        <v>0</v>
      </c>
      <c r="N21">
        <f>'Input Scenarios'!N42</f>
        <v>0.9</v>
      </c>
      <c r="O21">
        <f>'Input Scenarios'!O42</f>
        <v>0</v>
      </c>
      <c r="P21">
        <f>'Input Scenarios'!P42</f>
        <v>0.1</v>
      </c>
      <c r="Q21">
        <f>'Input Scenarios'!Q42</f>
        <v>1</v>
      </c>
      <c r="R21">
        <f>'Input Scenarios'!R42</f>
        <v>0</v>
      </c>
      <c r="S21">
        <f>'Input Scenarios'!S42</f>
        <v>0</v>
      </c>
      <c r="T21">
        <f>'Input Scenarios'!T42</f>
        <v>0</v>
      </c>
      <c r="U21">
        <f>'Input Scenarios'!U42</f>
        <v>0</v>
      </c>
      <c r="V21">
        <f>'Input Scenarios'!V42</f>
        <v>0</v>
      </c>
      <c r="W21">
        <f>'Input Scenarios'!W42</f>
        <v>1</v>
      </c>
      <c r="X21">
        <f>'Input Scenarios'!X42</f>
        <v>0</v>
      </c>
      <c r="Y21">
        <f>'Input Scenarios'!Y42</f>
        <v>0</v>
      </c>
      <c r="Z21">
        <f>'Input Scenarios'!Z42</f>
        <v>0</v>
      </c>
      <c r="AA21">
        <f>'Input Scenarios'!AA42</f>
        <v>0</v>
      </c>
      <c r="AB21">
        <f>'Input Scenarios'!AB42</f>
        <v>0</v>
      </c>
      <c r="AC21">
        <f>'Input Scenarios'!AC42</f>
        <v>1</v>
      </c>
      <c r="AD21">
        <f>'Input Scenarios'!AD42</f>
        <v>0</v>
      </c>
      <c r="AE21">
        <f>'Input Scenarios'!AE42</f>
        <v>0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6"/>
        <v>2.5919999999999997E-3</v>
      </c>
      <c r="AZ21">
        <f t="shared" si="7"/>
        <v>1.3737599999999999E-3</v>
      </c>
      <c r="BA21">
        <f t="shared" si="0"/>
        <v>508.24037087999994</v>
      </c>
      <c r="BB21">
        <f t="shared" si="1"/>
        <v>0</v>
      </c>
      <c r="BC21">
        <f t="shared" si="1"/>
        <v>457.41633379199993</v>
      </c>
      <c r="BD21">
        <f t="shared" si="1"/>
        <v>0</v>
      </c>
      <c r="BE21">
        <f t="shared" si="1"/>
        <v>50.824037087999997</v>
      </c>
      <c r="BF21">
        <f t="shared" si="2"/>
        <v>0</v>
      </c>
      <c r="BG21">
        <f t="shared" si="2"/>
        <v>434.08810076860789</v>
      </c>
      <c r="BH21">
        <f t="shared" si="2"/>
        <v>0</v>
      </c>
      <c r="BI21">
        <f t="shared" si="3"/>
        <v>0</v>
      </c>
      <c r="BJ21">
        <f t="shared" si="3"/>
        <v>434.08810076860789</v>
      </c>
      <c r="BK21">
        <f t="shared" si="3"/>
        <v>0</v>
      </c>
      <c r="BL21">
        <f t="shared" si="3"/>
        <v>0</v>
      </c>
      <c r="BM21">
        <f t="shared" si="3"/>
        <v>0</v>
      </c>
      <c r="BN21">
        <f t="shared" si="8"/>
        <v>0</v>
      </c>
      <c r="BO21">
        <f t="shared" si="4"/>
        <v>22.870816689599998</v>
      </c>
      <c r="BP21">
        <f t="shared" si="4"/>
        <v>0</v>
      </c>
      <c r="BQ21">
        <f t="shared" si="9"/>
        <v>0</v>
      </c>
      <c r="BR21">
        <f t="shared" si="5"/>
        <v>86.817620153721577</v>
      </c>
      <c r="BS21">
        <f t="shared" si="5"/>
        <v>0</v>
      </c>
      <c r="BT21">
        <f t="shared" si="5"/>
        <v>0</v>
      </c>
      <c r="BU21">
        <f t="shared" si="10"/>
        <v>109.68843684332157</v>
      </c>
      <c r="BV21">
        <f>Constants!$K$2</f>
        <v>0.21</v>
      </c>
      <c r="BW21">
        <f t="shared" si="11"/>
        <v>10.673047788479998</v>
      </c>
      <c r="BX21">
        <f>IF(C21="", "", _xlfn.XLOOKUP(C21,Constants!$A$20:$A$24,Constants!$B$20:$B$24))</f>
        <v>5.8999999999999999E-3</v>
      </c>
      <c r="BY21">
        <f>IF(BU21="","",Constants!$J$2)</f>
        <v>1.57</v>
      </c>
      <c r="BZ21">
        <f t="shared" si="12"/>
        <v>1.0160439904796876</v>
      </c>
      <c r="CA21">
        <f t="shared" si="13"/>
        <v>9.8864441664690231E-2</v>
      </c>
    </row>
    <row r="22" spans="1:88" x14ac:dyDescent="0.2">
      <c r="A22" t="str">
        <f>'Input Scenarios'!A43</f>
        <v>TAS</v>
      </c>
      <c r="B22">
        <f>'Input Scenarios'!B43</f>
        <v>20</v>
      </c>
      <c r="C22" t="str">
        <f>'Input Scenarios'!C43</f>
        <v>Irrigated pasture</v>
      </c>
      <c r="D22" t="str">
        <f>'Input Scenarios'!D43</f>
        <v>wet</v>
      </c>
      <c r="E22" t="b">
        <f>'Input Scenarios'!E43</f>
        <v>1</v>
      </c>
      <c r="F22" t="str">
        <f>'Input Scenarios'!F43</f>
        <v>meatOther</v>
      </c>
      <c r="G22">
        <f>'Input Scenarios'!G43</f>
        <v>3333</v>
      </c>
      <c r="H22">
        <f>'Input Scenarios'!H43</f>
        <v>111</v>
      </c>
      <c r="I22">
        <f>IF('Input Scenarios'!I43&lt;&gt;"", 'Input Scenarios'!I43,_xlfn.XLOOKUP($F22,Constants!$A$2:$A$5,Constants!B$2:B$5))</f>
        <v>9.2999999999999999E-2</v>
      </c>
      <c r="J22">
        <f>IF('Input Scenarios'!J43&lt;&gt;"", 'Input Scenarios'!J43,_xlfn.XLOOKUP($F22,Constants!$A$2:$A$5,Constants!C$2:C$5))</f>
        <v>0.7</v>
      </c>
      <c r="K22">
        <f>IF('Input Scenarios'!K43&lt;&gt;"", 'Input Scenarios'!K43,_xlfn.XLOOKUP($F22,Constants!$A$2:$A$5,Constants!D$2:D$5))</f>
        <v>0.23</v>
      </c>
      <c r="L22">
        <f>IF('Input Scenarios'!L43&lt;&gt;"", 'Input Scenarios'!L43,_xlfn.XLOOKUP($F22,Constants!$A$2:$A$5,Constants!E$2:E$5))</f>
        <v>0.47</v>
      </c>
      <c r="M22">
        <f>'Input Scenarios'!M43</f>
        <v>0</v>
      </c>
      <c r="N22">
        <f>'Input Scenarios'!N43</f>
        <v>0.9</v>
      </c>
      <c r="O22">
        <f>'Input Scenarios'!O43</f>
        <v>0</v>
      </c>
      <c r="P22">
        <f>'Input Scenarios'!P43</f>
        <v>0.1</v>
      </c>
      <c r="Q22">
        <f>'Input Scenarios'!Q43</f>
        <v>1</v>
      </c>
      <c r="R22">
        <f>'Input Scenarios'!R43</f>
        <v>0</v>
      </c>
      <c r="S22">
        <f>'Input Scenarios'!S43</f>
        <v>0</v>
      </c>
      <c r="T22">
        <f>'Input Scenarios'!T43</f>
        <v>0</v>
      </c>
      <c r="U22">
        <f>'Input Scenarios'!U43</f>
        <v>0</v>
      </c>
      <c r="V22">
        <f>'Input Scenarios'!V43</f>
        <v>0</v>
      </c>
      <c r="W22">
        <f>'Input Scenarios'!W43</f>
        <v>1</v>
      </c>
      <c r="X22">
        <f>'Input Scenarios'!X43</f>
        <v>0</v>
      </c>
      <c r="Y22">
        <f>'Input Scenarios'!Y43</f>
        <v>0</v>
      </c>
      <c r="Z22">
        <f>'Input Scenarios'!Z43</f>
        <v>0</v>
      </c>
      <c r="AA22">
        <f>'Input Scenarios'!AA43</f>
        <v>0</v>
      </c>
      <c r="AB22">
        <f>'Input Scenarios'!AB43</f>
        <v>0</v>
      </c>
      <c r="AC22">
        <f>'Input Scenarios'!AC43</f>
        <v>1</v>
      </c>
      <c r="AD22">
        <f>'Input Scenarios'!AD43</f>
        <v>0</v>
      </c>
      <c r="AE22">
        <f>'Input Scenarios'!AE43</f>
        <v>0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6"/>
        <v>3.4223999999999999E-3</v>
      </c>
      <c r="AZ22">
        <f t="shared" si="7"/>
        <v>1.813872E-3</v>
      </c>
      <c r="BA22">
        <f t="shared" si="0"/>
        <v>671.06552673600004</v>
      </c>
      <c r="BB22">
        <f t="shared" si="1"/>
        <v>0</v>
      </c>
      <c r="BC22">
        <f t="shared" si="1"/>
        <v>603.9589740624001</v>
      </c>
      <c r="BD22">
        <f t="shared" si="1"/>
        <v>0</v>
      </c>
      <c r="BE22">
        <f t="shared" si="1"/>
        <v>67.106552673600007</v>
      </c>
      <c r="BF22">
        <f t="shared" si="2"/>
        <v>0</v>
      </c>
      <c r="BG22">
        <f t="shared" si="2"/>
        <v>573.15706638521772</v>
      </c>
      <c r="BH22">
        <f t="shared" si="2"/>
        <v>0</v>
      </c>
      <c r="BI22">
        <f t="shared" si="3"/>
        <v>0</v>
      </c>
      <c r="BJ22">
        <f t="shared" si="3"/>
        <v>573.15706638521772</v>
      </c>
      <c r="BK22">
        <f t="shared" si="3"/>
        <v>0</v>
      </c>
      <c r="BL22">
        <f t="shared" si="3"/>
        <v>0</v>
      </c>
      <c r="BM22">
        <f t="shared" si="3"/>
        <v>0</v>
      </c>
      <c r="BN22">
        <f t="shared" si="8"/>
        <v>0</v>
      </c>
      <c r="BO22">
        <f t="shared" si="4"/>
        <v>30.197948703120005</v>
      </c>
      <c r="BP22">
        <f t="shared" si="4"/>
        <v>0</v>
      </c>
      <c r="BQ22">
        <f t="shared" si="9"/>
        <v>0</v>
      </c>
      <c r="BR22">
        <f t="shared" si="5"/>
        <v>114.63141327704355</v>
      </c>
      <c r="BS22">
        <f t="shared" si="5"/>
        <v>0</v>
      </c>
      <c r="BT22">
        <f t="shared" si="5"/>
        <v>0</v>
      </c>
      <c r="BU22">
        <f t="shared" si="10"/>
        <v>144.82936198016355</v>
      </c>
      <c r="BV22">
        <f>Constants!$K$2</f>
        <v>0.21</v>
      </c>
      <c r="BW22">
        <f t="shared" si="11"/>
        <v>14.092376061456001</v>
      </c>
      <c r="BX22">
        <f>IF(C22="", "", _xlfn.XLOOKUP(C22,Constants!$A$20:$A$24,Constants!$B$20:$B$24))</f>
        <v>5.8999999999999999E-3</v>
      </c>
      <c r="BY22">
        <f>IF(BU22="","",Constants!$J$2)</f>
        <v>1.57</v>
      </c>
      <c r="BZ22">
        <f t="shared" si="12"/>
        <v>1.3415543800222551</v>
      </c>
      <c r="CA22">
        <f t="shared" si="13"/>
        <v>0.13053767945726694</v>
      </c>
    </row>
    <row r="23" spans="1:88" x14ac:dyDescent="0.2">
      <c r="A23" t="str">
        <f>'Input Scenarios'!A44</f>
        <v>NT</v>
      </c>
      <c r="B23">
        <f>'Input Scenarios'!B44</f>
        <v>27</v>
      </c>
      <c r="C23" t="str">
        <f>'Input Scenarios'!C44</f>
        <v>Non-irrigated crop (high rainfall)</v>
      </c>
      <c r="D23" t="str">
        <f>'Input Scenarios'!D44</f>
        <v>dry</v>
      </c>
      <c r="E23" t="b">
        <f>'Input Scenarios'!E44</f>
        <v>0</v>
      </c>
      <c r="F23" t="str">
        <f>'Input Scenarios'!F44</f>
        <v>layers</v>
      </c>
      <c r="G23">
        <f>'Input Scenarios'!G44</f>
        <v>1234</v>
      </c>
      <c r="H23">
        <f>'Input Scenarios'!H44</f>
        <v>150</v>
      </c>
      <c r="I23">
        <f>IF('Input Scenarios'!I44&lt;&gt;"", 'Input Scenarios'!I44,_xlfn.XLOOKUP($F23,Constants!$A$2:$A$5,Constants!B$2:B$5))</f>
        <v>8.5999999999999993E-2</v>
      </c>
      <c r="J23">
        <f>IF('Input Scenarios'!J44&lt;&gt;"", 'Input Scenarios'!J44,_xlfn.XLOOKUP($F23,Constants!$A$2:$A$5,Constants!C$2:C$5))</f>
        <v>0.8</v>
      </c>
      <c r="K23">
        <f>IF('Input Scenarios'!K44&lt;&gt;"", 'Input Scenarios'!K44,_xlfn.XLOOKUP($F23,Constants!$A$2:$A$5,Constants!D$2:D$5))</f>
        <v>0.19</v>
      </c>
      <c r="L23">
        <f>IF('Input Scenarios'!L44&lt;&gt;"", 'Input Scenarios'!L44,_xlfn.XLOOKUP($F23,Constants!$A$2:$A$5,Constants!E$2:E$5))</f>
        <v>0.35</v>
      </c>
      <c r="M23">
        <f>'Input Scenarios'!M44</f>
        <v>0.1</v>
      </c>
      <c r="N23">
        <f>'Input Scenarios'!N44</f>
        <v>0</v>
      </c>
      <c r="O23">
        <f>'Input Scenarios'!O44</f>
        <v>0</v>
      </c>
      <c r="P23">
        <f>'Input Scenarios'!P44</f>
        <v>0.9</v>
      </c>
      <c r="Q23">
        <f>'Input Scenarios'!Q44</f>
        <v>0</v>
      </c>
      <c r="R23">
        <f>'Input Scenarios'!R44</f>
        <v>0.9</v>
      </c>
      <c r="S23">
        <f>'Input Scenarios'!S44</f>
        <v>0.1</v>
      </c>
      <c r="T23">
        <f>'Input Scenarios'!T44</f>
        <v>0</v>
      </c>
      <c r="U23">
        <f>'Input Scenarios'!U44</f>
        <v>0</v>
      </c>
      <c r="V23">
        <f>'Input Scenarios'!V44</f>
        <v>0</v>
      </c>
      <c r="W23">
        <f>'Input Scenarios'!W44</f>
        <v>1</v>
      </c>
      <c r="X23">
        <f>'Input Scenarios'!X44</f>
        <v>0</v>
      </c>
      <c r="Y23">
        <f>'Input Scenarios'!Y44</f>
        <v>0</v>
      </c>
      <c r="Z23">
        <f>'Input Scenarios'!Z44</f>
        <v>0</v>
      </c>
      <c r="AA23">
        <f>'Input Scenarios'!AA44</f>
        <v>0</v>
      </c>
      <c r="AB23">
        <f>'Input Scenarios'!AB44</f>
        <v>0</v>
      </c>
      <c r="AC23">
        <f>'Input Scenarios'!AC44</f>
        <v>1</v>
      </c>
      <c r="AD23">
        <f>'Input Scenarios'!AD44</f>
        <v>0</v>
      </c>
      <c r="AE23">
        <f>'Input Scenarios'!AE44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6"/>
        <v>2.6144000000000002E-3</v>
      </c>
      <c r="AZ23">
        <f t="shared" si="7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1"/>
        <v>0</v>
      </c>
      <c r="BD23">
        <f t="shared" si="1"/>
        <v>0</v>
      </c>
      <c r="BE23">
        <f t="shared" si="1"/>
        <v>283.09638240000004</v>
      </c>
      <c r="BF23">
        <f t="shared" si="2"/>
        <v>21.987152366400004</v>
      </c>
      <c r="BG23">
        <f t="shared" si="2"/>
        <v>0</v>
      </c>
      <c r="BH23">
        <f t="shared" si="2"/>
        <v>0</v>
      </c>
      <c r="BI23">
        <f t="shared" si="3"/>
        <v>0</v>
      </c>
      <c r="BJ23">
        <f t="shared" si="3"/>
        <v>19.788437129760005</v>
      </c>
      <c r="BK23">
        <f t="shared" si="3"/>
        <v>2.1987152366400005</v>
      </c>
      <c r="BL23">
        <f t="shared" si="3"/>
        <v>0</v>
      </c>
      <c r="BM23">
        <f t="shared" si="3"/>
        <v>0</v>
      </c>
      <c r="BN23">
        <f t="shared" si="8"/>
        <v>9.4365460800000012</v>
      </c>
      <c r="BO23">
        <f t="shared" si="4"/>
        <v>0</v>
      </c>
      <c r="BP23">
        <f t="shared" si="4"/>
        <v>0</v>
      </c>
      <c r="BQ23">
        <f t="shared" si="9"/>
        <v>0</v>
      </c>
      <c r="BR23">
        <f t="shared" si="5"/>
        <v>3.9576874259520012</v>
      </c>
      <c r="BS23">
        <f t="shared" si="5"/>
        <v>0</v>
      </c>
      <c r="BT23">
        <f t="shared" si="5"/>
        <v>0</v>
      </c>
      <c r="BU23">
        <f t="shared" si="10"/>
        <v>13.394233505952002</v>
      </c>
      <c r="BV23">
        <f>Constants!$K$2</f>
        <v>0.21</v>
      </c>
      <c r="BW23">
        <f t="shared" si="11"/>
        <v>59.450240304000005</v>
      </c>
      <c r="BX23">
        <f>IF(C23="", "", _xlfn.XLOOKUP(C23,Constants!$A$20:$A$24,Constants!$B$20:$B$24))</f>
        <v>8.0000000000000002E-3</v>
      </c>
      <c r="BY23">
        <f>IF(BU23="","",Constants!$J$2)</f>
        <v>1.57</v>
      </c>
      <c r="BZ23">
        <f t="shared" si="12"/>
        <v>0.16823157283475715</v>
      </c>
      <c r="CA23">
        <f t="shared" si="13"/>
        <v>0.74669501821824014</v>
      </c>
      <c r="CB23">
        <f>SUM(BZ23:CA26)/1000</f>
        <v>4.1038174686441253E-3</v>
      </c>
    </row>
    <row r="24" spans="1:88" x14ac:dyDescent="0.2">
      <c r="A24" t="str">
        <f>'Input Scenarios'!A45</f>
        <v>NT</v>
      </c>
      <c r="B24">
        <f>'Input Scenarios'!B45</f>
        <v>27</v>
      </c>
      <c r="C24" t="str">
        <f>'Input Scenarios'!C45</f>
        <v>Non-irrigated crop (high rainfall)</v>
      </c>
      <c r="D24" t="str">
        <f>'Input Scenarios'!D45</f>
        <v>dry</v>
      </c>
      <c r="E24" t="b">
        <f>'Input Scenarios'!E45</f>
        <v>0</v>
      </c>
      <c r="F24" t="str">
        <f>'Input Scenarios'!F45</f>
        <v>meatChickenBreeder</v>
      </c>
      <c r="G24">
        <f>'Input Scenarios'!G45</f>
        <v>1234</v>
      </c>
      <c r="H24">
        <f>'Input Scenarios'!H45</f>
        <v>150</v>
      </c>
      <c r="I24">
        <f>IF('Input Scenarios'!I45&lt;&gt;"", 'Input Scenarios'!I45,_xlfn.XLOOKUP($F24,Constants!$A$2:$A$5,Constants!B$2:B$5))</f>
        <v>0.10299999999999999</v>
      </c>
      <c r="J24">
        <f>IF('Input Scenarios'!J45&lt;&gt;"", 'Input Scenarios'!J45,_xlfn.XLOOKUP($F24,Constants!$A$2:$A$5,Constants!C$2:C$5))</f>
        <v>0.8</v>
      </c>
      <c r="K24">
        <f>IF('Input Scenarios'!K45&lt;&gt;"", 'Input Scenarios'!K45,_xlfn.XLOOKUP($F24,Constants!$A$2:$A$5,Constants!D$2:D$5))</f>
        <v>0.24</v>
      </c>
      <c r="L24">
        <f>IF('Input Scenarios'!L45&lt;&gt;"", 'Input Scenarios'!L45,_xlfn.XLOOKUP($F24,Constants!$A$2:$A$5,Constants!E$2:E$5))</f>
        <v>0.32</v>
      </c>
      <c r="M24">
        <f>'Input Scenarios'!M45</f>
        <v>0.1</v>
      </c>
      <c r="N24">
        <f>'Input Scenarios'!N45</f>
        <v>0</v>
      </c>
      <c r="O24">
        <f>'Input Scenarios'!O45</f>
        <v>0</v>
      </c>
      <c r="P24">
        <f>'Input Scenarios'!P45</f>
        <v>0.9</v>
      </c>
      <c r="Q24">
        <f>'Input Scenarios'!Q45</f>
        <v>0</v>
      </c>
      <c r="R24">
        <f>'Input Scenarios'!R45</f>
        <v>0.9</v>
      </c>
      <c r="S24">
        <f>'Input Scenarios'!S45</f>
        <v>0.1</v>
      </c>
      <c r="T24">
        <f>'Input Scenarios'!T45</f>
        <v>0</v>
      </c>
      <c r="U24">
        <f>'Input Scenarios'!U45</f>
        <v>0</v>
      </c>
      <c r="V24">
        <f>'Input Scenarios'!V45</f>
        <v>0</v>
      </c>
      <c r="W24">
        <f>'Input Scenarios'!W45</f>
        <v>1</v>
      </c>
      <c r="X24">
        <f>'Input Scenarios'!X45</f>
        <v>0</v>
      </c>
      <c r="Y24">
        <f>'Input Scenarios'!Y45</f>
        <v>0</v>
      </c>
      <c r="Z24">
        <f>'Input Scenarios'!Z45</f>
        <v>0</v>
      </c>
      <c r="AA24">
        <f>'Input Scenarios'!AA45</f>
        <v>0</v>
      </c>
      <c r="AB24">
        <f>'Input Scenarios'!AB45</f>
        <v>0</v>
      </c>
      <c r="AC24">
        <f>'Input Scenarios'!AC45</f>
        <v>1</v>
      </c>
      <c r="AD24">
        <f>'Input Scenarios'!AD45</f>
        <v>0</v>
      </c>
      <c r="AE24">
        <f>'Input Scenarios'!AE45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6"/>
        <v>3.9551999999999999E-3</v>
      </c>
      <c r="AZ24">
        <f t="shared" si="7"/>
        <v>2.6895359999999997E-3</v>
      </c>
      <c r="BA24">
        <f t="shared" si="0"/>
        <v>497.83311359999993</v>
      </c>
      <c r="BB24">
        <f t="shared" si="1"/>
        <v>49.783311359999999</v>
      </c>
      <c r="BC24">
        <f t="shared" si="1"/>
        <v>0</v>
      </c>
      <c r="BD24">
        <f t="shared" si="1"/>
        <v>0</v>
      </c>
      <c r="BE24">
        <f t="shared" si="1"/>
        <v>448.04980223999996</v>
      </c>
      <c r="BF24">
        <f t="shared" si="2"/>
        <v>34.79853464064</v>
      </c>
      <c r="BG24">
        <f t="shared" si="2"/>
        <v>0</v>
      </c>
      <c r="BH24">
        <f t="shared" si="2"/>
        <v>0</v>
      </c>
      <c r="BI24">
        <f t="shared" si="3"/>
        <v>0</v>
      </c>
      <c r="BJ24">
        <f t="shared" si="3"/>
        <v>31.318681176576</v>
      </c>
      <c r="BK24">
        <f t="shared" si="3"/>
        <v>3.479853464064</v>
      </c>
      <c r="BL24">
        <f t="shared" si="3"/>
        <v>0</v>
      </c>
      <c r="BM24">
        <f t="shared" si="3"/>
        <v>0</v>
      </c>
      <c r="BN24">
        <f t="shared" si="8"/>
        <v>14.934993407999999</v>
      </c>
      <c r="BO24">
        <f t="shared" si="4"/>
        <v>0</v>
      </c>
      <c r="BP24">
        <f t="shared" si="4"/>
        <v>0</v>
      </c>
      <c r="BQ24">
        <f t="shared" si="9"/>
        <v>0</v>
      </c>
      <c r="BR24">
        <f t="shared" si="5"/>
        <v>6.2637362353152</v>
      </c>
      <c r="BS24">
        <f t="shared" si="5"/>
        <v>0</v>
      </c>
      <c r="BT24">
        <f t="shared" si="5"/>
        <v>0</v>
      </c>
      <c r="BU24">
        <f t="shared" si="10"/>
        <v>21.198729643315197</v>
      </c>
      <c r="BV24">
        <f>Constants!$K$2</f>
        <v>0.21</v>
      </c>
      <c r="BW24">
        <f t="shared" si="11"/>
        <v>94.090458470399994</v>
      </c>
      <c r="BX24">
        <f>IF(C24="", "", _xlfn.XLOOKUP(C24,Constants!$A$20:$A$24,Constants!$B$20:$B$24))</f>
        <v>8.0000000000000002E-3</v>
      </c>
      <c r="BY24">
        <f>IF(BU24="","",Constants!$J$2)</f>
        <v>1.57</v>
      </c>
      <c r="BZ24">
        <f t="shared" si="12"/>
        <v>0.26625604432003885</v>
      </c>
      <c r="CA24">
        <f t="shared" si="13"/>
        <v>1.181776158388224</v>
      </c>
    </row>
    <row r="25" spans="1:88" s="11" customFormat="1" x14ac:dyDescent="0.2">
      <c r="A25" t="str">
        <f>'Input Scenarios'!A46</f>
        <v>NT</v>
      </c>
      <c r="B25">
        <f>'Input Scenarios'!B46</f>
        <v>27</v>
      </c>
      <c r="C25" t="str">
        <f>'Input Scenarios'!C46</f>
        <v>Non-irrigated crop (high rainfall)</v>
      </c>
      <c r="D25" t="str">
        <f>'Input Scenarios'!D46</f>
        <v>dry</v>
      </c>
      <c r="E25" t="b">
        <f>'Input Scenarios'!E46</f>
        <v>0</v>
      </c>
      <c r="F25" t="str">
        <f>'Input Scenarios'!F46</f>
        <v>meatChickenGrowers</v>
      </c>
      <c r="G25">
        <f>'Input Scenarios'!G46</f>
        <v>1234</v>
      </c>
      <c r="H25">
        <f>'Input Scenarios'!H46</f>
        <v>150</v>
      </c>
      <c r="I25">
        <f>IF('Input Scenarios'!I46&lt;&gt;"", 'Input Scenarios'!I46,_xlfn.XLOOKUP($F25,Constants!$A$2:$A$5,Constants!B$2:B$5))</f>
        <v>9.2999999999999999E-2</v>
      </c>
      <c r="J25">
        <f>IF('Input Scenarios'!J46&lt;&gt;"", 'Input Scenarios'!J46,_xlfn.XLOOKUP($F25,Constants!$A$2:$A$5,Constants!C$2:C$5))</f>
        <v>0.8</v>
      </c>
      <c r="K25">
        <f>IF('Input Scenarios'!K46&lt;&gt;"", 'Input Scenarios'!K46,_xlfn.XLOOKUP($F25,Constants!$A$2:$A$5,Constants!D$2:D$5))</f>
        <v>0.18</v>
      </c>
      <c r="L25">
        <f>IF('Input Scenarios'!L46&lt;&gt;"", 'Input Scenarios'!L46,_xlfn.XLOOKUP($F25,Constants!$A$2:$A$5,Constants!E$2:E$5))</f>
        <v>0.47</v>
      </c>
      <c r="M25">
        <f>'Input Scenarios'!M46</f>
        <v>0.1</v>
      </c>
      <c r="N25">
        <f>'Input Scenarios'!N46</f>
        <v>0</v>
      </c>
      <c r="O25">
        <f>'Input Scenarios'!O46</f>
        <v>0</v>
      </c>
      <c r="P25">
        <f>'Input Scenarios'!P46</f>
        <v>0.9</v>
      </c>
      <c r="Q25">
        <f>'Input Scenarios'!Q46</f>
        <v>0</v>
      </c>
      <c r="R25">
        <f>'Input Scenarios'!R46</f>
        <v>0.9</v>
      </c>
      <c r="S25">
        <f>'Input Scenarios'!S46</f>
        <v>0.1</v>
      </c>
      <c r="T25">
        <f>'Input Scenarios'!T46</f>
        <v>0</v>
      </c>
      <c r="U25">
        <f>'Input Scenarios'!U46</f>
        <v>0</v>
      </c>
      <c r="V25">
        <f>'Input Scenarios'!V46</f>
        <v>0</v>
      </c>
      <c r="W25">
        <f>'Input Scenarios'!W46</f>
        <v>1</v>
      </c>
      <c r="X25">
        <f>'Input Scenarios'!X46</f>
        <v>0</v>
      </c>
      <c r="Y25">
        <f>'Input Scenarios'!Y46</f>
        <v>0</v>
      </c>
      <c r="Z25">
        <f>'Input Scenarios'!Z46</f>
        <v>0</v>
      </c>
      <c r="AA25">
        <f>'Input Scenarios'!AA46</f>
        <v>0</v>
      </c>
      <c r="AB25">
        <f>'Input Scenarios'!AB46</f>
        <v>0</v>
      </c>
      <c r="AC25">
        <f>'Input Scenarios'!AC46</f>
        <v>1</v>
      </c>
      <c r="AD25">
        <f>'Input Scenarios'!AD46</f>
        <v>0</v>
      </c>
      <c r="AE25">
        <f>'Input Scenarios'!AE46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6"/>
        <v>2.6783999999999996E-3</v>
      </c>
      <c r="AZ25">
        <f t="shared" si="7"/>
        <v>1.4195519999999999E-3</v>
      </c>
      <c r="BA25">
        <f t="shared" si="0"/>
        <v>262.75907519999998</v>
      </c>
      <c r="BB25">
        <f t="shared" si="1"/>
        <v>26.275907520000001</v>
      </c>
      <c r="BC25">
        <f t="shared" si="1"/>
        <v>0</v>
      </c>
      <c r="BD25">
        <f t="shared" si="1"/>
        <v>0</v>
      </c>
      <c r="BE25">
        <f t="shared" si="1"/>
        <v>236.48316767999998</v>
      </c>
      <c r="BF25">
        <f t="shared" si="2"/>
        <v>18.366859356479999</v>
      </c>
      <c r="BG25">
        <f t="shared" si="2"/>
        <v>0</v>
      </c>
      <c r="BH25">
        <f t="shared" si="2"/>
        <v>0</v>
      </c>
      <c r="BI25">
        <f t="shared" si="3"/>
        <v>0</v>
      </c>
      <c r="BJ25">
        <f t="shared" si="3"/>
        <v>16.530173420832</v>
      </c>
      <c r="BK25">
        <f t="shared" si="3"/>
        <v>1.8366859356480001</v>
      </c>
      <c r="BL25">
        <f t="shared" si="3"/>
        <v>0</v>
      </c>
      <c r="BM25">
        <f t="shared" si="3"/>
        <v>0</v>
      </c>
      <c r="BN25">
        <f t="shared" si="8"/>
        <v>7.882772256</v>
      </c>
      <c r="BO25">
        <f t="shared" si="4"/>
        <v>0</v>
      </c>
      <c r="BP25">
        <f t="shared" si="4"/>
        <v>0</v>
      </c>
      <c r="BQ25">
        <f t="shared" si="9"/>
        <v>0</v>
      </c>
      <c r="BR25">
        <f t="shared" si="5"/>
        <v>3.3060346841664003</v>
      </c>
      <c r="BS25">
        <f t="shared" si="5"/>
        <v>0</v>
      </c>
      <c r="BT25">
        <f t="shared" si="5"/>
        <v>0</v>
      </c>
      <c r="BU25">
        <f t="shared" si="10"/>
        <v>11.188806940166401</v>
      </c>
      <c r="BV25">
        <f>Constants!$K$2</f>
        <v>0.21</v>
      </c>
      <c r="BW25">
        <f t="shared" si="11"/>
        <v>49.661465212799996</v>
      </c>
      <c r="BX25">
        <f>IF(C25="", "", _xlfn.XLOOKUP(C25,Constants!$A$20:$A$24,Constants!$B$20:$B$24))</f>
        <v>8.0000000000000002E-3</v>
      </c>
      <c r="BY25">
        <f>IF(BU25="","",Constants!$J$2)</f>
        <v>1.57</v>
      </c>
      <c r="BZ25">
        <f t="shared" si="12"/>
        <v>0.14053141516849002</v>
      </c>
      <c r="CA25">
        <f t="shared" si="13"/>
        <v>0.62374800307276801</v>
      </c>
      <c r="CB25"/>
      <c r="CC25"/>
      <c r="CD25"/>
      <c r="CE25"/>
      <c r="CF25"/>
      <c r="CG25"/>
      <c r="CH25"/>
      <c r="CI25"/>
      <c r="CJ25"/>
    </row>
    <row r="26" spans="1:88" x14ac:dyDescent="0.2">
      <c r="A26" t="str">
        <f>'Input Scenarios'!A47</f>
        <v>NT</v>
      </c>
      <c r="B26">
        <f>'Input Scenarios'!B47</f>
        <v>27</v>
      </c>
      <c r="C26" t="str">
        <f>'Input Scenarios'!C47</f>
        <v>Non-irrigated crop (high rainfall)</v>
      </c>
      <c r="D26" t="str">
        <f>'Input Scenarios'!D47</f>
        <v>dry</v>
      </c>
      <c r="E26" t="b">
        <f>'Input Scenarios'!E47</f>
        <v>0</v>
      </c>
      <c r="F26" t="str">
        <f>'Input Scenarios'!F47</f>
        <v>meatOther</v>
      </c>
      <c r="G26">
        <f>'Input Scenarios'!G47</f>
        <v>1234</v>
      </c>
      <c r="H26">
        <f>'Input Scenarios'!H47</f>
        <v>150</v>
      </c>
      <c r="I26">
        <f>IF('Input Scenarios'!I47&lt;&gt;"", 'Input Scenarios'!I47,_xlfn.XLOOKUP($F26,Constants!$A$2:$A$5,Constants!B$2:B$5))</f>
        <v>9.2999999999999999E-2</v>
      </c>
      <c r="J26">
        <f>IF('Input Scenarios'!J47&lt;&gt;"", 'Input Scenarios'!J47,_xlfn.XLOOKUP($F26,Constants!$A$2:$A$5,Constants!C$2:C$5))</f>
        <v>0.8</v>
      </c>
      <c r="K26">
        <f>IF('Input Scenarios'!K47&lt;&gt;"", 'Input Scenarios'!K47,_xlfn.XLOOKUP($F26,Constants!$A$2:$A$5,Constants!D$2:D$5))</f>
        <v>0.23</v>
      </c>
      <c r="L26">
        <f>IF('Input Scenarios'!L47&lt;&gt;"", 'Input Scenarios'!L47,_xlfn.XLOOKUP($F26,Constants!$A$2:$A$5,Constants!E$2:E$5))</f>
        <v>0.47</v>
      </c>
      <c r="M26">
        <f>'Input Scenarios'!M47</f>
        <v>0.1</v>
      </c>
      <c r="N26">
        <f>'Input Scenarios'!N47</f>
        <v>0</v>
      </c>
      <c r="O26">
        <f>'Input Scenarios'!O47</f>
        <v>0</v>
      </c>
      <c r="P26">
        <f>'Input Scenarios'!P47</f>
        <v>0.9</v>
      </c>
      <c r="Q26">
        <f>'Input Scenarios'!Q47</f>
        <v>0</v>
      </c>
      <c r="R26">
        <f>'Input Scenarios'!R47</f>
        <v>0.9</v>
      </c>
      <c r="S26">
        <f>'Input Scenarios'!S47</f>
        <v>0.1</v>
      </c>
      <c r="T26">
        <f>'Input Scenarios'!T47</f>
        <v>0</v>
      </c>
      <c r="U26">
        <f>'Input Scenarios'!U47</f>
        <v>0</v>
      </c>
      <c r="V26">
        <f>'Input Scenarios'!V47</f>
        <v>0</v>
      </c>
      <c r="W26">
        <f>'Input Scenarios'!W47</f>
        <v>1</v>
      </c>
      <c r="X26">
        <f>'Input Scenarios'!X47</f>
        <v>0</v>
      </c>
      <c r="Y26">
        <f>'Input Scenarios'!Y47</f>
        <v>0</v>
      </c>
      <c r="Z26">
        <f>'Input Scenarios'!Z47</f>
        <v>0</v>
      </c>
      <c r="AA26">
        <f>'Input Scenarios'!AA47</f>
        <v>0</v>
      </c>
      <c r="AB26">
        <f>'Input Scenarios'!AB47</f>
        <v>0</v>
      </c>
      <c r="AC26">
        <f>'Input Scenarios'!AC47</f>
        <v>1</v>
      </c>
      <c r="AD26">
        <f>'Input Scenarios'!AD47</f>
        <v>0</v>
      </c>
      <c r="AE26">
        <f>'Input Scenarios'!AE47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6"/>
        <v>3.4223999999999999E-3</v>
      </c>
      <c r="AZ26">
        <f t="shared" si="7"/>
        <v>1.813872E-3</v>
      </c>
      <c r="BA26">
        <f t="shared" si="0"/>
        <v>335.74770719999998</v>
      </c>
      <c r="BB26">
        <f t="shared" si="1"/>
        <v>33.574770719999997</v>
      </c>
      <c r="BC26">
        <f t="shared" si="1"/>
        <v>0</v>
      </c>
      <c r="BD26">
        <f t="shared" si="1"/>
        <v>0</v>
      </c>
      <c r="BE26">
        <f t="shared" si="1"/>
        <v>302.17293647999998</v>
      </c>
      <c r="BF26">
        <f t="shared" si="2"/>
        <v>23.468764733279997</v>
      </c>
      <c r="BG26">
        <f t="shared" si="2"/>
        <v>0</v>
      </c>
      <c r="BH26">
        <f t="shared" si="2"/>
        <v>0</v>
      </c>
      <c r="BI26">
        <f t="shared" si="3"/>
        <v>0</v>
      </c>
      <c r="BJ26">
        <f t="shared" si="3"/>
        <v>21.121888259951998</v>
      </c>
      <c r="BK26">
        <f t="shared" si="3"/>
        <v>2.3468764733279999</v>
      </c>
      <c r="BL26">
        <f t="shared" si="3"/>
        <v>0</v>
      </c>
      <c r="BM26">
        <f t="shared" si="3"/>
        <v>0</v>
      </c>
      <c r="BN26">
        <f t="shared" si="8"/>
        <v>10.072431215999998</v>
      </c>
      <c r="BO26">
        <f t="shared" si="4"/>
        <v>0</v>
      </c>
      <c r="BP26">
        <f t="shared" si="4"/>
        <v>0</v>
      </c>
      <c r="BQ26">
        <f t="shared" si="9"/>
        <v>0</v>
      </c>
      <c r="BR26">
        <f t="shared" si="5"/>
        <v>4.2243776519903999</v>
      </c>
      <c r="BS26">
        <f t="shared" si="5"/>
        <v>0</v>
      </c>
      <c r="BT26">
        <f t="shared" si="5"/>
        <v>0</v>
      </c>
      <c r="BU26">
        <f t="shared" si="10"/>
        <v>14.296808867990398</v>
      </c>
      <c r="BV26">
        <f>Constants!$K$2</f>
        <v>0.21</v>
      </c>
      <c r="BW26">
        <f t="shared" si="11"/>
        <v>63.456316660799992</v>
      </c>
      <c r="BX26">
        <f>IF(C26="", "", _xlfn.XLOOKUP(C26,Constants!$A$20:$A$24,Constants!$B$20:$B$24))</f>
        <v>8.0000000000000002E-3</v>
      </c>
      <c r="BY26">
        <f>IF(BU26="","",Constants!$J$2)</f>
        <v>1.57</v>
      </c>
      <c r="BZ26">
        <f t="shared" si="12"/>
        <v>0.1795679193819594</v>
      </c>
      <c r="CA26">
        <f t="shared" si="13"/>
        <v>0.79701133725964801</v>
      </c>
    </row>
    <row r="27" spans="1:88" x14ac:dyDescent="0.2">
      <c r="BS27" t="str">
        <f>IF(L27="", "",IF( L27="pastureRangeAndPaddock",Y27*Constants!$K$2, Y27*S27))</f>
        <v/>
      </c>
      <c r="BT27" t="str">
        <f t="shared" ref="BT27:BT30" si="14">IF(OR(N27="", N27="directApplication"), "",AB27*U27)</f>
        <v/>
      </c>
      <c r="BU27" t="str">
        <f t="shared" ref="BU27:BU30" si="15">IF(F27="", "", SUM(BS27:BT31))</f>
        <v/>
      </c>
      <c r="BX27" t="str">
        <f>IF(C27="", "", _xlfn.XLOOKUP(C27,Constants!$A$20:$A$24,Constants!$B$20:$B$24))</f>
        <v/>
      </c>
      <c r="BY27" t="str">
        <f>IF(BU27="","",Constants!$J$2)</f>
        <v/>
      </c>
      <c r="BZ27" t="str">
        <f t="shared" ref="BZ27:BZ30" si="16">IF(BU27="", "", (BU27*BX27*BY27)/1000)</f>
        <v/>
      </c>
    </row>
    <row r="28" spans="1:88" x14ac:dyDescent="0.2">
      <c r="BS28" t="str">
        <f>IF(L28="", "",IF( L28="pastureRangeAndPaddock",Y28*Constants!$K$2, Y28*S28))</f>
        <v/>
      </c>
      <c r="BT28" t="str">
        <f t="shared" si="14"/>
        <v/>
      </c>
      <c r="BU28" t="str">
        <f t="shared" si="15"/>
        <v/>
      </c>
      <c r="BX28" t="str">
        <f>IF(C28="", "", _xlfn.XLOOKUP(C28,Constants!$A$20:$A$24,Constants!$B$20:$B$24))</f>
        <v/>
      </c>
      <c r="BY28" t="str">
        <f>IF(BU28="","",Constants!$J$2)</f>
        <v/>
      </c>
      <c r="BZ28" t="str">
        <f t="shared" si="16"/>
        <v/>
      </c>
    </row>
    <row r="29" spans="1:88" x14ac:dyDescent="0.2">
      <c r="BS29" t="str">
        <f>IF(L29="", "",IF( L29="pastureRangeAndPaddock",Y29*Constants!$K$2, Y29*S29))</f>
        <v/>
      </c>
      <c r="BT29" t="str">
        <f t="shared" si="14"/>
        <v/>
      </c>
      <c r="BU29" t="str">
        <f t="shared" si="15"/>
        <v/>
      </c>
      <c r="BX29" t="str">
        <f>IF(C29="", "", _xlfn.XLOOKUP(C29,Constants!$A$20:$A$24,Constants!$B$20:$B$24))</f>
        <v/>
      </c>
      <c r="BY29" t="str">
        <f>IF(BU29="","",Constants!$J$2)</f>
        <v/>
      </c>
      <c r="BZ29" t="str">
        <f t="shared" si="16"/>
        <v/>
      </c>
    </row>
    <row r="30" spans="1:88" s="11" customFormat="1" x14ac:dyDescent="0.2">
      <c r="A30"/>
      <c r="B30"/>
      <c r="C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t="str">
        <f>IF(L30="", "",IF( L30="pastureRangeAndPaddock",Y30*Constants!$K$2, Y30*S30))</f>
        <v/>
      </c>
      <c r="BT30" t="str">
        <f t="shared" si="14"/>
        <v/>
      </c>
      <c r="BU30" t="str">
        <f t="shared" si="15"/>
        <v/>
      </c>
      <c r="BV30"/>
      <c r="BW30"/>
      <c r="BX30" t="str">
        <f>IF(C30="", "", _xlfn.XLOOKUP(C30,Constants!$A$20:$A$24,Constants!$B$20:$B$24))</f>
        <v/>
      </c>
      <c r="BY30" t="str">
        <f>IF(BU30="","",Constants!$J$2)</f>
        <v/>
      </c>
      <c r="BZ30" t="str">
        <f t="shared" si="16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6793-AC5B-024D-9741-D6649CB824BC}">
  <dimension ref="A2:BR30"/>
  <sheetViews>
    <sheetView workbookViewId="0">
      <selection activeCell="L11" sqref="L11"/>
    </sheetView>
  </sheetViews>
  <sheetFormatPr baseColWidth="10" defaultRowHeight="16" x14ac:dyDescent="0.2"/>
  <cols>
    <col min="25" max="26" width="12.1640625" bestFit="1" customWidth="1"/>
    <col min="28" max="28" width="12.1640625" bestFit="1" customWidth="1"/>
    <col min="29" max="30" width="12.1640625" customWidth="1"/>
    <col min="35" max="35" width="12.1640625" bestFit="1" customWidth="1"/>
  </cols>
  <sheetData>
    <row r="2" spans="1:70" x14ac:dyDescent="0.2">
      <c r="A2" t="s">
        <v>30</v>
      </c>
    </row>
    <row r="4" spans="1:70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70" x14ac:dyDescent="0.2">
      <c r="K5" t="s">
        <v>0</v>
      </c>
      <c r="AF5" t="s">
        <v>0</v>
      </c>
      <c r="BF5" t="s">
        <v>97</v>
      </c>
    </row>
    <row r="6" spans="1:70" x14ac:dyDescent="0.2">
      <c r="BF6" t="s">
        <v>91</v>
      </c>
    </row>
    <row r="8" spans="1:70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70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104</v>
      </c>
      <c r="BK10" s="1" t="s">
        <v>103</v>
      </c>
      <c r="BL10" s="1" t="s">
        <v>211</v>
      </c>
      <c r="BM10" s="1" t="s">
        <v>212</v>
      </c>
      <c r="BN10" s="1" t="s">
        <v>102</v>
      </c>
      <c r="BO10" s="1" t="s">
        <v>96</v>
      </c>
      <c r="BP10" s="10" t="s">
        <v>213</v>
      </c>
      <c r="BQ10" s="10" t="s">
        <v>214</v>
      </c>
      <c r="BR10" s="10" t="s">
        <v>105</v>
      </c>
    </row>
    <row r="11" spans="1:70" x14ac:dyDescent="0.2">
      <c r="A11" t="str">
        <f>'Input Scenarios'!A8</f>
        <v>NSW</v>
      </c>
      <c r="B11">
        <f>'Input Scenarios'!B8</f>
        <v>0</v>
      </c>
      <c r="C11" t="str">
        <f>'Input Scenarios'!C8</f>
        <v>Non-irrigated pasture</v>
      </c>
      <c r="D11" t="str">
        <f>'Input Scenarios'!D8</f>
        <v>wet</v>
      </c>
      <c r="E11" t="b">
        <f>'Input Scenarios'!E8</f>
        <v>1</v>
      </c>
      <c r="F11" t="str">
        <f>'Input Scenarios'!F8</f>
        <v>layers</v>
      </c>
      <c r="G11">
        <f>'Input Scenarios'!G8</f>
        <v>5000</v>
      </c>
      <c r="H11">
        <f>'Input Scenarios'!H8</f>
        <v>50</v>
      </c>
      <c r="I11">
        <f>IF('Input Scenarios'!I8&lt;&gt;"", 'Input Scenarios'!I8,_xlfn.XLOOKUP($F11,Constants!$A$2:$A$5,Constants!B$2:B$5))</f>
        <v>8.5999999999999993E-2</v>
      </c>
      <c r="J11">
        <f>IF('Input Scenarios'!J8&lt;&gt;"", 'Input Scenarios'!J8,_xlfn.XLOOKUP($F11,Constants!$A$2:$A$5,Constants!C$2:C$5))</f>
        <v>0.8</v>
      </c>
      <c r="K11">
        <f>IF('Input Scenarios'!K8&lt;&gt;"", 'Input Scenarios'!K8,_xlfn.XLOOKUP($F11,Constants!$A$2:$A$5,Constants!D$2:D$5))</f>
        <v>0.19</v>
      </c>
      <c r="L11">
        <f>IF('Input Scenarios'!L8&lt;&gt;"", 'Input Scenarios'!L8,_xlfn.XLOOKUP($F11,Constants!$A$2:$A$5,Constants!E$2:E$5))</f>
        <v>0.35</v>
      </c>
      <c r="M11">
        <f>'Input Scenarios'!M8</f>
        <v>0.1</v>
      </c>
      <c r="N11">
        <f>'Input Scenarios'!N8</f>
        <v>0.2</v>
      </c>
      <c r="O11">
        <f>'Input Scenarios'!O8</f>
        <v>0.3</v>
      </c>
      <c r="P11">
        <f>'Input Scenarios'!P8</f>
        <v>0.4</v>
      </c>
      <c r="Q11">
        <f>'Input Scenarios'!Q8</f>
        <v>0.15</v>
      </c>
      <c r="R11">
        <f>'Input Scenarios'!R8</f>
        <v>0.2</v>
      </c>
      <c r="S11">
        <f>'Input Scenarios'!S8</f>
        <v>0.25</v>
      </c>
      <c r="T11">
        <f>'Input Scenarios'!T8</f>
        <v>0.17</v>
      </c>
      <c r="U11">
        <f>'Input Scenarios'!U8</f>
        <v>0.23</v>
      </c>
      <c r="V11">
        <f>'Input Scenarios'!V8</f>
        <v>0.15</v>
      </c>
      <c r="W11">
        <f>'Input Scenarios'!W8</f>
        <v>0.2</v>
      </c>
      <c r="X11">
        <f>'Input Scenarios'!X8</f>
        <v>0.25</v>
      </c>
      <c r="Y11">
        <f>'Input Scenarios'!Y8</f>
        <v>0.17</v>
      </c>
      <c r="Z11">
        <f>'Input Scenarios'!Z8</f>
        <v>0.23</v>
      </c>
      <c r="AA11">
        <f>'Input Scenarios'!AA8</f>
        <v>0.15</v>
      </c>
      <c r="AB11">
        <f>'Input Scenarios'!AB8</f>
        <v>0.2</v>
      </c>
      <c r="AC11">
        <f>'Input Scenarios'!AC8</f>
        <v>0.25</v>
      </c>
      <c r="AD11">
        <f>'Input Scenarios'!AD8</f>
        <v>0.17</v>
      </c>
      <c r="AE11">
        <f>'Input Scenarios'!AE8</f>
        <v>0.23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2.6144000000000002E-3</v>
      </c>
      <c r="AZ11">
        <f>AY11*(1-L11)</f>
        <v>1.6993600000000002E-3</v>
      </c>
      <c r="BA11">
        <f t="shared" ref="BA11:BA26" si="0">G11*AZ11*H11</f>
        <v>424.84000000000003</v>
      </c>
      <c r="BB11">
        <f t="shared" ref="BB11:BE26" si="1">$BA11*M11</f>
        <v>42.484000000000009</v>
      </c>
      <c r="BC11">
        <f t="shared" si="1"/>
        <v>84.968000000000018</v>
      </c>
      <c r="BD11">
        <f t="shared" si="1"/>
        <v>127.452</v>
      </c>
      <c r="BE11">
        <f t="shared" si="1"/>
        <v>169.93600000000004</v>
      </c>
      <c r="BF11">
        <f t="shared" ref="BF11:BH26" si="2">(BB11*(1-AG11-AK11))</f>
        <v>29.696316000000003</v>
      </c>
      <c r="BG11">
        <f t="shared" si="2"/>
        <v>80.634632000000011</v>
      </c>
      <c r="BH11">
        <f t="shared" si="2"/>
        <v>76.343747999999991</v>
      </c>
      <c r="BI11">
        <f t="shared" ref="BI11:BI26" si="3">($BF11*Q11)+($BG11*V11)+($BH11*AA11)</f>
        <v>28.001204399999999</v>
      </c>
      <c r="BJ11">
        <f>IF(E11, 1, 0)</f>
        <v>1</v>
      </c>
      <c r="BK11">
        <f>Constants!$M$2</f>
        <v>0.02</v>
      </c>
      <c r="BL11">
        <f>BI11*BJ11*BK11</f>
        <v>0.56002408800000003</v>
      </c>
      <c r="BM11">
        <f>BE11*BJ11*BK11</f>
        <v>3.3987200000000009</v>
      </c>
      <c r="BN11">
        <f>Constants!$L$2</f>
        <v>1.0999999999999999E-2</v>
      </c>
      <c r="BO11">
        <f>IF(BJ11="","",Constants!$J$2)</f>
        <v>1.57</v>
      </c>
      <c r="BP11">
        <f>BL11*$BN11*$BO11</f>
        <v>9.6716159997600002E-3</v>
      </c>
      <c r="BQ11">
        <f>BM11*$BN11*$BO11</f>
        <v>5.8695894400000018E-2</v>
      </c>
      <c r="BR11">
        <f>SUM(BP11:BQ14)/1000</f>
        <v>2.9997765932112004E-4</v>
      </c>
    </row>
    <row r="12" spans="1:70" x14ac:dyDescent="0.2">
      <c r="A12" t="str">
        <f>'Input Scenarios'!A9</f>
        <v>NSW</v>
      </c>
      <c r="B12">
        <f>'Input Scenarios'!B9</f>
        <v>0</v>
      </c>
      <c r="C12" t="str">
        <f>'Input Scenarios'!C9</f>
        <v>Non-irrigated pasture</v>
      </c>
      <c r="D12" t="str">
        <f>'Input Scenarios'!D9</f>
        <v>wet</v>
      </c>
      <c r="E12" t="b">
        <f>'Input Scenarios'!E9</f>
        <v>1</v>
      </c>
      <c r="F12" t="str">
        <f>'Input Scenarios'!F9</f>
        <v>meatChickenBreeder</v>
      </c>
      <c r="G12">
        <f>'Input Scenarios'!G9</f>
        <v>5000</v>
      </c>
      <c r="H12">
        <f>'Input Scenarios'!H9</f>
        <v>50</v>
      </c>
      <c r="I12">
        <f>IF('Input Scenarios'!I9&lt;&gt;"", 'Input Scenarios'!I9,_xlfn.XLOOKUP($F12,Constants!$A$2:$A$5,Constants!B$2:B$5))</f>
        <v>0.10299999999999999</v>
      </c>
      <c r="J12">
        <f>IF('Input Scenarios'!J9&lt;&gt;"", 'Input Scenarios'!J9,_xlfn.XLOOKUP($F12,Constants!$A$2:$A$5,Constants!C$2:C$5))</f>
        <v>0.8</v>
      </c>
      <c r="K12">
        <f>IF('Input Scenarios'!K9&lt;&gt;"", 'Input Scenarios'!K9,_xlfn.XLOOKUP($F12,Constants!$A$2:$A$5,Constants!D$2:D$5))</f>
        <v>0.19</v>
      </c>
      <c r="L12">
        <f>IF('Input Scenarios'!L9&lt;&gt;"", 'Input Scenarios'!L9,_xlfn.XLOOKUP($F12,Constants!$A$2:$A$5,Constants!E$2:E$5))</f>
        <v>0.32</v>
      </c>
      <c r="M12">
        <f>'Input Scenarios'!M9</f>
        <v>0.1</v>
      </c>
      <c r="N12">
        <f>'Input Scenarios'!N9</f>
        <v>0.2</v>
      </c>
      <c r="O12">
        <f>'Input Scenarios'!O9</f>
        <v>0.3</v>
      </c>
      <c r="P12">
        <f>'Input Scenarios'!P9</f>
        <v>0.4</v>
      </c>
      <c r="Q12">
        <f>'Input Scenarios'!Q9</f>
        <v>0.15</v>
      </c>
      <c r="R12">
        <f>'Input Scenarios'!R9</f>
        <v>0.2</v>
      </c>
      <c r="S12">
        <f>'Input Scenarios'!S9</f>
        <v>0.25</v>
      </c>
      <c r="T12">
        <f>'Input Scenarios'!T9</f>
        <v>0.17</v>
      </c>
      <c r="U12">
        <f>'Input Scenarios'!U9</f>
        <v>0.23</v>
      </c>
      <c r="V12">
        <f>'Input Scenarios'!V9</f>
        <v>0.15</v>
      </c>
      <c r="W12">
        <f>'Input Scenarios'!W9</f>
        <v>0.2</v>
      </c>
      <c r="X12">
        <f>'Input Scenarios'!X9</f>
        <v>0.25</v>
      </c>
      <c r="Y12">
        <f>'Input Scenarios'!Y9</f>
        <v>0.17</v>
      </c>
      <c r="Z12">
        <f>'Input Scenarios'!Z9</f>
        <v>0.23</v>
      </c>
      <c r="AA12">
        <f>'Input Scenarios'!AA9</f>
        <v>0.15</v>
      </c>
      <c r="AB12">
        <f>'Input Scenarios'!AB9</f>
        <v>0.2</v>
      </c>
      <c r="AC12">
        <f>'Input Scenarios'!AC9</f>
        <v>0.25</v>
      </c>
      <c r="AD12">
        <f>'Input Scenarios'!AD9</f>
        <v>0.17</v>
      </c>
      <c r="AE12">
        <f>'Input Scenarios'!AE9</f>
        <v>0.23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4">I12*K12/6.25</f>
        <v>3.1312000000000002E-3</v>
      </c>
      <c r="AZ12">
        <f t="shared" ref="AZ12:AZ26" si="5">AY12*(1-L12)</f>
        <v>2.1292159999999997E-3</v>
      </c>
      <c r="BA12">
        <f t="shared" si="0"/>
        <v>532.30399999999997</v>
      </c>
      <c r="BB12">
        <f t="shared" si="1"/>
        <v>53.230400000000003</v>
      </c>
      <c r="BC12">
        <f t="shared" si="1"/>
        <v>106.46080000000001</v>
      </c>
      <c r="BD12">
        <f t="shared" si="1"/>
        <v>159.69119999999998</v>
      </c>
      <c r="BE12">
        <f t="shared" si="1"/>
        <v>212.92160000000001</v>
      </c>
      <c r="BF12">
        <f t="shared" si="2"/>
        <v>37.208049600000002</v>
      </c>
      <c r="BG12">
        <f t="shared" si="2"/>
        <v>101.03129920000001</v>
      </c>
      <c r="BH12">
        <f t="shared" si="2"/>
        <v>95.655028799999982</v>
      </c>
      <c r="BI12">
        <f t="shared" si="3"/>
        <v>35.084156639999996</v>
      </c>
      <c r="BJ12">
        <f t="shared" ref="BJ12:BJ26" si="6">IF(E12, 1, 0)</f>
        <v>1</v>
      </c>
      <c r="BK12">
        <f>Constants!$M$2</f>
        <v>0.02</v>
      </c>
      <c r="BL12">
        <f t="shared" ref="BL12:BL26" si="7">BI12*BJ12*BK12</f>
        <v>0.70168313279999994</v>
      </c>
      <c r="BM12">
        <f t="shared" ref="BM12:BM26" si="8">BE12*BJ12*BK12</f>
        <v>4.258432</v>
      </c>
      <c r="BN12">
        <f>Constants!$L$2</f>
        <v>1.0999999999999999E-2</v>
      </c>
      <c r="BO12">
        <f>IF(BJ12="","",Constants!$J$2)</f>
        <v>1.57</v>
      </c>
      <c r="BP12">
        <f t="shared" ref="BP12:BP26" si="9">BL12*$BN12*$BO12</f>
        <v>1.2118067703455998E-2</v>
      </c>
      <c r="BQ12">
        <f t="shared" ref="BQ12:BQ26" si="10">BM12*$BN12*$BO12</f>
        <v>7.3543120640000001E-2</v>
      </c>
    </row>
    <row r="13" spans="1:70" x14ac:dyDescent="0.2">
      <c r="A13" t="str">
        <f>'Input Scenarios'!A10</f>
        <v>NSW</v>
      </c>
      <c r="B13">
        <f>'Input Scenarios'!B10</f>
        <v>0</v>
      </c>
      <c r="C13" t="str">
        <f>'Input Scenarios'!C10</f>
        <v>Non-irrigated pasture</v>
      </c>
      <c r="D13" t="str">
        <f>'Input Scenarios'!D10</f>
        <v>wet</v>
      </c>
      <c r="E13" t="b">
        <f>'Input Scenarios'!E10</f>
        <v>1</v>
      </c>
      <c r="F13" t="str">
        <f>'Input Scenarios'!F10</f>
        <v>meatChickenGrowers</v>
      </c>
      <c r="G13">
        <f>'Input Scenarios'!G10</f>
        <v>5000</v>
      </c>
      <c r="H13">
        <f>'Input Scenarios'!H10</f>
        <v>50</v>
      </c>
      <c r="I13">
        <f>IF('Input Scenarios'!I10&lt;&gt;"", 'Input Scenarios'!I10,_xlfn.XLOOKUP($F13,Constants!$A$2:$A$5,Constants!B$2:B$5))</f>
        <v>9.2999999999999999E-2</v>
      </c>
      <c r="J13">
        <f>IF('Input Scenarios'!J10&lt;&gt;"", 'Input Scenarios'!J10,_xlfn.XLOOKUP($F13,Constants!$A$2:$A$5,Constants!C$2:C$5))</f>
        <v>0.8</v>
      </c>
      <c r="K13">
        <f>IF('Input Scenarios'!K10&lt;&gt;"", 'Input Scenarios'!K10,_xlfn.XLOOKUP($F13,Constants!$A$2:$A$5,Constants!D$2:D$5))</f>
        <v>0.23</v>
      </c>
      <c r="L13">
        <f>IF('Input Scenarios'!L10&lt;&gt;"", 'Input Scenarios'!L10,_xlfn.XLOOKUP($F13,Constants!$A$2:$A$5,Constants!E$2:E$5))</f>
        <v>0.47</v>
      </c>
      <c r="M13">
        <f>'Input Scenarios'!M10</f>
        <v>0.1</v>
      </c>
      <c r="N13">
        <f>'Input Scenarios'!N10</f>
        <v>0.2</v>
      </c>
      <c r="O13">
        <f>'Input Scenarios'!O10</f>
        <v>0.3</v>
      </c>
      <c r="P13">
        <f>'Input Scenarios'!P10</f>
        <v>0.4</v>
      </c>
      <c r="Q13">
        <f>'Input Scenarios'!Q10</f>
        <v>0.15</v>
      </c>
      <c r="R13">
        <f>'Input Scenarios'!R10</f>
        <v>0.2</v>
      </c>
      <c r="S13">
        <f>'Input Scenarios'!S10</f>
        <v>0.25</v>
      </c>
      <c r="T13">
        <f>'Input Scenarios'!T10</f>
        <v>0.17</v>
      </c>
      <c r="U13">
        <f>'Input Scenarios'!U10</f>
        <v>0.23</v>
      </c>
      <c r="V13">
        <f>'Input Scenarios'!V10</f>
        <v>0.15</v>
      </c>
      <c r="W13">
        <f>'Input Scenarios'!W10</f>
        <v>0.2</v>
      </c>
      <c r="X13">
        <f>'Input Scenarios'!X10</f>
        <v>0.25</v>
      </c>
      <c r="Y13">
        <f>'Input Scenarios'!Y10</f>
        <v>0.17</v>
      </c>
      <c r="Z13">
        <f>'Input Scenarios'!Z10</f>
        <v>0.23</v>
      </c>
      <c r="AA13">
        <f>'Input Scenarios'!AA10</f>
        <v>0.15</v>
      </c>
      <c r="AB13">
        <f>'Input Scenarios'!AB10</f>
        <v>0.2</v>
      </c>
      <c r="AC13">
        <f>'Input Scenarios'!AC10</f>
        <v>0.25</v>
      </c>
      <c r="AD13">
        <f>'Input Scenarios'!AD10</f>
        <v>0.17</v>
      </c>
      <c r="AE13">
        <f>'Input Scenarios'!AE10</f>
        <v>0.23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4"/>
        <v>3.4223999999999999E-3</v>
      </c>
      <c r="AZ13">
        <f t="shared" si="5"/>
        <v>1.813872E-3</v>
      </c>
      <c r="BA13">
        <f t="shared" si="0"/>
        <v>453.46799999999996</v>
      </c>
      <c r="BB13">
        <f t="shared" si="1"/>
        <v>45.346800000000002</v>
      </c>
      <c r="BC13">
        <f t="shared" si="1"/>
        <v>90.693600000000004</v>
      </c>
      <c r="BD13">
        <f t="shared" si="1"/>
        <v>136.04039999999998</v>
      </c>
      <c r="BE13">
        <f t="shared" si="1"/>
        <v>181.38720000000001</v>
      </c>
      <c r="BF13">
        <f t="shared" si="2"/>
        <v>31.6974132</v>
      </c>
      <c r="BG13">
        <f t="shared" si="2"/>
        <v>86.0682264</v>
      </c>
      <c r="BH13">
        <f t="shared" si="2"/>
        <v>81.488199599999987</v>
      </c>
      <c r="BI13">
        <f t="shared" si="3"/>
        <v>29.888075879999995</v>
      </c>
      <c r="BJ13">
        <f t="shared" si="6"/>
        <v>1</v>
      </c>
      <c r="BK13">
        <f>Constants!$M$2</f>
        <v>0.02</v>
      </c>
      <c r="BL13">
        <f t="shared" si="7"/>
        <v>0.59776151759999996</v>
      </c>
      <c r="BM13">
        <f t="shared" si="8"/>
        <v>3.6277440000000003</v>
      </c>
      <c r="BN13">
        <f>Constants!$L$2</f>
        <v>1.0999999999999999E-2</v>
      </c>
      <c r="BO13">
        <f>IF(BJ13="","",Constants!$J$2)</f>
        <v>1.57</v>
      </c>
      <c r="BP13">
        <f t="shared" si="9"/>
        <v>1.0323341408951999E-2</v>
      </c>
      <c r="BQ13">
        <f t="shared" si="10"/>
        <v>6.2651138880000012E-2</v>
      </c>
    </row>
    <row r="14" spans="1:70" x14ac:dyDescent="0.2">
      <c r="A14" s="11" t="str">
        <f>'Input Scenarios'!A11</f>
        <v>NSW</v>
      </c>
      <c r="B14" s="11">
        <f>'Input Scenarios'!B11</f>
        <v>0</v>
      </c>
      <c r="C14" s="11" t="str">
        <f>'Input Scenarios'!C11</f>
        <v>Non-irrigated pasture</v>
      </c>
      <c r="D14" s="11" t="str">
        <f>'Input Scenarios'!D11</f>
        <v>wet</v>
      </c>
      <c r="E14" s="11" t="b">
        <f>'Input Scenarios'!E11</f>
        <v>1</v>
      </c>
      <c r="F14" s="11" t="str">
        <f>'Input Scenarios'!F11</f>
        <v>meatOther</v>
      </c>
      <c r="G14" s="11">
        <f>'Input Scenarios'!G11</f>
        <v>5000</v>
      </c>
      <c r="H14" s="11">
        <f>'Input Scenarios'!H11</f>
        <v>50</v>
      </c>
      <c r="I14">
        <f>IF('Input Scenarios'!I11&lt;&gt;"", 'Input Scenarios'!I11,_xlfn.XLOOKUP($F14,Constants!$A$2:$A$5,Constants!B$2:B$5))</f>
        <v>9.2999999999999999E-2</v>
      </c>
      <c r="J14">
        <f>IF('Input Scenarios'!J11&lt;&gt;"", 'Input Scenarios'!J11,_xlfn.XLOOKUP($F14,Constants!$A$2:$A$5,Constants!C$2:C$5))</f>
        <v>0.8</v>
      </c>
      <c r="K14">
        <f>IF('Input Scenarios'!K11&lt;&gt;"", 'Input Scenarios'!K11,_xlfn.XLOOKUP($F14,Constants!$A$2:$A$5,Constants!D$2:D$5))</f>
        <v>0.23</v>
      </c>
      <c r="L14">
        <f>IF('Input Scenarios'!L11&lt;&gt;"", 'Input Scenarios'!L11,_xlfn.XLOOKUP($F14,Constants!$A$2:$A$5,Constants!E$2:E$5))</f>
        <v>0.47</v>
      </c>
      <c r="M14" s="11">
        <f>'Input Scenarios'!M11</f>
        <v>0.1</v>
      </c>
      <c r="N14" s="11">
        <f>'Input Scenarios'!N11</f>
        <v>0.2</v>
      </c>
      <c r="O14" s="11">
        <f>'Input Scenarios'!O11</f>
        <v>0.3</v>
      </c>
      <c r="P14" s="11">
        <f>'Input Scenarios'!P11</f>
        <v>0.4</v>
      </c>
      <c r="Q14" s="11">
        <f>'Input Scenarios'!Q11</f>
        <v>0.15</v>
      </c>
      <c r="R14" s="11">
        <f>'Input Scenarios'!R11</f>
        <v>0.2</v>
      </c>
      <c r="S14" s="11">
        <f>'Input Scenarios'!S11</f>
        <v>0.25</v>
      </c>
      <c r="T14" s="11">
        <f>'Input Scenarios'!T11</f>
        <v>0.17</v>
      </c>
      <c r="U14" s="11">
        <f>'Input Scenarios'!U11</f>
        <v>0.23</v>
      </c>
      <c r="V14" s="11">
        <f>'Input Scenarios'!V11</f>
        <v>0.15</v>
      </c>
      <c r="W14" s="11">
        <f>'Input Scenarios'!W11</f>
        <v>0.2</v>
      </c>
      <c r="X14" s="11">
        <f>'Input Scenarios'!X11</f>
        <v>0.25</v>
      </c>
      <c r="Y14" s="11">
        <f>'Input Scenarios'!Y11</f>
        <v>0.17</v>
      </c>
      <c r="Z14" s="11">
        <f>'Input Scenarios'!Z11</f>
        <v>0.23</v>
      </c>
      <c r="AA14" s="11">
        <f>'Input Scenarios'!AA11</f>
        <v>0.15</v>
      </c>
      <c r="AB14" s="11">
        <f>'Input Scenarios'!AB11</f>
        <v>0.2</v>
      </c>
      <c r="AC14" s="11">
        <f>'Input Scenarios'!AC11</f>
        <v>0.25</v>
      </c>
      <c r="AD14" s="11">
        <f>'Input Scenarios'!AD11</f>
        <v>0.17</v>
      </c>
      <c r="AE14" s="11">
        <f>'Input Scenarios'!AE11</f>
        <v>0.23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4"/>
        <v>3.4223999999999999E-3</v>
      </c>
      <c r="AZ14">
        <f t="shared" si="5"/>
        <v>1.813872E-3</v>
      </c>
      <c r="BA14">
        <f t="shared" si="0"/>
        <v>453.46799999999996</v>
      </c>
      <c r="BB14">
        <f t="shared" si="1"/>
        <v>45.346800000000002</v>
      </c>
      <c r="BC14">
        <f t="shared" si="1"/>
        <v>90.693600000000004</v>
      </c>
      <c r="BD14">
        <f t="shared" si="1"/>
        <v>136.04039999999998</v>
      </c>
      <c r="BE14">
        <f t="shared" si="1"/>
        <v>181.38720000000001</v>
      </c>
      <c r="BF14">
        <f t="shared" si="2"/>
        <v>31.6974132</v>
      </c>
      <c r="BG14">
        <f t="shared" si="2"/>
        <v>86.0682264</v>
      </c>
      <c r="BH14">
        <f t="shared" si="2"/>
        <v>81.488199599999987</v>
      </c>
      <c r="BI14">
        <f t="shared" si="3"/>
        <v>29.888075879999995</v>
      </c>
      <c r="BJ14">
        <f t="shared" si="6"/>
        <v>1</v>
      </c>
      <c r="BK14">
        <f>Constants!$M$2</f>
        <v>0.02</v>
      </c>
      <c r="BL14">
        <f t="shared" si="7"/>
        <v>0.59776151759999996</v>
      </c>
      <c r="BM14">
        <f t="shared" si="8"/>
        <v>3.6277440000000003</v>
      </c>
      <c r="BN14">
        <f>Constants!$L$2</f>
        <v>1.0999999999999999E-2</v>
      </c>
      <c r="BO14">
        <f>IF(BJ14="","",Constants!$J$2)</f>
        <v>1.57</v>
      </c>
      <c r="BP14">
        <f t="shared" si="9"/>
        <v>1.0323341408951999E-2</v>
      </c>
      <c r="BQ14">
        <f t="shared" si="10"/>
        <v>6.2651138880000012E-2</v>
      </c>
    </row>
    <row r="15" spans="1:70" s="11" customFormat="1" x14ac:dyDescent="0.2">
      <c r="A15" t="str">
        <f>'Input Scenarios'!A12</f>
        <v>QLD</v>
      </c>
      <c r="B15">
        <f>'Input Scenarios'!B12</f>
        <v>0</v>
      </c>
      <c r="C15" t="str">
        <f>'Input Scenarios'!C12</f>
        <v>Irrigated crop</v>
      </c>
      <c r="D15" t="str">
        <f>'Input Scenarios'!D12</f>
        <v>dry</v>
      </c>
      <c r="E15" t="b">
        <f>'Input Scenarios'!E12</f>
        <v>1</v>
      </c>
      <c r="F15" t="str">
        <f>'Input Scenarios'!F12</f>
        <v>layers</v>
      </c>
      <c r="G15">
        <f>'Input Scenarios'!G12</f>
        <v>2250</v>
      </c>
      <c r="H15">
        <f>'Input Scenarios'!H12</f>
        <v>125</v>
      </c>
      <c r="I15">
        <f>IF('Input Scenarios'!I12&lt;&gt;"", 'Input Scenarios'!I12,_xlfn.XLOOKUP($F15,Constants!$A$2:$A$5,Constants!B$2:B$5))</f>
        <v>8.5999999999999993E-2</v>
      </c>
      <c r="J15">
        <f>IF('Input Scenarios'!J12&lt;&gt;"", 'Input Scenarios'!J12,_xlfn.XLOOKUP($F15,Constants!$A$2:$A$5,Constants!C$2:C$5))</f>
        <v>0.8</v>
      </c>
      <c r="K15">
        <f>IF('Input Scenarios'!K12&lt;&gt;"", 'Input Scenarios'!K12,_xlfn.XLOOKUP($F15,Constants!$A$2:$A$5,Constants!D$2:D$5))</f>
        <v>0.19</v>
      </c>
      <c r="L15">
        <f>IF('Input Scenarios'!L12&lt;&gt;"", 'Input Scenarios'!L12,_xlfn.XLOOKUP($F15,Constants!$A$2:$A$5,Constants!E$2:E$5))</f>
        <v>0.35</v>
      </c>
      <c r="M15">
        <f>'Input Scenarios'!M12</f>
        <v>0.4</v>
      </c>
      <c r="N15">
        <f>'Input Scenarios'!N12</f>
        <v>0.3</v>
      </c>
      <c r="O15">
        <f>'Input Scenarios'!O12</f>
        <v>0.2</v>
      </c>
      <c r="P15">
        <f>'Input Scenarios'!P12</f>
        <v>0.1</v>
      </c>
      <c r="Q15">
        <f>'Input Scenarios'!Q12</f>
        <v>0.2</v>
      </c>
      <c r="R15">
        <f>'Input Scenarios'!R12</f>
        <v>0.25</v>
      </c>
      <c r="S15">
        <f>'Input Scenarios'!S12</f>
        <v>0.2</v>
      </c>
      <c r="T15">
        <f>'Input Scenarios'!T12</f>
        <v>0.25</v>
      </c>
      <c r="U15">
        <f>'Input Scenarios'!U12</f>
        <v>0.1</v>
      </c>
      <c r="V15">
        <f>'Input Scenarios'!V12</f>
        <v>0.2</v>
      </c>
      <c r="W15">
        <f>'Input Scenarios'!W12</f>
        <v>0.25</v>
      </c>
      <c r="X15">
        <f>'Input Scenarios'!X12</f>
        <v>0.2</v>
      </c>
      <c r="Y15">
        <f>'Input Scenarios'!Y12</f>
        <v>0.25</v>
      </c>
      <c r="Z15">
        <f>'Input Scenarios'!Z12</f>
        <v>0.1</v>
      </c>
      <c r="AA15">
        <f>'Input Scenarios'!AA12</f>
        <v>0.2</v>
      </c>
      <c r="AB15">
        <f>'Input Scenarios'!AB12</f>
        <v>0.25</v>
      </c>
      <c r="AC15">
        <f>'Input Scenarios'!AC12</f>
        <v>0.2</v>
      </c>
      <c r="AD15">
        <f>'Input Scenarios'!AD12</f>
        <v>0.25</v>
      </c>
      <c r="AE15">
        <f>'Input Scenarios'!AE12</f>
        <v>0.1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4"/>
        <v>2.6144000000000002E-3</v>
      </c>
      <c r="AZ15">
        <f t="shared" si="5"/>
        <v>1.6993600000000002E-3</v>
      </c>
      <c r="BA15">
        <f t="shared" si="0"/>
        <v>477.94500000000005</v>
      </c>
      <c r="BB15">
        <f t="shared" si="1"/>
        <v>191.17800000000003</v>
      </c>
      <c r="BC15">
        <f t="shared" si="1"/>
        <v>143.3835</v>
      </c>
      <c r="BD15">
        <f t="shared" si="1"/>
        <v>95.589000000000013</v>
      </c>
      <c r="BE15">
        <f t="shared" si="1"/>
        <v>47.794500000000006</v>
      </c>
      <c r="BF15">
        <f t="shared" si="2"/>
        <v>133.633422</v>
      </c>
      <c r="BG15">
        <f t="shared" si="2"/>
        <v>136.0709415</v>
      </c>
      <c r="BH15">
        <f t="shared" si="2"/>
        <v>57.257811000000004</v>
      </c>
      <c r="BI15">
        <f t="shared" si="3"/>
        <v>65.392434899999998</v>
      </c>
      <c r="BJ15">
        <f t="shared" si="6"/>
        <v>1</v>
      </c>
      <c r="BK15">
        <f>Constants!$M$2</f>
        <v>0.02</v>
      </c>
      <c r="BL15">
        <f t="shared" si="7"/>
        <v>1.3078486979999999</v>
      </c>
      <c r="BM15">
        <f t="shared" si="8"/>
        <v>0.95589000000000013</v>
      </c>
      <c r="BN15">
        <f>Constants!$L$2</f>
        <v>1.0999999999999999E-2</v>
      </c>
      <c r="BO15">
        <f>IF(BJ15="","",Constants!$J$2)</f>
        <v>1.57</v>
      </c>
      <c r="BP15">
        <f t="shared" si="9"/>
        <v>2.2586547014459998E-2</v>
      </c>
      <c r="BQ15">
        <f t="shared" si="10"/>
        <v>1.6508220300000001E-2</v>
      </c>
      <c r="BR15">
        <f>SUM(BP15:BQ18)/1000</f>
        <v>1.7153698770252E-4</v>
      </c>
    </row>
    <row r="16" spans="1:70" x14ac:dyDescent="0.2">
      <c r="A16" t="str">
        <f>'Input Scenarios'!A13</f>
        <v>QLD</v>
      </c>
      <c r="B16">
        <f>'Input Scenarios'!B13</f>
        <v>0</v>
      </c>
      <c r="C16" t="str">
        <f>'Input Scenarios'!C13</f>
        <v>Irrigated crop</v>
      </c>
      <c r="D16" t="str">
        <f>'Input Scenarios'!D13</f>
        <v>dry</v>
      </c>
      <c r="E16" t="b">
        <f>'Input Scenarios'!E13</f>
        <v>1</v>
      </c>
      <c r="F16" t="str">
        <f>'Input Scenarios'!F13</f>
        <v>meatChickenBreeder</v>
      </c>
      <c r="G16">
        <f>'Input Scenarios'!G13</f>
        <v>2250</v>
      </c>
      <c r="H16">
        <f>'Input Scenarios'!H13</f>
        <v>125</v>
      </c>
      <c r="I16">
        <f>IF('Input Scenarios'!I13&lt;&gt;"", 'Input Scenarios'!I13,_xlfn.XLOOKUP($F16,Constants!$A$2:$A$5,Constants!B$2:B$5))</f>
        <v>0.10299999999999999</v>
      </c>
      <c r="J16">
        <f>IF('Input Scenarios'!J13&lt;&gt;"", 'Input Scenarios'!J13,_xlfn.XLOOKUP($F16,Constants!$A$2:$A$5,Constants!C$2:C$5))</f>
        <v>0.8</v>
      </c>
      <c r="K16">
        <f>IF('Input Scenarios'!K13&lt;&gt;"", 'Input Scenarios'!K13,_xlfn.XLOOKUP($F16,Constants!$A$2:$A$5,Constants!D$2:D$5))</f>
        <v>0.19</v>
      </c>
      <c r="L16">
        <f>IF('Input Scenarios'!L13&lt;&gt;"", 'Input Scenarios'!L13,_xlfn.XLOOKUP($F16,Constants!$A$2:$A$5,Constants!E$2:E$5))</f>
        <v>0.32</v>
      </c>
      <c r="M16">
        <f>'Input Scenarios'!M13</f>
        <v>0.4</v>
      </c>
      <c r="N16">
        <f>'Input Scenarios'!N13</f>
        <v>0.3</v>
      </c>
      <c r="O16">
        <f>'Input Scenarios'!O13</f>
        <v>0.2</v>
      </c>
      <c r="P16">
        <f>'Input Scenarios'!P13</f>
        <v>0.1</v>
      </c>
      <c r="Q16">
        <f>'Input Scenarios'!Q13</f>
        <v>0.2</v>
      </c>
      <c r="R16">
        <f>'Input Scenarios'!R13</f>
        <v>0.25</v>
      </c>
      <c r="S16">
        <f>'Input Scenarios'!S13</f>
        <v>0.2</v>
      </c>
      <c r="T16">
        <f>'Input Scenarios'!T13</f>
        <v>0.25</v>
      </c>
      <c r="U16">
        <f>'Input Scenarios'!U13</f>
        <v>0.1</v>
      </c>
      <c r="V16">
        <f>'Input Scenarios'!V13</f>
        <v>0.2</v>
      </c>
      <c r="W16">
        <f>'Input Scenarios'!W13</f>
        <v>0.25</v>
      </c>
      <c r="X16">
        <f>'Input Scenarios'!X13</f>
        <v>0.2</v>
      </c>
      <c r="Y16">
        <f>'Input Scenarios'!Y13</f>
        <v>0.25</v>
      </c>
      <c r="Z16">
        <f>'Input Scenarios'!Z13</f>
        <v>0.1</v>
      </c>
      <c r="AA16">
        <f>'Input Scenarios'!AA13</f>
        <v>0.2</v>
      </c>
      <c r="AB16">
        <f>'Input Scenarios'!AB13</f>
        <v>0.25</v>
      </c>
      <c r="AC16">
        <f>'Input Scenarios'!AC13</f>
        <v>0.2</v>
      </c>
      <c r="AD16">
        <f>'Input Scenarios'!AD13</f>
        <v>0.25</v>
      </c>
      <c r="AE16">
        <f>'Input Scenarios'!AE13</f>
        <v>0.1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4"/>
        <v>3.1312000000000002E-3</v>
      </c>
      <c r="AZ16">
        <f t="shared" si="5"/>
        <v>2.1292159999999997E-3</v>
      </c>
      <c r="BA16">
        <f t="shared" si="0"/>
        <v>598.84199999999987</v>
      </c>
      <c r="BB16">
        <f t="shared" si="1"/>
        <v>239.53679999999997</v>
      </c>
      <c r="BC16">
        <f t="shared" si="1"/>
        <v>179.65259999999995</v>
      </c>
      <c r="BD16">
        <f t="shared" si="1"/>
        <v>119.76839999999999</v>
      </c>
      <c r="BE16">
        <f t="shared" si="1"/>
        <v>59.884199999999993</v>
      </c>
      <c r="BF16">
        <f t="shared" si="2"/>
        <v>167.43622319999997</v>
      </c>
      <c r="BG16">
        <f t="shared" si="2"/>
        <v>170.49031739999995</v>
      </c>
      <c r="BH16">
        <f t="shared" si="2"/>
        <v>71.74127159999999</v>
      </c>
      <c r="BI16">
        <f t="shared" si="3"/>
        <v>81.933562439999974</v>
      </c>
      <c r="BJ16">
        <f t="shared" si="6"/>
        <v>1</v>
      </c>
      <c r="BK16">
        <f>Constants!$M$2</f>
        <v>0.02</v>
      </c>
      <c r="BL16">
        <f t="shared" si="7"/>
        <v>1.6386712487999995</v>
      </c>
      <c r="BM16">
        <f t="shared" si="8"/>
        <v>1.197684</v>
      </c>
      <c r="BN16">
        <f>Constants!$L$2</f>
        <v>1.0999999999999999E-2</v>
      </c>
      <c r="BO16">
        <f>IF(BJ16="","",Constants!$J$2)</f>
        <v>1.57</v>
      </c>
      <c r="BP16">
        <f t="shared" si="9"/>
        <v>2.8299852466775986E-2</v>
      </c>
      <c r="BQ16">
        <f t="shared" si="10"/>
        <v>2.0684002679999997E-2</v>
      </c>
    </row>
    <row r="17" spans="1:70" x14ac:dyDescent="0.2">
      <c r="A17" t="str">
        <f>'Input Scenarios'!A14</f>
        <v>QLD</v>
      </c>
      <c r="B17">
        <f>'Input Scenarios'!B14</f>
        <v>0</v>
      </c>
      <c r="C17" t="str">
        <f>'Input Scenarios'!C14</f>
        <v>Irrigated crop</v>
      </c>
      <c r="D17" t="str">
        <f>'Input Scenarios'!D14</f>
        <v>dry</v>
      </c>
      <c r="E17" t="b">
        <f>'Input Scenarios'!E14</f>
        <v>1</v>
      </c>
      <c r="F17" t="str">
        <f>'Input Scenarios'!F14</f>
        <v>meatChickenGrowers</v>
      </c>
      <c r="G17">
        <f>'Input Scenarios'!G14</f>
        <v>2250</v>
      </c>
      <c r="H17">
        <f>'Input Scenarios'!H14</f>
        <v>125</v>
      </c>
      <c r="I17">
        <f>IF('Input Scenarios'!I14&lt;&gt;"", 'Input Scenarios'!I14,_xlfn.XLOOKUP($F17,Constants!$A$2:$A$5,Constants!B$2:B$5))</f>
        <v>9.2999999999999999E-2</v>
      </c>
      <c r="J17">
        <f>IF('Input Scenarios'!J14&lt;&gt;"", 'Input Scenarios'!J14,_xlfn.XLOOKUP($F17,Constants!$A$2:$A$5,Constants!C$2:C$5))</f>
        <v>0.8</v>
      </c>
      <c r="K17">
        <f>IF('Input Scenarios'!K14&lt;&gt;"", 'Input Scenarios'!K14,_xlfn.XLOOKUP($F17,Constants!$A$2:$A$5,Constants!D$2:D$5))</f>
        <v>0.23</v>
      </c>
      <c r="L17">
        <f>IF('Input Scenarios'!L14&lt;&gt;"", 'Input Scenarios'!L14,_xlfn.XLOOKUP($F17,Constants!$A$2:$A$5,Constants!E$2:E$5))</f>
        <v>0.47</v>
      </c>
      <c r="M17">
        <f>'Input Scenarios'!M14</f>
        <v>0.4</v>
      </c>
      <c r="N17">
        <f>'Input Scenarios'!N14</f>
        <v>0.3</v>
      </c>
      <c r="O17">
        <f>'Input Scenarios'!O14</f>
        <v>0.2</v>
      </c>
      <c r="P17">
        <f>'Input Scenarios'!P14</f>
        <v>0.1</v>
      </c>
      <c r="Q17">
        <f>'Input Scenarios'!Q14</f>
        <v>0.2</v>
      </c>
      <c r="R17">
        <f>'Input Scenarios'!R14</f>
        <v>0.25</v>
      </c>
      <c r="S17">
        <f>'Input Scenarios'!S14</f>
        <v>0.2</v>
      </c>
      <c r="T17">
        <f>'Input Scenarios'!T14</f>
        <v>0.25</v>
      </c>
      <c r="U17">
        <f>'Input Scenarios'!U14</f>
        <v>0.1</v>
      </c>
      <c r="V17">
        <f>'Input Scenarios'!V14</f>
        <v>0.2</v>
      </c>
      <c r="W17">
        <f>'Input Scenarios'!W14</f>
        <v>0.25</v>
      </c>
      <c r="X17">
        <f>'Input Scenarios'!X14</f>
        <v>0.2</v>
      </c>
      <c r="Y17">
        <f>'Input Scenarios'!Y14</f>
        <v>0.25</v>
      </c>
      <c r="Z17">
        <f>'Input Scenarios'!Z14</f>
        <v>0.1</v>
      </c>
      <c r="AA17">
        <f>'Input Scenarios'!AA14</f>
        <v>0.2</v>
      </c>
      <c r="AB17">
        <f>'Input Scenarios'!AB14</f>
        <v>0.25</v>
      </c>
      <c r="AC17">
        <f>'Input Scenarios'!AC14</f>
        <v>0.2</v>
      </c>
      <c r="AD17">
        <f>'Input Scenarios'!AD14</f>
        <v>0.25</v>
      </c>
      <c r="AE17">
        <f>'Input Scenarios'!AE14</f>
        <v>0.1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4"/>
        <v>3.4223999999999999E-3</v>
      </c>
      <c r="AZ17">
        <f t="shared" si="5"/>
        <v>1.813872E-3</v>
      </c>
      <c r="BA17">
        <f t="shared" si="0"/>
        <v>510.1515</v>
      </c>
      <c r="BB17">
        <f t="shared" si="1"/>
        <v>204.06060000000002</v>
      </c>
      <c r="BC17">
        <f t="shared" si="1"/>
        <v>153.04544999999999</v>
      </c>
      <c r="BD17">
        <f t="shared" si="1"/>
        <v>102.03030000000001</v>
      </c>
      <c r="BE17">
        <f t="shared" si="1"/>
        <v>51.015150000000006</v>
      </c>
      <c r="BF17">
        <f t="shared" si="2"/>
        <v>142.63835940000001</v>
      </c>
      <c r="BG17">
        <f t="shared" si="2"/>
        <v>145.24013204999997</v>
      </c>
      <c r="BH17">
        <f t="shared" si="2"/>
        <v>61.116149700000001</v>
      </c>
      <c r="BI17">
        <f t="shared" si="3"/>
        <v>69.798928230000001</v>
      </c>
      <c r="BJ17">
        <f t="shared" si="6"/>
        <v>1</v>
      </c>
      <c r="BK17">
        <f>Constants!$M$2</f>
        <v>0.02</v>
      </c>
      <c r="BL17">
        <f t="shared" si="7"/>
        <v>1.3959785646</v>
      </c>
      <c r="BM17">
        <f t="shared" si="8"/>
        <v>1.0203030000000002</v>
      </c>
      <c r="BN17">
        <f>Constants!$L$2</f>
        <v>1.0999999999999999E-2</v>
      </c>
      <c r="BO17">
        <f>IF(BJ17="","",Constants!$J$2)</f>
        <v>1.57</v>
      </c>
      <c r="BP17">
        <f t="shared" si="9"/>
        <v>2.4108549810642001E-2</v>
      </c>
      <c r="BQ17">
        <f t="shared" si="10"/>
        <v>1.7620632810000005E-2</v>
      </c>
    </row>
    <row r="18" spans="1:70" x14ac:dyDescent="0.2">
      <c r="A18" s="11" t="str">
        <f>'Input Scenarios'!A15</f>
        <v>QLD</v>
      </c>
      <c r="B18" s="11">
        <f>'Input Scenarios'!B15</f>
        <v>0</v>
      </c>
      <c r="C18" s="11" t="str">
        <f>'Input Scenarios'!C15</f>
        <v>Irrigated crop</v>
      </c>
      <c r="D18" s="11" t="str">
        <f>'Input Scenarios'!D15</f>
        <v>dry</v>
      </c>
      <c r="E18" s="11" t="b">
        <f>'Input Scenarios'!E15</f>
        <v>1</v>
      </c>
      <c r="F18" s="11" t="str">
        <f>'Input Scenarios'!F15</f>
        <v>meatOther</v>
      </c>
      <c r="G18" s="11">
        <f>'Input Scenarios'!G15</f>
        <v>2250</v>
      </c>
      <c r="H18" s="11">
        <f>'Input Scenarios'!H15</f>
        <v>125</v>
      </c>
      <c r="I18">
        <f>IF('Input Scenarios'!I15&lt;&gt;"", 'Input Scenarios'!I15,_xlfn.XLOOKUP($F18,Constants!$A$2:$A$5,Constants!B$2:B$5))</f>
        <v>9.2999999999999999E-2</v>
      </c>
      <c r="J18">
        <f>IF('Input Scenarios'!J15&lt;&gt;"", 'Input Scenarios'!J15,_xlfn.XLOOKUP($F18,Constants!$A$2:$A$5,Constants!C$2:C$5))</f>
        <v>0.8</v>
      </c>
      <c r="K18">
        <f>IF('Input Scenarios'!K15&lt;&gt;"", 'Input Scenarios'!K15,_xlfn.XLOOKUP($F18,Constants!$A$2:$A$5,Constants!D$2:D$5))</f>
        <v>0.23</v>
      </c>
      <c r="L18">
        <f>IF('Input Scenarios'!L15&lt;&gt;"", 'Input Scenarios'!L15,_xlfn.XLOOKUP($F18,Constants!$A$2:$A$5,Constants!E$2:E$5))</f>
        <v>0.47</v>
      </c>
      <c r="M18" s="11">
        <f>'Input Scenarios'!M15</f>
        <v>0.4</v>
      </c>
      <c r="N18" s="11">
        <f>'Input Scenarios'!N15</f>
        <v>0.3</v>
      </c>
      <c r="O18" s="11">
        <f>'Input Scenarios'!O15</f>
        <v>0.2</v>
      </c>
      <c r="P18" s="11">
        <f>'Input Scenarios'!P15</f>
        <v>0.1</v>
      </c>
      <c r="Q18" s="11">
        <f>'Input Scenarios'!Q15</f>
        <v>0.2</v>
      </c>
      <c r="R18" s="11">
        <f>'Input Scenarios'!R15</f>
        <v>0.25</v>
      </c>
      <c r="S18" s="11">
        <f>'Input Scenarios'!S15</f>
        <v>0.2</v>
      </c>
      <c r="T18" s="11">
        <f>'Input Scenarios'!T15</f>
        <v>0.25</v>
      </c>
      <c r="U18" s="11">
        <f>'Input Scenarios'!U15</f>
        <v>0.1</v>
      </c>
      <c r="V18" s="11">
        <f>'Input Scenarios'!V15</f>
        <v>0.2</v>
      </c>
      <c r="W18" s="11">
        <f>'Input Scenarios'!W15</f>
        <v>0.25</v>
      </c>
      <c r="X18" s="11">
        <f>'Input Scenarios'!X15</f>
        <v>0.2</v>
      </c>
      <c r="Y18" s="11">
        <f>'Input Scenarios'!Y15</f>
        <v>0.25</v>
      </c>
      <c r="Z18" s="11">
        <f>'Input Scenarios'!Z15</f>
        <v>0.1</v>
      </c>
      <c r="AA18" s="11">
        <f>'Input Scenarios'!AA15</f>
        <v>0.2</v>
      </c>
      <c r="AB18" s="11">
        <f>'Input Scenarios'!AB15</f>
        <v>0.25</v>
      </c>
      <c r="AC18" s="11">
        <f>'Input Scenarios'!AC15</f>
        <v>0.2</v>
      </c>
      <c r="AD18" s="11">
        <f>'Input Scenarios'!AD15</f>
        <v>0.25</v>
      </c>
      <c r="AE18" s="11">
        <f>'Input Scenarios'!AE15</f>
        <v>0.1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4"/>
        <v>3.4223999999999999E-3</v>
      </c>
      <c r="AZ18">
        <f t="shared" si="5"/>
        <v>1.813872E-3</v>
      </c>
      <c r="BA18">
        <f t="shared" si="0"/>
        <v>510.1515</v>
      </c>
      <c r="BB18">
        <f t="shared" si="1"/>
        <v>204.06060000000002</v>
      </c>
      <c r="BC18">
        <f t="shared" si="1"/>
        <v>153.04544999999999</v>
      </c>
      <c r="BD18">
        <f t="shared" si="1"/>
        <v>102.03030000000001</v>
      </c>
      <c r="BE18">
        <f t="shared" si="1"/>
        <v>51.015150000000006</v>
      </c>
      <c r="BF18">
        <f t="shared" si="2"/>
        <v>142.63835940000001</v>
      </c>
      <c r="BG18">
        <f t="shared" si="2"/>
        <v>145.24013204999997</v>
      </c>
      <c r="BH18">
        <f t="shared" si="2"/>
        <v>61.116149700000001</v>
      </c>
      <c r="BI18">
        <f t="shared" si="3"/>
        <v>69.798928230000001</v>
      </c>
      <c r="BJ18">
        <f t="shared" si="6"/>
        <v>1</v>
      </c>
      <c r="BK18">
        <f>Constants!$M$2</f>
        <v>0.02</v>
      </c>
      <c r="BL18">
        <f t="shared" si="7"/>
        <v>1.3959785646</v>
      </c>
      <c r="BM18">
        <f t="shared" si="8"/>
        <v>1.0203030000000002</v>
      </c>
      <c r="BN18">
        <f>Constants!$L$2</f>
        <v>1.0999999999999999E-2</v>
      </c>
      <c r="BO18">
        <f>IF(BJ18="","",Constants!$J$2)</f>
        <v>1.57</v>
      </c>
      <c r="BP18">
        <f t="shared" si="9"/>
        <v>2.4108549810642001E-2</v>
      </c>
      <c r="BQ18">
        <f t="shared" si="10"/>
        <v>1.7620632810000005E-2</v>
      </c>
    </row>
    <row r="19" spans="1:70" x14ac:dyDescent="0.2">
      <c r="A19" t="str">
        <f>'Input Scenarios'!A16</f>
        <v>TAS</v>
      </c>
      <c r="B19">
        <f>'Input Scenarios'!B16</f>
        <v>0</v>
      </c>
      <c r="C19" t="str">
        <f>'Input Scenarios'!C16</f>
        <v>Irrigated pasture</v>
      </c>
      <c r="D19" t="str">
        <f>'Input Scenarios'!D16</f>
        <v>wet</v>
      </c>
      <c r="E19" t="b">
        <f>'Input Scenarios'!E16</f>
        <v>1</v>
      </c>
      <c r="F19" t="str">
        <f>'Input Scenarios'!F16</f>
        <v>layers</v>
      </c>
      <c r="G19">
        <f>'Input Scenarios'!G16</f>
        <v>3333</v>
      </c>
      <c r="H19">
        <f>'Input Scenarios'!H16</f>
        <v>111</v>
      </c>
      <c r="I19">
        <f>IF('Input Scenarios'!I16&lt;&gt;"", 'Input Scenarios'!I16,_xlfn.XLOOKUP($F19,Constants!$A$2:$A$5,Constants!B$2:B$5))</f>
        <v>8.5999999999999993E-2</v>
      </c>
      <c r="J19">
        <f>IF('Input Scenarios'!J16&lt;&gt;"", 'Input Scenarios'!J16,_xlfn.XLOOKUP($F19,Constants!$A$2:$A$5,Constants!C$2:C$5))</f>
        <v>0.8</v>
      </c>
      <c r="K19">
        <f>IF('Input Scenarios'!K16&lt;&gt;"", 'Input Scenarios'!K16,_xlfn.XLOOKUP($F19,Constants!$A$2:$A$5,Constants!D$2:D$5))</f>
        <v>0.19</v>
      </c>
      <c r="L19">
        <f>IF('Input Scenarios'!L16&lt;&gt;"", 'Input Scenarios'!L16,_xlfn.XLOOKUP($F19,Constants!$A$2:$A$5,Constants!E$2:E$5))</f>
        <v>0.35</v>
      </c>
      <c r="M19">
        <f>'Input Scenarios'!M16</f>
        <v>0</v>
      </c>
      <c r="N19">
        <f>'Input Scenarios'!N16</f>
        <v>0.9</v>
      </c>
      <c r="O19">
        <f>'Input Scenarios'!O16</f>
        <v>0</v>
      </c>
      <c r="P19">
        <f>'Input Scenarios'!P16</f>
        <v>0.1</v>
      </c>
      <c r="Q19">
        <f>'Input Scenarios'!Q16</f>
        <v>0.34</v>
      </c>
      <c r="R19">
        <f>'Input Scenarios'!R16</f>
        <v>0.6</v>
      </c>
      <c r="S19">
        <f>'Input Scenarios'!S16</f>
        <v>0</v>
      </c>
      <c r="T19">
        <f>'Input Scenarios'!T16</f>
        <v>0</v>
      </c>
      <c r="U19">
        <f>'Input Scenarios'!U16</f>
        <v>0.06</v>
      </c>
      <c r="V19">
        <f>'Input Scenarios'!V16</f>
        <v>0.34</v>
      </c>
      <c r="W19">
        <f>'Input Scenarios'!W16</f>
        <v>0.6</v>
      </c>
      <c r="X19">
        <f>'Input Scenarios'!X16</f>
        <v>0</v>
      </c>
      <c r="Y19">
        <f>'Input Scenarios'!Y16</f>
        <v>0</v>
      </c>
      <c r="Z19">
        <f>'Input Scenarios'!Z16</f>
        <v>0.06</v>
      </c>
      <c r="AA19">
        <f>'Input Scenarios'!AA16</f>
        <v>0.34</v>
      </c>
      <c r="AB19">
        <f>'Input Scenarios'!AB16</f>
        <v>0.6</v>
      </c>
      <c r="AC19">
        <f>'Input Scenarios'!AC16</f>
        <v>0</v>
      </c>
      <c r="AD19">
        <f>'Input Scenarios'!AD16</f>
        <v>0</v>
      </c>
      <c r="AE19">
        <f>'Input Scenarios'!AE16</f>
        <v>0.06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4"/>
        <v>2.6144000000000002E-3</v>
      </c>
      <c r="AZ19">
        <f t="shared" si="5"/>
        <v>1.6993600000000002E-3</v>
      </c>
      <c r="BA19">
        <f t="shared" si="0"/>
        <v>628.70032368000011</v>
      </c>
      <c r="BB19">
        <f t="shared" si="1"/>
        <v>0</v>
      </c>
      <c r="BC19">
        <f t="shared" si="1"/>
        <v>565.8302913120001</v>
      </c>
      <c r="BD19">
        <f t="shared" si="1"/>
        <v>0</v>
      </c>
      <c r="BE19">
        <f t="shared" si="1"/>
        <v>62.870032368000011</v>
      </c>
      <c r="BF19">
        <f t="shared" si="2"/>
        <v>0</v>
      </c>
      <c r="BG19">
        <f t="shared" si="2"/>
        <v>536.97294645508805</v>
      </c>
      <c r="BH19">
        <f t="shared" si="2"/>
        <v>0</v>
      </c>
      <c r="BI19">
        <f t="shared" si="3"/>
        <v>182.57080179472996</v>
      </c>
      <c r="BJ19">
        <f t="shared" si="6"/>
        <v>1</v>
      </c>
      <c r="BK19">
        <f>Constants!$M$2</f>
        <v>0.02</v>
      </c>
      <c r="BL19">
        <f t="shared" si="7"/>
        <v>3.6514160358945991</v>
      </c>
      <c r="BM19">
        <f t="shared" si="8"/>
        <v>1.2574006473600003</v>
      </c>
      <c r="BN19">
        <f>Constants!$L$2</f>
        <v>1.0999999999999999E-2</v>
      </c>
      <c r="BO19">
        <f>IF(BJ19="","",Constants!$J$2)</f>
        <v>1.57</v>
      </c>
      <c r="BP19">
        <f t="shared" si="9"/>
        <v>6.3059954939899715E-2</v>
      </c>
      <c r="BQ19">
        <f t="shared" si="10"/>
        <v>2.1715309179907206E-2</v>
      </c>
      <c r="BR19">
        <f>SUM(BP19:BQ22)/1000</f>
        <v>3.7197032845412317E-4</v>
      </c>
    </row>
    <row r="20" spans="1:70" s="11" customFormat="1" x14ac:dyDescent="0.2">
      <c r="A20" t="str">
        <f>'Input Scenarios'!A17</f>
        <v>TAS</v>
      </c>
      <c r="B20">
        <f>'Input Scenarios'!B17</f>
        <v>0</v>
      </c>
      <c r="C20" t="str">
        <f>'Input Scenarios'!C17</f>
        <v>Irrigated pasture</v>
      </c>
      <c r="D20" t="str">
        <f>'Input Scenarios'!D17</f>
        <v>wet</v>
      </c>
      <c r="E20" t="b">
        <f>'Input Scenarios'!E17</f>
        <v>1</v>
      </c>
      <c r="F20" t="str">
        <f>'Input Scenarios'!F17</f>
        <v>meatChickenBreeder</v>
      </c>
      <c r="G20">
        <f>'Input Scenarios'!G17</f>
        <v>3333</v>
      </c>
      <c r="H20">
        <f>'Input Scenarios'!H17</f>
        <v>111</v>
      </c>
      <c r="I20">
        <f>IF('Input Scenarios'!I17&lt;&gt;"", 'Input Scenarios'!I17,_xlfn.XLOOKUP($F20,Constants!$A$2:$A$5,Constants!B$2:B$5))</f>
        <v>0.10299999999999999</v>
      </c>
      <c r="J20">
        <f>IF('Input Scenarios'!J17&lt;&gt;"", 'Input Scenarios'!J17,_xlfn.XLOOKUP($F20,Constants!$A$2:$A$5,Constants!C$2:C$5))</f>
        <v>0.8</v>
      </c>
      <c r="K20">
        <f>IF('Input Scenarios'!K17&lt;&gt;"", 'Input Scenarios'!K17,_xlfn.XLOOKUP($F20,Constants!$A$2:$A$5,Constants!D$2:D$5))</f>
        <v>0.19</v>
      </c>
      <c r="L20">
        <f>IF('Input Scenarios'!L17&lt;&gt;"", 'Input Scenarios'!L17,_xlfn.XLOOKUP($F20,Constants!$A$2:$A$5,Constants!E$2:E$5))</f>
        <v>0.32</v>
      </c>
      <c r="M20">
        <f>'Input Scenarios'!M17</f>
        <v>0</v>
      </c>
      <c r="N20">
        <f>'Input Scenarios'!N17</f>
        <v>0.9</v>
      </c>
      <c r="O20">
        <f>'Input Scenarios'!O17</f>
        <v>0</v>
      </c>
      <c r="P20">
        <f>'Input Scenarios'!P17</f>
        <v>0.1</v>
      </c>
      <c r="Q20">
        <f>'Input Scenarios'!Q17</f>
        <v>0.34</v>
      </c>
      <c r="R20">
        <f>'Input Scenarios'!R17</f>
        <v>0.6</v>
      </c>
      <c r="S20">
        <f>'Input Scenarios'!S17</f>
        <v>0</v>
      </c>
      <c r="T20">
        <f>'Input Scenarios'!T17</f>
        <v>0</v>
      </c>
      <c r="U20">
        <f>'Input Scenarios'!U17</f>
        <v>0.06</v>
      </c>
      <c r="V20">
        <f>'Input Scenarios'!V17</f>
        <v>0.34</v>
      </c>
      <c r="W20">
        <f>'Input Scenarios'!W17</f>
        <v>0.6</v>
      </c>
      <c r="X20">
        <f>'Input Scenarios'!X17</f>
        <v>0</v>
      </c>
      <c r="Y20">
        <f>'Input Scenarios'!Y17</f>
        <v>0</v>
      </c>
      <c r="Z20">
        <f>'Input Scenarios'!Z17</f>
        <v>0.06</v>
      </c>
      <c r="AA20">
        <f>'Input Scenarios'!AA17</f>
        <v>0.34</v>
      </c>
      <c r="AB20">
        <f>'Input Scenarios'!AB17</f>
        <v>0.6</v>
      </c>
      <c r="AC20">
        <f>'Input Scenarios'!AC17</f>
        <v>0</v>
      </c>
      <c r="AD20">
        <f>'Input Scenarios'!AD17</f>
        <v>0</v>
      </c>
      <c r="AE20">
        <f>'Input Scenarios'!AE17</f>
        <v>0.06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4"/>
        <v>3.1312000000000002E-3</v>
      </c>
      <c r="AZ20">
        <f t="shared" si="5"/>
        <v>2.1292159999999997E-3</v>
      </c>
      <c r="BA20">
        <f t="shared" si="0"/>
        <v>787.7311390079999</v>
      </c>
      <c r="BB20">
        <f t="shared" si="1"/>
        <v>0</v>
      </c>
      <c r="BC20">
        <f t="shared" si="1"/>
        <v>708.95802510719989</v>
      </c>
      <c r="BD20">
        <f t="shared" si="1"/>
        <v>0</v>
      </c>
      <c r="BE20">
        <f t="shared" si="1"/>
        <v>78.773113900799999</v>
      </c>
      <c r="BF20">
        <f t="shared" si="2"/>
        <v>0</v>
      </c>
      <c r="BG20">
        <f t="shared" si="2"/>
        <v>672.8011658267327</v>
      </c>
      <c r="BH20">
        <f t="shared" si="2"/>
        <v>0</v>
      </c>
      <c r="BI20">
        <f t="shared" si="3"/>
        <v>228.75239638108914</v>
      </c>
      <c r="BJ20">
        <f t="shared" si="6"/>
        <v>1</v>
      </c>
      <c r="BK20">
        <f>Constants!$M$2</f>
        <v>0.02</v>
      </c>
      <c r="BL20">
        <f t="shared" si="7"/>
        <v>4.5750479276217826</v>
      </c>
      <c r="BM20">
        <f t="shared" si="8"/>
        <v>1.5754622780159999</v>
      </c>
      <c r="BN20">
        <f>Constants!$L$2</f>
        <v>1.0999999999999999E-2</v>
      </c>
      <c r="BO20">
        <f>IF(BJ20="","",Constants!$J$2)</f>
        <v>1.57</v>
      </c>
      <c r="BP20">
        <f t="shared" si="9"/>
        <v>7.9011077710028188E-2</v>
      </c>
      <c r="BQ20">
        <f t="shared" si="10"/>
        <v>2.7208233541336318E-2</v>
      </c>
      <c r="BR20"/>
    </row>
    <row r="21" spans="1:70" x14ac:dyDescent="0.2">
      <c r="A21" t="str">
        <f>'Input Scenarios'!A18</f>
        <v>TAS</v>
      </c>
      <c r="B21">
        <f>'Input Scenarios'!B18</f>
        <v>0</v>
      </c>
      <c r="C21" t="str">
        <f>'Input Scenarios'!C18</f>
        <v>Irrigated pasture</v>
      </c>
      <c r="D21" t="str">
        <f>'Input Scenarios'!D18</f>
        <v>wet</v>
      </c>
      <c r="E21" t="b">
        <f>'Input Scenarios'!E18</f>
        <v>1</v>
      </c>
      <c r="F21" t="str">
        <f>'Input Scenarios'!F18</f>
        <v>meatChickenGrowers</v>
      </c>
      <c r="G21">
        <f>'Input Scenarios'!G18</f>
        <v>3333</v>
      </c>
      <c r="H21">
        <f>'Input Scenarios'!H18</f>
        <v>111</v>
      </c>
      <c r="I21">
        <f>IF('Input Scenarios'!I18&lt;&gt;"", 'Input Scenarios'!I18,_xlfn.XLOOKUP($F21,Constants!$A$2:$A$5,Constants!B$2:B$5))</f>
        <v>9.2999999999999999E-2</v>
      </c>
      <c r="J21">
        <f>IF('Input Scenarios'!J18&lt;&gt;"", 'Input Scenarios'!J18,_xlfn.XLOOKUP($F21,Constants!$A$2:$A$5,Constants!C$2:C$5))</f>
        <v>0.8</v>
      </c>
      <c r="K21">
        <f>IF('Input Scenarios'!K18&lt;&gt;"", 'Input Scenarios'!K18,_xlfn.XLOOKUP($F21,Constants!$A$2:$A$5,Constants!D$2:D$5))</f>
        <v>0.23</v>
      </c>
      <c r="L21">
        <f>IF('Input Scenarios'!L18&lt;&gt;"", 'Input Scenarios'!L18,_xlfn.XLOOKUP($F21,Constants!$A$2:$A$5,Constants!E$2:E$5))</f>
        <v>0.47</v>
      </c>
      <c r="M21">
        <f>'Input Scenarios'!M18</f>
        <v>0</v>
      </c>
      <c r="N21">
        <f>'Input Scenarios'!N18</f>
        <v>0.9</v>
      </c>
      <c r="O21">
        <f>'Input Scenarios'!O18</f>
        <v>0</v>
      </c>
      <c r="P21">
        <f>'Input Scenarios'!P18</f>
        <v>0.1</v>
      </c>
      <c r="Q21">
        <f>'Input Scenarios'!Q18</f>
        <v>0.34</v>
      </c>
      <c r="R21">
        <f>'Input Scenarios'!R18</f>
        <v>0.6</v>
      </c>
      <c r="S21">
        <f>'Input Scenarios'!S18</f>
        <v>0</v>
      </c>
      <c r="T21">
        <f>'Input Scenarios'!T18</f>
        <v>0</v>
      </c>
      <c r="U21">
        <f>'Input Scenarios'!U18</f>
        <v>0.06</v>
      </c>
      <c r="V21">
        <f>'Input Scenarios'!V18</f>
        <v>0.34</v>
      </c>
      <c r="W21">
        <f>'Input Scenarios'!W18</f>
        <v>0.6</v>
      </c>
      <c r="X21">
        <f>'Input Scenarios'!X18</f>
        <v>0</v>
      </c>
      <c r="Y21">
        <f>'Input Scenarios'!Y18</f>
        <v>0</v>
      </c>
      <c r="Z21">
        <f>'Input Scenarios'!Z18</f>
        <v>0.06</v>
      </c>
      <c r="AA21">
        <f>'Input Scenarios'!AA18</f>
        <v>0.34</v>
      </c>
      <c r="AB21">
        <f>'Input Scenarios'!AB18</f>
        <v>0.6</v>
      </c>
      <c r="AC21">
        <f>'Input Scenarios'!AC18</f>
        <v>0</v>
      </c>
      <c r="AD21">
        <f>'Input Scenarios'!AD18</f>
        <v>0</v>
      </c>
      <c r="AE21">
        <f>'Input Scenarios'!AE18</f>
        <v>0.06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4"/>
        <v>3.4223999999999999E-3</v>
      </c>
      <c r="AZ21">
        <f t="shared" si="5"/>
        <v>1.813872E-3</v>
      </c>
      <c r="BA21">
        <f t="shared" si="0"/>
        <v>671.06552673600004</v>
      </c>
      <c r="BB21">
        <f t="shared" si="1"/>
        <v>0</v>
      </c>
      <c r="BC21">
        <f t="shared" si="1"/>
        <v>603.9589740624001</v>
      </c>
      <c r="BD21">
        <f t="shared" si="1"/>
        <v>0</v>
      </c>
      <c r="BE21">
        <f t="shared" si="1"/>
        <v>67.106552673600007</v>
      </c>
      <c r="BF21">
        <f t="shared" si="2"/>
        <v>0</v>
      </c>
      <c r="BG21">
        <f t="shared" si="2"/>
        <v>573.15706638521772</v>
      </c>
      <c r="BH21">
        <f t="shared" si="2"/>
        <v>0</v>
      </c>
      <c r="BI21">
        <f t="shared" si="3"/>
        <v>194.87340257097404</v>
      </c>
      <c r="BJ21">
        <f t="shared" si="6"/>
        <v>1</v>
      </c>
      <c r="BK21">
        <f>Constants!$M$2</f>
        <v>0.02</v>
      </c>
      <c r="BL21">
        <f t="shared" si="7"/>
        <v>3.8974680514194806</v>
      </c>
      <c r="BM21">
        <f t="shared" si="8"/>
        <v>1.3421310534720001</v>
      </c>
      <c r="BN21">
        <f>Constants!$L$2</f>
        <v>1.0999999999999999E-2</v>
      </c>
      <c r="BO21">
        <f>IF(BJ21="","",Constants!$J$2)</f>
        <v>1.57</v>
      </c>
      <c r="BP21">
        <f t="shared" si="9"/>
        <v>6.7309273248014431E-2</v>
      </c>
      <c r="BQ21">
        <f t="shared" si="10"/>
        <v>2.3178603293461442E-2</v>
      </c>
    </row>
    <row r="22" spans="1:70" x14ac:dyDescent="0.2">
      <c r="A22" s="11" t="str">
        <f>'Input Scenarios'!A19</f>
        <v>TAS</v>
      </c>
      <c r="B22" s="11">
        <f>'Input Scenarios'!B19</f>
        <v>0</v>
      </c>
      <c r="C22" s="11" t="str">
        <f>'Input Scenarios'!C19</f>
        <v>Irrigated pasture</v>
      </c>
      <c r="D22" s="11" t="str">
        <f>'Input Scenarios'!D19</f>
        <v>wet</v>
      </c>
      <c r="E22" s="11" t="b">
        <f>'Input Scenarios'!E19</f>
        <v>1</v>
      </c>
      <c r="F22" s="11" t="str">
        <f>'Input Scenarios'!F19</f>
        <v>meatOther</v>
      </c>
      <c r="G22" s="11">
        <f>'Input Scenarios'!G19</f>
        <v>3333</v>
      </c>
      <c r="H22" s="11">
        <f>'Input Scenarios'!H19</f>
        <v>111</v>
      </c>
      <c r="I22">
        <f>IF('Input Scenarios'!I19&lt;&gt;"", 'Input Scenarios'!I19,_xlfn.XLOOKUP($F22,Constants!$A$2:$A$5,Constants!B$2:B$5))</f>
        <v>9.2999999999999999E-2</v>
      </c>
      <c r="J22">
        <f>IF('Input Scenarios'!J19&lt;&gt;"", 'Input Scenarios'!J19,_xlfn.XLOOKUP($F22,Constants!$A$2:$A$5,Constants!C$2:C$5))</f>
        <v>0.8</v>
      </c>
      <c r="K22">
        <f>IF('Input Scenarios'!K19&lt;&gt;"", 'Input Scenarios'!K19,_xlfn.XLOOKUP($F22,Constants!$A$2:$A$5,Constants!D$2:D$5))</f>
        <v>0.23</v>
      </c>
      <c r="L22">
        <f>IF('Input Scenarios'!L19&lt;&gt;"", 'Input Scenarios'!L19,_xlfn.XLOOKUP($F22,Constants!$A$2:$A$5,Constants!E$2:E$5))</f>
        <v>0.47</v>
      </c>
      <c r="M22" s="11">
        <f>'Input Scenarios'!M19</f>
        <v>0</v>
      </c>
      <c r="N22" s="11">
        <f>'Input Scenarios'!N19</f>
        <v>0.9</v>
      </c>
      <c r="O22" s="11">
        <f>'Input Scenarios'!O19</f>
        <v>0</v>
      </c>
      <c r="P22" s="11">
        <f>'Input Scenarios'!P19</f>
        <v>0.1</v>
      </c>
      <c r="Q22" s="11">
        <f>'Input Scenarios'!Q19</f>
        <v>0.34</v>
      </c>
      <c r="R22" s="11">
        <f>'Input Scenarios'!R19</f>
        <v>0.6</v>
      </c>
      <c r="S22" s="11">
        <f>'Input Scenarios'!S19</f>
        <v>0</v>
      </c>
      <c r="T22" s="11">
        <f>'Input Scenarios'!T19</f>
        <v>0</v>
      </c>
      <c r="U22" s="11">
        <f>'Input Scenarios'!U19</f>
        <v>0.06</v>
      </c>
      <c r="V22" s="11">
        <f>'Input Scenarios'!V19</f>
        <v>0.34</v>
      </c>
      <c r="W22" s="11">
        <f>'Input Scenarios'!W19</f>
        <v>0.6</v>
      </c>
      <c r="X22" s="11">
        <f>'Input Scenarios'!X19</f>
        <v>0</v>
      </c>
      <c r="Y22" s="11">
        <f>'Input Scenarios'!Y19</f>
        <v>0</v>
      </c>
      <c r="Z22" s="11">
        <f>'Input Scenarios'!Z19</f>
        <v>0.06</v>
      </c>
      <c r="AA22" s="11">
        <f>'Input Scenarios'!AA19</f>
        <v>0.34</v>
      </c>
      <c r="AB22" s="11">
        <f>'Input Scenarios'!AB19</f>
        <v>0.6</v>
      </c>
      <c r="AC22" s="11">
        <f>'Input Scenarios'!AC19</f>
        <v>0</v>
      </c>
      <c r="AD22" s="11">
        <f>'Input Scenarios'!AD19</f>
        <v>0</v>
      </c>
      <c r="AE22" s="11">
        <f>'Input Scenarios'!AE19</f>
        <v>0.06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4"/>
        <v>3.4223999999999999E-3</v>
      </c>
      <c r="AZ22">
        <f t="shared" si="5"/>
        <v>1.813872E-3</v>
      </c>
      <c r="BA22">
        <f t="shared" si="0"/>
        <v>671.06552673600004</v>
      </c>
      <c r="BB22">
        <f t="shared" si="1"/>
        <v>0</v>
      </c>
      <c r="BC22">
        <f t="shared" si="1"/>
        <v>603.9589740624001</v>
      </c>
      <c r="BD22">
        <f t="shared" si="1"/>
        <v>0</v>
      </c>
      <c r="BE22">
        <f t="shared" si="1"/>
        <v>67.106552673600007</v>
      </c>
      <c r="BF22">
        <f t="shared" si="2"/>
        <v>0</v>
      </c>
      <c r="BG22">
        <f t="shared" si="2"/>
        <v>573.15706638521772</v>
      </c>
      <c r="BH22">
        <f t="shared" si="2"/>
        <v>0</v>
      </c>
      <c r="BI22">
        <f t="shared" si="3"/>
        <v>194.87340257097404</v>
      </c>
      <c r="BJ22">
        <f t="shared" si="6"/>
        <v>1</v>
      </c>
      <c r="BK22">
        <f>Constants!$M$2</f>
        <v>0.02</v>
      </c>
      <c r="BL22">
        <f t="shared" si="7"/>
        <v>3.8974680514194806</v>
      </c>
      <c r="BM22">
        <f t="shared" si="8"/>
        <v>1.3421310534720001</v>
      </c>
      <c r="BN22">
        <f>Constants!$L$2</f>
        <v>1.0999999999999999E-2</v>
      </c>
      <c r="BO22">
        <f>IF(BJ22="","",Constants!$J$2)</f>
        <v>1.57</v>
      </c>
      <c r="BP22">
        <f t="shared" si="9"/>
        <v>6.7309273248014431E-2</v>
      </c>
      <c r="BQ22">
        <f t="shared" si="10"/>
        <v>2.3178603293461442E-2</v>
      </c>
    </row>
    <row r="23" spans="1:70" x14ac:dyDescent="0.2">
      <c r="A23" t="str">
        <f>'Input Scenarios'!A20</f>
        <v>NT</v>
      </c>
      <c r="B23">
        <f>'Input Scenarios'!B20</f>
        <v>0</v>
      </c>
      <c r="C23" t="str">
        <f>'Input Scenarios'!C20</f>
        <v>Non-irrigated crop (high rainfall)</v>
      </c>
      <c r="D23" t="str">
        <f>'Input Scenarios'!D20</f>
        <v>dry</v>
      </c>
      <c r="E23" t="b">
        <f>'Input Scenarios'!E20</f>
        <v>0</v>
      </c>
      <c r="F23" t="str">
        <f>'Input Scenarios'!F20</f>
        <v>layers</v>
      </c>
      <c r="G23">
        <f>'Input Scenarios'!G20</f>
        <v>1234</v>
      </c>
      <c r="H23">
        <f>'Input Scenarios'!H20</f>
        <v>150</v>
      </c>
      <c r="I23">
        <f>IF('Input Scenarios'!I20&lt;&gt;"", 'Input Scenarios'!I20,_xlfn.XLOOKUP($F23,Constants!$A$2:$A$5,Constants!B$2:B$5))</f>
        <v>8.5999999999999993E-2</v>
      </c>
      <c r="J23">
        <f>IF('Input Scenarios'!J20&lt;&gt;"", 'Input Scenarios'!J20,_xlfn.XLOOKUP($F23,Constants!$A$2:$A$5,Constants!C$2:C$5))</f>
        <v>0.8</v>
      </c>
      <c r="K23">
        <f>IF('Input Scenarios'!K20&lt;&gt;"", 'Input Scenarios'!K20,_xlfn.XLOOKUP($F23,Constants!$A$2:$A$5,Constants!D$2:D$5))</f>
        <v>0.19</v>
      </c>
      <c r="L23">
        <f>IF('Input Scenarios'!L20&lt;&gt;"", 'Input Scenarios'!L20,_xlfn.XLOOKUP($F23,Constants!$A$2:$A$5,Constants!E$2:E$5))</f>
        <v>0.35</v>
      </c>
      <c r="M23">
        <f>'Input Scenarios'!M20</f>
        <v>0.1</v>
      </c>
      <c r="N23">
        <f>'Input Scenarios'!N20</f>
        <v>0</v>
      </c>
      <c r="O23">
        <f>'Input Scenarios'!O20</f>
        <v>0</v>
      </c>
      <c r="P23">
        <f>'Input Scenarios'!P20</f>
        <v>0.9</v>
      </c>
      <c r="Q23">
        <f>'Input Scenarios'!Q20</f>
        <v>0.5</v>
      </c>
      <c r="R23">
        <f>'Input Scenarios'!R20</f>
        <v>0.25</v>
      </c>
      <c r="S23">
        <f>'Input Scenarios'!S20</f>
        <v>0.25</v>
      </c>
      <c r="T23">
        <f>'Input Scenarios'!T20</f>
        <v>0</v>
      </c>
      <c r="U23">
        <f>'Input Scenarios'!U20</f>
        <v>0</v>
      </c>
      <c r="V23">
        <f>'Input Scenarios'!V20</f>
        <v>0.5</v>
      </c>
      <c r="W23">
        <f>'Input Scenarios'!W20</f>
        <v>0.25</v>
      </c>
      <c r="X23">
        <f>'Input Scenarios'!X20</f>
        <v>0.25</v>
      </c>
      <c r="Y23">
        <f>'Input Scenarios'!Y20</f>
        <v>0</v>
      </c>
      <c r="Z23">
        <f>'Input Scenarios'!Z20</f>
        <v>0</v>
      </c>
      <c r="AA23">
        <f>'Input Scenarios'!AA20</f>
        <v>0.5</v>
      </c>
      <c r="AB23">
        <f>'Input Scenarios'!AB20</f>
        <v>0.25</v>
      </c>
      <c r="AC23">
        <f>'Input Scenarios'!AC20</f>
        <v>0.25</v>
      </c>
      <c r="AD23">
        <f>'Input Scenarios'!AD20</f>
        <v>0</v>
      </c>
      <c r="AE23">
        <f>'Input Scenarios'!AE20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4"/>
        <v>2.6144000000000002E-3</v>
      </c>
      <c r="AZ23">
        <f t="shared" si="5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1"/>
        <v>0</v>
      </c>
      <c r="BD23">
        <f t="shared" si="1"/>
        <v>0</v>
      </c>
      <c r="BE23">
        <f t="shared" si="1"/>
        <v>283.09638240000004</v>
      </c>
      <c r="BF23">
        <f t="shared" si="2"/>
        <v>21.987152366400004</v>
      </c>
      <c r="BG23">
        <f t="shared" si="2"/>
        <v>0</v>
      </c>
      <c r="BH23">
        <f t="shared" si="2"/>
        <v>0</v>
      </c>
      <c r="BI23">
        <f t="shared" si="3"/>
        <v>10.993576183200002</v>
      </c>
      <c r="BJ23">
        <f t="shared" si="6"/>
        <v>0</v>
      </c>
      <c r="BK23">
        <f>Constants!$M$2</f>
        <v>0.02</v>
      </c>
      <c r="BL23">
        <f t="shared" si="7"/>
        <v>0</v>
      </c>
      <c r="BM23">
        <f t="shared" si="8"/>
        <v>0</v>
      </c>
      <c r="BN23">
        <f>Constants!$L$2</f>
        <v>1.0999999999999999E-2</v>
      </c>
      <c r="BO23">
        <f>IF(BJ23="","",Constants!$J$2)</f>
        <v>1.57</v>
      </c>
      <c r="BP23">
        <f t="shared" si="9"/>
        <v>0</v>
      </c>
      <c r="BQ23">
        <f t="shared" si="10"/>
        <v>0</v>
      </c>
      <c r="BR23">
        <f>SUM(BP23:BQ26)/1000</f>
        <v>0</v>
      </c>
    </row>
    <row r="24" spans="1:70" x14ac:dyDescent="0.2">
      <c r="A24" t="str">
        <f>'Input Scenarios'!A21</f>
        <v>NT</v>
      </c>
      <c r="B24">
        <f>'Input Scenarios'!B21</f>
        <v>0</v>
      </c>
      <c r="C24" t="str">
        <f>'Input Scenarios'!C21</f>
        <v>Non-irrigated crop (high rainfall)</v>
      </c>
      <c r="D24" t="str">
        <f>'Input Scenarios'!D21</f>
        <v>dry</v>
      </c>
      <c r="E24" t="b">
        <f>'Input Scenarios'!E21</f>
        <v>0</v>
      </c>
      <c r="F24" t="str">
        <f>'Input Scenarios'!F21</f>
        <v>meatChickenBreeder</v>
      </c>
      <c r="G24">
        <f>'Input Scenarios'!G21</f>
        <v>1234</v>
      </c>
      <c r="H24">
        <f>'Input Scenarios'!H21</f>
        <v>150</v>
      </c>
      <c r="I24">
        <f>IF('Input Scenarios'!I21&lt;&gt;"", 'Input Scenarios'!I21,_xlfn.XLOOKUP($F24,Constants!$A$2:$A$5,Constants!B$2:B$5))</f>
        <v>0.10299999999999999</v>
      </c>
      <c r="J24">
        <f>IF('Input Scenarios'!J21&lt;&gt;"", 'Input Scenarios'!J21,_xlfn.XLOOKUP($F24,Constants!$A$2:$A$5,Constants!C$2:C$5))</f>
        <v>0.8</v>
      </c>
      <c r="K24">
        <f>IF('Input Scenarios'!K21&lt;&gt;"", 'Input Scenarios'!K21,_xlfn.XLOOKUP($F24,Constants!$A$2:$A$5,Constants!D$2:D$5))</f>
        <v>0.19</v>
      </c>
      <c r="L24">
        <f>IF('Input Scenarios'!L21&lt;&gt;"", 'Input Scenarios'!L21,_xlfn.XLOOKUP($F24,Constants!$A$2:$A$5,Constants!E$2:E$5))</f>
        <v>0.32</v>
      </c>
      <c r="M24">
        <f>'Input Scenarios'!M21</f>
        <v>0.1</v>
      </c>
      <c r="N24">
        <f>'Input Scenarios'!N21</f>
        <v>0</v>
      </c>
      <c r="O24">
        <f>'Input Scenarios'!O21</f>
        <v>0</v>
      </c>
      <c r="P24">
        <f>'Input Scenarios'!P21</f>
        <v>0.9</v>
      </c>
      <c r="Q24">
        <f>'Input Scenarios'!Q21</f>
        <v>0.5</v>
      </c>
      <c r="R24">
        <f>'Input Scenarios'!R21</f>
        <v>0.25</v>
      </c>
      <c r="S24">
        <f>'Input Scenarios'!S21</f>
        <v>0.25</v>
      </c>
      <c r="T24">
        <f>'Input Scenarios'!T21</f>
        <v>0</v>
      </c>
      <c r="U24">
        <f>'Input Scenarios'!U21</f>
        <v>0</v>
      </c>
      <c r="V24">
        <f>'Input Scenarios'!V21</f>
        <v>0.5</v>
      </c>
      <c r="W24">
        <f>'Input Scenarios'!W21</f>
        <v>0.25</v>
      </c>
      <c r="X24">
        <f>'Input Scenarios'!X21</f>
        <v>0.25</v>
      </c>
      <c r="Y24">
        <f>'Input Scenarios'!Y21</f>
        <v>0</v>
      </c>
      <c r="Z24">
        <f>'Input Scenarios'!Z21</f>
        <v>0</v>
      </c>
      <c r="AA24">
        <f>'Input Scenarios'!AA21</f>
        <v>0.5</v>
      </c>
      <c r="AB24">
        <f>'Input Scenarios'!AB21</f>
        <v>0.25</v>
      </c>
      <c r="AC24">
        <f>'Input Scenarios'!AC21</f>
        <v>0.25</v>
      </c>
      <c r="AD24">
        <f>'Input Scenarios'!AD21</f>
        <v>0</v>
      </c>
      <c r="AE24">
        <f>'Input Scenarios'!AE21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4"/>
        <v>3.1312000000000002E-3</v>
      </c>
      <c r="AZ24">
        <f t="shared" si="5"/>
        <v>2.1292159999999997E-3</v>
      </c>
      <c r="BA24">
        <f t="shared" si="0"/>
        <v>394.11788159999992</v>
      </c>
      <c r="BB24">
        <f t="shared" si="1"/>
        <v>39.411788159999993</v>
      </c>
      <c r="BC24">
        <f t="shared" si="1"/>
        <v>0</v>
      </c>
      <c r="BD24">
        <f t="shared" si="1"/>
        <v>0</v>
      </c>
      <c r="BE24">
        <f t="shared" si="1"/>
        <v>354.70609343999996</v>
      </c>
      <c r="BF24">
        <f t="shared" si="2"/>
        <v>27.548839923839992</v>
      </c>
      <c r="BG24">
        <f t="shared" si="2"/>
        <v>0</v>
      </c>
      <c r="BH24">
        <f t="shared" si="2"/>
        <v>0</v>
      </c>
      <c r="BI24">
        <f t="shared" si="3"/>
        <v>13.774419961919996</v>
      </c>
      <c r="BJ24">
        <f t="shared" si="6"/>
        <v>0</v>
      </c>
      <c r="BK24">
        <f>Constants!$M$2</f>
        <v>0.02</v>
      </c>
      <c r="BL24">
        <f t="shared" si="7"/>
        <v>0</v>
      </c>
      <c r="BM24">
        <f t="shared" si="8"/>
        <v>0</v>
      </c>
      <c r="BN24">
        <f>Constants!$L$2</f>
        <v>1.0999999999999999E-2</v>
      </c>
      <c r="BO24">
        <f>IF(BJ24="","",Constants!$J$2)</f>
        <v>1.57</v>
      </c>
      <c r="BP24">
        <f t="shared" si="9"/>
        <v>0</v>
      </c>
      <c r="BQ24">
        <f t="shared" si="10"/>
        <v>0</v>
      </c>
    </row>
    <row r="25" spans="1:70" s="11" customFormat="1" x14ac:dyDescent="0.2">
      <c r="A25" t="str">
        <f>'Input Scenarios'!A22</f>
        <v>NT</v>
      </c>
      <c r="B25">
        <f>'Input Scenarios'!B22</f>
        <v>0</v>
      </c>
      <c r="C25" t="str">
        <f>'Input Scenarios'!C22</f>
        <v>Non-irrigated crop (high rainfall)</v>
      </c>
      <c r="D25" t="str">
        <f>'Input Scenarios'!D22</f>
        <v>dry</v>
      </c>
      <c r="E25" t="b">
        <f>'Input Scenarios'!E22</f>
        <v>0</v>
      </c>
      <c r="F25" t="str">
        <f>'Input Scenarios'!F22</f>
        <v>meatChickenGrowers</v>
      </c>
      <c r="G25">
        <f>'Input Scenarios'!G22</f>
        <v>1234</v>
      </c>
      <c r="H25">
        <f>'Input Scenarios'!H22</f>
        <v>150</v>
      </c>
      <c r="I25">
        <f>IF('Input Scenarios'!I22&lt;&gt;"", 'Input Scenarios'!I22,_xlfn.XLOOKUP($F25,Constants!$A$2:$A$5,Constants!B$2:B$5))</f>
        <v>9.2999999999999999E-2</v>
      </c>
      <c r="J25">
        <f>IF('Input Scenarios'!J22&lt;&gt;"", 'Input Scenarios'!J22,_xlfn.XLOOKUP($F25,Constants!$A$2:$A$5,Constants!C$2:C$5))</f>
        <v>0.8</v>
      </c>
      <c r="K25">
        <f>IF('Input Scenarios'!K22&lt;&gt;"", 'Input Scenarios'!K22,_xlfn.XLOOKUP($F25,Constants!$A$2:$A$5,Constants!D$2:D$5))</f>
        <v>0.23</v>
      </c>
      <c r="L25">
        <f>IF('Input Scenarios'!L22&lt;&gt;"", 'Input Scenarios'!L22,_xlfn.XLOOKUP($F25,Constants!$A$2:$A$5,Constants!E$2:E$5))</f>
        <v>0.47</v>
      </c>
      <c r="M25">
        <f>'Input Scenarios'!M22</f>
        <v>0.1</v>
      </c>
      <c r="N25">
        <f>'Input Scenarios'!N22</f>
        <v>0</v>
      </c>
      <c r="O25">
        <f>'Input Scenarios'!O22</f>
        <v>0</v>
      </c>
      <c r="P25">
        <f>'Input Scenarios'!P22</f>
        <v>0.9</v>
      </c>
      <c r="Q25">
        <f>'Input Scenarios'!Q22</f>
        <v>0.5</v>
      </c>
      <c r="R25">
        <f>'Input Scenarios'!R22</f>
        <v>0.25</v>
      </c>
      <c r="S25">
        <f>'Input Scenarios'!S22</f>
        <v>0.25</v>
      </c>
      <c r="T25">
        <f>'Input Scenarios'!T22</f>
        <v>0</v>
      </c>
      <c r="U25">
        <f>'Input Scenarios'!U22</f>
        <v>0</v>
      </c>
      <c r="V25">
        <f>'Input Scenarios'!V22</f>
        <v>0.5</v>
      </c>
      <c r="W25">
        <f>'Input Scenarios'!W22</f>
        <v>0.25</v>
      </c>
      <c r="X25">
        <f>'Input Scenarios'!X22</f>
        <v>0.25</v>
      </c>
      <c r="Y25">
        <f>'Input Scenarios'!Y22</f>
        <v>0</v>
      </c>
      <c r="Z25">
        <f>'Input Scenarios'!Z22</f>
        <v>0</v>
      </c>
      <c r="AA25">
        <f>'Input Scenarios'!AA22</f>
        <v>0.5</v>
      </c>
      <c r="AB25">
        <f>'Input Scenarios'!AB22</f>
        <v>0.25</v>
      </c>
      <c r="AC25">
        <f>'Input Scenarios'!AC22</f>
        <v>0.25</v>
      </c>
      <c r="AD25">
        <f>'Input Scenarios'!AD22</f>
        <v>0</v>
      </c>
      <c r="AE25">
        <f>'Input Scenarios'!AE22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4"/>
        <v>3.4223999999999999E-3</v>
      </c>
      <c r="AZ25">
        <f t="shared" si="5"/>
        <v>1.813872E-3</v>
      </c>
      <c r="BA25">
        <f t="shared" si="0"/>
        <v>335.74770719999998</v>
      </c>
      <c r="BB25">
        <f t="shared" si="1"/>
        <v>33.574770719999997</v>
      </c>
      <c r="BC25">
        <f t="shared" si="1"/>
        <v>0</v>
      </c>
      <c r="BD25">
        <f t="shared" si="1"/>
        <v>0</v>
      </c>
      <c r="BE25">
        <f t="shared" si="1"/>
        <v>302.17293647999998</v>
      </c>
      <c r="BF25">
        <f t="shared" si="2"/>
        <v>23.468764733279997</v>
      </c>
      <c r="BG25">
        <f t="shared" si="2"/>
        <v>0</v>
      </c>
      <c r="BH25">
        <f t="shared" si="2"/>
        <v>0</v>
      </c>
      <c r="BI25">
        <f t="shared" si="3"/>
        <v>11.734382366639998</v>
      </c>
      <c r="BJ25">
        <f t="shared" si="6"/>
        <v>0</v>
      </c>
      <c r="BK25">
        <f>Constants!$M$2</f>
        <v>0.02</v>
      </c>
      <c r="BL25">
        <f t="shared" si="7"/>
        <v>0</v>
      </c>
      <c r="BM25">
        <f t="shared" si="8"/>
        <v>0</v>
      </c>
      <c r="BN25">
        <f>Constants!$L$2</f>
        <v>1.0999999999999999E-2</v>
      </c>
      <c r="BO25">
        <f>IF(BJ25="","",Constants!$J$2)</f>
        <v>1.57</v>
      </c>
      <c r="BP25">
        <f t="shared" si="9"/>
        <v>0</v>
      </c>
      <c r="BQ25">
        <f t="shared" si="10"/>
        <v>0</v>
      </c>
      <c r="BR25"/>
    </row>
    <row r="26" spans="1:70" x14ac:dyDescent="0.2">
      <c r="A26" s="11" t="str">
        <f>'Input Scenarios'!A23</f>
        <v>NT</v>
      </c>
      <c r="B26" s="11">
        <f>'Input Scenarios'!B23</f>
        <v>0</v>
      </c>
      <c r="C26" s="11" t="str">
        <f>'Input Scenarios'!C23</f>
        <v>Non-irrigated crop (high rainfall)</v>
      </c>
      <c r="D26" s="11" t="str">
        <f>'Input Scenarios'!D23</f>
        <v>dry</v>
      </c>
      <c r="E26" s="11" t="b">
        <f>'Input Scenarios'!E23</f>
        <v>0</v>
      </c>
      <c r="F26" s="11" t="str">
        <f>'Input Scenarios'!F23</f>
        <v>meatOther</v>
      </c>
      <c r="G26" s="11">
        <f>'Input Scenarios'!G23</f>
        <v>1234</v>
      </c>
      <c r="H26" s="11">
        <f>'Input Scenarios'!H23</f>
        <v>150</v>
      </c>
      <c r="I26">
        <f>IF('Input Scenarios'!I23&lt;&gt;"", 'Input Scenarios'!I23,_xlfn.XLOOKUP($F26,Constants!$A$2:$A$5,Constants!B$2:B$5))</f>
        <v>9.2999999999999999E-2</v>
      </c>
      <c r="J26">
        <f>IF('Input Scenarios'!J23&lt;&gt;"", 'Input Scenarios'!J23,_xlfn.XLOOKUP($F26,Constants!$A$2:$A$5,Constants!C$2:C$5))</f>
        <v>0.8</v>
      </c>
      <c r="K26">
        <f>IF('Input Scenarios'!K23&lt;&gt;"", 'Input Scenarios'!K23,_xlfn.XLOOKUP($F26,Constants!$A$2:$A$5,Constants!D$2:D$5))</f>
        <v>0.23</v>
      </c>
      <c r="L26">
        <f>IF('Input Scenarios'!L23&lt;&gt;"", 'Input Scenarios'!L23,_xlfn.XLOOKUP($F26,Constants!$A$2:$A$5,Constants!E$2:E$5))</f>
        <v>0.47</v>
      </c>
      <c r="M26" s="11">
        <f>'Input Scenarios'!M23</f>
        <v>0.1</v>
      </c>
      <c r="N26" s="11">
        <f>'Input Scenarios'!N23</f>
        <v>0</v>
      </c>
      <c r="O26" s="11">
        <f>'Input Scenarios'!O23</f>
        <v>0</v>
      </c>
      <c r="P26" s="11">
        <f>'Input Scenarios'!P23</f>
        <v>0.9</v>
      </c>
      <c r="Q26" s="11">
        <f>'Input Scenarios'!Q23</f>
        <v>0.5</v>
      </c>
      <c r="R26" s="11">
        <f>'Input Scenarios'!R23</f>
        <v>0.25</v>
      </c>
      <c r="S26" s="11">
        <f>'Input Scenarios'!S23</f>
        <v>0.25</v>
      </c>
      <c r="T26" s="11">
        <f>'Input Scenarios'!T23</f>
        <v>0</v>
      </c>
      <c r="U26" s="11">
        <f>'Input Scenarios'!U23</f>
        <v>0</v>
      </c>
      <c r="V26" s="11">
        <f>'Input Scenarios'!V23</f>
        <v>0.5</v>
      </c>
      <c r="W26" s="11">
        <f>'Input Scenarios'!W23</f>
        <v>0.25</v>
      </c>
      <c r="X26" s="11">
        <f>'Input Scenarios'!X23</f>
        <v>0.25</v>
      </c>
      <c r="Y26" s="11">
        <f>'Input Scenarios'!Y23</f>
        <v>0</v>
      </c>
      <c r="Z26" s="11">
        <f>'Input Scenarios'!Z23</f>
        <v>0</v>
      </c>
      <c r="AA26" s="11">
        <f>'Input Scenarios'!AA23</f>
        <v>0.5</v>
      </c>
      <c r="AB26" s="11">
        <f>'Input Scenarios'!AB23</f>
        <v>0.25</v>
      </c>
      <c r="AC26" s="11">
        <f>'Input Scenarios'!AC23</f>
        <v>0.25</v>
      </c>
      <c r="AD26" s="11">
        <f>'Input Scenarios'!AD23</f>
        <v>0</v>
      </c>
      <c r="AE26" s="11">
        <f>'Input Scenarios'!AE23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4"/>
        <v>3.4223999999999999E-3</v>
      </c>
      <c r="AZ26">
        <f t="shared" si="5"/>
        <v>1.813872E-3</v>
      </c>
      <c r="BA26">
        <f t="shared" si="0"/>
        <v>335.74770719999998</v>
      </c>
      <c r="BB26">
        <f t="shared" si="1"/>
        <v>33.574770719999997</v>
      </c>
      <c r="BC26">
        <f t="shared" si="1"/>
        <v>0</v>
      </c>
      <c r="BD26">
        <f t="shared" si="1"/>
        <v>0</v>
      </c>
      <c r="BE26">
        <f t="shared" si="1"/>
        <v>302.17293647999998</v>
      </c>
      <c r="BF26">
        <f t="shared" si="2"/>
        <v>23.468764733279997</v>
      </c>
      <c r="BG26">
        <f t="shared" si="2"/>
        <v>0</v>
      </c>
      <c r="BH26">
        <f t="shared" si="2"/>
        <v>0</v>
      </c>
      <c r="BI26">
        <f t="shared" si="3"/>
        <v>11.734382366639998</v>
      </c>
      <c r="BJ26">
        <f t="shared" si="6"/>
        <v>0</v>
      </c>
      <c r="BK26">
        <f>Constants!$M$2</f>
        <v>0.02</v>
      </c>
      <c r="BL26">
        <f t="shared" si="7"/>
        <v>0</v>
      </c>
      <c r="BM26">
        <f t="shared" si="8"/>
        <v>0</v>
      </c>
      <c r="BN26">
        <f>Constants!$L$2</f>
        <v>1.0999999999999999E-2</v>
      </c>
      <c r="BO26">
        <f>IF(BJ26="","",Constants!$J$2)</f>
        <v>1.57</v>
      </c>
      <c r="BP26">
        <f t="shared" si="9"/>
        <v>0</v>
      </c>
      <c r="BQ26">
        <f t="shared" si="10"/>
        <v>0</v>
      </c>
    </row>
    <row r="30" spans="1:70" s="11" customFormat="1" x14ac:dyDescent="0.2">
      <c r="A30"/>
      <c r="B30"/>
      <c r="C30"/>
      <c r="R30"/>
      <c r="S30"/>
      <c r="T30"/>
      <c r="U30"/>
      <c r="X30"/>
      <c r="Z30"/>
      <c r="AB30"/>
      <c r="AC30"/>
      <c r="AD30"/>
      <c r="AE30"/>
      <c r="AF30"/>
      <c r="AG30"/>
      <c r="AH30"/>
      <c r="AI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0DB2-B84C-0148-8D85-D3EA06B8E018}">
  <dimension ref="A2:BR30"/>
  <sheetViews>
    <sheetView workbookViewId="0">
      <selection activeCell="L11" sqref="L11"/>
    </sheetView>
  </sheetViews>
  <sheetFormatPr baseColWidth="10" defaultRowHeight="16" x14ac:dyDescent="0.2"/>
  <cols>
    <col min="25" max="26" width="12.1640625" bestFit="1" customWidth="1"/>
    <col min="28" max="28" width="12.1640625" bestFit="1" customWidth="1"/>
    <col min="29" max="30" width="12.1640625" customWidth="1"/>
    <col min="35" max="35" width="12.1640625" bestFit="1" customWidth="1"/>
  </cols>
  <sheetData>
    <row r="2" spans="1:70" x14ac:dyDescent="0.2">
      <c r="A2" t="s">
        <v>30</v>
      </c>
    </row>
    <row r="4" spans="1:70" x14ac:dyDescent="0.2">
      <c r="A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48</v>
      </c>
      <c r="J4" t="s">
        <v>48</v>
      </c>
      <c r="K4" t="s">
        <v>48</v>
      </c>
      <c r="L4" t="s">
        <v>1</v>
      </c>
      <c r="M4" t="s">
        <v>1</v>
      </c>
      <c r="N4" t="s">
        <v>1</v>
      </c>
      <c r="O4" t="s">
        <v>1</v>
      </c>
      <c r="AF4" t="s">
        <v>48</v>
      </c>
      <c r="AY4" t="s">
        <v>53</v>
      </c>
      <c r="AZ4" t="s">
        <v>53</v>
      </c>
      <c r="BA4" t="s">
        <v>53</v>
      </c>
      <c r="BF4" t="s">
        <v>53</v>
      </c>
    </row>
    <row r="5" spans="1:70" x14ac:dyDescent="0.2">
      <c r="K5" t="s">
        <v>0</v>
      </c>
      <c r="AF5" t="s">
        <v>0</v>
      </c>
      <c r="BF5" t="s">
        <v>97</v>
      </c>
    </row>
    <row r="6" spans="1:70" x14ac:dyDescent="0.2">
      <c r="BF6" t="s">
        <v>91</v>
      </c>
    </row>
    <row r="8" spans="1:70" x14ac:dyDescent="0.2">
      <c r="A8" t="s">
        <v>35</v>
      </c>
      <c r="B8" t="s">
        <v>39</v>
      </c>
      <c r="C8" t="s">
        <v>38</v>
      </c>
      <c r="D8" t="s">
        <v>56</v>
      </c>
      <c r="E8" t="s">
        <v>59</v>
      </c>
      <c r="F8" t="s">
        <v>28</v>
      </c>
      <c r="G8" t="s">
        <v>2</v>
      </c>
      <c r="H8" t="s">
        <v>3</v>
      </c>
      <c r="I8" t="s">
        <v>40</v>
      </c>
      <c r="J8" t="s">
        <v>41</v>
      </c>
      <c r="K8" t="s">
        <v>42</v>
      </c>
      <c r="L8" t="s">
        <v>45</v>
      </c>
      <c r="M8" t="s">
        <v>52</v>
      </c>
      <c r="N8" t="s">
        <v>52</v>
      </c>
      <c r="Q8" t="s">
        <v>142</v>
      </c>
      <c r="V8" t="s">
        <v>143</v>
      </c>
      <c r="AA8" t="s">
        <v>54</v>
      </c>
      <c r="AF8" t="s">
        <v>43</v>
      </c>
    </row>
    <row r="10" spans="1:70" x14ac:dyDescent="0.2">
      <c r="A10" s="14" t="s">
        <v>26</v>
      </c>
      <c r="B10" s="14" t="s">
        <v>26</v>
      </c>
      <c r="C10" s="14"/>
      <c r="D10" s="14" t="s">
        <v>58</v>
      </c>
      <c r="E10" s="14" t="s">
        <v>60</v>
      </c>
      <c r="F10" s="14" t="s">
        <v>25</v>
      </c>
      <c r="G10" s="14" t="s">
        <v>4</v>
      </c>
      <c r="H10" s="14" t="s">
        <v>5</v>
      </c>
      <c r="I10" s="14" t="s">
        <v>6</v>
      </c>
      <c r="J10" s="14" t="s">
        <v>32</v>
      </c>
      <c r="K10" s="14" t="s">
        <v>7</v>
      </c>
      <c r="L10" s="14" t="s">
        <v>89</v>
      </c>
      <c r="M10" s="14" t="s">
        <v>110</v>
      </c>
      <c r="N10" s="14" t="s">
        <v>109</v>
      </c>
      <c r="O10" s="14" t="s">
        <v>111</v>
      </c>
      <c r="P10" s="14" t="s">
        <v>112</v>
      </c>
      <c r="Q10" s="14" t="s">
        <v>114</v>
      </c>
      <c r="R10" s="14" t="s">
        <v>115</v>
      </c>
      <c r="S10" s="14" t="s">
        <v>116</v>
      </c>
      <c r="T10" s="14" t="s">
        <v>117</v>
      </c>
      <c r="U10" s="14" t="s">
        <v>118</v>
      </c>
      <c r="V10" s="14" t="s">
        <v>114</v>
      </c>
      <c r="W10" s="14" t="s">
        <v>115</v>
      </c>
      <c r="X10" s="14" t="s">
        <v>116</v>
      </c>
      <c r="Y10" s="14" t="s">
        <v>117</v>
      </c>
      <c r="Z10" s="14" t="s">
        <v>118</v>
      </c>
      <c r="AA10" s="14" t="s">
        <v>114</v>
      </c>
      <c r="AB10" s="14" t="s">
        <v>115</v>
      </c>
      <c r="AC10" s="14" t="s">
        <v>116</v>
      </c>
      <c r="AD10" s="14" t="s">
        <v>117</v>
      </c>
      <c r="AE10" s="14" t="s">
        <v>118</v>
      </c>
      <c r="AF10" s="1" t="s">
        <v>34</v>
      </c>
      <c r="AG10" s="1" t="s">
        <v>158</v>
      </c>
      <c r="AH10" s="1" t="s">
        <v>159</v>
      </c>
      <c r="AI10" s="1" t="s">
        <v>160</v>
      </c>
      <c r="AJ10" s="1" t="s">
        <v>161</v>
      </c>
      <c r="AK10" s="1" t="s">
        <v>154</v>
      </c>
      <c r="AL10" s="1" t="s">
        <v>155</v>
      </c>
      <c r="AM10" s="1" t="s">
        <v>156</v>
      </c>
      <c r="AN10" s="1" t="s">
        <v>157</v>
      </c>
      <c r="AO10" s="1" t="s">
        <v>166</v>
      </c>
      <c r="AP10" s="1" t="s">
        <v>165</v>
      </c>
      <c r="AQ10" s="1" t="s">
        <v>164</v>
      </c>
      <c r="AR10" s="1" t="s">
        <v>163</v>
      </c>
      <c r="AS10" s="1" t="s">
        <v>162</v>
      </c>
      <c r="AT10" s="1" t="s">
        <v>167</v>
      </c>
      <c r="AU10" s="1" t="s">
        <v>168</v>
      </c>
      <c r="AV10" s="1" t="s">
        <v>169</v>
      </c>
      <c r="AW10" s="1" t="s">
        <v>170</v>
      </c>
      <c r="AX10" s="1" t="s">
        <v>171</v>
      </c>
      <c r="AY10" s="1" t="s">
        <v>172</v>
      </c>
      <c r="AZ10" s="1" t="s">
        <v>173</v>
      </c>
      <c r="BA10" s="1" t="s">
        <v>90</v>
      </c>
      <c r="BB10" s="17" t="s">
        <v>174</v>
      </c>
      <c r="BC10" s="17" t="s">
        <v>175</v>
      </c>
      <c r="BD10" s="17" t="s">
        <v>176</v>
      </c>
      <c r="BE10" s="17" t="s">
        <v>177</v>
      </c>
      <c r="BF10" s="1" t="s">
        <v>178</v>
      </c>
      <c r="BG10" s="1" t="s">
        <v>179</v>
      </c>
      <c r="BH10" s="1" t="s">
        <v>180</v>
      </c>
      <c r="BI10" s="1" t="s">
        <v>181</v>
      </c>
      <c r="BJ10" s="1" t="s">
        <v>104</v>
      </c>
      <c r="BK10" s="1" t="s">
        <v>103</v>
      </c>
      <c r="BL10" s="1" t="s">
        <v>211</v>
      </c>
      <c r="BM10" s="1" t="s">
        <v>212</v>
      </c>
      <c r="BN10" s="1" t="s">
        <v>102</v>
      </c>
      <c r="BO10" s="1" t="s">
        <v>96</v>
      </c>
      <c r="BP10" s="10" t="s">
        <v>213</v>
      </c>
      <c r="BQ10" s="10" t="s">
        <v>214</v>
      </c>
      <c r="BR10" s="10" t="s">
        <v>105</v>
      </c>
    </row>
    <row r="11" spans="1:70" x14ac:dyDescent="0.2">
      <c r="A11" t="str">
        <f>'Input Scenarios'!A32</f>
        <v>NSW</v>
      </c>
      <c r="B11">
        <f>'Input Scenarios'!B32</f>
        <v>13</v>
      </c>
      <c r="C11" t="str">
        <f>'Input Scenarios'!C32</f>
        <v>Non-irrigated pasture</v>
      </c>
      <c r="D11" t="str">
        <f>'Input Scenarios'!D32</f>
        <v>wet</v>
      </c>
      <c r="E11" t="b">
        <f>'Input Scenarios'!E32</f>
        <v>1</v>
      </c>
      <c r="F11" t="str">
        <f>'Input Scenarios'!F32</f>
        <v>layers</v>
      </c>
      <c r="G11">
        <f>'Input Scenarios'!G32</f>
        <v>5000</v>
      </c>
      <c r="H11">
        <f>'Input Scenarios'!H32</f>
        <v>50</v>
      </c>
      <c r="I11">
        <f>IF('Input Scenarios'!I32&lt;&gt;"", 'Input Scenarios'!I32,_xlfn.XLOOKUP($F11,Constants!$A$2:$A$5,Constants!B$2:B$5))</f>
        <v>8.7999999999999995E-2</v>
      </c>
      <c r="J11">
        <f>IF('Input Scenarios'!J32&lt;&gt;"", 'Input Scenarios'!J32,_xlfn.XLOOKUP($F11,Constants!$A$2:$A$5,Constants!C$2:C$5))</f>
        <v>0.8</v>
      </c>
      <c r="K11">
        <f>IF('Input Scenarios'!K32&lt;&gt;"", 'Input Scenarios'!K32,_xlfn.XLOOKUP($F11,Constants!$A$2:$A$5,Constants!D$2:D$5))</f>
        <v>0.2</v>
      </c>
      <c r="L11">
        <f>IF('Input Scenarios'!L32&lt;&gt;"", 'Input Scenarios'!L32,_xlfn.XLOOKUP($F11,Constants!$A$2:$A$5,Constants!E$2:E$5))</f>
        <v>0.35</v>
      </c>
      <c r="M11">
        <f>'Input Scenarios'!M32</f>
        <v>0.1</v>
      </c>
      <c r="N11">
        <f>'Input Scenarios'!N32</f>
        <v>0.2</v>
      </c>
      <c r="O11">
        <f>'Input Scenarios'!O32</f>
        <v>0.3</v>
      </c>
      <c r="P11">
        <f>'Input Scenarios'!P32</f>
        <v>0.4</v>
      </c>
      <c r="Q11">
        <f>'Input Scenarios'!Q32</f>
        <v>0.5</v>
      </c>
      <c r="R11">
        <f>'Input Scenarios'!R32</f>
        <v>0.5</v>
      </c>
      <c r="S11">
        <f>'Input Scenarios'!S32</f>
        <v>0</v>
      </c>
      <c r="T11">
        <f>'Input Scenarios'!T32</f>
        <v>0</v>
      </c>
      <c r="U11">
        <f>'Input Scenarios'!U32</f>
        <v>0</v>
      </c>
      <c r="V11">
        <f>'Input Scenarios'!V32</f>
        <v>0</v>
      </c>
      <c r="W11">
        <f>'Input Scenarios'!W32</f>
        <v>0</v>
      </c>
      <c r="X11">
        <f>'Input Scenarios'!X32</f>
        <v>0.75</v>
      </c>
      <c r="Y11">
        <f>'Input Scenarios'!Y32</f>
        <v>0.25</v>
      </c>
      <c r="Z11">
        <f>'Input Scenarios'!Z32</f>
        <v>0</v>
      </c>
      <c r="AA11">
        <f>'Input Scenarios'!AA32</f>
        <v>0</v>
      </c>
      <c r="AB11">
        <f>'Input Scenarios'!AB32</f>
        <v>0</v>
      </c>
      <c r="AC11">
        <f>'Input Scenarios'!AC32</f>
        <v>0</v>
      </c>
      <c r="AD11">
        <f>'Input Scenarios'!AD32</f>
        <v>0</v>
      </c>
      <c r="AE11">
        <f>'Input Scenarios'!AE32</f>
        <v>1</v>
      </c>
      <c r="AF11">
        <f>IF(F11="", "",_xlfn.XLOOKUP(F11,Constants!$A$2:$A$5,Constants!F$2:F$5))</f>
        <v>0.18</v>
      </c>
      <c r="AG11">
        <f>Constants!$C$9</f>
        <v>0.3</v>
      </c>
      <c r="AH11">
        <f>Constants!$C$10</f>
        <v>0.05</v>
      </c>
      <c r="AI11">
        <f>Constants!$C$11</f>
        <v>0.4</v>
      </c>
      <c r="AJ11">
        <f>Constants!$C$16</f>
        <v>0</v>
      </c>
      <c r="AK11">
        <f>Constants!$D$9</f>
        <v>1E-3</v>
      </c>
      <c r="AL11">
        <f>Constants!$D$10</f>
        <v>1E-3</v>
      </c>
      <c r="AM11">
        <f>Constants!$D$11</f>
        <v>1E-3</v>
      </c>
      <c r="AN11">
        <f>Constants!$D$16</f>
        <v>0</v>
      </c>
      <c r="AO11">
        <f>Constants!$C$12</f>
        <v>0.2</v>
      </c>
      <c r="AP11">
        <f>Constants!$C$13</f>
        <v>0.2</v>
      </c>
      <c r="AQ11">
        <f>Constants!$C$15</f>
        <v>0</v>
      </c>
      <c r="AR11">
        <f>Constants!$C$14</f>
        <v>0</v>
      </c>
      <c r="AS11" t="str">
        <f>Constants!$C$17</f>
        <v>N/A</v>
      </c>
      <c r="AT11">
        <f>Constants!$D$12</f>
        <v>5.0000000000000001E-3</v>
      </c>
      <c r="AU11">
        <f>Constants!$D$13</f>
        <v>0.01</v>
      </c>
      <c r="AV11">
        <f>Constants!$D$15</f>
        <v>0</v>
      </c>
      <c r="AW11">
        <f>Constants!$D$14</f>
        <v>0</v>
      </c>
      <c r="AX11" t="str">
        <f>Constants!$D$17</f>
        <v>N/A</v>
      </c>
      <c r="AY11">
        <f>I11*K11/6.25</f>
        <v>2.8160000000000004E-3</v>
      </c>
      <c r="AZ11">
        <f>AY11*(1-L11)</f>
        <v>1.8304000000000003E-3</v>
      </c>
      <c r="BA11">
        <f t="shared" ref="BA11:BA26" si="0">G11*AZ11*H11</f>
        <v>457.6</v>
      </c>
      <c r="BB11">
        <f t="shared" ref="BB11:BE26" si="1">$BA11*M11</f>
        <v>45.760000000000005</v>
      </c>
      <c r="BC11">
        <f t="shared" si="1"/>
        <v>91.52000000000001</v>
      </c>
      <c r="BD11">
        <f t="shared" si="1"/>
        <v>137.28</v>
      </c>
      <c r="BE11">
        <f t="shared" si="1"/>
        <v>183.04000000000002</v>
      </c>
      <c r="BF11">
        <f t="shared" ref="BF11:BH26" si="2">(BB11*(1-AG11-AK11))</f>
        <v>31.986240000000002</v>
      </c>
      <c r="BG11">
        <f t="shared" si="2"/>
        <v>86.85248</v>
      </c>
      <c r="BH11">
        <f t="shared" si="2"/>
        <v>82.230719999999991</v>
      </c>
      <c r="BI11">
        <f t="shared" ref="BI11:BI26" si="3">($BF11*Q11)+($BG11*V11)+($BH11*AA11)</f>
        <v>15.993120000000001</v>
      </c>
      <c r="BJ11">
        <f>IF(E11, 1, 0)</f>
        <v>1</v>
      </c>
      <c r="BK11">
        <f>Constants!$M$2</f>
        <v>0.02</v>
      </c>
      <c r="BL11">
        <f>BI11*BJ11*BK11</f>
        <v>0.31986240000000005</v>
      </c>
      <c r="BM11">
        <f>BE11*BJ11*BK11</f>
        <v>3.6608000000000005</v>
      </c>
      <c r="BN11">
        <f>Constants!$L$2</f>
        <v>1.0999999999999999E-2</v>
      </c>
      <c r="BO11">
        <f>IF(BJ11="","",Constants!$J$2)</f>
        <v>1.57</v>
      </c>
      <c r="BP11">
        <f>BL11*$BN11*$BO11</f>
        <v>5.5240236480000012E-3</v>
      </c>
      <c r="BQ11">
        <f>BM11*$BN11*$BO11</f>
        <v>6.3222016000000006E-2</v>
      </c>
      <c r="BR11">
        <f>SUM(BP11:BQ14)/1000</f>
        <v>2.7664872616039998E-4</v>
      </c>
    </row>
    <row r="12" spans="1:70" x14ac:dyDescent="0.2">
      <c r="A12" t="str">
        <f>'Input Scenarios'!A33</f>
        <v>NSW</v>
      </c>
      <c r="B12">
        <f>'Input Scenarios'!B33</f>
        <v>13</v>
      </c>
      <c r="C12" t="str">
        <f>'Input Scenarios'!C33</f>
        <v>Non-irrigated pasture</v>
      </c>
      <c r="D12" t="str">
        <f>'Input Scenarios'!D33</f>
        <v>wet</v>
      </c>
      <c r="E12" t="b">
        <f>'Input Scenarios'!E33</f>
        <v>1</v>
      </c>
      <c r="F12" t="str">
        <f>'Input Scenarios'!F33</f>
        <v>meatChickenBreeder</v>
      </c>
      <c r="G12">
        <f>'Input Scenarios'!G33</f>
        <v>5000</v>
      </c>
      <c r="H12">
        <f>'Input Scenarios'!H33</f>
        <v>50</v>
      </c>
      <c r="I12">
        <f>IF('Input Scenarios'!I33&lt;&gt;"", 'Input Scenarios'!I33,_xlfn.XLOOKUP($F12,Constants!$A$2:$A$5,Constants!B$2:B$5))</f>
        <v>0.1</v>
      </c>
      <c r="J12">
        <f>IF('Input Scenarios'!J33&lt;&gt;"", 'Input Scenarios'!J33,_xlfn.XLOOKUP($F12,Constants!$A$2:$A$5,Constants!C$2:C$5))</f>
        <v>0.8</v>
      </c>
      <c r="K12">
        <f>IF('Input Scenarios'!K33&lt;&gt;"", 'Input Scenarios'!K33,_xlfn.XLOOKUP($F12,Constants!$A$2:$A$5,Constants!D$2:D$5))</f>
        <v>0.19</v>
      </c>
      <c r="L12">
        <f>IF('Input Scenarios'!L33&lt;&gt;"", 'Input Scenarios'!L33,_xlfn.XLOOKUP($F12,Constants!$A$2:$A$5,Constants!E$2:E$5))</f>
        <v>0.32</v>
      </c>
      <c r="M12">
        <f>'Input Scenarios'!M33</f>
        <v>0.1</v>
      </c>
      <c r="N12">
        <f>'Input Scenarios'!N33</f>
        <v>0.2</v>
      </c>
      <c r="O12">
        <f>'Input Scenarios'!O33</f>
        <v>0.3</v>
      </c>
      <c r="P12">
        <f>'Input Scenarios'!P33</f>
        <v>0.4</v>
      </c>
      <c r="Q12">
        <f>'Input Scenarios'!Q33</f>
        <v>0.5</v>
      </c>
      <c r="R12">
        <f>'Input Scenarios'!R33</f>
        <v>0.5</v>
      </c>
      <c r="S12">
        <f>'Input Scenarios'!S33</f>
        <v>0</v>
      </c>
      <c r="T12">
        <f>'Input Scenarios'!T33</f>
        <v>0</v>
      </c>
      <c r="U12">
        <f>'Input Scenarios'!U33</f>
        <v>0</v>
      </c>
      <c r="V12">
        <f>'Input Scenarios'!V33</f>
        <v>0</v>
      </c>
      <c r="W12">
        <f>'Input Scenarios'!W33</f>
        <v>0</v>
      </c>
      <c r="X12">
        <f>'Input Scenarios'!X33</f>
        <v>0.75</v>
      </c>
      <c r="Y12">
        <f>'Input Scenarios'!Y33</f>
        <v>0.25</v>
      </c>
      <c r="Z12">
        <f>'Input Scenarios'!Z33</f>
        <v>0</v>
      </c>
      <c r="AA12">
        <f>'Input Scenarios'!AA33</f>
        <v>0</v>
      </c>
      <c r="AB12">
        <f>'Input Scenarios'!AB33</f>
        <v>0</v>
      </c>
      <c r="AC12">
        <f>'Input Scenarios'!AC33</f>
        <v>0</v>
      </c>
      <c r="AD12">
        <f>'Input Scenarios'!AD33</f>
        <v>0</v>
      </c>
      <c r="AE12">
        <f>'Input Scenarios'!AE33</f>
        <v>1</v>
      </c>
      <c r="AF12">
        <f>IF(F12="", "",_xlfn.XLOOKUP(F12,Constants!$A$2:$A$5,Constants!F$2:F$5))</f>
        <v>0.18</v>
      </c>
      <c r="AG12">
        <f>Constants!$C$9</f>
        <v>0.3</v>
      </c>
      <c r="AH12">
        <f>Constants!$C$10</f>
        <v>0.05</v>
      </c>
      <c r="AI12">
        <f>Constants!$C$11</f>
        <v>0.4</v>
      </c>
      <c r="AJ12">
        <f>Constants!$C$16</f>
        <v>0</v>
      </c>
      <c r="AK12">
        <f>Constants!$D$9</f>
        <v>1E-3</v>
      </c>
      <c r="AL12">
        <f>Constants!$D$10</f>
        <v>1E-3</v>
      </c>
      <c r="AM12">
        <f>Constants!$D$11</f>
        <v>1E-3</v>
      </c>
      <c r="AN12">
        <f>Constants!$D$16</f>
        <v>0</v>
      </c>
      <c r="AO12">
        <f>Constants!$C$12</f>
        <v>0.2</v>
      </c>
      <c r="AP12">
        <f>Constants!$C$13</f>
        <v>0.2</v>
      </c>
      <c r="AQ12">
        <f>Constants!$C$15</f>
        <v>0</v>
      </c>
      <c r="AR12">
        <f>Constants!$C$14</f>
        <v>0</v>
      </c>
      <c r="AS12" t="str">
        <f>Constants!$C$17</f>
        <v>N/A</v>
      </c>
      <c r="AT12">
        <f>Constants!$D$12</f>
        <v>5.0000000000000001E-3</v>
      </c>
      <c r="AU12">
        <f>Constants!$D$13</f>
        <v>0.01</v>
      </c>
      <c r="AV12">
        <f>Constants!$D$15</f>
        <v>0</v>
      </c>
      <c r="AW12">
        <f>Constants!$D$14</f>
        <v>0</v>
      </c>
      <c r="AX12" t="str">
        <f>Constants!$D$17</f>
        <v>N/A</v>
      </c>
      <c r="AY12">
        <f t="shared" ref="AY12:AY26" si="4">I12*K12/6.25</f>
        <v>3.0400000000000006E-3</v>
      </c>
      <c r="AZ12">
        <f t="shared" ref="AZ12:AZ26" si="5">AY12*(1-L12)</f>
        <v>2.0672000000000004E-3</v>
      </c>
      <c r="BA12">
        <f t="shared" si="0"/>
        <v>516.80000000000007</v>
      </c>
      <c r="BB12">
        <f t="shared" si="1"/>
        <v>51.680000000000007</v>
      </c>
      <c r="BC12">
        <f t="shared" si="1"/>
        <v>103.36000000000001</v>
      </c>
      <c r="BD12">
        <f t="shared" si="1"/>
        <v>155.04000000000002</v>
      </c>
      <c r="BE12">
        <f t="shared" si="1"/>
        <v>206.72000000000003</v>
      </c>
      <c r="BF12">
        <f t="shared" si="2"/>
        <v>36.124320000000004</v>
      </c>
      <c r="BG12">
        <f t="shared" si="2"/>
        <v>98.088640000000012</v>
      </c>
      <c r="BH12">
        <f t="shared" si="2"/>
        <v>92.868960000000015</v>
      </c>
      <c r="BI12">
        <f t="shared" si="3"/>
        <v>18.062160000000002</v>
      </c>
      <c r="BJ12">
        <f t="shared" ref="BJ12:BJ26" si="6">IF(E12, 1, 0)</f>
        <v>1</v>
      </c>
      <c r="BK12">
        <f>Constants!$M$2</f>
        <v>0.02</v>
      </c>
      <c r="BL12">
        <f t="shared" ref="BL12:BL26" si="7">BI12*BJ12*BK12</f>
        <v>0.36124320000000004</v>
      </c>
      <c r="BM12">
        <f t="shared" ref="BM12:BM26" si="8">BE12*BJ12*BK12</f>
        <v>4.1344000000000003</v>
      </c>
      <c r="BN12">
        <f>Constants!$L$2</f>
        <v>1.0999999999999999E-2</v>
      </c>
      <c r="BO12">
        <f>IF(BJ12="","",Constants!$J$2)</f>
        <v>1.57</v>
      </c>
      <c r="BP12">
        <f t="shared" ref="BP12:BQ26" si="9">BL12*$BN12*$BO12</f>
        <v>6.2386700640000006E-3</v>
      </c>
      <c r="BQ12">
        <f t="shared" si="9"/>
        <v>7.1401088000000001E-2</v>
      </c>
    </row>
    <row r="13" spans="1:70" x14ac:dyDescent="0.2">
      <c r="A13" t="str">
        <f>'Input Scenarios'!A34</f>
        <v>NSW</v>
      </c>
      <c r="B13">
        <f>'Input Scenarios'!B34</f>
        <v>13</v>
      </c>
      <c r="C13" t="str">
        <f>'Input Scenarios'!C34</f>
        <v>Non-irrigated pasture</v>
      </c>
      <c r="D13" t="str">
        <f>'Input Scenarios'!D34</f>
        <v>wet</v>
      </c>
      <c r="E13" t="b">
        <f>'Input Scenarios'!E34</f>
        <v>1</v>
      </c>
      <c r="F13" t="str">
        <f>'Input Scenarios'!F34</f>
        <v>meatChickenGrowers</v>
      </c>
      <c r="G13">
        <f>'Input Scenarios'!G34</f>
        <v>5000</v>
      </c>
      <c r="H13">
        <f>'Input Scenarios'!H34</f>
        <v>50</v>
      </c>
      <c r="I13">
        <f>IF('Input Scenarios'!I34&lt;&gt;"", 'Input Scenarios'!I34,_xlfn.XLOOKUP($F13,Constants!$A$2:$A$5,Constants!B$2:B$5))</f>
        <v>0.09</v>
      </c>
      <c r="J13">
        <f>IF('Input Scenarios'!J34&lt;&gt;"", 'Input Scenarios'!J34,_xlfn.XLOOKUP($F13,Constants!$A$2:$A$5,Constants!C$2:C$5))</f>
        <v>0.8</v>
      </c>
      <c r="K13">
        <f>IF('Input Scenarios'!K34&lt;&gt;"", 'Input Scenarios'!K34,_xlfn.XLOOKUP($F13,Constants!$A$2:$A$5,Constants!D$2:D$5))</f>
        <v>0.25</v>
      </c>
      <c r="L13">
        <f>IF('Input Scenarios'!L34&lt;&gt;"", 'Input Scenarios'!L34,_xlfn.XLOOKUP($F13,Constants!$A$2:$A$5,Constants!E$2:E$5))</f>
        <v>0.47</v>
      </c>
      <c r="M13">
        <f>'Input Scenarios'!M34</f>
        <v>0.1</v>
      </c>
      <c r="N13">
        <f>'Input Scenarios'!N34</f>
        <v>0.2</v>
      </c>
      <c r="O13">
        <f>'Input Scenarios'!O34</f>
        <v>0.3</v>
      </c>
      <c r="P13">
        <f>'Input Scenarios'!P34</f>
        <v>0.4</v>
      </c>
      <c r="Q13">
        <f>'Input Scenarios'!Q34</f>
        <v>0.5</v>
      </c>
      <c r="R13">
        <f>'Input Scenarios'!R34</f>
        <v>0.5</v>
      </c>
      <c r="S13">
        <f>'Input Scenarios'!S34</f>
        <v>0</v>
      </c>
      <c r="T13">
        <f>'Input Scenarios'!T34</f>
        <v>0</v>
      </c>
      <c r="U13">
        <f>'Input Scenarios'!U34</f>
        <v>0</v>
      </c>
      <c r="V13">
        <f>'Input Scenarios'!V34</f>
        <v>0</v>
      </c>
      <c r="W13">
        <f>'Input Scenarios'!W34</f>
        <v>0</v>
      </c>
      <c r="X13">
        <f>'Input Scenarios'!X34</f>
        <v>0.75</v>
      </c>
      <c r="Y13">
        <f>'Input Scenarios'!Y34</f>
        <v>0.25</v>
      </c>
      <c r="Z13">
        <f>'Input Scenarios'!Z34</f>
        <v>0</v>
      </c>
      <c r="AA13">
        <f>'Input Scenarios'!AA34</f>
        <v>0</v>
      </c>
      <c r="AB13">
        <f>'Input Scenarios'!AB34</f>
        <v>0</v>
      </c>
      <c r="AC13">
        <f>'Input Scenarios'!AC34</f>
        <v>0</v>
      </c>
      <c r="AD13">
        <f>'Input Scenarios'!AD34</f>
        <v>0</v>
      </c>
      <c r="AE13">
        <f>'Input Scenarios'!AE34</f>
        <v>1</v>
      </c>
      <c r="AF13">
        <f>IF(F13="", "",_xlfn.XLOOKUP(F13,Constants!$A$2:$A$5,Constants!F$2:F$5))</f>
        <v>0.15</v>
      </c>
      <c r="AG13">
        <f>Constants!$C$9</f>
        <v>0.3</v>
      </c>
      <c r="AH13">
        <f>Constants!$C$10</f>
        <v>0.05</v>
      </c>
      <c r="AI13">
        <f>Constants!$C$11</f>
        <v>0.4</v>
      </c>
      <c r="AJ13">
        <f>Constants!$C$16</f>
        <v>0</v>
      </c>
      <c r="AK13">
        <f>Constants!$D$9</f>
        <v>1E-3</v>
      </c>
      <c r="AL13">
        <f>Constants!$D$10</f>
        <v>1E-3</v>
      </c>
      <c r="AM13">
        <f>Constants!$D$11</f>
        <v>1E-3</v>
      </c>
      <c r="AN13">
        <f>Constants!$D$16</f>
        <v>0</v>
      </c>
      <c r="AO13">
        <f>Constants!$C$12</f>
        <v>0.2</v>
      </c>
      <c r="AP13">
        <f>Constants!$C$13</f>
        <v>0.2</v>
      </c>
      <c r="AQ13">
        <f>Constants!$C$15</f>
        <v>0</v>
      </c>
      <c r="AR13">
        <f>Constants!$C$14</f>
        <v>0</v>
      </c>
      <c r="AS13" t="str">
        <f>Constants!$C$17</f>
        <v>N/A</v>
      </c>
      <c r="AT13">
        <f>Constants!$D$12</f>
        <v>5.0000000000000001E-3</v>
      </c>
      <c r="AU13">
        <f>Constants!$D$13</f>
        <v>0.01</v>
      </c>
      <c r="AV13">
        <f>Constants!$D$15</f>
        <v>0</v>
      </c>
      <c r="AW13">
        <f>Constants!$D$14</f>
        <v>0</v>
      </c>
      <c r="AX13" t="str">
        <f>Constants!$D$17</f>
        <v>N/A</v>
      </c>
      <c r="AY13">
        <f t="shared" si="4"/>
        <v>3.5999999999999999E-3</v>
      </c>
      <c r="AZ13">
        <f t="shared" si="5"/>
        <v>1.908E-3</v>
      </c>
      <c r="BA13">
        <f t="shared" si="0"/>
        <v>476.99999999999994</v>
      </c>
      <c r="BB13">
        <f t="shared" si="1"/>
        <v>47.699999999999996</v>
      </c>
      <c r="BC13">
        <f t="shared" si="1"/>
        <v>95.399999999999991</v>
      </c>
      <c r="BD13">
        <f t="shared" si="1"/>
        <v>143.09999999999997</v>
      </c>
      <c r="BE13">
        <f t="shared" si="1"/>
        <v>190.79999999999998</v>
      </c>
      <c r="BF13">
        <f t="shared" si="2"/>
        <v>33.342299999999994</v>
      </c>
      <c r="BG13">
        <f t="shared" si="2"/>
        <v>90.534599999999983</v>
      </c>
      <c r="BH13">
        <f t="shared" si="2"/>
        <v>85.716899999999981</v>
      </c>
      <c r="BI13">
        <f t="shared" si="3"/>
        <v>16.671149999999997</v>
      </c>
      <c r="BJ13">
        <f t="shared" si="6"/>
        <v>1</v>
      </c>
      <c r="BK13">
        <f>Constants!$M$2</f>
        <v>0.02</v>
      </c>
      <c r="BL13">
        <f t="shared" si="7"/>
        <v>0.33342299999999997</v>
      </c>
      <c r="BM13">
        <f t="shared" si="8"/>
        <v>3.8159999999999998</v>
      </c>
      <c r="BN13">
        <f>Constants!$L$2</f>
        <v>1.0999999999999999E-2</v>
      </c>
      <c r="BO13">
        <f>IF(BJ13="","",Constants!$J$2)</f>
        <v>1.57</v>
      </c>
      <c r="BP13">
        <f t="shared" si="9"/>
        <v>5.7582152099999997E-3</v>
      </c>
      <c r="BQ13">
        <f t="shared" si="9"/>
        <v>6.5902319999999986E-2</v>
      </c>
    </row>
    <row r="14" spans="1:70" x14ac:dyDescent="0.2">
      <c r="A14" t="str">
        <f>'Input Scenarios'!A35</f>
        <v>NSW</v>
      </c>
      <c r="B14">
        <f>'Input Scenarios'!B35</f>
        <v>13</v>
      </c>
      <c r="C14" t="str">
        <f>'Input Scenarios'!C35</f>
        <v>Non-irrigated pasture</v>
      </c>
      <c r="D14" t="str">
        <f>'Input Scenarios'!D35</f>
        <v>wet</v>
      </c>
      <c r="E14" t="b">
        <f>'Input Scenarios'!E35</f>
        <v>1</v>
      </c>
      <c r="F14" t="str">
        <f>'Input Scenarios'!F35</f>
        <v>meatOther</v>
      </c>
      <c r="G14">
        <f>'Input Scenarios'!G35</f>
        <v>5000</v>
      </c>
      <c r="H14">
        <f>'Input Scenarios'!H35</f>
        <v>50</v>
      </c>
      <c r="I14">
        <f>IF('Input Scenarios'!I35&lt;&gt;"", 'Input Scenarios'!I35,_xlfn.XLOOKUP($F14,Constants!$A$2:$A$5,Constants!B$2:B$5))</f>
        <v>0.08</v>
      </c>
      <c r="J14">
        <f>IF('Input Scenarios'!J35&lt;&gt;"", 'Input Scenarios'!J35,_xlfn.XLOOKUP($F14,Constants!$A$2:$A$5,Constants!C$2:C$5))</f>
        <v>0.8</v>
      </c>
      <c r="K14">
        <f>IF('Input Scenarios'!K35&lt;&gt;"", 'Input Scenarios'!K35,_xlfn.XLOOKUP($F14,Constants!$A$2:$A$5,Constants!D$2:D$5))</f>
        <v>0.23</v>
      </c>
      <c r="L14">
        <f>IF('Input Scenarios'!L35&lt;&gt;"", 'Input Scenarios'!L35,_xlfn.XLOOKUP($F14,Constants!$A$2:$A$5,Constants!E$2:E$5))</f>
        <v>0.47</v>
      </c>
      <c r="M14">
        <f>'Input Scenarios'!M35</f>
        <v>0.1</v>
      </c>
      <c r="N14">
        <f>'Input Scenarios'!N35</f>
        <v>0.2</v>
      </c>
      <c r="O14">
        <f>'Input Scenarios'!O35</f>
        <v>0.3</v>
      </c>
      <c r="P14">
        <f>'Input Scenarios'!P35</f>
        <v>0.4</v>
      </c>
      <c r="Q14">
        <f>'Input Scenarios'!Q35</f>
        <v>0.5</v>
      </c>
      <c r="R14">
        <f>'Input Scenarios'!R35</f>
        <v>0.5</v>
      </c>
      <c r="S14">
        <f>'Input Scenarios'!S35</f>
        <v>0</v>
      </c>
      <c r="T14">
        <f>'Input Scenarios'!T35</f>
        <v>0</v>
      </c>
      <c r="U14">
        <f>'Input Scenarios'!U35</f>
        <v>0</v>
      </c>
      <c r="V14">
        <f>'Input Scenarios'!V35</f>
        <v>0</v>
      </c>
      <c r="W14">
        <f>'Input Scenarios'!W35</f>
        <v>0</v>
      </c>
      <c r="X14">
        <f>'Input Scenarios'!X35</f>
        <v>0.75</v>
      </c>
      <c r="Y14">
        <f>'Input Scenarios'!Y35</f>
        <v>0.25</v>
      </c>
      <c r="Z14">
        <f>'Input Scenarios'!Z35</f>
        <v>0</v>
      </c>
      <c r="AA14">
        <f>'Input Scenarios'!AA35</f>
        <v>0</v>
      </c>
      <c r="AB14">
        <f>'Input Scenarios'!AB35</f>
        <v>0</v>
      </c>
      <c r="AC14">
        <f>'Input Scenarios'!AC35</f>
        <v>0</v>
      </c>
      <c r="AD14">
        <f>'Input Scenarios'!AD35</f>
        <v>0</v>
      </c>
      <c r="AE14">
        <f>'Input Scenarios'!AE35</f>
        <v>1</v>
      </c>
      <c r="AF14">
        <f>IF(F14="", "",_xlfn.XLOOKUP(F14,Constants!$A$2:$A$5,Constants!F$2:F$5))</f>
        <v>0.15</v>
      </c>
      <c r="AG14">
        <f>Constants!$C$9</f>
        <v>0.3</v>
      </c>
      <c r="AH14">
        <f>Constants!$C$10</f>
        <v>0.05</v>
      </c>
      <c r="AI14">
        <f>Constants!$C$11</f>
        <v>0.4</v>
      </c>
      <c r="AJ14">
        <f>Constants!$C$16</f>
        <v>0</v>
      </c>
      <c r="AK14">
        <f>Constants!$D$9</f>
        <v>1E-3</v>
      </c>
      <c r="AL14">
        <f>Constants!$D$10</f>
        <v>1E-3</v>
      </c>
      <c r="AM14">
        <f>Constants!$D$11</f>
        <v>1E-3</v>
      </c>
      <c r="AN14">
        <f>Constants!$D$16</f>
        <v>0</v>
      </c>
      <c r="AO14">
        <f>Constants!$C$12</f>
        <v>0.2</v>
      </c>
      <c r="AP14">
        <f>Constants!$C$13</f>
        <v>0.2</v>
      </c>
      <c r="AQ14">
        <f>Constants!$C$15</f>
        <v>0</v>
      </c>
      <c r="AR14">
        <f>Constants!$C$14</f>
        <v>0</v>
      </c>
      <c r="AS14" t="str">
        <f>Constants!$C$17</f>
        <v>N/A</v>
      </c>
      <c r="AT14">
        <f>Constants!$D$12</f>
        <v>5.0000000000000001E-3</v>
      </c>
      <c r="AU14">
        <f>Constants!$D$13</f>
        <v>0.01</v>
      </c>
      <c r="AV14">
        <f>Constants!$D$15</f>
        <v>0</v>
      </c>
      <c r="AW14">
        <f>Constants!$D$14</f>
        <v>0</v>
      </c>
      <c r="AX14" t="str">
        <f>Constants!$D$17</f>
        <v>N/A</v>
      </c>
      <c r="AY14">
        <f t="shared" si="4"/>
        <v>2.944E-3</v>
      </c>
      <c r="AZ14">
        <f t="shared" si="5"/>
        <v>1.56032E-3</v>
      </c>
      <c r="BA14">
        <f t="shared" si="0"/>
        <v>390.08000000000004</v>
      </c>
      <c r="BB14">
        <f t="shared" si="1"/>
        <v>39.00800000000001</v>
      </c>
      <c r="BC14">
        <f t="shared" si="1"/>
        <v>78.01600000000002</v>
      </c>
      <c r="BD14">
        <f t="shared" si="1"/>
        <v>117.024</v>
      </c>
      <c r="BE14">
        <f t="shared" si="1"/>
        <v>156.03200000000004</v>
      </c>
      <c r="BF14">
        <f t="shared" si="2"/>
        <v>27.266592000000006</v>
      </c>
      <c r="BG14">
        <f t="shared" si="2"/>
        <v>74.037184000000011</v>
      </c>
      <c r="BH14">
        <f t="shared" si="2"/>
        <v>70.097375999999997</v>
      </c>
      <c r="BI14">
        <f t="shared" si="3"/>
        <v>13.633296000000003</v>
      </c>
      <c r="BJ14">
        <f t="shared" si="6"/>
        <v>1</v>
      </c>
      <c r="BK14">
        <f>Constants!$M$2</f>
        <v>0.02</v>
      </c>
      <c r="BL14">
        <f t="shared" si="7"/>
        <v>0.27266592000000006</v>
      </c>
      <c r="BM14">
        <f t="shared" si="8"/>
        <v>3.1206400000000007</v>
      </c>
      <c r="BN14">
        <f>Constants!$L$2</f>
        <v>1.0999999999999999E-2</v>
      </c>
      <c r="BO14">
        <f>IF(BJ14="","",Constants!$J$2)</f>
        <v>1.57</v>
      </c>
      <c r="BP14">
        <f t="shared" si="9"/>
        <v>4.7089404384000012E-3</v>
      </c>
      <c r="BQ14">
        <f t="shared" si="9"/>
        <v>5.3893452800000005E-2</v>
      </c>
    </row>
    <row r="15" spans="1:70" s="11" customFormat="1" x14ac:dyDescent="0.2">
      <c r="A15" t="str">
        <f>'Input Scenarios'!A36</f>
        <v>QLD</v>
      </c>
      <c r="B15">
        <f>'Input Scenarios'!B36</f>
        <v>15</v>
      </c>
      <c r="C15" t="str">
        <f>'Input Scenarios'!C36</f>
        <v>Irrigated crop</v>
      </c>
      <c r="D15" t="str">
        <f>'Input Scenarios'!D36</f>
        <v>dry</v>
      </c>
      <c r="E15" t="b">
        <f>'Input Scenarios'!E36</f>
        <v>1</v>
      </c>
      <c r="F15" t="str">
        <f>'Input Scenarios'!F36</f>
        <v>layers</v>
      </c>
      <c r="G15">
        <f>'Input Scenarios'!G36</f>
        <v>2250</v>
      </c>
      <c r="H15">
        <f>'Input Scenarios'!H36</f>
        <v>125</v>
      </c>
      <c r="I15">
        <f>IF('Input Scenarios'!I36&lt;&gt;"", 'Input Scenarios'!I36,_xlfn.XLOOKUP($F15,Constants!$A$2:$A$5,Constants!B$2:B$5))</f>
        <v>0.06</v>
      </c>
      <c r="J15">
        <f>IF('Input Scenarios'!J36&lt;&gt;"", 'Input Scenarios'!J36,_xlfn.XLOOKUP($F15,Constants!$A$2:$A$5,Constants!C$2:C$5))</f>
        <v>0.9</v>
      </c>
      <c r="K15">
        <f>IF('Input Scenarios'!K36&lt;&gt;"", 'Input Scenarios'!K36,_xlfn.XLOOKUP($F15,Constants!$A$2:$A$5,Constants!D$2:D$5))</f>
        <v>0.24</v>
      </c>
      <c r="L15">
        <f>IF('Input Scenarios'!L36&lt;&gt;"", 'Input Scenarios'!L36,_xlfn.XLOOKUP($F15,Constants!$A$2:$A$5,Constants!E$2:E$5))</f>
        <v>0.35</v>
      </c>
      <c r="M15">
        <f>'Input Scenarios'!M36</f>
        <v>0.4</v>
      </c>
      <c r="N15">
        <f>'Input Scenarios'!N36</f>
        <v>0.3</v>
      </c>
      <c r="O15">
        <f>'Input Scenarios'!O36</f>
        <v>0.2</v>
      </c>
      <c r="P15">
        <f>'Input Scenarios'!P36</f>
        <v>0.1</v>
      </c>
      <c r="Q15">
        <f>'Input Scenarios'!Q36</f>
        <v>0.2</v>
      </c>
      <c r="R15">
        <f>'Input Scenarios'!R36</f>
        <v>0.25</v>
      </c>
      <c r="S15">
        <f>'Input Scenarios'!S36</f>
        <v>0.2</v>
      </c>
      <c r="T15">
        <f>'Input Scenarios'!T36</f>
        <v>0.25</v>
      </c>
      <c r="U15">
        <f>'Input Scenarios'!U36</f>
        <v>0.1</v>
      </c>
      <c r="V15">
        <f>'Input Scenarios'!V36</f>
        <v>0.34</v>
      </c>
      <c r="W15">
        <f>'Input Scenarios'!W36</f>
        <v>0.6</v>
      </c>
      <c r="X15">
        <f>'Input Scenarios'!X36</f>
        <v>0</v>
      </c>
      <c r="Y15">
        <f>'Input Scenarios'!Y36</f>
        <v>0</v>
      </c>
      <c r="Z15">
        <f>'Input Scenarios'!Z36</f>
        <v>0.06</v>
      </c>
      <c r="AA15">
        <f>'Input Scenarios'!AA36</f>
        <v>0.5</v>
      </c>
      <c r="AB15">
        <f>'Input Scenarios'!AB36</f>
        <v>0.25</v>
      </c>
      <c r="AC15">
        <f>'Input Scenarios'!AC36</f>
        <v>0.25</v>
      </c>
      <c r="AD15">
        <f>'Input Scenarios'!AD36</f>
        <v>0</v>
      </c>
      <c r="AE15">
        <f>'Input Scenarios'!AE36</f>
        <v>0</v>
      </c>
      <c r="AF15">
        <f>IF(F15="", "",_xlfn.XLOOKUP(F15,Constants!$A$2:$A$5,Constants!F$2:F$5))</f>
        <v>0.18</v>
      </c>
      <c r="AG15">
        <f>Constants!$C$9</f>
        <v>0.3</v>
      </c>
      <c r="AH15">
        <f>Constants!$C$10</f>
        <v>0.05</v>
      </c>
      <c r="AI15">
        <f>Constants!$C$11</f>
        <v>0.4</v>
      </c>
      <c r="AJ15">
        <f>Constants!$C$16</f>
        <v>0</v>
      </c>
      <c r="AK15">
        <f>Constants!$D$9</f>
        <v>1E-3</v>
      </c>
      <c r="AL15">
        <f>Constants!$D$10</f>
        <v>1E-3</v>
      </c>
      <c r="AM15">
        <f>Constants!$D$11</f>
        <v>1E-3</v>
      </c>
      <c r="AN15">
        <f>Constants!$D$16</f>
        <v>0</v>
      </c>
      <c r="AO15">
        <f>Constants!$C$12</f>
        <v>0.2</v>
      </c>
      <c r="AP15">
        <f>Constants!$C$13</f>
        <v>0.2</v>
      </c>
      <c r="AQ15">
        <f>Constants!$C$15</f>
        <v>0</v>
      </c>
      <c r="AR15">
        <f>Constants!$C$14</f>
        <v>0</v>
      </c>
      <c r="AS15" t="str">
        <f>Constants!$C$17</f>
        <v>N/A</v>
      </c>
      <c r="AT15">
        <f>Constants!$D$12</f>
        <v>5.0000000000000001E-3</v>
      </c>
      <c r="AU15">
        <f>Constants!$D$13</f>
        <v>0.01</v>
      </c>
      <c r="AV15">
        <f>Constants!$D$15</f>
        <v>0</v>
      </c>
      <c r="AW15">
        <f>Constants!$D$14</f>
        <v>0</v>
      </c>
      <c r="AX15" t="str">
        <f>Constants!$D$17</f>
        <v>N/A</v>
      </c>
      <c r="AY15">
        <f t="shared" si="4"/>
        <v>2.3040000000000001E-3</v>
      </c>
      <c r="AZ15">
        <f t="shared" si="5"/>
        <v>1.4976000000000002E-3</v>
      </c>
      <c r="BA15">
        <f t="shared" si="0"/>
        <v>421.2000000000001</v>
      </c>
      <c r="BB15">
        <f t="shared" si="1"/>
        <v>168.48000000000005</v>
      </c>
      <c r="BC15">
        <f t="shared" si="1"/>
        <v>126.36000000000003</v>
      </c>
      <c r="BD15">
        <f t="shared" si="1"/>
        <v>84.240000000000023</v>
      </c>
      <c r="BE15">
        <f t="shared" si="1"/>
        <v>42.120000000000012</v>
      </c>
      <c r="BF15">
        <f t="shared" si="2"/>
        <v>117.76752000000002</v>
      </c>
      <c r="BG15">
        <f t="shared" si="2"/>
        <v>119.91564000000002</v>
      </c>
      <c r="BH15">
        <f t="shared" si="2"/>
        <v>50.45976000000001</v>
      </c>
      <c r="BI15">
        <f t="shared" si="3"/>
        <v>89.554701600000016</v>
      </c>
      <c r="BJ15">
        <f t="shared" si="6"/>
        <v>1</v>
      </c>
      <c r="BK15">
        <f>Constants!$M$2</f>
        <v>0.02</v>
      </c>
      <c r="BL15">
        <f t="shared" si="7"/>
        <v>1.7910940320000004</v>
      </c>
      <c r="BM15">
        <f t="shared" si="8"/>
        <v>0.84240000000000026</v>
      </c>
      <c r="BN15">
        <f>Constants!$L$2</f>
        <v>1.0999999999999999E-2</v>
      </c>
      <c r="BO15">
        <f>IF(BJ15="","",Constants!$J$2)</f>
        <v>1.57</v>
      </c>
      <c r="BP15">
        <f t="shared" si="9"/>
        <v>3.0932193932640004E-2</v>
      </c>
      <c r="BQ15">
        <f t="shared" si="9"/>
        <v>1.4548248000000005E-2</v>
      </c>
      <c r="BR15">
        <f>SUM(BP15:BQ18)/1000</f>
        <v>2.3822227890418323E-4</v>
      </c>
    </row>
    <row r="16" spans="1:70" x14ac:dyDescent="0.2">
      <c r="A16" t="str">
        <f>'Input Scenarios'!A37</f>
        <v>QLD</v>
      </c>
      <c r="B16">
        <f>'Input Scenarios'!B37</f>
        <v>15</v>
      </c>
      <c r="C16" t="str">
        <f>'Input Scenarios'!C37</f>
        <v>Irrigated crop</v>
      </c>
      <c r="D16" t="str">
        <f>'Input Scenarios'!D37</f>
        <v>dry</v>
      </c>
      <c r="E16" t="b">
        <f>'Input Scenarios'!E37</f>
        <v>1</v>
      </c>
      <c r="F16" t="str">
        <f>'Input Scenarios'!F37</f>
        <v>meatChickenBreeder</v>
      </c>
      <c r="G16">
        <f>'Input Scenarios'!G37</f>
        <v>2250</v>
      </c>
      <c r="H16">
        <f>'Input Scenarios'!H37</f>
        <v>125</v>
      </c>
      <c r="I16">
        <f>IF('Input Scenarios'!I37&lt;&gt;"", 'Input Scenarios'!I37,_xlfn.XLOOKUP($F16,Constants!$A$2:$A$5,Constants!B$2:B$5))</f>
        <v>0.11</v>
      </c>
      <c r="J16">
        <f>IF('Input Scenarios'!J37&lt;&gt;"", 'Input Scenarios'!J37,_xlfn.XLOOKUP($F16,Constants!$A$2:$A$5,Constants!C$2:C$5))</f>
        <v>0.8</v>
      </c>
      <c r="K16">
        <f>IF('Input Scenarios'!K37&lt;&gt;"", 'Input Scenarios'!K37,_xlfn.XLOOKUP($F16,Constants!$A$2:$A$5,Constants!D$2:D$5))</f>
        <v>0.25</v>
      </c>
      <c r="L16">
        <f>IF('Input Scenarios'!L37&lt;&gt;"", 'Input Scenarios'!L37,_xlfn.XLOOKUP($F16,Constants!$A$2:$A$5,Constants!E$2:E$5))</f>
        <v>0.32</v>
      </c>
      <c r="M16">
        <f>'Input Scenarios'!M37</f>
        <v>0.4</v>
      </c>
      <c r="N16">
        <f>'Input Scenarios'!N37</f>
        <v>0.3</v>
      </c>
      <c r="O16">
        <f>'Input Scenarios'!O37</f>
        <v>0.2</v>
      </c>
      <c r="P16">
        <f>'Input Scenarios'!P37</f>
        <v>0.1</v>
      </c>
      <c r="Q16">
        <f>'Input Scenarios'!Q37</f>
        <v>0.2</v>
      </c>
      <c r="R16">
        <f>'Input Scenarios'!R37</f>
        <v>0.25</v>
      </c>
      <c r="S16">
        <f>'Input Scenarios'!S37</f>
        <v>0.2</v>
      </c>
      <c r="T16">
        <f>'Input Scenarios'!T37</f>
        <v>0.25</v>
      </c>
      <c r="U16">
        <f>'Input Scenarios'!U37</f>
        <v>0.1</v>
      </c>
      <c r="V16">
        <f>'Input Scenarios'!V37</f>
        <v>0.34</v>
      </c>
      <c r="W16">
        <f>'Input Scenarios'!W37</f>
        <v>0.6</v>
      </c>
      <c r="X16">
        <f>'Input Scenarios'!X37</f>
        <v>0</v>
      </c>
      <c r="Y16">
        <f>'Input Scenarios'!Y37</f>
        <v>0</v>
      </c>
      <c r="Z16">
        <f>'Input Scenarios'!Z37</f>
        <v>0.06</v>
      </c>
      <c r="AA16">
        <f>'Input Scenarios'!AA37</f>
        <v>0.5</v>
      </c>
      <c r="AB16">
        <f>'Input Scenarios'!AB37</f>
        <v>0.25</v>
      </c>
      <c r="AC16">
        <f>'Input Scenarios'!AC37</f>
        <v>0.25</v>
      </c>
      <c r="AD16">
        <f>'Input Scenarios'!AD37</f>
        <v>0</v>
      </c>
      <c r="AE16">
        <f>'Input Scenarios'!AE37</f>
        <v>0</v>
      </c>
      <c r="AF16">
        <f>IF(F16="", "",_xlfn.XLOOKUP(F16,Constants!$A$2:$A$5,Constants!F$2:F$5))</f>
        <v>0.18</v>
      </c>
      <c r="AG16">
        <f>Constants!$C$9</f>
        <v>0.3</v>
      </c>
      <c r="AH16">
        <f>Constants!$C$10</f>
        <v>0.05</v>
      </c>
      <c r="AI16">
        <f>Constants!$C$11</f>
        <v>0.4</v>
      </c>
      <c r="AJ16">
        <f>Constants!$C$16</f>
        <v>0</v>
      </c>
      <c r="AK16">
        <f>Constants!$D$9</f>
        <v>1E-3</v>
      </c>
      <c r="AL16">
        <f>Constants!$D$10</f>
        <v>1E-3</v>
      </c>
      <c r="AM16">
        <f>Constants!$D$11</f>
        <v>1E-3</v>
      </c>
      <c r="AN16">
        <f>Constants!$D$16</f>
        <v>0</v>
      </c>
      <c r="AO16">
        <f>Constants!$C$12</f>
        <v>0.2</v>
      </c>
      <c r="AP16">
        <f>Constants!$C$13</f>
        <v>0.2</v>
      </c>
      <c r="AQ16">
        <f>Constants!$C$15</f>
        <v>0</v>
      </c>
      <c r="AR16">
        <f>Constants!$C$14</f>
        <v>0</v>
      </c>
      <c r="AS16" t="str">
        <f>Constants!$C$17</f>
        <v>N/A</v>
      </c>
      <c r="AT16">
        <f>Constants!$D$12</f>
        <v>5.0000000000000001E-3</v>
      </c>
      <c r="AU16">
        <f>Constants!$D$13</f>
        <v>0.01</v>
      </c>
      <c r="AV16">
        <f>Constants!$D$15</f>
        <v>0</v>
      </c>
      <c r="AW16">
        <f>Constants!$D$14</f>
        <v>0</v>
      </c>
      <c r="AX16" t="str">
        <f>Constants!$D$17</f>
        <v>N/A</v>
      </c>
      <c r="AY16">
        <f t="shared" si="4"/>
        <v>4.4000000000000003E-3</v>
      </c>
      <c r="AZ16">
        <f t="shared" si="5"/>
        <v>2.9919999999999999E-3</v>
      </c>
      <c r="BA16">
        <f t="shared" si="0"/>
        <v>841.49999999999989</v>
      </c>
      <c r="BB16">
        <f t="shared" si="1"/>
        <v>336.59999999999997</v>
      </c>
      <c r="BC16">
        <f t="shared" si="1"/>
        <v>252.44999999999996</v>
      </c>
      <c r="BD16">
        <f t="shared" si="1"/>
        <v>168.29999999999998</v>
      </c>
      <c r="BE16">
        <f t="shared" si="1"/>
        <v>84.149999999999991</v>
      </c>
      <c r="BF16">
        <f t="shared" si="2"/>
        <v>235.28339999999997</v>
      </c>
      <c r="BG16">
        <f t="shared" si="2"/>
        <v>239.57504999999995</v>
      </c>
      <c r="BH16">
        <f t="shared" si="2"/>
        <v>100.81169999999999</v>
      </c>
      <c r="BI16">
        <f t="shared" si="3"/>
        <v>178.91804699999997</v>
      </c>
      <c r="BJ16">
        <f t="shared" si="6"/>
        <v>1</v>
      </c>
      <c r="BK16">
        <f>Constants!$M$2</f>
        <v>0.02</v>
      </c>
      <c r="BL16">
        <f t="shared" si="7"/>
        <v>3.5783609399999996</v>
      </c>
      <c r="BM16">
        <f t="shared" si="8"/>
        <v>1.6829999999999998</v>
      </c>
      <c r="BN16">
        <f>Constants!$L$2</f>
        <v>1.0999999999999999E-2</v>
      </c>
      <c r="BO16">
        <f>IF(BJ16="","",Constants!$J$2)</f>
        <v>1.57</v>
      </c>
      <c r="BP16">
        <f t="shared" si="9"/>
        <v>6.17982934338E-2</v>
      </c>
      <c r="BQ16">
        <f t="shared" si="9"/>
        <v>2.906541E-2</v>
      </c>
    </row>
    <row r="17" spans="1:70" x14ac:dyDescent="0.2">
      <c r="A17" t="str">
        <f>'Input Scenarios'!A38</f>
        <v>QLD</v>
      </c>
      <c r="B17">
        <f>'Input Scenarios'!B38</f>
        <v>15</v>
      </c>
      <c r="C17" t="str">
        <f>'Input Scenarios'!C38</f>
        <v>Irrigated crop</v>
      </c>
      <c r="D17" t="str">
        <f>'Input Scenarios'!D38</f>
        <v>dry</v>
      </c>
      <c r="E17" t="b">
        <f>'Input Scenarios'!E38</f>
        <v>1</v>
      </c>
      <c r="F17" t="str">
        <f>'Input Scenarios'!F38</f>
        <v>meatChickenGrowers</v>
      </c>
      <c r="G17">
        <f>'Input Scenarios'!G38</f>
        <v>2250</v>
      </c>
      <c r="H17">
        <f>'Input Scenarios'!H38</f>
        <v>125</v>
      </c>
      <c r="I17">
        <f>IF('Input Scenarios'!I38&lt;&gt;"", 'Input Scenarios'!I38,_xlfn.XLOOKUP($F17,Constants!$A$2:$A$5,Constants!B$2:B$5))</f>
        <v>7.9000000000000001E-2</v>
      </c>
      <c r="J17">
        <f>IF('Input Scenarios'!J38&lt;&gt;"", 'Input Scenarios'!J38,_xlfn.XLOOKUP($F17,Constants!$A$2:$A$5,Constants!C$2:C$5))</f>
        <v>0.8</v>
      </c>
      <c r="K17">
        <f>IF('Input Scenarios'!K38&lt;&gt;"", 'Input Scenarios'!K38,_xlfn.XLOOKUP($F17,Constants!$A$2:$A$5,Constants!D$2:D$5))</f>
        <v>0.23</v>
      </c>
      <c r="L17">
        <f>IF('Input Scenarios'!L38&lt;&gt;"", 'Input Scenarios'!L38,_xlfn.XLOOKUP($F17,Constants!$A$2:$A$5,Constants!E$2:E$5))</f>
        <v>0.47</v>
      </c>
      <c r="M17">
        <f>'Input Scenarios'!M38</f>
        <v>0.4</v>
      </c>
      <c r="N17">
        <f>'Input Scenarios'!N38</f>
        <v>0.3</v>
      </c>
      <c r="O17">
        <f>'Input Scenarios'!O38</f>
        <v>0.2</v>
      </c>
      <c r="P17">
        <f>'Input Scenarios'!P38</f>
        <v>0.1</v>
      </c>
      <c r="Q17">
        <f>'Input Scenarios'!Q38</f>
        <v>0.2</v>
      </c>
      <c r="R17">
        <f>'Input Scenarios'!R38</f>
        <v>0.25</v>
      </c>
      <c r="S17">
        <f>'Input Scenarios'!S38</f>
        <v>0.2</v>
      </c>
      <c r="T17">
        <f>'Input Scenarios'!T38</f>
        <v>0.25</v>
      </c>
      <c r="U17">
        <f>'Input Scenarios'!U38</f>
        <v>0.1</v>
      </c>
      <c r="V17">
        <f>'Input Scenarios'!V38</f>
        <v>0.34</v>
      </c>
      <c r="W17">
        <f>'Input Scenarios'!W38</f>
        <v>0.6</v>
      </c>
      <c r="X17">
        <f>'Input Scenarios'!X38</f>
        <v>0</v>
      </c>
      <c r="Y17">
        <f>'Input Scenarios'!Y38</f>
        <v>0</v>
      </c>
      <c r="Z17">
        <f>'Input Scenarios'!Z38</f>
        <v>0.06</v>
      </c>
      <c r="AA17">
        <f>'Input Scenarios'!AA38</f>
        <v>0.5</v>
      </c>
      <c r="AB17">
        <f>'Input Scenarios'!AB38</f>
        <v>0.25</v>
      </c>
      <c r="AC17">
        <f>'Input Scenarios'!AC38</f>
        <v>0.25</v>
      </c>
      <c r="AD17">
        <f>'Input Scenarios'!AD38</f>
        <v>0</v>
      </c>
      <c r="AE17">
        <f>'Input Scenarios'!AE38</f>
        <v>0</v>
      </c>
      <c r="AF17">
        <f>IF(F17="", "",_xlfn.XLOOKUP(F17,Constants!$A$2:$A$5,Constants!F$2:F$5))</f>
        <v>0.15</v>
      </c>
      <c r="AG17">
        <f>Constants!$C$9</f>
        <v>0.3</v>
      </c>
      <c r="AH17">
        <f>Constants!$C$10</f>
        <v>0.05</v>
      </c>
      <c r="AI17">
        <f>Constants!$C$11</f>
        <v>0.4</v>
      </c>
      <c r="AJ17">
        <f>Constants!$C$16</f>
        <v>0</v>
      </c>
      <c r="AK17">
        <f>Constants!$D$9</f>
        <v>1E-3</v>
      </c>
      <c r="AL17">
        <f>Constants!$D$10</f>
        <v>1E-3</v>
      </c>
      <c r="AM17">
        <f>Constants!$D$11</f>
        <v>1E-3</v>
      </c>
      <c r="AN17">
        <f>Constants!$D$16</f>
        <v>0</v>
      </c>
      <c r="AO17">
        <f>Constants!$C$12</f>
        <v>0.2</v>
      </c>
      <c r="AP17">
        <f>Constants!$C$13</f>
        <v>0.2</v>
      </c>
      <c r="AQ17">
        <f>Constants!$C$15</f>
        <v>0</v>
      </c>
      <c r="AR17">
        <f>Constants!$C$14</f>
        <v>0</v>
      </c>
      <c r="AS17" t="str">
        <f>Constants!$C$17</f>
        <v>N/A</v>
      </c>
      <c r="AT17">
        <f>Constants!$D$12</f>
        <v>5.0000000000000001E-3</v>
      </c>
      <c r="AU17">
        <f>Constants!$D$13</f>
        <v>0.01</v>
      </c>
      <c r="AV17">
        <f>Constants!$D$15</f>
        <v>0</v>
      </c>
      <c r="AW17">
        <f>Constants!$D$14</f>
        <v>0</v>
      </c>
      <c r="AX17" t="str">
        <f>Constants!$D$17</f>
        <v>N/A</v>
      </c>
      <c r="AY17">
        <f t="shared" si="4"/>
        <v>2.9072000000000004E-3</v>
      </c>
      <c r="AZ17">
        <f t="shared" si="5"/>
        <v>1.5408160000000002E-3</v>
      </c>
      <c r="BA17">
        <f t="shared" si="0"/>
        <v>433.35450000000003</v>
      </c>
      <c r="BB17">
        <f t="shared" si="1"/>
        <v>173.34180000000003</v>
      </c>
      <c r="BC17">
        <f t="shared" si="1"/>
        <v>130.00635</v>
      </c>
      <c r="BD17">
        <f t="shared" si="1"/>
        <v>86.670900000000017</v>
      </c>
      <c r="BE17">
        <f t="shared" si="1"/>
        <v>43.335450000000009</v>
      </c>
      <c r="BF17">
        <f t="shared" si="2"/>
        <v>121.16591820000002</v>
      </c>
      <c r="BG17">
        <f t="shared" si="2"/>
        <v>123.37602614999999</v>
      </c>
      <c r="BH17">
        <f t="shared" si="2"/>
        <v>51.915869100000009</v>
      </c>
      <c r="BI17">
        <f t="shared" si="3"/>
        <v>92.138967081000004</v>
      </c>
      <c r="BJ17">
        <f t="shared" si="6"/>
        <v>1</v>
      </c>
      <c r="BK17">
        <f>Constants!$M$2</f>
        <v>0.02</v>
      </c>
      <c r="BL17">
        <f t="shared" si="7"/>
        <v>1.84277934162</v>
      </c>
      <c r="BM17">
        <f t="shared" si="8"/>
        <v>0.86670900000000017</v>
      </c>
      <c r="BN17">
        <f>Constants!$L$2</f>
        <v>1.0999999999999999E-2</v>
      </c>
      <c r="BO17">
        <f>IF(BJ17="","",Constants!$J$2)</f>
        <v>1.57</v>
      </c>
      <c r="BP17">
        <f t="shared" si="9"/>
        <v>3.1824799229777399E-2</v>
      </c>
      <c r="BQ17">
        <f t="shared" si="9"/>
        <v>1.4968064430000002E-2</v>
      </c>
    </row>
    <row r="18" spans="1:70" x14ac:dyDescent="0.2">
      <c r="A18" t="str">
        <f>'Input Scenarios'!A39</f>
        <v>QLD</v>
      </c>
      <c r="B18">
        <f>'Input Scenarios'!B39</f>
        <v>15</v>
      </c>
      <c r="C18" t="str">
        <f>'Input Scenarios'!C39</f>
        <v>Irrigated crop</v>
      </c>
      <c r="D18" t="str">
        <f>'Input Scenarios'!D39</f>
        <v>dry</v>
      </c>
      <c r="E18" t="b">
        <f>'Input Scenarios'!E39</f>
        <v>1</v>
      </c>
      <c r="F18" t="str">
        <f>'Input Scenarios'!F39</f>
        <v>meatOther</v>
      </c>
      <c r="G18">
        <f>'Input Scenarios'!G39</f>
        <v>2250</v>
      </c>
      <c r="H18">
        <f>'Input Scenarios'!H39</f>
        <v>125</v>
      </c>
      <c r="I18">
        <f>IF('Input Scenarios'!I39&lt;&gt;"", 'Input Scenarios'!I39,_xlfn.XLOOKUP($F18,Constants!$A$2:$A$5,Constants!B$2:B$5))</f>
        <v>9.2999999999999999E-2</v>
      </c>
      <c r="J18">
        <f>IF('Input Scenarios'!J39&lt;&gt;"", 'Input Scenarios'!J39,_xlfn.XLOOKUP($F18,Constants!$A$2:$A$5,Constants!C$2:C$5))</f>
        <v>0.8</v>
      </c>
      <c r="K18">
        <f>IF('Input Scenarios'!K39&lt;&gt;"", 'Input Scenarios'!K39,_xlfn.XLOOKUP($F18,Constants!$A$2:$A$5,Constants!D$2:D$5))</f>
        <v>0.23</v>
      </c>
      <c r="L18">
        <f>IF('Input Scenarios'!L39&lt;&gt;"", 'Input Scenarios'!L39,_xlfn.XLOOKUP($F18,Constants!$A$2:$A$5,Constants!E$2:E$5))</f>
        <v>0.47</v>
      </c>
      <c r="M18">
        <f>'Input Scenarios'!M39</f>
        <v>0.4</v>
      </c>
      <c r="N18">
        <f>'Input Scenarios'!N39</f>
        <v>0.3</v>
      </c>
      <c r="O18">
        <f>'Input Scenarios'!O39</f>
        <v>0.2</v>
      </c>
      <c r="P18">
        <f>'Input Scenarios'!P39</f>
        <v>0.1</v>
      </c>
      <c r="Q18">
        <f>'Input Scenarios'!Q39</f>
        <v>0.2</v>
      </c>
      <c r="R18">
        <f>'Input Scenarios'!R39</f>
        <v>0.25</v>
      </c>
      <c r="S18">
        <f>'Input Scenarios'!S39</f>
        <v>0.2</v>
      </c>
      <c r="T18">
        <f>'Input Scenarios'!T39</f>
        <v>0.25</v>
      </c>
      <c r="U18">
        <f>'Input Scenarios'!U39</f>
        <v>0.1</v>
      </c>
      <c r="V18">
        <f>'Input Scenarios'!V39</f>
        <v>0.34</v>
      </c>
      <c r="W18">
        <f>'Input Scenarios'!W39</f>
        <v>0.6</v>
      </c>
      <c r="X18">
        <f>'Input Scenarios'!X39</f>
        <v>0</v>
      </c>
      <c r="Y18">
        <f>'Input Scenarios'!Y39</f>
        <v>0</v>
      </c>
      <c r="Z18">
        <f>'Input Scenarios'!Z39</f>
        <v>0.06</v>
      </c>
      <c r="AA18">
        <f>'Input Scenarios'!AA39</f>
        <v>0.5</v>
      </c>
      <c r="AB18">
        <f>'Input Scenarios'!AB39</f>
        <v>0.25</v>
      </c>
      <c r="AC18">
        <f>'Input Scenarios'!AC39</f>
        <v>0.25</v>
      </c>
      <c r="AD18">
        <f>'Input Scenarios'!AD39</f>
        <v>0</v>
      </c>
      <c r="AE18">
        <f>'Input Scenarios'!AE39</f>
        <v>0</v>
      </c>
      <c r="AF18">
        <f>IF(F18="", "",_xlfn.XLOOKUP(F18,Constants!$A$2:$A$5,Constants!F$2:F$5))</f>
        <v>0.15</v>
      </c>
      <c r="AG18">
        <f>Constants!$C$9</f>
        <v>0.3</v>
      </c>
      <c r="AH18">
        <f>Constants!$C$10</f>
        <v>0.05</v>
      </c>
      <c r="AI18">
        <f>Constants!$C$11</f>
        <v>0.4</v>
      </c>
      <c r="AJ18">
        <f>Constants!$C$16</f>
        <v>0</v>
      </c>
      <c r="AK18">
        <f>Constants!$D$9</f>
        <v>1E-3</v>
      </c>
      <c r="AL18">
        <f>Constants!$D$10</f>
        <v>1E-3</v>
      </c>
      <c r="AM18">
        <f>Constants!$D$11</f>
        <v>1E-3</v>
      </c>
      <c r="AN18">
        <f>Constants!$D$16</f>
        <v>0</v>
      </c>
      <c r="AO18">
        <f>Constants!$C$12</f>
        <v>0.2</v>
      </c>
      <c r="AP18">
        <f>Constants!$C$13</f>
        <v>0.2</v>
      </c>
      <c r="AQ18">
        <f>Constants!$C$15</f>
        <v>0</v>
      </c>
      <c r="AR18">
        <f>Constants!$C$14</f>
        <v>0</v>
      </c>
      <c r="AS18" t="str">
        <f>Constants!$C$17</f>
        <v>N/A</v>
      </c>
      <c r="AT18">
        <f>Constants!$D$12</f>
        <v>5.0000000000000001E-3</v>
      </c>
      <c r="AU18">
        <f>Constants!$D$13</f>
        <v>0.01</v>
      </c>
      <c r="AV18">
        <f>Constants!$D$15</f>
        <v>0</v>
      </c>
      <c r="AW18">
        <f>Constants!$D$14</f>
        <v>0</v>
      </c>
      <c r="AX18" t="str">
        <f>Constants!$D$17</f>
        <v>N/A</v>
      </c>
      <c r="AY18">
        <f t="shared" si="4"/>
        <v>3.4223999999999999E-3</v>
      </c>
      <c r="AZ18">
        <f t="shared" si="5"/>
        <v>1.813872E-3</v>
      </c>
      <c r="BA18">
        <f t="shared" si="0"/>
        <v>510.1515</v>
      </c>
      <c r="BB18">
        <f t="shared" si="1"/>
        <v>204.06060000000002</v>
      </c>
      <c r="BC18">
        <f t="shared" si="1"/>
        <v>153.04544999999999</v>
      </c>
      <c r="BD18">
        <f t="shared" si="1"/>
        <v>102.03030000000001</v>
      </c>
      <c r="BE18">
        <f t="shared" si="1"/>
        <v>51.015150000000006</v>
      </c>
      <c r="BF18">
        <f t="shared" si="2"/>
        <v>142.63835940000001</v>
      </c>
      <c r="BG18">
        <f t="shared" si="2"/>
        <v>145.24013204999997</v>
      </c>
      <c r="BH18">
        <f t="shared" si="2"/>
        <v>61.116149700000001</v>
      </c>
      <c r="BI18">
        <f t="shared" si="3"/>
        <v>108.467391627</v>
      </c>
      <c r="BJ18">
        <f t="shared" si="6"/>
        <v>1</v>
      </c>
      <c r="BK18">
        <f>Constants!$M$2</f>
        <v>0.02</v>
      </c>
      <c r="BL18">
        <f t="shared" si="7"/>
        <v>2.1693478325400002</v>
      </c>
      <c r="BM18">
        <f t="shared" si="8"/>
        <v>1.0203030000000002</v>
      </c>
      <c r="BN18">
        <f>Constants!$L$2</f>
        <v>1.0999999999999999E-2</v>
      </c>
      <c r="BO18">
        <f>IF(BJ18="","",Constants!$J$2)</f>
        <v>1.57</v>
      </c>
      <c r="BP18">
        <f t="shared" si="9"/>
        <v>3.7464637067965802E-2</v>
      </c>
      <c r="BQ18">
        <f t="shared" si="9"/>
        <v>1.7620632810000005E-2</v>
      </c>
    </row>
    <row r="19" spans="1:70" x14ac:dyDescent="0.2">
      <c r="A19" t="str">
        <f>'Input Scenarios'!A40</f>
        <v>TAS</v>
      </c>
      <c r="B19">
        <f>'Input Scenarios'!B40</f>
        <v>20</v>
      </c>
      <c r="C19" t="str">
        <f>'Input Scenarios'!C40</f>
        <v>Irrigated pasture</v>
      </c>
      <c r="D19" t="str">
        <f>'Input Scenarios'!D40</f>
        <v>wet</v>
      </c>
      <c r="E19" t="b">
        <f>'Input Scenarios'!E40</f>
        <v>1</v>
      </c>
      <c r="F19" t="str">
        <f>'Input Scenarios'!F40</f>
        <v>layers</v>
      </c>
      <c r="G19">
        <f>'Input Scenarios'!G40</f>
        <v>3333</v>
      </c>
      <c r="H19">
        <f>'Input Scenarios'!H40</f>
        <v>111</v>
      </c>
      <c r="I19">
        <f>IF('Input Scenarios'!I40&lt;&gt;"", 'Input Scenarios'!I40,_xlfn.XLOOKUP($F19,Constants!$A$2:$A$5,Constants!B$2:B$5))</f>
        <v>8.5999999999999993E-2</v>
      </c>
      <c r="J19">
        <f>IF('Input Scenarios'!J40&lt;&gt;"", 'Input Scenarios'!J40,_xlfn.XLOOKUP($F19,Constants!$A$2:$A$5,Constants!C$2:C$5))</f>
        <v>0.9</v>
      </c>
      <c r="K19">
        <f>IF('Input Scenarios'!K40&lt;&gt;"", 'Input Scenarios'!K40,_xlfn.XLOOKUP($F19,Constants!$A$2:$A$5,Constants!D$2:D$5))</f>
        <v>0.18</v>
      </c>
      <c r="L19">
        <f>IF('Input Scenarios'!L40&lt;&gt;"", 'Input Scenarios'!L40,_xlfn.XLOOKUP($F19,Constants!$A$2:$A$5,Constants!E$2:E$5))</f>
        <v>0.35</v>
      </c>
      <c r="M19">
        <f>'Input Scenarios'!M40</f>
        <v>0</v>
      </c>
      <c r="N19">
        <f>'Input Scenarios'!N40</f>
        <v>0.9</v>
      </c>
      <c r="O19">
        <f>'Input Scenarios'!O40</f>
        <v>0</v>
      </c>
      <c r="P19">
        <f>'Input Scenarios'!P40</f>
        <v>0.1</v>
      </c>
      <c r="Q19">
        <f>'Input Scenarios'!Q40</f>
        <v>1</v>
      </c>
      <c r="R19">
        <f>'Input Scenarios'!R40</f>
        <v>0</v>
      </c>
      <c r="S19">
        <f>'Input Scenarios'!S40</f>
        <v>0</v>
      </c>
      <c r="T19">
        <f>'Input Scenarios'!T40</f>
        <v>0</v>
      </c>
      <c r="U19">
        <f>'Input Scenarios'!U40</f>
        <v>0</v>
      </c>
      <c r="V19">
        <f>'Input Scenarios'!V40</f>
        <v>0</v>
      </c>
      <c r="W19">
        <f>'Input Scenarios'!W40</f>
        <v>1</v>
      </c>
      <c r="X19">
        <f>'Input Scenarios'!X40</f>
        <v>0</v>
      </c>
      <c r="Y19">
        <f>'Input Scenarios'!Y40</f>
        <v>0</v>
      </c>
      <c r="Z19">
        <f>'Input Scenarios'!Z40</f>
        <v>0</v>
      </c>
      <c r="AA19">
        <f>'Input Scenarios'!AA40</f>
        <v>0</v>
      </c>
      <c r="AB19">
        <f>'Input Scenarios'!AB40</f>
        <v>0</v>
      </c>
      <c r="AC19">
        <f>'Input Scenarios'!AC40</f>
        <v>1</v>
      </c>
      <c r="AD19">
        <f>'Input Scenarios'!AD40</f>
        <v>0</v>
      </c>
      <c r="AE19">
        <f>'Input Scenarios'!AE40</f>
        <v>0</v>
      </c>
      <c r="AF19">
        <f>IF(F19="", "",_xlfn.XLOOKUP(F19,Constants!$A$2:$A$5,Constants!F$2:F$5))</f>
        <v>0.18</v>
      </c>
      <c r="AG19">
        <f>Constants!$C$9</f>
        <v>0.3</v>
      </c>
      <c r="AH19">
        <f>Constants!$C$10</f>
        <v>0.05</v>
      </c>
      <c r="AI19">
        <f>Constants!$C$11</f>
        <v>0.4</v>
      </c>
      <c r="AJ19">
        <f>Constants!$C$16</f>
        <v>0</v>
      </c>
      <c r="AK19">
        <f>Constants!$D$9</f>
        <v>1E-3</v>
      </c>
      <c r="AL19">
        <f>Constants!$D$10</f>
        <v>1E-3</v>
      </c>
      <c r="AM19">
        <f>Constants!$D$11</f>
        <v>1E-3</v>
      </c>
      <c r="AN19">
        <f>Constants!$D$16</f>
        <v>0</v>
      </c>
      <c r="AO19">
        <f>Constants!$C$12</f>
        <v>0.2</v>
      </c>
      <c r="AP19">
        <f>Constants!$C$13</f>
        <v>0.2</v>
      </c>
      <c r="AQ19">
        <f>Constants!$C$15</f>
        <v>0</v>
      </c>
      <c r="AR19">
        <f>Constants!$C$14</f>
        <v>0</v>
      </c>
      <c r="AS19" t="str">
        <f>Constants!$C$17</f>
        <v>N/A</v>
      </c>
      <c r="AT19">
        <f>Constants!$D$12</f>
        <v>5.0000000000000001E-3</v>
      </c>
      <c r="AU19">
        <f>Constants!$D$13</f>
        <v>0.01</v>
      </c>
      <c r="AV19">
        <f>Constants!$D$15</f>
        <v>0</v>
      </c>
      <c r="AW19">
        <f>Constants!$D$14</f>
        <v>0</v>
      </c>
      <c r="AX19" t="str">
        <f>Constants!$D$17</f>
        <v>N/A</v>
      </c>
      <c r="AY19">
        <f t="shared" si="4"/>
        <v>2.4767999999999999E-3</v>
      </c>
      <c r="AZ19">
        <f t="shared" si="5"/>
        <v>1.6099199999999999E-3</v>
      </c>
      <c r="BA19">
        <f t="shared" si="0"/>
        <v>595.61083295999993</v>
      </c>
      <c r="BB19">
        <f t="shared" si="1"/>
        <v>0</v>
      </c>
      <c r="BC19">
        <f t="shared" si="1"/>
        <v>536.04974966399993</v>
      </c>
      <c r="BD19">
        <f t="shared" si="1"/>
        <v>0</v>
      </c>
      <c r="BE19">
        <f t="shared" si="1"/>
        <v>59.561083295999993</v>
      </c>
      <c r="BF19">
        <f t="shared" si="2"/>
        <v>0</v>
      </c>
      <c r="BG19">
        <f t="shared" si="2"/>
        <v>508.71121243113589</v>
      </c>
      <c r="BH19">
        <f t="shared" si="2"/>
        <v>0</v>
      </c>
      <c r="BI19">
        <f t="shared" si="3"/>
        <v>0</v>
      </c>
      <c r="BJ19">
        <f t="shared" si="6"/>
        <v>1</v>
      </c>
      <c r="BK19">
        <f>Constants!$M$2</f>
        <v>0.02</v>
      </c>
      <c r="BL19">
        <f t="shared" si="7"/>
        <v>0</v>
      </c>
      <c r="BM19">
        <f t="shared" si="8"/>
        <v>1.1912216659199999</v>
      </c>
      <c r="BN19">
        <f>Constants!$L$2</f>
        <v>1.0999999999999999E-2</v>
      </c>
      <c r="BO19">
        <f>IF(BJ19="","",Constants!$J$2)</f>
        <v>1.57</v>
      </c>
      <c r="BP19">
        <f t="shared" si="9"/>
        <v>0</v>
      </c>
      <c r="BQ19">
        <f t="shared" si="9"/>
        <v>2.0572398170438398E-2</v>
      </c>
      <c r="BR19">
        <f>SUM(BP19:BQ22)/1000</f>
        <v>8.8513857415431363E-5</v>
      </c>
    </row>
    <row r="20" spans="1:70" s="11" customFormat="1" x14ac:dyDescent="0.2">
      <c r="A20" t="str">
        <f>'Input Scenarios'!A41</f>
        <v>TAS</v>
      </c>
      <c r="B20">
        <f>'Input Scenarios'!B41</f>
        <v>20</v>
      </c>
      <c r="C20" t="str">
        <f>'Input Scenarios'!C41</f>
        <v>Irrigated pasture</v>
      </c>
      <c r="D20" t="str">
        <f>'Input Scenarios'!D41</f>
        <v>wet</v>
      </c>
      <c r="E20" t="b">
        <f>'Input Scenarios'!E41</f>
        <v>1</v>
      </c>
      <c r="F20" t="str">
        <f>'Input Scenarios'!F41</f>
        <v>meatChickenBreeder</v>
      </c>
      <c r="G20">
        <f>'Input Scenarios'!G41</f>
        <v>3333</v>
      </c>
      <c r="H20">
        <f>'Input Scenarios'!H41</f>
        <v>111</v>
      </c>
      <c r="I20">
        <f>IF('Input Scenarios'!I41&lt;&gt;"", 'Input Scenarios'!I41,_xlfn.XLOOKUP($F20,Constants!$A$2:$A$5,Constants!B$2:B$5))</f>
        <v>0.10299999999999999</v>
      </c>
      <c r="J20">
        <f>IF('Input Scenarios'!J41&lt;&gt;"", 'Input Scenarios'!J41,_xlfn.XLOOKUP($F20,Constants!$A$2:$A$5,Constants!C$2:C$5))</f>
        <v>0.7</v>
      </c>
      <c r="K20">
        <f>IF('Input Scenarios'!K41&lt;&gt;"", 'Input Scenarios'!K41,_xlfn.XLOOKUP($F20,Constants!$A$2:$A$5,Constants!D$2:D$5))</f>
        <v>0.19</v>
      </c>
      <c r="L20">
        <f>IF('Input Scenarios'!L41&lt;&gt;"", 'Input Scenarios'!L41,_xlfn.XLOOKUP($F20,Constants!$A$2:$A$5,Constants!E$2:E$5))</f>
        <v>0.32</v>
      </c>
      <c r="M20">
        <f>'Input Scenarios'!M41</f>
        <v>0</v>
      </c>
      <c r="N20">
        <f>'Input Scenarios'!N41</f>
        <v>0.9</v>
      </c>
      <c r="O20">
        <f>'Input Scenarios'!O41</f>
        <v>0</v>
      </c>
      <c r="P20">
        <f>'Input Scenarios'!P41</f>
        <v>0.1</v>
      </c>
      <c r="Q20">
        <f>'Input Scenarios'!Q41</f>
        <v>1</v>
      </c>
      <c r="R20">
        <f>'Input Scenarios'!R41</f>
        <v>0</v>
      </c>
      <c r="S20">
        <f>'Input Scenarios'!S41</f>
        <v>0</v>
      </c>
      <c r="T20">
        <f>'Input Scenarios'!T41</f>
        <v>0</v>
      </c>
      <c r="U20">
        <f>'Input Scenarios'!U41</f>
        <v>0</v>
      </c>
      <c r="V20">
        <f>'Input Scenarios'!V41</f>
        <v>0</v>
      </c>
      <c r="W20">
        <f>'Input Scenarios'!W41</f>
        <v>1</v>
      </c>
      <c r="X20">
        <f>'Input Scenarios'!X41</f>
        <v>0</v>
      </c>
      <c r="Y20">
        <f>'Input Scenarios'!Y41</f>
        <v>0</v>
      </c>
      <c r="Z20">
        <f>'Input Scenarios'!Z41</f>
        <v>0</v>
      </c>
      <c r="AA20">
        <f>'Input Scenarios'!AA41</f>
        <v>0</v>
      </c>
      <c r="AB20">
        <f>'Input Scenarios'!AB41</f>
        <v>0</v>
      </c>
      <c r="AC20">
        <f>'Input Scenarios'!AC41</f>
        <v>1</v>
      </c>
      <c r="AD20">
        <f>'Input Scenarios'!AD41</f>
        <v>0</v>
      </c>
      <c r="AE20">
        <f>'Input Scenarios'!AE41</f>
        <v>0</v>
      </c>
      <c r="AF20">
        <f>IF(F20="", "",_xlfn.XLOOKUP(F20,Constants!$A$2:$A$5,Constants!F$2:F$5))</f>
        <v>0.18</v>
      </c>
      <c r="AG20">
        <f>Constants!$C$9</f>
        <v>0.3</v>
      </c>
      <c r="AH20">
        <f>Constants!$C$10</f>
        <v>0.05</v>
      </c>
      <c r="AI20">
        <f>Constants!$C$11</f>
        <v>0.4</v>
      </c>
      <c r="AJ20">
        <f>Constants!$C$16</f>
        <v>0</v>
      </c>
      <c r="AK20">
        <f>Constants!$D$9</f>
        <v>1E-3</v>
      </c>
      <c r="AL20">
        <f>Constants!$D$10</f>
        <v>1E-3</v>
      </c>
      <c r="AM20">
        <f>Constants!$D$11</f>
        <v>1E-3</v>
      </c>
      <c r="AN20">
        <f>Constants!$D$16</f>
        <v>0</v>
      </c>
      <c r="AO20">
        <f>Constants!$C$12</f>
        <v>0.2</v>
      </c>
      <c r="AP20">
        <f>Constants!$C$13</f>
        <v>0.2</v>
      </c>
      <c r="AQ20">
        <f>Constants!$C$15</f>
        <v>0</v>
      </c>
      <c r="AR20">
        <f>Constants!$C$14</f>
        <v>0</v>
      </c>
      <c r="AS20" t="str">
        <f>Constants!$C$17</f>
        <v>N/A</v>
      </c>
      <c r="AT20">
        <f>Constants!$D$12</f>
        <v>5.0000000000000001E-3</v>
      </c>
      <c r="AU20">
        <f>Constants!$D$13</f>
        <v>0.01</v>
      </c>
      <c r="AV20">
        <f>Constants!$D$15</f>
        <v>0</v>
      </c>
      <c r="AW20">
        <f>Constants!$D$14</f>
        <v>0</v>
      </c>
      <c r="AX20" t="str">
        <f>Constants!$D$17</f>
        <v>N/A</v>
      </c>
      <c r="AY20">
        <f t="shared" si="4"/>
        <v>3.1312000000000002E-3</v>
      </c>
      <c r="AZ20">
        <f t="shared" si="5"/>
        <v>2.1292159999999997E-3</v>
      </c>
      <c r="BA20">
        <f t="shared" si="0"/>
        <v>787.7311390079999</v>
      </c>
      <c r="BB20">
        <f t="shared" si="1"/>
        <v>0</v>
      </c>
      <c r="BC20">
        <f t="shared" si="1"/>
        <v>708.95802510719989</v>
      </c>
      <c r="BD20">
        <f t="shared" si="1"/>
        <v>0</v>
      </c>
      <c r="BE20">
        <f t="shared" si="1"/>
        <v>78.773113900799999</v>
      </c>
      <c r="BF20">
        <f t="shared" si="2"/>
        <v>0</v>
      </c>
      <c r="BG20">
        <f t="shared" si="2"/>
        <v>672.8011658267327</v>
      </c>
      <c r="BH20">
        <f t="shared" si="2"/>
        <v>0</v>
      </c>
      <c r="BI20">
        <f t="shared" si="3"/>
        <v>0</v>
      </c>
      <c r="BJ20">
        <f t="shared" si="6"/>
        <v>1</v>
      </c>
      <c r="BK20">
        <f>Constants!$M$2</f>
        <v>0.02</v>
      </c>
      <c r="BL20">
        <f t="shared" si="7"/>
        <v>0</v>
      </c>
      <c r="BM20">
        <f t="shared" si="8"/>
        <v>1.5754622780159999</v>
      </c>
      <c r="BN20">
        <f>Constants!$L$2</f>
        <v>1.0999999999999999E-2</v>
      </c>
      <c r="BO20">
        <f>IF(BJ20="","",Constants!$J$2)</f>
        <v>1.57</v>
      </c>
      <c r="BP20">
        <f t="shared" si="9"/>
        <v>0</v>
      </c>
      <c r="BQ20">
        <f t="shared" si="9"/>
        <v>2.7208233541336318E-2</v>
      </c>
      <c r="BR20"/>
    </row>
    <row r="21" spans="1:70" x14ac:dyDescent="0.2">
      <c r="A21" t="str">
        <f>'Input Scenarios'!A42</f>
        <v>TAS</v>
      </c>
      <c r="B21">
        <f>'Input Scenarios'!B42</f>
        <v>20</v>
      </c>
      <c r="C21" t="str">
        <f>'Input Scenarios'!C42</f>
        <v>Irrigated pasture</v>
      </c>
      <c r="D21" t="str">
        <f>'Input Scenarios'!D42</f>
        <v>wet</v>
      </c>
      <c r="E21" t="b">
        <f>'Input Scenarios'!E42</f>
        <v>1</v>
      </c>
      <c r="F21" t="str">
        <f>'Input Scenarios'!F42</f>
        <v>meatChickenGrowers</v>
      </c>
      <c r="G21">
        <f>'Input Scenarios'!G42</f>
        <v>3333</v>
      </c>
      <c r="H21">
        <f>'Input Scenarios'!H42</f>
        <v>111</v>
      </c>
      <c r="I21">
        <f>IF('Input Scenarios'!I42&lt;&gt;"", 'Input Scenarios'!I42,_xlfn.XLOOKUP($F21,Constants!$A$2:$A$5,Constants!B$2:B$5))</f>
        <v>0.09</v>
      </c>
      <c r="J21">
        <f>IF('Input Scenarios'!J42&lt;&gt;"", 'Input Scenarios'!J42,_xlfn.XLOOKUP($F21,Constants!$A$2:$A$5,Constants!C$2:C$5))</f>
        <v>0.9</v>
      </c>
      <c r="K21">
        <f>IF('Input Scenarios'!K42&lt;&gt;"", 'Input Scenarios'!K42,_xlfn.XLOOKUP($F21,Constants!$A$2:$A$5,Constants!D$2:D$5))</f>
        <v>0.18</v>
      </c>
      <c r="L21">
        <f>IF('Input Scenarios'!L42&lt;&gt;"", 'Input Scenarios'!L42,_xlfn.XLOOKUP($F21,Constants!$A$2:$A$5,Constants!E$2:E$5))</f>
        <v>0.47</v>
      </c>
      <c r="M21">
        <f>'Input Scenarios'!M42</f>
        <v>0</v>
      </c>
      <c r="N21">
        <f>'Input Scenarios'!N42</f>
        <v>0.9</v>
      </c>
      <c r="O21">
        <f>'Input Scenarios'!O42</f>
        <v>0</v>
      </c>
      <c r="P21">
        <f>'Input Scenarios'!P42</f>
        <v>0.1</v>
      </c>
      <c r="Q21">
        <f>'Input Scenarios'!Q42</f>
        <v>1</v>
      </c>
      <c r="R21">
        <f>'Input Scenarios'!R42</f>
        <v>0</v>
      </c>
      <c r="S21">
        <f>'Input Scenarios'!S42</f>
        <v>0</v>
      </c>
      <c r="T21">
        <f>'Input Scenarios'!T42</f>
        <v>0</v>
      </c>
      <c r="U21">
        <f>'Input Scenarios'!U42</f>
        <v>0</v>
      </c>
      <c r="V21">
        <f>'Input Scenarios'!V42</f>
        <v>0</v>
      </c>
      <c r="W21">
        <f>'Input Scenarios'!W42</f>
        <v>1</v>
      </c>
      <c r="X21">
        <f>'Input Scenarios'!X42</f>
        <v>0</v>
      </c>
      <c r="Y21">
        <f>'Input Scenarios'!Y42</f>
        <v>0</v>
      </c>
      <c r="Z21">
        <f>'Input Scenarios'!Z42</f>
        <v>0</v>
      </c>
      <c r="AA21">
        <f>'Input Scenarios'!AA42</f>
        <v>0</v>
      </c>
      <c r="AB21">
        <f>'Input Scenarios'!AB42</f>
        <v>0</v>
      </c>
      <c r="AC21">
        <f>'Input Scenarios'!AC42</f>
        <v>1</v>
      </c>
      <c r="AD21">
        <f>'Input Scenarios'!AD42</f>
        <v>0</v>
      </c>
      <c r="AE21">
        <f>'Input Scenarios'!AE42</f>
        <v>0</v>
      </c>
      <c r="AF21">
        <f>IF(F21="", "",_xlfn.XLOOKUP(F21,Constants!$A$2:$A$5,Constants!F$2:F$5))</f>
        <v>0.15</v>
      </c>
      <c r="AG21">
        <f>Constants!$C$9</f>
        <v>0.3</v>
      </c>
      <c r="AH21">
        <f>Constants!$C$10</f>
        <v>0.05</v>
      </c>
      <c r="AI21">
        <f>Constants!$C$11</f>
        <v>0.4</v>
      </c>
      <c r="AJ21">
        <f>Constants!$C$16</f>
        <v>0</v>
      </c>
      <c r="AK21">
        <f>Constants!$D$9</f>
        <v>1E-3</v>
      </c>
      <c r="AL21">
        <f>Constants!$D$10</f>
        <v>1E-3</v>
      </c>
      <c r="AM21">
        <f>Constants!$D$11</f>
        <v>1E-3</v>
      </c>
      <c r="AN21">
        <f>Constants!$D$16</f>
        <v>0</v>
      </c>
      <c r="AO21">
        <f>Constants!$C$12</f>
        <v>0.2</v>
      </c>
      <c r="AP21">
        <f>Constants!$C$13</f>
        <v>0.2</v>
      </c>
      <c r="AQ21">
        <f>Constants!$C$15</f>
        <v>0</v>
      </c>
      <c r="AR21">
        <f>Constants!$C$14</f>
        <v>0</v>
      </c>
      <c r="AS21" t="str">
        <f>Constants!$C$17</f>
        <v>N/A</v>
      </c>
      <c r="AT21">
        <f>Constants!$D$12</f>
        <v>5.0000000000000001E-3</v>
      </c>
      <c r="AU21">
        <f>Constants!$D$13</f>
        <v>0.01</v>
      </c>
      <c r="AV21">
        <f>Constants!$D$15</f>
        <v>0</v>
      </c>
      <c r="AW21">
        <f>Constants!$D$14</f>
        <v>0</v>
      </c>
      <c r="AX21" t="str">
        <f>Constants!$D$17</f>
        <v>N/A</v>
      </c>
      <c r="AY21">
        <f t="shared" si="4"/>
        <v>2.5919999999999997E-3</v>
      </c>
      <c r="AZ21">
        <f t="shared" si="5"/>
        <v>1.3737599999999999E-3</v>
      </c>
      <c r="BA21">
        <f t="shared" si="0"/>
        <v>508.24037087999994</v>
      </c>
      <c r="BB21">
        <f t="shared" si="1"/>
        <v>0</v>
      </c>
      <c r="BC21">
        <f t="shared" si="1"/>
        <v>457.41633379199993</v>
      </c>
      <c r="BD21">
        <f t="shared" si="1"/>
        <v>0</v>
      </c>
      <c r="BE21">
        <f t="shared" si="1"/>
        <v>50.824037087999997</v>
      </c>
      <c r="BF21">
        <f t="shared" si="2"/>
        <v>0</v>
      </c>
      <c r="BG21">
        <f t="shared" si="2"/>
        <v>434.08810076860789</v>
      </c>
      <c r="BH21">
        <f t="shared" si="2"/>
        <v>0</v>
      </c>
      <c r="BI21">
        <f t="shared" si="3"/>
        <v>0</v>
      </c>
      <c r="BJ21">
        <f t="shared" si="6"/>
        <v>1</v>
      </c>
      <c r="BK21">
        <f>Constants!$M$2</f>
        <v>0.02</v>
      </c>
      <c r="BL21">
        <f t="shared" si="7"/>
        <v>0</v>
      </c>
      <c r="BM21">
        <f t="shared" si="8"/>
        <v>1.0164807417599999</v>
      </c>
      <c r="BN21">
        <f>Constants!$L$2</f>
        <v>1.0999999999999999E-2</v>
      </c>
      <c r="BO21">
        <f>IF(BJ21="","",Constants!$J$2)</f>
        <v>1.57</v>
      </c>
      <c r="BP21">
        <f t="shared" si="9"/>
        <v>0</v>
      </c>
      <c r="BQ21">
        <f t="shared" si="9"/>
        <v>1.75546224101952E-2</v>
      </c>
    </row>
    <row r="22" spans="1:70" x14ac:dyDescent="0.2">
      <c r="A22" t="str">
        <f>'Input Scenarios'!A43</f>
        <v>TAS</v>
      </c>
      <c r="B22">
        <f>'Input Scenarios'!B43</f>
        <v>20</v>
      </c>
      <c r="C22" t="str">
        <f>'Input Scenarios'!C43</f>
        <v>Irrigated pasture</v>
      </c>
      <c r="D22" t="str">
        <f>'Input Scenarios'!D43</f>
        <v>wet</v>
      </c>
      <c r="E22" t="b">
        <f>'Input Scenarios'!E43</f>
        <v>1</v>
      </c>
      <c r="F22" t="str">
        <f>'Input Scenarios'!F43</f>
        <v>meatOther</v>
      </c>
      <c r="G22">
        <f>'Input Scenarios'!G43</f>
        <v>3333</v>
      </c>
      <c r="H22">
        <f>'Input Scenarios'!H43</f>
        <v>111</v>
      </c>
      <c r="I22">
        <f>IF('Input Scenarios'!I43&lt;&gt;"", 'Input Scenarios'!I43,_xlfn.XLOOKUP($F22,Constants!$A$2:$A$5,Constants!B$2:B$5))</f>
        <v>9.2999999999999999E-2</v>
      </c>
      <c r="J22">
        <f>IF('Input Scenarios'!J43&lt;&gt;"", 'Input Scenarios'!J43,_xlfn.XLOOKUP($F22,Constants!$A$2:$A$5,Constants!C$2:C$5))</f>
        <v>0.7</v>
      </c>
      <c r="K22">
        <f>IF('Input Scenarios'!K43&lt;&gt;"", 'Input Scenarios'!K43,_xlfn.XLOOKUP($F22,Constants!$A$2:$A$5,Constants!D$2:D$5))</f>
        <v>0.23</v>
      </c>
      <c r="L22">
        <f>IF('Input Scenarios'!L43&lt;&gt;"", 'Input Scenarios'!L43,_xlfn.XLOOKUP($F22,Constants!$A$2:$A$5,Constants!E$2:E$5))</f>
        <v>0.47</v>
      </c>
      <c r="M22">
        <f>'Input Scenarios'!M43</f>
        <v>0</v>
      </c>
      <c r="N22">
        <f>'Input Scenarios'!N43</f>
        <v>0.9</v>
      </c>
      <c r="O22">
        <f>'Input Scenarios'!O43</f>
        <v>0</v>
      </c>
      <c r="P22">
        <f>'Input Scenarios'!P43</f>
        <v>0.1</v>
      </c>
      <c r="Q22">
        <f>'Input Scenarios'!Q43</f>
        <v>1</v>
      </c>
      <c r="R22">
        <f>'Input Scenarios'!R43</f>
        <v>0</v>
      </c>
      <c r="S22">
        <f>'Input Scenarios'!S43</f>
        <v>0</v>
      </c>
      <c r="T22">
        <f>'Input Scenarios'!T43</f>
        <v>0</v>
      </c>
      <c r="U22">
        <f>'Input Scenarios'!U43</f>
        <v>0</v>
      </c>
      <c r="V22">
        <f>'Input Scenarios'!V43</f>
        <v>0</v>
      </c>
      <c r="W22">
        <f>'Input Scenarios'!W43</f>
        <v>1</v>
      </c>
      <c r="X22">
        <f>'Input Scenarios'!X43</f>
        <v>0</v>
      </c>
      <c r="Y22">
        <f>'Input Scenarios'!Y43</f>
        <v>0</v>
      </c>
      <c r="Z22">
        <f>'Input Scenarios'!Z43</f>
        <v>0</v>
      </c>
      <c r="AA22">
        <f>'Input Scenarios'!AA43</f>
        <v>0</v>
      </c>
      <c r="AB22">
        <f>'Input Scenarios'!AB43</f>
        <v>0</v>
      </c>
      <c r="AC22">
        <f>'Input Scenarios'!AC43</f>
        <v>1</v>
      </c>
      <c r="AD22">
        <f>'Input Scenarios'!AD43</f>
        <v>0</v>
      </c>
      <c r="AE22">
        <f>'Input Scenarios'!AE43</f>
        <v>0</v>
      </c>
      <c r="AF22">
        <f>IF(F22="", "",_xlfn.XLOOKUP(F22,Constants!$A$2:$A$5,Constants!F$2:F$5))</f>
        <v>0.15</v>
      </c>
      <c r="AG22">
        <f>Constants!$C$9</f>
        <v>0.3</v>
      </c>
      <c r="AH22">
        <f>Constants!$C$10</f>
        <v>0.05</v>
      </c>
      <c r="AI22">
        <f>Constants!$C$11</f>
        <v>0.4</v>
      </c>
      <c r="AJ22">
        <f>Constants!$C$16</f>
        <v>0</v>
      </c>
      <c r="AK22">
        <f>Constants!$D$9</f>
        <v>1E-3</v>
      </c>
      <c r="AL22">
        <f>Constants!$D$10</f>
        <v>1E-3</v>
      </c>
      <c r="AM22">
        <f>Constants!$D$11</f>
        <v>1E-3</v>
      </c>
      <c r="AN22">
        <f>Constants!$D$16</f>
        <v>0</v>
      </c>
      <c r="AO22">
        <f>Constants!$C$12</f>
        <v>0.2</v>
      </c>
      <c r="AP22">
        <f>Constants!$C$13</f>
        <v>0.2</v>
      </c>
      <c r="AQ22">
        <f>Constants!$C$15</f>
        <v>0</v>
      </c>
      <c r="AR22">
        <f>Constants!$C$14</f>
        <v>0</v>
      </c>
      <c r="AS22" t="str">
        <f>Constants!$C$17</f>
        <v>N/A</v>
      </c>
      <c r="AT22">
        <f>Constants!$D$12</f>
        <v>5.0000000000000001E-3</v>
      </c>
      <c r="AU22">
        <f>Constants!$D$13</f>
        <v>0.01</v>
      </c>
      <c r="AV22">
        <f>Constants!$D$15</f>
        <v>0</v>
      </c>
      <c r="AW22">
        <f>Constants!$D$14</f>
        <v>0</v>
      </c>
      <c r="AX22" t="str">
        <f>Constants!$D$17</f>
        <v>N/A</v>
      </c>
      <c r="AY22">
        <f t="shared" si="4"/>
        <v>3.4223999999999999E-3</v>
      </c>
      <c r="AZ22">
        <f t="shared" si="5"/>
        <v>1.813872E-3</v>
      </c>
      <c r="BA22">
        <f t="shared" si="0"/>
        <v>671.06552673600004</v>
      </c>
      <c r="BB22">
        <f t="shared" si="1"/>
        <v>0</v>
      </c>
      <c r="BC22">
        <f t="shared" si="1"/>
        <v>603.9589740624001</v>
      </c>
      <c r="BD22">
        <f t="shared" si="1"/>
        <v>0</v>
      </c>
      <c r="BE22">
        <f t="shared" si="1"/>
        <v>67.106552673600007</v>
      </c>
      <c r="BF22">
        <f t="shared" si="2"/>
        <v>0</v>
      </c>
      <c r="BG22">
        <f t="shared" si="2"/>
        <v>573.15706638521772</v>
      </c>
      <c r="BH22">
        <f t="shared" si="2"/>
        <v>0</v>
      </c>
      <c r="BI22">
        <f t="shared" si="3"/>
        <v>0</v>
      </c>
      <c r="BJ22">
        <f t="shared" si="6"/>
        <v>1</v>
      </c>
      <c r="BK22">
        <f>Constants!$M$2</f>
        <v>0.02</v>
      </c>
      <c r="BL22">
        <f t="shared" si="7"/>
        <v>0</v>
      </c>
      <c r="BM22">
        <f t="shared" si="8"/>
        <v>1.3421310534720001</v>
      </c>
      <c r="BN22">
        <f>Constants!$L$2</f>
        <v>1.0999999999999999E-2</v>
      </c>
      <c r="BO22">
        <f>IF(BJ22="","",Constants!$J$2)</f>
        <v>1.57</v>
      </c>
      <c r="BP22">
        <f t="shared" si="9"/>
        <v>0</v>
      </c>
      <c r="BQ22">
        <f t="shared" si="9"/>
        <v>2.3178603293461442E-2</v>
      </c>
    </row>
    <row r="23" spans="1:70" x14ac:dyDescent="0.2">
      <c r="A23" t="str">
        <f>'Input Scenarios'!A44</f>
        <v>NT</v>
      </c>
      <c r="B23">
        <f>'Input Scenarios'!B44</f>
        <v>27</v>
      </c>
      <c r="C23" t="str">
        <f>'Input Scenarios'!C44</f>
        <v>Non-irrigated crop (high rainfall)</v>
      </c>
      <c r="D23" t="str">
        <f>'Input Scenarios'!D44</f>
        <v>dry</v>
      </c>
      <c r="E23" t="b">
        <f>'Input Scenarios'!E44</f>
        <v>0</v>
      </c>
      <c r="F23" t="str">
        <f>'Input Scenarios'!F44</f>
        <v>layers</v>
      </c>
      <c r="G23">
        <f>'Input Scenarios'!G44</f>
        <v>1234</v>
      </c>
      <c r="H23">
        <f>'Input Scenarios'!H44</f>
        <v>150</v>
      </c>
      <c r="I23">
        <f>IF('Input Scenarios'!I44&lt;&gt;"", 'Input Scenarios'!I44,_xlfn.XLOOKUP($F23,Constants!$A$2:$A$5,Constants!B$2:B$5))</f>
        <v>8.5999999999999993E-2</v>
      </c>
      <c r="J23">
        <f>IF('Input Scenarios'!J44&lt;&gt;"", 'Input Scenarios'!J44,_xlfn.XLOOKUP($F23,Constants!$A$2:$A$5,Constants!C$2:C$5))</f>
        <v>0.8</v>
      </c>
      <c r="K23">
        <f>IF('Input Scenarios'!K44&lt;&gt;"", 'Input Scenarios'!K44,_xlfn.XLOOKUP($F23,Constants!$A$2:$A$5,Constants!D$2:D$5))</f>
        <v>0.19</v>
      </c>
      <c r="L23">
        <f>IF('Input Scenarios'!L44&lt;&gt;"", 'Input Scenarios'!L44,_xlfn.XLOOKUP($F23,Constants!$A$2:$A$5,Constants!E$2:E$5))</f>
        <v>0.35</v>
      </c>
      <c r="M23">
        <f>'Input Scenarios'!M44</f>
        <v>0.1</v>
      </c>
      <c r="N23">
        <f>'Input Scenarios'!N44</f>
        <v>0</v>
      </c>
      <c r="O23">
        <f>'Input Scenarios'!O44</f>
        <v>0</v>
      </c>
      <c r="P23">
        <f>'Input Scenarios'!P44</f>
        <v>0.9</v>
      </c>
      <c r="Q23">
        <f>'Input Scenarios'!Q44</f>
        <v>0</v>
      </c>
      <c r="R23">
        <f>'Input Scenarios'!R44</f>
        <v>0.9</v>
      </c>
      <c r="S23">
        <f>'Input Scenarios'!S44</f>
        <v>0.1</v>
      </c>
      <c r="T23">
        <f>'Input Scenarios'!T44</f>
        <v>0</v>
      </c>
      <c r="U23">
        <f>'Input Scenarios'!U44</f>
        <v>0</v>
      </c>
      <c r="V23">
        <f>'Input Scenarios'!V44</f>
        <v>0</v>
      </c>
      <c r="W23">
        <f>'Input Scenarios'!W44</f>
        <v>1</v>
      </c>
      <c r="X23">
        <f>'Input Scenarios'!X44</f>
        <v>0</v>
      </c>
      <c r="Y23">
        <f>'Input Scenarios'!Y44</f>
        <v>0</v>
      </c>
      <c r="Z23">
        <f>'Input Scenarios'!Z44</f>
        <v>0</v>
      </c>
      <c r="AA23">
        <f>'Input Scenarios'!AA44</f>
        <v>0</v>
      </c>
      <c r="AB23">
        <f>'Input Scenarios'!AB44</f>
        <v>0</v>
      </c>
      <c r="AC23">
        <f>'Input Scenarios'!AC44</f>
        <v>1</v>
      </c>
      <c r="AD23">
        <f>'Input Scenarios'!AD44</f>
        <v>0</v>
      </c>
      <c r="AE23">
        <f>'Input Scenarios'!AE44</f>
        <v>0</v>
      </c>
      <c r="AF23">
        <f>IF(F23="", "",_xlfn.XLOOKUP(F23,Constants!$A$2:$A$5,Constants!F$2:F$5))</f>
        <v>0.18</v>
      </c>
      <c r="AG23">
        <f>Constants!$C$9</f>
        <v>0.3</v>
      </c>
      <c r="AH23">
        <f>Constants!$C$10</f>
        <v>0.05</v>
      </c>
      <c r="AI23">
        <f>Constants!$C$11</f>
        <v>0.4</v>
      </c>
      <c r="AJ23">
        <f>Constants!$C$16</f>
        <v>0</v>
      </c>
      <c r="AK23">
        <f>Constants!$D$9</f>
        <v>1E-3</v>
      </c>
      <c r="AL23">
        <f>Constants!$D$10</f>
        <v>1E-3</v>
      </c>
      <c r="AM23">
        <f>Constants!$D$11</f>
        <v>1E-3</v>
      </c>
      <c r="AN23">
        <f>Constants!$D$16</f>
        <v>0</v>
      </c>
      <c r="AO23">
        <f>Constants!$C$12</f>
        <v>0.2</v>
      </c>
      <c r="AP23">
        <f>Constants!$C$13</f>
        <v>0.2</v>
      </c>
      <c r="AQ23">
        <f>Constants!$C$15</f>
        <v>0</v>
      </c>
      <c r="AR23">
        <f>Constants!$C$14</f>
        <v>0</v>
      </c>
      <c r="AS23" t="str">
        <f>Constants!$C$17</f>
        <v>N/A</v>
      </c>
      <c r="AT23">
        <f>Constants!$D$12</f>
        <v>5.0000000000000001E-3</v>
      </c>
      <c r="AU23">
        <f>Constants!$D$13</f>
        <v>0.01</v>
      </c>
      <c r="AV23">
        <f>Constants!$D$15</f>
        <v>0</v>
      </c>
      <c r="AW23">
        <f>Constants!$D$14</f>
        <v>0</v>
      </c>
      <c r="AX23" t="str">
        <f>Constants!$D$17</f>
        <v>N/A</v>
      </c>
      <c r="AY23">
        <f t="shared" si="4"/>
        <v>2.6144000000000002E-3</v>
      </c>
      <c r="AZ23">
        <f t="shared" si="5"/>
        <v>1.6993600000000002E-3</v>
      </c>
      <c r="BA23">
        <f t="shared" si="0"/>
        <v>314.55153600000006</v>
      </c>
      <c r="BB23">
        <f t="shared" si="1"/>
        <v>31.455153600000006</v>
      </c>
      <c r="BC23">
        <f t="shared" si="1"/>
        <v>0</v>
      </c>
      <c r="BD23">
        <f t="shared" si="1"/>
        <v>0</v>
      </c>
      <c r="BE23">
        <f t="shared" si="1"/>
        <v>283.09638240000004</v>
      </c>
      <c r="BF23">
        <f t="shared" si="2"/>
        <v>21.987152366400004</v>
      </c>
      <c r="BG23">
        <f t="shared" si="2"/>
        <v>0</v>
      </c>
      <c r="BH23">
        <f t="shared" si="2"/>
        <v>0</v>
      </c>
      <c r="BI23">
        <f t="shared" si="3"/>
        <v>0</v>
      </c>
      <c r="BJ23">
        <f t="shared" si="6"/>
        <v>0</v>
      </c>
      <c r="BK23">
        <f>Constants!$M$2</f>
        <v>0.02</v>
      </c>
      <c r="BL23">
        <f t="shared" si="7"/>
        <v>0</v>
      </c>
      <c r="BM23">
        <f t="shared" si="8"/>
        <v>0</v>
      </c>
      <c r="BN23">
        <f>Constants!$L$2</f>
        <v>1.0999999999999999E-2</v>
      </c>
      <c r="BO23">
        <f>IF(BJ23="","",Constants!$J$2)</f>
        <v>1.57</v>
      </c>
      <c r="BP23">
        <f t="shared" si="9"/>
        <v>0</v>
      </c>
      <c r="BQ23">
        <f t="shared" si="9"/>
        <v>0</v>
      </c>
      <c r="BR23">
        <f>SUM(BP23:BQ26)/1000</f>
        <v>0</v>
      </c>
    </row>
    <row r="24" spans="1:70" x14ac:dyDescent="0.2">
      <c r="A24" t="str">
        <f>'Input Scenarios'!A45</f>
        <v>NT</v>
      </c>
      <c r="B24">
        <f>'Input Scenarios'!B45</f>
        <v>27</v>
      </c>
      <c r="C24" t="str">
        <f>'Input Scenarios'!C45</f>
        <v>Non-irrigated crop (high rainfall)</v>
      </c>
      <c r="D24" t="str">
        <f>'Input Scenarios'!D45</f>
        <v>dry</v>
      </c>
      <c r="E24" t="b">
        <f>'Input Scenarios'!E45</f>
        <v>0</v>
      </c>
      <c r="F24" t="str">
        <f>'Input Scenarios'!F45</f>
        <v>meatChickenBreeder</v>
      </c>
      <c r="G24">
        <f>'Input Scenarios'!G45</f>
        <v>1234</v>
      </c>
      <c r="H24">
        <f>'Input Scenarios'!H45</f>
        <v>150</v>
      </c>
      <c r="I24">
        <f>IF('Input Scenarios'!I45&lt;&gt;"", 'Input Scenarios'!I45,_xlfn.XLOOKUP($F24,Constants!$A$2:$A$5,Constants!B$2:B$5))</f>
        <v>0.10299999999999999</v>
      </c>
      <c r="J24">
        <f>IF('Input Scenarios'!J45&lt;&gt;"", 'Input Scenarios'!J45,_xlfn.XLOOKUP($F24,Constants!$A$2:$A$5,Constants!C$2:C$5))</f>
        <v>0.8</v>
      </c>
      <c r="K24">
        <f>IF('Input Scenarios'!K45&lt;&gt;"", 'Input Scenarios'!K45,_xlfn.XLOOKUP($F24,Constants!$A$2:$A$5,Constants!D$2:D$5))</f>
        <v>0.24</v>
      </c>
      <c r="L24">
        <f>IF('Input Scenarios'!L45&lt;&gt;"", 'Input Scenarios'!L45,_xlfn.XLOOKUP($F24,Constants!$A$2:$A$5,Constants!E$2:E$5))</f>
        <v>0.32</v>
      </c>
      <c r="M24">
        <f>'Input Scenarios'!M45</f>
        <v>0.1</v>
      </c>
      <c r="N24">
        <f>'Input Scenarios'!N45</f>
        <v>0</v>
      </c>
      <c r="O24">
        <f>'Input Scenarios'!O45</f>
        <v>0</v>
      </c>
      <c r="P24">
        <f>'Input Scenarios'!P45</f>
        <v>0.9</v>
      </c>
      <c r="Q24">
        <f>'Input Scenarios'!Q45</f>
        <v>0</v>
      </c>
      <c r="R24">
        <f>'Input Scenarios'!R45</f>
        <v>0.9</v>
      </c>
      <c r="S24">
        <f>'Input Scenarios'!S45</f>
        <v>0.1</v>
      </c>
      <c r="T24">
        <f>'Input Scenarios'!T45</f>
        <v>0</v>
      </c>
      <c r="U24">
        <f>'Input Scenarios'!U45</f>
        <v>0</v>
      </c>
      <c r="V24">
        <f>'Input Scenarios'!V45</f>
        <v>0</v>
      </c>
      <c r="W24">
        <f>'Input Scenarios'!W45</f>
        <v>1</v>
      </c>
      <c r="X24">
        <f>'Input Scenarios'!X45</f>
        <v>0</v>
      </c>
      <c r="Y24">
        <f>'Input Scenarios'!Y45</f>
        <v>0</v>
      </c>
      <c r="Z24">
        <f>'Input Scenarios'!Z45</f>
        <v>0</v>
      </c>
      <c r="AA24">
        <f>'Input Scenarios'!AA45</f>
        <v>0</v>
      </c>
      <c r="AB24">
        <f>'Input Scenarios'!AB45</f>
        <v>0</v>
      </c>
      <c r="AC24">
        <f>'Input Scenarios'!AC45</f>
        <v>1</v>
      </c>
      <c r="AD24">
        <f>'Input Scenarios'!AD45</f>
        <v>0</v>
      </c>
      <c r="AE24">
        <f>'Input Scenarios'!AE45</f>
        <v>0</v>
      </c>
      <c r="AF24">
        <f>IF(F24="", "",_xlfn.XLOOKUP(F24,Constants!$A$2:$A$5,Constants!F$2:F$5))</f>
        <v>0.18</v>
      </c>
      <c r="AG24">
        <f>Constants!$C$9</f>
        <v>0.3</v>
      </c>
      <c r="AH24">
        <f>Constants!$C$10</f>
        <v>0.05</v>
      </c>
      <c r="AI24">
        <f>Constants!$C$11</f>
        <v>0.4</v>
      </c>
      <c r="AJ24">
        <f>Constants!$C$16</f>
        <v>0</v>
      </c>
      <c r="AK24">
        <f>Constants!$D$9</f>
        <v>1E-3</v>
      </c>
      <c r="AL24">
        <f>Constants!$D$10</f>
        <v>1E-3</v>
      </c>
      <c r="AM24">
        <f>Constants!$D$11</f>
        <v>1E-3</v>
      </c>
      <c r="AN24">
        <f>Constants!$D$16</f>
        <v>0</v>
      </c>
      <c r="AO24">
        <f>Constants!$C$12</f>
        <v>0.2</v>
      </c>
      <c r="AP24">
        <f>Constants!$C$13</f>
        <v>0.2</v>
      </c>
      <c r="AQ24">
        <f>Constants!$C$15</f>
        <v>0</v>
      </c>
      <c r="AR24">
        <f>Constants!$C$14</f>
        <v>0</v>
      </c>
      <c r="AS24" t="str">
        <f>Constants!$C$17</f>
        <v>N/A</v>
      </c>
      <c r="AT24">
        <f>Constants!$D$12</f>
        <v>5.0000000000000001E-3</v>
      </c>
      <c r="AU24">
        <f>Constants!$D$13</f>
        <v>0.01</v>
      </c>
      <c r="AV24">
        <f>Constants!$D$15</f>
        <v>0</v>
      </c>
      <c r="AW24">
        <f>Constants!$D$14</f>
        <v>0</v>
      </c>
      <c r="AX24" t="str">
        <f>Constants!$D$17</f>
        <v>N/A</v>
      </c>
      <c r="AY24">
        <f t="shared" si="4"/>
        <v>3.9551999999999999E-3</v>
      </c>
      <c r="AZ24">
        <f t="shared" si="5"/>
        <v>2.6895359999999997E-3</v>
      </c>
      <c r="BA24">
        <f t="shared" si="0"/>
        <v>497.83311359999993</v>
      </c>
      <c r="BB24">
        <f t="shared" si="1"/>
        <v>49.783311359999999</v>
      </c>
      <c r="BC24">
        <f t="shared" si="1"/>
        <v>0</v>
      </c>
      <c r="BD24">
        <f t="shared" si="1"/>
        <v>0</v>
      </c>
      <c r="BE24">
        <f t="shared" si="1"/>
        <v>448.04980223999996</v>
      </c>
      <c r="BF24">
        <f t="shared" si="2"/>
        <v>34.79853464064</v>
      </c>
      <c r="BG24">
        <f t="shared" si="2"/>
        <v>0</v>
      </c>
      <c r="BH24">
        <f t="shared" si="2"/>
        <v>0</v>
      </c>
      <c r="BI24">
        <f t="shared" si="3"/>
        <v>0</v>
      </c>
      <c r="BJ24">
        <f t="shared" si="6"/>
        <v>0</v>
      </c>
      <c r="BK24">
        <f>Constants!$M$2</f>
        <v>0.02</v>
      </c>
      <c r="BL24">
        <f t="shared" si="7"/>
        <v>0</v>
      </c>
      <c r="BM24">
        <f t="shared" si="8"/>
        <v>0</v>
      </c>
      <c r="BN24">
        <f>Constants!$L$2</f>
        <v>1.0999999999999999E-2</v>
      </c>
      <c r="BO24">
        <f>IF(BJ24="","",Constants!$J$2)</f>
        <v>1.57</v>
      </c>
      <c r="BP24">
        <f t="shared" si="9"/>
        <v>0</v>
      </c>
      <c r="BQ24">
        <f t="shared" si="9"/>
        <v>0</v>
      </c>
    </row>
    <row r="25" spans="1:70" s="11" customFormat="1" x14ac:dyDescent="0.2">
      <c r="A25" t="str">
        <f>'Input Scenarios'!A46</f>
        <v>NT</v>
      </c>
      <c r="B25">
        <f>'Input Scenarios'!B46</f>
        <v>27</v>
      </c>
      <c r="C25" t="str">
        <f>'Input Scenarios'!C46</f>
        <v>Non-irrigated crop (high rainfall)</v>
      </c>
      <c r="D25" t="str">
        <f>'Input Scenarios'!D46</f>
        <v>dry</v>
      </c>
      <c r="E25" t="b">
        <f>'Input Scenarios'!E46</f>
        <v>0</v>
      </c>
      <c r="F25" t="str">
        <f>'Input Scenarios'!F46</f>
        <v>meatChickenGrowers</v>
      </c>
      <c r="G25">
        <f>'Input Scenarios'!G46</f>
        <v>1234</v>
      </c>
      <c r="H25">
        <f>'Input Scenarios'!H46</f>
        <v>150</v>
      </c>
      <c r="I25">
        <f>IF('Input Scenarios'!I46&lt;&gt;"", 'Input Scenarios'!I46,_xlfn.XLOOKUP($F25,Constants!$A$2:$A$5,Constants!B$2:B$5))</f>
        <v>9.2999999999999999E-2</v>
      </c>
      <c r="J25">
        <f>IF('Input Scenarios'!J46&lt;&gt;"", 'Input Scenarios'!J46,_xlfn.XLOOKUP($F25,Constants!$A$2:$A$5,Constants!C$2:C$5))</f>
        <v>0.8</v>
      </c>
      <c r="K25">
        <f>IF('Input Scenarios'!K46&lt;&gt;"", 'Input Scenarios'!K46,_xlfn.XLOOKUP($F25,Constants!$A$2:$A$5,Constants!D$2:D$5))</f>
        <v>0.18</v>
      </c>
      <c r="L25">
        <f>IF('Input Scenarios'!L46&lt;&gt;"", 'Input Scenarios'!L46,_xlfn.XLOOKUP($F25,Constants!$A$2:$A$5,Constants!E$2:E$5))</f>
        <v>0.47</v>
      </c>
      <c r="M25">
        <f>'Input Scenarios'!M46</f>
        <v>0.1</v>
      </c>
      <c r="N25">
        <f>'Input Scenarios'!N46</f>
        <v>0</v>
      </c>
      <c r="O25">
        <f>'Input Scenarios'!O46</f>
        <v>0</v>
      </c>
      <c r="P25">
        <f>'Input Scenarios'!P46</f>
        <v>0.9</v>
      </c>
      <c r="Q25">
        <f>'Input Scenarios'!Q46</f>
        <v>0</v>
      </c>
      <c r="R25">
        <f>'Input Scenarios'!R46</f>
        <v>0.9</v>
      </c>
      <c r="S25">
        <f>'Input Scenarios'!S46</f>
        <v>0.1</v>
      </c>
      <c r="T25">
        <f>'Input Scenarios'!T46</f>
        <v>0</v>
      </c>
      <c r="U25">
        <f>'Input Scenarios'!U46</f>
        <v>0</v>
      </c>
      <c r="V25">
        <f>'Input Scenarios'!V46</f>
        <v>0</v>
      </c>
      <c r="W25">
        <f>'Input Scenarios'!W46</f>
        <v>1</v>
      </c>
      <c r="X25">
        <f>'Input Scenarios'!X46</f>
        <v>0</v>
      </c>
      <c r="Y25">
        <f>'Input Scenarios'!Y46</f>
        <v>0</v>
      </c>
      <c r="Z25">
        <f>'Input Scenarios'!Z46</f>
        <v>0</v>
      </c>
      <c r="AA25">
        <f>'Input Scenarios'!AA46</f>
        <v>0</v>
      </c>
      <c r="AB25">
        <f>'Input Scenarios'!AB46</f>
        <v>0</v>
      </c>
      <c r="AC25">
        <f>'Input Scenarios'!AC46</f>
        <v>1</v>
      </c>
      <c r="AD25">
        <f>'Input Scenarios'!AD46</f>
        <v>0</v>
      </c>
      <c r="AE25">
        <f>'Input Scenarios'!AE46</f>
        <v>0</v>
      </c>
      <c r="AF25">
        <f>IF(F25="", "",_xlfn.XLOOKUP(F25,Constants!$A$2:$A$5,Constants!F$2:F$5))</f>
        <v>0.15</v>
      </c>
      <c r="AG25">
        <f>Constants!$C$9</f>
        <v>0.3</v>
      </c>
      <c r="AH25">
        <f>Constants!$C$10</f>
        <v>0.05</v>
      </c>
      <c r="AI25">
        <f>Constants!$C$11</f>
        <v>0.4</v>
      </c>
      <c r="AJ25">
        <f>Constants!$C$16</f>
        <v>0</v>
      </c>
      <c r="AK25">
        <f>Constants!$D$9</f>
        <v>1E-3</v>
      </c>
      <c r="AL25">
        <f>Constants!$D$10</f>
        <v>1E-3</v>
      </c>
      <c r="AM25">
        <f>Constants!$D$11</f>
        <v>1E-3</v>
      </c>
      <c r="AN25">
        <f>Constants!$D$16</f>
        <v>0</v>
      </c>
      <c r="AO25">
        <f>Constants!$C$12</f>
        <v>0.2</v>
      </c>
      <c r="AP25">
        <f>Constants!$C$13</f>
        <v>0.2</v>
      </c>
      <c r="AQ25">
        <f>Constants!$C$15</f>
        <v>0</v>
      </c>
      <c r="AR25">
        <f>Constants!$C$14</f>
        <v>0</v>
      </c>
      <c r="AS25" t="str">
        <f>Constants!$C$17</f>
        <v>N/A</v>
      </c>
      <c r="AT25">
        <f>Constants!$D$12</f>
        <v>5.0000000000000001E-3</v>
      </c>
      <c r="AU25">
        <f>Constants!$D$13</f>
        <v>0.01</v>
      </c>
      <c r="AV25">
        <f>Constants!$D$15</f>
        <v>0</v>
      </c>
      <c r="AW25">
        <f>Constants!$D$14</f>
        <v>0</v>
      </c>
      <c r="AX25" t="str">
        <f>Constants!$D$17</f>
        <v>N/A</v>
      </c>
      <c r="AY25">
        <f t="shared" si="4"/>
        <v>2.6783999999999996E-3</v>
      </c>
      <c r="AZ25">
        <f t="shared" si="5"/>
        <v>1.4195519999999999E-3</v>
      </c>
      <c r="BA25">
        <f t="shared" si="0"/>
        <v>262.75907519999998</v>
      </c>
      <c r="BB25">
        <f t="shared" si="1"/>
        <v>26.275907520000001</v>
      </c>
      <c r="BC25">
        <f t="shared" si="1"/>
        <v>0</v>
      </c>
      <c r="BD25">
        <f t="shared" si="1"/>
        <v>0</v>
      </c>
      <c r="BE25">
        <f t="shared" si="1"/>
        <v>236.48316767999998</v>
      </c>
      <c r="BF25">
        <f t="shared" si="2"/>
        <v>18.366859356479999</v>
      </c>
      <c r="BG25">
        <f t="shared" si="2"/>
        <v>0</v>
      </c>
      <c r="BH25">
        <f t="shared" si="2"/>
        <v>0</v>
      </c>
      <c r="BI25">
        <f t="shared" si="3"/>
        <v>0</v>
      </c>
      <c r="BJ25">
        <f t="shared" si="6"/>
        <v>0</v>
      </c>
      <c r="BK25">
        <f>Constants!$M$2</f>
        <v>0.02</v>
      </c>
      <c r="BL25">
        <f t="shared" si="7"/>
        <v>0</v>
      </c>
      <c r="BM25">
        <f t="shared" si="8"/>
        <v>0</v>
      </c>
      <c r="BN25">
        <f>Constants!$L$2</f>
        <v>1.0999999999999999E-2</v>
      </c>
      <c r="BO25">
        <f>IF(BJ25="","",Constants!$J$2)</f>
        <v>1.57</v>
      </c>
      <c r="BP25">
        <f t="shared" si="9"/>
        <v>0</v>
      </c>
      <c r="BQ25">
        <f t="shared" si="9"/>
        <v>0</v>
      </c>
      <c r="BR25"/>
    </row>
    <row r="26" spans="1:70" x14ac:dyDescent="0.2">
      <c r="A26" t="str">
        <f>'Input Scenarios'!A47</f>
        <v>NT</v>
      </c>
      <c r="B26">
        <f>'Input Scenarios'!B47</f>
        <v>27</v>
      </c>
      <c r="C26" t="str">
        <f>'Input Scenarios'!C47</f>
        <v>Non-irrigated crop (high rainfall)</v>
      </c>
      <c r="D26" t="str">
        <f>'Input Scenarios'!D47</f>
        <v>dry</v>
      </c>
      <c r="E26" t="b">
        <f>'Input Scenarios'!E47</f>
        <v>0</v>
      </c>
      <c r="F26" t="str">
        <f>'Input Scenarios'!F47</f>
        <v>meatOther</v>
      </c>
      <c r="G26">
        <f>'Input Scenarios'!G47</f>
        <v>1234</v>
      </c>
      <c r="H26">
        <f>'Input Scenarios'!H47</f>
        <v>150</v>
      </c>
      <c r="I26">
        <f>IF('Input Scenarios'!I47&lt;&gt;"", 'Input Scenarios'!I47,_xlfn.XLOOKUP($F26,Constants!$A$2:$A$5,Constants!B$2:B$5))</f>
        <v>9.2999999999999999E-2</v>
      </c>
      <c r="J26">
        <f>IF('Input Scenarios'!J47&lt;&gt;"", 'Input Scenarios'!J47,_xlfn.XLOOKUP($F26,Constants!$A$2:$A$5,Constants!C$2:C$5))</f>
        <v>0.8</v>
      </c>
      <c r="K26">
        <f>IF('Input Scenarios'!K47&lt;&gt;"", 'Input Scenarios'!K47,_xlfn.XLOOKUP($F26,Constants!$A$2:$A$5,Constants!D$2:D$5))</f>
        <v>0.23</v>
      </c>
      <c r="L26">
        <f>IF('Input Scenarios'!L47&lt;&gt;"", 'Input Scenarios'!L47,_xlfn.XLOOKUP($F26,Constants!$A$2:$A$5,Constants!E$2:E$5))</f>
        <v>0.47</v>
      </c>
      <c r="M26">
        <f>'Input Scenarios'!M47</f>
        <v>0.1</v>
      </c>
      <c r="N26">
        <f>'Input Scenarios'!N47</f>
        <v>0</v>
      </c>
      <c r="O26">
        <f>'Input Scenarios'!O47</f>
        <v>0</v>
      </c>
      <c r="P26">
        <f>'Input Scenarios'!P47</f>
        <v>0.9</v>
      </c>
      <c r="Q26">
        <f>'Input Scenarios'!Q47</f>
        <v>0</v>
      </c>
      <c r="R26">
        <f>'Input Scenarios'!R47</f>
        <v>0.9</v>
      </c>
      <c r="S26">
        <f>'Input Scenarios'!S47</f>
        <v>0.1</v>
      </c>
      <c r="T26">
        <f>'Input Scenarios'!T47</f>
        <v>0</v>
      </c>
      <c r="U26">
        <f>'Input Scenarios'!U47</f>
        <v>0</v>
      </c>
      <c r="V26">
        <f>'Input Scenarios'!V47</f>
        <v>0</v>
      </c>
      <c r="W26">
        <f>'Input Scenarios'!W47</f>
        <v>1</v>
      </c>
      <c r="X26">
        <f>'Input Scenarios'!X47</f>
        <v>0</v>
      </c>
      <c r="Y26">
        <f>'Input Scenarios'!Y47</f>
        <v>0</v>
      </c>
      <c r="Z26">
        <f>'Input Scenarios'!Z47</f>
        <v>0</v>
      </c>
      <c r="AA26">
        <f>'Input Scenarios'!AA47</f>
        <v>0</v>
      </c>
      <c r="AB26">
        <f>'Input Scenarios'!AB47</f>
        <v>0</v>
      </c>
      <c r="AC26">
        <f>'Input Scenarios'!AC47</f>
        <v>1</v>
      </c>
      <c r="AD26">
        <f>'Input Scenarios'!AD47</f>
        <v>0</v>
      </c>
      <c r="AE26">
        <f>'Input Scenarios'!AE47</f>
        <v>0</v>
      </c>
      <c r="AF26">
        <f>IF(F26="", "",_xlfn.XLOOKUP(F26,Constants!$A$2:$A$5,Constants!F$2:F$5))</f>
        <v>0.15</v>
      </c>
      <c r="AG26">
        <f>Constants!$C$9</f>
        <v>0.3</v>
      </c>
      <c r="AH26">
        <f>Constants!$C$10</f>
        <v>0.05</v>
      </c>
      <c r="AI26">
        <f>Constants!$C$11</f>
        <v>0.4</v>
      </c>
      <c r="AJ26">
        <f>Constants!$C$16</f>
        <v>0</v>
      </c>
      <c r="AK26">
        <f>Constants!$D$9</f>
        <v>1E-3</v>
      </c>
      <c r="AL26">
        <f>Constants!$D$10</f>
        <v>1E-3</v>
      </c>
      <c r="AM26">
        <f>Constants!$D$11</f>
        <v>1E-3</v>
      </c>
      <c r="AN26">
        <f>Constants!$D$16</f>
        <v>0</v>
      </c>
      <c r="AO26">
        <f>Constants!$C$12</f>
        <v>0.2</v>
      </c>
      <c r="AP26">
        <f>Constants!$C$13</f>
        <v>0.2</v>
      </c>
      <c r="AQ26">
        <f>Constants!$C$15</f>
        <v>0</v>
      </c>
      <c r="AR26">
        <f>Constants!$C$14</f>
        <v>0</v>
      </c>
      <c r="AS26" t="str">
        <f>Constants!$C$17</f>
        <v>N/A</v>
      </c>
      <c r="AT26">
        <f>Constants!$D$12</f>
        <v>5.0000000000000001E-3</v>
      </c>
      <c r="AU26">
        <f>Constants!$D$13</f>
        <v>0.01</v>
      </c>
      <c r="AV26">
        <f>Constants!$D$15</f>
        <v>0</v>
      </c>
      <c r="AW26">
        <f>Constants!$D$14</f>
        <v>0</v>
      </c>
      <c r="AX26" t="str">
        <f>Constants!$D$17</f>
        <v>N/A</v>
      </c>
      <c r="AY26">
        <f t="shared" si="4"/>
        <v>3.4223999999999999E-3</v>
      </c>
      <c r="AZ26">
        <f t="shared" si="5"/>
        <v>1.813872E-3</v>
      </c>
      <c r="BA26">
        <f t="shared" si="0"/>
        <v>335.74770719999998</v>
      </c>
      <c r="BB26">
        <f t="shared" si="1"/>
        <v>33.574770719999997</v>
      </c>
      <c r="BC26">
        <f t="shared" si="1"/>
        <v>0</v>
      </c>
      <c r="BD26">
        <f t="shared" si="1"/>
        <v>0</v>
      </c>
      <c r="BE26">
        <f t="shared" si="1"/>
        <v>302.17293647999998</v>
      </c>
      <c r="BF26">
        <f t="shared" si="2"/>
        <v>23.468764733279997</v>
      </c>
      <c r="BG26">
        <f t="shared" si="2"/>
        <v>0</v>
      </c>
      <c r="BH26">
        <f t="shared" si="2"/>
        <v>0</v>
      </c>
      <c r="BI26">
        <f t="shared" si="3"/>
        <v>0</v>
      </c>
      <c r="BJ26">
        <f t="shared" si="6"/>
        <v>0</v>
      </c>
      <c r="BK26">
        <f>Constants!$M$2</f>
        <v>0.02</v>
      </c>
      <c r="BL26">
        <f t="shared" si="7"/>
        <v>0</v>
      </c>
      <c r="BM26">
        <f t="shared" si="8"/>
        <v>0</v>
      </c>
      <c r="BN26">
        <f>Constants!$L$2</f>
        <v>1.0999999999999999E-2</v>
      </c>
      <c r="BO26">
        <f>IF(BJ26="","",Constants!$J$2)</f>
        <v>1.57</v>
      </c>
      <c r="BP26">
        <f t="shared" si="9"/>
        <v>0</v>
      </c>
      <c r="BQ26">
        <f t="shared" si="9"/>
        <v>0</v>
      </c>
    </row>
    <row r="30" spans="1:70" s="11" customFormat="1" x14ac:dyDescent="0.2">
      <c r="A30"/>
      <c r="B30"/>
      <c r="C30"/>
      <c r="R30"/>
      <c r="S30"/>
      <c r="T30"/>
      <c r="U30"/>
      <c r="X30"/>
      <c r="Z30"/>
      <c r="AB30"/>
      <c r="AC30"/>
      <c r="AD30"/>
      <c r="AE30"/>
      <c r="AF30"/>
      <c r="AG30"/>
      <c r="AH30"/>
      <c r="AI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4F6A-1B9B-0E42-AF0E-0B61B3BE4291}">
  <dimension ref="A1:AE47"/>
  <sheetViews>
    <sheetView topLeftCell="A11" workbookViewId="0">
      <selection activeCell="L32" sqref="L32:L47"/>
    </sheetView>
  </sheetViews>
  <sheetFormatPr baseColWidth="10" defaultRowHeight="16" x14ac:dyDescent="0.2"/>
  <sheetData>
    <row r="1" spans="1:31" x14ac:dyDescent="0.2">
      <c r="A1" t="s">
        <v>93</v>
      </c>
    </row>
    <row r="2" spans="1:31" x14ac:dyDescent="0.2">
      <c r="L2" t="s">
        <v>0</v>
      </c>
    </row>
    <row r="3" spans="1:31" x14ac:dyDescent="0.2">
      <c r="A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K3" t="s">
        <v>1</v>
      </c>
      <c r="L3" t="s">
        <v>1</v>
      </c>
      <c r="M3" t="s">
        <v>1</v>
      </c>
    </row>
    <row r="5" spans="1:31" x14ac:dyDescent="0.2">
      <c r="A5" t="s">
        <v>35</v>
      </c>
      <c r="B5" t="s">
        <v>39</v>
      </c>
      <c r="C5" t="s">
        <v>38</v>
      </c>
      <c r="D5" t="s">
        <v>56</v>
      </c>
      <c r="E5" t="s">
        <v>59</v>
      </c>
      <c r="F5" t="s">
        <v>28</v>
      </c>
      <c r="G5" t="s">
        <v>2</v>
      </c>
      <c r="H5" t="s">
        <v>3</v>
      </c>
      <c r="I5" t="s">
        <v>40</v>
      </c>
      <c r="K5" t="s">
        <v>42</v>
      </c>
      <c r="L5" t="s">
        <v>45</v>
      </c>
      <c r="M5" t="s">
        <v>113</v>
      </c>
      <c r="Q5" t="s">
        <v>119</v>
      </c>
      <c r="V5" t="s">
        <v>120</v>
      </c>
      <c r="AA5" t="s">
        <v>121</v>
      </c>
    </row>
    <row r="6" spans="1:31" x14ac:dyDescent="0.2">
      <c r="M6" t="s">
        <v>16</v>
      </c>
      <c r="N6" t="s">
        <v>17</v>
      </c>
      <c r="O6" t="s">
        <v>18</v>
      </c>
      <c r="P6" t="s">
        <v>36</v>
      </c>
      <c r="Q6" t="s">
        <v>19</v>
      </c>
      <c r="R6" t="s">
        <v>20</v>
      </c>
      <c r="S6" t="s">
        <v>22</v>
      </c>
      <c r="T6" t="s">
        <v>21</v>
      </c>
      <c r="U6" t="s">
        <v>37</v>
      </c>
      <c r="V6" t="s">
        <v>19</v>
      </c>
      <c r="W6" t="s">
        <v>20</v>
      </c>
      <c r="X6" t="s">
        <v>22</v>
      </c>
      <c r="Y6" t="s">
        <v>21</v>
      </c>
      <c r="Z6" t="s">
        <v>37</v>
      </c>
      <c r="AA6" t="s">
        <v>19</v>
      </c>
      <c r="AB6" t="s">
        <v>20</v>
      </c>
      <c r="AC6" t="s">
        <v>22</v>
      </c>
      <c r="AD6" t="s">
        <v>21</v>
      </c>
      <c r="AE6" t="s">
        <v>37</v>
      </c>
    </row>
    <row r="7" spans="1:31" s="11" customFormat="1" x14ac:dyDescent="0.2">
      <c r="A7" s="14" t="s">
        <v>26</v>
      </c>
      <c r="B7" s="14" t="s">
        <v>26</v>
      </c>
      <c r="C7" s="14"/>
      <c r="D7" s="14" t="s">
        <v>58</v>
      </c>
      <c r="E7" s="14" t="s">
        <v>60</v>
      </c>
      <c r="F7" s="14" t="s">
        <v>25</v>
      </c>
      <c r="G7" s="14" t="s">
        <v>4</v>
      </c>
      <c r="H7" s="14" t="s">
        <v>5</v>
      </c>
      <c r="I7" s="14" t="s">
        <v>6</v>
      </c>
      <c r="J7" s="14"/>
      <c r="K7" s="14" t="s">
        <v>7</v>
      </c>
      <c r="L7" s="14" t="s">
        <v>89</v>
      </c>
      <c r="M7" s="14" t="s">
        <v>110</v>
      </c>
      <c r="N7" s="14" t="s">
        <v>109</v>
      </c>
      <c r="O7" s="14" t="s">
        <v>111</v>
      </c>
      <c r="P7" s="14" t="s">
        <v>112</v>
      </c>
      <c r="Q7" s="14" t="s">
        <v>114</v>
      </c>
      <c r="R7" s="14" t="s">
        <v>115</v>
      </c>
      <c r="S7" s="14" t="s">
        <v>116</v>
      </c>
      <c r="T7" s="14" t="s">
        <v>117</v>
      </c>
      <c r="U7" s="14" t="s">
        <v>118</v>
      </c>
      <c r="V7" s="14" t="s">
        <v>114</v>
      </c>
      <c r="W7" s="14" t="s">
        <v>115</v>
      </c>
      <c r="X7" s="14" t="s">
        <v>116</v>
      </c>
      <c r="Y7" s="14" t="s">
        <v>117</v>
      </c>
      <c r="Z7" s="14" t="s">
        <v>118</v>
      </c>
      <c r="AA7" s="14" t="s">
        <v>114</v>
      </c>
      <c r="AB7" s="14" t="s">
        <v>115</v>
      </c>
      <c r="AC7" s="14" t="s">
        <v>116</v>
      </c>
      <c r="AD7" s="14" t="s">
        <v>117</v>
      </c>
      <c r="AE7" s="14" t="s">
        <v>118</v>
      </c>
    </row>
    <row r="8" spans="1:31" x14ac:dyDescent="0.2">
      <c r="A8" t="s">
        <v>55</v>
      </c>
      <c r="C8" t="s">
        <v>65</v>
      </c>
      <c r="D8" t="s">
        <v>57</v>
      </c>
      <c r="E8" t="b">
        <v>1</v>
      </c>
      <c r="F8" t="s">
        <v>9</v>
      </c>
      <c r="G8">
        <v>5000</v>
      </c>
      <c r="H8">
        <v>50</v>
      </c>
      <c r="M8">
        <v>0.1</v>
      </c>
      <c r="N8">
        <v>0.2</v>
      </c>
      <c r="O8">
        <v>0.3</v>
      </c>
      <c r="P8">
        <v>0.4</v>
      </c>
      <c r="Q8">
        <v>0.15</v>
      </c>
      <c r="R8">
        <v>0.2</v>
      </c>
      <c r="S8">
        <v>0.25</v>
      </c>
      <c r="T8">
        <v>0.17</v>
      </c>
      <c r="U8">
        <v>0.23</v>
      </c>
      <c r="V8">
        <v>0.15</v>
      </c>
      <c r="W8">
        <v>0.2</v>
      </c>
      <c r="X8">
        <v>0.25</v>
      </c>
      <c r="Y8">
        <v>0.17</v>
      </c>
      <c r="Z8">
        <v>0.23</v>
      </c>
      <c r="AA8">
        <v>0.15</v>
      </c>
      <c r="AB8">
        <v>0.2</v>
      </c>
      <c r="AC8">
        <v>0.25</v>
      </c>
      <c r="AD8">
        <v>0.17</v>
      </c>
      <c r="AE8">
        <v>0.23</v>
      </c>
    </row>
    <row r="9" spans="1:31" x14ac:dyDescent="0.2">
      <c r="A9" t="s">
        <v>55</v>
      </c>
      <c r="C9" t="s">
        <v>65</v>
      </c>
      <c r="D9" t="s">
        <v>57</v>
      </c>
      <c r="E9" t="b">
        <v>1</v>
      </c>
      <c r="F9" t="s">
        <v>88</v>
      </c>
      <c r="G9">
        <v>5000</v>
      </c>
      <c r="H9">
        <v>50</v>
      </c>
      <c r="M9">
        <v>0.1</v>
      </c>
      <c r="N9">
        <v>0.2</v>
      </c>
      <c r="O9">
        <v>0.3</v>
      </c>
      <c r="P9">
        <v>0.4</v>
      </c>
      <c r="Q9">
        <v>0.15</v>
      </c>
      <c r="R9">
        <v>0.2</v>
      </c>
      <c r="S9">
        <v>0.25</v>
      </c>
      <c r="T9">
        <v>0.17</v>
      </c>
      <c r="U9">
        <v>0.23</v>
      </c>
      <c r="V9">
        <v>0.15</v>
      </c>
      <c r="W9">
        <v>0.2</v>
      </c>
      <c r="X9">
        <v>0.25</v>
      </c>
      <c r="Y9">
        <v>0.17</v>
      </c>
      <c r="Z9">
        <v>0.23</v>
      </c>
      <c r="AA9">
        <v>0.15</v>
      </c>
      <c r="AB9">
        <v>0.2</v>
      </c>
      <c r="AC9">
        <v>0.25</v>
      </c>
      <c r="AD9">
        <v>0.17</v>
      </c>
      <c r="AE9">
        <v>0.23</v>
      </c>
    </row>
    <row r="10" spans="1:31" x14ac:dyDescent="0.2">
      <c r="A10" t="s">
        <v>55</v>
      </c>
      <c r="C10" t="s">
        <v>65</v>
      </c>
      <c r="D10" t="s">
        <v>57</v>
      </c>
      <c r="E10" t="b">
        <v>1</v>
      </c>
      <c r="F10" t="s">
        <v>10</v>
      </c>
      <c r="G10">
        <v>5000</v>
      </c>
      <c r="H10">
        <v>50</v>
      </c>
      <c r="M10">
        <v>0.1</v>
      </c>
      <c r="N10">
        <v>0.2</v>
      </c>
      <c r="O10">
        <v>0.3</v>
      </c>
      <c r="P10">
        <v>0.4</v>
      </c>
      <c r="Q10">
        <v>0.15</v>
      </c>
      <c r="R10">
        <v>0.2</v>
      </c>
      <c r="S10">
        <v>0.25</v>
      </c>
      <c r="T10">
        <v>0.17</v>
      </c>
      <c r="U10">
        <v>0.23</v>
      </c>
      <c r="V10">
        <v>0.15</v>
      </c>
      <c r="W10">
        <v>0.2</v>
      </c>
      <c r="X10">
        <v>0.25</v>
      </c>
      <c r="Y10">
        <v>0.17</v>
      </c>
      <c r="Z10">
        <v>0.23</v>
      </c>
      <c r="AA10">
        <v>0.15</v>
      </c>
      <c r="AB10">
        <v>0.2</v>
      </c>
      <c r="AC10">
        <v>0.25</v>
      </c>
      <c r="AD10">
        <v>0.17</v>
      </c>
      <c r="AE10">
        <v>0.23</v>
      </c>
    </row>
    <row r="11" spans="1:31" s="11" customFormat="1" x14ac:dyDescent="0.2">
      <c r="A11" s="11" t="s">
        <v>55</v>
      </c>
      <c r="C11" s="11" t="s">
        <v>65</v>
      </c>
      <c r="D11" s="11" t="s">
        <v>57</v>
      </c>
      <c r="E11" s="11" t="b">
        <v>1</v>
      </c>
      <c r="F11" s="11" t="s">
        <v>11</v>
      </c>
      <c r="G11" s="11">
        <v>5000</v>
      </c>
      <c r="H11" s="11">
        <v>50</v>
      </c>
      <c r="M11" s="11">
        <v>0.1</v>
      </c>
      <c r="N11" s="11">
        <v>0.2</v>
      </c>
      <c r="O11" s="11">
        <v>0.3</v>
      </c>
      <c r="P11" s="11">
        <v>0.4</v>
      </c>
      <c r="Q11" s="11">
        <v>0.15</v>
      </c>
      <c r="R11" s="11">
        <v>0.2</v>
      </c>
      <c r="S11" s="11">
        <v>0.25</v>
      </c>
      <c r="T11" s="11">
        <v>0.17</v>
      </c>
      <c r="U11" s="11">
        <v>0.23</v>
      </c>
      <c r="V11" s="11">
        <v>0.15</v>
      </c>
      <c r="W11" s="11">
        <v>0.2</v>
      </c>
      <c r="X11" s="11">
        <v>0.25</v>
      </c>
      <c r="Y11" s="11">
        <v>0.17</v>
      </c>
      <c r="Z11" s="11">
        <v>0.23</v>
      </c>
      <c r="AA11" s="11">
        <v>0.15</v>
      </c>
      <c r="AB11" s="11">
        <v>0.2</v>
      </c>
      <c r="AC11" s="11">
        <v>0.25</v>
      </c>
      <c r="AD11" s="11">
        <v>0.17</v>
      </c>
      <c r="AE11" s="11">
        <v>0.23</v>
      </c>
    </row>
    <row r="12" spans="1:31" x14ac:dyDescent="0.2">
      <c r="A12" t="s">
        <v>70</v>
      </c>
      <c r="C12" t="s">
        <v>62</v>
      </c>
      <c r="D12" t="s">
        <v>67</v>
      </c>
      <c r="E12" t="b">
        <v>1</v>
      </c>
      <c r="F12" t="s">
        <v>9</v>
      </c>
      <c r="G12">
        <v>2250</v>
      </c>
      <c r="H12">
        <v>125</v>
      </c>
      <c r="M12">
        <v>0.4</v>
      </c>
      <c r="N12">
        <v>0.3</v>
      </c>
      <c r="O12">
        <v>0.2</v>
      </c>
      <c r="P12">
        <v>0.1</v>
      </c>
      <c r="Q12">
        <v>0.2</v>
      </c>
      <c r="R12">
        <v>0.25</v>
      </c>
      <c r="S12">
        <v>0.2</v>
      </c>
      <c r="T12">
        <v>0.25</v>
      </c>
      <c r="U12">
        <v>0.1</v>
      </c>
      <c r="V12">
        <v>0.2</v>
      </c>
      <c r="W12">
        <v>0.25</v>
      </c>
      <c r="X12">
        <v>0.2</v>
      </c>
      <c r="Y12">
        <v>0.25</v>
      </c>
      <c r="Z12">
        <v>0.1</v>
      </c>
      <c r="AA12">
        <v>0.2</v>
      </c>
      <c r="AB12">
        <v>0.25</v>
      </c>
      <c r="AC12">
        <v>0.2</v>
      </c>
      <c r="AD12">
        <v>0.25</v>
      </c>
      <c r="AE12">
        <v>0.1</v>
      </c>
    </row>
    <row r="13" spans="1:31" x14ac:dyDescent="0.2">
      <c r="A13" t="s">
        <v>70</v>
      </c>
      <c r="C13" t="s">
        <v>62</v>
      </c>
      <c r="D13" t="s">
        <v>67</v>
      </c>
      <c r="E13" t="b">
        <v>1</v>
      </c>
      <c r="F13" t="s">
        <v>88</v>
      </c>
      <c r="G13">
        <v>2250</v>
      </c>
      <c r="H13">
        <v>125</v>
      </c>
      <c r="M13">
        <v>0.4</v>
      </c>
      <c r="N13">
        <v>0.3</v>
      </c>
      <c r="O13">
        <v>0.2</v>
      </c>
      <c r="P13">
        <v>0.1</v>
      </c>
      <c r="Q13">
        <v>0.2</v>
      </c>
      <c r="R13">
        <v>0.25</v>
      </c>
      <c r="S13">
        <v>0.2</v>
      </c>
      <c r="T13">
        <v>0.25</v>
      </c>
      <c r="U13">
        <v>0.1</v>
      </c>
      <c r="V13">
        <v>0.2</v>
      </c>
      <c r="W13">
        <v>0.25</v>
      </c>
      <c r="X13">
        <v>0.2</v>
      </c>
      <c r="Y13">
        <v>0.25</v>
      </c>
      <c r="Z13">
        <v>0.1</v>
      </c>
      <c r="AA13">
        <v>0.2</v>
      </c>
      <c r="AB13">
        <v>0.25</v>
      </c>
      <c r="AC13">
        <v>0.2</v>
      </c>
      <c r="AD13">
        <v>0.25</v>
      </c>
      <c r="AE13">
        <v>0.1</v>
      </c>
    </row>
    <row r="14" spans="1:31" x14ac:dyDescent="0.2">
      <c r="A14" t="s">
        <v>70</v>
      </c>
      <c r="C14" t="s">
        <v>62</v>
      </c>
      <c r="D14" t="s">
        <v>67</v>
      </c>
      <c r="E14" t="b">
        <v>1</v>
      </c>
      <c r="F14" t="s">
        <v>10</v>
      </c>
      <c r="G14">
        <v>2250</v>
      </c>
      <c r="H14">
        <v>125</v>
      </c>
      <c r="M14">
        <v>0.4</v>
      </c>
      <c r="N14">
        <v>0.3</v>
      </c>
      <c r="O14">
        <v>0.2</v>
      </c>
      <c r="P14">
        <v>0.1</v>
      </c>
      <c r="Q14">
        <v>0.2</v>
      </c>
      <c r="R14">
        <v>0.25</v>
      </c>
      <c r="S14">
        <v>0.2</v>
      </c>
      <c r="T14">
        <v>0.25</v>
      </c>
      <c r="U14">
        <v>0.1</v>
      </c>
      <c r="V14">
        <v>0.2</v>
      </c>
      <c r="W14">
        <v>0.25</v>
      </c>
      <c r="X14">
        <v>0.2</v>
      </c>
      <c r="Y14">
        <v>0.25</v>
      </c>
      <c r="Z14">
        <v>0.1</v>
      </c>
      <c r="AA14">
        <v>0.2</v>
      </c>
      <c r="AB14">
        <v>0.25</v>
      </c>
      <c r="AC14">
        <v>0.2</v>
      </c>
      <c r="AD14">
        <v>0.25</v>
      </c>
      <c r="AE14">
        <v>0.1</v>
      </c>
    </row>
    <row r="15" spans="1:31" s="11" customFormat="1" x14ac:dyDescent="0.2">
      <c r="A15" s="11" t="s">
        <v>70</v>
      </c>
      <c r="C15" s="11" t="s">
        <v>62</v>
      </c>
      <c r="D15" s="11" t="s">
        <v>67</v>
      </c>
      <c r="E15" s="11" t="b">
        <v>1</v>
      </c>
      <c r="F15" s="11" t="s">
        <v>11</v>
      </c>
      <c r="G15" s="11">
        <v>2250</v>
      </c>
      <c r="H15" s="11">
        <v>125</v>
      </c>
      <c r="M15" s="11">
        <v>0.4</v>
      </c>
      <c r="N15" s="11">
        <v>0.3</v>
      </c>
      <c r="O15" s="11">
        <v>0.2</v>
      </c>
      <c r="P15" s="11">
        <v>0.1</v>
      </c>
      <c r="Q15" s="11">
        <v>0.2</v>
      </c>
      <c r="R15" s="11">
        <v>0.25</v>
      </c>
      <c r="S15" s="11">
        <v>0.2</v>
      </c>
      <c r="T15" s="11">
        <v>0.25</v>
      </c>
      <c r="U15" s="11">
        <v>0.1</v>
      </c>
      <c r="V15" s="11">
        <v>0.2</v>
      </c>
      <c r="W15" s="11">
        <v>0.25</v>
      </c>
      <c r="X15" s="11">
        <v>0.2</v>
      </c>
      <c r="Y15" s="11">
        <v>0.25</v>
      </c>
      <c r="Z15" s="11">
        <v>0.1</v>
      </c>
      <c r="AA15" s="11">
        <v>0.2</v>
      </c>
      <c r="AB15" s="11">
        <v>0.25</v>
      </c>
      <c r="AC15" s="11">
        <v>0.2</v>
      </c>
      <c r="AD15" s="11">
        <v>0.25</v>
      </c>
      <c r="AE15" s="11">
        <v>0.1</v>
      </c>
    </row>
    <row r="16" spans="1:31" x14ac:dyDescent="0.2">
      <c r="A16" t="s">
        <v>75</v>
      </c>
      <c r="C16" t="s">
        <v>61</v>
      </c>
      <c r="D16" t="s">
        <v>57</v>
      </c>
      <c r="E16" t="b">
        <v>1</v>
      </c>
      <c r="F16" t="s">
        <v>9</v>
      </c>
      <c r="G16">
        <v>3333</v>
      </c>
      <c r="H16">
        <v>111</v>
      </c>
      <c r="M16">
        <v>0</v>
      </c>
      <c r="N16">
        <v>0.9</v>
      </c>
      <c r="O16">
        <v>0</v>
      </c>
      <c r="P16">
        <v>0.1</v>
      </c>
      <c r="Q16">
        <v>0.34</v>
      </c>
      <c r="R16">
        <v>0.6</v>
      </c>
      <c r="S16">
        <v>0</v>
      </c>
      <c r="T16">
        <v>0</v>
      </c>
      <c r="U16">
        <v>0.06</v>
      </c>
      <c r="V16">
        <v>0.34</v>
      </c>
      <c r="W16">
        <v>0.6</v>
      </c>
      <c r="X16">
        <v>0</v>
      </c>
      <c r="Y16">
        <v>0</v>
      </c>
      <c r="Z16">
        <v>0.06</v>
      </c>
      <c r="AA16">
        <v>0.34</v>
      </c>
      <c r="AB16">
        <v>0.6</v>
      </c>
      <c r="AC16">
        <v>0</v>
      </c>
      <c r="AD16">
        <v>0</v>
      </c>
      <c r="AE16">
        <v>0.06</v>
      </c>
    </row>
    <row r="17" spans="1:31" x14ac:dyDescent="0.2">
      <c r="A17" t="s">
        <v>75</v>
      </c>
      <c r="C17" t="s">
        <v>61</v>
      </c>
      <c r="D17" t="s">
        <v>57</v>
      </c>
      <c r="E17" t="b">
        <v>1</v>
      </c>
      <c r="F17" t="s">
        <v>88</v>
      </c>
      <c r="G17">
        <v>3333</v>
      </c>
      <c r="H17">
        <v>111</v>
      </c>
      <c r="M17">
        <v>0</v>
      </c>
      <c r="N17">
        <v>0.9</v>
      </c>
      <c r="O17">
        <v>0</v>
      </c>
      <c r="P17">
        <v>0.1</v>
      </c>
      <c r="Q17">
        <v>0.34</v>
      </c>
      <c r="R17">
        <v>0.6</v>
      </c>
      <c r="S17">
        <v>0</v>
      </c>
      <c r="T17">
        <v>0</v>
      </c>
      <c r="U17">
        <v>0.06</v>
      </c>
      <c r="V17">
        <v>0.34</v>
      </c>
      <c r="W17">
        <v>0.6</v>
      </c>
      <c r="X17">
        <v>0</v>
      </c>
      <c r="Y17">
        <v>0</v>
      </c>
      <c r="Z17">
        <v>0.06</v>
      </c>
      <c r="AA17">
        <v>0.34</v>
      </c>
      <c r="AB17">
        <v>0.6</v>
      </c>
      <c r="AC17">
        <v>0</v>
      </c>
      <c r="AD17">
        <v>0</v>
      </c>
      <c r="AE17">
        <v>0.06</v>
      </c>
    </row>
    <row r="18" spans="1:31" x14ac:dyDescent="0.2">
      <c r="A18" t="s">
        <v>75</v>
      </c>
      <c r="C18" t="s">
        <v>61</v>
      </c>
      <c r="D18" t="s">
        <v>57</v>
      </c>
      <c r="E18" t="b">
        <v>1</v>
      </c>
      <c r="F18" t="s">
        <v>10</v>
      </c>
      <c r="G18">
        <v>3333</v>
      </c>
      <c r="H18">
        <v>111</v>
      </c>
      <c r="M18">
        <v>0</v>
      </c>
      <c r="N18">
        <v>0.9</v>
      </c>
      <c r="O18">
        <v>0</v>
      </c>
      <c r="P18">
        <v>0.1</v>
      </c>
      <c r="Q18">
        <v>0.34</v>
      </c>
      <c r="R18">
        <v>0.6</v>
      </c>
      <c r="S18">
        <v>0</v>
      </c>
      <c r="T18">
        <v>0</v>
      </c>
      <c r="U18">
        <v>0.06</v>
      </c>
      <c r="V18">
        <v>0.34</v>
      </c>
      <c r="W18">
        <v>0.6</v>
      </c>
      <c r="X18">
        <v>0</v>
      </c>
      <c r="Y18">
        <v>0</v>
      </c>
      <c r="Z18">
        <v>0.06</v>
      </c>
      <c r="AA18">
        <v>0.34</v>
      </c>
      <c r="AB18">
        <v>0.6</v>
      </c>
      <c r="AC18">
        <v>0</v>
      </c>
      <c r="AD18">
        <v>0</v>
      </c>
      <c r="AE18">
        <v>0.06</v>
      </c>
    </row>
    <row r="19" spans="1:31" s="11" customFormat="1" x14ac:dyDescent="0.2">
      <c r="A19" s="11" t="s">
        <v>75</v>
      </c>
      <c r="C19" s="11" t="s">
        <v>61</v>
      </c>
      <c r="D19" s="11" t="s">
        <v>57</v>
      </c>
      <c r="E19" s="11" t="b">
        <v>1</v>
      </c>
      <c r="F19" s="11" t="s">
        <v>11</v>
      </c>
      <c r="G19" s="11">
        <v>3333</v>
      </c>
      <c r="H19" s="11">
        <v>111</v>
      </c>
      <c r="M19" s="11">
        <v>0</v>
      </c>
      <c r="N19" s="11">
        <v>0.9</v>
      </c>
      <c r="O19" s="11">
        <v>0</v>
      </c>
      <c r="P19" s="11">
        <v>0.1</v>
      </c>
      <c r="Q19" s="11">
        <v>0.34</v>
      </c>
      <c r="R19" s="11">
        <v>0.6</v>
      </c>
      <c r="S19" s="11">
        <v>0</v>
      </c>
      <c r="T19" s="11">
        <v>0</v>
      </c>
      <c r="U19" s="11">
        <v>0.06</v>
      </c>
      <c r="V19" s="11">
        <v>0.34</v>
      </c>
      <c r="W19" s="11">
        <v>0.6</v>
      </c>
      <c r="X19" s="11">
        <v>0</v>
      </c>
      <c r="Y19" s="11">
        <v>0</v>
      </c>
      <c r="Z19" s="11">
        <v>0.06</v>
      </c>
      <c r="AA19" s="11">
        <v>0.34</v>
      </c>
      <c r="AB19" s="11">
        <v>0.6</v>
      </c>
      <c r="AC19" s="11">
        <v>0</v>
      </c>
      <c r="AD19" s="11">
        <v>0</v>
      </c>
      <c r="AE19" s="11">
        <v>0.06</v>
      </c>
    </row>
    <row r="20" spans="1:31" x14ac:dyDescent="0.2">
      <c r="A20" t="s">
        <v>71</v>
      </c>
      <c r="C20" t="s">
        <v>64</v>
      </c>
      <c r="D20" t="s">
        <v>67</v>
      </c>
      <c r="E20" t="b">
        <v>0</v>
      </c>
      <c r="F20" t="s">
        <v>9</v>
      </c>
      <c r="G20">
        <v>1234</v>
      </c>
      <c r="H20">
        <v>150</v>
      </c>
      <c r="M20">
        <v>0.1</v>
      </c>
      <c r="N20">
        <v>0</v>
      </c>
      <c r="O20">
        <v>0</v>
      </c>
      <c r="P20">
        <v>0.9</v>
      </c>
      <c r="Q20">
        <v>0.5</v>
      </c>
      <c r="R20">
        <v>0.25</v>
      </c>
      <c r="S20">
        <v>0.25</v>
      </c>
      <c r="T20">
        <v>0</v>
      </c>
      <c r="U20">
        <v>0</v>
      </c>
      <c r="V20">
        <v>0.5</v>
      </c>
      <c r="W20">
        <v>0.25</v>
      </c>
      <c r="X20">
        <v>0.25</v>
      </c>
      <c r="Y20">
        <v>0</v>
      </c>
      <c r="Z20">
        <v>0</v>
      </c>
      <c r="AA20">
        <v>0.5</v>
      </c>
      <c r="AB20">
        <v>0.25</v>
      </c>
      <c r="AC20">
        <v>0.25</v>
      </c>
      <c r="AD20">
        <v>0</v>
      </c>
      <c r="AE20">
        <v>0</v>
      </c>
    </row>
    <row r="21" spans="1:31" x14ac:dyDescent="0.2">
      <c r="A21" t="s">
        <v>71</v>
      </c>
      <c r="C21" t="s">
        <v>64</v>
      </c>
      <c r="D21" t="s">
        <v>67</v>
      </c>
      <c r="E21" t="b">
        <v>0</v>
      </c>
      <c r="F21" t="s">
        <v>88</v>
      </c>
      <c r="G21">
        <v>1234</v>
      </c>
      <c r="H21">
        <v>150</v>
      </c>
      <c r="M21">
        <v>0.1</v>
      </c>
      <c r="N21">
        <v>0</v>
      </c>
      <c r="O21">
        <v>0</v>
      </c>
      <c r="P21">
        <v>0.9</v>
      </c>
      <c r="Q21">
        <v>0.5</v>
      </c>
      <c r="R21">
        <v>0.25</v>
      </c>
      <c r="S21">
        <v>0.25</v>
      </c>
      <c r="T21">
        <v>0</v>
      </c>
      <c r="U21">
        <v>0</v>
      </c>
      <c r="V21">
        <v>0.5</v>
      </c>
      <c r="W21">
        <v>0.25</v>
      </c>
      <c r="X21">
        <v>0.25</v>
      </c>
      <c r="Y21">
        <v>0</v>
      </c>
      <c r="Z21">
        <v>0</v>
      </c>
      <c r="AA21">
        <v>0.5</v>
      </c>
      <c r="AB21">
        <v>0.25</v>
      </c>
      <c r="AC21">
        <v>0.25</v>
      </c>
      <c r="AD21">
        <v>0</v>
      </c>
      <c r="AE21">
        <v>0</v>
      </c>
    </row>
    <row r="22" spans="1:31" x14ac:dyDescent="0.2">
      <c r="A22" t="s">
        <v>71</v>
      </c>
      <c r="C22" t="s">
        <v>64</v>
      </c>
      <c r="D22" t="s">
        <v>67</v>
      </c>
      <c r="E22" t="b">
        <v>0</v>
      </c>
      <c r="F22" t="s">
        <v>10</v>
      </c>
      <c r="G22">
        <v>1234</v>
      </c>
      <c r="H22">
        <v>150</v>
      </c>
      <c r="M22">
        <v>0.1</v>
      </c>
      <c r="N22">
        <v>0</v>
      </c>
      <c r="O22">
        <v>0</v>
      </c>
      <c r="P22">
        <v>0.9</v>
      </c>
      <c r="Q22">
        <v>0.5</v>
      </c>
      <c r="R22">
        <v>0.25</v>
      </c>
      <c r="S22">
        <v>0.25</v>
      </c>
      <c r="T22">
        <v>0</v>
      </c>
      <c r="U22">
        <v>0</v>
      </c>
      <c r="V22">
        <v>0.5</v>
      </c>
      <c r="W22">
        <v>0.25</v>
      </c>
      <c r="X22">
        <v>0.25</v>
      </c>
      <c r="Y22">
        <v>0</v>
      </c>
      <c r="Z22">
        <v>0</v>
      </c>
      <c r="AA22">
        <v>0.5</v>
      </c>
      <c r="AB22">
        <v>0.25</v>
      </c>
      <c r="AC22">
        <v>0.25</v>
      </c>
      <c r="AD22">
        <v>0</v>
      </c>
      <c r="AE22">
        <v>0</v>
      </c>
    </row>
    <row r="23" spans="1:31" s="11" customFormat="1" x14ac:dyDescent="0.2">
      <c r="A23" s="11" t="s">
        <v>71</v>
      </c>
      <c r="C23" s="11" t="s">
        <v>64</v>
      </c>
      <c r="D23" s="11" t="s">
        <v>67</v>
      </c>
      <c r="E23" s="11" t="b">
        <v>0</v>
      </c>
      <c r="F23" s="11" t="s">
        <v>11</v>
      </c>
      <c r="G23" s="11">
        <v>1234</v>
      </c>
      <c r="H23" s="11">
        <v>150</v>
      </c>
      <c r="M23" s="11">
        <v>0.1</v>
      </c>
      <c r="N23" s="11">
        <v>0</v>
      </c>
      <c r="O23" s="11">
        <v>0</v>
      </c>
      <c r="P23" s="11">
        <v>0.9</v>
      </c>
      <c r="Q23" s="11">
        <v>0.5</v>
      </c>
      <c r="R23" s="11">
        <v>0.25</v>
      </c>
      <c r="S23" s="11">
        <v>0.25</v>
      </c>
      <c r="T23" s="11">
        <v>0</v>
      </c>
      <c r="U23" s="11">
        <v>0</v>
      </c>
      <c r="V23" s="11">
        <v>0.5</v>
      </c>
      <c r="W23" s="11">
        <v>0.25</v>
      </c>
      <c r="X23" s="11">
        <v>0.25</v>
      </c>
      <c r="Y23" s="11">
        <v>0</v>
      </c>
      <c r="Z23" s="11">
        <v>0</v>
      </c>
      <c r="AA23" s="11">
        <v>0.5</v>
      </c>
      <c r="AB23" s="11">
        <v>0.25</v>
      </c>
      <c r="AC23" s="11">
        <v>0.25</v>
      </c>
      <c r="AD23" s="11">
        <v>0</v>
      </c>
      <c r="AE23" s="11">
        <v>0</v>
      </c>
    </row>
    <row r="25" spans="1:31" x14ac:dyDescent="0.2">
      <c r="A25" t="s">
        <v>215</v>
      </c>
    </row>
    <row r="27" spans="1:31" x14ac:dyDescent="0.2">
      <c r="A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K27" t="s">
        <v>1</v>
      </c>
      <c r="L27" t="s">
        <v>1</v>
      </c>
      <c r="M27" t="s">
        <v>1</v>
      </c>
    </row>
    <row r="29" spans="1:31" x14ac:dyDescent="0.2">
      <c r="A29" t="s">
        <v>35</v>
      </c>
      <c r="B29" t="s">
        <v>39</v>
      </c>
      <c r="C29" t="s">
        <v>38</v>
      </c>
      <c r="D29" t="s">
        <v>56</v>
      </c>
      <c r="E29" t="s">
        <v>59</v>
      </c>
      <c r="F29" t="s">
        <v>28</v>
      </c>
      <c r="G29" t="s">
        <v>2</v>
      </c>
      <c r="H29" t="s">
        <v>3</v>
      </c>
      <c r="I29" t="s">
        <v>40</v>
      </c>
      <c r="K29" t="s">
        <v>42</v>
      </c>
      <c r="L29" t="s">
        <v>45</v>
      </c>
      <c r="M29" t="s">
        <v>113</v>
      </c>
      <c r="Q29" t="s">
        <v>119</v>
      </c>
      <c r="V29" t="s">
        <v>120</v>
      </c>
      <c r="AA29" t="s">
        <v>223</v>
      </c>
    </row>
    <row r="30" spans="1:31" x14ac:dyDescent="0.2">
      <c r="M30" t="s">
        <v>16</v>
      </c>
      <c r="N30" t="s">
        <v>17</v>
      </c>
      <c r="O30" t="s">
        <v>18</v>
      </c>
      <c r="P30" t="s">
        <v>36</v>
      </c>
      <c r="Q30" t="s">
        <v>19</v>
      </c>
      <c r="R30" t="s">
        <v>20</v>
      </c>
      <c r="S30" t="s">
        <v>22</v>
      </c>
      <c r="T30" t="s">
        <v>21</v>
      </c>
      <c r="U30" t="s">
        <v>37</v>
      </c>
      <c r="V30" t="s">
        <v>19</v>
      </c>
      <c r="W30" t="s">
        <v>20</v>
      </c>
      <c r="X30" t="s">
        <v>22</v>
      </c>
      <c r="Y30" t="s">
        <v>21</v>
      </c>
      <c r="Z30" t="s">
        <v>37</v>
      </c>
      <c r="AA30" t="s">
        <v>19</v>
      </c>
      <c r="AB30" t="s">
        <v>20</v>
      </c>
      <c r="AC30" t="s">
        <v>22</v>
      </c>
      <c r="AD30" t="s">
        <v>21</v>
      </c>
      <c r="AE30" t="s">
        <v>37</v>
      </c>
    </row>
    <row r="31" spans="1:31" s="11" customFormat="1" x14ac:dyDescent="0.2">
      <c r="A31" s="14" t="s">
        <v>26</v>
      </c>
      <c r="B31" s="14" t="s">
        <v>26</v>
      </c>
      <c r="C31" s="14"/>
      <c r="D31" s="14" t="s">
        <v>58</v>
      </c>
      <c r="E31" s="14" t="s">
        <v>60</v>
      </c>
      <c r="F31" s="14" t="s">
        <v>220</v>
      </c>
      <c r="G31" s="14" t="s">
        <v>219</v>
      </c>
      <c r="H31" s="14" t="s">
        <v>218</v>
      </c>
      <c r="I31" s="14" t="s">
        <v>217</v>
      </c>
      <c r="J31" s="14" t="s">
        <v>216</v>
      </c>
      <c r="K31" s="14" t="s">
        <v>221</v>
      </c>
      <c r="L31" s="14" t="s">
        <v>222</v>
      </c>
      <c r="M31" s="14" t="s">
        <v>110</v>
      </c>
      <c r="N31" s="14" t="s">
        <v>109</v>
      </c>
      <c r="O31" s="14" t="s">
        <v>111</v>
      </c>
      <c r="P31" s="14" t="s">
        <v>112</v>
      </c>
      <c r="Q31" s="14" t="s">
        <v>114</v>
      </c>
      <c r="R31" s="14" t="s">
        <v>115</v>
      </c>
      <c r="S31" s="14" t="s">
        <v>116</v>
      </c>
      <c r="T31" s="14" t="s">
        <v>117</v>
      </c>
      <c r="U31" s="14" t="s">
        <v>118</v>
      </c>
      <c r="V31" s="14" t="s">
        <v>114</v>
      </c>
      <c r="W31" s="14" t="s">
        <v>115</v>
      </c>
      <c r="X31" s="14" t="s">
        <v>116</v>
      </c>
      <c r="Y31" s="14" t="s">
        <v>117</v>
      </c>
      <c r="Z31" s="14" t="s">
        <v>118</v>
      </c>
      <c r="AA31" s="14" t="s">
        <v>114</v>
      </c>
      <c r="AB31" s="14" t="s">
        <v>115</v>
      </c>
      <c r="AC31" s="14" t="s">
        <v>116</v>
      </c>
      <c r="AD31" s="14" t="s">
        <v>117</v>
      </c>
      <c r="AE31" s="14" t="s">
        <v>118</v>
      </c>
    </row>
    <row r="32" spans="1:31" x14ac:dyDescent="0.2">
      <c r="A32" t="s">
        <v>55</v>
      </c>
      <c r="B32">
        <v>13</v>
      </c>
      <c r="C32" t="s">
        <v>65</v>
      </c>
      <c r="D32" t="s">
        <v>57</v>
      </c>
      <c r="E32" t="b">
        <v>1</v>
      </c>
      <c r="F32" t="s">
        <v>9</v>
      </c>
      <c r="G32">
        <v>5000</v>
      </c>
      <c r="H32">
        <v>50</v>
      </c>
      <c r="I32" s="20">
        <v>8.7999999999999995E-2</v>
      </c>
      <c r="J32" s="20">
        <v>0.8</v>
      </c>
      <c r="K32" s="20">
        <v>0.2</v>
      </c>
      <c r="L32" s="20"/>
      <c r="M32" s="22">
        <v>0.1</v>
      </c>
      <c r="N32">
        <v>0.2</v>
      </c>
      <c r="O32">
        <v>0.3</v>
      </c>
      <c r="P32">
        <v>0.4</v>
      </c>
      <c r="Q32" s="22">
        <v>0.5</v>
      </c>
      <c r="R32">
        <v>0.5</v>
      </c>
      <c r="S32">
        <v>0</v>
      </c>
      <c r="T32">
        <v>0</v>
      </c>
      <c r="U32">
        <v>0</v>
      </c>
      <c r="V32" s="22">
        <v>0</v>
      </c>
      <c r="W32">
        <v>0</v>
      </c>
      <c r="X32">
        <v>0.75</v>
      </c>
      <c r="Y32">
        <v>0.25</v>
      </c>
      <c r="Z32">
        <v>0</v>
      </c>
      <c r="AA32" s="22">
        <v>0</v>
      </c>
      <c r="AB32">
        <v>0</v>
      </c>
      <c r="AC32">
        <v>0</v>
      </c>
      <c r="AD32">
        <v>0</v>
      </c>
      <c r="AE32">
        <v>1</v>
      </c>
    </row>
    <row r="33" spans="1:31" x14ac:dyDescent="0.2">
      <c r="A33" t="s">
        <v>55</v>
      </c>
      <c r="B33">
        <v>13</v>
      </c>
      <c r="C33" t="s">
        <v>65</v>
      </c>
      <c r="D33" t="s">
        <v>57</v>
      </c>
      <c r="E33" t="b">
        <v>1</v>
      </c>
      <c r="F33" t="s">
        <v>88</v>
      </c>
      <c r="G33">
        <v>5000</v>
      </c>
      <c r="H33">
        <v>50</v>
      </c>
      <c r="I33" s="20">
        <v>0.1</v>
      </c>
      <c r="J33" s="20">
        <v>0.8</v>
      </c>
      <c r="K33" s="20">
        <v>0.19</v>
      </c>
      <c r="L33" s="20"/>
      <c r="M33" s="23">
        <v>0.1</v>
      </c>
      <c r="N33">
        <v>0.2</v>
      </c>
      <c r="O33">
        <v>0.3</v>
      </c>
      <c r="P33">
        <v>0.4</v>
      </c>
      <c r="Q33" s="23">
        <v>0.5</v>
      </c>
      <c r="R33">
        <v>0.5</v>
      </c>
      <c r="S33">
        <v>0</v>
      </c>
      <c r="T33">
        <v>0</v>
      </c>
      <c r="U33">
        <v>0</v>
      </c>
      <c r="V33" s="23">
        <v>0</v>
      </c>
      <c r="W33">
        <v>0</v>
      </c>
      <c r="X33">
        <v>0.75</v>
      </c>
      <c r="Y33">
        <v>0.25</v>
      </c>
      <c r="Z33">
        <v>0</v>
      </c>
      <c r="AA33" s="23">
        <v>0</v>
      </c>
      <c r="AB33">
        <v>0</v>
      </c>
      <c r="AC33">
        <v>0</v>
      </c>
      <c r="AD33">
        <v>0</v>
      </c>
      <c r="AE33">
        <v>1</v>
      </c>
    </row>
    <row r="34" spans="1:31" x14ac:dyDescent="0.2">
      <c r="A34" t="s">
        <v>55</v>
      </c>
      <c r="B34">
        <v>13</v>
      </c>
      <c r="C34" t="s">
        <v>65</v>
      </c>
      <c r="D34" t="s">
        <v>57</v>
      </c>
      <c r="E34" t="b">
        <v>1</v>
      </c>
      <c r="F34" t="s">
        <v>10</v>
      </c>
      <c r="G34">
        <v>5000</v>
      </c>
      <c r="H34">
        <v>50</v>
      </c>
      <c r="I34" s="20">
        <v>0.09</v>
      </c>
      <c r="J34" s="20">
        <v>0.8</v>
      </c>
      <c r="K34" s="20">
        <v>0.25</v>
      </c>
      <c r="L34" s="20"/>
      <c r="M34" s="23">
        <v>0.1</v>
      </c>
      <c r="N34">
        <v>0.2</v>
      </c>
      <c r="O34">
        <v>0.3</v>
      </c>
      <c r="P34">
        <v>0.4</v>
      </c>
      <c r="Q34" s="23">
        <v>0.5</v>
      </c>
      <c r="R34">
        <v>0.5</v>
      </c>
      <c r="S34">
        <v>0</v>
      </c>
      <c r="T34">
        <v>0</v>
      </c>
      <c r="U34">
        <v>0</v>
      </c>
      <c r="V34" s="23">
        <v>0</v>
      </c>
      <c r="W34">
        <v>0</v>
      </c>
      <c r="X34">
        <v>0.75</v>
      </c>
      <c r="Y34">
        <v>0.25</v>
      </c>
      <c r="Z34">
        <v>0</v>
      </c>
      <c r="AA34" s="23">
        <v>0</v>
      </c>
      <c r="AB34">
        <v>0</v>
      </c>
      <c r="AC34">
        <v>0</v>
      </c>
      <c r="AD34">
        <v>0</v>
      </c>
      <c r="AE34">
        <v>1</v>
      </c>
    </row>
    <row r="35" spans="1:31" s="11" customFormat="1" x14ac:dyDescent="0.2">
      <c r="A35" s="11" t="s">
        <v>55</v>
      </c>
      <c r="B35" s="11">
        <v>13</v>
      </c>
      <c r="C35" s="11" t="s">
        <v>65</v>
      </c>
      <c r="D35" s="11" t="s">
        <v>57</v>
      </c>
      <c r="E35" s="11" t="b">
        <v>1</v>
      </c>
      <c r="F35" s="11" t="s">
        <v>11</v>
      </c>
      <c r="G35" s="11">
        <v>5000</v>
      </c>
      <c r="H35" s="11">
        <v>50</v>
      </c>
      <c r="I35" s="21">
        <v>0.08</v>
      </c>
      <c r="J35" s="21">
        <v>0.8</v>
      </c>
      <c r="K35" s="21">
        <v>0.23</v>
      </c>
      <c r="L35" s="21"/>
      <c r="M35" s="24">
        <v>0.1</v>
      </c>
      <c r="N35" s="11">
        <v>0.2</v>
      </c>
      <c r="O35" s="11">
        <v>0.3</v>
      </c>
      <c r="P35" s="11">
        <v>0.4</v>
      </c>
      <c r="Q35" s="24">
        <v>0.5</v>
      </c>
      <c r="R35" s="11">
        <v>0.5</v>
      </c>
      <c r="S35" s="11">
        <v>0</v>
      </c>
      <c r="T35" s="11">
        <v>0</v>
      </c>
      <c r="U35" s="11">
        <v>0</v>
      </c>
      <c r="V35" s="24">
        <v>0</v>
      </c>
      <c r="W35" s="11">
        <v>0</v>
      </c>
      <c r="X35" s="11">
        <v>0.75</v>
      </c>
      <c r="Y35" s="11">
        <v>0.25</v>
      </c>
      <c r="Z35" s="11">
        <v>0</v>
      </c>
      <c r="AA35" s="24">
        <v>0</v>
      </c>
      <c r="AB35" s="11">
        <v>0</v>
      </c>
      <c r="AC35" s="11">
        <v>0</v>
      </c>
      <c r="AD35" s="11">
        <v>0</v>
      </c>
      <c r="AE35" s="11">
        <v>1</v>
      </c>
    </row>
    <row r="36" spans="1:31" x14ac:dyDescent="0.2">
      <c r="A36" t="s">
        <v>70</v>
      </c>
      <c r="B36">
        <v>15</v>
      </c>
      <c r="C36" t="s">
        <v>62</v>
      </c>
      <c r="D36" t="s">
        <v>67</v>
      </c>
      <c r="E36" t="b">
        <v>1</v>
      </c>
      <c r="F36" t="s">
        <v>9</v>
      </c>
      <c r="G36">
        <v>2250</v>
      </c>
      <c r="H36">
        <v>125</v>
      </c>
      <c r="I36" s="20">
        <v>0.06</v>
      </c>
      <c r="J36" s="20">
        <v>0.9</v>
      </c>
      <c r="K36" s="20">
        <v>0.24</v>
      </c>
      <c r="L36" s="20"/>
      <c r="M36" s="23">
        <v>0.4</v>
      </c>
      <c r="N36">
        <v>0.3</v>
      </c>
      <c r="O36">
        <v>0.2</v>
      </c>
      <c r="P36">
        <v>0.1</v>
      </c>
      <c r="Q36" s="23">
        <v>0.2</v>
      </c>
      <c r="R36">
        <v>0.25</v>
      </c>
      <c r="S36">
        <v>0.2</v>
      </c>
      <c r="T36">
        <v>0.25</v>
      </c>
      <c r="U36">
        <v>0.1</v>
      </c>
      <c r="V36" s="23">
        <v>0.34</v>
      </c>
      <c r="W36">
        <v>0.6</v>
      </c>
      <c r="X36">
        <v>0</v>
      </c>
      <c r="Y36">
        <v>0</v>
      </c>
      <c r="Z36">
        <v>0.06</v>
      </c>
      <c r="AA36" s="23">
        <v>0.5</v>
      </c>
      <c r="AB36">
        <v>0.25</v>
      </c>
      <c r="AC36">
        <v>0.25</v>
      </c>
      <c r="AD36">
        <v>0</v>
      </c>
      <c r="AE36">
        <v>0</v>
      </c>
    </row>
    <row r="37" spans="1:31" x14ac:dyDescent="0.2">
      <c r="A37" t="s">
        <v>70</v>
      </c>
      <c r="B37">
        <v>15</v>
      </c>
      <c r="C37" t="s">
        <v>62</v>
      </c>
      <c r="D37" t="s">
        <v>67</v>
      </c>
      <c r="E37" t="b">
        <v>1</v>
      </c>
      <c r="F37" t="s">
        <v>88</v>
      </c>
      <c r="G37">
        <v>2250</v>
      </c>
      <c r="H37">
        <v>125</v>
      </c>
      <c r="I37" s="20">
        <v>0.11</v>
      </c>
      <c r="J37" s="20">
        <v>0.8</v>
      </c>
      <c r="K37" s="20">
        <v>0.25</v>
      </c>
      <c r="L37" s="20"/>
      <c r="M37" s="23">
        <v>0.4</v>
      </c>
      <c r="N37">
        <v>0.3</v>
      </c>
      <c r="O37">
        <v>0.2</v>
      </c>
      <c r="P37">
        <v>0.1</v>
      </c>
      <c r="Q37" s="23">
        <v>0.2</v>
      </c>
      <c r="R37">
        <v>0.25</v>
      </c>
      <c r="S37">
        <v>0.2</v>
      </c>
      <c r="T37">
        <v>0.25</v>
      </c>
      <c r="U37">
        <v>0.1</v>
      </c>
      <c r="V37" s="23">
        <v>0.34</v>
      </c>
      <c r="W37">
        <v>0.6</v>
      </c>
      <c r="X37">
        <v>0</v>
      </c>
      <c r="Y37">
        <v>0</v>
      </c>
      <c r="Z37">
        <v>0.06</v>
      </c>
      <c r="AA37" s="23">
        <v>0.5</v>
      </c>
      <c r="AB37">
        <v>0.25</v>
      </c>
      <c r="AC37">
        <v>0.25</v>
      </c>
      <c r="AD37">
        <v>0</v>
      </c>
      <c r="AE37">
        <v>0</v>
      </c>
    </row>
    <row r="38" spans="1:31" x14ac:dyDescent="0.2">
      <c r="A38" t="s">
        <v>70</v>
      </c>
      <c r="B38">
        <v>15</v>
      </c>
      <c r="C38" t="s">
        <v>62</v>
      </c>
      <c r="D38" t="s">
        <v>67</v>
      </c>
      <c r="E38" t="b">
        <v>1</v>
      </c>
      <c r="F38" t="s">
        <v>10</v>
      </c>
      <c r="G38">
        <v>2250</v>
      </c>
      <c r="H38">
        <v>125</v>
      </c>
      <c r="I38" s="20">
        <v>7.9000000000000001E-2</v>
      </c>
      <c r="J38" s="20">
        <v>0.8</v>
      </c>
      <c r="K38" s="20">
        <v>0.23</v>
      </c>
      <c r="L38" s="20"/>
      <c r="M38" s="23">
        <v>0.4</v>
      </c>
      <c r="N38">
        <v>0.3</v>
      </c>
      <c r="O38">
        <v>0.2</v>
      </c>
      <c r="P38">
        <v>0.1</v>
      </c>
      <c r="Q38" s="23">
        <v>0.2</v>
      </c>
      <c r="R38">
        <v>0.25</v>
      </c>
      <c r="S38">
        <v>0.2</v>
      </c>
      <c r="T38">
        <v>0.25</v>
      </c>
      <c r="U38">
        <v>0.1</v>
      </c>
      <c r="V38" s="23">
        <v>0.34</v>
      </c>
      <c r="W38">
        <v>0.6</v>
      </c>
      <c r="X38">
        <v>0</v>
      </c>
      <c r="Y38">
        <v>0</v>
      </c>
      <c r="Z38">
        <v>0.06</v>
      </c>
      <c r="AA38" s="23">
        <v>0.5</v>
      </c>
      <c r="AB38">
        <v>0.25</v>
      </c>
      <c r="AC38">
        <v>0.25</v>
      </c>
      <c r="AD38">
        <v>0</v>
      </c>
      <c r="AE38">
        <v>0</v>
      </c>
    </row>
    <row r="39" spans="1:31" s="11" customFormat="1" x14ac:dyDescent="0.2">
      <c r="A39" s="11" t="s">
        <v>70</v>
      </c>
      <c r="B39" s="11">
        <v>15</v>
      </c>
      <c r="C39" s="11" t="s">
        <v>62</v>
      </c>
      <c r="D39" s="11" t="s">
        <v>67</v>
      </c>
      <c r="E39" s="11" t="b">
        <v>1</v>
      </c>
      <c r="F39" s="11" t="s">
        <v>11</v>
      </c>
      <c r="G39" s="11">
        <v>2250</v>
      </c>
      <c r="H39" s="11">
        <v>125</v>
      </c>
      <c r="I39" s="21">
        <v>9.2999999999999999E-2</v>
      </c>
      <c r="J39" s="21">
        <v>0.8</v>
      </c>
      <c r="K39" s="21">
        <v>0.23</v>
      </c>
      <c r="L39" s="21"/>
      <c r="M39" s="24">
        <v>0.4</v>
      </c>
      <c r="N39" s="11">
        <v>0.3</v>
      </c>
      <c r="O39" s="11">
        <v>0.2</v>
      </c>
      <c r="P39" s="11">
        <v>0.1</v>
      </c>
      <c r="Q39" s="24">
        <v>0.2</v>
      </c>
      <c r="R39" s="11">
        <v>0.25</v>
      </c>
      <c r="S39" s="11">
        <v>0.2</v>
      </c>
      <c r="T39" s="11">
        <v>0.25</v>
      </c>
      <c r="U39" s="11">
        <v>0.1</v>
      </c>
      <c r="V39" s="24">
        <v>0.34</v>
      </c>
      <c r="W39" s="11">
        <v>0.6</v>
      </c>
      <c r="X39" s="11">
        <v>0</v>
      </c>
      <c r="Y39" s="11">
        <v>0</v>
      </c>
      <c r="Z39" s="11">
        <v>0.06</v>
      </c>
      <c r="AA39" s="24">
        <v>0.5</v>
      </c>
      <c r="AB39" s="11">
        <v>0.25</v>
      </c>
      <c r="AC39" s="11">
        <v>0.25</v>
      </c>
      <c r="AD39" s="11">
        <v>0</v>
      </c>
      <c r="AE39" s="11">
        <v>0</v>
      </c>
    </row>
    <row r="40" spans="1:31" x14ac:dyDescent="0.2">
      <c r="A40" t="s">
        <v>75</v>
      </c>
      <c r="B40">
        <v>20</v>
      </c>
      <c r="C40" t="s">
        <v>61</v>
      </c>
      <c r="D40" t="s">
        <v>57</v>
      </c>
      <c r="E40" t="b">
        <v>1</v>
      </c>
      <c r="F40" t="s">
        <v>9</v>
      </c>
      <c r="G40">
        <v>3333</v>
      </c>
      <c r="H40">
        <v>111</v>
      </c>
      <c r="I40" s="20">
        <v>8.5999999999999993E-2</v>
      </c>
      <c r="J40" s="20">
        <v>0.9</v>
      </c>
      <c r="K40" s="20">
        <v>0.18</v>
      </c>
      <c r="L40" s="20"/>
      <c r="M40" s="23">
        <v>0</v>
      </c>
      <c r="N40">
        <v>0.9</v>
      </c>
      <c r="O40">
        <v>0</v>
      </c>
      <c r="P40">
        <v>0.1</v>
      </c>
      <c r="Q40" s="23">
        <v>1</v>
      </c>
      <c r="R40">
        <v>0</v>
      </c>
      <c r="S40">
        <v>0</v>
      </c>
      <c r="T40">
        <v>0</v>
      </c>
      <c r="U40">
        <v>0</v>
      </c>
      <c r="V40" s="23">
        <v>0</v>
      </c>
      <c r="W40">
        <v>1</v>
      </c>
      <c r="X40">
        <v>0</v>
      </c>
      <c r="Y40">
        <v>0</v>
      </c>
      <c r="Z40">
        <v>0</v>
      </c>
      <c r="AA40" s="23">
        <v>0</v>
      </c>
      <c r="AB40">
        <v>0</v>
      </c>
      <c r="AC40">
        <v>1</v>
      </c>
      <c r="AD40">
        <v>0</v>
      </c>
      <c r="AE40">
        <v>0</v>
      </c>
    </row>
    <row r="41" spans="1:31" x14ac:dyDescent="0.2">
      <c r="A41" t="s">
        <v>75</v>
      </c>
      <c r="B41">
        <v>20</v>
      </c>
      <c r="C41" t="s">
        <v>61</v>
      </c>
      <c r="D41" t="s">
        <v>57</v>
      </c>
      <c r="E41" t="b">
        <v>1</v>
      </c>
      <c r="F41" t="s">
        <v>88</v>
      </c>
      <c r="G41">
        <v>3333</v>
      </c>
      <c r="H41">
        <v>111</v>
      </c>
      <c r="I41" s="20">
        <v>0.10299999999999999</v>
      </c>
      <c r="J41" s="20">
        <v>0.7</v>
      </c>
      <c r="K41" s="20">
        <v>0.19</v>
      </c>
      <c r="L41" s="20"/>
      <c r="M41" s="23">
        <v>0</v>
      </c>
      <c r="N41">
        <v>0.9</v>
      </c>
      <c r="O41">
        <v>0</v>
      </c>
      <c r="P41">
        <v>0.1</v>
      </c>
      <c r="Q41" s="23">
        <v>1</v>
      </c>
      <c r="R41">
        <v>0</v>
      </c>
      <c r="S41">
        <v>0</v>
      </c>
      <c r="T41">
        <v>0</v>
      </c>
      <c r="U41">
        <v>0</v>
      </c>
      <c r="V41" s="23">
        <v>0</v>
      </c>
      <c r="W41">
        <v>1</v>
      </c>
      <c r="X41">
        <v>0</v>
      </c>
      <c r="Y41">
        <v>0</v>
      </c>
      <c r="Z41">
        <v>0</v>
      </c>
      <c r="AA41" s="23">
        <v>0</v>
      </c>
      <c r="AB41">
        <v>0</v>
      </c>
      <c r="AC41">
        <v>1</v>
      </c>
      <c r="AD41">
        <v>0</v>
      </c>
      <c r="AE41">
        <v>0</v>
      </c>
    </row>
    <row r="42" spans="1:31" x14ac:dyDescent="0.2">
      <c r="A42" t="s">
        <v>75</v>
      </c>
      <c r="B42">
        <v>20</v>
      </c>
      <c r="C42" t="s">
        <v>61</v>
      </c>
      <c r="D42" t="s">
        <v>57</v>
      </c>
      <c r="E42" t="b">
        <v>1</v>
      </c>
      <c r="F42" t="s">
        <v>10</v>
      </c>
      <c r="G42">
        <v>3333</v>
      </c>
      <c r="H42">
        <v>111</v>
      </c>
      <c r="I42" s="20">
        <v>0.09</v>
      </c>
      <c r="J42" s="20">
        <v>0.9</v>
      </c>
      <c r="K42" s="20">
        <v>0.18</v>
      </c>
      <c r="L42" s="20"/>
      <c r="M42" s="23">
        <v>0</v>
      </c>
      <c r="N42">
        <v>0.9</v>
      </c>
      <c r="O42">
        <v>0</v>
      </c>
      <c r="P42">
        <v>0.1</v>
      </c>
      <c r="Q42" s="23">
        <v>1</v>
      </c>
      <c r="R42">
        <v>0</v>
      </c>
      <c r="S42">
        <v>0</v>
      </c>
      <c r="T42">
        <v>0</v>
      </c>
      <c r="U42">
        <v>0</v>
      </c>
      <c r="V42" s="23">
        <v>0</v>
      </c>
      <c r="W42">
        <v>1</v>
      </c>
      <c r="X42">
        <v>0</v>
      </c>
      <c r="Y42">
        <v>0</v>
      </c>
      <c r="Z42">
        <v>0</v>
      </c>
      <c r="AA42" s="23">
        <v>0</v>
      </c>
      <c r="AB42">
        <v>0</v>
      </c>
      <c r="AC42">
        <v>1</v>
      </c>
      <c r="AD42">
        <v>0</v>
      </c>
      <c r="AE42">
        <v>0</v>
      </c>
    </row>
    <row r="43" spans="1:31" s="11" customFormat="1" x14ac:dyDescent="0.2">
      <c r="A43" s="11" t="s">
        <v>75</v>
      </c>
      <c r="B43" s="11">
        <v>20</v>
      </c>
      <c r="C43" s="11" t="s">
        <v>61</v>
      </c>
      <c r="D43" s="11" t="s">
        <v>57</v>
      </c>
      <c r="E43" s="11" t="b">
        <v>1</v>
      </c>
      <c r="F43" s="11" t="s">
        <v>11</v>
      </c>
      <c r="G43" s="11">
        <v>3333</v>
      </c>
      <c r="H43" s="11">
        <v>111</v>
      </c>
      <c r="I43" s="21">
        <v>9.2999999999999999E-2</v>
      </c>
      <c r="J43" s="21">
        <v>0.7</v>
      </c>
      <c r="K43" s="21">
        <v>0.23</v>
      </c>
      <c r="L43" s="21"/>
      <c r="M43" s="24">
        <v>0</v>
      </c>
      <c r="N43" s="11">
        <v>0.9</v>
      </c>
      <c r="O43" s="11">
        <v>0</v>
      </c>
      <c r="P43" s="11">
        <v>0.1</v>
      </c>
      <c r="Q43" s="24">
        <v>1</v>
      </c>
      <c r="R43" s="11">
        <v>0</v>
      </c>
      <c r="S43" s="11">
        <v>0</v>
      </c>
      <c r="T43" s="11">
        <v>0</v>
      </c>
      <c r="U43" s="11">
        <v>0</v>
      </c>
      <c r="V43" s="24">
        <v>0</v>
      </c>
      <c r="W43" s="11">
        <v>1</v>
      </c>
      <c r="X43" s="11">
        <v>0</v>
      </c>
      <c r="Y43" s="11">
        <v>0</v>
      </c>
      <c r="Z43" s="11">
        <v>0</v>
      </c>
      <c r="AA43" s="24">
        <v>0</v>
      </c>
      <c r="AB43" s="11">
        <v>0</v>
      </c>
      <c r="AC43" s="11">
        <v>1</v>
      </c>
      <c r="AD43" s="11">
        <v>0</v>
      </c>
      <c r="AE43" s="11">
        <v>0</v>
      </c>
    </row>
    <row r="44" spans="1:31" x14ac:dyDescent="0.2">
      <c r="A44" t="s">
        <v>71</v>
      </c>
      <c r="B44">
        <v>27</v>
      </c>
      <c r="C44" t="s">
        <v>64</v>
      </c>
      <c r="D44" t="s">
        <v>67</v>
      </c>
      <c r="E44" t="b">
        <v>0</v>
      </c>
      <c r="F44" t="s">
        <v>9</v>
      </c>
      <c r="G44">
        <v>1234</v>
      </c>
      <c r="H44">
        <v>150</v>
      </c>
      <c r="I44" s="20">
        <v>8.5999999999999993E-2</v>
      </c>
      <c r="J44" s="20">
        <v>0.8</v>
      </c>
      <c r="K44" s="20">
        <v>0.19</v>
      </c>
      <c r="L44" s="20"/>
      <c r="M44" s="23">
        <v>0.1</v>
      </c>
      <c r="N44">
        <v>0</v>
      </c>
      <c r="O44">
        <v>0</v>
      </c>
      <c r="P44">
        <v>0.9</v>
      </c>
      <c r="Q44" s="23">
        <v>0</v>
      </c>
      <c r="R44">
        <v>0.9</v>
      </c>
      <c r="S44">
        <v>0.1</v>
      </c>
      <c r="T44">
        <v>0</v>
      </c>
      <c r="U44">
        <v>0</v>
      </c>
      <c r="V44" s="23">
        <v>0</v>
      </c>
      <c r="W44">
        <v>1</v>
      </c>
      <c r="X44">
        <v>0</v>
      </c>
      <c r="Y44">
        <v>0</v>
      </c>
      <c r="Z44">
        <v>0</v>
      </c>
      <c r="AA44" s="23">
        <v>0</v>
      </c>
      <c r="AB44">
        <v>0</v>
      </c>
      <c r="AC44">
        <v>1</v>
      </c>
      <c r="AD44">
        <v>0</v>
      </c>
      <c r="AE44">
        <v>0</v>
      </c>
    </row>
    <row r="45" spans="1:31" x14ac:dyDescent="0.2">
      <c r="A45" t="s">
        <v>71</v>
      </c>
      <c r="B45">
        <v>27</v>
      </c>
      <c r="C45" t="s">
        <v>64</v>
      </c>
      <c r="D45" t="s">
        <v>67</v>
      </c>
      <c r="E45" t="b">
        <v>0</v>
      </c>
      <c r="F45" t="s">
        <v>88</v>
      </c>
      <c r="G45">
        <v>1234</v>
      </c>
      <c r="H45">
        <v>150</v>
      </c>
      <c r="I45" s="20">
        <v>0.10299999999999999</v>
      </c>
      <c r="J45" s="20">
        <v>0.8</v>
      </c>
      <c r="K45" s="20">
        <v>0.24</v>
      </c>
      <c r="L45" s="20"/>
      <c r="M45" s="23">
        <v>0.1</v>
      </c>
      <c r="N45">
        <v>0</v>
      </c>
      <c r="O45">
        <v>0</v>
      </c>
      <c r="P45">
        <v>0.9</v>
      </c>
      <c r="Q45" s="23">
        <v>0</v>
      </c>
      <c r="R45">
        <v>0.9</v>
      </c>
      <c r="S45">
        <v>0.1</v>
      </c>
      <c r="T45">
        <v>0</v>
      </c>
      <c r="U45">
        <v>0</v>
      </c>
      <c r="V45" s="23">
        <v>0</v>
      </c>
      <c r="W45">
        <v>1</v>
      </c>
      <c r="X45">
        <v>0</v>
      </c>
      <c r="Y45">
        <v>0</v>
      </c>
      <c r="Z45">
        <v>0</v>
      </c>
      <c r="AA45" s="23">
        <v>0</v>
      </c>
      <c r="AB45">
        <v>0</v>
      </c>
      <c r="AC45">
        <v>1</v>
      </c>
      <c r="AD45">
        <v>0</v>
      </c>
      <c r="AE45">
        <v>0</v>
      </c>
    </row>
    <row r="46" spans="1:31" x14ac:dyDescent="0.2">
      <c r="A46" t="s">
        <v>71</v>
      </c>
      <c r="B46">
        <v>27</v>
      </c>
      <c r="C46" t="s">
        <v>64</v>
      </c>
      <c r="D46" t="s">
        <v>67</v>
      </c>
      <c r="E46" t="b">
        <v>0</v>
      </c>
      <c r="F46" t="s">
        <v>10</v>
      </c>
      <c r="G46">
        <v>1234</v>
      </c>
      <c r="H46">
        <v>150</v>
      </c>
      <c r="I46" s="20">
        <v>9.2999999999999999E-2</v>
      </c>
      <c r="J46" s="20">
        <v>0.8</v>
      </c>
      <c r="K46" s="20">
        <v>0.18</v>
      </c>
      <c r="L46" s="20"/>
      <c r="M46" s="23">
        <v>0.1</v>
      </c>
      <c r="N46">
        <v>0</v>
      </c>
      <c r="O46">
        <v>0</v>
      </c>
      <c r="P46">
        <v>0.9</v>
      </c>
      <c r="Q46" s="23">
        <v>0</v>
      </c>
      <c r="R46">
        <v>0.9</v>
      </c>
      <c r="S46">
        <v>0.1</v>
      </c>
      <c r="T46">
        <v>0</v>
      </c>
      <c r="U46">
        <v>0</v>
      </c>
      <c r="V46" s="23">
        <v>0</v>
      </c>
      <c r="W46">
        <v>1</v>
      </c>
      <c r="X46">
        <v>0</v>
      </c>
      <c r="Y46">
        <v>0</v>
      </c>
      <c r="Z46">
        <v>0</v>
      </c>
      <c r="AA46" s="23">
        <v>0</v>
      </c>
      <c r="AB46">
        <v>0</v>
      </c>
      <c r="AC46">
        <v>1</v>
      </c>
      <c r="AD46">
        <v>0</v>
      </c>
      <c r="AE46">
        <v>0</v>
      </c>
    </row>
    <row r="47" spans="1:31" s="11" customFormat="1" x14ac:dyDescent="0.2">
      <c r="A47" s="11" t="s">
        <v>71</v>
      </c>
      <c r="B47" s="11">
        <v>27</v>
      </c>
      <c r="C47" s="11" t="s">
        <v>64</v>
      </c>
      <c r="D47" s="11" t="s">
        <v>67</v>
      </c>
      <c r="E47" s="11" t="b">
        <v>0</v>
      </c>
      <c r="F47" s="11" t="s">
        <v>11</v>
      </c>
      <c r="G47" s="11">
        <v>1234</v>
      </c>
      <c r="H47" s="11">
        <v>150</v>
      </c>
      <c r="I47" s="21">
        <v>9.2999999999999999E-2</v>
      </c>
      <c r="J47" s="21">
        <v>0.8</v>
      </c>
      <c r="K47" s="21">
        <v>0.23</v>
      </c>
      <c r="L47" s="21"/>
      <c r="M47" s="24">
        <v>0.1</v>
      </c>
      <c r="N47" s="11">
        <v>0</v>
      </c>
      <c r="O47" s="11">
        <v>0</v>
      </c>
      <c r="P47" s="11">
        <v>0.9</v>
      </c>
      <c r="Q47" s="24">
        <v>0</v>
      </c>
      <c r="R47" s="11">
        <v>0.9</v>
      </c>
      <c r="S47" s="11">
        <v>0.1</v>
      </c>
      <c r="T47" s="11">
        <v>0</v>
      </c>
      <c r="U47" s="11">
        <v>0</v>
      </c>
      <c r="V47" s="24">
        <v>0</v>
      </c>
      <c r="W47" s="11">
        <v>1</v>
      </c>
      <c r="X47" s="11">
        <v>0</v>
      </c>
      <c r="Y47" s="11">
        <v>0</v>
      </c>
      <c r="Z47" s="11">
        <v>0</v>
      </c>
      <c r="AA47" s="24">
        <v>0</v>
      </c>
      <c r="AB47" s="11">
        <v>0</v>
      </c>
      <c r="AC47" s="11">
        <v>1</v>
      </c>
      <c r="AD47" s="11">
        <v>0</v>
      </c>
      <c r="AE47" s="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7CD-FBA0-EB46-AB0B-6A14664DDC76}">
  <dimension ref="A1:O39"/>
  <sheetViews>
    <sheetView tabSelected="1" workbookViewId="0">
      <selection activeCell="D17" sqref="D17"/>
    </sheetView>
  </sheetViews>
  <sheetFormatPr baseColWidth="10" defaultRowHeight="16" x14ac:dyDescent="0.2"/>
  <cols>
    <col min="1" max="1" width="20.5" customWidth="1"/>
  </cols>
  <sheetData>
    <row r="1" spans="1:13" x14ac:dyDescent="0.2">
      <c r="A1" s="2" t="s">
        <v>8</v>
      </c>
      <c r="B1" s="2" t="s">
        <v>33</v>
      </c>
      <c r="C1" s="2" t="s">
        <v>12</v>
      </c>
      <c r="D1" s="2" t="s">
        <v>13</v>
      </c>
      <c r="E1" s="2" t="s">
        <v>14</v>
      </c>
      <c r="F1" s="2" t="s">
        <v>29</v>
      </c>
      <c r="G1" s="2" t="s">
        <v>46</v>
      </c>
      <c r="I1" s="2" t="s">
        <v>80</v>
      </c>
      <c r="J1" s="2" t="s">
        <v>96</v>
      </c>
      <c r="K1" s="2" t="s">
        <v>99</v>
      </c>
      <c r="L1" s="2" t="s">
        <v>102</v>
      </c>
      <c r="M1" s="2" t="s">
        <v>103</v>
      </c>
    </row>
    <row r="2" spans="1:13" x14ac:dyDescent="0.2">
      <c r="A2" t="s">
        <v>9</v>
      </c>
      <c r="B2">
        <v>8.5999999999999993E-2</v>
      </c>
      <c r="C2">
        <v>0.8</v>
      </c>
      <c r="D2">
        <v>0.19</v>
      </c>
      <c r="E2">
        <v>0.35</v>
      </c>
      <c r="F2">
        <v>0.18</v>
      </c>
      <c r="G2">
        <v>0.39</v>
      </c>
      <c r="I2">
        <v>0.6784</v>
      </c>
      <c r="J2">
        <f>[1]!common_cn2o</f>
        <v>1.57</v>
      </c>
      <c r="K2">
        <v>0.21</v>
      </c>
      <c r="L2">
        <v>1.0999999999999999E-2</v>
      </c>
      <c r="M2">
        <v>0.02</v>
      </c>
    </row>
    <row r="3" spans="1:13" x14ac:dyDescent="0.2">
      <c r="A3" t="s">
        <v>10</v>
      </c>
      <c r="B3">
        <v>9.2999999999999999E-2</v>
      </c>
      <c r="C3">
        <v>0.8</v>
      </c>
      <c r="D3">
        <v>0.23</v>
      </c>
      <c r="E3">
        <v>0.47</v>
      </c>
      <c r="F3">
        <v>0.15</v>
      </c>
      <c r="G3">
        <v>0.36</v>
      </c>
    </row>
    <row r="4" spans="1:13" x14ac:dyDescent="0.2">
      <c r="A4" t="s">
        <v>88</v>
      </c>
      <c r="B4">
        <v>0.10299999999999999</v>
      </c>
      <c r="C4">
        <v>0.8</v>
      </c>
      <c r="D4">
        <v>0.19</v>
      </c>
      <c r="E4">
        <v>0.32</v>
      </c>
      <c r="F4">
        <v>0.18</v>
      </c>
      <c r="G4">
        <v>0.36</v>
      </c>
      <c r="I4" t="s">
        <v>56</v>
      </c>
      <c r="J4" t="s">
        <v>68</v>
      </c>
    </row>
    <row r="5" spans="1:13" x14ac:dyDescent="0.2">
      <c r="A5" t="s">
        <v>11</v>
      </c>
      <c r="B5">
        <v>9.2999999999999999E-2</v>
      </c>
      <c r="C5">
        <v>0.8</v>
      </c>
      <c r="D5">
        <v>0.23</v>
      </c>
      <c r="E5">
        <v>0.47</v>
      </c>
      <c r="F5">
        <v>0.15</v>
      </c>
      <c r="G5">
        <v>0.36</v>
      </c>
      <c r="I5" t="s">
        <v>57</v>
      </c>
      <c r="J5">
        <v>6.0000000000000001E-3</v>
      </c>
    </row>
    <row r="6" spans="1:13" x14ac:dyDescent="0.2">
      <c r="I6" t="s">
        <v>67</v>
      </c>
      <c r="J6">
        <v>2E-3</v>
      </c>
    </row>
    <row r="7" spans="1:13" x14ac:dyDescent="0.2">
      <c r="F7" t="s">
        <v>77</v>
      </c>
    </row>
    <row r="8" spans="1:13" x14ac:dyDescent="0.2">
      <c r="A8" s="6" t="s">
        <v>27</v>
      </c>
      <c r="B8" s="7" t="s">
        <v>15</v>
      </c>
      <c r="C8" s="7" t="s">
        <v>23</v>
      </c>
      <c r="D8" s="7" t="s">
        <v>24</v>
      </c>
      <c r="E8" s="7" t="s">
        <v>81</v>
      </c>
      <c r="F8" s="3" t="s">
        <v>55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73</v>
      </c>
      <c r="L8" s="3" t="s">
        <v>74</v>
      </c>
      <c r="M8" s="3" t="s">
        <v>75</v>
      </c>
    </row>
    <row r="9" spans="1:13" x14ac:dyDescent="0.2">
      <c r="A9" s="8">
        <v>10</v>
      </c>
      <c r="B9" s="9" t="s">
        <v>16</v>
      </c>
      <c r="C9" s="9">
        <v>0.3</v>
      </c>
      <c r="D9" s="9">
        <v>1E-3</v>
      </c>
      <c r="E9" s="9">
        <v>0.15</v>
      </c>
      <c r="F9" s="4">
        <v>1.4999999999999999E-2</v>
      </c>
      <c r="G9" s="4">
        <v>1.4999999999999999E-2</v>
      </c>
      <c r="H9" s="4">
        <v>1.4999999999999999E-2</v>
      </c>
      <c r="I9" s="4">
        <v>1.4999999999999999E-2</v>
      </c>
      <c r="J9" s="4">
        <v>1.4999999999999999E-2</v>
      </c>
      <c r="K9" s="4">
        <v>1.4999999999999999E-2</v>
      </c>
      <c r="L9" s="4">
        <v>1.4999999999999999E-2</v>
      </c>
      <c r="M9" s="4">
        <v>1.4999999999999999E-2</v>
      </c>
    </row>
    <row r="10" spans="1:13" x14ac:dyDescent="0.2">
      <c r="A10" s="8" t="s">
        <v>50</v>
      </c>
      <c r="B10" s="9" t="s">
        <v>17</v>
      </c>
      <c r="C10" s="9">
        <v>0.05</v>
      </c>
      <c r="D10" s="9">
        <v>1E-3</v>
      </c>
      <c r="E10" s="9">
        <v>0</v>
      </c>
      <c r="F10" s="4">
        <v>1.4999999999999999E-2</v>
      </c>
      <c r="G10" s="4">
        <v>1.4999999999999999E-2</v>
      </c>
      <c r="H10" s="4">
        <v>1.4999999999999999E-2</v>
      </c>
      <c r="I10" s="4">
        <v>1.4999999999999999E-2</v>
      </c>
      <c r="J10" s="4">
        <v>1.4999999999999999E-2</v>
      </c>
      <c r="K10" s="4">
        <v>1.4999999999999999E-2</v>
      </c>
      <c r="L10" s="4">
        <v>1.4999999999999999E-2</v>
      </c>
      <c r="M10" s="4">
        <v>1.4999999999999999E-2</v>
      </c>
    </row>
    <row r="11" spans="1:13" x14ac:dyDescent="0.2">
      <c r="A11" s="8" t="s">
        <v>51</v>
      </c>
      <c r="B11" s="9" t="s">
        <v>18</v>
      </c>
      <c r="C11" s="9">
        <v>0.4</v>
      </c>
      <c r="D11" s="9">
        <v>1E-3</v>
      </c>
      <c r="E11" s="9">
        <v>0.2</v>
      </c>
      <c r="F11" s="4">
        <v>1.4999999999999999E-2</v>
      </c>
      <c r="G11" s="4">
        <v>1.4999999999999999E-2</v>
      </c>
      <c r="H11" s="4">
        <v>1.4999999999999999E-2</v>
      </c>
      <c r="I11" s="4">
        <v>1.4999999999999999E-2</v>
      </c>
      <c r="J11" s="4">
        <v>1.4999999999999999E-2</v>
      </c>
      <c r="K11" s="4">
        <v>1.4999999999999999E-2</v>
      </c>
      <c r="L11" s="4">
        <v>1.4999999999999999E-2</v>
      </c>
      <c r="M11" s="4">
        <v>1.4999999999999999E-2</v>
      </c>
    </row>
    <row r="12" spans="1:13" x14ac:dyDescent="0.2">
      <c r="A12" s="8">
        <v>4</v>
      </c>
      <c r="B12" s="9" t="s">
        <v>19</v>
      </c>
      <c r="C12" s="9">
        <v>0.2</v>
      </c>
      <c r="D12" s="9">
        <v>5.0000000000000001E-3</v>
      </c>
      <c r="E12" s="9" t="s">
        <v>76</v>
      </c>
      <c r="F12" s="4">
        <v>0.02</v>
      </c>
      <c r="G12" s="4">
        <v>0.02</v>
      </c>
      <c r="H12" s="4">
        <v>0.02</v>
      </c>
      <c r="I12" s="4">
        <v>0.02</v>
      </c>
      <c r="J12" s="4">
        <v>0.02</v>
      </c>
      <c r="K12" s="4">
        <v>0.02</v>
      </c>
      <c r="L12" s="4">
        <v>0.02</v>
      </c>
      <c r="M12" s="4">
        <v>0.02</v>
      </c>
    </row>
    <row r="13" spans="1:13" x14ac:dyDescent="0.2">
      <c r="A13" s="8">
        <v>6</v>
      </c>
      <c r="B13" s="9" t="s">
        <v>20</v>
      </c>
      <c r="C13" s="9">
        <v>0.2</v>
      </c>
      <c r="D13" s="9">
        <v>0.01</v>
      </c>
      <c r="E13" s="9" t="s">
        <v>76</v>
      </c>
      <c r="F13" s="4">
        <v>0.01</v>
      </c>
      <c r="G13" s="4">
        <v>0.01</v>
      </c>
      <c r="H13" s="4">
        <v>0.01</v>
      </c>
      <c r="I13" s="4">
        <v>0.01</v>
      </c>
      <c r="J13" s="4">
        <v>0.01</v>
      </c>
      <c r="K13" s="4">
        <v>0.01</v>
      </c>
      <c r="L13" s="4">
        <v>0.01</v>
      </c>
      <c r="M13" s="4">
        <v>5.0000000000000001E-3</v>
      </c>
    </row>
    <row r="14" spans="1:13" x14ac:dyDescent="0.2">
      <c r="A14" s="8">
        <v>12</v>
      </c>
      <c r="B14" s="9" t="s">
        <v>21</v>
      </c>
      <c r="C14" s="9">
        <v>0</v>
      </c>
      <c r="D14" s="9">
        <v>0</v>
      </c>
      <c r="E14" s="9" t="s">
        <v>76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">
      <c r="A15" s="8">
        <v>7</v>
      </c>
      <c r="B15" s="9" t="s">
        <v>22</v>
      </c>
      <c r="C15" s="9">
        <v>0</v>
      </c>
      <c r="D15" s="9">
        <v>0</v>
      </c>
      <c r="E15" s="9" t="s">
        <v>76</v>
      </c>
      <c r="F15" s="4">
        <v>0.1</v>
      </c>
      <c r="G15" s="4">
        <v>0.1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4">
        <v>0.1</v>
      </c>
    </row>
    <row r="16" spans="1:13" x14ac:dyDescent="0.2">
      <c r="A16" s="8">
        <v>14</v>
      </c>
      <c r="B16" s="9" t="s">
        <v>36</v>
      </c>
      <c r="C16" s="9">
        <v>0</v>
      </c>
      <c r="D16" s="9">
        <v>0</v>
      </c>
      <c r="E16" s="9" t="s">
        <v>76</v>
      </c>
      <c r="F16" s="4">
        <v>0.01</v>
      </c>
      <c r="G16" s="4">
        <v>0.01</v>
      </c>
      <c r="H16" s="4">
        <v>0.03</v>
      </c>
      <c r="I16" s="4">
        <v>0.03</v>
      </c>
      <c r="J16" s="4">
        <v>0.01</v>
      </c>
      <c r="K16" s="4">
        <v>0.01</v>
      </c>
      <c r="L16" s="4">
        <v>0.01</v>
      </c>
      <c r="M16" s="4">
        <v>0.01</v>
      </c>
    </row>
    <row r="17" spans="1:15" x14ac:dyDescent="0.2">
      <c r="A17" s="8">
        <v>13</v>
      </c>
      <c r="B17" s="9" t="s">
        <v>37</v>
      </c>
      <c r="C17" s="9" t="s">
        <v>76</v>
      </c>
      <c r="D17" s="9" t="s">
        <v>76</v>
      </c>
      <c r="E17" s="9" t="s">
        <v>76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9" spans="1:15" x14ac:dyDescent="0.2">
      <c r="A19" s="2" t="s">
        <v>38</v>
      </c>
      <c r="B19" s="2" t="s">
        <v>66</v>
      </c>
      <c r="D19" t="s">
        <v>106</v>
      </c>
    </row>
    <row r="20" spans="1:15" x14ac:dyDescent="0.2">
      <c r="A20" t="s">
        <v>65</v>
      </c>
      <c r="B20">
        <v>1.8E-3</v>
      </c>
      <c r="D20" s="2" t="s">
        <v>39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22</v>
      </c>
      <c r="K20" s="2" t="s">
        <v>21</v>
      </c>
      <c r="L20" s="2" t="s">
        <v>37</v>
      </c>
      <c r="N20" s="2"/>
      <c r="O20" s="2"/>
    </row>
    <row r="21" spans="1:15" x14ac:dyDescent="0.2">
      <c r="A21" t="s">
        <v>61</v>
      </c>
      <c r="B21">
        <v>5.8999999999999999E-3</v>
      </c>
      <c r="D21" s="9" t="s">
        <v>107</v>
      </c>
      <c r="E21">
        <v>1.4999999999999999E-2</v>
      </c>
      <c r="F21">
        <v>1.4999999999999999E-2</v>
      </c>
      <c r="G21">
        <v>1.4999999999999999E-2</v>
      </c>
      <c r="H21">
        <v>0.02</v>
      </c>
      <c r="I21">
        <v>5.0000000000000001E-3</v>
      </c>
      <c r="J21">
        <v>0.1</v>
      </c>
      <c r="K21">
        <v>0</v>
      </c>
      <c r="L21">
        <v>0</v>
      </c>
    </row>
    <row r="22" spans="1:15" x14ac:dyDescent="0.2">
      <c r="A22" t="s">
        <v>62</v>
      </c>
      <c r="B22">
        <v>7.0000000000000001E-3</v>
      </c>
      <c r="D22" s="9">
        <v>11</v>
      </c>
      <c r="E22">
        <v>1.4999999999999999E-2</v>
      </c>
      <c r="F22">
        <v>1.4999999999999999E-2</v>
      </c>
      <c r="G22">
        <v>1.4999999999999999E-2</v>
      </c>
      <c r="H22">
        <v>0.02</v>
      </c>
      <c r="I22">
        <v>5.0000000000000001E-3</v>
      </c>
      <c r="J22">
        <v>0.1</v>
      </c>
      <c r="K22">
        <v>0</v>
      </c>
      <c r="L22">
        <v>0</v>
      </c>
    </row>
    <row r="23" spans="1:15" x14ac:dyDescent="0.2">
      <c r="A23" t="s">
        <v>63</v>
      </c>
      <c r="B23">
        <v>2.8999999999999998E-3</v>
      </c>
      <c r="D23" s="9">
        <v>12</v>
      </c>
      <c r="E23">
        <v>1.4999999999999999E-2</v>
      </c>
      <c r="F23">
        <v>1.4999999999999999E-2</v>
      </c>
      <c r="G23">
        <v>1.4999999999999999E-2</v>
      </c>
      <c r="H23">
        <v>0.02</v>
      </c>
      <c r="I23">
        <v>5.0000000000000001E-3</v>
      </c>
      <c r="J23">
        <v>0.1</v>
      </c>
      <c r="K23">
        <v>0</v>
      </c>
      <c r="L23">
        <v>0</v>
      </c>
    </row>
    <row r="24" spans="1:15" x14ac:dyDescent="0.2">
      <c r="A24" t="s">
        <v>64</v>
      </c>
      <c r="B24">
        <v>8.0000000000000002E-3</v>
      </c>
      <c r="D24" s="9">
        <v>13</v>
      </c>
      <c r="E24">
        <v>1.4999999999999999E-2</v>
      </c>
      <c r="F24">
        <v>1.4999999999999999E-2</v>
      </c>
      <c r="G24">
        <v>1.4999999999999999E-2</v>
      </c>
      <c r="H24">
        <v>0.02</v>
      </c>
      <c r="I24">
        <v>5.0000000000000001E-3</v>
      </c>
      <c r="J24">
        <v>0.1</v>
      </c>
      <c r="K24">
        <v>0</v>
      </c>
      <c r="L24">
        <v>0</v>
      </c>
    </row>
    <row r="25" spans="1:15" x14ac:dyDescent="0.2">
      <c r="D25" s="9">
        <v>14</v>
      </c>
      <c r="E25">
        <v>1.4999999999999999E-2</v>
      </c>
      <c r="F25">
        <v>1.4999999999999999E-2</v>
      </c>
      <c r="G25">
        <v>1.4999999999999999E-2</v>
      </c>
      <c r="H25">
        <v>0.02</v>
      </c>
      <c r="I25">
        <v>0.01</v>
      </c>
      <c r="J25">
        <v>0.1</v>
      </c>
      <c r="K25">
        <v>0</v>
      </c>
      <c r="L25">
        <v>0</v>
      </c>
    </row>
    <row r="26" spans="1:15" x14ac:dyDescent="0.2">
      <c r="A26" s="2" t="s">
        <v>56</v>
      </c>
      <c r="B26" s="2" t="s">
        <v>68</v>
      </c>
      <c r="D26" s="1">
        <v>15</v>
      </c>
      <c r="E26">
        <v>1.4999999999999999E-2</v>
      </c>
      <c r="F26">
        <v>1.4999999999999999E-2</v>
      </c>
      <c r="G26">
        <v>1.4999999999999999E-2</v>
      </c>
      <c r="H26">
        <v>0.02</v>
      </c>
      <c r="I26">
        <v>0.01</v>
      </c>
      <c r="J26">
        <v>0.1</v>
      </c>
      <c r="K26">
        <v>0</v>
      </c>
      <c r="L26">
        <v>0</v>
      </c>
    </row>
    <row r="27" spans="1:15" x14ac:dyDescent="0.2">
      <c r="A27" t="s">
        <v>57</v>
      </c>
      <c r="B27">
        <v>6.0000000000000001E-3</v>
      </c>
      <c r="D27" s="1">
        <v>16</v>
      </c>
      <c r="E27">
        <v>1.4999999999999999E-2</v>
      </c>
      <c r="F27">
        <v>1.4999999999999999E-2</v>
      </c>
      <c r="G27">
        <v>1.4999999999999999E-2</v>
      </c>
      <c r="H27">
        <v>0.02</v>
      </c>
      <c r="I27">
        <v>0.01</v>
      </c>
      <c r="J27">
        <v>0.1</v>
      </c>
      <c r="K27">
        <v>0</v>
      </c>
      <c r="L27">
        <v>0</v>
      </c>
    </row>
    <row r="28" spans="1:15" x14ac:dyDescent="0.2">
      <c r="A28" t="s">
        <v>67</v>
      </c>
      <c r="B28">
        <v>2E-3</v>
      </c>
      <c r="D28" s="1">
        <v>17</v>
      </c>
      <c r="E28">
        <v>1.4999999999999999E-2</v>
      </c>
      <c r="F28">
        <v>1.4999999999999999E-2</v>
      </c>
      <c r="G28">
        <v>1.4999999999999999E-2</v>
      </c>
      <c r="H28">
        <v>0.02</v>
      </c>
      <c r="I28">
        <v>0.01</v>
      </c>
      <c r="J28">
        <v>0.1</v>
      </c>
      <c r="K28">
        <v>0</v>
      </c>
      <c r="L28">
        <v>0</v>
      </c>
    </row>
    <row r="29" spans="1:15" x14ac:dyDescent="0.2">
      <c r="D29" s="1">
        <v>18</v>
      </c>
      <c r="E29">
        <v>1.4999999999999999E-2</v>
      </c>
      <c r="F29">
        <v>1.4999999999999999E-2</v>
      </c>
      <c r="G29">
        <v>1.4999999999999999E-2</v>
      </c>
      <c r="H29">
        <v>0.02</v>
      </c>
      <c r="I29">
        <v>0.01</v>
      </c>
      <c r="J29">
        <v>0.1</v>
      </c>
      <c r="K29">
        <v>0</v>
      </c>
      <c r="L29">
        <v>0</v>
      </c>
    </row>
    <row r="30" spans="1:15" x14ac:dyDescent="0.2">
      <c r="D30" s="1">
        <v>19</v>
      </c>
      <c r="E30">
        <v>1.4999999999999999E-2</v>
      </c>
      <c r="F30">
        <v>1.4999999999999999E-2</v>
      </c>
      <c r="G30">
        <v>1.4999999999999999E-2</v>
      </c>
      <c r="H30">
        <v>0.02</v>
      </c>
      <c r="I30">
        <v>0.01</v>
      </c>
      <c r="J30">
        <v>0.1</v>
      </c>
      <c r="K30">
        <v>0</v>
      </c>
      <c r="L30">
        <v>0</v>
      </c>
    </row>
    <row r="31" spans="1:15" x14ac:dyDescent="0.2">
      <c r="D31" s="1">
        <v>20</v>
      </c>
      <c r="E31">
        <v>1.4999999999999999E-2</v>
      </c>
      <c r="F31">
        <v>1.4999999999999999E-2</v>
      </c>
      <c r="G31">
        <v>1.4999999999999999E-2</v>
      </c>
      <c r="H31">
        <v>0.02</v>
      </c>
      <c r="I31">
        <v>0.01</v>
      </c>
      <c r="J31">
        <v>0.1</v>
      </c>
      <c r="K31">
        <v>0</v>
      </c>
      <c r="L31">
        <v>0</v>
      </c>
    </row>
    <row r="32" spans="1:15" x14ac:dyDescent="0.2">
      <c r="D32" s="1">
        <v>21</v>
      </c>
      <c r="E32">
        <v>1.4999999999999999E-2</v>
      </c>
      <c r="F32">
        <v>1.4999999999999999E-2</v>
      </c>
      <c r="G32">
        <v>1.4999999999999999E-2</v>
      </c>
      <c r="H32">
        <v>0.02</v>
      </c>
      <c r="I32">
        <v>0.01</v>
      </c>
      <c r="J32">
        <v>0.1</v>
      </c>
      <c r="K32">
        <v>0</v>
      </c>
      <c r="L32">
        <v>0</v>
      </c>
    </row>
    <row r="33" spans="4:12" x14ac:dyDescent="0.2">
      <c r="D33" s="1">
        <v>22</v>
      </c>
      <c r="E33">
        <v>1.4999999999999999E-2</v>
      </c>
      <c r="F33">
        <v>1.4999999999999999E-2</v>
      </c>
      <c r="G33">
        <v>1.4999999999999999E-2</v>
      </c>
      <c r="H33">
        <v>0.02</v>
      </c>
      <c r="I33">
        <v>0.01</v>
      </c>
      <c r="J33">
        <v>0.1</v>
      </c>
      <c r="K33">
        <v>0</v>
      </c>
      <c r="L33">
        <v>0</v>
      </c>
    </row>
    <row r="34" spans="4:12" x14ac:dyDescent="0.2">
      <c r="D34" s="1">
        <v>23</v>
      </c>
      <c r="E34">
        <v>1.4999999999999999E-2</v>
      </c>
      <c r="F34">
        <v>1.4999999999999999E-2</v>
      </c>
      <c r="G34">
        <v>1.4999999999999999E-2</v>
      </c>
      <c r="H34">
        <v>0.02</v>
      </c>
      <c r="I34">
        <v>0.01</v>
      </c>
      <c r="J34">
        <v>0.1</v>
      </c>
      <c r="K34">
        <v>0</v>
      </c>
      <c r="L34">
        <v>0</v>
      </c>
    </row>
    <row r="35" spans="4:12" x14ac:dyDescent="0.2">
      <c r="D35" s="1">
        <v>24</v>
      </c>
      <c r="E35">
        <v>1.4999999999999999E-2</v>
      </c>
      <c r="F35">
        <v>1.4999999999999999E-2</v>
      </c>
      <c r="G35">
        <v>1.4999999999999999E-2</v>
      </c>
      <c r="H35">
        <v>0.02</v>
      </c>
      <c r="I35">
        <v>0.01</v>
      </c>
      <c r="J35">
        <v>0.1</v>
      </c>
      <c r="K35">
        <v>0</v>
      </c>
      <c r="L35">
        <v>0</v>
      </c>
    </row>
    <row r="36" spans="4:12" x14ac:dyDescent="0.2">
      <c r="D36" s="1">
        <v>25</v>
      </c>
      <c r="E36">
        <v>1.4999999999999999E-2</v>
      </c>
      <c r="F36">
        <v>1.4999999999999999E-2</v>
      </c>
      <c r="G36">
        <v>1.4999999999999999E-2</v>
      </c>
      <c r="H36">
        <v>0.02</v>
      </c>
      <c r="I36">
        <v>0.01</v>
      </c>
      <c r="J36">
        <v>0.1</v>
      </c>
      <c r="K36">
        <v>0</v>
      </c>
      <c r="L36">
        <v>0</v>
      </c>
    </row>
    <row r="37" spans="4:12" x14ac:dyDescent="0.2">
      <c r="D37" s="13">
        <v>26</v>
      </c>
      <c r="E37">
        <v>1.4999999999999999E-2</v>
      </c>
      <c r="F37">
        <v>1.4999999999999999E-2</v>
      </c>
      <c r="G37">
        <v>1.4999999999999999E-2</v>
      </c>
      <c r="H37">
        <v>0.02</v>
      </c>
      <c r="I37">
        <v>1.4999999999999999E-2</v>
      </c>
      <c r="J37">
        <v>0.1</v>
      </c>
      <c r="K37">
        <v>0</v>
      </c>
      <c r="L37">
        <v>0</v>
      </c>
    </row>
    <row r="38" spans="4:12" x14ac:dyDescent="0.2">
      <c r="D38" s="13">
        <v>27</v>
      </c>
      <c r="E38">
        <v>1.4999999999999999E-2</v>
      </c>
      <c r="F38">
        <v>1.4999999999999999E-2</v>
      </c>
      <c r="G38">
        <v>1.4999999999999999E-2</v>
      </c>
      <c r="H38">
        <v>0.02</v>
      </c>
      <c r="I38">
        <v>1.4999999999999999E-2</v>
      </c>
      <c r="J38">
        <v>0.1</v>
      </c>
      <c r="K38">
        <v>0</v>
      </c>
      <c r="L38">
        <v>0</v>
      </c>
    </row>
    <row r="39" spans="4:12" x14ac:dyDescent="0.2">
      <c r="D39" s="13" t="s">
        <v>108</v>
      </c>
      <c r="E39">
        <v>1.4999999999999999E-2</v>
      </c>
      <c r="F39">
        <v>1.4999999999999999E-2</v>
      </c>
      <c r="G39">
        <v>1.4999999999999999E-2</v>
      </c>
      <c r="H39">
        <v>0.02</v>
      </c>
      <c r="I39">
        <v>1.4999999999999999E-2</v>
      </c>
      <c r="J39">
        <v>0.1</v>
      </c>
      <c r="K39">
        <v>0</v>
      </c>
      <c r="L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4.6.1.1</vt:lpstr>
      <vt:lpstr>4.6.1.2</vt:lpstr>
      <vt:lpstr>4.6.1.3</vt:lpstr>
      <vt:lpstr>4.6.1.4</vt:lpstr>
      <vt:lpstr>4.6.1.5</vt:lpstr>
      <vt:lpstr>4.6.1.6</vt:lpstr>
      <vt:lpstr>4.6.1.7</vt:lpstr>
      <vt:lpstr>4.6.1.8</vt:lpstr>
      <vt:lpstr>Input Scenarios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2026-05-12T23:42:11Z</dcterms:created>
  <dcterms:modified xsi:type="dcterms:W3CDTF">2026-10-22T06:06:46Z</dcterms:modified>
</cp:coreProperties>
</file>