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22EF3A50-BD95-4641-9062-645E20862EC8}" xr6:coauthVersionLast="47" xr6:coauthVersionMax="47" xr10:uidLastSave="{00000000-0000-0000-0000-000000000000}"/>
  <bookViews>
    <workbookView xWindow="0" yWindow="620" windowWidth="28800" windowHeight="15860" activeTab="3" xr2:uid="{00000000-000D-0000-FFFF-FFFF00000000}"/>
  </bookViews>
  <sheets>
    <sheet name="4.6.1.1" sheetId="5" r:id="rId1"/>
    <sheet name="4.6.1.3" sheetId="1" r:id="rId2"/>
    <sheet name="4.6.1.5" sheetId="6" r:id="rId3"/>
    <sheet name="4.6.1.7" sheetId="7" r:id="rId4"/>
    <sheet name="Input Scenarios (old)" sheetId="3" r:id="rId5"/>
    <sheet name="Input Scenarios" sheetId="8" r:id="rId6"/>
    <sheet name="Constants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3" i="7" l="1"/>
  <c r="BR19" i="7"/>
  <c r="BR15" i="7"/>
  <c r="BR11" i="7"/>
  <c r="BP12" i="7"/>
  <c r="BQ12" i="7"/>
  <c r="BP13" i="7"/>
  <c r="BQ13" i="7"/>
  <c r="BP14" i="7"/>
  <c r="BQ14" i="7"/>
  <c r="BP15" i="7"/>
  <c r="BQ15" i="7"/>
  <c r="BP16" i="7"/>
  <c r="BQ16" i="7"/>
  <c r="BP17" i="7"/>
  <c r="BQ17" i="7"/>
  <c r="BP18" i="7"/>
  <c r="BQ18" i="7"/>
  <c r="BP19" i="7"/>
  <c r="BQ19" i="7"/>
  <c r="BP20" i="7"/>
  <c r="BQ20" i="7"/>
  <c r="BP21" i="7"/>
  <c r="BQ21" i="7"/>
  <c r="BP22" i="7"/>
  <c r="BQ22" i="7"/>
  <c r="BP23" i="7"/>
  <c r="BQ23" i="7"/>
  <c r="BP24" i="7"/>
  <c r="BQ24" i="7"/>
  <c r="BP25" i="7"/>
  <c r="BQ25" i="7"/>
  <c r="BP26" i="7"/>
  <c r="BQ26" i="7"/>
  <c r="BQ11" i="7"/>
  <c r="BP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11" i="7"/>
  <c r="BM12" i="7"/>
  <c r="BM13" i="7"/>
  <c r="BM14" i="7"/>
  <c r="BM15" i="7"/>
  <c r="BM16" i="7"/>
  <c r="BM17" i="7"/>
  <c r="BM18" i="7"/>
  <c r="BM19" i="7"/>
  <c r="BM20" i="7"/>
  <c r="BM21" i="7"/>
  <c r="BM22" i="7"/>
  <c r="BM23" i="7"/>
  <c r="BM24" i="7"/>
  <c r="BM25" i="7"/>
  <c r="BM26" i="7"/>
  <c r="BM11" i="7"/>
  <c r="BO26" i="7"/>
  <c r="BO25" i="7"/>
  <c r="BO24" i="7"/>
  <c r="BO23" i="7"/>
  <c r="BO22" i="7"/>
  <c r="BO21" i="7"/>
  <c r="BO20" i="7"/>
  <c r="BO19" i="7"/>
  <c r="BO18" i="7"/>
  <c r="BO17" i="7"/>
  <c r="BO16" i="7"/>
  <c r="BO15" i="7"/>
  <c r="BO14" i="7"/>
  <c r="BO13" i="7"/>
  <c r="BO12" i="7"/>
  <c r="BO11" i="7"/>
  <c r="BL12" i="7"/>
  <c r="BL13" i="7"/>
  <c r="BL14" i="7"/>
  <c r="BL15" i="7"/>
  <c r="BL16" i="7"/>
  <c r="BL17" i="7"/>
  <c r="BL18" i="7"/>
  <c r="BL19" i="7"/>
  <c r="BL20" i="7"/>
  <c r="BL21" i="7"/>
  <c r="BL22" i="7"/>
  <c r="BL23" i="7"/>
  <c r="BL24" i="7"/>
  <c r="BL25" i="7"/>
  <c r="BL26" i="7"/>
  <c r="BL11" i="7"/>
  <c r="BK12" i="7"/>
  <c r="BK13" i="7"/>
  <c r="BK14" i="7"/>
  <c r="BK15" i="7"/>
  <c r="BK16" i="7"/>
  <c r="BK17" i="7"/>
  <c r="BK18" i="7"/>
  <c r="BK19" i="7"/>
  <c r="BK20" i="7"/>
  <c r="BK21" i="7"/>
  <c r="BK22" i="7"/>
  <c r="BK23" i="7"/>
  <c r="BK24" i="7"/>
  <c r="BK25" i="7"/>
  <c r="BK26" i="7"/>
  <c r="BK11" i="7"/>
  <c r="BJ12" i="7"/>
  <c r="BJ13" i="7"/>
  <c r="BJ14" i="7"/>
  <c r="BJ15" i="7"/>
  <c r="BJ16" i="7"/>
  <c r="BJ17" i="7"/>
  <c r="BJ18" i="7"/>
  <c r="BJ19" i="7"/>
  <c r="BJ20" i="7"/>
  <c r="BJ21" i="7"/>
  <c r="BJ22" i="7"/>
  <c r="BJ23" i="7"/>
  <c r="BJ24" i="7"/>
  <c r="BJ26" i="7"/>
  <c r="BJ11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H26" i="7"/>
  <c r="G26" i="7"/>
  <c r="F26" i="7"/>
  <c r="I26" i="7" s="1"/>
  <c r="E26" i="7"/>
  <c r="D26" i="7"/>
  <c r="C26" i="7"/>
  <c r="B26" i="7"/>
  <c r="A26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H25" i="7"/>
  <c r="G25" i="7"/>
  <c r="F25" i="7"/>
  <c r="J25" i="7" s="1"/>
  <c r="E25" i="7"/>
  <c r="BJ25" i="7" s="1"/>
  <c r="D25" i="7"/>
  <c r="C25" i="7"/>
  <c r="B25" i="7"/>
  <c r="A25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H24" i="7"/>
  <c r="G24" i="7"/>
  <c r="F24" i="7"/>
  <c r="K24" i="7" s="1"/>
  <c r="E24" i="7"/>
  <c r="D24" i="7"/>
  <c r="C24" i="7"/>
  <c r="B24" i="7"/>
  <c r="A24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I23" i="7"/>
  <c r="H23" i="7"/>
  <c r="G23" i="7"/>
  <c r="F23" i="7"/>
  <c r="L23" i="7" s="1"/>
  <c r="E23" i="7"/>
  <c r="D23" i="7"/>
  <c r="C23" i="7"/>
  <c r="B23" i="7"/>
  <c r="A23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J22" i="7"/>
  <c r="I22" i="7"/>
  <c r="H22" i="7"/>
  <c r="G22" i="7"/>
  <c r="F22" i="7"/>
  <c r="L22" i="7" s="1"/>
  <c r="E22" i="7"/>
  <c r="D22" i="7"/>
  <c r="C22" i="7"/>
  <c r="B22" i="7"/>
  <c r="A22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J20" i="7"/>
  <c r="H20" i="7"/>
  <c r="G20" i="7"/>
  <c r="F20" i="7"/>
  <c r="K20" i="7" s="1"/>
  <c r="E20" i="7"/>
  <c r="D20" i="7"/>
  <c r="C20" i="7"/>
  <c r="B20" i="7"/>
  <c r="A20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H19" i="7"/>
  <c r="G19" i="7"/>
  <c r="F19" i="7"/>
  <c r="AF19" i="7" s="1"/>
  <c r="E19" i="7"/>
  <c r="D19" i="7"/>
  <c r="C19" i="7"/>
  <c r="B19" i="7"/>
  <c r="A19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H18" i="7"/>
  <c r="G18" i="7"/>
  <c r="F18" i="7"/>
  <c r="I18" i="7" s="1"/>
  <c r="E18" i="7"/>
  <c r="D18" i="7"/>
  <c r="C18" i="7"/>
  <c r="B18" i="7"/>
  <c r="A18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H17" i="7"/>
  <c r="G17" i="7"/>
  <c r="F17" i="7"/>
  <c r="J17" i="7" s="1"/>
  <c r="E17" i="7"/>
  <c r="D17" i="7"/>
  <c r="C17" i="7"/>
  <c r="B17" i="7"/>
  <c r="A17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H16" i="7"/>
  <c r="G16" i="7"/>
  <c r="F16" i="7"/>
  <c r="K16" i="7" s="1"/>
  <c r="E16" i="7"/>
  <c r="D16" i="7"/>
  <c r="C16" i="7"/>
  <c r="B16" i="7"/>
  <c r="A16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H15" i="7"/>
  <c r="G15" i="7"/>
  <c r="F15" i="7"/>
  <c r="L15" i="7" s="1"/>
  <c r="E15" i="7"/>
  <c r="D15" i="7"/>
  <c r="C15" i="7"/>
  <c r="B15" i="7"/>
  <c r="A15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J14" i="7"/>
  <c r="H14" i="7"/>
  <c r="G14" i="7"/>
  <c r="F14" i="7"/>
  <c r="L14" i="7" s="1"/>
  <c r="E14" i="7"/>
  <c r="D14" i="7"/>
  <c r="C14" i="7"/>
  <c r="B14" i="7"/>
  <c r="A14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H13" i="7"/>
  <c r="G13" i="7"/>
  <c r="F13" i="7"/>
  <c r="L13" i="7" s="1"/>
  <c r="E13" i="7"/>
  <c r="D13" i="7"/>
  <c r="C13" i="7"/>
  <c r="B13" i="7"/>
  <c r="A13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I12" i="7"/>
  <c r="H12" i="7"/>
  <c r="G12" i="7"/>
  <c r="F12" i="7"/>
  <c r="L12" i="7" s="1"/>
  <c r="E12" i="7"/>
  <c r="D12" i="7"/>
  <c r="C12" i="7"/>
  <c r="B12" i="7"/>
  <c r="A12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K11" i="7"/>
  <c r="J11" i="7"/>
  <c r="I11" i="7"/>
  <c r="H11" i="7"/>
  <c r="G11" i="7"/>
  <c r="F11" i="7"/>
  <c r="AF11" i="7" s="1"/>
  <c r="E11" i="7"/>
  <c r="D11" i="7"/>
  <c r="C11" i="7"/>
  <c r="B11" i="7"/>
  <c r="A11" i="7"/>
  <c r="CB23" i="6"/>
  <c r="CB19" i="6"/>
  <c r="CB15" i="6"/>
  <c r="CB11" i="6"/>
  <c r="BZ12" i="6"/>
  <c r="BZ13" i="6"/>
  <c r="BZ14" i="6"/>
  <c r="BZ15" i="6"/>
  <c r="BZ16" i="6"/>
  <c r="BZ17" i="6"/>
  <c r="BZ18" i="6"/>
  <c r="BZ19" i="6"/>
  <c r="BZ20" i="6"/>
  <c r="BZ21" i="6"/>
  <c r="BZ22" i="6"/>
  <c r="BZ23" i="6"/>
  <c r="BZ24" i="6"/>
  <c r="BZ25" i="6"/>
  <c r="BZ26" i="6"/>
  <c r="BZ11" i="6"/>
  <c r="AY26" i="6"/>
  <c r="AZ26" i="6" s="1"/>
  <c r="BA26" i="6" s="1"/>
  <c r="AY25" i="6"/>
  <c r="AZ25" i="6" s="1"/>
  <c r="BA25" i="6" s="1"/>
  <c r="AZ24" i="6"/>
  <c r="BA24" i="6" s="1"/>
  <c r="AY24" i="6"/>
  <c r="AY23" i="6"/>
  <c r="AZ23" i="6" s="1"/>
  <c r="BA23" i="6" s="1"/>
  <c r="AZ22" i="6"/>
  <c r="BA22" i="6" s="1"/>
  <c r="AY22" i="6"/>
  <c r="BA21" i="6"/>
  <c r="AZ21" i="6"/>
  <c r="AY21" i="6"/>
  <c r="AZ20" i="6"/>
  <c r="BA20" i="6" s="1"/>
  <c r="AY20" i="6"/>
  <c r="AY19" i="6"/>
  <c r="AZ19" i="6" s="1"/>
  <c r="BA19" i="6" s="1"/>
  <c r="AY18" i="6"/>
  <c r="AZ18" i="6" s="1"/>
  <c r="BA18" i="6" s="1"/>
  <c r="AY17" i="6"/>
  <c r="AZ17" i="6" s="1"/>
  <c r="BA17" i="6" s="1"/>
  <c r="AZ16" i="6"/>
  <c r="BA16" i="6" s="1"/>
  <c r="AY16" i="6"/>
  <c r="AY15" i="6"/>
  <c r="AZ15" i="6" s="1"/>
  <c r="BA15" i="6" s="1"/>
  <c r="AZ14" i="6"/>
  <c r="BA14" i="6" s="1"/>
  <c r="AY14" i="6"/>
  <c r="BA13" i="6"/>
  <c r="AZ13" i="6"/>
  <c r="AY13" i="6"/>
  <c r="AZ12" i="6"/>
  <c r="BA12" i="6" s="1"/>
  <c r="AY12" i="6"/>
  <c r="AY11" i="6"/>
  <c r="AZ11" i="6" s="1"/>
  <c r="BA11" i="6" s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11" i="1"/>
  <c r="K11" i="1"/>
  <c r="K12" i="1"/>
  <c r="K13" i="1"/>
  <c r="K14" i="1"/>
  <c r="AM12" i="5"/>
  <c r="AN12" i="5"/>
  <c r="AO12" i="5"/>
  <c r="AP12" i="5"/>
  <c r="AM13" i="5"/>
  <c r="AN13" i="5"/>
  <c r="AO13" i="5"/>
  <c r="AP13" i="5"/>
  <c r="AM14" i="5"/>
  <c r="AN14" i="5"/>
  <c r="AO14" i="5"/>
  <c r="AP14" i="5"/>
  <c r="AM15" i="5"/>
  <c r="AN15" i="5"/>
  <c r="AO15" i="5"/>
  <c r="AP15" i="5"/>
  <c r="AM16" i="5"/>
  <c r="AN16" i="5"/>
  <c r="AO16" i="5"/>
  <c r="AP16" i="5"/>
  <c r="AM17" i="5"/>
  <c r="AN17" i="5"/>
  <c r="AO17" i="5"/>
  <c r="AP17" i="5"/>
  <c r="AM18" i="5"/>
  <c r="AN18" i="5"/>
  <c r="AO18" i="5"/>
  <c r="AP18" i="5"/>
  <c r="AM19" i="5"/>
  <c r="AN19" i="5"/>
  <c r="AO19" i="5"/>
  <c r="AP19" i="5"/>
  <c r="AM20" i="5"/>
  <c r="AN20" i="5"/>
  <c r="AO20" i="5"/>
  <c r="AP20" i="5"/>
  <c r="AM21" i="5"/>
  <c r="AN21" i="5"/>
  <c r="AO21" i="5"/>
  <c r="AP21" i="5"/>
  <c r="AM22" i="5"/>
  <c r="AN22" i="5"/>
  <c r="AO22" i="5"/>
  <c r="AP22" i="5"/>
  <c r="AM23" i="5"/>
  <c r="AN23" i="5"/>
  <c r="AO23" i="5"/>
  <c r="AP23" i="5"/>
  <c r="AM24" i="5"/>
  <c r="AN24" i="5"/>
  <c r="AO24" i="5"/>
  <c r="AP24" i="5"/>
  <c r="AM25" i="5"/>
  <c r="AN25" i="5"/>
  <c r="AO25" i="5"/>
  <c r="AP25" i="5"/>
  <c r="AM26" i="5"/>
  <c r="AN26" i="5"/>
  <c r="AO26" i="5"/>
  <c r="AP26" i="5"/>
  <c r="AN11" i="5"/>
  <c r="AO11" i="5"/>
  <c r="AP11" i="5"/>
  <c r="AM11" i="5"/>
  <c r="BR26" i="5"/>
  <c r="BR12" i="5"/>
  <c r="BR13" i="5"/>
  <c r="BR14" i="5"/>
  <c r="BR15" i="5"/>
  <c r="BR16" i="5"/>
  <c r="BR17" i="5"/>
  <c r="BR18" i="5"/>
  <c r="BR19" i="5"/>
  <c r="BR20" i="5"/>
  <c r="BR21" i="5"/>
  <c r="BR22" i="5"/>
  <c r="BR23" i="5"/>
  <c r="BR24" i="5"/>
  <c r="BR25" i="5"/>
  <c r="BR11" i="5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J26" i="6"/>
  <c r="H26" i="6"/>
  <c r="G26" i="6"/>
  <c r="F26" i="6"/>
  <c r="I26" i="6" s="1"/>
  <c r="E26" i="6"/>
  <c r="D26" i="6"/>
  <c r="C26" i="6"/>
  <c r="BX26" i="6" s="1"/>
  <c r="B26" i="6"/>
  <c r="A26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H25" i="6"/>
  <c r="G25" i="6"/>
  <c r="F25" i="6"/>
  <c r="J25" i="6" s="1"/>
  <c r="E25" i="6"/>
  <c r="D25" i="6"/>
  <c r="C25" i="6"/>
  <c r="BX25" i="6" s="1"/>
  <c r="B25" i="6"/>
  <c r="A25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G24" i="6"/>
  <c r="F24" i="6"/>
  <c r="K24" i="6" s="1"/>
  <c r="E24" i="6"/>
  <c r="D24" i="6"/>
  <c r="C24" i="6"/>
  <c r="BX24" i="6" s="1"/>
  <c r="B24" i="6"/>
  <c r="A24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H23" i="6"/>
  <c r="G23" i="6"/>
  <c r="F23" i="6"/>
  <c r="K23" i="6" s="1"/>
  <c r="E23" i="6"/>
  <c r="D23" i="6"/>
  <c r="C23" i="6"/>
  <c r="BX23" i="6" s="1"/>
  <c r="B23" i="6"/>
  <c r="A23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H22" i="6"/>
  <c r="G22" i="6"/>
  <c r="F22" i="6"/>
  <c r="L22" i="6" s="1"/>
  <c r="E22" i="6"/>
  <c r="D22" i="6"/>
  <c r="C22" i="6"/>
  <c r="BX22" i="6" s="1"/>
  <c r="B22" i="6"/>
  <c r="A22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H21" i="6"/>
  <c r="G21" i="6"/>
  <c r="F21" i="6"/>
  <c r="L21" i="6" s="1"/>
  <c r="E21" i="6"/>
  <c r="D21" i="6"/>
  <c r="C21" i="6"/>
  <c r="BX21" i="6" s="1"/>
  <c r="B21" i="6"/>
  <c r="A21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H20" i="6"/>
  <c r="G20" i="6"/>
  <c r="F20" i="6"/>
  <c r="I20" i="6" s="1"/>
  <c r="E20" i="6"/>
  <c r="D20" i="6"/>
  <c r="C20" i="6"/>
  <c r="BX20" i="6" s="1"/>
  <c r="B20" i="6"/>
  <c r="A20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G19" i="6"/>
  <c r="F19" i="6"/>
  <c r="L19" i="6" s="1"/>
  <c r="E19" i="6"/>
  <c r="D19" i="6"/>
  <c r="C19" i="6"/>
  <c r="BX19" i="6" s="1"/>
  <c r="B19" i="6"/>
  <c r="A19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H18" i="6"/>
  <c r="G18" i="6"/>
  <c r="F18" i="6"/>
  <c r="I18" i="6" s="1"/>
  <c r="E18" i="6"/>
  <c r="D18" i="6"/>
  <c r="C18" i="6"/>
  <c r="BX18" i="6" s="1"/>
  <c r="B18" i="6"/>
  <c r="A18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H17" i="6"/>
  <c r="G17" i="6"/>
  <c r="F17" i="6"/>
  <c r="J17" i="6" s="1"/>
  <c r="E17" i="6"/>
  <c r="D17" i="6"/>
  <c r="C17" i="6"/>
  <c r="BX17" i="6" s="1"/>
  <c r="B17" i="6"/>
  <c r="A17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H16" i="6"/>
  <c r="G16" i="6"/>
  <c r="F16" i="6"/>
  <c r="K16" i="6" s="1"/>
  <c r="E16" i="6"/>
  <c r="D16" i="6"/>
  <c r="C16" i="6"/>
  <c r="BX16" i="6" s="1"/>
  <c r="B16" i="6"/>
  <c r="A16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H15" i="6"/>
  <c r="G15" i="6"/>
  <c r="F15" i="6"/>
  <c r="K15" i="6" s="1"/>
  <c r="E15" i="6"/>
  <c r="D15" i="6"/>
  <c r="C15" i="6"/>
  <c r="BX15" i="6" s="1"/>
  <c r="B15" i="6"/>
  <c r="A15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H14" i="6"/>
  <c r="G14" i="6"/>
  <c r="F14" i="6"/>
  <c r="J14" i="6" s="1"/>
  <c r="E14" i="6"/>
  <c r="D14" i="6"/>
  <c r="C14" i="6"/>
  <c r="BX14" i="6" s="1"/>
  <c r="B14" i="6"/>
  <c r="A14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H13" i="6"/>
  <c r="G13" i="6"/>
  <c r="F13" i="6"/>
  <c r="L13" i="6" s="1"/>
  <c r="E13" i="6"/>
  <c r="D13" i="6"/>
  <c r="C13" i="6"/>
  <c r="BX13" i="6" s="1"/>
  <c r="B13" i="6"/>
  <c r="A13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G12" i="6"/>
  <c r="F12" i="6"/>
  <c r="K12" i="6" s="1"/>
  <c r="E12" i="6"/>
  <c r="D12" i="6"/>
  <c r="C12" i="6"/>
  <c r="BX12" i="6" s="1"/>
  <c r="B12" i="6"/>
  <c r="A12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G11" i="6"/>
  <c r="F11" i="6"/>
  <c r="I11" i="6" s="1"/>
  <c r="E11" i="6"/>
  <c r="D11" i="6"/>
  <c r="C11" i="6"/>
  <c r="BX11" i="6" s="1"/>
  <c r="B11" i="6"/>
  <c r="A11" i="6"/>
  <c r="AO12" i="1"/>
  <c r="AP12" i="1"/>
  <c r="AQ12" i="1"/>
  <c r="AR12" i="1"/>
  <c r="AS12" i="1"/>
  <c r="AT12" i="1"/>
  <c r="AU12" i="1"/>
  <c r="AV12" i="1"/>
  <c r="AW12" i="1"/>
  <c r="AX12" i="1"/>
  <c r="AO13" i="1"/>
  <c r="AP13" i="1"/>
  <c r="AQ13" i="1"/>
  <c r="AR13" i="1"/>
  <c r="AS13" i="1"/>
  <c r="AT13" i="1"/>
  <c r="AU13" i="1"/>
  <c r="AV13" i="1"/>
  <c r="AW13" i="1"/>
  <c r="AX13" i="1"/>
  <c r="AO14" i="1"/>
  <c r="AP14" i="1"/>
  <c r="AQ14" i="1"/>
  <c r="AR14" i="1"/>
  <c r="AS14" i="1"/>
  <c r="AT14" i="1"/>
  <c r="AU14" i="1"/>
  <c r="AV14" i="1"/>
  <c r="AW14" i="1"/>
  <c r="AX14" i="1"/>
  <c r="AO15" i="1"/>
  <c r="AP15" i="1"/>
  <c r="AQ15" i="1"/>
  <c r="AR15" i="1"/>
  <c r="AS15" i="1"/>
  <c r="AT15" i="1"/>
  <c r="AU15" i="1"/>
  <c r="AV15" i="1"/>
  <c r="AW15" i="1"/>
  <c r="AX15" i="1"/>
  <c r="AO16" i="1"/>
  <c r="AP16" i="1"/>
  <c r="AQ16" i="1"/>
  <c r="AR16" i="1"/>
  <c r="AS16" i="1"/>
  <c r="AT16" i="1"/>
  <c r="AU16" i="1"/>
  <c r="AV16" i="1"/>
  <c r="AW16" i="1"/>
  <c r="AX16" i="1"/>
  <c r="AO17" i="1"/>
  <c r="AP17" i="1"/>
  <c r="AQ17" i="1"/>
  <c r="AR17" i="1"/>
  <c r="AS17" i="1"/>
  <c r="AT17" i="1"/>
  <c r="AU17" i="1"/>
  <c r="AV17" i="1"/>
  <c r="AW17" i="1"/>
  <c r="AX17" i="1"/>
  <c r="AO18" i="1"/>
  <c r="AP18" i="1"/>
  <c r="AQ18" i="1"/>
  <c r="AR18" i="1"/>
  <c r="AS18" i="1"/>
  <c r="AT18" i="1"/>
  <c r="AU18" i="1"/>
  <c r="AV18" i="1"/>
  <c r="AW18" i="1"/>
  <c r="AX18" i="1"/>
  <c r="AO19" i="1"/>
  <c r="AP19" i="1"/>
  <c r="AQ19" i="1"/>
  <c r="AR19" i="1"/>
  <c r="AS19" i="1"/>
  <c r="AT19" i="1"/>
  <c r="AU19" i="1"/>
  <c r="AV19" i="1"/>
  <c r="AW19" i="1"/>
  <c r="AX19" i="1"/>
  <c r="AO20" i="1"/>
  <c r="AP20" i="1"/>
  <c r="AQ20" i="1"/>
  <c r="AR20" i="1"/>
  <c r="AS20" i="1"/>
  <c r="AT20" i="1"/>
  <c r="AU20" i="1"/>
  <c r="AV20" i="1"/>
  <c r="AW20" i="1"/>
  <c r="AX20" i="1"/>
  <c r="AO21" i="1"/>
  <c r="AP21" i="1"/>
  <c r="AQ21" i="1"/>
  <c r="AR21" i="1"/>
  <c r="AS21" i="1"/>
  <c r="AT21" i="1"/>
  <c r="AU21" i="1"/>
  <c r="AV21" i="1"/>
  <c r="AW21" i="1"/>
  <c r="AX21" i="1"/>
  <c r="AO22" i="1"/>
  <c r="AP22" i="1"/>
  <c r="AQ22" i="1"/>
  <c r="AR22" i="1"/>
  <c r="AS22" i="1"/>
  <c r="AT22" i="1"/>
  <c r="AU22" i="1"/>
  <c r="AV22" i="1"/>
  <c r="AW22" i="1"/>
  <c r="AX22" i="1"/>
  <c r="AO23" i="1"/>
  <c r="AP23" i="1"/>
  <c r="AQ23" i="1"/>
  <c r="AR23" i="1"/>
  <c r="AS23" i="1"/>
  <c r="AT23" i="1"/>
  <c r="AU23" i="1"/>
  <c r="AV23" i="1"/>
  <c r="AW23" i="1"/>
  <c r="AX23" i="1"/>
  <c r="AO24" i="1"/>
  <c r="AP24" i="1"/>
  <c r="AQ24" i="1"/>
  <c r="AR24" i="1"/>
  <c r="AS24" i="1"/>
  <c r="AT24" i="1"/>
  <c r="AU24" i="1"/>
  <c r="AV24" i="1"/>
  <c r="AW24" i="1"/>
  <c r="AX24" i="1"/>
  <c r="AO25" i="1"/>
  <c r="AP25" i="1"/>
  <c r="AQ25" i="1"/>
  <c r="AR25" i="1"/>
  <c r="AS25" i="1"/>
  <c r="AT25" i="1"/>
  <c r="AU25" i="1"/>
  <c r="AV25" i="1"/>
  <c r="AW25" i="1"/>
  <c r="AX25" i="1"/>
  <c r="AO26" i="1"/>
  <c r="AP26" i="1"/>
  <c r="AQ26" i="1"/>
  <c r="AR26" i="1"/>
  <c r="AS26" i="1"/>
  <c r="AT26" i="1"/>
  <c r="AU26" i="1"/>
  <c r="AV26" i="1"/>
  <c r="AW26" i="1"/>
  <c r="AX26" i="1"/>
  <c r="AX11" i="1"/>
  <c r="AW11" i="1"/>
  <c r="AV11" i="1"/>
  <c r="AU11" i="1"/>
  <c r="AT11" i="1"/>
  <c r="AS11" i="1"/>
  <c r="AR11" i="1"/>
  <c r="AQ11" i="1"/>
  <c r="AP11" i="1"/>
  <c r="AO11" i="1"/>
  <c r="AG12" i="1"/>
  <c r="AH12" i="1"/>
  <c r="AI12" i="1"/>
  <c r="AJ12" i="1"/>
  <c r="AK12" i="1"/>
  <c r="AL12" i="1"/>
  <c r="AM12" i="1"/>
  <c r="AN12" i="1"/>
  <c r="AG13" i="1"/>
  <c r="AH13" i="1"/>
  <c r="AI13" i="1"/>
  <c r="AJ13" i="1"/>
  <c r="AK13" i="1"/>
  <c r="AL13" i="1"/>
  <c r="AM13" i="1"/>
  <c r="AN13" i="1"/>
  <c r="AG14" i="1"/>
  <c r="AH14" i="1"/>
  <c r="AI14" i="1"/>
  <c r="AJ14" i="1"/>
  <c r="AK14" i="1"/>
  <c r="AL14" i="1"/>
  <c r="AM14" i="1"/>
  <c r="AN14" i="1"/>
  <c r="AG15" i="1"/>
  <c r="AH15" i="1"/>
  <c r="AI15" i="1"/>
  <c r="AJ15" i="1"/>
  <c r="AK15" i="1"/>
  <c r="AL15" i="1"/>
  <c r="AM15" i="1"/>
  <c r="AN15" i="1"/>
  <c r="AG16" i="1"/>
  <c r="AH16" i="1"/>
  <c r="AI16" i="1"/>
  <c r="AJ16" i="1"/>
  <c r="AK16" i="1"/>
  <c r="AL16" i="1"/>
  <c r="AM16" i="1"/>
  <c r="AN16" i="1"/>
  <c r="AG17" i="1"/>
  <c r="AH17" i="1"/>
  <c r="AI17" i="1"/>
  <c r="AJ17" i="1"/>
  <c r="AK17" i="1"/>
  <c r="AL17" i="1"/>
  <c r="AM17" i="1"/>
  <c r="AN17" i="1"/>
  <c r="AG18" i="1"/>
  <c r="AH18" i="1"/>
  <c r="AI18" i="1"/>
  <c r="AJ18" i="1"/>
  <c r="AK18" i="1"/>
  <c r="AL18" i="1"/>
  <c r="AM18" i="1"/>
  <c r="AN18" i="1"/>
  <c r="AG19" i="1"/>
  <c r="AH19" i="1"/>
  <c r="AI19" i="1"/>
  <c r="AJ19" i="1"/>
  <c r="AK19" i="1"/>
  <c r="AL19" i="1"/>
  <c r="AM19" i="1"/>
  <c r="AN19" i="1"/>
  <c r="AG20" i="1"/>
  <c r="AH20" i="1"/>
  <c r="AI20" i="1"/>
  <c r="AJ20" i="1"/>
  <c r="AK20" i="1"/>
  <c r="AL20" i="1"/>
  <c r="AM20" i="1"/>
  <c r="AN20" i="1"/>
  <c r="AG21" i="1"/>
  <c r="AH21" i="1"/>
  <c r="AI21" i="1"/>
  <c r="AJ21" i="1"/>
  <c r="AK21" i="1"/>
  <c r="AL21" i="1"/>
  <c r="AM21" i="1"/>
  <c r="AN21" i="1"/>
  <c r="AG22" i="1"/>
  <c r="AH22" i="1"/>
  <c r="AI22" i="1"/>
  <c r="AJ22" i="1"/>
  <c r="AK22" i="1"/>
  <c r="AL22" i="1"/>
  <c r="AM22" i="1"/>
  <c r="AN22" i="1"/>
  <c r="AG23" i="1"/>
  <c r="AH23" i="1"/>
  <c r="AI23" i="1"/>
  <c r="AJ23" i="1"/>
  <c r="AK23" i="1"/>
  <c r="AL23" i="1"/>
  <c r="AM23" i="1"/>
  <c r="AN23" i="1"/>
  <c r="AG24" i="1"/>
  <c r="AH24" i="1"/>
  <c r="AI24" i="1"/>
  <c r="AJ24" i="1"/>
  <c r="AK24" i="1"/>
  <c r="AL24" i="1"/>
  <c r="AM24" i="1"/>
  <c r="AN24" i="1"/>
  <c r="AG25" i="1"/>
  <c r="AH25" i="1"/>
  <c r="AI25" i="1"/>
  <c r="AJ25" i="1"/>
  <c r="AK25" i="1"/>
  <c r="AL25" i="1"/>
  <c r="AM25" i="1"/>
  <c r="AN25" i="1"/>
  <c r="AG26" i="1"/>
  <c r="AH26" i="1"/>
  <c r="AI26" i="1"/>
  <c r="AJ26" i="1"/>
  <c r="AK26" i="1"/>
  <c r="AL26" i="1"/>
  <c r="AM26" i="1"/>
  <c r="AN26" i="1"/>
  <c r="AN11" i="1"/>
  <c r="AM11" i="1"/>
  <c r="AL11" i="1"/>
  <c r="AK11" i="1"/>
  <c r="AJ11" i="1"/>
  <c r="AI11" i="1"/>
  <c r="AH11" i="1"/>
  <c r="AG11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H26" i="1"/>
  <c r="G26" i="1"/>
  <c r="F26" i="1"/>
  <c r="L26" i="1" s="1"/>
  <c r="E26" i="1"/>
  <c r="D26" i="1"/>
  <c r="C26" i="1"/>
  <c r="B26" i="1"/>
  <c r="A26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H25" i="1"/>
  <c r="G25" i="1"/>
  <c r="F25" i="1"/>
  <c r="L25" i="1" s="1"/>
  <c r="E25" i="1"/>
  <c r="D25" i="1"/>
  <c r="C25" i="1"/>
  <c r="B25" i="1"/>
  <c r="A25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H24" i="1"/>
  <c r="G24" i="1"/>
  <c r="F24" i="1"/>
  <c r="L24" i="1" s="1"/>
  <c r="E24" i="1"/>
  <c r="D24" i="1"/>
  <c r="C24" i="1"/>
  <c r="B24" i="1"/>
  <c r="A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H23" i="1"/>
  <c r="G23" i="1"/>
  <c r="F23" i="1"/>
  <c r="L23" i="1" s="1"/>
  <c r="E23" i="1"/>
  <c r="D23" i="1"/>
  <c r="C23" i="1"/>
  <c r="B23" i="1"/>
  <c r="A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H22" i="1"/>
  <c r="G22" i="1"/>
  <c r="F22" i="1"/>
  <c r="K22" i="1" s="1"/>
  <c r="E22" i="1"/>
  <c r="D22" i="1"/>
  <c r="C22" i="1"/>
  <c r="B22" i="1"/>
  <c r="A22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H21" i="1"/>
  <c r="G21" i="1"/>
  <c r="F21" i="1"/>
  <c r="J21" i="1" s="1"/>
  <c r="E21" i="1"/>
  <c r="D21" i="1"/>
  <c r="C21" i="1"/>
  <c r="B21" i="1"/>
  <c r="A21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H20" i="1"/>
  <c r="G20" i="1"/>
  <c r="F20" i="1"/>
  <c r="I20" i="1" s="1"/>
  <c r="E20" i="1"/>
  <c r="D20" i="1"/>
  <c r="C20" i="1"/>
  <c r="B20" i="1"/>
  <c r="A20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H19" i="1"/>
  <c r="G19" i="1"/>
  <c r="F19" i="1"/>
  <c r="J19" i="1" s="1"/>
  <c r="E19" i="1"/>
  <c r="D19" i="1"/>
  <c r="C19" i="1"/>
  <c r="B19" i="1"/>
  <c r="A19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H18" i="1"/>
  <c r="G18" i="1"/>
  <c r="F18" i="1"/>
  <c r="I18" i="1" s="1"/>
  <c r="E18" i="1"/>
  <c r="D18" i="1"/>
  <c r="C18" i="1"/>
  <c r="B18" i="1"/>
  <c r="A18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H17" i="1"/>
  <c r="G17" i="1"/>
  <c r="F17" i="1"/>
  <c r="L17" i="1" s="1"/>
  <c r="E17" i="1"/>
  <c r="D17" i="1"/>
  <c r="C17" i="1"/>
  <c r="B17" i="1"/>
  <c r="A17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H16" i="1"/>
  <c r="G16" i="1"/>
  <c r="F16" i="1"/>
  <c r="J16" i="1" s="1"/>
  <c r="E16" i="1"/>
  <c r="D16" i="1"/>
  <c r="C16" i="1"/>
  <c r="B16" i="1"/>
  <c r="A16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H15" i="1"/>
  <c r="G15" i="1"/>
  <c r="F15" i="1"/>
  <c r="L15" i="1" s="1"/>
  <c r="E15" i="1"/>
  <c r="D15" i="1"/>
  <c r="C15" i="1"/>
  <c r="B15" i="1"/>
  <c r="A15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H14" i="1"/>
  <c r="G14" i="1"/>
  <c r="F14" i="1"/>
  <c r="E14" i="1"/>
  <c r="D14" i="1"/>
  <c r="C14" i="1"/>
  <c r="B14" i="1"/>
  <c r="A14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H13" i="1"/>
  <c r="G13" i="1"/>
  <c r="F13" i="1"/>
  <c r="J13" i="1" s="1"/>
  <c r="E13" i="1"/>
  <c r="D13" i="1"/>
  <c r="C13" i="1"/>
  <c r="B13" i="1"/>
  <c r="A13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H12" i="1"/>
  <c r="G12" i="1"/>
  <c r="F12" i="1"/>
  <c r="I12" i="1" s="1"/>
  <c r="E12" i="1"/>
  <c r="D12" i="1"/>
  <c r="C12" i="1"/>
  <c r="B12" i="1"/>
  <c r="A12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H11" i="1"/>
  <c r="G11" i="1"/>
  <c r="F11" i="1"/>
  <c r="L11" i="1" s="1"/>
  <c r="E11" i="1"/>
  <c r="D11" i="1"/>
  <c r="C11" i="1"/>
  <c r="B11" i="1"/>
  <c r="A11" i="1"/>
  <c r="BB12" i="5"/>
  <c r="BC12" i="5"/>
  <c r="BB13" i="5"/>
  <c r="BC13" i="5"/>
  <c r="BB14" i="5"/>
  <c r="BC14" i="5"/>
  <c r="BB15" i="5"/>
  <c r="BC15" i="5"/>
  <c r="BB16" i="5"/>
  <c r="BC16" i="5"/>
  <c r="BB17" i="5"/>
  <c r="BC17" i="5"/>
  <c r="BB18" i="5"/>
  <c r="BC18" i="5"/>
  <c r="BB19" i="5"/>
  <c r="BC19" i="5"/>
  <c r="BB20" i="5"/>
  <c r="BC20" i="5"/>
  <c r="BB21" i="5"/>
  <c r="BC21" i="5"/>
  <c r="BB22" i="5"/>
  <c r="BC22" i="5"/>
  <c r="BB23" i="5"/>
  <c r="BC23" i="5"/>
  <c r="BB24" i="5"/>
  <c r="BC24" i="5"/>
  <c r="BB25" i="5"/>
  <c r="BC25" i="5"/>
  <c r="BB26" i="5"/>
  <c r="BC26" i="5"/>
  <c r="BC11" i="5"/>
  <c r="BB11" i="5"/>
  <c r="BA12" i="5"/>
  <c r="BA13" i="5"/>
  <c r="BA14" i="5"/>
  <c r="BA15" i="5"/>
  <c r="BA16" i="5"/>
  <c r="BA17" i="5"/>
  <c r="BA18" i="5"/>
  <c r="BA19" i="5"/>
  <c r="BA20" i="5"/>
  <c r="BA21" i="5"/>
  <c r="BA22" i="5"/>
  <c r="BA23" i="5"/>
  <c r="BA24" i="5"/>
  <c r="BA25" i="5"/>
  <c r="BA26" i="5"/>
  <c r="BA11" i="5"/>
  <c r="AU30" i="5"/>
  <c r="AU29" i="5"/>
  <c r="AU28" i="5"/>
  <c r="AU27" i="5"/>
  <c r="A26" i="5"/>
  <c r="AI26" i="5" s="1"/>
  <c r="B26" i="5"/>
  <c r="C26" i="5"/>
  <c r="D26" i="5"/>
  <c r="E26" i="5"/>
  <c r="F26" i="5"/>
  <c r="I26" i="5" s="1"/>
  <c r="G26" i="5"/>
  <c r="H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12" i="5"/>
  <c r="AI12" i="5" s="1"/>
  <c r="B12" i="5"/>
  <c r="C12" i="5"/>
  <c r="D12" i="5"/>
  <c r="E12" i="5"/>
  <c r="F12" i="5"/>
  <c r="AG12" i="5" s="1"/>
  <c r="G12" i="5"/>
  <c r="H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13" i="5"/>
  <c r="AI13" i="5" s="1"/>
  <c r="B13" i="5"/>
  <c r="C13" i="5"/>
  <c r="D13" i="5"/>
  <c r="E13" i="5"/>
  <c r="F13" i="5"/>
  <c r="I13" i="5" s="1"/>
  <c r="G13" i="5"/>
  <c r="H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14" i="5"/>
  <c r="AI14" i="5" s="1"/>
  <c r="B14" i="5"/>
  <c r="C14" i="5"/>
  <c r="D14" i="5"/>
  <c r="E14" i="5"/>
  <c r="F14" i="5"/>
  <c r="I14" i="5" s="1"/>
  <c r="G14" i="5"/>
  <c r="H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15" i="5"/>
  <c r="AI15" i="5" s="1"/>
  <c r="B15" i="5"/>
  <c r="C15" i="5"/>
  <c r="D15" i="5"/>
  <c r="E15" i="5"/>
  <c r="F15" i="5"/>
  <c r="I15" i="5" s="1"/>
  <c r="G15" i="5"/>
  <c r="H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16" i="5"/>
  <c r="AI16" i="5" s="1"/>
  <c r="B16" i="5"/>
  <c r="C16" i="5"/>
  <c r="D16" i="5"/>
  <c r="E16" i="5"/>
  <c r="F16" i="5"/>
  <c r="I16" i="5" s="1"/>
  <c r="G16" i="5"/>
  <c r="H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17" i="5"/>
  <c r="AI17" i="5" s="1"/>
  <c r="B17" i="5"/>
  <c r="C17" i="5"/>
  <c r="D17" i="5"/>
  <c r="E17" i="5"/>
  <c r="F17" i="5"/>
  <c r="L17" i="5" s="1"/>
  <c r="G17" i="5"/>
  <c r="H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18" i="5"/>
  <c r="AI18" i="5" s="1"/>
  <c r="B18" i="5"/>
  <c r="C18" i="5"/>
  <c r="D18" i="5"/>
  <c r="E18" i="5"/>
  <c r="F18" i="5"/>
  <c r="I18" i="5" s="1"/>
  <c r="G18" i="5"/>
  <c r="H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19" i="5"/>
  <c r="AK19" i="5" s="1"/>
  <c r="B19" i="5"/>
  <c r="C19" i="5"/>
  <c r="D19" i="5"/>
  <c r="E19" i="5"/>
  <c r="F19" i="5"/>
  <c r="J19" i="5" s="1"/>
  <c r="G19" i="5"/>
  <c r="H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20" i="5"/>
  <c r="AI20" i="5" s="1"/>
  <c r="B20" i="5"/>
  <c r="C20" i="5"/>
  <c r="D20" i="5"/>
  <c r="E20" i="5"/>
  <c r="F20" i="5"/>
  <c r="I20" i="5" s="1"/>
  <c r="G20" i="5"/>
  <c r="H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21" i="5"/>
  <c r="AI21" i="5" s="1"/>
  <c r="B21" i="5"/>
  <c r="C21" i="5"/>
  <c r="D21" i="5"/>
  <c r="E21" i="5"/>
  <c r="F21" i="5"/>
  <c r="K21" i="5" s="1"/>
  <c r="G21" i="5"/>
  <c r="H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22" i="5"/>
  <c r="AI22" i="5" s="1"/>
  <c r="B22" i="5"/>
  <c r="C22" i="5"/>
  <c r="D22" i="5"/>
  <c r="E22" i="5"/>
  <c r="F22" i="5"/>
  <c r="I22" i="5" s="1"/>
  <c r="G22" i="5"/>
  <c r="H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23" i="5"/>
  <c r="AI23" i="5" s="1"/>
  <c r="B23" i="5"/>
  <c r="C23" i="5"/>
  <c r="D23" i="5"/>
  <c r="E23" i="5"/>
  <c r="F23" i="5"/>
  <c r="I23" i="5" s="1"/>
  <c r="G23" i="5"/>
  <c r="H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24" i="5"/>
  <c r="AI24" i="5" s="1"/>
  <c r="B24" i="5"/>
  <c r="C24" i="5"/>
  <c r="D24" i="5"/>
  <c r="E24" i="5"/>
  <c r="F24" i="5"/>
  <c r="I24" i="5" s="1"/>
  <c r="G24" i="5"/>
  <c r="H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25" i="5"/>
  <c r="AK25" i="5" s="1"/>
  <c r="B25" i="5"/>
  <c r="C25" i="5"/>
  <c r="D25" i="5"/>
  <c r="E25" i="5"/>
  <c r="F25" i="5"/>
  <c r="I25" i="5" s="1"/>
  <c r="G25" i="5"/>
  <c r="H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BA27" i="5"/>
  <c r="B11" i="5"/>
  <c r="C11" i="5"/>
  <c r="D11" i="5"/>
  <c r="E11" i="5"/>
  <c r="F11" i="5"/>
  <c r="J11" i="5" s="1"/>
  <c r="G11" i="5"/>
  <c r="H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11" i="5"/>
  <c r="AI11" i="5" s="1"/>
  <c r="I37" i="3"/>
  <c r="J37" i="3"/>
  <c r="K37" i="3"/>
  <c r="I38" i="3"/>
  <c r="J38" i="3"/>
  <c r="K38" i="3"/>
  <c r="I39" i="3"/>
  <c r="J39" i="3"/>
  <c r="K39" i="3"/>
  <c r="I40" i="3"/>
  <c r="J40" i="3"/>
  <c r="K40" i="3"/>
  <c r="I42" i="3"/>
  <c r="J42" i="3"/>
  <c r="K42" i="3"/>
  <c r="I43" i="3"/>
  <c r="J43" i="3"/>
  <c r="K43" i="3"/>
  <c r="I44" i="3"/>
  <c r="J44" i="3"/>
  <c r="K44" i="3"/>
  <c r="I45" i="3"/>
  <c r="J45" i="3"/>
  <c r="K45" i="3"/>
  <c r="I47" i="3"/>
  <c r="J47" i="3"/>
  <c r="K47" i="3"/>
  <c r="I48" i="3"/>
  <c r="J48" i="3"/>
  <c r="K48" i="3"/>
  <c r="I49" i="3"/>
  <c r="J49" i="3"/>
  <c r="K49" i="3"/>
  <c r="I50" i="3"/>
  <c r="J50" i="3"/>
  <c r="K50" i="3"/>
  <c r="I52" i="3"/>
  <c r="J52" i="3"/>
  <c r="K52" i="3"/>
  <c r="I53" i="3"/>
  <c r="J53" i="3"/>
  <c r="K53" i="3"/>
  <c r="I54" i="3"/>
  <c r="J54" i="3"/>
  <c r="K54" i="3"/>
  <c r="I55" i="3"/>
  <c r="J55" i="3"/>
  <c r="K55" i="3"/>
  <c r="I57" i="3"/>
  <c r="J57" i="3"/>
  <c r="K57" i="3"/>
  <c r="I58" i="3"/>
  <c r="J58" i="3"/>
  <c r="K58" i="3"/>
  <c r="I59" i="3"/>
  <c r="J59" i="3"/>
  <c r="K59" i="3"/>
  <c r="I60" i="3"/>
  <c r="J60" i="3"/>
  <c r="K60" i="3"/>
  <c r="BT30" i="6"/>
  <c r="BS30" i="6"/>
  <c r="BX30" i="6"/>
  <c r="BX29" i="6"/>
  <c r="BX28" i="6"/>
  <c r="BX27" i="6"/>
  <c r="BO16" i="1"/>
  <c r="BO17" i="1"/>
  <c r="BO18" i="1"/>
  <c r="BO24" i="1"/>
  <c r="BO25" i="1"/>
  <c r="BO26" i="1"/>
  <c r="J2" i="2"/>
  <c r="BO12" i="1" s="1"/>
  <c r="BA30" i="5"/>
  <c r="BA29" i="5"/>
  <c r="BA28" i="5"/>
  <c r="AY11" i="7" l="1"/>
  <c r="J12" i="7"/>
  <c r="AF13" i="7"/>
  <c r="AF14" i="7"/>
  <c r="L11" i="7"/>
  <c r="K12" i="7"/>
  <c r="AY12" i="7" s="1"/>
  <c r="AZ12" i="7" s="1"/>
  <c r="BA12" i="7" s="1"/>
  <c r="BB12" i="7" s="1"/>
  <c r="BF12" i="7" s="1"/>
  <c r="I13" i="7"/>
  <c r="I19" i="7"/>
  <c r="AF20" i="7"/>
  <c r="J13" i="7"/>
  <c r="K13" i="7"/>
  <c r="I14" i="7"/>
  <c r="I15" i="7"/>
  <c r="J19" i="7"/>
  <c r="I20" i="7"/>
  <c r="AY20" i="7" s="1"/>
  <c r="AZ20" i="7" s="1"/>
  <c r="BA20" i="7" s="1"/>
  <c r="AF23" i="7"/>
  <c r="K19" i="7"/>
  <c r="AY19" i="7" s="1"/>
  <c r="AZ19" i="7" s="1"/>
  <c r="BA19" i="7" s="1"/>
  <c r="BD19" i="7" s="1"/>
  <c r="BH19" i="7" s="1"/>
  <c r="AF22" i="7"/>
  <c r="L19" i="7"/>
  <c r="AY21" i="7"/>
  <c r="AZ21" i="7" s="1"/>
  <c r="BA21" i="7" s="1"/>
  <c r="BC12" i="7"/>
  <c r="BG12" i="7" s="1"/>
  <c r="AY15" i="7"/>
  <c r="AZ15" i="7" s="1"/>
  <c r="BA15" i="7" s="1"/>
  <c r="BE19" i="7"/>
  <c r="L16" i="7"/>
  <c r="K17" i="7"/>
  <c r="J18" i="7"/>
  <c r="L24" i="7"/>
  <c r="K25" i="7"/>
  <c r="J26" i="7"/>
  <c r="L17" i="7"/>
  <c r="K18" i="7"/>
  <c r="AY18" i="7" s="1"/>
  <c r="AZ18" i="7" s="1"/>
  <c r="BA18" i="7" s="1"/>
  <c r="L25" i="7"/>
  <c r="K26" i="7"/>
  <c r="AY26" i="7" s="1"/>
  <c r="AZ26" i="7" s="1"/>
  <c r="BA26" i="7" s="1"/>
  <c r="AF16" i="7"/>
  <c r="K14" i="7"/>
  <c r="AY14" i="7" s="1"/>
  <c r="AZ14" i="7" s="1"/>
  <c r="BA14" i="7" s="1"/>
  <c r="J15" i="7"/>
  <c r="I16" i="7"/>
  <c r="AY16" i="7" s="1"/>
  <c r="AF17" i="7"/>
  <c r="K22" i="7"/>
  <c r="AY22" i="7" s="1"/>
  <c r="AZ22" i="7" s="1"/>
  <c r="BA22" i="7" s="1"/>
  <c r="J23" i="7"/>
  <c r="I24" i="7"/>
  <c r="AY24" i="7" s="1"/>
  <c r="AF25" i="7"/>
  <c r="AF24" i="7"/>
  <c r="K15" i="7"/>
  <c r="J16" i="7"/>
  <c r="I17" i="7"/>
  <c r="AF18" i="7"/>
  <c r="K23" i="7"/>
  <c r="AY23" i="7" s="1"/>
  <c r="AZ23" i="7" s="1"/>
  <c r="BA23" i="7" s="1"/>
  <c r="J24" i="7"/>
  <c r="I25" i="7"/>
  <c r="AY25" i="7" s="1"/>
  <c r="AZ25" i="7" s="1"/>
  <c r="BA25" i="7" s="1"/>
  <c r="AF26" i="7"/>
  <c r="AG18" i="5"/>
  <c r="L23" i="5"/>
  <c r="I21" i="6"/>
  <c r="I22" i="6"/>
  <c r="K21" i="6"/>
  <c r="J21" i="6"/>
  <c r="AF22" i="6"/>
  <c r="L26" i="6"/>
  <c r="L12" i="6"/>
  <c r="K20" i="6"/>
  <c r="AF12" i="6"/>
  <c r="L20" i="6"/>
  <c r="J11" i="6"/>
  <c r="I12" i="6"/>
  <c r="K11" i="6"/>
  <c r="J12" i="6"/>
  <c r="L11" i="6"/>
  <c r="AF14" i="6"/>
  <c r="AF15" i="6"/>
  <c r="I13" i="6"/>
  <c r="I14" i="6"/>
  <c r="L15" i="6"/>
  <c r="J13" i="6"/>
  <c r="J18" i="6"/>
  <c r="J19" i="6"/>
  <c r="AF20" i="6"/>
  <c r="I19" i="6"/>
  <c r="AF11" i="6"/>
  <c r="K13" i="6"/>
  <c r="L18" i="6"/>
  <c r="K19" i="6"/>
  <c r="I15" i="6"/>
  <c r="AF19" i="6"/>
  <c r="AF23" i="6"/>
  <c r="J20" i="6"/>
  <c r="I23" i="6"/>
  <c r="L16" i="6"/>
  <c r="K17" i="6"/>
  <c r="L24" i="6"/>
  <c r="K25" i="6"/>
  <c r="AF13" i="6"/>
  <c r="L17" i="6"/>
  <c r="K18" i="6"/>
  <c r="AF21" i="6"/>
  <c r="L25" i="6"/>
  <c r="K26" i="6"/>
  <c r="J22" i="6"/>
  <c r="AF24" i="6"/>
  <c r="K14" i="6"/>
  <c r="J15" i="6"/>
  <c r="I16" i="6"/>
  <c r="AF17" i="6"/>
  <c r="K22" i="6"/>
  <c r="J23" i="6"/>
  <c r="I24" i="6"/>
  <c r="AF25" i="6"/>
  <c r="AF16" i="6"/>
  <c r="L14" i="6"/>
  <c r="J16" i="6"/>
  <c r="I17" i="6"/>
  <c r="AF18" i="6"/>
  <c r="J24" i="6"/>
  <c r="I25" i="6"/>
  <c r="AF26" i="6"/>
  <c r="I25" i="1"/>
  <c r="J26" i="1"/>
  <c r="J25" i="1"/>
  <c r="I26" i="1"/>
  <c r="K25" i="1"/>
  <c r="K26" i="1"/>
  <c r="L22" i="1"/>
  <c r="K18" i="1"/>
  <c r="I17" i="1"/>
  <c r="J17" i="1"/>
  <c r="K17" i="1"/>
  <c r="K19" i="1"/>
  <c r="L18" i="1"/>
  <c r="L13" i="1"/>
  <c r="L19" i="1"/>
  <c r="J18" i="1"/>
  <c r="J12" i="1"/>
  <c r="K21" i="1"/>
  <c r="I11" i="1"/>
  <c r="L21" i="1"/>
  <c r="J11" i="1"/>
  <c r="L12" i="1"/>
  <c r="J20" i="1"/>
  <c r="L14" i="1"/>
  <c r="I19" i="1"/>
  <c r="BA19" i="1" s="1"/>
  <c r="K20" i="1"/>
  <c r="L20" i="1"/>
  <c r="I16" i="1"/>
  <c r="I24" i="1"/>
  <c r="J24" i="1"/>
  <c r="I15" i="1"/>
  <c r="I23" i="1"/>
  <c r="I14" i="1"/>
  <c r="J15" i="1"/>
  <c r="K16" i="1"/>
  <c r="I22" i="1"/>
  <c r="J23" i="1"/>
  <c r="K24" i="1"/>
  <c r="I13" i="1"/>
  <c r="J14" i="1"/>
  <c r="K15" i="1"/>
  <c r="L16" i="1"/>
  <c r="I21" i="1"/>
  <c r="J22" i="1"/>
  <c r="K23" i="1"/>
  <c r="J21" i="5"/>
  <c r="L19" i="5"/>
  <c r="L25" i="5"/>
  <c r="K19" i="5"/>
  <c r="L13" i="5"/>
  <c r="I21" i="5"/>
  <c r="J13" i="5"/>
  <c r="AF13" i="5" s="1"/>
  <c r="J23" i="5"/>
  <c r="L15" i="5"/>
  <c r="K13" i="5"/>
  <c r="K23" i="5"/>
  <c r="I11" i="5"/>
  <c r="K15" i="5"/>
  <c r="L11" i="5"/>
  <c r="L21" i="5"/>
  <c r="J15" i="5"/>
  <c r="K11" i="5"/>
  <c r="K25" i="5"/>
  <c r="J25" i="5"/>
  <c r="J17" i="5"/>
  <c r="L26" i="5"/>
  <c r="L24" i="5"/>
  <c r="L22" i="5"/>
  <c r="L20" i="5"/>
  <c r="L18" i="5"/>
  <c r="L16" i="5"/>
  <c r="L14" i="5"/>
  <c r="L12" i="5"/>
  <c r="K17" i="5"/>
  <c r="I17" i="5"/>
  <c r="K26" i="5"/>
  <c r="K24" i="5"/>
  <c r="K22" i="5"/>
  <c r="K20" i="5"/>
  <c r="K18" i="5"/>
  <c r="K16" i="5"/>
  <c r="K14" i="5"/>
  <c r="K12" i="5"/>
  <c r="I19" i="5"/>
  <c r="J26" i="5"/>
  <c r="J24" i="5"/>
  <c r="J22" i="5"/>
  <c r="J20" i="5"/>
  <c r="J18" i="5"/>
  <c r="AF18" i="5" s="1"/>
  <c r="J16" i="5"/>
  <c r="J14" i="5"/>
  <c r="J12" i="5"/>
  <c r="I12" i="5"/>
  <c r="AW16" i="5"/>
  <c r="AW12" i="5"/>
  <c r="AY20" i="5"/>
  <c r="AY24" i="5"/>
  <c r="AV20" i="5"/>
  <c r="AY16" i="5"/>
  <c r="AV12" i="5"/>
  <c r="AY12" i="5"/>
  <c r="AW24" i="5"/>
  <c r="AL20" i="5"/>
  <c r="AW20" i="5"/>
  <c r="AL12" i="5"/>
  <c r="AV11" i="5"/>
  <c r="AV19" i="5"/>
  <c r="AW11" i="5"/>
  <c r="AX23" i="5"/>
  <c r="AX19" i="5"/>
  <c r="AX15" i="5"/>
  <c r="AY11" i="5"/>
  <c r="AZ23" i="5"/>
  <c r="AZ19" i="5"/>
  <c r="AZ15" i="5"/>
  <c r="AL11" i="5"/>
  <c r="AL19" i="5"/>
  <c r="AV26" i="5"/>
  <c r="AV18" i="5"/>
  <c r="AX11" i="5"/>
  <c r="AW23" i="5"/>
  <c r="AW19" i="5"/>
  <c r="AW15" i="5"/>
  <c r="AZ11" i="5"/>
  <c r="AY23" i="5"/>
  <c r="AY19" i="5"/>
  <c r="AY15" i="5"/>
  <c r="AL26" i="5"/>
  <c r="AL18" i="5"/>
  <c r="AV25" i="5"/>
  <c r="AV17" i="5"/>
  <c r="AX26" i="5"/>
  <c r="AX22" i="5"/>
  <c r="AX18" i="5"/>
  <c r="AX14" i="5"/>
  <c r="AZ26" i="5"/>
  <c r="AZ22" i="5"/>
  <c r="AZ18" i="5"/>
  <c r="AZ14" i="5"/>
  <c r="AL25" i="5"/>
  <c r="AL17" i="5"/>
  <c r="AV24" i="5"/>
  <c r="AV16" i="5"/>
  <c r="AW26" i="5"/>
  <c r="AW22" i="5"/>
  <c r="AW18" i="5"/>
  <c r="AW14" i="5"/>
  <c r="AY26" i="5"/>
  <c r="AY22" i="5"/>
  <c r="AY18" i="5"/>
  <c r="AY14" i="5"/>
  <c r="AL24" i="5"/>
  <c r="AL16" i="5"/>
  <c r="AV23" i="5"/>
  <c r="AV15" i="5"/>
  <c r="AX25" i="5"/>
  <c r="AX21" i="5"/>
  <c r="AX17" i="5"/>
  <c r="AX13" i="5"/>
  <c r="AZ25" i="5"/>
  <c r="AZ21" i="5"/>
  <c r="AZ17" i="5"/>
  <c r="AZ13" i="5"/>
  <c r="AL23" i="5"/>
  <c r="AL15" i="5"/>
  <c r="AV22" i="5"/>
  <c r="AV14" i="5"/>
  <c r="AW25" i="5"/>
  <c r="AW21" i="5"/>
  <c r="AW17" i="5"/>
  <c r="AW13" i="5"/>
  <c r="AY25" i="5"/>
  <c r="AY21" i="5"/>
  <c r="AY17" i="5"/>
  <c r="AY13" i="5"/>
  <c r="AL22" i="5"/>
  <c r="AL14" i="5"/>
  <c r="AV21" i="5"/>
  <c r="AV13" i="5"/>
  <c r="AX24" i="5"/>
  <c r="AX20" i="5"/>
  <c r="AX16" i="5"/>
  <c r="AX12" i="5"/>
  <c r="AZ24" i="5"/>
  <c r="AZ20" i="5"/>
  <c r="AZ16" i="5"/>
  <c r="AZ12" i="5"/>
  <c r="AL21" i="5"/>
  <c r="AL13" i="5"/>
  <c r="AJ19" i="5"/>
  <c r="AH25" i="5"/>
  <c r="AI19" i="5"/>
  <c r="AJ25" i="5"/>
  <c r="AI25" i="5"/>
  <c r="AG24" i="5"/>
  <c r="AJ11" i="5"/>
  <c r="AG21" i="5"/>
  <c r="AK11" i="5"/>
  <c r="AK23" i="5"/>
  <c r="AK21" i="5"/>
  <c r="AK17" i="5"/>
  <c r="AK15" i="5"/>
  <c r="AK13" i="5"/>
  <c r="AJ23" i="5"/>
  <c r="AJ21" i="5"/>
  <c r="AJ17" i="5"/>
  <c r="AJ15" i="5"/>
  <c r="AJ13" i="5"/>
  <c r="AK26" i="5"/>
  <c r="AK24" i="5"/>
  <c r="AK22" i="5"/>
  <c r="AK20" i="5"/>
  <c r="AK18" i="5"/>
  <c r="AK16" i="5"/>
  <c r="AK14" i="5"/>
  <c r="AK12" i="5"/>
  <c r="AJ26" i="5"/>
  <c r="AJ24" i="5"/>
  <c r="AJ22" i="5"/>
  <c r="AJ20" i="5"/>
  <c r="AJ18" i="5"/>
  <c r="AJ16" i="5"/>
  <c r="AJ14" i="5"/>
  <c r="AJ12" i="5"/>
  <c r="BO19" i="1"/>
  <c r="BO23" i="1"/>
  <c r="BO22" i="1"/>
  <c r="BO14" i="1"/>
  <c r="BO11" i="1"/>
  <c r="BO15" i="1"/>
  <c r="BO21" i="1"/>
  <c r="BO13" i="1"/>
  <c r="BO20" i="1"/>
  <c r="BU30" i="6"/>
  <c r="BU29" i="6"/>
  <c r="BU28" i="6"/>
  <c r="BU27" i="6"/>
  <c r="AG15" i="5"/>
  <c r="AG28" i="5"/>
  <c r="AF28" i="5" s="1"/>
  <c r="AG13" i="5"/>
  <c r="AG14" i="5"/>
  <c r="AG20" i="5"/>
  <c r="AG16" i="5"/>
  <c r="AG19" i="5"/>
  <c r="AG22" i="5"/>
  <c r="AF22" i="5" s="1"/>
  <c r="AH17" i="5"/>
  <c r="AH12" i="5"/>
  <c r="AH18" i="5"/>
  <c r="AH11" i="5"/>
  <c r="AG17" i="5"/>
  <c r="AG23" i="5"/>
  <c r="AG29" i="5"/>
  <c r="AH29" i="5"/>
  <c r="AH23" i="5"/>
  <c r="AH14" i="5"/>
  <c r="AH20" i="5"/>
  <c r="AH21" i="5"/>
  <c r="AG27" i="5"/>
  <c r="AF29" i="5"/>
  <c r="AH27" i="5"/>
  <c r="AG30" i="5"/>
  <c r="AH30" i="5"/>
  <c r="AH15" i="5"/>
  <c r="AH16" i="5"/>
  <c r="AF30" i="5"/>
  <c r="AH22" i="5"/>
  <c r="AG25" i="5"/>
  <c r="AG26" i="5"/>
  <c r="AH28" i="5"/>
  <c r="AH24" i="5"/>
  <c r="AG11" i="5"/>
  <c r="AH13" i="5"/>
  <c r="AH19" i="5"/>
  <c r="AH26" i="5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K27" i="3"/>
  <c r="J27" i="3"/>
  <c r="I27" i="3"/>
  <c r="K26" i="3"/>
  <c r="J26" i="3"/>
  <c r="I26" i="3"/>
  <c r="K25" i="3"/>
  <c r="J25" i="3"/>
  <c r="I25" i="3"/>
  <c r="K24" i="3"/>
  <c r="J24" i="3"/>
  <c r="I24" i="3"/>
  <c r="K22" i="3"/>
  <c r="J22" i="3"/>
  <c r="I22" i="3"/>
  <c r="K21" i="3"/>
  <c r="J21" i="3"/>
  <c r="I21" i="3"/>
  <c r="K20" i="3"/>
  <c r="J20" i="3"/>
  <c r="I20" i="3"/>
  <c r="K19" i="3"/>
  <c r="J19" i="3"/>
  <c r="I19" i="3"/>
  <c r="K17" i="3"/>
  <c r="J17" i="3"/>
  <c r="I17" i="3"/>
  <c r="K16" i="3"/>
  <c r="J16" i="3"/>
  <c r="I16" i="3"/>
  <c r="K15" i="3"/>
  <c r="J15" i="3"/>
  <c r="I15" i="3"/>
  <c r="K14" i="3"/>
  <c r="J14" i="3"/>
  <c r="I14" i="3"/>
  <c r="K12" i="3"/>
  <c r="J12" i="3"/>
  <c r="I12" i="3"/>
  <c r="K11" i="3"/>
  <c r="J11" i="3"/>
  <c r="I11" i="3"/>
  <c r="K10" i="3"/>
  <c r="J10" i="3"/>
  <c r="I10" i="3"/>
  <c r="K9" i="3"/>
  <c r="J9" i="3"/>
  <c r="I9" i="3"/>
  <c r="BC20" i="7" l="1"/>
  <c r="BG20" i="7" s="1"/>
  <c r="BB20" i="7"/>
  <c r="BF20" i="7" s="1"/>
  <c r="BE20" i="7"/>
  <c r="BD20" i="7"/>
  <c r="BH20" i="7" s="1"/>
  <c r="BB21" i="7"/>
  <c r="BF21" i="7" s="1"/>
  <c r="BE21" i="7"/>
  <c r="BD21" i="7"/>
  <c r="BH21" i="7" s="1"/>
  <c r="BC21" i="7"/>
  <c r="BG21" i="7" s="1"/>
  <c r="BB19" i="7"/>
  <c r="BF19" i="7" s="1"/>
  <c r="BD12" i="7"/>
  <c r="BH12" i="7" s="1"/>
  <c r="BI12" i="7" s="1"/>
  <c r="AZ11" i="7"/>
  <c r="BA11" i="7" s="1"/>
  <c r="BC19" i="7"/>
  <c r="BG19" i="7" s="1"/>
  <c r="BE12" i="7"/>
  <c r="AY13" i="7"/>
  <c r="AZ13" i="7" s="1"/>
  <c r="BA13" i="7" s="1"/>
  <c r="BE14" i="7"/>
  <c r="BD14" i="7"/>
  <c r="BH14" i="7" s="1"/>
  <c r="BC14" i="7"/>
  <c r="BG14" i="7" s="1"/>
  <c r="BB14" i="7"/>
  <c r="BF14" i="7" s="1"/>
  <c r="BE26" i="7"/>
  <c r="BD26" i="7"/>
  <c r="BH26" i="7" s="1"/>
  <c r="BC26" i="7"/>
  <c r="BG26" i="7" s="1"/>
  <c r="BB26" i="7"/>
  <c r="BF26" i="7" s="1"/>
  <c r="BE23" i="7"/>
  <c r="BD23" i="7"/>
  <c r="BH23" i="7" s="1"/>
  <c r="BC23" i="7"/>
  <c r="BG23" i="7" s="1"/>
  <c r="BB23" i="7"/>
  <c r="BF23" i="7" s="1"/>
  <c r="BC15" i="7"/>
  <c r="BG15" i="7" s="1"/>
  <c r="BE15" i="7"/>
  <c r="BD15" i="7"/>
  <c r="BH15" i="7" s="1"/>
  <c r="BB15" i="7"/>
  <c r="BF15" i="7" s="1"/>
  <c r="BE22" i="7"/>
  <c r="BD22" i="7"/>
  <c r="BH22" i="7" s="1"/>
  <c r="BC22" i="7"/>
  <c r="BG22" i="7" s="1"/>
  <c r="BB22" i="7"/>
  <c r="BF22" i="7" s="1"/>
  <c r="BE18" i="7"/>
  <c r="BD18" i="7"/>
  <c r="BH18" i="7" s="1"/>
  <c r="BC18" i="7"/>
  <c r="BG18" i="7" s="1"/>
  <c r="BB18" i="7"/>
  <c r="BF18" i="7" s="1"/>
  <c r="BI20" i="7"/>
  <c r="BI21" i="7"/>
  <c r="BE25" i="7"/>
  <c r="BC25" i="7"/>
  <c r="BG25" i="7" s="1"/>
  <c r="BD25" i="7"/>
  <c r="BH25" i="7" s="1"/>
  <c r="BB25" i="7"/>
  <c r="BF25" i="7" s="1"/>
  <c r="AZ24" i="7"/>
  <c r="BA24" i="7" s="1"/>
  <c r="BI19" i="7"/>
  <c r="AZ16" i="7"/>
  <c r="BA16" i="7" s="1"/>
  <c r="AY17" i="7"/>
  <c r="AZ17" i="7" s="1"/>
  <c r="BA17" i="7" s="1"/>
  <c r="AF14" i="5"/>
  <c r="AF25" i="5"/>
  <c r="AF11" i="5"/>
  <c r="AQ12" i="5" s="1"/>
  <c r="AF20" i="5"/>
  <c r="AF24" i="5"/>
  <c r="AF12" i="5"/>
  <c r="BE12" i="5" s="1"/>
  <c r="AF15" i="5"/>
  <c r="AF23" i="5"/>
  <c r="BF23" i="5" s="1"/>
  <c r="BB15" i="6"/>
  <c r="BB21" i="6"/>
  <c r="BB19" i="6"/>
  <c r="BD18" i="6"/>
  <c r="BE19" i="6"/>
  <c r="BW19" i="6" s="1"/>
  <c r="BE11" i="6"/>
  <c r="BW11" i="6" s="1"/>
  <c r="BD11" i="6"/>
  <c r="BB11" i="6"/>
  <c r="BC11" i="6"/>
  <c r="BE14" i="6"/>
  <c r="BW14" i="6" s="1"/>
  <c r="BC12" i="6"/>
  <c r="BB12" i="6"/>
  <c r="BE12" i="6"/>
  <c r="BW12" i="6" s="1"/>
  <c r="BD12" i="6"/>
  <c r="BC24" i="6"/>
  <c r="BC23" i="6"/>
  <c r="BE23" i="6"/>
  <c r="BW23" i="6" s="1"/>
  <c r="BD23" i="6"/>
  <c r="BB23" i="6"/>
  <c r="BE26" i="6"/>
  <c r="BW26" i="6" s="1"/>
  <c r="BB26" i="6"/>
  <c r="BD26" i="6"/>
  <c r="BC26" i="6"/>
  <c r="BE22" i="6"/>
  <c r="BW22" i="6" s="1"/>
  <c r="BD22" i="6"/>
  <c r="BC22" i="6"/>
  <c r="BB22" i="6"/>
  <c r="BE15" i="6"/>
  <c r="BW15" i="6" s="1"/>
  <c r="BC15" i="6"/>
  <c r="BD15" i="6"/>
  <c r="BD21" i="6"/>
  <c r="BC21" i="6"/>
  <c r="BE21" i="6"/>
  <c r="BW21" i="6" s="1"/>
  <c r="BC20" i="6"/>
  <c r="BB20" i="6"/>
  <c r="BE20" i="6"/>
  <c r="BW20" i="6" s="1"/>
  <c r="BD20" i="6"/>
  <c r="BA21" i="1"/>
  <c r="BC21" i="1" s="1"/>
  <c r="BA16" i="1"/>
  <c r="BB16" i="1" s="1"/>
  <c r="BA18" i="1"/>
  <c r="BC18" i="1" s="1"/>
  <c r="BD16" i="1"/>
  <c r="BE16" i="1"/>
  <c r="BX16" i="1" s="1"/>
  <c r="BA14" i="1"/>
  <c r="BB19" i="1"/>
  <c r="BC19" i="1"/>
  <c r="BD19" i="1"/>
  <c r="BE19" i="1"/>
  <c r="BX19" i="1" s="1"/>
  <c r="BA12" i="1"/>
  <c r="BA20" i="1"/>
  <c r="BA17" i="1"/>
  <c r="BA25" i="1"/>
  <c r="BA26" i="1"/>
  <c r="BA24" i="1"/>
  <c r="BA23" i="1"/>
  <c r="BA22" i="1"/>
  <c r="BA11" i="1"/>
  <c r="BA13" i="1"/>
  <c r="BA15" i="1"/>
  <c r="AF19" i="5"/>
  <c r="AF17" i="5"/>
  <c r="AF21" i="5"/>
  <c r="AF26" i="5"/>
  <c r="AF16" i="5"/>
  <c r="AQ14" i="5"/>
  <c r="AT19" i="5"/>
  <c r="AR13" i="5"/>
  <c r="AF27" i="5"/>
  <c r="BS29" i="6"/>
  <c r="BY28" i="6"/>
  <c r="BZ28" i="6"/>
  <c r="BY29" i="6"/>
  <c r="BZ29" i="6"/>
  <c r="BY27" i="6"/>
  <c r="BZ27" i="6"/>
  <c r="BY30" i="6"/>
  <c r="BZ30" i="6"/>
  <c r="AF25" i="1"/>
  <c r="AF24" i="1"/>
  <c r="AF23" i="1"/>
  <c r="AF26" i="1"/>
  <c r="AF18" i="1"/>
  <c r="AF17" i="1"/>
  <c r="AF15" i="1"/>
  <c r="AF22" i="1"/>
  <c r="AF16" i="1"/>
  <c r="AF14" i="1"/>
  <c r="AF11" i="1"/>
  <c r="AF21" i="1"/>
  <c r="AF13" i="1"/>
  <c r="AF20" i="1"/>
  <c r="AF12" i="1"/>
  <c r="AF19" i="1"/>
  <c r="BD11" i="7" l="1"/>
  <c r="BH11" i="7" s="1"/>
  <c r="BC11" i="7"/>
  <c r="BG11" i="7" s="1"/>
  <c r="BB11" i="7"/>
  <c r="BF11" i="7" s="1"/>
  <c r="BI11" i="7" s="1"/>
  <c r="BE11" i="7"/>
  <c r="BE13" i="7"/>
  <c r="BD13" i="7"/>
  <c r="BH13" i="7" s="1"/>
  <c r="BC13" i="7"/>
  <c r="BG13" i="7" s="1"/>
  <c r="BB13" i="7"/>
  <c r="BF13" i="7" s="1"/>
  <c r="BI13" i="7" s="1"/>
  <c r="BI26" i="7"/>
  <c r="BI15" i="7"/>
  <c r="BD24" i="7"/>
  <c r="BH24" i="7" s="1"/>
  <c r="BE24" i="7"/>
  <c r="BC24" i="7"/>
  <c r="BG24" i="7" s="1"/>
  <c r="BB24" i="7"/>
  <c r="BF24" i="7" s="1"/>
  <c r="BI22" i="7"/>
  <c r="BI14" i="7"/>
  <c r="BI25" i="7"/>
  <c r="BE16" i="7"/>
  <c r="BD16" i="7"/>
  <c r="BH16" i="7" s="1"/>
  <c r="BC16" i="7"/>
  <c r="BG16" i="7" s="1"/>
  <c r="BB16" i="7"/>
  <c r="BF16" i="7" s="1"/>
  <c r="BI18" i="7"/>
  <c r="BI23" i="7"/>
  <c r="BE17" i="7"/>
  <c r="BD17" i="7"/>
  <c r="BH17" i="7" s="1"/>
  <c r="BC17" i="7"/>
  <c r="BG17" i="7" s="1"/>
  <c r="BB17" i="7"/>
  <c r="BF17" i="7" s="1"/>
  <c r="BD18" i="1"/>
  <c r="BR18" i="1" s="1"/>
  <c r="BE21" i="1"/>
  <c r="BX21" i="1" s="1"/>
  <c r="BD21" i="1"/>
  <c r="BR21" i="1" s="1"/>
  <c r="BB21" i="1"/>
  <c r="AQ15" i="5"/>
  <c r="BD12" i="5"/>
  <c r="AQ11" i="5"/>
  <c r="AS23" i="5"/>
  <c r="AT13" i="5"/>
  <c r="AQ25" i="5"/>
  <c r="AS21" i="5"/>
  <c r="AT26" i="5"/>
  <c r="AQ19" i="5"/>
  <c r="AT12" i="5"/>
  <c r="AT24" i="5"/>
  <c r="AS22" i="5"/>
  <c r="AR22" i="5"/>
  <c r="AT22" i="5"/>
  <c r="AS14" i="5"/>
  <c r="AQ16" i="5"/>
  <c r="AR21" i="5"/>
  <c r="AS12" i="5"/>
  <c r="AR19" i="5"/>
  <c r="AT23" i="5"/>
  <c r="BE23" i="5"/>
  <c r="BD23" i="5"/>
  <c r="BJ23" i="5" s="1"/>
  <c r="BO23" i="5" s="1"/>
  <c r="BF12" i="5"/>
  <c r="BB18" i="6"/>
  <c r="BF18" i="6" s="1"/>
  <c r="BC19" i="6"/>
  <c r="BG19" i="6" s="1"/>
  <c r="BC18" i="6"/>
  <c r="BO18" i="6" s="1"/>
  <c r="BE18" i="6"/>
  <c r="BW18" i="6" s="1"/>
  <c r="BD19" i="6"/>
  <c r="BP19" i="6" s="1"/>
  <c r="BH18" i="6"/>
  <c r="BP18" i="6"/>
  <c r="BH20" i="6"/>
  <c r="BP20" i="6"/>
  <c r="BF15" i="6"/>
  <c r="BN15" i="6"/>
  <c r="BH26" i="6"/>
  <c r="BP26" i="6"/>
  <c r="BH15" i="6"/>
  <c r="BP15" i="6"/>
  <c r="BF11" i="6"/>
  <c r="BI11" i="6" s="1"/>
  <c r="BQ11" i="6" s="1"/>
  <c r="BN11" i="6"/>
  <c r="BF22" i="6"/>
  <c r="BI22" i="6" s="1"/>
  <c r="BQ22" i="6" s="1"/>
  <c r="BN22" i="6"/>
  <c r="BF23" i="6"/>
  <c r="BN23" i="6"/>
  <c r="BG21" i="6"/>
  <c r="BO21" i="6"/>
  <c r="BN18" i="6"/>
  <c r="BH22" i="6"/>
  <c r="BP22" i="6"/>
  <c r="BH23" i="6"/>
  <c r="BP23" i="6"/>
  <c r="BG26" i="6"/>
  <c r="BO26" i="6"/>
  <c r="BG11" i="6"/>
  <c r="BO11" i="6"/>
  <c r="BF20" i="6"/>
  <c r="BN20" i="6"/>
  <c r="BF26" i="6"/>
  <c r="BN26" i="6"/>
  <c r="BG15" i="6"/>
  <c r="BO15" i="6"/>
  <c r="BG22" i="6"/>
  <c r="BO22" i="6"/>
  <c r="BH12" i="6"/>
  <c r="BP12" i="6"/>
  <c r="BH21" i="6"/>
  <c r="BP21" i="6"/>
  <c r="BF12" i="6"/>
  <c r="BN12" i="6"/>
  <c r="BG24" i="6"/>
  <c r="BO24" i="6"/>
  <c r="BG20" i="6"/>
  <c r="BO20" i="6"/>
  <c r="BH19" i="6"/>
  <c r="BH11" i="6"/>
  <c r="BP11" i="6"/>
  <c r="BF21" i="6"/>
  <c r="BN21" i="6"/>
  <c r="BE24" i="6"/>
  <c r="BW24" i="6" s="1"/>
  <c r="BG23" i="6"/>
  <c r="BK23" i="6" s="1"/>
  <c r="BS23" i="6" s="1"/>
  <c r="BO23" i="6"/>
  <c r="BG12" i="6"/>
  <c r="BO12" i="6"/>
  <c r="BF19" i="6"/>
  <c r="BN19" i="6"/>
  <c r="BD14" i="6"/>
  <c r="BB14" i="6"/>
  <c r="BC14" i="6"/>
  <c r="BD13" i="6"/>
  <c r="BC13" i="6"/>
  <c r="BB13" i="6"/>
  <c r="BE13" i="6"/>
  <c r="BW13" i="6" s="1"/>
  <c r="BB24" i="6"/>
  <c r="BD24" i="6"/>
  <c r="BE16" i="6"/>
  <c r="BW16" i="6" s="1"/>
  <c r="BD16" i="6"/>
  <c r="BB16" i="6"/>
  <c r="BC16" i="6"/>
  <c r="BB25" i="6"/>
  <c r="BE25" i="6"/>
  <c r="BW25" i="6" s="1"/>
  <c r="BD25" i="6"/>
  <c r="BC25" i="6"/>
  <c r="BJ23" i="6"/>
  <c r="BR23" i="6" s="1"/>
  <c r="BE17" i="6"/>
  <c r="BW17" i="6" s="1"/>
  <c r="BC17" i="6"/>
  <c r="BB17" i="6"/>
  <c r="BD17" i="6"/>
  <c r="BG21" i="1"/>
  <c r="BQ21" i="1"/>
  <c r="BS19" i="1"/>
  <c r="BS16" i="1"/>
  <c r="BG19" i="1"/>
  <c r="BQ19" i="1"/>
  <c r="BH16" i="1"/>
  <c r="BR16" i="1"/>
  <c r="BE18" i="1"/>
  <c r="BX18" i="1" s="1"/>
  <c r="BF19" i="1"/>
  <c r="BP19" i="1"/>
  <c r="BC16" i="1"/>
  <c r="BH19" i="1"/>
  <c r="BR19" i="1"/>
  <c r="BF21" i="1"/>
  <c r="BP21" i="1"/>
  <c r="BH18" i="1"/>
  <c r="BG18" i="1"/>
  <c r="BQ18" i="1"/>
  <c r="BB18" i="1"/>
  <c r="BS21" i="1"/>
  <c r="BF16" i="1"/>
  <c r="BP16" i="1"/>
  <c r="BH21" i="1"/>
  <c r="BL19" i="1"/>
  <c r="BW19" i="1" s="1"/>
  <c r="BB23" i="1"/>
  <c r="BC23" i="1"/>
  <c r="BD23" i="1"/>
  <c r="BE23" i="1"/>
  <c r="BX23" i="1" s="1"/>
  <c r="BB24" i="1"/>
  <c r="BC24" i="1"/>
  <c r="BD24" i="1"/>
  <c r="BE24" i="1"/>
  <c r="BX24" i="1" s="1"/>
  <c r="BB20" i="1"/>
  <c r="BC20" i="1"/>
  <c r="BD20" i="1"/>
  <c r="BE20" i="1"/>
  <c r="BX20" i="1" s="1"/>
  <c r="BB26" i="1"/>
  <c r="BC26" i="1"/>
  <c r="BD26" i="1"/>
  <c r="BE26" i="1"/>
  <c r="BX26" i="1" s="1"/>
  <c r="BB12" i="1"/>
  <c r="BC12" i="1"/>
  <c r="BD12" i="1"/>
  <c r="BE12" i="1"/>
  <c r="BX12" i="1" s="1"/>
  <c r="BB25" i="1"/>
  <c r="BC25" i="1"/>
  <c r="BD25" i="1"/>
  <c r="BE25" i="1"/>
  <c r="BX25" i="1" s="1"/>
  <c r="BB13" i="1"/>
  <c r="BC13" i="1"/>
  <c r="BD13" i="1"/>
  <c r="BE13" i="1"/>
  <c r="BX13" i="1" s="1"/>
  <c r="BB17" i="1"/>
  <c r="BC17" i="1"/>
  <c r="BD17" i="1"/>
  <c r="BE17" i="1"/>
  <c r="BX17" i="1" s="1"/>
  <c r="BC11" i="1"/>
  <c r="BD11" i="1"/>
  <c r="BE11" i="1"/>
  <c r="BX11" i="1" s="1"/>
  <c r="BB11" i="1"/>
  <c r="BB15" i="1"/>
  <c r="BC15" i="1"/>
  <c r="BD15" i="1"/>
  <c r="BE15" i="1"/>
  <c r="BX15" i="1" s="1"/>
  <c r="BB22" i="1"/>
  <c r="BC22" i="1"/>
  <c r="BD22" i="1"/>
  <c r="BE22" i="1"/>
  <c r="BX22" i="1" s="1"/>
  <c r="BB14" i="1"/>
  <c r="BC14" i="1"/>
  <c r="BD14" i="1"/>
  <c r="BE14" i="1"/>
  <c r="BX14" i="1" s="1"/>
  <c r="AT20" i="5"/>
  <c r="AS18" i="5"/>
  <c r="AR24" i="5"/>
  <c r="BF24" i="5"/>
  <c r="BE24" i="5"/>
  <c r="BD24" i="5"/>
  <c r="BF21" i="5"/>
  <c r="BD21" i="5"/>
  <c r="BE21" i="5"/>
  <c r="BD13" i="5"/>
  <c r="BE13" i="5"/>
  <c r="BF13" i="5"/>
  <c r="BD20" i="5"/>
  <c r="BE20" i="5"/>
  <c r="BF20" i="5"/>
  <c r="BF22" i="5"/>
  <c r="BD22" i="5"/>
  <c r="BE22" i="5"/>
  <c r="BD15" i="5"/>
  <c r="BE15" i="5"/>
  <c r="BF15" i="5"/>
  <c r="BE17" i="5"/>
  <c r="BD17" i="5"/>
  <c r="BF17" i="5"/>
  <c r="BF14" i="5"/>
  <c r="BD14" i="5"/>
  <c r="BE14" i="5"/>
  <c r="BE25" i="5"/>
  <c r="BF25" i="5"/>
  <c r="BD25" i="5"/>
  <c r="BD18" i="5"/>
  <c r="BE18" i="5"/>
  <c r="BF18" i="5"/>
  <c r="BD26" i="5"/>
  <c r="BE26" i="5"/>
  <c r="BF26" i="5"/>
  <c r="BE16" i="5"/>
  <c r="BF16" i="5"/>
  <c r="BD16" i="5"/>
  <c r="BE19" i="5"/>
  <c r="BD19" i="5"/>
  <c r="BF19" i="5"/>
  <c r="AQ18" i="5"/>
  <c r="BE11" i="5"/>
  <c r="BF11" i="5"/>
  <c r="BD11" i="5"/>
  <c r="AT18" i="5"/>
  <c r="AS26" i="5"/>
  <c r="AT15" i="5"/>
  <c r="AR16" i="5"/>
  <c r="AT14" i="5"/>
  <c r="AS24" i="5"/>
  <c r="AS25" i="5"/>
  <c r="AR14" i="5"/>
  <c r="AS17" i="5"/>
  <c r="AR25" i="5"/>
  <c r="AQ13" i="5"/>
  <c r="AT11" i="5"/>
  <c r="AS19" i="5"/>
  <c r="AR12" i="5"/>
  <c r="AR17" i="5"/>
  <c r="AR23" i="5"/>
  <c r="AT16" i="5"/>
  <c r="AT25" i="5"/>
  <c r="AR15" i="5"/>
  <c r="AQ26" i="5"/>
  <c r="AQ24" i="5"/>
  <c r="AR11" i="5"/>
  <c r="AT17" i="5"/>
  <c r="AQ21" i="5"/>
  <c r="AS16" i="5"/>
  <c r="AS11" i="5"/>
  <c r="AR26" i="5"/>
  <c r="AQ22" i="5"/>
  <c r="AR20" i="5"/>
  <c r="AQ20" i="5"/>
  <c r="AQ17" i="5"/>
  <c r="AS13" i="5"/>
  <c r="AQ23" i="5"/>
  <c r="AS20" i="5"/>
  <c r="AT21" i="5"/>
  <c r="AS15" i="5"/>
  <c r="AR18" i="5"/>
  <c r="BF29" i="5"/>
  <c r="BG29" i="5" s="1"/>
  <c r="BF30" i="5"/>
  <c r="BG30" i="5" s="1"/>
  <c r="AP30" i="5"/>
  <c r="AZ30" i="5" s="1"/>
  <c r="BS27" i="6"/>
  <c r="BS28" i="6"/>
  <c r="AP29" i="5"/>
  <c r="AZ29" i="5" s="1"/>
  <c r="BT29" i="5" s="1"/>
  <c r="AP27" i="5"/>
  <c r="AZ27" i="5" s="1"/>
  <c r="BT27" i="5" s="1"/>
  <c r="AP28" i="5"/>
  <c r="AZ28" i="5" s="1"/>
  <c r="BT28" i="5" s="1"/>
  <c r="BF27" i="5"/>
  <c r="BG27" i="5" s="1"/>
  <c r="BF28" i="5"/>
  <c r="BG28" i="5" s="1"/>
  <c r="BI17" i="7" l="1"/>
  <c r="BI24" i="7"/>
  <c r="BI16" i="7"/>
  <c r="BL12" i="6"/>
  <c r="BT12" i="6" s="1"/>
  <c r="BJ20" i="6"/>
  <c r="BR20" i="6" s="1"/>
  <c r="BG18" i="6"/>
  <c r="BJ18" i="6" s="1"/>
  <c r="BR18" i="6" s="1"/>
  <c r="BL15" i="6"/>
  <c r="BT15" i="6" s="1"/>
  <c r="BM21" i="6"/>
  <c r="BO19" i="6"/>
  <c r="BU11" i="6"/>
  <c r="BL22" i="6"/>
  <c r="BT22" i="6" s="1"/>
  <c r="BI21" i="1"/>
  <c r="BT21" i="1" s="1"/>
  <c r="BL21" i="1"/>
  <c r="BW21" i="1" s="1"/>
  <c r="BI19" i="1"/>
  <c r="BT19" i="1" s="1"/>
  <c r="BM21" i="1"/>
  <c r="BM19" i="1"/>
  <c r="BG12" i="5"/>
  <c r="AU22" i="5"/>
  <c r="BS22" i="5" s="1"/>
  <c r="BL12" i="5"/>
  <c r="BQ12" i="5" s="1"/>
  <c r="BJ12" i="5"/>
  <c r="BO12" i="5" s="1"/>
  <c r="BI12" i="5"/>
  <c r="BN12" i="5" s="1"/>
  <c r="BG23" i="5"/>
  <c r="BL23" i="5"/>
  <c r="BQ23" i="5" s="1"/>
  <c r="BK12" i="5"/>
  <c r="BH23" i="5"/>
  <c r="BM23" i="5" s="1"/>
  <c r="AU12" i="5"/>
  <c r="BS12" i="5" s="1"/>
  <c r="BH12" i="5"/>
  <c r="BM12" i="5" s="1"/>
  <c r="AU19" i="5"/>
  <c r="BS19" i="5" s="1"/>
  <c r="BK23" i="5"/>
  <c r="BP23" i="5" s="1"/>
  <c r="BI23" i="5"/>
  <c r="BN23" i="5" s="1"/>
  <c r="BI18" i="6"/>
  <c r="BQ18" i="6" s="1"/>
  <c r="BK20" i="6"/>
  <c r="BS20" i="6" s="1"/>
  <c r="BJ21" i="6"/>
  <c r="BR21" i="6" s="1"/>
  <c r="BK19" i="6"/>
  <c r="BS19" i="6" s="1"/>
  <c r="BI26" i="6"/>
  <c r="BQ26" i="6" s="1"/>
  <c r="BI23" i="6"/>
  <c r="BQ23" i="6" s="1"/>
  <c r="BU23" i="6" s="1"/>
  <c r="BJ22" i="6"/>
  <c r="BR22" i="6" s="1"/>
  <c r="BU22" i="6" s="1"/>
  <c r="BJ15" i="6"/>
  <c r="BR15" i="6" s="1"/>
  <c r="BL19" i="6"/>
  <c r="BT19" i="6" s="1"/>
  <c r="BK22" i="6"/>
  <c r="BS22" i="6" s="1"/>
  <c r="BM15" i="6"/>
  <c r="BJ12" i="6"/>
  <c r="BR12" i="6" s="1"/>
  <c r="BI20" i="6"/>
  <c r="BQ20" i="6" s="1"/>
  <c r="BU20" i="6" s="1"/>
  <c r="BM22" i="6"/>
  <c r="BI15" i="6"/>
  <c r="BQ15" i="6" s="1"/>
  <c r="BU15" i="6" s="1"/>
  <c r="BJ19" i="6"/>
  <c r="BR19" i="6" s="1"/>
  <c r="BK12" i="6"/>
  <c r="BS12" i="6" s="1"/>
  <c r="BH17" i="6"/>
  <c r="BP17" i="6"/>
  <c r="BJ26" i="6"/>
  <c r="BR26" i="6" s="1"/>
  <c r="BH24" i="6"/>
  <c r="BP24" i="6"/>
  <c r="BH13" i="6"/>
  <c r="BK13" i="6" s="1"/>
  <c r="BS13" i="6" s="1"/>
  <c r="BP13" i="6"/>
  <c r="BG14" i="6"/>
  <c r="BO14" i="6"/>
  <c r="BF13" i="6"/>
  <c r="BL13" i="6" s="1"/>
  <c r="BT13" i="6" s="1"/>
  <c r="BN13" i="6"/>
  <c r="BM23" i="6"/>
  <c r="BF25" i="6"/>
  <c r="BJ25" i="6" s="1"/>
  <c r="BR25" i="6" s="1"/>
  <c r="BN25" i="6"/>
  <c r="BG13" i="6"/>
  <c r="BO13" i="6"/>
  <c r="BL23" i="6"/>
  <c r="BT23" i="6" s="1"/>
  <c r="BG16" i="6"/>
  <c r="BO16" i="6"/>
  <c r="BF17" i="6"/>
  <c r="BL17" i="6" s="1"/>
  <c r="BT17" i="6" s="1"/>
  <c r="BN17" i="6"/>
  <c r="BK26" i="6"/>
  <c r="BS26" i="6" s="1"/>
  <c r="BI21" i="6"/>
  <c r="BQ21" i="6" s="1"/>
  <c r="BF14" i="6"/>
  <c r="BN14" i="6"/>
  <c r="BG17" i="6"/>
  <c r="BO17" i="6"/>
  <c r="BL26" i="6"/>
  <c r="BT26" i="6" s="1"/>
  <c r="BM12" i="6"/>
  <c r="BI12" i="6"/>
  <c r="BQ12" i="6" s="1"/>
  <c r="BU12" i="6" s="1"/>
  <c r="BL11" i="6"/>
  <c r="BT11" i="6" s="1"/>
  <c r="BH25" i="6"/>
  <c r="BP25" i="6"/>
  <c r="BK21" i="6"/>
  <c r="BS21" i="6" s="1"/>
  <c r="BF16" i="6"/>
  <c r="BN16" i="6"/>
  <c r="BM19" i="6"/>
  <c r="BH16" i="6"/>
  <c r="BK16" i="6" s="1"/>
  <c r="BS16" i="6" s="1"/>
  <c r="BP16" i="6"/>
  <c r="BM20" i="6"/>
  <c r="BM26" i="6"/>
  <c r="BK15" i="6"/>
  <c r="BS15" i="6" s="1"/>
  <c r="BF24" i="6"/>
  <c r="BI24" i="6" s="1"/>
  <c r="BQ24" i="6" s="1"/>
  <c r="BN24" i="6"/>
  <c r="BI19" i="6"/>
  <c r="BQ19" i="6" s="1"/>
  <c r="BU19" i="6" s="1"/>
  <c r="BJ11" i="6"/>
  <c r="BR11" i="6" s="1"/>
  <c r="BH14" i="6"/>
  <c r="BP14" i="6"/>
  <c r="BL21" i="6"/>
  <c r="BT21" i="6" s="1"/>
  <c r="BL20" i="6"/>
  <c r="BT20" i="6" s="1"/>
  <c r="BG25" i="6"/>
  <c r="BO25" i="6"/>
  <c r="BM11" i="6"/>
  <c r="BK11" i="6"/>
  <c r="BS11" i="6" s="1"/>
  <c r="BL14" i="6"/>
  <c r="BT14" i="6" s="1"/>
  <c r="BG15" i="1"/>
  <c r="BQ15" i="1"/>
  <c r="BG25" i="1"/>
  <c r="BQ25" i="1"/>
  <c r="BG24" i="1"/>
  <c r="BQ24" i="1"/>
  <c r="BF15" i="1"/>
  <c r="BP15" i="1"/>
  <c r="BF25" i="1"/>
  <c r="BP25" i="1"/>
  <c r="BF11" i="1"/>
  <c r="BP11" i="1"/>
  <c r="BS12" i="1"/>
  <c r="BS23" i="1"/>
  <c r="BK19" i="1"/>
  <c r="BV19" i="1" s="1"/>
  <c r="BH22" i="1"/>
  <c r="BR22" i="1"/>
  <c r="BH13" i="1"/>
  <c r="BR13" i="1"/>
  <c r="BH12" i="1"/>
  <c r="BR12" i="1"/>
  <c r="BH23" i="1"/>
  <c r="BR23" i="1"/>
  <c r="BJ19" i="1"/>
  <c r="BU19" i="1" s="1"/>
  <c r="BG22" i="1"/>
  <c r="BQ22" i="1"/>
  <c r="BG13" i="1"/>
  <c r="BQ13" i="1"/>
  <c r="BG20" i="1"/>
  <c r="BQ20" i="1"/>
  <c r="BG11" i="1"/>
  <c r="BQ11" i="1"/>
  <c r="BF20" i="1"/>
  <c r="BP20" i="1"/>
  <c r="BK21" i="1"/>
  <c r="BV21" i="1" s="1"/>
  <c r="BS18" i="1"/>
  <c r="BS14" i="1"/>
  <c r="BS15" i="1"/>
  <c r="BS17" i="1"/>
  <c r="BS25" i="1"/>
  <c r="BS26" i="1"/>
  <c r="BS24" i="1"/>
  <c r="BJ21" i="1"/>
  <c r="BU21" i="1" s="1"/>
  <c r="BY21" i="1" s="1"/>
  <c r="BG14" i="1"/>
  <c r="BQ14" i="1"/>
  <c r="BG17" i="1"/>
  <c r="BQ17" i="1"/>
  <c r="BG26" i="1"/>
  <c r="BQ26" i="1"/>
  <c r="BF14" i="1"/>
  <c r="BP14" i="1"/>
  <c r="BF17" i="1"/>
  <c r="BP17" i="1"/>
  <c r="BF26" i="1"/>
  <c r="BP26" i="1"/>
  <c r="BF24" i="1"/>
  <c r="BP24" i="1"/>
  <c r="BF18" i="1"/>
  <c r="BP18" i="1"/>
  <c r="BS22" i="1"/>
  <c r="BS13" i="1"/>
  <c r="BS20" i="1"/>
  <c r="BG16" i="1"/>
  <c r="BQ16" i="1"/>
  <c r="BS11" i="1"/>
  <c r="BH20" i="1"/>
  <c r="BR20" i="1"/>
  <c r="BH11" i="1"/>
  <c r="BR11" i="1"/>
  <c r="BG12" i="1"/>
  <c r="BQ12" i="1"/>
  <c r="BG23" i="1"/>
  <c r="BQ23" i="1"/>
  <c r="BF22" i="1"/>
  <c r="BK22" i="1" s="1"/>
  <c r="BV22" i="1" s="1"/>
  <c r="BP22" i="1"/>
  <c r="BF13" i="1"/>
  <c r="BP13" i="1"/>
  <c r="BF12" i="1"/>
  <c r="BP12" i="1"/>
  <c r="BF23" i="1"/>
  <c r="BP23" i="1"/>
  <c r="BH14" i="1"/>
  <c r="BM14" i="1" s="1"/>
  <c r="BR14" i="1"/>
  <c r="BH15" i="1"/>
  <c r="BR15" i="1"/>
  <c r="BH17" i="1"/>
  <c r="BR17" i="1"/>
  <c r="BH25" i="1"/>
  <c r="BR25" i="1"/>
  <c r="BH26" i="1"/>
  <c r="BR26" i="1"/>
  <c r="BH24" i="1"/>
  <c r="BR24" i="1"/>
  <c r="BK24" i="1"/>
  <c r="BV24" i="1" s="1"/>
  <c r="BL24" i="1"/>
  <c r="BW24" i="1" s="1"/>
  <c r="AU24" i="5"/>
  <c r="BS24" i="5" s="1"/>
  <c r="AU14" i="5"/>
  <c r="BS14" i="5" s="1"/>
  <c r="AU18" i="5"/>
  <c r="BS18" i="5" s="1"/>
  <c r="BG16" i="5"/>
  <c r="BL16" i="5"/>
  <c r="BQ16" i="5" s="1"/>
  <c r="BH16" i="5"/>
  <c r="BM16" i="5" s="1"/>
  <c r="BK16" i="5"/>
  <c r="BP16" i="5" s="1"/>
  <c r="BI16" i="5"/>
  <c r="BN16" i="5" s="1"/>
  <c r="BJ16" i="5"/>
  <c r="BO16" i="5" s="1"/>
  <c r="BG25" i="5"/>
  <c r="BK25" i="5"/>
  <c r="BP25" i="5" s="1"/>
  <c r="BH25" i="5"/>
  <c r="BM25" i="5" s="1"/>
  <c r="BI25" i="5"/>
  <c r="BN25" i="5" s="1"/>
  <c r="BL25" i="5"/>
  <c r="BQ25" i="5" s="1"/>
  <c r="BJ25" i="5"/>
  <c r="BO25" i="5" s="1"/>
  <c r="BG24" i="5"/>
  <c r="BL24" i="5"/>
  <c r="BQ24" i="5" s="1"/>
  <c r="BH24" i="5"/>
  <c r="BM24" i="5" s="1"/>
  <c r="BK24" i="5"/>
  <c r="BP24" i="5" s="1"/>
  <c r="BI24" i="5"/>
  <c r="BN24" i="5" s="1"/>
  <c r="BJ24" i="5"/>
  <c r="BO24" i="5" s="1"/>
  <c r="BH20" i="5"/>
  <c r="BM20" i="5" s="1"/>
  <c r="BL20" i="5"/>
  <c r="BQ20" i="5" s="1"/>
  <c r="BI20" i="5"/>
  <c r="BN20" i="5" s="1"/>
  <c r="BJ20" i="5"/>
  <c r="BO20" i="5" s="1"/>
  <c r="BK20" i="5"/>
  <c r="BP20" i="5" s="1"/>
  <c r="BJ22" i="5"/>
  <c r="BO22" i="5" s="1"/>
  <c r="BK22" i="5"/>
  <c r="BP22" i="5" s="1"/>
  <c r="BH22" i="5"/>
  <c r="BM22" i="5" s="1"/>
  <c r="BI22" i="5"/>
  <c r="BN22" i="5" s="1"/>
  <c r="BL22" i="5"/>
  <c r="BQ22" i="5" s="1"/>
  <c r="BG11" i="5"/>
  <c r="BJ11" i="5"/>
  <c r="BO11" i="5" s="1"/>
  <c r="BH11" i="5"/>
  <c r="BM11" i="5" s="1"/>
  <c r="BL11" i="5"/>
  <c r="BQ11" i="5" s="1"/>
  <c r="BI11" i="5"/>
  <c r="BN11" i="5" s="1"/>
  <c r="BK11" i="5"/>
  <c r="BP11" i="5" s="1"/>
  <c r="BK17" i="5"/>
  <c r="BP17" i="5" s="1"/>
  <c r="BH17" i="5"/>
  <c r="BM17" i="5" s="1"/>
  <c r="BI17" i="5"/>
  <c r="BN17" i="5" s="1"/>
  <c r="BL17" i="5"/>
  <c r="BQ17" i="5" s="1"/>
  <c r="BJ17" i="5"/>
  <c r="BO17" i="5" s="1"/>
  <c r="AU16" i="5"/>
  <c r="BS16" i="5" s="1"/>
  <c r="BG15" i="5"/>
  <c r="BI15" i="5"/>
  <c r="BN15" i="5" s="1"/>
  <c r="BJ15" i="5"/>
  <c r="BO15" i="5" s="1"/>
  <c r="BK15" i="5"/>
  <c r="BP15" i="5" s="1"/>
  <c r="BH15" i="5"/>
  <c r="BM15" i="5" s="1"/>
  <c r="BL15" i="5"/>
  <c r="BQ15" i="5" s="1"/>
  <c r="BK21" i="5"/>
  <c r="BP21" i="5" s="1"/>
  <c r="BI21" i="5"/>
  <c r="BN21" i="5" s="1"/>
  <c r="BJ21" i="5"/>
  <c r="BO21" i="5" s="1"/>
  <c r="BL21" i="5"/>
  <c r="BQ21" i="5" s="1"/>
  <c r="BH21" i="5"/>
  <c r="BM21" i="5" s="1"/>
  <c r="BJ18" i="5"/>
  <c r="BO18" i="5" s="1"/>
  <c r="BI18" i="5"/>
  <c r="BN18" i="5" s="1"/>
  <c r="BK18" i="5"/>
  <c r="BP18" i="5" s="1"/>
  <c r="BL18" i="5"/>
  <c r="BQ18" i="5" s="1"/>
  <c r="BH18" i="5"/>
  <c r="BM18" i="5" s="1"/>
  <c r="BI19" i="5"/>
  <c r="BN19" i="5" s="1"/>
  <c r="BL19" i="5"/>
  <c r="BQ19" i="5" s="1"/>
  <c r="BJ19" i="5"/>
  <c r="BO19" i="5" s="1"/>
  <c r="BH19" i="5"/>
  <c r="BM19" i="5" s="1"/>
  <c r="BK19" i="5"/>
  <c r="BP19" i="5" s="1"/>
  <c r="BJ26" i="5"/>
  <c r="BO26" i="5" s="1"/>
  <c r="BH26" i="5"/>
  <c r="BM26" i="5" s="1"/>
  <c r="BK26" i="5"/>
  <c r="BP26" i="5" s="1"/>
  <c r="BL26" i="5"/>
  <c r="BQ26" i="5" s="1"/>
  <c r="BI26" i="5"/>
  <c r="BN26" i="5" s="1"/>
  <c r="BL14" i="5"/>
  <c r="BQ14" i="5" s="1"/>
  <c r="BJ14" i="5"/>
  <c r="BO14" i="5" s="1"/>
  <c r="BH14" i="5"/>
  <c r="BM14" i="5" s="1"/>
  <c r="BI14" i="5"/>
  <c r="BN14" i="5" s="1"/>
  <c r="BK14" i="5"/>
  <c r="BP14" i="5" s="1"/>
  <c r="BK13" i="5"/>
  <c r="BP13" i="5" s="1"/>
  <c r="BH13" i="5"/>
  <c r="BM13" i="5" s="1"/>
  <c r="BL13" i="5"/>
  <c r="BQ13" i="5" s="1"/>
  <c r="BI13" i="5"/>
  <c r="BN13" i="5" s="1"/>
  <c r="BJ13" i="5"/>
  <c r="BO13" i="5" s="1"/>
  <c r="BG14" i="5"/>
  <c r="BG26" i="5"/>
  <c r="BG19" i="5"/>
  <c r="BG22" i="5"/>
  <c r="AU25" i="5"/>
  <c r="BS25" i="5" s="1"/>
  <c r="BG17" i="5"/>
  <c r="BG18" i="5"/>
  <c r="AU23" i="5"/>
  <c r="BS23" i="5" s="1"/>
  <c r="AU26" i="5"/>
  <c r="BS26" i="5" s="1"/>
  <c r="BG20" i="5"/>
  <c r="BG13" i="5"/>
  <c r="BG21" i="5"/>
  <c r="AU13" i="5"/>
  <c r="BS13" i="5" s="1"/>
  <c r="AU11" i="5"/>
  <c r="BS11" i="5" s="1"/>
  <c r="AU15" i="5"/>
  <c r="BS15" i="5" s="1"/>
  <c r="AU21" i="5"/>
  <c r="BS21" i="5" s="1"/>
  <c r="AU17" i="5"/>
  <c r="BS17" i="5" s="1"/>
  <c r="AU20" i="5"/>
  <c r="BS20" i="5" s="1"/>
  <c r="BU26" i="6" l="1"/>
  <c r="BI16" i="6"/>
  <c r="BQ16" i="6" s="1"/>
  <c r="BL18" i="6"/>
  <c r="BT18" i="6" s="1"/>
  <c r="BK18" i="6"/>
  <c r="BS18" i="6" s="1"/>
  <c r="BU18" i="6" s="1"/>
  <c r="BU24" i="6"/>
  <c r="BU21" i="6"/>
  <c r="BM18" i="6"/>
  <c r="BK15" i="1"/>
  <c r="BV15" i="1" s="1"/>
  <c r="BJ24" i="1"/>
  <c r="BU24" i="1" s="1"/>
  <c r="BY19" i="1"/>
  <c r="BM15" i="1"/>
  <c r="BK17" i="1"/>
  <c r="BV17" i="1" s="1"/>
  <c r="BY17" i="1" s="1"/>
  <c r="BK23" i="1"/>
  <c r="BV23" i="1" s="1"/>
  <c r="BK25" i="1"/>
  <c r="BV25" i="1" s="1"/>
  <c r="BI26" i="1"/>
  <c r="BT26" i="1" s="1"/>
  <c r="BM24" i="1"/>
  <c r="BK13" i="1"/>
  <c r="BV13" i="1" s="1"/>
  <c r="BK11" i="1"/>
  <c r="BV11" i="1" s="1"/>
  <c r="BM11" i="1"/>
  <c r="BI11" i="1"/>
  <c r="BT11" i="1" s="1"/>
  <c r="BL11" i="1"/>
  <c r="BW11" i="1" s="1"/>
  <c r="BJ11" i="1"/>
  <c r="BU11" i="1" s="1"/>
  <c r="BI12" i="1"/>
  <c r="BT12" i="1" s="1"/>
  <c r="BP12" i="5"/>
  <c r="BK24" i="6"/>
  <c r="BS24" i="6" s="1"/>
  <c r="BJ17" i="6"/>
  <c r="BR17" i="6" s="1"/>
  <c r="BI25" i="6"/>
  <c r="BQ25" i="6" s="1"/>
  <c r="BU25" i="6" s="1"/>
  <c r="BJ16" i="6"/>
  <c r="BR16" i="6" s="1"/>
  <c r="BJ13" i="6"/>
  <c r="BR13" i="6" s="1"/>
  <c r="BI17" i="6"/>
  <c r="BQ17" i="6" s="1"/>
  <c r="BU17" i="6" s="1"/>
  <c r="BM17" i="6"/>
  <c r="BJ24" i="6"/>
  <c r="BR24" i="6" s="1"/>
  <c r="BM16" i="6"/>
  <c r="BI14" i="6"/>
  <c r="BQ14" i="6" s="1"/>
  <c r="BU14" i="6" s="1"/>
  <c r="BK25" i="6"/>
  <c r="BS25" i="6" s="1"/>
  <c r="BL25" i="6"/>
  <c r="BT25" i="6" s="1"/>
  <c r="BL24" i="6"/>
  <c r="BT24" i="6" s="1"/>
  <c r="BI13" i="6"/>
  <c r="BQ13" i="6" s="1"/>
  <c r="BU13" i="6" s="1"/>
  <c r="BL16" i="6"/>
  <c r="BT16" i="6" s="1"/>
  <c r="BK17" i="6"/>
  <c r="BS17" i="6" s="1"/>
  <c r="BM25" i="6"/>
  <c r="BM13" i="6"/>
  <c r="BM24" i="6"/>
  <c r="BM14" i="6"/>
  <c r="BK14" i="6"/>
  <c r="BS14" i="6" s="1"/>
  <c r="BJ14" i="6"/>
  <c r="BR14" i="6" s="1"/>
  <c r="BI20" i="1"/>
  <c r="BT20" i="1" s="1"/>
  <c r="BI23" i="1"/>
  <c r="BT23" i="1" s="1"/>
  <c r="BM12" i="1"/>
  <c r="BL12" i="1"/>
  <c r="BW12" i="1" s="1"/>
  <c r="BJ25" i="1"/>
  <c r="BU25" i="1" s="1"/>
  <c r="BJ26" i="1"/>
  <c r="BU26" i="1" s="1"/>
  <c r="BJ22" i="1"/>
  <c r="BU22" i="1" s="1"/>
  <c r="BJ14" i="1"/>
  <c r="BU14" i="1" s="1"/>
  <c r="BM26" i="1"/>
  <c r="BI25" i="1"/>
  <c r="BT25" i="1" s="1"/>
  <c r="BM13" i="1"/>
  <c r="BI22" i="1"/>
  <c r="BT22" i="1" s="1"/>
  <c r="BJ23" i="1"/>
  <c r="BU23" i="1" s="1"/>
  <c r="BI17" i="1"/>
  <c r="BT17" i="1" s="1"/>
  <c r="BJ13" i="1"/>
  <c r="BU13" i="1" s="1"/>
  <c r="BI13" i="1"/>
  <c r="BT13" i="1" s="1"/>
  <c r="BI14" i="1"/>
  <c r="BT14" i="1" s="1"/>
  <c r="BM17" i="1"/>
  <c r="BL15" i="1"/>
  <c r="BW15" i="1" s="1"/>
  <c r="BL13" i="1"/>
  <c r="BW13" i="1" s="1"/>
  <c r="BL17" i="1"/>
  <c r="BW17" i="1" s="1"/>
  <c r="BM20" i="1"/>
  <c r="BJ15" i="1"/>
  <c r="BU15" i="1" s="1"/>
  <c r="BK26" i="1"/>
  <c r="BV26" i="1" s="1"/>
  <c r="BL20" i="1"/>
  <c r="BW20" i="1" s="1"/>
  <c r="BL14" i="1"/>
  <c r="BW14" i="1" s="1"/>
  <c r="BK20" i="1"/>
  <c r="BV20" i="1" s="1"/>
  <c r="BJ12" i="1"/>
  <c r="BU12" i="1" s="1"/>
  <c r="BI24" i="1"/>
  <c r="BT24" i="1" s="1"/>
  <c r="BY24" i="1" s="1"/>
  <c r="BM22" i="1"/>
  <c r="BK16" i="1"/>
  <c r="BV16" i="1" s="1"/>
  <c r="BM16" i="1"/>
  <c r="BJ16" i="1"/>
  <c r="BU16" i="1" s="1"/>
  <c r="BL16" i="1"/>
  <c r="BW16" i="1" s="1"/>
  <c r="BI16" i="1"/>
  <c r="BT16" i="1" s="1"/>
  <c r="BY16" i="1" s="1"/>
  <c r="BK18" i="1"/>
  <c r="BV18" i="1" s="1"/>
  <c r="BM18" i="1"/>
  <c r="BJ18" i="1"/>
  <c r="BU18" i="1" s="1"/>
  <c r="BL18" i="1"/>
  <c r="BW18" i="1" s="1"/>
  <c r="BI18" i="1"/>
  <c r="BT18" i="1" s="1"/>
  <c r="BK12" i="1"/>
  <c r="BV12" i="1" s="1"/>
  <c r="BM23" i="1"/>
  <c r="BL26" i="1"/>
  <c r="BW26" i="1" s="1"/>
  <c r="BY26" i="1" s="1"/>
  <c r="BL23" i="1"/>
  <c r="BW23" i="1" s="1"/>
  <c r="BM25" i="1"/>
  <c r="BJ17" i="1"/>
  <c r="BU17" i="1" s="1"/>
  <c r="BL25" i="1"/>
  <c r="BW25" i="1" s="1"/>
  <c r="BK14" i="1"/>
  <c r="BV14" i="1" s="1"/>
  <c r="BJ20" i="1"/>
  <c r="BU20" i="1" s="1"/>
  <c r="BI15" i="1"/>
  <c r="BT15" i="1" s="1"/>
  <c r="BY15" i="1" s="1"/>
  <c r="BL22" i="1"/>
  <c r="BW22" i="1" s="1"/>
  <c r="BT28" i="6"/>
  <c r="BT27" i="6"/>
  <c r="BT29" i="6"/>
  <c r="BT30" i="5"/>
  <c r="BU16" i="6" l="1"/>
  <c r="BY18" i="1"/>
  <c r="BY20" i="1"/>
  <c r="BY25" i="1"/>
  <c r="BY23" i="1"/>
  <c r="BY13" i="1"/>
  <c r="BY22" i="1"/>
  <c r="BZ23" i="1"/>
  <c r="BZ19" i="1"/>
  <c r="BZ15" i="1"/>
  <c r="BY14" i="1"/>
  <c r="BY12" i="1"/>
  <c r="BY11" i="1"/>
  <c r="BY25" i="6"/>
  <c r="BY15" i="6"/>
  <c r="BY24" i="6"/>
  <c r="BT15" i="5"/>
  <c r="BT19" i="5"/>
  <c r="BT23" i="5"/>
  <c r="BT11" i="5"/>
  <c r="BY26" i="6"/>
  <c r="CA24" i="6" l="1"/>
  <c r="CA25" i="6"/>
  <c r="CA15" i="6"/>
  <c r="CA26" i="6"/>
  <c r="BZ11" i="1"/>
  <c r="BY18" i="6"/>
  <c r="BY14" i="6"/>
  <c r="BY17" i="6"/>
  <c r="BY19" i="6"/>
  <c r="BY20" i="6"/>
  <c r="BY21" i="6"/>
  <c r="BY16" i="6"/>
  <c r="CA21" i="6" l="1"/>
  <c r="CA17" i="6"/>
  <c r="CA18" i="6"/>
  <c r="CA16" i="6"/>
  <c r="CA20" i="6"/>
  <c r="CA19" i="6"/>
  <c r="CA14" i="6"/>
  <c r="BY22" i="6"/>
  <c r="BY12" i="6"/>
  <c r="BY23" i="6"/>
  <c r="BY13" i="6"/>
  <c r="BY11" i="6"/>
  <c r="CA22" i="6" l="1"/>
  <c r="CA11" i="6"/>
  <c r="CA13" i="6"/>
  <c r="CA23" i="6"/>
  <c r="CA12" i="6"/>
</calcChain>
</file>

<file path=xl/sharedStrings.xml><?xml version="1.0" encoding="utf-8"?>
<sst xmlns="http://schemas.openxmlformats.org/spreadsheetml/2006/main" count="902" uniqueCount="222">
  <si>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</si>
  <si>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</si>
  <si>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</si>
  <si>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</si>
  <si>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</si>
  <si>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</si>
  <si>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</si>
  <si>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</si>
  <si>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</si>
  <si>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</si>
  <si>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</si>
  <si>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</si>
  <si>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</si>
  <si>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</si>
  <si>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</si>
  <si>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</si>
  <si>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</si>
  <si>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</si>
  <si>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</si>
  <si>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</si>
  <si>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</si>
  <si>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</si>
  <si>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</si>
  <si>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</si>
  <si>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</si>
  <si>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</si>
  <si>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</si>
  <si>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</si>
  <si>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</si>
  <si>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</si>
  <si>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</si>
  <si>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</si>
  <si>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</si>
  <si>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</si>
  <si>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</si>
  <si>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</si>
  <si>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MMS (T = 1)</t>
  </si>
  <si>
    <t>MMS (T = 2)</t>
  </si>
  <si>
    <t>MMSmT=1</t>
  </si>
  <si>
    <t>mT=2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</si>
  <si>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</si>
  <si>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</si>
  <si>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</si>
  <si>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</si>
  <si>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</si>
  <si>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</si>
  <si>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</si>
  <si>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</si>
  <si>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</si>
  <si>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</si>
  <si>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</si>
  <si>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</si>
  <si>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</si>
  <si>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MMSmT=2</t>
  </si>
  <si>
    <t>4.6.1.1 (5)</t>
  </si>
  <si>
    <t>11a</t>
  </si>
  <si>
    <t>11b</t>
  </si>
  <si>
    <t>Allocation (stage 1)</t>
  </si>
  <si>
    <t>expression</t>
  </si>
  <si>
    <t>m (T=1)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</si>
  <si>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</si>
  <si>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</si>
  <si>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</si>
  <si>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</si>
  <si>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</si>
  <si>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</si>
  <si>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</si>
  <si>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</si>
  <si>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</si>
  <si>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</si>
  <si>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</si>
  <si>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</si>
  <si>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</si>
  <si>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</si>
  <si>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</si>
  <si>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</si>
  <si>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</si>
  <si>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</si>
  <si>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</si>
  <si>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</si>
  <si>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</si>
  <si>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</si>
  <si>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</si>
  <si>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</si>
  <si>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</si>
  <si>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</si>
  <si>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</si>
  <si>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</si>
  <si>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𝑉𝑆𝑇𝑖𝑗𝑚𝑇=2 = 𝑉𝑆𝑗𝑘 × 𝑀𝑀𝑆𝑗𝑚𝑇=1 × ( 1 − 𝑉𝑆𝐿𝑚𝑇=1)</t>
  </si>
  <si>
    <t>ECH4jm (T=1)</t>
  </si>
  <si>
    <t>𝑉𝑆𝑇𝑗𝑘 × 𝐵𝑂 × 𝑀𝑀𝑆𝑗𝑚𝑇=2 × 𝑀𝐶𝐹𝑖𝑚 × 𝜌</t>
  </si>
  <si>
    <t>ECH4jm (T=2)</t>
  </si>
  <si>
    <t>ECH4</t>
  </si>
  <si>
    <t>∑ ∑ ∑ ∑ (𝐷𝑗𝑘 × 𝑀𝑗𝑘𝑚𝑇 × 𝑁𝑗𝑘) × 10−3</t>
  </si>
  <si>
    <t>meatChickenBreeder</t>
  </si>
  <si>
    <t>NRjk</t>
  </si>
  <si>
    <t>AEjk</t>
  </si>
  <si>
    <t>𝑁𝑇𝑗𝑘𝑚 𝑇=2 = (𝑀𝑁𝑗𝑘𝑚𝑇=1 × (1 − 𝐹𝑟𝑎𝑐𝐺𝐴𝑆𝑀𝑚𝑇=1 − 𝐸𝐹𝑚𝑇=1))</t>
  </si>
  <si>
    <t>EN2O,dir</t>
  </si>
  <si>
    <t>Method 1 Inputs</t>
  </si>
  <si>
    <t>partial</t>
  </si>
  <si>
    <t>Boj</t>
  </si>
  <si>
    <t>CN2O</t>
  </si>
  <si>
    <t>Nitrogen leaving primary systems</t>
  </si>
  <si>
    <t>𝐸𝑁2𝑂,𝑑𝑖𝑟 = ∑ ∑ ∑ ∑ (𝑀𝑁𝑗𝑘𝑚𝑇 × 𝐸𝐹𝑗𝑚 × 𝐶𝑁2𝑂 ) × 10−3</t>
  </si>
  <si>
    <t>FracGASMsoil</t>
  </si>
  <si>
    <t>EN2O,ad</t>
  </si>
  <si>
    <t>MMSATMOS</t>
  </si>
  <si>
    <t>EFLeach</t>
  </si>
  <si>
    <t>FracLEACHMS</t>
  </si>
  <si>
    <t>FracWET</t>
  </si>
  <si>
    <t>EN2O,leach</t>
  </si>
  <si>
    <t>MCFim BY MAT</t>
  </si>
  <si>
    <t>10 or below</t>
  </si>
  <si>
    <t>28 or above</t>
  </si>
  <si>
    <t>Method 2 Inputs</t>
  </si>
  <si>
    <t>MMSjm=11aT=1</t>
  </si>
  <si>
    <t>MMSjm=10T=1</t>
  </si>
  <si>
    <t>MMSjm=11bT=1</t>
  </si>
  <si>
    <t>MMSjm=14T=1</t>
  </si>
  <si>
    <t>Stage 1 manure allocations</t>
  </si>
  <si>
    <t>MMSm=4T=2</t>
  </si>
  <si>
    <t>MMSm=6T=2</t>
  </si>
  <si>
    <t>MMSm=7T=2</t>
  </si>
  <si>
    <t>MMSm=12T=2</t>
  </si>
  <si>
    <t>MMSm=13T=2</t>
  </si>
  <si>
    <t>Stage 2 manure allocations FROM manureWithLitter (m=10)</t>
  </si>
  <si>
    <t>Stage 2 manure allocations FROM beltManureRemoval (m=11a)</t>
  </si>
  <si>
    <t>Stage 2 manure allocations FROM beltManureRemoval (m=11b)</t>
  </si>
  <si>
    <t>MCFim=10</t>
  </si>
  <si>
    <t>MCFim=11a</t>
  </si>
  <si>
    <t>MCFim=11b</t>
  </si>
  <si>
    <t>MCFim=14</t>
  </si>
  <si>
    <t>Mjm=10T=1</t>
  </si>
  <si>
    <t>Mjm=11aT=1</t>
  </si>
  <si>
    <t>Mjm=11bT=1</t>
  </si>
  <si>
    <t>Mjm=14T=1</t>
  </si>
  <si>
    <t>ECH4jm=10</t>
  </si>
  <si>
    <t>ECH4jm=11a</t>
  </si>
  <si>
    <t>ECH4jm=11b</t>
  </si>
  <si>
    <t>ECH4jm=14</t>
  </si>
  <si>
    <t>MCFim=4</t>
  </si>
  <si>
    <t>MCFim=13</t>
  </si>
  <si>
    <t>MCFim=12</t>
  </si>
  <si>
    <t>MCFim=7</t>
  </si>
  <si>
    <t>MCFim=6</t>
  </si>
  <si>
    <t>VSLm=10T=1</t>
  </si>
  <si>
    <t>VSLm=11aT=1</t>
  </si>
  <si>
    <t>VSLm=11bT=1</t>
  </si>
  <si>
    <t>Allocation (stage 2) FROM m=10</t>
  </si>
  <si>
    <t>Allocation (stage 2) FROM m=11a</t>
  </si>
  <si>
    <t>VSTjm=10T=2</t>
  </si>
  <si>
    <t>VSTjm=11aT=2</t>
  </si>
  <si>
    <t>VSTjm=11bT=2</t>
  </si>
  <si>
    <t>VSTj</t>
  </si>
  <si>
    <t>Mjm=4T=2</t>
  </si>
  <si>
    <t>Mjm=13T=2</t>
  </si>
  <si>
    <t>Mjm=12T=2</t>
  </si>
  <si>
    <t>Mjm=7T=2</t>
  </si>
  <si>
    <t>Mjm=6T=2</t>
  </si>
  <si>
    <t>ECH4j</t>
  </si>
  <si>
    <t>EFm=10</t>
  </si>
  <si>
    <t>EFm=11a</t>
  </si>
  <si>
    <t>EFm=11b</t>
  </si>
  <si>
    <t>EFm=14</t>
  </si>
  <si>
    <t>FracGASMm=10</t>
  </si>
  <si>
    <t>FracGASMm=11a</t>
  </si>
  <si>
    <t>FracGASMm=11b</t>
  </si>
  <si>
    <t>FracGASMm=14</t>
  </si>
  <si>
    <t>FracGASMm=13</t>
  </si>
  <si>
    <t>FracGASMm=12</t>
  </si>
  <si>
    <t>FracGASMm=7</t>
  </si>
  <si>
    <t>FracGASMm=6</t>
  </si>
  <si>
    <t>FracGASMm=4</t>
  </si>
  <si>
    <t>EFm=4</t>
  </si>
  <si>
    <t>EFm=6</t>
  </si>
  <si>
    <t>EFm=7</t>
  </si>
  <si>
    <t>EFm=12</t>
  </si>
  <si>
    <t>EFm=13</t>
  </si>
  <si>
    <t>NIj</t>
  </si>
  <si>
    <t>NEj</t>
  </si>
  <si>
    <t>MNjkm=10T=1</t>
  </si>
  <si>
    <t>MNjkm=11aT=1</t>
  </si>
  <si>
    <t>MNjkm=11bT=1</t>
  </si>
  <si>
    <t>MNjkm=14T=1</t>
  </si>
  <si>
    <t>NTjkm=10T=2</t>
  </si>
  <si>
    <t>NTjkm=11aT=2</t>
  </si>
  <si>
    <t>NTjkm=11bT=2</t>
  </si>
  <si>
    <t>MNjm=4T=2</t>
  </si>
  <si>
    <t>MNjm=6T=2</t>
  </si>
  <si>
    <t>MNjm=7T=2</t>
  </si>
  <si>
    <t>MNjm=12T=2</t>
  </si>
  <si>
    <t>MNjm=13T=2</t>
  </si>
  <si>
    <t>EN2O,dir m=10</t>
  </si>
  <si>
    <t>EN2O,dir m=11a</t>
  </si>
  <si>
    <t>EN2O,dir m=11b</t>
  </si>
  <si>
    <t>EN2O,dir m=14</t>
  </si>
  <si>
    <t>EN2O,dir m=4</t>
  </si>
  <si>
    <t>EN2O,dir m=12</t>
  </si>
  <si>
    <t>EN2O,dir m=6</t>
  </si>
  <si>
    <t>EN2O,dir m=7</t>
  </si>
  <si>
    <t>EN2O,dir (j)</t>
  </si>
  <si>
    <t>EMN2O,PRP,dir (j)</t>
  </si>
  <si>
    <t>MMSATMOS (m=10)</t>
  </si>
  <si>
    <t>MMSATMOS (m=11a)</t>
  </si>
  <si>
    <t>MMSATMOS (m=11b)</t>
  </si>
  <si>
    <t>Mvol,m=14</t>
  </si>
  <si>
    <t>MMSATMOS (m=4)</t>
  </si>
  <si>
    <t>MMSATMOS (m=6)</t>
  </si>
  <si>
    <t>MMSATMOS (m=7)</t>
  </si>
  <si>
    <t>MMSATMOS (m=12)</t>
  </si>
  <si>
    <t>EN2O,ad (j)</t>
  </si>
  <si>
    <t>EN2O,ad (j, m=14)</t>
  </si>
  <si>
    <t>ECH4 (j) m=4</t>
  </si>
  <si>
    <t>ECH4 (j) m=6</t>
  </si>
  <si>
    <t>ECH4 (j) m=7</t>
  </si>
  <si>
    <t>ECH4 (j) m=12</t>
  </si>
  <si>
    <t>ECH4 (j) m=13</t>
  </si>
  <si>
    <t>MNLeachm=4</t>
  </si>
  <si>
    <t>MNLeachm=14</t>
  </si>
  <si>
    <t>EN2O,leachm=4</t>
  </si>
  <si>
    <t>EN2O,leachm=14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</si>
</sst>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  <xf numFmtId="0" fontId="0" fillId="6" borderId="0" xfId="0" applyFill="1"/>
    <xf numFmtId="0" fontId="0" fillId="2" borderId="1" xfId="0" applyFill="1" applyBorder="1"/>
    <xf numFmtId="0" fontId="0" fillId="5" borderId="1" xfId="0" applyFill="1" applyBorder="1"/>
    <xf numFmtId="164" fontId="0" fillId="0" borderId="1" xfId="0" applyNumberFormat="1" applyBorder="1"/>
    <xf numFmtId="0" fontId="3" fillId="7" borderId="0" xfId="0" applyFont="1" applyFill="1"/>
    <xf numFmtId="0" fontId="0" fillId="0" borderId="0" xfId="0" applyBorder="1"/>
    <xf numFmtId="0" fontId="3" fillId="7" borderId="1" xfId="0" applyFont="1" applyFill="1" applyBorder="1"/>
    <xf numFmtId="0" fontId="3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BT30"/>
  <sheetViews>
    <sheetView topLeftCell="BO2" workbookViewId="0">
      <selection activeCell="F12" sqref="F12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K4" t="s">
        <v>52</v>
      </c>
      <c r="L4" t="s">
        <v>52</v>
      </c>
      <c r="M4" t="s">
        <v>1</v>
      </c>
      <c r="N4" t="s">
        <v>1</v>
      </c>
      <c r="O4" t="s">
        <v>1</v>
      </c>
      <c r="P4" t="s">
        <v>1</v>
      </c>
      <c r="AF4" t="s">
        <v>58</v>
      </c>
      <c r="AG4" t="s">
        <v>52</v>
      </c>
      <c r="AH4" t="s">
        <v>52</v>
      </c>
      <c r="AI4" t="s">
        <v>52</v>
      </c>
      <c r="AO4" t="s">
        <v>52</v>
      </c>
      <c r="AP4" t="s">
        <v>58</v>
      </c>
      <c r="AU4" t="s">
        <v>100</v>
      </c>
      <c r="AZ4" t="s">
        <v>100</v>
      </c>
      <c r="BA4" t="s">
        <v>52</v>
      </c>
      <c r="BF4" t="s">
        <v>100</v>
      </c>
      <c r="BG4" t="s">
        <v>58</v>
      </c>
      <c r="BL4" t="s">
        <v>58</v>
      </c>
      <c r="BQ4" t="s">
        <v>100</v>
      </c>
      <c r="BT4" t="s">
        <v>58</v>
      </c>
    </row>
    <row r="5" spans="1:72" x14ac:dyDescent="0.2">
      <c r="L5" t="s">
        <v>0</v>
      </c>
      <c r="AF5" t="s">
        <v>54</v>
      </c>
      <c r="AG5" t="s">
        <v>0</v>
      </c>
      <c r="AH5" t="s">
        <v>0</v>
      </c>
      <c r="AP5" t="s">
        <v>85</v>
      </c>
    </row>
    <row r="6" spans="1:72" x14ac:dyDescent="0.2">
      <c r="AP6" t="s">
        <v>84</v>
      </c>
      <c r="BD6" t="s">
        <v>88</v>
      </c>
      <c r="BH6" t="s">
        <v>90</v>
      </c>
      <c r="BT6" t="s">
        <v>93</v>
      </c>
    </row>
    <row r="8" spans="1:72" x14ac:dyDescent="0.2">
      <c r="A8" t="s">
        <v>35</v>
      </c>
      <c r="B8" t="s">
        <v>43</v>
      </c>
      <c r="C8" t="s">
        <v>42</v>
      </c>
      <c r="D8" t="s">
        <v>62</v>
      </c>
      <c r="E8" t="s">
        <v>65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149</v>
      </c>
      <c r="V8" t="s">
        <v>150</v>
      </c>
      <c r="AA8" t="s">
        <v>60</v>
      </c>
      <c r="AF8" t="s">
        <v>48</v>
      </c>
      <c r="AG8" t="s">
        <v>47</v>
      </c>
      <c r="AH8" t="s">
        <v>51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64</v>
      </c>
      <c r="E10" s="14" t="s">
        <v>66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95</v>
      </c>
      <c r="M10" s="14" t="s">
        <v>117</v>
      </c>
      <c r="N10" s="14" t="s">
        <v>116</v>
      </c>
      <c r="O10" s="14" t="s">
        <v>118</v>
      </c>
      <c r="P10" s="14" t="s">
        <v>119</v>
      </c>
      <c r="Q10" s="14" t="s">
        <v>121</v>
      </c>
      <c r="R10" s="14" t="s">
        <v>122</v>
      </c>
      <c r="S10" s="14" t="s">
        <v>123</v>
      </c>
      <c r="T10" s="14" t="s">
        <v>124</v>
      </c>
      <c r="U10" s="14" t="s">
        <v>125</v>
      </c>
      <c r="V10" s="14" t="s">
        <v>121</v>
      </c>
      <c r="W10" s="14" t="s">
        <v>122</v>
      </c>
      <c r="X10" s="14" t="s">
        <v>123</v>
      </c>
      <c r="Y10" s="14" t="s">
        <v>124</v>
      </c>
      <c r="Z10" s="14" t="s">
        <v>125</v>
      </c>
      <c r="AA10" s="14" t="s">
        <v>121</v>
      </c>
      <c r="AB10" s="14" t="s">
        <v>122</v>
      </c>
      <c r="AC10" s="14" t="s">
        <v>123</v>
      </c>
      <c r="AD10" s="14" t="s">
        <v>124</v>
      </c>
      <c r="AE10" s="14" t="s">
        <v>125</v>
      </c>
      <c r="AF10" s="14" t="s">
        <v>31</v>
      </c>
      <c r="AG10" s="14" t="s">
        <v>34</v>
      </c>
      <c r="AH10" s="14" t="s">
        <v>101</v>
      </c>
      <c r="AI10" s="14" t="s">
        <v>129</v>
      </c>
      <c r="AJ10" s="14" t="s">
        <v>130</v>
      </c>
      <c r="AK10" s="14" t="s">
        <v>131</v>
      </c>
      <c r="AL10" s="14" t="s">
        <v>132</v>
      </c>
      <c r="AM10" s="14" t="s">
        <v>133</v>
      </c>
      <c r="AN10" s="14" t="s">
        <v>134</v>
      </c>
      <c r="AO10" s="14" t="s">
        <v>135</v>
      </c>
      <c r="AP10" s="14" t="s">
        <v>136</v>
      </c>
      <c r="AQ10" s="14" t="s">
        <v>137</v>
      </c>
      <c r="AR10" s="14" t="s">
        <v>138</v>
      </c>
      <c r="AS10" s="14" t="s">
        <v>139</v>
      </c>
      <c r="AT10" s="14" t="s">
        <v>140</v>
      </c>
      <c r="AU10" s="15" t="s">
        <v>89</v>
      </c>
      <c r="AV10" s="14" t="s">
        <v>141</v>
      </c>
      <c r="AW10" s="14" t="s">
        <v>145</v>
      </c>
      <c r="AX10" s="14" t="s">
        <v>144</v>
      </c>
      <c r="AY10" s="14" t="s">
        <v>143</v>
      </c>
      <c r="AZ10" s="14" t="s">
        <v>142</v>
      </c>
      <c r="BA10" s="14" t="s">
        <v>146</v>
      </c>
      <c r="BB10" s="14" t="s">
        <v>147</v>
      </c>
      <c r="BC10" s="14" t="s">
        <v>148</v>
      </c>
      <c r="BD10" s="14" t="s">
        <v>151</v>
      </c>
      <c r="BE10" s="14" t="s">
        <v>152</v>
      </c>
      <c r="BF10" s="14" t="s">
        <v>153</v>
      </c>
      <c r="BG10" s="14" t="s">
        <v>154</v>
      </c>
      <c r="BH10" s="14" t="s">
        <v>155</v>
      </c>
      <c r="BI10" s="14" t="s">
        <v>159</v>
      </c>
      <c r="BJ10" s="14" t="s">
        <v>158</v>
      </c>
      <c r="BK10" s="14" t="s">
        <v>157</v>
      </c>
      <c r="BL10" s="14" t="s">
        <v>156</v>
      </c>
      <c r="BM10" s="14" t="s">
        <v>213</v>
      </c>
      <c r="BN10" s="14" t="s">
        <v>214</v>
      </c>
      <c r="BO10" s="19" t="s">
        <v>215</v>
      </c>
      <c r="BP10" s="14" t="s">
        <v>216</v>
      </c>
      <c r="BQ10" s="14" t="s">
        <v>217</v>
      </c>
      <c r="BR10" s="14" t="s">
        <v>91</v>
      </c>
      <c r="BS10" s="15" t="s">
        <v>160</v>
      </c>
      <c r="BT10" s="15" t="s">
        <v>92</v>
      </c>
    </row>
    <row r="11" spans="1:72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 t="shared" ref="AF11:AF26" si="0">I11*(1-J11)*(1-AG11)</f>
        <v>1.4103999999999995E-2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_xlfn.XLOOKUP($A11, Constants!$F$8:$M$8,Constants!$F$9:$M$9)</f>
        <v>1.4999999999999999E-2</v>
      </c>
      <c r="AJ11">
        <f>_xlfn.XLOOKUP($A11, Constants!$F$8:$M$8,Constants!$F$10:$M$10)</f>
        <v>1.4999999999999999E-2</v>
      </c>
      <c r="AK11">
        <f>_xlfn.XLOOKUP($A11, Constants!$F$8:$M$8,Constants!$F$11:$M$11)</f>
        <v>1.4999999999999999E-2</v>
      </c>
      <c r="AL11">
        <f>_xlfn.XLOOKUP($A11, Constants!$F$8:$M$8,Constants!$F$16:$M$16)</f>
        <v>0.01</v>
      </c>
      <c r="AM11" s="12">
        <f>$AF11*$AH11*M11*AI11*Constants!$I$2</f>
        <v>5.5973698559999982E-6</v>
      </c>
      <c r="AN11" s="12">
        <f>$AF11*$AH11*N11*AJ11*Constants!$I$2</f>
        <v>1.1194739711999996E-5</v>
      </c>
      <c r="AO11" s="12">
        <f>$AF11*$AH11*O11*AK11*Constants!$I$2</f>
        <v>1.6792109567999992E-5</v>
      </c>
      <c r="AP11" s="12">
        <f>$AF11*$AH11*P11*AL11*Constants!$I$2</f>
        <v>1.4926319615999996E-5</v>
      </c>
      <c r="AQ11" s="12">
        <f>AM11*$G11*$H11</f>
        <v>1.3993424639999994</v>
      </c>
      <c r="AR11" s="12">
        <f t="shared" ref="AR11:AT11" si="1">AN11*$G11*$H11</f>
        <v>2.7986849279999988</v>
      </c>
      <c r="AS11" s="12">
        <f t="shared" si="1"/>
        <v>4.1980273919999975</v>
      </c>
      <c r="AT11" s="12">
        <f t="shared" si="1"/>
        <v>3.7315799039999993</v>
      </c>
      <c r="AU11" s="12">
        <f>SUM(AQ11:AT11)</f>
        <v>12.127634687999997</v>
      </c>
      <c r="AV11">
        <f>_xlfn.XLOOKUP($A11, Constants!$F$8:$M$8,Constants!$F$12:$M$12)</f>
        <v>0.02</v>
      </c>
      <c r="AW11">
        <f>_xlfn.XLOOKUP($A11, Constants!$F$8:$M$8,Constants!$F$13:$M$13)</f>
        <v>0.01</v>
      </c>
      <c r="AX11">
        <f>_xlfn.XLOOKUP($A11, Constants!$F$8:$M$8,Constants!$F$15:$M$15)</f>
        <v>0.1</v>
      </c>
      <c r="AY11">
        <f>_xlfn.XLOOKUP($A11, Constants!$F$8:$M$8,Constants!$F$14:$M$14)</f>
        <v>0</v>
      </c>
      <c r="AZ11">
        <f>_xlfn.XLOOKUP($A11, Constants!$F$8:$M$8,Constants!$F$17:$M$17)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D26" si="2">$AF11*M11*(1-BA11)</f>
        <v>1.1988399999999996E-3</v>
      </c>
      <c r="BE11">
        <f t="shared" ref="BE11:BE26" si="3">$AF11*N11*(1-BB11)</f>
        <v>2.8207999999999992E-3</v>
      </c>
      <c r="BF11">
        <f t="shared" ref="BF11:BF26" si="4">$AF11*O11*(1-BC11)</f>
        <v>3.3849599999999989E-3</v>
      </c>
      <c r="BG11">
        <f>SUM(BD11:BF11)</f>
        <v>7.4045999999999973E-3</v>
      </c>
      <c r="BH11">
        <f>(($BD11*Q11)+($BE11*V11)+($BF11*AA11))*AV11*$AH11*Constants!$I$2</f>
        <v>5.8772383487999989E-6</v>
      </c>
      <c r="BI11">
        <f>(($BD11*R11)+($BE11*W11)+($BF11*AB11))*AW11*$AH11*Constants!$I$2</f>
        <v>3.918158899199999E-6</v>
      </c>
      <c r="BJ11">
        <f>(($BD11*S11)+($BE11*X11)+($BF11*AC11))*AX11*$AH11*Constants!$I$2</f>
        <v>4.8976986239999979E-5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1.4693095871999997</v>
      </c>
      <c r="BN11">
        <f t="shared" ref="BN11:BQ11" si="5">$G11*$H11*BI11</f>
        <v>0.97953972479999973</v>
      </c>
      <c r="BO11">
        <f t="shared" si="5"/>
        <v>12.244246559999995</v>
      </c>
      <c r="BP11">
        <f t="shared" si="5"/>
        <v>0</v>
      </c>
      <c r="BQ11">
        <f t="shared" si="5"/>
        <v>0</v>
      </c>
      <c r="BR11">
        <f>SUM(BM11:BQ11)</f>
        <v>14.693095871999994</v>
      </c>
      <c r="BS11" s="12">
        <f>AU11+BR11</f>
        <v>26.820730559999991</v>
      </c>
      <c r="BT11">
        <f>SUM(BS11:BS14)/1000</f>
        <v>0.11197675487999997</v>
      </c>
    </row>
    <row r="12" spans="1:72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 t="shared" si="0"/>
        <v>1.6891999999999997E-2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_xlfn.XLOOKUP($A12, Constants!$F$8:$M$8,Constants!$F$9:$M$9)</f>
        <v>1.4999999999999999E-2</v>
      </c>
      <c r="AJ12">
        <f>_xlfn.XLOOKUP($A12, Constants!$F$8:$M$8,Constants!$F$10:$M$10)</f>
        <v>1.4999999999999999E-2</v>
      </c>
      <c r="AK12">
        <f>_xlfn.XLOOKUP($A12, Constants!$F$8:$M$8,Constants!$F$11:$M$11)</f>
        <v>1.4999999999999999E-2</v>
      </c>
      <c r="AL12">
        <f>_xlfn.XLOOKUP($A12, Constants!$F$8:$M$8,Constants!$F$16:$M$16)</f>
        <v>0.01</v>
      </c>
      <c r="AM12" s="12">
        <f>$AF12*$AH12*M12*AI12*Constants!$I$2</f>
        <v>6.1881477119999995E-6</v>
      </c>
      <c r="AN12" s="12">
        <f>$AF12*$AH12*N12*AJ12*Constants!$I$2</f>
        <v>1.2376295423999999E-5</v>
      </c>
      <c r="AO12" s="12">
        <f>$AF12*$AH12*O12*AK12*Constants!$I$2</f>
        <v>1.8564443135999995E-5</v>
      </c>
      <c r="AP12" s="12">
        <f>$AF12*$AH12*P12*AL12*Constants!$I$2</f>
        <v>1.6501727231999999E-5</v>
      </c>
      <c r="AQ12" s="12">
        <f t="shared" ref="AQ12:AQ26" si="6">AM12*$G12*$H12</f>
        <v>1.5470369279999998</v>
      </c>
      <c r="AR12" s="12">
        <f t="shared" ref="AR12:AR26" si="7">AN12*$G12*$H12</f>
        <v>3.0940738559999996</v>
      </c>
      <c r="AS12" s="12">
        <f t="shared" ref="AS12:AS26" si="8">AO12*$G12*$H12</f>
        <v>4.6411107839999985</v>
      </c>
      <c r="AT12" s="12">
        <f t="shared" ref="AT12:AT26" si="9">AP12*$G12*$H12</f>
        <v>4.1254318080000001</v>
      </c>
      <c r="AU12" s="12">
        <f t="shared" ref="AU12:AU26" si="10">SUM(AQ12:AT12)</f>
        <v>13.407653375999997</v>
      </c>
      <c r="AV12">
        <f>_xlfn.XLOOKUP($A12, Constants!$F$8:$M$8,Constants!$F$12:$M$12)</f>
        <v>0.02</v>
      </c>
      <c r="AW12">
        <f>_xlfn.XLOOKUP($A12, Constants!$F$8:$M$8,Constants!$F$13:$M$13)</f>
        <v>0.01</v>
      </c>
      <c r="AX12">
        <f>_xlfn.XLOOKUP($A12, Constants!$F$8:$M$8,Constants!$F$15:$M$15)</f>
        <v>0.1</v>
      </c>
      <c r="AY12">
        <f>_xlfn.XLOOKUP($A12, Constants!$F$8:$M$8,Constants!$F$14:$M$14)</f>
        <v>0</v>
      </c>
      <c r="AZ12">
        <f>_xlfn.XLOOKUP($A12, Constants!$F$8:$M$8,Constants!$F$17:$M$17)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1.4358199999999998E-3</v>
      </c>
      <c r="BE12">
        <f t="shared" si="3"/>
        <v>3.3783999999999997E-3</v>
      </c>
      <c r="BF12">
        <f t="shared" si="4"/>
        <v>4.0540799999999998E-3</v>
      </c>
      <c r="BG12">
        <f t="shared" ref="BG12:BG26" si="11">SUM(BD12:BF12)</f>
        <v>8.8682999999999991E-3</v>
      </c>
      <c r="BH12">
        <f>(($BD12*Q12)+($BE12*V12)+($BF12*AA12))*AV12*$AH12*Constants!$I$2</f>
        <v>6.4975550975999987E-6</v>
      </c>
      <c r="BI12">
        <f>(($BD12*R12)+($BE12*W12)+($BF12*AB12))*AW12*$AH12*Constants!$I$2</f>
        <v>4.3317033984000005E-6</v>
      </c>
      <c r="BJ12">
        <f>(($BD12*S12)+($BE12*X12)+($BF12*AC12))*AX12*$AH12*Constants!$I$2</f>
        <v>5.414629247999999E-5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12">$G12*$H12*BH12</f>
        <v>1.6243887743999996</v>
      </c>
      <c r="BN12">
        <f t="shared" ref="BN12:BN26" si="13">$G12*$H12*BI12</f>
        <v>1.0829258496</v>
      </c>
      <c r="BO12">
        <f t="shared" ref="BO12:BO26" si="14">$G12*$H12*BJ12</f>
        <v>13.536573119999998</v>
      </c>
      <c r="BP12">
        <f t="shared" ref="BP12:BP26" si="15">$G12*$H12*BK12</f>
        <v>0</v>
      </c>
      <c r="BQ12">
        <f t="shared" ref="BQ12:BQ26" si="16">$G12*$H12*BL12</f>
        <v>0</v>
      </c>
      <c r="BR12">
        <f t="shared" ref="BR12:BR25" si="17">SUM(BM12:BQ12)</f>
        <v>16.243887743999998</v>
      </c>
      <c r="BS12" s="12">
        <f t="shared" ref="BS12:BS26" si="18">AU12+BR12</f>
        <v>29.651541119999997</v>
      </c>
    </row>
    <row r="13" spans="1:72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 t="shared" si="0"/>
        <v>1.5809999999999994E-2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_xlfn.XLOOKUP($A13, Constants!$F$8:$M$8,Constants!$F$9:$M$9)</f>
        <v>1.4999999999999999E-2</v>
      </c>
      <c r="AJ13">
        <f>_xlfn.XLOOKUP($A13, Constants!$F$8:$M$8,Constants!$F$10:$M$10)</f>
        <v>1.4999999999999999E-2</v>
      </c>
      <c r="AK13">
        <f>_xlfn.XLOOKUP($A13, Constants!$F$8:$M$8,Constants!$F$11:$M$11)</f>
        <v>1.4999999999999999E-2</v>
      </c>
      <c r="AL13">
        <f>_xlfn.XLOOKUP($A13, Constants!$F$8:$M$8,Constants!$F$16:$M$16)</f>
        <v>0.01</v>
      </c>
      <c r="AM13" s="12">
        <f>$AF13*$AH13*M13*AI13*Constants!$I$2</f>
        <v>5.7917721599999983E-6</v>
      </c>
      <c r="AN13" s="12">
        <f>$AF13*$AH13*N13*AJ13*Constants!$I$2</f>
        <v>1.1583544319999997E-5</v>
      </c>
      <c r="AO13" s="12">
        <f>$AF13*$AH13*O13*AK13*Constants!$I$2</f>
        <v>1.7375316479999991E-5</v>
      </c>
      <c r="AP13" s="12">
        <f>$AF13*$AH13*P13*AL13*Constants!$I$2</f>
        <v>1.5444725759999997E-5</v>
      </c>
      <c r="AQ13" s="12">
        <f t="shared" si="6"/>
        <v>1.4479430399999997</v>
      </c>
      <c r="AR13" s="12">
        <f t="shared" si="7"/>
        <v>2.8958860799999995</v>
      </c>
      <c r="AS13" s="12">
        <f t="shared" si="8"/>
        <v>4.3438291199999979</v>
      </c>
      <c r="AT13" s="12">
        <f t="shared" si="9"/>
        <v>3.8611814399999993</v>
      </c>
      <c r="AU13" s="12">
        <f t="shared" si="10"/>
        <v>12.548839679999997</v>
      </c>
      <c r="AV13">
        <f>_xlfn.XLOOKUP($A13, Constants!$F$8:$M$8,Constants!$F$12:$M$12)</f>
        <v>0.02</v>
      </c>
      <c r="AW13">
        <f>_xlfn.XLOOKUP($A13, Constants!$F$8:$M$8,Constants!$F$13:$M$13)</f>
        <v>0.01</v>
      </c>
      <c r="AX13">
        <f>_xlfn.XLOOKUP($A13, Constants!$F$8:$M$8,Constants!$F$15:$M$15)</f>
        <v>0.1</v>
      </c>
      <c r="AY13">
        <f>_xlfn.XLOOKUP($A13, Constants!$F$8:$M$8,Constants!$F$14:$M$14)</f>
        <v>0</v>
      </c>
      <c r="AZ13">
        <f>_xlfn.XLOOKUP($A13, Constants!$F$8:$M$8,Constants!$F$17:$M$17)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1.3438499999999995E-3</v>
      </c>
      <c r="BE13">
        <f t="shared" si="3"/>
        <v>3.161999999999999E-3</v>
      </c>
      <c r="BF13">
        <f t="shared" si="4"/>
        <v>3.7943999999999986E-3</v>
      </c>
      <c r="BG13">
        <f t="shared" si="11"/>
        <v>8.3002499999999969E-3</v>
      </c>
      <c r="BH13">
        <f>(($BD13*Q13)+($BE13*V13)+($BF13*AA13))*AV13*$AH13*Constants!$I$2</f>
        <v>6.0813607679999965E-6</v>
      </c>
      <c r="BI13">
        <f>(($BD13*R13)+($BE13*W13)+($BF13*AB13))*AW13*$AH13*Constants!$I$2</f>
        <v>4.0542405119999988E-6</v>
      </c>
      <c r="BJ13">
        <f>(($BD13*S13)+($BE13*X13)+($BF13*AC13))*AX13*$AH13*Constants!$I$2</f>
        <v>5.0678006399999988E-5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12"/>
        <v>1.520340191999999</v>
      </c>
      <c r="BN13">
        <f t="shared" si="13"/>
        <v>1.0135601279999997</v>
      </c>
      <c r="BO13">
        <f t="shared" si="14"/>
        <v>12.669501599999997</v>
      </c>
      <c r="BP13">
        <f t="shared" si="15"/>
        <v>0</v>
      </c>
      <c r="BQ13">
        <f t="shared" si="16"/>
        <v>0</v>
      </c>
      <c r="BR13">
        <f t="shared" si="17"/>
        <v>15.203401919999996</v>
      </c>
      <c r="BS13" s="12">
        <f t="shared" si="18"/>
        <v>27.752241599999991</v>
      </c>
    </row>
    <row r="14" spans="1:72" s="11" customFormat="1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 t="shared" si="0"/>
        <v>1.5809999999999994E-2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 s="11">
        <f>_xlfn.XLOOKUP($A14, Constants!$F$8:$M$8,Constants!$F$9:$M$9)</f>
        <v>1.4999999999999999E-2</v>
      </c>
      <c r="AJ14" s="11">
        <f>_xlfn.XLOOKUP($A14, Constants!$F$8:$M$8,Constants!$F$10:$M$10)</f>
        <v>1.4999999999999999E-2</v>
      </c>
      <c r="AK14" s="11">
        <f>_xlfn.XLOOKUP($A14, Constants!$F$8:$M$8,Constants!$F$11:$M$11)</f>
        <v>1.4999999999999999E-2</v>
      </c>
      <c r="AL14" s="11">
        <f>_xlfn.XLOOKUP($A14, Constants!$F$8:$M$8,Constants!$F$16:$M$16)</f>
        <v>0.01</v>
      </c>
      <c r="AM14" s="12">
        <f>$AF14*$AH14*M14*AI14*Constants!$I$2</f>
        <v>5.7917721599999983E-6</v>
      </c>
      <c r="AN14" s="12">
        <f>$AF14*$AH14*N14*AJ14*Constants!$I$2</f>
        <v>1.1583544319999997E-5</v>
      </c>
      <c r="AO14" s="12">
        <f>$AF14*$AH14*O14*AK14*Constants!$I$2</f>
        <v>1.7375316479999991E-5</v>
      </c>
      <c r="AP14" s="12">
        <f>$AF14*$AH14*P14*AL14*Constants!$I$2</f>
        <v>1.5444725759999997E-5</v>
      </c>
      <c r="AQ14" s="16">
        <f t="shared" si="6"/>
        <v>1.4479430399999997</v>
      </c>
      <c r="AR14" s="16">
        <f t="shared" si="7"/>
        <v>2.8958860799999995</v>
      </c>
      <c r="AS14" s="16">
        <f t="shared" si="8"/>
        <v>4.3438291199999979</v>
      </c>
      <c r="AT14" s="16">
        <f t="shared" si="9"/>
        <v>3.8611814399999993</v>
      </c>
      <c r="AU14" s="16">
        <f t="shared" si="10"/>
        <v>12.548839679999997</v>
      </c>
      <c r="AV14" s="11">
        <f>_xlfn.XLOOKUP($A14, Constants!$F$8:$M$8,Constants!$F$12:$M$12)</f>
        <v>0.02</v>
      </c>
      <c r="AW14" s="11">
        <f>_xlfn.XLOOKUP($A14, Constants!$F$8:$M$8,Constants!$F$13:$M$13)</f>
        <v>0.01</v>
      </c>
      <c r="AX14" s="11">
        <f>_xlfn.XLOOKUP($A14, Constants!$F$8:$M$8,Constants!$F$15:$M$15)</f>
        <v>0.1</v>
      </c>
      <c r="AY14" s="11">
        <f>_xlfn.XLOOKUP($A14, Constants!$F$8:$M$8,Constants!$F$14:$M$14)</f>
        <v>0</v>
      </c>
      <c r="AZ14" s="11">
        <f>_xlfn.XLOOKUP($A14, Constants!$F$8:$M$8,Constants!$F$17:$M$17)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1.3438499999999995E-3</v>
      </c>
      <c r="BE14" s="11">
        <f t="shared" si="3"/>
        <v>3.161999999999999E-3</v>
      </c>
      <c r="BF14" s="11">
        <f t="shared" si="4"/>
        <v>3.7943999999999986E-3</v>
      </c>
      <c r="BG14" s="11">
        <f t="shared" si="11"/>
        <v>8.3002499999999969E-3</v>
      </c>
      <c r="BH14" s="11">
        <f>(($BD14*Q14)+($BE14*V14)+($BF14*AA14))*AV14*$AH14*Constants!$I$2</f>
        <v>6.0813607679999965E-6</v>
      </c>
      <c r="BI14" s="11">
        <f>(($BD14*R14)+($BE14*W14)+($BF14*AB14))*AW14*$AH14*Constants!$I$2</f>
        <v>4.0542405119999988E-6</v>
      </c>
      <c r="BJ14" s="11">
        <f>(($BD14*S14)+($BE14*X14)+($BF14*AC14))*AX14*$AH14*Constants!$I$2</f>
        <v>5.0678006399999988E-5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12"/>
        <v>1.520340191999999</v>
      </c>
      <c r="BN14">
        <f t="shared" si="13"/>
        <v>1.0135601279999997</v>
      </c>
      <c r="BO14">
        <f t="shared" si="14"/>
        <v>12.669501599999997</v>
      </c>
      <c r="BP14">
        <f t="shared" si="15"/>
        <v>0</v>
      </c>
      <c r="BQ14">
        <f t="shared" si="16"/>
        <v>0</v>
      </c>
      <c r="BR14">
        <f t="shared" si="17"/>
        <v>15.203401919999996</v>
      </c>
      <c r="BS14" s="12">
        <f t="shared" si="18"/>
        <v>27.752241599999991</v>
      </c>
    </row>
    <row r="15" spans="1:72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 t="shared" si="0"/>
        <v>1.4103999999999995E-2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_xlfn.XLOOKUP($A15, Constants!$F$8:$M$8,Constants!$F$9:$M$9)</f>
        <v>1.4999999999999999E-2</v>
      </c>
      <c r="AJ15">
        <f>_xlfn.XLOOKUP($A15, Constants!$F$8:$M$8,Constants!$F$10:$M$10)</f>
        <v>1.4999999999999999E-2</v>
      </c>
      <c r="AK15">
        <f>_xlfn.XLOOKUP($A15, Constants!$F$8:$M$8,Constants!$F$11:$M$11)</f>
        <v>1.4999999999999999E-2</v>
      </c>
      <c r="AL15">
        <f>_xlfn.XLOOKUP($A15, Constants!$F$8:$M$8,Constants!$F$16:$M$16)</f>
        <v>0.03</v>
      </c>
      <c r="AM15" s="12">
        <f>$AF15*$AH15*M15*AI15*Constants!$I$2</f>
        <v>2.2389479423999993E-5</v>
      </c>
      <c r="AN15" s="12">
        <f>$AF15*$AH15*N15*AJ15*Constants!$I$2</f>
        <v>1.6792109567999992E-5</v>
      </c>
      <c r="AO15" s="12">
        <f>$AF15*$AH15*O15*AK15*Constants!$I$2</f>
        <v>1.1194739711999996E-5</v>
      </c>
      <c r="AP15" s="12">
        <f>$AF15*$AH15*P15*AL15*Constants!$I$2</f>
        <v>1.1194739711999996E-5</v>
      </c>
      <c r="AQ15" s="12">
        <f t="shared" si="6"/>
        <v>6.2970410879999976</v>
      </c>
      <c r="AR15" s="12">
        <f t="shared" si="7"/>
        <v>4.7227808159999976</v>
      </c>
      <c r="AS15" s="12">
        <f t="shared" si="8"/>
        <v>3.1485205439999988</v>
      </c>
      <c r="AT15" s="12">
        <f t="shared" si="9"/>
        <v>3.1485205439999988</v>
      </c>
      <c r="AU15" s="12">
        <f t="shared" si="10"/>
        <v>17.316862991999994</v>
      </c>
      <c r="AV15">
        <f>_xlfn.XLOOKUP($A15, Constants!$F$8:$M$8,Constants!$F$12:$M$12)</f>
        <v>0.02</v>
      </c>
      <c r="AW15">
        <f>_xlfn.XLOOKUP($A15, Constants!$F$8:$M$8,Constants!$F$13:$M$13)</f>
        <v>0.01</v>
      </c>
      <c r="AX15">
        <f>_xlfn.XLOOKUP($A15, Constants!$F$8:$M$8,Constants!$F$15:$M$15)</f>
        <v>0.1</v>
      </c>
      <c r="AY15">
        <f>_xlfn.XLOOKUP($A15, Constants!$F$8:$M$8,Constants!$F$14:$M$14)</f>
        <v>0</v>
      </c>
      <c r="AZ15">
        <f>_xlfn.XLOOKUP($A15, Constants!$F$8:$M$8,Constants!$F$17:$M$17)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4.7953599999999985E-3</v>
      </c>
      <c r="BE15">
        <f t="shared" si="3"/>
        <v>4.2311999999999983E-3</v>
      </c>
      <c r="BF15">
        <f t="shared" si="4"/>
        <v>2.2566399999999994E-3</v>
      </c>
      <c r="BG15">
        <f t="shared" si="11"/>
        <v>1.1283199999999995E-2</v>
      </c>
      <c r="BH15">
        <f>(($BD15*Q15)+($BE15*V15)+($BF15*AA15))*AV15*$AH15*Constants!$I$2</f>
        <v>1.1941055692799998E-5</v>
      </c>
      <c r="BI15">
        <f>(($BD15*R15)+($BE15*W15)+($BF15*AB15))*AW15*$AH15*Constants!$I$2</f>
        <v>7.4631598079999965E-6</v>
      </c>
      <c r="BJ15">
        <f>(($BD15*S15)+($BE15*X15)+($BF15*AC15))*AX15*$AH15*Constants!$I$2</f>
        <v>5.9705278463999992E-5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12"/>
        <v>3.3584219135999995</v>
      </c>
      <c r="BN15">
        <f t="shared" si="13"/>
        <v>2.0990136959999992</v>
      </c>
      <c r="BO15">
        <f t="shared" si="14"/>
        <v>16.792109567999997</v>
      </c>
      <c r="BP15">
        <f t="shared" si="15"/>
        <v>0</v>
      </c>
      <c r="BQ15">
        <f t="shared" si="16"/>
        <v>0</v>
      </c>
      <c r="BR15">
        <f t="shared" si="17"/>
        <v>22.249545177599998</v>
      </c>
      <c r="BS15" s="12">
        <f t="shared" si="18"/>
        <v>39.566408169599995</v>
      </c>
      <c r="BT15">
        <f>SUM(BS15:BS18)/1000</f>
        <v>0.16519005622079999</v>
      </c>
    </row>
    <row r="16" spans="1:72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 t="shared" si="0"/>
        <v>1.6891999999999997E-2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_xlfn.XLOOKUP($A16, Constants!$F$8:$M$8,Constants!$F$9:$M$9)</f>
        <v>1.4999999999999999E-2</v>
      </c>
      <c r="AJ16">
        <f>_xlfn.XLOOKUP($A16, Constants!$F$8:$M$8,Constants!$F$10:$M$10)</f>
        <v>1.4999999999999999E-2</v>
      </c>
      <c r="AK16">
        <f>_xlfn.XLOOKUP($A16, Constants!$F$8:$M$8,Constants!$F$11:$M$11)</f>
        <v>1.4999999999999999E-2</v>
      </c>
      <c r="AL16">
        <f>_xlfn.XLOOKUP($A16, Constants!$F$8:$M$8,Constants!$F$16:$M$16)</f>
        <v>0.03</v>
      </c>
      <c r="AM16" s="12">
        <f>$AF16*$AH16*M16*AI16*Constants!$I$2</f>
        <v>2.4752590847999998E-5</v>
      </c>
      <c r="AN16" s="12">
        <f>$AF16*$AH16*N16*AJ16*Constants!$I$2</f>
        <v>1.8564443135999995E-5</v>
      </c>
      <c r="AO16" s="12">
        <f>$AF16*$AH16*O16*AK16*Constants!$I$2</f>
        <v>1.2376295423999999E-5</v>
      </c>
      <c r="AP16" s="12">
        <f>$AF16*$AH16*P16*AL16*Constants!$I$2</f>
        <v>1.2376295423999999E-5</v>
      </c>
      <c r="AQ16" s="12">
        <f t="shared" si="6"/>
        <v>6.9616661759999996</v>
      </c>
      <c r="AR16" s="12">
        <f t="shared" si="7"/>
        <v>5.2212496319999993</v>
      </c>
      <c r="AS16" s="12">
        <f t="shared" si="8"/>
        <v>3.4808330879999998</v>
      </c>
      <c r="AT16" s="12">
        <f t="shared" si="9"/>
        <v>3.4808330879999998</v>
      </c>
      <c r="AU16" s="12">
        <f t="shared" si="10"/>
        <v>19.144581983999998</v>
      </c>
      <c r="AV16">
        <f>_xlfn.XLOOKUP($A16, Constants!$F$8:$M$8,Constants!$F$12:$M$12)</f>
        <v>0.02</v>
      </c>
      <c r="AW16">
        <f>_xlfn.XLOOKUP($A16, Constants!$F$8:$M$8,Constants!$F$13:$M$13)</f>
        <v>0.01</v>
      </c>
      <c r="AX16">
        <f>_xlfn.XLOOKUP($A16, Constants!$F$8:$M$8,Constants!$F$15:$M$15)</f>
        <v>0.1</v>
      </c>
      <c r="AY16">
        <f>_xlfn.XLOOKUP($A16, Constants!$F$8:$M$8,Constants!$F$14:$M$14)</f>
        <v>0</v>
      </c>
      <c r="AZ16">
        <f>_xlfn.XLOOKUP($A16, Constants!$F$8:$M$8,Constants!$F$17:$M$17)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5.743279999999999E-3</v>
      </c>
      <c r="BE16">
        <f t="shared" si="3"/>
        <v>5.0675999999999994E-3</v>
      </c>
      <c r="BF16">
        <f t="shared" si="4"/>
        <v>2.70272E-3</v>
      </c>
      <c r="BG16">
        <f t="shared" si="11"/>
        <v>1.3513599999999999E-2</v>
      </c>
      <c r="BH16">
        <f>(($BD16*Q16)+($BE16*V16)+($BF16*AA16))*AV16*$AH16*Constants!$I$2</f>
        <v>1.3201381785599999E-5</v>
      </c>
      <c r="BI16">
        <f>(($BD16*R16)+($BE16*W16)+($BF16*AB16))*AW16*$AH16*Constants!$I$2</f>
        <v>8.2508636159999994E-6</v>
      </c>
      <c r="BJ16">
        <f>(($BD16*S16)+($BE16*X16)+($BF16*AC16))*AX16*$AH16*Constants!$I$2</f>
        <v>6.6006908927999995E-5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12"/>
        <v>3.7128886271999999</v>
      </c>
      <c r="BN16">
        <f t="shared" si="13"/>
        <v>2.3205553919999997</v>
      </c>
      <c r="BO16">
        <f t="shared" si="14"/>
        <v>18.564443135999998</v>
      </c>
      <c r="BP16">
        <f t="shared" si="15"/>
        <v>0</v>
      </c>
      <c r="BQ16">
        <f t="shared" si="16"/>
        <v>0</v>
      </c>
      <c r="BR16">
        <f t="shared" si="17"/>
        <v>24.597887155199999</v>
      </c>
      <c r="BS16" s="12">
        <f t="shared" si="18"/>
        <v>43.742469139199997</v>
      </c>
    </row>
    <row r="17" spans="1:72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 t="shared" si="0"/>
        <v>1.5809999999999994E-2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_xlfn.XLOOKUP($A17, Constants!$F$8:$M$8,Constants!$F$9:$M$9)</f>
        <v>1.4999999999999999E-2</v>
      </c>
      <c r="AJ17">
        <f>_xlfn.XLOOKUP($A17, Constants!$F$8:$M$8,Constants!$F$10:$M$10)</f>
        <v>1.4999999999999999E-2</v>
      </c>
      <c r="AK17">
        <f>_xlfn.XLOOKUP($A17, Constants!$F$8:$M$8,Constants!$F$11:$M$11)</f>
        <v>1.4999999999999999E-2</v>
      </c>
      <c r="AL17">
        <f>_xlfn.XLOOKUP($A17, Constants!$F$8:$M$8,Constants!$F$16:$M$16)</f>
        <v>0.03</v>
      </c>
      <c r="AM17" s="12">
        <f>$AF17*$AH17*M17*AI17*Constants!$I$2</f>
        <v>2.3167088639999993E-5</v>
      </c>
      <c r="AN17" s="12">
        <f>$AF17*$AH17*N17*AJ17*Constants!$I$2</f>
        <v>1.7375316479999991E-5</v>
      </c>
      <c r="AO17" s="12">
        <f>$AF17*$AH17*O17*AK17*Constants!$I$2</f>
        <v>1.1583544319999997E-5</v>
      </c>
      <c r="AP17" s="12">
        <f>$AF17*$AH17*P17*AL17*Constants!$I$2</f>
        <v>1.1583544319999997E-5</v>
      </c>
      <c r="AQ17" s="12">
        <f t="shared" si="6"/>
        <v>6.5157436799999982</v>
      </c>
      <c r="AR17" s="12">
        <f t="shared" si="7"/>
        <v>4.8868077599999982</v>
      </c>
      <c r="AS17" s="12">
        <f t="shared" si="8"/>
        <v>3.2578718399999991</v>
      </c>
      <c r="AT17" s="12">
        <f t="shared" si="9"/>
        <v>3.2578718399999991</v>
      </c>
      <c r="AU17" s="12">
        <f t="shared" si="10"/>
        <v>17.918295119999996</v>
      </c>
      <c r="AV17">
        <f>_xlfn.XLOOKUP($A17, Constants!$F$8:$M$8,Constants!$F$12:$M$12)</f>
        <v>0.02</v>
      </c>
      <c r="AW17">
        <f>_xlfn.XLOOKUP($A17, Constants!$F$8:$M$8,Constants!$F$13:$M$13)</f>
        <v>0.01</v>
      </c>
      <c r="AX17">
        <f>_xlfn.XLOOKUP($A17, Constants!$F$8:$M$8,Constants!$F$15:$M$15)</f>
        <v>0.1</v>
      </c>
      <c r="AY17">
        <f>_xlfn.XLOOKUP($A17, Constants!$F$8:$M$8,Constants!$F$14:$M$14)</f>
        <v>0</v>
      </c>
      <c r="AZ17">
        <f>_xlfn.XLOOKUP($A17, Constants!$F$8:$M$8,Constants!$F$17:$M$17)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5.3753999999999981E-3</v>
      </c>
      <c r="BE17">
        <f t="shared" si="3"/>
        <v>4.7429999999999981E-3</v>
      </c>
      <c r="BF17">
        <f t="shared" si="4"/>
        <v>2.5295999999999995E-3</v>
      </c>
      <c r="BG17">
        <f t="shared" si="11"/>
        <v>1.2647999999999996E-2</v>
      </c>
      <c r="BH17">
        <f>(($BD17*Q17)+($BE17*V17)+($BF17*AA17))*AV17*$AH17*Constants!$I$2</f>
        <v>1.2355780607999999E-5</v>
      </c>
      <c r="BI17">
        <f>(($BD17*R17)+($BE17*W17)+($BF17*AB17))*AW17*$AH17*Constants!$I$2</f>
        <v>7.7223628799999983E-6</v>
      </c>
      <c r="BJ17">
        <f>(($BD17*S17)+($BE17*X17)+($BF17*AC17))*AX17*$AH17*Constants!$I$2</f>
        <v>6.1778903039999986E-5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12"/>
        <v>3.4750632959999996</v>
      </c>
      <c r="BN17">
        <f t="shared" si="13"/>
        <v>2.1719145599999994</v>
      </c>
      <c r="BO17">
        <f t="shared" si="14"/>
        <v>17.375316479999995</v>
      </c>
      <c r="BP17">
        <f t="shared" si="15"/>
        <v>0</v>
      </c>
      <c r="BQ17">
        <f t="shared" si="16"/>
        <v>0</v>
      </c>
      <c r="BR17">
        <f t="shared" si="17"/>
        <v>23.022294335999995</v>
      </c>
      <c r="BS17" s="12">
        <f t="shared" si="18"/>
        <v>40.940589455999991</v>
      </c>
    </row>
    <row r="18" spans="1:72" s="11" customFormat="1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 s="11">
        <f>_xlfn.XLOOKUP($A18, Constants!$F$8:$M$8,Constants!$F$9:$M$9)</f>
        <v>1.4999999999999999E-2</v>
      </c>
      <c r="AJ18" s="11">
        <f>_xlfn.XLOOKUP($A18, Constants!$F$8:$M$8,Constants!$F$10:$M$10)</f>
        <v>1.4999999999999999E-2</v>
      </c>
      <c r="AK18" s="11">
        <f>_xlfn.XLOOKUP($A18, Constants!$F$8:$M$8,Constants!$F$11:$M$11)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6"/>
        <v>6.5157436799999982</v>
      </c>
      <c r="AR18" s="16">
        <f t="shared" si="7"/>
        <v>4.8868077599999982</v>
      </c>
      <c r="AS18" s="16">
        <f t="shared" si="8"/>
        <v>3.2578718399999991</v>
      </c>
      <c r="AT18" s="16">
        <f t="shared" si="9"/>
        <v>3.2578718399999991</v>
      </c>
      <c r="AU18" s="16">
        <f t="shared" si="10"/>
        <v>17.918295119999996</v>
      </c>
      <c r="AV18" s="11">
        <f>_xlfn.XLOOKUP($A18, Constants!$F$8:$M$8,Constants!$F$12:$M$12)</f>
        <v>0.02</v>
      </c>
      <c r="AW18" s="11">
        <f>_xlfn.XLOOKUP($A18, Constants!$F$8:$M$8,Constants!$F$13:$M$13)</f>
        <v>0.01</v>
      </c>
      <c r="AX18" s="11">
        <f>_xlfn.XLOOKUP($A18, Constants!$F$8:$M$8,Constants!$F$15:$M$15)</f>
        <v>0.1</v>
      </c>
      <c r="AY18" s="11">
        <f>_xlfn.XLOOKUP($A18, Constants!$F$8:$M$8,Constants!$F$14:$M$14)</f>
        <v>0</v>
      </c>
      <c r="AZ18" s="11">
        <f>_xlfn.XLOOKUP($A18, Constants!$F$8:$M$8,Constants!$F$17:$M$17)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3"/>
        <v>4.7429999999999981E-3</v>
      </c>
      <c r="BF18" s="11">
        <f t="shared" si="4"/>
        <v>2.5295999999999995E-3</v>
      </c>
      <c r="BG18" s="11">
        <f t="shared" si="11"/>
        <v>1.2647999999999996E-2</v>
      </c>
      <c r="BH18" s="11">
        <f>(($BD18*Q18)+($BE18*V18)+($BF18*AA18))*AV18*$AH18*Constants!$I$2</f>
        <v>1.2355780607999999E-5</v>
      </c>
      <c r="BI18" s="11">
        <f>(($BD18*R18)+($BE18*W18)+($BF18*AB18))*AW18*$AH18*Constants!$I$2</f>
        <v>7.7223628799999983E-6</v>
      </c>
      <c r="BJ18" s="11">
        <f>(($BD18*S18)+($BE18*X18)+($BF18*AC18))*AX18*$AH18*Constants!$I$2</f>
        <v>6.1778903039999986E-5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12"/>
        <v>3.4750632959999996</v>
      </c>
      <c r="BN18">
        <f t="shared" si="13"/>
        <v>2.1719145599999994</v>
      </c>
      <c r="BO18">
        <f t="shared" si="14"/>
        <v>17.375316479999995</v>
      </c>
      <c r="BP18">
        <f t="shared" si="15"/>
        <v>0</v>
      </c>
      <c r="BQ18">
        <f t="shared" si="16"/>
        <v>0</v>
      </c>
      <c r="BR18">
        <f t="shared" si="17"/>
        <v>23.022294335999995</v>
      </c>
      <c r="BS18" s="12">
        <f t="shared" si="18"/>
        <v>40.940589455999991</v>
      </c>
    </row>
    <row r="19" spans="1:72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 t="shared" si="0"/>
        <v>1.4103999999999995E-2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_xlfn.XLOOKUP($A19, Constants!$F$8:$M$8,Constants!$F$9:$M$9)</f>
        <v>1.4999999999999999E-2</v>
      </c>
      <c r="AJ19">
        <f>_xlfn.XLOOKUP($A19, Constants!$F$8:$M$8,Constants!$F$10:$M$10)</f>
        <v>1.4999999999999999E-2</v>
      </c>
      <c r="AK19">
        <f>_xlfn.XLOOKUP($A19, Constants!$F$8:$M$8,Constants!$F$11:$M$11)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5.0376328703999986E-5</v>
      </c>
      <c r="AO19" s="12">
        <f>$AF19*$AH19*O19*AK19*Constants!$I$2</f>
        <v>0</v>
      </c>
      <c r="AP19" s="12">
        <f>$AF19*$AH19*P19*AL19*Constants!$I$2</f>
        <v>3.7315799039999991E-6</v>
      </c>
      <c r="AQ19" s="12">
        <f t="shared" si="6"/>
        <v>0</v>
      </c>
      <c r="AR19" s="12">
        <f t="shared" si="7"/>
        <v>18.637377696317948</v>
      </c>
      <c r="AS19" s="12">
        <f t="shared" si="8"/>
        <v>0</v>
      </c>
      <c r="AT19" s="12">
        <f t="shared" si="9"/>
        <v>1.3805464960235518</v>
      </c>
      <c r="AU19" s="12">
        <f t="shared" si="10"/>
        <v>20.0179241923415</v>
      </c>
      <c r="AV19">
        <f>_xlfn.XLOOKUP($A19, Constants!$F$8:$M$8,Constants!$F$12:$M$12)</f>
        <v>0.02</v>
      </c>
      <c r="AW19">
        <f>_xlfn.XLOOKUP($A19, Constants!$F$8:$M$8,Constants!$F$13:$M$13)</f>
        <v>5.0000000000000001E-3</v>
      </c>
      <c r="AX19">
        <f>_xlfn.XLOOKUP($A19, Constants!$F$8:$M$8,Constants!$F$15:$M$15)</f>
        <v>0.1</v>
      </c>
      <c r="AY19">
        <f>_xlfn.XLOOKUP($A19, Constants!$F$8:$M$8,Constants!$F$14:$M$14)</f>
        <v>0</v>
      </c>
      <c r="AZ19">
        <f>_xlfn.XLOOKUP($A19, Constants!$F$8:$M$8,Constants!$F$17:$M$17)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3"/>
        <v>1.2693599999999996E-2</v>
      </c>
      <c r="BF19">
        <f t="shared" si="4"/>
        <v>0</v>
      </c>
      <c r="BG19">
        <f t="shared" si="11"/>
        <v>1.2693599999999996E-2</v>
      </c>
      <c r="BH19">
        <f>(($BD19*Q19)+($BE19*V19)+($BF19*AA19))*AV19*$AH19*Constants!$I$2</f>
        <v>2.2837269012479995E-5</v>
      </c>
      <c r="BI19">
        <f>(($BD19*R19)+($BE19*W19)+($BF19*AB19))*AW19*$AH19*Constants!$I$2</f>
        <v>1.0075265740799997E-5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12"/>
        <v>8.448944555664136</v>
      </c>
      <c r="BN19">
        <f t="shared" si="13"/>
        <v>3.7274755392635894</v>
      </c>
      <c r="BO19">
        <f t="shared" si="14"/>
        <v>0</v>
      </c>
      <c r="BP19">
        <f t="shared" si="15"/>
        <v>0</v>
      </c>
      <c r="BQ19">
        <f t="shared" si="16"/>
        <v>0</v>
      </c>
      <c r="BR19">
        <f t="shared" si="17"/>
        <v>12.176420094927725</v>
      </c>
      <c r="BS19" s="12">
        <f t="shared" si="18"/>
        <v>32.194344287269224</v>
      </c>
      <c r="BT19">
        <f>SUM(BS19:BS22)/1000</f>
        <v>0.13441163322203981</v>
      </c>
    </row>
    <row r="20" spans="1:72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 t="shared" si="0"/>
        <v>1.6891999999999997E-2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_xlfn.XLOOKUP($A20, Constants!$F$8:$M$8,Constants!$F$9:$M$9)</f>
        <v>1.4999999999999999E-2</v>
      </c>
      <c r="AJ20">
        <f>_xlfn.XLOOKUP($A20, Constants!$F$8:$M$8,Constants!$F$10:$M$10)</f>
        <v>1.4999999999999999E-2</v>
      </c>
      <c r="AK20">
        <f>_xlfn.XLOOKUP($A20, Constants!$F$8:$M$8,Constants!$F$11:$M$11)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5.5693329407999986E-5</v>
      </c>
      <c r="AO20" s="12">
        <f>$AF20*$AH20*O20*AK20*Constants!$I$2</f>
        <v>0</v>
      </c>
      <c r="AP20" s="12">
        <f>$AF20*$AH20*P20*AL20*Constants!$I$2</f>
        <v>4.1254318079999997E-6</v>
      </c>
      <c r="AQ20" s="12">
        <f t="shared" si="6"/>
        <v>0</v>
      </c>
      <c r="AR20" s="12">
        <f t="shared" si="7"/>
        <v>20.604471227771899</v>
      </c>
      <c r="AS20" s="12">
        <f t="shared" si="8"/>
        <v>0</v>
      </c>
      <c r="AT20" s="12">
        <f t="shared" si="9"/>
        <v>1.5262571279831039</v>
      </c>
      <c r="AU20" s="12">
        <f t="shared" si="10"/>
        <v>22.130728355755004</v>
      </c>
      <c r="AV20">
        <f>_xlfn.XLOOKUP($A20, Constants!$F$8:$M$8,Constants!$F$12:$M$12)</f>
        <v>0.02</v>
      </c>
      <c r="AW20">
        <f>_xlfn.XLOOKUP($A20, Constants!$F$8:$M$8,Constants!$F$13:$M$13)</f>
        <v>5.0000000000000001E-3</v>
      </c>
      <c r="AX20">
        <f>_xlfn.XLOOKUP($A20, Constants!$F$8:$M$8,Constants!$F$15:$M$15)</f>
        <v>0.1</v>
      </c>
      <c r="AY20">
        <f>_xlfn.XLOOKUP($A20, Constants!$F$8:$M$8,Constants!$F$14:$M$14)</f>
        <v>0</v>
      </c>
      <c r="AZ20">
        <f>_xlfn.XLOOKUP($A20, Constants!$F$8:$M$8,Constants!$F$17:$M$17)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3"/>
        <v>1.5202799999999997E-2</v>
      </c>
      <c r="BF20">
        <f t="shared" si="4"/>
        <v>0</v>
      </c>
      <c r="BG20">
        <f t="shared" si="11"/>
        <v>1.5202799999999997E-2</v>
      </c>
      <c r="BH20">
        <f>(($BD20*Q20)+($BE20*V20)+($BF20*AA20))*AV20*$AH20*Constants!$I$2</f>
        <v>2.5247642664959993E-5</v>
      </c>
      <c r="BI20">
        <f>(($BD20*R20)+($BE20*W20)+($BF20*AB20))*AW20*$AH20*Constants!$I$2</f>
        <v>1.1138665881599999E-5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12"/>
        <v>9.3406936232565947</v>
      </c>
      <c r="BN20">
        <f t="shared" si="13"/>
        <v>4.1208942455543802</v>
      </c>
      <c r="BO20">
        <f t="shared" si="14"/>
        <v>0</v>
      </c>
      <c r="BP20">
        <f t="shared" si="15"/>
        <v>0</v>
      </c>
      <c r="BQ20">
        <f t="shared" si="16"/>
        <v>0</v>
      </c>
      <c r="BR20">
        <f t="shared" si="17"/>
        <v>13.461587868810975</v>
      </c>
      <c r="BS20" s="12">
        <f t="shared" si="18"/>
        <v>35.592316224565977</v>
      </c>
    </row>
    <row r="21" spans="1:72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 t="shared" si="0"/>
        <v>1.5809999999999994E-2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_xlfn.XLOOKUP($A21, Constants!$F$8:$M$8,Constants!$F$9:$M$9)</f>
        <v>1.4999999999999999E-2</v>
      </c>
      <c r="AJ21">
        <f>_xlfn.XLOOKUP($A21, Constants!$F$8:$M$8,Constants!$F$10:$M$10)</f>
        <v>1.4999999999999999E-2</v>
      </c>
      <c r="AK21">
        <f>_xlfn.XLOOKUP($A21, Constants!$F$8:$M$8,Constants!$F$11:$M$11)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5.2125949439999981E-5</v>
      </c>
      <c r="AO21" s="12">
        <f>$AF21*$AH21*O21*AK21*Constants!$I$2</f>
        <v>0</v>
      </c>
      <c r="AP21" s="12">
        <f>$AF21*$AH21*P21*AL21*Constants!$I$2</f>
        <v>3.8611814399999991E-6</v>
      </c>
      <c r="AQ21" s="12">
        <f t="shared" si="6"/>
        <v>0</v>
      </c>
      <c r="AR21" s="12">
        <f t="shared" si="7"/>
        <v>19.284672632670713</v>
      </c>
      <c r="AS21" s="12">
        <f t="shared" si="8"/>
        <v>0</v>
      </c>
      <c r="AT21" s="12">
        <f t="shared" si="9"/>
        <v>1.4284942690867197</v>
      </c>
      <c r="AU21" s="12">
        <f t="shared" si="10"/>
        <v>20.713166901757432</v>
      </c>
      <c r="AV21">
        <f>_xlfn.XLOOKUP($A21, Constants!$F$8:$M$8,Constants!$F$12:$M$12)</f>
        <v>0.02</v>
      </c>
      <c r="AW21">
        <f>_xlfn.XLOOKUP($A21, Constants!$F$8:$M$8,Constants!$F$13:$M$13)</f>
        <v>5.0000000000000001E-3</v>
      </c>
      <c r="AX21">
        <f>_xlfn.XLOOKUP($A21, Constants!$F$8:$M$8,Constants!$F$15:$M$15)</f>
        <v>0.1</v>
      </c>
      <c r="AY21">
        <f>_xlfn.XLOOKUP($A21, Constants!$F$8:$M$8,Constants!$F$14:$M$14)</f>
        <v>0</v>
      </c>
      <c r="AZ21">
        <f>_xlfn.XLOOKUP($A21, Constants!$F$8:$M$8,Constants!$F$17:$M$17)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3"/>
        <v>1.4228999999999995E-2</v>
      </c>
      <c r="BF21">
        <f t="shared" si="4"/>
        <v>0</v>
      </c>
      <c r="BG21">
        <f t="shared" si="11"/>
        <v>1.4228999999999995E-2</v>
      </c>
      <c r="BH21">
        <f>(($BD21*Q21)+($BE21*V21)+($BF21*AA21))*AV21*$AH21*Constants!$I$2</f>
        <v>2.3630430412799991E-5</v>
      </c>
      <c r="BI21">
        <f>(($BD21*R21)+($BE21*W21)+($BF21*AB21))*AW21*$AH21*Constants!$I$2</f>
        <v>1.0425189887999997E-5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12"/>
        <v>8.7423849268107237</v>
      </c>
      <c r="BN21">
        <f t="shared" si="13"/>
        <v>3.8569345265341428</v>
      </c>
      <c r="BO21">
        <f t="shared" si="14"/>
        <v>0</v>
      </c>
      <c r="BP21">
        <f t="shared" si="15"/>
        <v>0</v>
      </c>
      <c r="BQ21">
        <f t="shared" si="16"/>
        <v>0</v>
      </c>
      <c r="BR21">
        <f t="shared" si="17"/>
        <v>12.599319453344867</v>
      </c>
      <c r="BS21" s="12">
        <f t="shared" si="18"/>
        <v>33.312486355102301</v>
      </c>
    </row>
    <row r="22" spans="1:72" s="11" customFormat="1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 t="shared" si="0"/>
        <v>1.5809999999999994E-2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 s="11">
        <f>_xlfn.XLOOKUP($A22, Constants!$F$8:$M$8,Constants!$F$9:$M$9)</f>
        <v>1.4999999999999999E-2</v>
      </c>
      <c r="AJ22" s="11">
        <f>_xlfn.XLOOKUP($A22, Constants!$F$8:$M$8,Constants!$F$10:$M$10)</f>
        <v>1.4999999999999999E-2</v>
      </c>
      <c r="AK22" s="11">
        <f>_xlfn.XLOOKUP($A22, Constants!$F$8:$M$8,Constants!$F$11:$M$11)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5.2125949439999981E-5</v>
      </c>
      <c r="AO22" s="12">
        <f>$AF22*$AH22*O22*AK22*Constants!$I$2</f>
        <v>0</v>
      </c>
      <c r="AP22" s="12">
        <f>$AF22*$AH22*P22*AL22*Constants!$I$2</f>
        <v>3.8611814399999991E-6</v>
      </c>
      <c r="AQ22" s="16">
        <f t="shared" si="6"/>
        <v>0</v>
      </c>
      <c r="AR22" s="16">
        <f t="shared" si="7"/>
        <v>19.284672632670713</v>
      </c>
      <c r="AS22" s="16">
        <f t="shared" si="8"/>
        <v>0</v>
      </c>
      <c r="AT22" s="16">
        <f t="shared" si="9"/>
        <v>1.4284942690867197</v>
      </c>
      <c r="AU22" s="16">
        <f t="shared" si="10"/>
        <v>20.713166901757432</v>
      </c>
      <c r="AV22" s="11">
        <f>_xlfn.XLOOKUP($A22, Constants!$F$8:$M$8,Constants!$F$12:$M$12)</f>
        <v>0.02</v>
      </c>
      <c r="AW22" s="11">
        <f>_xlfn.XLOOKUP($A22, Constants!$F$8:$M$8,Constants!$F$13:$M$13)</f>
        <v>5.0000000000000001E-3</v>
      </c>
      <c r="AX22" s="11">
        <f>_xlfn.XLOOKUP($A22, Constants!$F$8:$M$8,Constants!$F$15:$M$15)</f>
        <v>0.1</v>
      </c>
      <c r="AY22" s="11">
        <f>_xlfn.XLOOKUP($A22, Constants!$F$8:$M$8,Constants!$F$14:$M$14)</f>
        <v>0</v>
      </c>
      <c r="AZ22" s="11">
        <f>_xlfn.XLOOKUP($A22, Constants!$F$8:$M$8,Constants!$F$17:$M$17)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3"/>
        <v>1.4228999999999995E-2</v>
      </c>
      <c r="BF22" s="11">
        <f t="shared" si="4"/>
        <v>0</v>
      </c>
      <c r="BG22" s="11">
        <f t="shared" si="11"/>
        <v>1.4228999999999995E-2</v>
      </c>
      <c r="BH22" s="11">
        <f>(($BD22*Q22)+($BE22*V22)+($BF22*AA22))*AV22*$AH22*Constants!$I$2</f>
        <v>2.3630430412799991E-5</v>
      </c>
      <c r="BI22" s="11">
        <f>(($BD22*R22)+($BE22*W22)+($BF22*AB22))*AW22*$AH22*Constants!$I$2</f>
        <v>1.0425189887999997E-5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12"/>
        <v>8.7423849268107237</v>
      </c>
      <c r="BN22">
        <f t="shared" si="13"/>
        <v>3.8569345265341428</v>
      </c>
      <c r="BO22">
        <f t="shared" si="14"/>
        <v>0</v>
      </c>
      <c r="BP22">
        <f t="shared" si="15"/>
        <v>0</v>
      </c>
      <c r="BQ22">
        <f t="shared" si="16"/>
        <v>0</v>
      </c>
      <c r="BR22">
        <f t="shared" si="17"/>
        <v>12.599319453344867</v>
      </c>
      <c r="BS22" s="12">
        <f t="shared" si="18"/>
        <v>33.312486355102301</v>
      </c>
    </row>
    <row r="23" spans="1:72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_xlfn.XLOOKUP($A23, Constants!$F$8:$M$8,Constants!$F$9:$M$9)</f>
        <v>1.4999999999999999E-2</v>
      </c>
      <c r="AJ23">
        <f>_xlfn.XLOOKUP($A23, Constants!$F$8:$M$8,Constants!$F$10:$M$10)</f>
        <v>1.4999999999999999E-2</v>
      </c>
      <c r="AK23">
        <f>_xlfn.XLOOKUP($A23, Constants!$F$8:$M$8,Constants!$F$11:$M$11)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6"/>
        <v>1.0360731603455997</v>
      </c>
      <c r="AR23" s="12">
        <f t="shared" si="7"/>
        <v>0</v>
      </c>
      <c r="AS23" s="12">
        <f t="shared" si="8"/>
        <v>0</v>
      </c>
      <c r="AT23" s="12">
        <f t="shared" si="9"/>
        <v>18.649316886220795</v>
      </c>
      <c r="AU23" s="12">
        <f t="shared" si="10"/>
        <v>19.685390046566393</v>
      </c>
      <c r="AV23">
        <f>_xlfn.XLOOKUP($A23, Constants!$F$8:$M$8,Constants!$F$12:$M$12)</f>
        <v>0.02</v>
      </c>
      <c r="AW23">
        <f>_xlfn.XLOOKUP($A23, Constants!$F$8:$M$8,Constants!$F$13:$M$13)</f>
        <v>0.01</v>
      </c>
      <c r="AX23">
        <f>_xlfn.XLOOKUP($A23, Constants!$F$8:$M$8,Constants!$F$15:$M$15)</f>
        <v>0.1</v>
      </c>
      <c r="AY23">
        <f>_xlfn.XLOOKUP($A23, Constants!$F$8:$M$8,Constants!$F$14:$M$14)</f>
        <v>0</v>
      </c>
      <c r="AZ23">
        <f>_xlfn.XLOOKUP($A23, Constants!$F$8:$M$8,Constants!$F$17:$M$17)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3"/>
        <v>0</v>
      </c>
      <c r="BF23">
        <f t="shared" si="4"/>
        <v>0</v>
      </c>
      <c r="BG23">
        <f t="shared" si="11"/>
        <v>1.1988399999999996E-3</v>
      </c>
      <c r="BH23">
        <f>(($BD23*Q23)+($BE23*V23)+($BF23*AA23))*AV23*$AH23*Constants!$I$2</f>
        <v>3.1718429183999993E-6</v>
      </c>
      <c r="BI23">
        <f>(($BD23*R23)+($BE23*W23)+($BF23*AB23))*AW23*$AH23*Constants!$I$2</f>
        <v>7.9296072959999984E-7</v>
      </c>
      <c r="BJ23">
        <f>(($BD23*S23)+($BE23*X23)+($BF23*AC23))*AX23*$AH23*Constants!$I$2</f>
        <v>7.9296072959999971E-6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12"/>
        <v>0.58710812419583991</v>
      </c>
      <c r="BN23">
        <f t="shared" si="13"/>
        <v>0.14677703104895998</v>
      </c>
      <c r="BO23">
        <f t="shared" si="14"/>
        <v>1.4677703104895994</v>
      </c>
      <c r="BP23">
        <f t="shared" si="15"/>
        <v>0</v>
      </c>
      <c r="BQ23">
        <f t="shared" si="16"/>
        <v>0</v>
      </c>
      <c r="BR23">
        <f t="shared" si="17"/>
        <v>2.2016554657343992</v>
      </c>
      <c r="BS23" s="12">
        <f t="shared" si="18"/>
        <v>21.887045512300794</v>
      </c>
      <c r="BT23">
        <f>SUM(BS23:BS26)/1000</f>
        <v>9.1378582134278366E-2</v>
      </c>
    </row>
    <row r="24" spans="1:72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_xlfn.XLOOKUP($A24, Constants!$F$8:$M$8,Constants!$F$9:$M$9)</f>
        <v>1.4999999999999999E-2</v>
      </c>
      <c r="AJ24">
        <f>_xlfn.XLOOKUP($A24, Constants!$F$8:$M$8,Constants!$F$10:$M$10)</f>
        <v>1.4999999999999999E-2</v>
      </c>
      <c r="AK24">
        <f>_xlfn.XLOOKUP($A24, Constants!$F$8:$M$8,Constants!$F$11:$M$11)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6"/>
        <v>1.1454261414911999</v>
      </c>
      <c r="AR24" s="12">
        <f t="shared" si="7"/>
        <v>0</v>
      </c>
      <c r="AS24" s="12">
        <f t="shared" si="8"/>
        <v>0</v>
      </c>
      <c r="AT24" s="12">
        <f t="shared" si="9"/>
        <v>20.617670546841595</v>
      </c>
      <c r="AU24" s="12">
        <f t="shared" si="10"/>
        <v>21.763096688332794</v>
      </c>
      <c r="AV24">
        <f>_xlfn.XLOOKUP($A24, Constants!$F$8:$M$8,Constants!$F$12:$M$12)</f>
        <v>0.02</v>
      </c>
      <c r="AW24">
        <f>_xlfn.XLOOKUP($A24, Constants!$F$8:$M$8,Constants!$F$13:$M$13)</f>
        <v>0.01</v>
      </c>
      <c r="AX24">
        <f>_xlfn.XLOOKUP($A24, Constants!$F$8:$M$8,Constants!$F$15:$M$15)</f>
        <v>0.1</v>
      </c>
      <c r="AY24">
        <f>_xlfn.XLOOKUP($A24, Constants!$F$8:$M$8,Constants!$F$14:$M$14)</f>
        <v>0</v>
      </c>
      <c r="AZ24">
        <f>_xlfn.XLOOKUP($A24, Constants!$F$8:$M$8,Constants!$F$17:$M$17)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3"/>
        <v>0</v>
      </c>
      <c r="BF24">
        <f t="shared" si="4"/>
        <v>0</v>
      </c>
      <c r="BG24">
        <f t="shared" si="11"/>
        <v>1.4358199999999998E-3</v>
      </c>
      <c r="BH24">
        <f>(($BD24*Q24)+($BE24*V24)+($BF24*AA24))*AV24*$AH24*Constants!$I$2</f>
        <v>3.5066170367999993E-6</v>
      </c>
      <c r="BI24">
        <f>(($BD24*R24)+($BE24*W24)+($BF24*AB24))*AW24*$AH24*Constants!$I$2</f>
        <v>8.7665425919999983E-7</v>
      </c>
      <c r="BJ24">
        <f>(($BD24*S24)+($BE24*X24)+($BF24*AC24))*AX24*$AH24*Constants!$I$2</f>
        <v>8.7665425919999985E-6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12"/>
        <v>0.64907481351167984</v>
      </c>
      <c r="BN24">
        <f t="shared" si="13"/>
        <v>0.16226870337791996</v>
      </c>
      <c r="BO24">
        <f t="shared" si="14"/>
        <v>1.6226870337791997</v>
      </c>
      <c r="BP24">
        <f t="shared" si="15"/>
        <v>0</v>
      </c>
      <c r="BQ24">
        <f t="shared" si="16"/>
        <v>0</v>
      </c>
      <c r="BR24">
        <f t="shared" si="17"/>
        <v>2.4340305506687994</v>
      </c>
      <c r="BS24" s="12">
        <f t="shared" si="18"/>
        <v>24.197127239001595</v>
      </c>
    </row>
    <row r="25" spans="1:72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_xlfn.XLOOKUP($A25, Constants!$F$8:$M$8,Constants!$F$9:$M$9)</f>
        <v>1.4999999999999999E-2</v>
      </c>
      <c r="AJ25">
        <f>_xlfn.XLOOKUP($A25, Constants!$F$8:$M$8,Constants!$F$10:$M$10)</f>
        <v>1.4999999999999999E-2</v>
      </c>
      <c r="AK25">
        <f>_xlfn.XLOOKUP($A25, Constants!$F$8:$M$8,Constants!$F$11:$M$11)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6"/>
        <v>1.0720570268159997</v>
      </c>
      <c r="AR25" s="12">
        <f t="shared" si="7"/>
        <v>0</v>
      </c>
      <c r="AS25" s="12">
        <f t="shared" si="8"/>
        <v>0</v>
      </c>
      <c r="AT25" s="12">
        <f t="shared" si="9"/>
        <v>19.29702648268799</v>
      </c>
      <c r="AU25" s="12">
        <f t="shared" si="10"/>
        <v>20.369083509503991</v>
      </c>
      <c r="AV25">
        <f>_xlfn.XLOOKUP($A25, Constants!$F$8:$M$8,Constants!$F$12:$M$12)</f>
        <v>0.02</v>
      </c>
      <c r="AW25">
        <f>_xlfn.XLOOKUP($A25, Constants!$F$8:$M$8,Constants!$F$13:$M$13)</f>
        <v>0.01</v>
      </c>
      <c r="AX25">
        <f>_xlfn.XLOOKUP($A25, Constants!$F$8:$M$8,Constants!$F$15:$M$15)</f>
        <v>0.1</v>
      </c>
      <c r="AY25">
        <f>_xlfn.XLOOKUP($A25, Constants!$F$8:$M$8,Constants!$F$14:$M$14)</f>
        <v>0</v>
      </c>
      <c r="AZ25">
        <f>_xlfn.XLOOKUP($A25, Constants!$F$8:$M$8,Constants!$F$17:$M$17)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3"/>
        <v>0</v>
      </c>
      <c r="BF25">
        <f t="shared" si="4"/>
        <v>0</v>
      </c>
      <c r="BG25">
        <f t="shared" si="11"/>
        <v>1.3438499999999995E-3</v>
      </c>
      <c r="BH25">
        <f>(($BD25*Q25)+($BE25*V25)+($BF25*AA25))*AV25*$AH25*Constants!$I$2</f>
        <v>3.2820042239999985E-6</v>
      </c>
      <c r="BI25">
        <f>(($BD25*R25)+($BE25*W25)+($BF25*AB25))*AW25*$AH25*Constants!$I$2</f>
        <v>8.2050105599999962E-7</v>
      </c>
      <c r="BJ25">
        <f>(($BD25*S25)+($BE25*X25)+($BF25*AC25))*AX25*$AH25*Constants!$I$2</f>
        <v>8.2050105599999979E-6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12"/>
        <v>0.6074989818623997</v>
      </c>
      <c r="BN25">
        <f t="shared" si="13"/>
        <v>0.15187474546559993</v>
      </c>
      <c r="BO25">
        <f t="shared" si="14"/>
        <v>1.5187474546559996</v>
      </c>
      <c r="BP25">
        <f t="shared" si="15"/>
        <v>0</v>
      </c>
      <c r="BQ25">
        <f t="shared" si="16"/>
        <v>0</v>
      </c>
      <c r="BR25">
        <f t="shared" si="17"/>
        <v>2.278121181983999</v>
      </c>
      <c r="BS25" s="12">
        <f t="shared" si="18"/>
        <v>22.647204691487989</v>
      </c>
    </row>
    <row r="26" spans="1:72" s="11" customFormat="1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 s="11">
        <f>_xlfn.XLOOKUP($A26, Constants!$F$8:$M$8,Constants!$F$9:$M$9)</f>
        <v>1.4999999999999999E-2</v>
      </c>
      <c r="AJ26" s="11">
        <f>_xlfn.XLOOKUP($A26, Constants!$F$8:$M$8,Constants!$F$10:$M$10)</f>
        <v>1.4999999999999999E-2</v>
      </c>
      <c r="AK26" s="11">
        <f>_xlfn.XLOOKUP($A26, Constants!$F$8:$M$8,Constants!$F$11:$M$11)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6"/>
        <v>1.0720570268159997</v>
      </c>
      <c r="AR26" s="16">
        <f t="shared" si="7"/>
        <v>0</v>
      </c>
      <c r="AS26" s="16">
        <f t="shared" si="8"/>
        <v>0</v>
      </c>
      <c r="AT26" s="16">
        <f t="shared" si="9"/>
        <v>19.29702648268799</v>
      </c>
      <c r="AU26" s="16">
        <f t="shared" si="10"/>
        <v>20.369083509503991</v>
      </c>
      <c r="AV26" s="11">
        <f>_xlfn.XLOOKUP($A26, Constants!$F$8:$M$8,Constants!$F$12:$M$12)</f>
        <v>0.02</v>
      </c>
      <c r="AW26" s="11">
        <f>_xlfn.XLOOKUP($A26, Constants!$F$8:$M$8,Constants!$F$13:$M$13)</f>
        <v>0.01</v>
      </c>
      <c r="AX26" s="11">
        <f>_xlfn.XLOOKUP($A26, Constants!$F$8:$M$8,Constants!$F$15:$M$15)</f>
        <v>0.1</v>
      </c>
      <c r="AY26" s="11">
        <f>_xlfn.XLOOKUP($A26, Constants!$F$8:$M$8,Constants!$F$14:$M$14)</f>
        <v>0</v>
      </c>
      <c r="AZ26" s="11">
        <f>_xlfn.XLOOKUP($A26, Constants!$F$8:$M$8,Constants!$F$17:$M$17)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3"/>
        <v>0</v>
      </c>
      <c r="BF26" s="11">
        <f t="shared" si="4"/>
        <v>0</v>
      </c>
      <c r="BG26" s="11">
        <f t="shared" si="11"/>
        <v>1.3438499999999995E-3</v>
      </c>
      <c r="BH26" s="11">
        <f>(($BD26*Q26)+($BE26*V26)+($BF26*AA26))*AV26*$AH26*Constants!$I$2</f>
        <v>3.2820042239999985E-6</v>
      </c>
      <c r="BI26" s="11">
        <f>(($BD26*R26)+($BE26*W26)+($BF26*AB26))*AW26*$AH26*Constants!$I$2</f>
        <v>8.2050105599999962E-7</v>
      </c>
      <c r="BJ26" s="11">
        <f>(($BD26*S26)+($BE26*X26)+($BF26*AC26))*AX26*$AH26*Constants!$I$2</f>
        <v>8.2050105599999979E-6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12"/>
        <v>0.6074989818623997</v>
      </c>
      <c r="BN26">
        <f t="shared" si="13"/>
        <v>0.15187474546559993</v>
      </c>
      <c r="BO26">
        <f t="shared" si="14"/>
        <v>1.5187474546559996</v>
      </c>
      <c r="BP26">
        <f t="shared" si="15"/>
        <v>0</v>
      </c>
      <c r="BQ26">
        <f t="shared" si="16"/>
        <v>0</v>
      </c>
      <c r="BR26">
        <f>SUM(BM26:BQ26)</f>
        <v>2.278121181983999</v>
      </c>
      <c r="BS26" s="12">
        <f t="shared" si="18"/>
        <v>22.647204691487989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I30"/>
  <sheetViews>
    <sheetView topLeftCell="BS7" workbookViewId="0">
      <selection activeCell="CA10" sqref="CA10:CB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AF4" t="s">
        <v>52</v>
      </c>
      <c r="AY4" t="s">
        <v>58</v>
      </c>
      <c r="AZ4" t="s">
        <v>58</v>
      </c>
      <c r="BA4" t="s">
        <v>58</v>
      </c>
      <c r="BF4" t="s">
        <v>58</v>
      </c>
    </row>
    <row r="5" spans="1:87" x14ac:dyDescent="0.2">
      <c r="K5" t="s">
        <v>0</v>
      </c>
      <c r="AF5" t="s">
        <v>0</v>
      </c>
      <c r="BF5" t="s">
        <v>103</v>
      </c>
    </row>
    <row r="6" spans="1:87" x14ac:dyDescent="0.2">
      <c r="BF6" t="s">
        <v>97</v>
      </c>
      <c r="BX6" t="s">
        <v>104</v>
      </c>
    </row>
    <row r="8" spans="1:87" x14ac:dyDescent="0.2">
      <c r="A8" t="s">
        <v>35</v>
      </c>
      <c r="B8" t="s">
        <v>43</v>
      </c>
      <c r="C8" t="s">
        <v>42</v>
      </c>
      <c r="D8" t="s">
        <v>62</v>
      </c>
      <c r="E8" t="s">
        <v>65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149</v>
      </c>
      <c r="V8" t="s">
        <v>150</v>
      </c>
      <c r="AA8" t="s">
        <v>60</v>
      </c>
      <c r="AF8" t="s">
        <v>47</v>
      </c>
    </row>
    <row r="10" spans="1:87" x14ac:dyDescent="0.2">
      <c r="A10" s="14" t="s">
        <v>26</v>
      </c>
      <c r="B10" s="14" t="s">
        <v>26</v>
      </c>
      <c r="C10" s="14"/>
      <c r="D10" s="14" t="s">
        <v>64</v>
      </c>
      <c r="E10" s="14" t="s">
        <v>66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95</v>
      </c>
      <c r="M10" s="14" t="s">
        <v>117</v>
      </c>
      <c r="N10" s="14" t="s">
        <v>116</v>
      </c>
      <c r="O10" s="14" t="s">
        <v>118</v>
      </c>
      <c r="P10" s="14" t="s">
        <v>119</v>
      </c>
      <c r="Q10" s="14" t="s">
        <v>121</v>
      </c>
      <c r="R10" s="14" t="s">
        <v>122</v>
      </c>
      <c r="S10" s="14" t="s">
        <v>123</v>
      </c>
      <c r="T10" s="14" t="s">
        <v>124</v>
      </c>
      <c r="U10" s="14" t="s">
        <v>125</v>
      </c>
      <c r="V10" s="14" t="s">
        <v>121</v>
      </c>
      <c r="W10" s="14" t="s">
        <v>122</v>
      </c>
      <c r="X10" s="14" t="s">
        <v>123</v>
      </c>
      <c r="Y10" s="14" t="s">
        <v>124</v>
      </c>
      <c r="Z10" s="14" t="s">
        <v>125</v>
      </c>
      <c r="AA10" s="14" t="s">
        <v>121</v>
      </c>
      <c r="AB10" s="14" t="s">
        <v>122</v>
      </c>
      <c r="AC10" s="14" t="s">
        <v>123</v>
      </c>
      <c r="AD10" s="14" t="s">
        <v>124</v>
      </c>
      <c r="AE10" s="14" t="s">
        <v>125</v>
      </c>
      <c r="AF10" s="1" t="s">
        <v>34</v>
      </c>
      <c r="AG10" s="1" t="s">
        <v>165</v>
      </c>
      <c r="AH10" s="1" t="s">
        <v>166</v>
      </c>
      <c r="AI10" s="1" t="s">
        <v>167</v>
      </c>
      <c r="AJ10" s="1" t="s">
        <v>168</v>
      </c>
      <c r="AK10" s="1" t="s">
        <v>161</v>
      </c>
      <c r="AL10" s="1" t="s">
        <v>162</v>
      </c>
      <c r="AM10" s="1" t="s">
        <v>163</v>
      </c>
      <c r="AN10" s="1" t="s">
        <v>164</v>
      </c>
      <c r="AO10" s="1" t="s">
        <v>173</v>
      </c>
      <c r="AP10" s="1" t="s">
        <v>172</v>
      </c>
      <c r="AQ10" s="1" t="s">
        <v>171</v>
      </c>
      <c r="AR10" s="1" t="s">
        <v>170</v>
      </c>
      <c r="AS10" s="1" t="s">
        <v>169</v>
      </c>
      <c r="AT10" s="1" t="s">
        <v>174</v>
      </c>
      <c r="AU10" s="1" t="s">
        <v>175</v>
      </c>
      <c r="AV10" s="1" t="s">
        <v>176</v>
      </c>
      <c r="AW10" s="1" t="s">
        <v>177</v>
      </c>
      <c r="AX10" s="1" t="s">
        <v>178</v>
      </c>
      <c r="AY10" s="1" t="s">
        <v>179</v>
      </c>
      <c r="AZ10" s="1" t="s">
        <v>180</v>
      </c>
      <c r="BA10" s="1" t="s">
        <v>96</v>
      </c>
      <c r="BB10" s="17" t="s">
        <v>181</v>
      </c>
      <c r="BC10" s="17" t="s">
        <v>182</v>
      </c>
      <c r="BD10" s="17" t="s">
        <v>183</v>
      </c>
      <c r="BE10" s="17" t="s">
        <v>184</v>
      </c>
      <c r="BF10" s="1" t="s">
        <v>185</v>
      </c>
      <c r="BG10" s="1" t="s">
        <v>186</v>
      </c>
      <c r="BH10" s="1" t="s">
        <v>187</v>
      </c>
      <c r="BI10" s="1" t="s">
        <v>188</v>
      </c>
      <c r="BJ10" s="1" t="s">
        <v>189</v>
      </c>
      <c r="BK10" s="1" t="s">
        <v>190</v>
      </c>
      <c r="BL10" s="1" t="s">
        <v>191</v>
      </c>
      <c r="BM10" s="1" t="s">
        <v>192</v>
      </c>
      <c r="BN10" s="1" t="s">
        <v>74</v>
      </c>
      <c r="BO10" s="1" t="s">
        <v>102</v>
      </c>
      <c r="BP10" s="10" t="s">
        <v>193</v>
      </c>
      <c r="BQ10" s="10" t="s">
        <v>194</v>
      </c>
      <c r="BR10" s="20" t="s">
        <v>195</v>
      </c>
      <c r="BS10" s="20" t="s">
        <v>196</v>
      </c>
      <c r="BT10" s="20" t="s">
        <v>197</v>
      </c>
      <c r="BU10" s="20" t="s">
        <v>199</v>
      </c>
      <c r="BV10" s="20" t="s">
        <v>200</v>
      </c>
      <c r="BW10" s="20" t="s">
        <v>198</v>
      </c>
      <c r="BX10" s="10" t="s">
        <v>202</v>
      </c>
      <c r="BY10" s="10" t="s">
        <v>201</v>
      </c>
      <c r="BZ10" s="10" t="s">
        <v>98</v>
      </c>
    </row>
    <row r="11" spans="1:8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IF(D11="", "", _xlfn.XLOOKUP('4.6.1.3'!D11, Constants!$I$5:$I$6, Constants!$J$5:$J$6))</f>
        <v>6.0000000000000001E-3</v>
      </c>
      <c r="BO11">
        <f>Constants!$J$2</f>
        <v>1.5714285714285714</v>
      </c>
      <c r="BP11">
        <f>BB11*AK11*$BO11</f>
        <v>6.6760571428571433E-2</v>
      </c>
      <c r="BQ11">
        <f t="shared" ref="BQ11:BS11" si="13">BC11*AL11*$BO11</f>
        <v>0.13352114285714287</v>
      </c>
      <c r="BR11">
        <f t="shared" si="13"/>
        <v>0.20028171428571429</v>
      </c>
      <c r="BS11">
        <f t="shared" si="13"/>
        <v>5.3408457142857158</v>
      </c>
      <c r="BT11">
        <f>BI11*AT11*$BO11</f>
        <v>0.22000946314285716</v>
      </c>
      <c r="BU11">
        <f t="shared" ref="BU11:BW11" si="14">BJ11*AU11*$BO11</f>
        <v>0.58669190171428576</v>
      </c>
      <c r="BV11">
        <f t="shared" si="14"/>
        <v>0</v>
      </c>
      <c r="BW11">
        <f t="shared" si="14"/>
        <v>0</v>
      </c>
      <c r="BX11">
        <f>BE11* BN11*BO11</f>
        <v>1.6022537142857147</v>
      </c>
      <c r="BY11">
        <f>SUM(BP11:BW11)</f>
        <v>6.5481105077142869</v>
      </c>
      <c r="BZ11">
        <f>SUM(BX11:BY14)/1000</f>
        <v>3.5761535964000009E-2</v>
      </c>
    </row>
    <row r="12" spans="1:8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>IF(D12="", "", _xlfn.XLOOKUP('4.6.1.3'!D12, Constants!$I$5:$I$6, Constants!$J$5:$J$6))</f>
        <v>6.0000000000000001E-3</v>
      </c>
      <c r="BO12">
        <f>Constants!$J$2</f>
        <v>1.5714285714285714</v>
      </c>
      <c r="BP12">
        <f t="shared" ref="BP12:BP26" si="17">BB12*AK12*$BO12</f>
        <v>8.3647771428571438E-2</v>
      </c>
      <c r="BQ12">
        <f t="shared" ref="BQ12:BQ26" si="18">BC12*AL12*$BO12</f>
        <v>0.16729554285714288</v>
      </c>
      <c r="BR12">
        <f t="shared" ref="BR12:BR26" si="19">BD12*AM12*$BO12</f>
        <v>0.25094331428571426</v>
      </c>
      <c r="BS12">
        <f t="shared" ref="BS12:BS26" si="20">BE12*AN12*$BO12</f>
        <v>6.6918217142857142</v>
      </c>
      <c r="BT12">
        <f t="shared" ref="BT12:BT26" si="21">BI12*AT12*$BO12</f>
        <v>0.27566123074285709</v>
      </c>
      <c r="BU12">
        <f t="shared" ref="BU12:BU26" si="22">BJ12*AU12*$BO12</f>
        <v>0.73509661531428572</v>
      </c>
      <c r="BV12">
        <f t="shared" ref="BV12:BV26" si="23">BK12*AV12*$BO12</f>
        <v>0</v>
      </c>
      <c r="BW12">
        <f t="shared" ref="BW12:BW26" si="24">BL12*AW12*$BO12</f>
        <v>0</v>
      </c>
      <c r="BX12">
        <f t="shared" ref="BX12:BX26" si="25">BE12* BN12*BO12</f>
        <v>2.0075465142857145</v>
      </c>
      <c r="BY12">
        <f t="shared" ref="BY12:BY26" si="26">SUM(BP12:BW12)</f>
        <v>8.2044661889142851</v>
      </c>
    </row>
    <row r="13" spans="1:8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>IF(D13="", "", _xlfn.XLOOKUP('4.6.1.3'!D13, Constants!$I$5:$I$6, Constants!$J$5:$J$6))</f>
        <v>6.0000000000000001E-3</v>
      </c>
      <c r="BO13">
        <f>Constants!$J$2</f>
        <v>1.5714285714285714</v>
      </c>
      <c r="BP13">
        <f t="shared" si="17"/>
        <v>7.1259257142857135E-2</v>
      </c>
      <c r="BQ13">
        <f t="shared" si="18"/>
        <v>0.14251851428571427</v>
      </c>
      <c r="BR13">
        <f t="shared" si="19"/>
        <v>0.21377777142857138</v>
      </c>
      <c r="BS13">
        <f t="shared" si="20"/>
        <v>5.7007405714285717</v>
      </c>
      <c r="BT13">
        <f t="shared" si="21"/>
        <v>0.2348348819142857</v>
      </c>
      <c r="BU13">
        <f t="shared" si="22"/>
        <v>0.62622635177142871</v>
      </c>
      <c r="BV13">
        <f t="shared" si="23"/>
        <v>0</v>
      </c>
      <c r="BW13">
        <f t="shared" si="24"/>
        <v>0</v>
      </c>
      <c r="BX13">
        <f t="shared" si="25"/>
        <v>1.7102221714285715</v>
      </c>
      <c r="BY13">
        <f t="shared" si="26"/>
        <v>6.9893573479714295</v>
      </c>
    </row>
    <row r="14" spans="1:87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>IF(D14="", "", _xlfn.XLOOKUP('4.6.1.3'!D14, Constants!$I$5:$I$6, Constants!$J$5:$J$6))</f>
        <v>6.0000000000000001E-3</v>
      </c>
      <c r="BO14">
        <f>Constants!$J$2</f>
        <v>1.5714285714285714</v>
      </c>
      <c r="BP14">
        <f t="shared" si="17"/>
        <v>7.1259257142857135E-2</v>
      </c>
      <c r="BQ14">
        <f t="shared" si="18"/>
        <v>0.14251851428571427</v>
      </c>
      <c r="BR14">
        <f t="shared" si="19"/>
        <v>0.21377777142857138</v>
      </c>
      <c r="BS14">
        <f t="shared" si="20"/>
        <v>5.7007405714285717</v>
      </c>
      <c r="BT14">
        <f t="shared" si="21"/>
        <v>0.2348348819142857</v>
      </c>
      <c r="BU14">
        <f t="shared" si="22"/>
        <v>0.62622635177142871</v>
      </c>
      <c r="BV14">
        <f t="shared" si="23"/>
        <v>0</v>
      </c>
      <c r="BW14">
        <f t="shared" si="24"/>
        <v>0</v>
      </c>
      <c r="BX14">
        <f t="shared" si="25"/>
        <v>1.7102221714285715</v>
      </c>
      <c r="BY14">
        <f t="shared" si="26"/>
        <v>6.9893573479714295</v>
      </c>
    </row>
    <row r="15" spans="1:87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>IF(D15="", "", _xlfn.XLOOKUP('4.6.1.3'!D15, Constants!$I$5:$I$6, Constants!$J$5:$J$6))</f>
        <v>2E-3</v>
      </c>
      <c r="BO15">
        <f>Constants!$J$2</f>
        <v>1.5714285714285714</v>
      </c>
      <c r="BP15">
        <f t="shared" si="17"/>
        <v>0.30042257142857148</v>
      </c>
      <c r="BQ15">
        <f t="shared" si="18"/>
        <v>0.22531692857142857</v>
      </c>
      <c r="BR15">
        <f t="shared" si="19"/>
        <v>0.15021128571428574</v>
      </c>
      <c r="BS15">
        <f t="shared" si="20"/>
        <v>1.5021128571428572</v>
      </c>
      <c r="BT15">
        <f t="shared" si="21"/>
        <v>0.51379770278571424</v>
      </c>
      <c r="BU15">
        <f t="shared" si="22"/>
        <v>1.2844942569642859</v>
      </c>
      <c r="BV15">
        <f t="shared" si="23"/>
        <v>0</v>
      </c>
      <c r="BW15">
        <f t="shared" si="24"/>
        <v>0</v>
      </c>
      <c r="BX15">
        <f t="shared" si="25"/>
        <v>0.15021128571428574</v>
      </c>
      <c r="BY15">
        <f t="shared" si="26"/>
        <v>3.9763556026071432</v>
      </c>
      <c r="BZ15">
        <f>SUM(BX15:BY18)/1000</f>
        <v>1.8106230122357146E-2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>IF(D16="", "", _xlfn.XLOOKUP('4.6.1.3'!D16, Constants!$I$5:$I$6, Constants!$J$5:$J$6))</f>
        <v>2E-3</v>
      </c>
      <c r="BO16">
        <f>Constants!$J$2</f>
        <v>1.5714285714285714</v>
      </c>
      <c r="BP16">
        <f t="shared" si="17"/>
        <v>0.37641497142857139</v>
      </c>
      <c r="BQ16">
        <f t="shared" si="18"/>
        <v>0.28231122857142849</v>
      </c>
      <c r="BR16">
        <f t="shared" si="19"/>
        <v>0.18820748571428569</v>
      </c>
      <c r="BS16">
        <f t="shared" si="20"/>
        <v>1.8820748571428572</v>
      </c>
      <c r="BT16">
        <f t="shared" si="21"/>
        <v>0.64376370488571411</v>
      </c>
      <c r="BU16">
        <f t="shared" si="22"/>
        <v>1.6094092622142855</v>
      </c>
      <c r="BV16">
        <f t="shared" si="23"/>
        <v>0</v>
      </c>
      <c r="BW16">
        <f t="shared" si="24"/>
        <v>0</v>
      </c>
      <c r="BX16">
        <f t="shared" si="25"/>
        <v>0.18820748571428569</v>
      </c>
      <c r="BY16">
        <f t="shared" si="26"/>
        <v>4.982181509957142</v>
      </c>
    </row>
    <row r="17" spans="1:87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>IF(D17="", "", _xlfn.XLOOKUP('4.6.1.3'!D17, Constants!$I$5:$I$6, Constants!$J$5:$J$6))</f>
        <v>2E-3</v>
      </c>
      <c r="BO17">
        <f>Constants!$J$2</f>
        <v>1.5714285714285714</v>
      </c>
      <c r="BP17">
        <f t="shared" si="17"/>
        <v>0.32066665714285719</v>
      </c>
      <c r="BQ17">
        <f t="shared" si="18"/>
        <v>0.24049999285714285</v>
      </c>
      <c r="BR17">
        <f t="shared" si="19"/>
        <v>0.1603333285714286</v>
      </c>
      <c r="BS17">
        <f t="shared" si="20"/>
        <v>1.6033332857142859</v>
      </c>
      <c r="BT17">
        <f t="shared" si="21"/>
        <v>0.54842015037857139</v>
      </c>
      <c r="BU17">
        <f t="shared" si="22"/>
        <v>1.3710503759464283</v>
      </c>
      <c r="BV17">
        <f t="shared" si="23"/>
        <v>0</v>
      </c>
      <c r="BW17">
        <f t="shared" si="24"/>
        <v>0</v>
      </c>
      <c r="BX17">
        <f t="shared" si="25"/>
        <v>0.1603333285714286</v>
      </c>
      <c r="BY17">
        <f t="shared" si="26"/>
        <v>4.2443037906107142</v>
      </c>
    </row>
    <row r="18" spans="1:87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>IF(D18="", "", _xlfn.XLOOKUP('4.6.1.3'!D18, Constants!$I$5:$I$6, Constants!$J$5:$J$6))</f>
        <v>2E-3</v>
      </c>
      <c r="BO18">
        <f>Constants!$J$2</f>
        <v>1.5714285714285714</v>
      </c>
      <c r="BP18">
        <f t="shared" si="17"/>
        <v>0.32066665714285719</v>
      </c>
      <c r="BQ18">
        <f t="shared" si="18"/>
        <v>0.24049999285714285</v>
      </c>
      <c r="BR18">
        <f t="shared" si="19"/>
        <v>0.1603333285714286</v>
      </c>
      <c r="BS18">
        <f t="shared" si="20"/>
        <v>1.6033332857142859</v>
      </c>
      <c r="BT18">
        <f t="shared" si="21"/>
        <v>0.54842015037857139</v>
      </c>
      <c r="BU18">
        <f t="shared" si="22"/>
        <v>1.3710503759464283</v>
      </c>
      <c r="BV18">
        <f t="shared" si="23"/>
        <v>0</v>
      </c>
      <c r="BW18">
        <f t="shared" si="24"/>
        <v>0</v>
      </c>
      <c r="BX18">
        <f t="shared" si="25"/>
        <v>0.1603333285714286</v>
      </c>
      <c r="BY18">
        <f t="shared" si="26"/>
        <v>4.2443037906107142</v>
      </c>
    </row>
    <row r="19" spans="1:87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>IF(D19="", "", _xlfn.XLOOKUP('4.6.1.3'!D19, Constants!$I$5:$I$6, Constants!$J$5:$J$6))</f>
        <v>6.0000000000000001E-3</v>
      </c>
      <c r="BO19">
        <f>Constants!$J$2</f>
        <v>1.5714285714285714</v>
      </c>
      <c r="BP19">
        <f t="shared" si="17"/>
        <v>0</v>
      </c>
      <c r="BQ19">
        <f t="shared" si="18"/>
        <v>0.88916188634742876</v>
      </c>
      <c r="BR19">
        <f t="shared" si="19"/>
        <v>0</v>
      </c>
      <c r="BS19">
        <f t="shared" si="20"/>
        <v>1.9759153029942862</v>
      </c>
      <c r="BT19">
        <f t="shared" si="21"/>
        <v>1.4344848712443068</v>
      </c>
      <c r="BU19">
        <f t="shared" si="22"/>
        <v>5.0628877808622592</v>
      </c>
      <c r="BV19">
        <f t="shared" si="23"/>
        <v>0</v>
      </c>
      <c r="BW19">
        <f t="shared" si="24"/>
        <v>0</v>
      </c>
      <c r="BX19">
        <f t="shared" si="25"/>
        <v>0.59277459089828577</v>
      </c>
      <c r="BY19">
        <f t="shared" si="26"/>
        <v>9.3624498414482815</v>
      </c>
      <c r="BZ19">
        <f>SUM(BX19:BY22)/1000</f>
        <v>4.3680761604012297E-2</v>
      </c>
    </row>
    <row r="20" spans="1:87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>IF(D20="", "", _xlfn.XLOOKUP('4.6.1.3'!D20, Constants!$I$5:$I$6, Constants!$J$5:$J$6))</f>
        <v>6.0000000000000001E-3</v>
      </c>
      <c r="BO20">
        <f>Constants!$J$2</f>
        <v>1.5714285714285714</v>
      </c>
      <c r="BP20">
        <f t="shared" si="17"/>
        <v>0</v>
      </c>
      <c r="BQ20">
        <f t="shared" si="18"/>
        <v>1.1140768965970282</v>
      </c>
      <c r="BR20">
        <f t="shared" si="19"/>
        <v>0</v>
      </c>
      <c r="BS20">
        <f t="shared" si="20"/>
        <v>2.4757264368822853</v>
      </c>
      <c r="BT20">
        <f t="shared" si="21"/>
        <v>1.7973402572799859</v>
      </c>
      <c r="BU20">
        <f t="shared" si="22"/>
        <v>6.34355384922348</v>
      </c>
      <c r="BV20">
        <f t="shared" si="23"/>
        <v>0</v>
      </c>
      <c r="BW20">
        <f t="shared" si="24"/>
        <v>0</v>
      </c>
      <c r="BX20">
        <f t="shared" si="25"/>
        <v>0.74271793106468564</v>
      </c>
      <c r="BY20">
        <f t="shared" si="26"/>
        <v>11.73069743998278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>IF(D21="", "", _xlfn.XLOOKUP('4.6.1.3'!D21, Constants!$I$5:$I$6, Constants!$J$5:$J$6))</f>
        <v>6.0000000000000001E-3</v>
      </c>
      <c r="BO21">
        <f>Constants!$J$2</f>
        <v>1.5714285714285714</v>
      </c>
      <c r="BP21">
        <f t="shared" si="17"/>
        <v>0</v>
      </c>
      <c r="BQ21">
        <f t="shared" si="18"/>
        <v>0.94907838781234299</v>
      </c>
      <c r="BR21">
        <f t="shared" si="19"/>
        <v>0</v>
      </c>
      <c r="BS21">
        <f t="shared" si="20"/>
        <v>2.1090630840274289</v>
      </c>
      <c r="BT21">
        <f t="shared" si="21"/>
        <v>1.5311481630576531</v>
      </c>
      <c r="BU21">
        <f t="shared" si="22"/>
        <v>5.4040523402034806</v>
      </c>
      <c r="BV21">
        <f t="shared" si="23"/>
        <v>0</v>
      </c>
      <c r="BW21">
        <f t="shared" si="24"/>
        <v>0</v>
      </c>
      <c r="BX21">
        <f t="shared" si="25"/>
        <v>0.63271892520822859</v>
      </c>
      <c r="BY21">
        <f t="shared" si="26"/>
        <v>9.9933419751009041</v>
      </c>
    </row>
    <row r="22" spans="1:87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>IF(D22="", "", _xlfn.XLOOKUP('4.6.1.3'!D22, Constants!$I$5:$I$6, Constants!$J$5:$J$6))</f>
        <v>6.0000000000000001E-3</v>
      </c>
      <c r="BO22">
        <f>Constants!$J$2</f>
        <v>1.5714285714285714</v>
      </c>
      <c r="BP22">
        <f t="shared" si="17"/>
        <v>0</v>
      </c>
      <c r="BQ22">
        <f t="shared" si="18"/>
        <v>0.94907838781234299</v>
      </c>
      <c r="BR22">
        <f t="shared" si="19"/>
        <v>0</v>
      </c>
      <c r="BS22">
        <f t="shared" si="20"/>
        <v>2.1090630840274289</v>
      </c>
      <c r="BT22">
        <f t="shared" si="21"/>
        <v>1.5311481630576531</v>
      </c>
      <c r="BU22">
        <f t="shared" si="22"/>
        <v>5.4040523402034806</v>
      </c>
      <c r="BV22">
        <f t="shared" si="23"/>
        <v>0</v>
      </c>
      <c r="BW22">
        <f t="shared" si="24"/>
        <v>0</v>
      </c>
      <c r="BX22">
        <f t="shared" si="25"/>
        <v>0.63271892520822859</v>
      </c>
      <c r="BY22">
        <f t="shared" si="26"/>
        <v>9.9933419751009041</v>
      </c>
    </row>
    <row r="23" spans="1:87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>IF(D23="", "", _xlfn.XLOOKUP('4.6.1.3'!D23, Constants!$I$5:$I$6, Constants!$J$5:$J$6))</f>
        <v>2E-3</v>
      </c>
      <c r="BO23">
        <f>Constants!$J$2</f>
        <v>1.5714285714285714</v>
      </c>
      <c r="BP23">
        <f t="shared" si="17"/>
        <v>4.9429527085714298E-2</v>
      </c>
      <c r="BQ23">
        <f t="shared" si="18"/>
        <v>0</v>
      </c>
      <c r="BR23">
        <f t="shared" si="19"/>
        <v>0</v>
      </c>
      <c r="BS23">
        <f t="shared" si="20"/>
        <v>8.897314875428572</v>
      </c>
      <c r="BT23">
        <f t="shared" si="21"/>
        <v>8.637809858228572E-2</v>
      </c>
      <c r="BU23">
        <f t="shared" si="22"/>
        <v>8.637809858228572E-2</v>
      </c>
      <c r="BV23">
        <f t="shared" si="23"/>
        <v>0</v>
      </c>
      <c r="BW23">
        <f t="shared" si="24"/>
        <v>0</v>
      </c>
      <c r="BX23">
        <f t="shared" si="25"/>
        <v>0.88973148754285736</v>
      </c>
      <c r="BY23">
        <f t="shared" si="26"/>
        <v>9.1195005996788563</v>
      </c>
      <c r="BZ23">
        <f>SUM(BX23:BY26)/1000</f>
        <v>4.3917732203060569E-2</v>
      </c>
    </row>
    <row r="24" spans="1:87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>IF(D24="", "", _xlfn.XLOOKUP('4.6.1.3'!D24, Constants!$I$5:$I$6, Constants!$J$5:$J$6))</f>
        <v>2E-3</v>
      </c>
      <c r="BO24">
        <f>Constants!$J$2</f>
        <v>1.5714285714285714</v>
      </c>
      <c r="BP24">
        <f t="shared" si="17"/>
        <v>6.1932809965714278E-2</v>
      </c>
      <c r="BQ24">
        <f t="shared" si="18"/>
        <v>0</v>
      </c>
      <c r="BR24">
        <f t="shared" si="19"/>
        <v>0</v>
      </c>
      <c r="BS24">
        <f t="shared" si="20"/>
        <v>11.147905793828571</v>
      </c>
      <c r="BT24">
        <f t="shared" si="21"/>
        <v>0.10822758541508568</v>
      </c>
      <c r="BU24">
        <f t="shared" si="22"/>
        <v>0.10822758541508568</v>
      </c>
      <c r="BV24">
        <f t="shared" si="23"/>
        <v>0</v>
      </c>
      <c r="BW24">
        <f t="shared" si="24"/>
        <v>0</v>
      </c>
      <c r="BX24">
        <f t="shared" si="25"/>
        <v>1.114790579382857</v>
      </c>
      <c r="BY24">
        <f t="shared" si="26"/>
        <v>11.426293774624458</v>
      </c>
    </row>
    <row r="25" spans="1:87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>IF(D25="", "", _xlfn.XLOOKUP('4.6.1.3'!D25, Constants!$I$5:$I$6, Constants!$J$5:$J$6))</f>
        <v>2E-3</v>
      </c>
      <c r="BO25">
        <f>Constants!$J$2</f>
        <v>1.5714285714285714</v>
      </c>
      <c r="BP25">
        <f t="shared" si="17"/>
        <v>5.2760353988571415E-2</v>
      </c>
      <c r="BQ25">
        <f t="shared" si="18"/>
        <v>0</v>
      </c>
      <c r="BR25">
        <f t="shared" si="19"/>
        <v>0</v>
      </c>
      <c r="BS25">
        <f t="shared" si="20"/>
        <v>9.4968637179428566</v>
      </c>
      <c r="BT25">
        <f t="shared" si="21"/>
        <v>9.2198718595028567E-2</v>
      </c>
      <c r="BU25">
        <f t="shared" si="22"/>
        <v>9.2198718595028567E-2</v>
      </c>
      <c r="BV25">
        <f t="shared" si="23"/>
        <v>0</v>
      </c>
      <c r="BW25">
        <f t="shared" si="24"/>
        <v>0</v>
      </c>
      <c r="BX25">
        <f t="shared" si="25"/>
        <v>0.94968637179428561</v>
      </c>
      <c r="BY25">
        <f t="shared" si="26"/>
        <v>9.7340215091214848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>IF(D26="", "", _xlfn.XLOOKUP('4.6.1.3'!D26, Constants!$I$5:$I$6, Constants!$J$5:$J$6))</f>
        <v>2E-3</v>
      </c>
      <c r="BO26">
        <f>Constants!$J$2</f>
        <v>1.5714285714285714</v>
      </c>
      <c r="BP26">
        <f t="shared" si="17"/>
        <v>5.2760353988571415E-2</v>
      </c>
      <c r="BQ26">
        <f t="shared" si="18"/>
        <v>0</v>
      </c>
      <c r="BR26">
        <f t="shared" si="19"/>
        <v>0</v>
      </c>
      <c r="BS26">
        <f t="shared" si="20"/>
        <v>9.4968637179428566</v>
      </c>
      <c r="BT26">
        <f t="shared" si="21"/>
        <v>9.2198718595028567E-2</v>
      </c>
      <c r="BU26">
        <f t="shared" si="22"/>
        <v>9.2198718595028567E-2</v>
      </c>
      <c r="BV26">
        <f t="shared" si="23"/>
        <v>0</v>
      </c>
      <c r="BW26">
        <f t="shared" si="24"/>
        <v>0</v>
      </c>
      <c r="BX26">
        <f t="shared" si="25"/>
        <v>0.94968637179428561</v>
      </c>
      <c r="BY26">
        <f t="shared" si="26"/>
        <v>9.7340215091214848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CJ30"/>
  <sheetViews>
    <sheetView topLeftCell="BR7" workbookViewId="0">
      <selection activeCell="BX10" sqref="BX10:BY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AF4" t="s">
        <v>52</v>
      </c>
      <c r="AY4" t="s">
        <v>58</v>
      </c>
      <c r="AZ4" t="s">
        <v>58</v>
      </c>
      <c r="BA4" t="s">
        <v>58</v>
      </c>
      <c r="BF4" t="s">
        <v>58</v>
      </c>
    </row>
    <row r="5" spans="1:88" x14ac:dyDescent="0.2">
      <c r="K5" t="s">
        <v>0</v>
      </c>
      <c r="AF5" t="s">
        <v>0</v>
      </c>
      <c r="BF5" t="s">
        <v>103</v>
      </c>
    </row>
    <row r="6" spans="1:88" x14ac:dyDescent="0.2">
      <c r="BF6" t="s">
        <v>97</v>
      </c>
    </row>
    <row r="8" spans="1:88" x14ac:dyDescent="0.2">
      <c r="A8" t="s">
        <v>35</v>
      </c>
      <c r="B8" t="s">
        <v>43</v>
      </c>
      <c r="C8" t="s">
        <v>42</v>
      </c>
      <c r="D8" t="s">
        <v>62</v>
      </c>
      <c r="E8" t="s">
        <v>65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149</v>
      </c>
      <c r="V8" t="s">
        <v>150</v>
      </c>
      <c r="AA8" t="s">
        <v>60</v>
      </c>
      <c r="AF8" t="s">
        <v>47</v>
      </c>
    </row>
    <row r="10" spans="1:88" x14ac:dyDescent="0.2">
      <c r="A10" s="14" t="s">
        <v>26</v>
      </c>
      <c r="B10" s="14" t="s">
        <v>26</v>
      </c>
      <c r="C10" s="14"/>
      <c r="D10" s="14" t="s">
        <v>64</v>
      </c>
      <c r="E10" s="14" t="s">
        <v>66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95</v>
      </c>
      <c r="M10" s="14" t="s">
        <v>117</v>
      </c>
      <c r="N10" s="14" t="s">
        <v>116</v>
      </c>
      <c r="O10" s="14" t="s">
        <v>118</v>
      </c>
      <c r="P10" s="14" t="s">
        <v>119</v>
      </c>
      <c r="Q10" s="14" t="s">
        <v>121</v>
      </c>
      <c r="R10" s="14" t="s">
        <v>122</v>
      </c>
      <c r="S10" s="14" t="s">
        <v>123</v>
      </c>
      <c r="T10" s="14" t="s">
        <v>124</v>
      </c>
      <c r="U10" s="14" t="s">
        <v>125</v>
      </c>
      <c r="V10" s="14" t="s">
        <v>121</v>
      </c>
      <c r="W10" s="14" t="s">
        <v>122</v>
      </c>
      <c r="X10" s="14" t="s">
        <v>123</v>
      </c>
      <c r="Y10" s="14" t="s">
        <v>124</v>
      </c>
      <c r="Z10" s="14" t="s">
        <v>125</v>
      </c>
      <c r="AA10" s="14" t="s">
        <v>121</v>
      </c>
      <c r="AB10" s="14" t="s">
        <v>122</v>
      </c>
      <c r="AC10" s="14" t="s">
        <v>123</v>
      </c>
      <c r="AD10" s="14" t="s">
        <v>124</v>
      </c>
      <c r="AE10" s="14" t="s">
        <v>125</v>
      </c>
      <c r="AF10" s="1" t="s">
        <v>34</v>
      </c>
      <c r="AG10" s="1" t="s">
        <v>165</v>
      </c>
      <c r="AH10" s="1" t="s">
        <v>166</v>
      </c>
      <c r="AI10" s="1" t="s">
        <v>167</v>
      </c>
      <c r="AJ10" s="1" t="s">
        <v>168</v>
      </c>
      <c r="AK10" s="1" t="s">
        <v>161</v>
      </c>
      <c r="AL10" s="1" t="s">
        <v>162</v>
      </c>
      <c r="AM10" s="1" t="s">
        <v>163</v>
      </c>
      <c r="AN10" s="1" t="s">
        <v>164</v>
      </c>
      <c r="AO10" s="1" t="s">
        <v>173</v>
      </c>
      <c r="AP10" s="1" t="s">
        <v>172</v>
      </c>
      <c r="AQ10" s="1" t="s">
        <v>171</v>
      </c>
      <c r="AR10" s="1" t="s">
        <v>170</v>
      </c>
      <c r="AS10" s="1" t="s">
        <v>169</v>
      </c>
      <c r="AT10" s="1" t="s">
        <v>174</v>
      </c>
      <c r="AU10" s="1" t="s">
        <v>175</v>
      </c>
      <c r="AV10" s="1" t="s">
        <v>176</v>
      </c>
      <c r="AW10" s="1" t="s">
        <v>177</v>
      </c>
      <c r="AX10" s="1" t="s">
        <v>178</v>
      </c>
      <c r="AY10" s="1" t="s">
        <v>179</v>
      </c>
      <c r="AZ10" s="1" t="s">
        <v>180</v>
      </c>
      <c r="BA10" s="1" t="s">
        <v>96</v>
      </c>
      <c r="BB10" s="17" t="s">
        <v>181</v>
      </c>
      <c r="BC10" s="17" t="s">
        <v>182</v>
      </c>
      <c r="BD10" s="17" t="s">
        <v>183</v>
      </c>
      <c r="BE10" s="17" t="s">
        <v>184</v>
      </c>
      <c r="BF10" s="1" t="s">
        <v>185</v>
      </c>
      <c r="BG10" s="1" t="s">
        <v>186</v>
      </c>
      <c r="BH10" s="1" t="s">
        <v>187</v>
      </c>
      <c r="BI10" s="1" t="s">
        <v>188</v>
      </c>
      <c r="BJ10" s="1" t="s">
        <v>189</v>
      </c>
      <c r="BK10" s="1" t="s">
        <v>190</v>
      </c>
      <c r="BL10" s="1" t="s">
        <v>191</v>
      </c>
      <c r="BM10" s="1" t="s">
        <v>192</v>
      </c>
      <c r="BN10" s="1" t="s">
        <v>203</v>
      </c>
      <c r="BO10" s="1" t="s">
        <v>204</v>
      </c>
      <c r="BP10" s="1" t="s">
        <v>205</v>
      </c>
      <c r="BQ10" s="1" t="s">
        <v>207</v>
      </c>
      <c r="BR10" s="1" t="s">
        <v>208</v>
      </c>
      <c r="BS10" s="1" t="s">
        <v>209</v>
      </c>
      <c r="BT10" s="1" t="s">
        <v>210</v>
      </c>
      <c r="BU10" s="1" t="s">
        <v>107</v>
      </c>
      <c r="BV10" s="1" t="s">
        <v>105</v>
      </c>
      <c r="BW10" s="1" t="s">
        <v>206</v>
      </c>
      <c r="BX10" s="1" t="s">
        <v>72</v>
      </c>
      <c r="BY10" s="1" t="s">
        <v>102</v>
      </c>
      <c r="BZ10" s="10" t="s">
        <v>211</v>
      </c>
      <c r="CA10" s="10" t="s">
        <v>212</v>
      </c>
      <c r="CB10" s="10" t="s">
        <v>106</v>
      </c>
    </row>
    <row r="11" spans="1:88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BB11*AG11</f>
        <v>12.745200000000002</v>
      </c>
      <c r="BO11">
        <f t="shared" ref="BO11:BP11" si="13">BC11*AH11</f>
        <v>4.2484000000000011</v>
      </c>
      <c r="BP11">
        <f t="shared" si="13"/>
        <v>50.980800000000002</v>
      </c>
      <c r="BQ11">
        <f>BI11*AO11</f>
        <v>5.6002408800000003</v>
      </c>
      <c r="BR11">
        <f t="shared" ref="BR11:BT11" si="14">BJ11*AP11</f>
        <v>7.4669878400000007</v>
      </c>
      <c r="BS11">
        <f t="shared" si="14"/>
        <v>0</v>
      </c>
      <c r="BT11">
        <f t="shared" si="14"/>
        <v>0</v>
      </c>
      <c r="BU11">
        <f>SUM(BN11:BT11)</f>
        <v>81.041628720000006</v>
      </c>
      <c r="BV11">
        <f>Constants!$K$2</f>
        <v>0.21</v>
      </c>
      <c r="BW11">
        <f>BE11*BV11</f>
        <v>35.686560000000007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0.22923203552228569</v>
      </c>
      <c r="CA11">
        <f>BW11*BX11*BY11</f>
        <v>0.10094198400000001</v>
      </c>
      <c r="CB11">
        <f>SUM(BZ11:CA14)/1000</f>
        <v>1.4487119534674284E-3</v>
      </c>
    </row>
    <row r="12" spans="1:88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 t="shared" ref="BN12:BN26" si="17">BB12*AG12</f>
        <v>15.96912</v>
      </c>
      <c r="BO12">
        <f t="shared" ref="BO12:BO26" si="18">BC12*AH12</f>
        <v>5.3230400000000007</v>
      </c>
      <c r="BP12">
        <f t="shared" ref="BP12:BP26" si="19">BD12*AI12</f>
        <v>63.876479999999994</v>
      </c>
      <c r="BQ12">
        <f t="shared" ref="BQ12:BQ26" si="20">BI12*AO12</f>
        <v>7.0168313279999994</v>
      </c>
      <c r="BR12">
        <f t="shared" ref="BR12:BR26" si="21">BJ12*AP12</f>
        <v>9.355775104000001</v>
      </c>
      <c r="BS12">
        <f t="shared" ref="BS12:BS26" si="22">BK12*AQ12</f>
        <v>0</v>
      </c>
      <c r="BT12">
        <f t="shared" ref="BT12:BT26" si="23">BL12*AR12</f>
        <v>0</v>
      </c>
      <c r="BU12">
        <f t="shared" ref="BU12:BU26" si="24">SUM(BN12:BT12)</f>
        <v>101.54124643199999</v>
      </c>
      <c r="BV12">
        <f>Constants!$K$2</f>
        <v>0.21</v>
      </c>
      <c r="BW12">
        <f t="shared" ref="BW12:BW26" si="25">BE12*BV12</f>
        <v>44.713535999999998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26">BU12*BX12*BY12</f>
        <v>0.28721666847908567</v>
      </c>
      <c r="CA12">
        <f t="shared" ref="CA12:CA26" si="27">BW12*BX12*BY12</f>
        <v>0.12647543040000001</v>
      </c>
    </row>
    <row r="13" spans="1:88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 t="shared" si="17"/>
        <v>13.604039999999999</v>
      </c>
      <c r="BO13">
        <f t="shared" si="18"/>
        <v>4.5346800000000007</v>
      </c>
      <c r="BP13">
        <f t="shared" si="19"/>
        <v>54.416159999999991</v>
      </c>
      <c r="BQ13">
        <f t="shared" si="20"/>
        <v>5.9776151759999996</v>
      </c>
      <c r="BR13">
        <f t="shared" si="21"/>
        <v>7.9701535680000006</v>
      </c>
      <c r="BS13">
        <f t="shared" si="22"/>
        <v>0</v>
      </c>
      <c r="BT13">
        <f t="shared" si="23"/>
        <v>0</v>
      </c>
      <c r="BU13">
        <f t="shared" si="24"/>
        <v>86.502648743999998</v>
      </c>
      <c r="BV13">
        <f>Constants!$K$2</f>
        <v>0.21</v>
      </c>
      <c r="BW13">
        <f t="shared" si="25"/>
        <v>38.091312000000002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26"/>
        <v>0.24467892073302858</v>
      </c>
      <c r="CA13">
        <f t="shared" si="27"/>
        <v>0.10774399679999999</v>
      </c>
    </row>
    <row r="14" spans="1:88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 t="shared" si="17"/>
        <v>13.604039999999999</v>
      </c>
      <c r="BO14">
        <f t="shared" si="18"/>
        <v>4.5346800000000007</v>
      </c>
      <c r="BP14">
        <f t="shared" si="19"/>
        <v>54.416159999999991</v>
      </c>
      <c r="BQ14">
        <f t="shared" si="20"/>
        <v>5.9776151759999996</v>
      </c>
      <c r="BR14">
        <f t="shared" si="21"/>
        <v>7.9701535680000006</v>
      </c>
      <c r="BS14">
        <f t="shared" si="22"/>
        <v>0</v>
      </c>
      <c r="BT14">
        <f t="shared" si="23"/>
        <v>0</v>
      </c>
      <c r="BU14">
        <f t="shared" si="24"/>
        <v>86.502648743999998</v>
      </c>
      <c r="BV14">
        <f>Constants!$K$2</f>
        <v>0.21</v>
      </c>
      <c r="BW14">
        <f t="shared" si="25"/>
        <v>38.091312000000002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26"/>
        <v>0.24467892073302858</v>
      </c>
      <c r="CA14">
        <f t="shared" si="27"/>
        <v>0.10774399679999999</v>
      </c>
    </row>
    <row r="15" spans="1:88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 t="shared" si="17"/>
        <v>57.353400000000008</v>
      </c>
      <c r="BO15">
        <f t="shared" si="18"/>
        <v>7.1691750000000001</v>
      </c>
      <c r="BP15">
        <f t="shared" si="19"/>
        <v>38.235600000000005</v>
      </c>
      <c r="BQ15">
        <f t="shared" si="20"/>
        <v>13.078486980000001</v>
      </c>
      <c r="BR15">
        <f t="shared" si="21"/>
        <v>16.348108724999999</v>
      </c>
      <c r="BS15">
        <f t="shared" si="22"/>
        <v>0</v>
      </c>
      <c r="BT15">
        <f t="shared" si="23"/>
        <v>0</v>
      </c>
      <c r="BU15">
        <f t="shared" si="24"/>
        <v>132.18477070500001</v>
      </c>
      <c r="BV15">
        <f>Constants!$K$2</f>
        <v>0.21</v>
      </c>
      <c r="BW15">
        <f t="shared" si="25"/>
        <v>10.036845000000001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26"/>
        <v>1.454032477755</v>
      </c>
      <c r="CA15">
        <f t="shared" si="27"/>
        <v>0.110405295</v>
      </c>
      <c r="CB15">
        <f>SUM(BZ15:CA18)/1000</f>
        <v>6.8643187163099986E-3</v>
      </c>
      <c r="CC15" s="18"/>
      <c r="CD15" s="18"/>
      <c r="CE15" s="18"/>
      <c r="CF15" s="18"/>
      <c r="CG15" s="18"/>
      <c r="CH15" s="18"/>
      <c r="CI15" s="18"/>
      <c r="CJ15" s="18"/>
    </row>
    <row r="16" spans="1:88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 t="shared" si="17"/>
        <v>71.861039999999988</v>
      </c>
      <c r="BO16">
        <f t="shared" si="18"/>
        <v>8.9826299999999986</v>
      </c>
      <c r="BP16">
        <f t="shared" si="19"/>
        <v>47.907359999999997</v>
      </c>
      <c r="BQ16">
        <f t="shared" si="20"/>
        <v>16.386712487999997</v>
      </c>
      <c r="BR16">
        <f t="shared" si="21"/>
        <v>20.483390610000001</v>
      </c>
      <c r="BS16">
        <f t="shared" si="22"/>
        <v>0</v>
      </c>
      <c r="BT16">
        <f t="shared" si="23"/>
        <v>0</v>
      </c>
      <c r="BU16">
        <f t="shared" si="24"/>
        <v>165.62113309799997</v>
      </c>
      <c r="BV16">
        <f>Constants!$K$2</f>
        <v>0.21</v>
      </c>
      <c r="BW16">
        <f t="shared" si="25"/>
        <v>12.575681999999999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26"/>
        <v>1.8218324640779997</v>
      </c>
      <c r="CA16">
        <f t="shared" si="27"/>
        <v>0.138332502</v>
      </c>
      <c r="CC16" s="18"/>
      <c r="CD16" s="18"/>
      <c r="CE16" s="18"/>
      <c r="CF16" s="18"/>
      <c r="CG16" s="18"/>
      <c r="CH16" s="18"/>
      <c r="CI16" s="18"/>
      <c r="CJ16" s="18"/>
    </row>
    <row r="17" spans="1:88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 t="shared" si="17"/>
        <v>61.218180000000004</v>
      </c>
      <c r="BO17">
        <f t="shared" si="18"/>
        <v>7.6522724999999996</v>
      </c>
      <c r="BP17">
        <f t="shared" si="19"/>
        <v>40.812120000000007</v>
      </c>
      <c r="BQ17">
        <f t="shared" si="20"/>
        <v>13.959785646</v>
      </c>
      <c r="BR17">
        <f t="shared" si="21"/>
        <v>17.449732057499997</v>
      </c>
      <c r="BS17">
        <f t="shared" si="22"/>
        <v>0</v>
      </c>
      <c r="BT17">
        <f t="shared" si="23"/>
        <v>0</v>
      </c>
      <c r="BU17">
        <f t="shared" si="24"/>
        <v>141.09209020349999</v>
      </c>
      <c r="BV17">
        <f>Constants!$K$2</f>
        <v>0.21</v>
      </c>
      <c r="BW17">
        <f t="shared" si="25"/>
        <v>10.713181500000001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26"/>
        <v>1.5520129922385</v>
      </c>
      <c r="CA17">
        <f t="shared" si="27"/>
        <v>0.11784499650000002</v>
      </c>
      <c r="CC17" s="18"/>
      <c r="CD17" s="18"/>
      <c r="CE17" s="18"/>
      <c r="CF17" s="18"/>
      <c r="CG17" s="18"/>
      <c r="CH17" s="18"/>
      <c r="CI17" s="18"/>
      <c r="CJ17" s="18"/>
    </row>
    <row r="18" spans="1:88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 t="shared" si="17"/>
        <v>61.218180000000004</v>
      </c>
      <c r="BO18">
        <f t="shared" si="18"/>
        <v>7.6522724999999996</v>
      </c>
      <c r="BP18">
        <f t="shared" si="19"/>
        <v>40.812120000000007</v>
      </c>
      <c r="BQ18">
        <f t="shared" si="20"/>
        <v>13.959785646</v>
      </c>
      <c r="BR18">
        <f t="shared" si="21"/>
        <v>17.449732057499997</v>
      </c>
      <c r="BS18">
        <f t="shared" si="22"/>
        <v>0</v>
      </c>
      <c r="BT18">
        <f t="shared" si="23"/>
        <v>0</v>
      </c>
      <c r="BU18">
        <f t="shared" si="24"/>
        <v>141.09209020349999</v>
      </c>
      <c r="BV18">
        <f>Constants!$K$2</f>
        <v>0.21</v>
      </c>
      <c r="BW18">
        <f t="shared" si="25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26"/>
        <v>1.5520129922385</v>
      </c>
      <c r="CA18">
        <f t="shared" si="27"/>
        <v>0.11784499650000002</v>
      </c>
      <c r="CC18" s="18"/>
      <c r="CD18" s="18"/>
      <c r="CE18" s="18"/>
      <c r="CF18" s="18"/>
      <c r="CG18" s="18"/>
      <c r="CH18" s="18"/>
      <c r="CI18" s="18"/>
      <c r="CJ18" s="18"/>
    </row>
    <row r="19" spans="1:88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 t="shared" si="17"/>
        <v>0</v>
      </c>
      <c r="BO19">
        <f t="shared" si="18"/>
        <v>28.291514565600007</v>
      </c>
      <c r="BP19">
        <f t="shared" si="19"/>
        <v>0</v>
      </c>
      <c r="BQ19">
        <f t="shared" si="20"/>
        <v>36.514160358945993</v>
      </c>
      <c r="BR19">
        <f t="shared" si="21"/>
        <v>64.436753574610563</v>
      </c>
      <c r="BS19">
        <f t="shared" si="22"/>
        <v>0</v>
      </c>
      <c r="BT19">
        <f t="shared" si="23"/>
        <v>0</v>
      </c>
      <c r="BU19">
        <f t="shared" si="24"/>
        <v>129.24242849915657</v>
      </c>
      <c r="BV19">
        <f>Constants!$K$2</f>
        <v>0.21</v>
      </c>
      <c r="BW19">
        <f t="shared" si="25"/>
        <v>13.202706797280001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26"/>
        <v>1.1982619442278943</v>
      </c>
      <c r="CA19">
        <f t="shared" si="27"/>
        <v>0.12240795302049601</v>
      </c>
      <c r="CB19">
        <f>SUM(BZ19:CA22)/1000</f>
        <v>5.7947329396073341E-3</v>
      </c>
      <c r="CC19" s="18"/>
      <c r="CD19" s="18"/>
      <c r="CE19" s="18"/>
      <c r="CF19" s="18"/>
      <c r="CG19" s="18"/>
      <c r="CH19" s="18"/>
      <c r="CI19" s="18"/>
      <c r="CJ19" s="18"/>
    </row>
    <row r="20" spans="1:88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 t="shared" si="17"/>
        <v>0</v>
      </c>
      <c r="BO20">
        <f t="shared" si="18"/>
        <v>35.447901255359994</v>
      </c>
      <c r="BP20">
        <f t="shared" si="19"/>
        <v>0</v>
      </c>
      <c r="BQ20">
        <f t="shared" si="20"/>
        <v>45.750479276217831</v>
      </c>
      <c r="BR20">
        <f t="shared" si="21"/>
        <v>80.736139899207927</v>
      </c>
      <c r="BS20">
        <f t="shared" si="22"/>
        <v>0</v>
      </c>
      <c r="BT20">
        <f t="shared" si="23"/>
        <v>0</v>
      </c>
      <c r="BU20">
        <f t="shared" si="24"/>
        <v>161.93452043078577</v>
      </c>
      <c r="BV20">
        <f>Constants!$K$2</f>
        <v>0.21</v>
      </c>
      <c r="BW20">
        <f t="shared" si="25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26"/>
        <v>1.5013643394225709</v>
      </c>
      <c r="CA20">
        <f t="shared" si="27"/>
        <v>0.15337125276485761</v>
      </c>
      <c r="CB20"/>
      <c r="CC20" s="18"/>
      <c r="CD20" s="18"/>
      <c r="CE20" s="18"/>
      <c r="CF20" s="18"/>
      <c r="CG20" s="18"/>
      <c r="CH20" s="18"/>
      <c r="CI20" s="18"/>
      <c r="CJ20" s="18"/>
    </row>
    <row r="21" spans="1:88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 t="shared" si="17"/>
        <v>0</v>
      </c>
      <c r="BO21">
        <f t="shared" si="18"/>
        <v>30.197948703120005</v>
      </c>
      <c r="BP21">
        <f t="shared" si="19"/>
        <v>0</v>
      </c>
      <c r="BQ21">
        <f t="shared" si="20"/>
        <v>38.974680514194809</v>
      </c>
      <c r="BR21">
        <f t="shared" si="21"/>
        <v>68.778847966226124</v>
      </c>
      <c r="BS21">
        <f t="shared" si="22"/>
        <v>0</v>
      </c>
      <c r="BT21">
        <f t="shared" si="23"/>
        <v>0</v>
      </c>
      <c r="BU21">
        <f t="shared" si="24"/>
        <v>137.95147718354093</v>
      </c>
      <c r="BV21">
        <f>Constants!$K$2</f>
        <v>0.21</v>
      </c>
      <c r="BW21">
        <f t="shared" si="25"/>
        <v>14.092376061456001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26"/>
        <v>1.2790072670302579</v>
      </c>
      <c r="CA21">
        <f t="shared" si="27"/>
        <v>0.13065645805549922</v>
      </c>
      <c r="CC21" s="18"/>
      <c r="CD21" s="18"/>
      <c r="CE21" s="18"/>
      <c r="CF21" s="18"/>
      <c r="CG21" s="18"/>
      <c r="CH21" s="18"/>
      <c r="CI21" s="18"/>
      <c r="CJ21" s="18"/>
    </row>
    <row r="22" spans="1:88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 t="shared" si="17"/>
        <v>0</v>
      </c>
      <c r="BO22">
        <f t="shared" si="18"/>
        <v>30.197948703120005</v>
      </c>
      <c r="BP22">
        <f t="shared" si="19"/>
        <v>0</v>
      </c>
      <c r="BQ22">
        <f t="shared" si="20"/>
        <v>38.974680514194809</v>
      </c>
      <c r="BR22">
        <f t="shared" si="21"/>
        <v>68.778847966226124</v>
      </c>
      <c r="BS22">
        <f t="shared" si="22"/>
        <v>0</v>
      </c>
      <c r="BT22">
        <f t="shared" si="23"/>
        <v>0</v>
      </c>
      <c r="BU22">
        <f t="shared" si="24"/>
        <v>137.95147718354093</v>
      </c>
      <c r="BV22">
        <f>Constants!$K$2</f>
        <v>0.21</v>
      </c>
      <c r="BW22">
        <f t="shared" si="25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26"/>
        <v>1.2790072670302579</v>
      </c>
      <c r="CA22">
        <f t="shared" si="27"/>
        <v>0.13065645805549922</v>
      </c>
      <c r="CC22" s="18"/>
      <c r="CD22" s="18"/>
      <c r="CE22" s="18"/>
      <c r="CF22" s="18"/>
      <c r="CG22" s="18"/>
      <c r="CH22" s="18"/>
      <c r="CI22" s="18"/>
      <c r="CJ22" s="18"/>
    </row>
    <row r="23" spans="1:88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 t="shared" si="17"/>
        <v>9.4365460800000012</v>
      </c>
      <c r="BO23">
        <f t="shared" si="18"/>
        <v>0</v>
      </c>
      <c r="BP23">
        <f t="shared" si="19"/>
        <v>0</v>
      </c>
      <c r="BQ23">
        <f t="shared" si="20"/>
        <v>2.1987152366400005</v>
      </c>
      <c r="BR23">
        <f t="shared" si="21"/>
        <v>1.0993576183200002</v>
      </c>
      <c r="BS23">
        <f t="shared" si="22"/>
        <v>0</v>
      </c>
      <c r="BT23">
        <f t="shared" si="23"/>
        <v>0</v>
      </c>
      <c r="BU23">
        <f t="shared" si="24"/>
        <v>12.734618934960002</v>
      </c>
      <c r="BV23">
        <f>Constants!$K$2</f>
        <v>0.21</v>
      </c>
      <c r="BW23">
        <f t="shared" si="25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26"/>
        <v>0.16009235232521146</v>
      </c>
      <c r="CA23">
        <f t="shared" si="27"/>
        <v>0.74737444953600007</v>
      </c>
      <c r="CB23">
        <f>SUM(BZ23:CA26)/1000</f>
        <v>3.9817124470705369E-3</v>
      </c>
      <c r="CC23" s="18"/>
      <c r="CD23" s="18"/>
      <c r="CE23" s="18"/>
      <c r="CF23" s="18"/>
      <c r="CG23" s="18"/>
      <c r="CH23" s="18"/>
      <c r="CI23" s="18"/>
      <c r="CJ23" s="18"/>
    </row>
    <row r="24" spans="1:88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 t="shared" si="17"/>
        <v>11.823536447999997</v>
      </c>
      <c r="BO24">
        <f t="shared" si="18"/>
        <v>0</v>
      </c>
      <c r="BP24">
        <f t="shared" si="19"/>
        <v>0</v>
      </c>
      <c r="BQ24">
        <f t="shared" si="20"/>
        <v>2.7548839923839994</v>
      </c>
      <c r="BR24">
        <f t="shared" si="21"/>
        <v>1.3774419961919997</v>
      </c>
      <c r="BS24">
        <f t="shared" si="22"/>
        <v>0</v>
      </c>
      <c r="BT24">
        <f t="shared" si="23"/>
        <v>0</v>
      </c>
      <c r="BU24">
        <f t="shared" si="24"/>
        <v>15.955862436575996</v>
      </c>
      <c r="BV24">
        <f>Constants!$K$2</f>
        <v>0.21</v>
      </c>
      <c r="BW24">
        <f t="shared" si="25"/>
        <v>74.488279622399986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26"/>
        <v>0.20058798491695537</v>
      </c>
      <c r="CA24">
        <f t="shared" si="27"/>
        <v>0.93642408668159982</v>
      </c>
      <c r="CC24" s="18"/>
      <c r="CD24" s="18"/>
      <c r="CE24" s="18"/>
      <c r="CF24" s="18"/>
      <c r="CG24" s="18"/>
      <c r="CH24" s="18"/>
      <c r="CI24" s="18"/>
      <c r="CJ24" s="18"/>
    </row>
    <row r="25" spans="1:88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 t="shared" si="17"/>
        <v>10.072431215999998</v>
      </c>
      <c r="BO25">
        <f t="shared" si="18"/>
        <v>0</v>
      </c>
      <c r="BP25">
        <f t="shared" si="19"/>
        <v>0</v>
      </c>
      <c r="BQ25">
        <f t="shared" si="20"/>
        <v>2.3468764733279999</v>
      </c>
      <c r="BR25">
        <f t="shared" si="21"/>
        <v>1.1734382366639999</v>
      </c>
      <c r="BS25">
        <f t="shared" si="22"/>
        <v>0</v>
      </c>
      <c r="BT25">
        <f t="shared" si="23"/>
        <v>0</v>
      </c>
      <c r="BU25">
        <f t="shared" si="24"/>
        <v>13.592745925991997</v>
      </c>
      <c r="BV25">
        <f>Constants!$K$2</f>
        <v>0.21</v>
      </c>
      <c r="BW25">
        <f t="shared" si="25"/>
        <v>63.456316660799992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26"/>
        <v>0.1708802344981851</v>
      </c>
      <c r="CA25">
        <f t="shared" si="27"/>
        <v>0.79773655230719998</v>
      </c>
      <c r="CB25"/>
      <c r="CC25" s="18"/>
      <c r="CD25" s="18"/>
      <c r="CE25" s="18"/>
      <c r="CF25" s="18"/>
      <c r="CG25" s="18"/>
      <c r="CH25" s="18"/>
      <c r="CI25" s="18"/>
      <c r="CJ25" s="18"/>
    </row>
    <row r="26" spans="1:88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 t="shared" si="17"/>
        <v>10.072431215999998</v>
      </c>
      <c r="BO26">
        <f t="shared" si="18"/>
        <v>0</v>
      </c>
      <c r="BP26">
        <f t="shared" si="19"/>
        <v>0</v>
      </c>
      <c r="BQ26">
        <f t="shared" si="20"/>
        <v>2.3468764733279999</v>
      </c>
      <c r="BR26">
        <f t="shared" si="21"/>
        <v>1.1734382366639999</v>
      </c>
      <c r="BS26">
        <f t="shared" si="22"/>
        <v>0</v>
      </c>
      <c r="BT26">
        <f t="shared" si="23"/>
        <v>0</v>
      </c>
      <c r="BU26">
        <f t="shared" si="24"/>
        <v>13.592745925991997</v>
      </c>
      <c r="BV26">
        <f>Constants!$K$2</f>
        <v>0.21</v>
      </c>
      <c r="BW26">
        <f t="shared" si="25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26"/>
        <v>0.1708802344981851</v>
      </c>
      <c r="CA26">
        <f t="shared" si="27"/>
        <v>0.79773655230719998</v>
      </c>
      <c r="CC26" s="18"/>
      <c r="CD26" s="18"/>
      <c r="CE26" s="18"/>
      <c r="CF26" s="18"/>
      <c r="CG26" s="18"/>
      <c r="CH26" s="18"/>
      <c r="CI26" s="18"/>
      <c r="CJ26" s="18"/>
    </row>
    <row r="27" spans="1:88" x14ac:dyDescent="0.2">
      <c r="BS27" t="str">
        <f>IF(L27="", "",IF( L27="pastureRangeAndPaddock",Y27*Constants!$K$2, Y27*S27))</f>
        <v/>
      </c>
      <c r="BT27" t="str">
        <f t="shared" ref="BT11:BT30" si="28">IF(OR(N27="", N27="directApplication"), "",AB27*U27)</f>
        <v/>
      </c>
      <c r="BU27" t="str">
        <f t="shared" ref="BU11:BU30" si="29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12:BZ30" si="30">IF(BU27="", "", (BU27*BX27*BY27)/1000)</f>
        <v/>
      </c>
      <c r="CC27" s="18"/>
      <c r="CD27" s="18"/>
      <c r="CE27" s="18"/>
      <c r="CF27" s="18"/>
      <c r="CG27" s="18"/>
      <c r="CH27" s="18"/>
      <c r="CI27" s="18"/>
      <c r="CJ27" s="18"/>
    </row>
    <row r="28" spans="1:88" x14ac:dyDescent="0.2">
      <c r="BS28" t="str">
        <f>IF(L28="", "",IF( L28="pastureRangeAndPaddock",Y28*Constants!$K$2, Y28*S28))</f>
        <v/>
      </c>
      <c r="BT28" t="str">
        <f t="shared" si="28"/>
        <v/>
      </c>
      <c r="BU28" t="str">
        <f t="shared" si="29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30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28"/>
        <v/>
      </c>
      <c r="BU29" t="str">
        <f t="shared" si="29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30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28"/>
        <v/>
      </c>
      <c r="BU30" t="str">
        <f t="shared" si="29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3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BR30"/>
  <sheetViews>
    <sheetView tabSelected="1" topLeftCell="BG8" workbookViewId="0">
      <selection activeCell="BS22" sqref="BS22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AF4" t="s">
        <v>52</v>
      </c>
      <c r="AY4" t="s">
        <v>58</v>
      </c>
      <c r="AZ4" t="s">
        <v>58</v>
      </c>
      <c r="BA4" t="s">
        <v>58</v>
      </c>
      <c r="BF4" t="s">
        <v>58</v>
      </c>
    </row>
    <row r="5" spans="1:70" x14ac:dyDescent="0.2">
      <c r="K5" t="s">
        <v>0</v>
      </c>
      <c r="AF5" t="s">
        <v>0</v>
      </c>
      <c r="BF5" t="s">
        <v>103</v>
      </c>
    </row>
    <row r="6" spans="1:70" x14ac:dyDescent="0.2">
      <c r="BF6" t="s">
        <v>97</v>
      </c>
    </row>
    <row r="8" spans="1:70" x14ac:dyDescent="0.2">
      <c r="A8" t="s">
        <v>35</v>
      </c>
      <c r="B8" t="s">
        <v>43</v>
      </c>
      <c r="C8" t="s">
        <v>42</v>
      </c>
      <c r="D8" t="s">
        <v>62</v>
      </c>
      <c r="E8" t="s">
        <v>65</v>
      </c>
      <c r="F8" t="s">
        <v>28</v>
      </c>
      <c r="G8" t="s">
        <v>2</v>
      </c>
      <c r="H8" t="s">
        <v>3</v>
      </c>
      <c r="I8" t="s">
        <v>44</v>
      </c>
      <c r="J8" t="s">
        <v>45</v>
      </c>
      <c r="K8" t="s">
        <v>46</v>
      </c>
      <c r="L8" t="s">
        <v>49</v>
      </c>
      <c r="M8" t="s">
        <v>57</v>
      </c>
      <c r="N8" t="s">
        <v>57</v>
      </c>
      <c r="Q8" t="s">
        <v>149</v>
      </c>
      <c r="V8" t="s">
        <v>150</v>
      </c>
      <c r="AA8" t="s">
        <v>60</v>
      </c>
      <c r="AF8" t="s">
        <v>47</v>
      </c>
    </row>
    <row r="10" spans="1:70" x14ac:dyDescent="0.2">
      <c r="A10" s="14" t="s">
        <v>26</v>
      </c>
      <c r="B10" s="14" t="s">
        <v>26</v>
      </c>
      <c r="C10" s="14"/>
      <c r="D10" s="14" t="s">
        <v>64</v>
      </c>
      <c r="E10" s="14" t="s">
        <v>66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95</v>
      </c>
      <c r="M10" s="14" t="s">
        <v>117</v>
      </c>
      <c r="N10" s="14" t="s">
        <v>116</v>
      </c>
      <c r="O10" s="14" t="s">
        <v>118</v>
      </c>
      <c r="P10" s="14" t="s">
        <v>119</v>
      </c>
      <c r="Q10" s="14" t="s">
        <v>121</v>
      </c>
      <c r="R10" s="14" t="s">
        <v>122</v>
      </c>
      <c r="S10" s="14" t="s">
        <v>123</v>
      </c>
      <c r="T10" s="14" t="s">
        <v>124</v>
      </c>
      <c r="U10" s="14" t="s">
        <v>125</v>
      </c>
      <c r="V10" s="14" t="s">
        <v>121</v>
      </c>
      <c r="W10" s="14" t="s">
        <v>122</v>
      </c>
      <c r="X10" s="14" t="s">
        <v>123</v>
      </c>
      <c r="Y10" s="14" t="s">
        <v>124</v>
      </c>
      <c r="Z10" s="14" t="s">
        <v>125</v>
      </c>
      <c r="AA10" s="14" t="s">
        <v>121</v>
      </c>
      <c r="AB10" s="14" t="s">
        <v>122</v>
      </c>
      <c r="AC10" s="14" t="s">
        <v>123</v>
      </c>
      <c r="AD10" s="14" t="s">
        <v>124</v>
      </c>
      <c r="AE10" s="14" t="s">
        <v>125</v>
      </c>
      <c r="AF10" s="1" t="s">
        <v>34</v>
      </c>
      <c r="AG10" s="1" t="s">
        <v>165</v>
      </c>
      <c r="AH10" s="1" t="s">
        <v>166</v>
      </c>
      <c r="AI10" s="1" t="s">
        <v>167</v>
      </c>
      <c r="AJ10" s="1" t="s">
        <v>168</v>
      </c>
      <c r="AK10" s="1" t="s">
        <v>161</v>
      </c>
      <c r="AL10" s="1" t="s">
        <v>162</v>
      </c>
      <c r="AM10" s="1" t="s">
        <v>163</v>
      </c>
      <c r="AN10" s="1" t="s">
        <v>164</v>
      </c>
      <c r="AO10" s="1" t="s">
        <v>173</v>
      </c>
      <c r="AP10" s="1" t="s">
        <v>172</v>
      </c>
      <c r="AQ10" s="1" t="s">
        <v>171</v>
      </c>
      <c r="AR10" s="1" t="s">
        <v>170</v>
      </c>
      <c r="AS10" s="1" t="s">
        <v>169</v>
      </c>
      <c r="AT10" s="1" t="s">
        <v>174</v>
      </c>
      <c r="AU10" s="1" t="s">
        <v>175</v>
      </c>
      <c r="AV10" s="1" t="s">
        <v>176</v>
      </c>
      <c r="AW10" s="1" t="s">
        <v>177</v>
      </c>
      <c r="AX10" s="1" t="s">
        <v>178</v>
      </c>
      <c r="AY10" s="1" t="s">
        <v>179</v>
      </c>
      <c r="AZ10" s="1" t="s">
        <v>180</v>
      </c>
      <c r="BA10" s="1" t="s">
        <v>96</v>
      </c>
      <c r="BB10" s="17" t="s">
        <v>181</v>
      </c>
      <c r="BC10" s="17" t="s">
        <v>182</v>
      </c>
      <c r="BD10" s="17" t="s">
        <v>183</v>
      </c>
      <c r="BE10" s="17" t="s">
        <v>184</v>
      </c>
      <c r="BF10" s="1" t="s">
        <v>185</v>
      </c>
      <c r="BG10" s="1" t="s">
        <v>186</v>
      </c>
      <c r="BH10" s="1" t="s">
        <v>187</v>
      </c>
      <c r="BI10" s="1" t="s">
        <v>188</v>
      </c>
      <c r="BJ10" s="1" t="s">
        <v>110</v>
      </c>
      <c r="BK10" s="1" t="s">
        <v>109</v>
      </c>
      <c r="BL10" s="1" t="s">
        <v>218</v>
      </c>
      <c r="BM10" s="1" t="s">
        <v>219</v>
      </c>
      <c r="BN10" s="1" t="s">
        <v>108</v>
      </c>
      <c r="BO10" s="1" t="s">
        <v>102</v>
      </c>
      <c r="BP10" s="10" t="s">
        <v>220</v>
      </c>
      <c r="BQ10" s="10" t="s">
        <v>221</v>
      </c>
      <c r="BR10" s="10" t="s">
        <v>111</v>
      </c>
    </row>
    <row r="11" spans="1:70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E26" si="1">$BA11*M11</f>
        <v>42.484000000000009</v>
      </c>
      <c r="BC11">
        <f t="shared" si="1"/>
        <v>84.968000000000018</v>
      </c>
      <c r="BD11">
        <f t="shared" si="1"/>
        <v>127.452</v>
      </c>
      <c r="BE11">
        <f t="shared" si="1"/>
        <v>169.93600000000004</v>
      </c>
      <c r="BF11">
        <f t="shared" ref="BF11:BH26" si="2">(BB11*(1-AG11-AK11))</f>
        <v>29.696316000000003</v>
      </c>
      <c r="BG11">
        <f t="shared" si="2"/>
        <v>80.634632000000011</v>
      </c>
      <c r="BH11">
        <f t="shared" si="2"/>
        <v>76.343747999999991</v>
      </c>
      <c r="BI11">
        <f t="shared" ref="BI11:BI26" si="3">($BF11*Q11)+($BG11*V11)+($BH11*AA11)</f>
        <v>28.001204399999999</v>
      </c>
      <c r="BJ11">
        <f>IF(E11, 1, 0)</f>
        <v>1</v>
      </c>
      <c r="BK11">
        <f>Constants!$M$2</f>
        <v>0.02</v>
      </c>
      <c r="BL11">
        <f>BI11*BJ11*BK11</f>
        <v>0.56002408800000003</v>
      </c>
      <c r="BM11">
        <f>BE11*BJ11*BK11</f>
        <v>3.3987200000000009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9.6804163782857142E-3</v>
      </c>
      <c r="BQ11">
        <f>BM11*$BN11*$BO11</f>
        <v>5.8749302857142874E-2</v>
      </c>
      <c r="BR11">
        <f>SUM(BP11:BQ14)/1000</f>
        <v>3.0025061442514293E-4</v>
      </c>
    </row>
    <row r="12" spans="1:70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3.1312000000000002E-3</v>
      </c>
      <c r="AZ12">
        <f t="shared" ref="AZ12:AZ26" si="5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1"/>
        <v>106.46080000000001</v>
      </c>
      <c r="BD12">
        <f t="shared" si="1"/>
        <v>159.69119999999998</v>
      </c>
      <c r="BE12">
        <f t="shared" si="1"/>
        <v>212.92160000000001</v>
      </c>
      <c r="BF12">
        <f t="shared" si="2"/>
        <v>37.208049600000002</v>
      </c>
      <c r="BG12">
        <f t="shared" si="2"/>
        <v>101.03129920000001</v>
      </c>
      <c r="BH12">
        <f t="shared" si="2"/>
        <v>95.655028799999982</v>
      </c>
      <c r="BI12">
        <f t="shared" si="3"/>
        <v>35.084156639999996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0.70168313279999994</v>
      </c>
      <c r="BM12">
        <f t="shared" ref="BM12:BM26" si="8">BE12*BJ12*BK12</f>
        <v>4.258432</v>
      </c>
      <c r="BN12">
        <f>Constants!$L$2</f>
        <v>1.0999999999999999E-2</v>
      </c>
      <c r="BO12">
        <f>IF(BJ12="","",Constants!$J$2)</f>
        <v>1.5714285714285714</v>
      </c>
      <c r="BP12">
        <f t="shared" ref="BP12:BP26" si="9">BL12*$BN12*$BO12</f>
        <v>1.2129094152685713E-2</v>
      </c>
      <c r="BQ12">
        <f t="shared" ref="BQ12:BQ26" si="10">BM12*$BN12*$BO12</f>
        <v>7.3610038857142845E-2</v>
      </c>
    </row>
    <row r="13" spans="1:70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3.4223999999999999E-3</v>
      </c>
      <c r="AZ13">
        <f t="shared" si="5"/>
        <v>1.813872E-3</v>
      </c>
      <c r="BA13">
        <f t="shared" si="0"/>
        <v>453.46799999999996</v>
      </c>
      <c r="BB13">
        <f t="shared" si="1"/>
        <v>45.346800000000002</v>
      </c>
      <c r="BC13">
        <f t="shared" si="1"/>
        <v>90.693600000000004</v>
      </c>
      <c r="BD13">
        <f t="shared" si="1"/>
        <v>136.04039999999998</v>
      </c>
      <c r="BE13">
        <f t="shared" si="1"/>
        <v>181.38720000000001</v>
      </c>
      <c r="BF13">
        <f t="shared" si="2"/>
        <v>31.6974132</v>
      </c>
      <c r="BG13">
        <f t="shared" si="2"/>
        <v>86.0682264</v>
      </c>
      <c r="BH13">
        <f t="shared" si="2"/>
        <v>81.488199599999987</v>
      </c>
      <c r="BI13">
        <f t="shared" si="3"/>
        <v>29.888075879999995</v>
      </c>
      <c r="BJ13">
        <f t="shared" si="6"/>
        <v>1</v>
      </c>
      <c r="BK13">
        <f>Constants!$M$2</f>
        <v>0.02</v>
      </c>
      <c r="BL13">
        <f t="shared" si="7"/>
        <v>0.59776151759999996</v>
      </c>
      <c r="BM13">
        <f t="shared" si="8"/>
        <v>3.6277440000000003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1.0332734804228571E-2</v>
      </c>
      <c r="BQ13">
        <f t="shared" si="10"/>
        <v>6.2708146285714292E-2</v>
      </c>
    </row>
    <row r="14" spans="1:70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3.4223999999999999E-3</v>
      </c>
      <c r="AZ14">
        <f t="shared" si="5"/>
        <v>1.813872E-3</v>
      </c>
      <c r="BA14">
        <f t="shared" si="0"/>
        <v>453.46799999999996</v>
      </c>
      <c r="BB14">
        <f t="shared" si="1"/>
        <v>45.346800000000002</v>
      </c>
      <c r="BC14">
        <f t="shared" si="1"/>
        <v>90.693600000000004</v>
      </c>
      <c r="BD14">
        <f t="shared" si="1"/>
        <v>136.04039999999998</v>
      </c>
      <c r="BE14">
        <f t="shared" si="1"/>
        <v>181.38720000000001</v>
      </c>
      <c r="BF14">
        <f t="shared" si="2"/>
        <v>31.6974132</v>
      </c>
      <c r="BG14">
        <f t="shared" si="2"/>
        <v>86.0682264</v>
      </c>
      <c r="BH14">
        <f t="shared" si="2"/>
        <v>81.488199599999987</v>
      </c>
      <c r="BI14">
        <f t="shared" si="3"/>
        <v>29.888075879999995</v>
      </c>
      <c r="BJ14">
        <f t="shared" si="6"/>
        <v>1</v>
      </c>
      <c r="BK14">
        <f>Constants!$M$2</f>
        <v>0.02</v>
      </c>
      <c r="BL14">
        <f t="shared" si="7"/>
        <v>0.59776151759999996</v>
      </c>
      <c r="BM14">
        <f t="shared" si="8"/>
        <v>3.6277440000000003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1.0332734804228571E-2</v>
      </c>
      <c r="BQ14">
        <f t="shared" si="10"/>
        <v>6.2708146285714292E-2</v>
      </c>
    </row>
    <row r="15" spans="1:70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2.6144000000000002E-3</v>
      </c>
      <c r="AZ15">
        <f t="shared" si="5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1"/>
        <v>143.3835</v>
      </c>
      <c r="BD15">
        <f t="shared" si="1"/>
        <v>95.589000000000013</v>
      </c>
      <c r="BE15">
        <f t="shared" si="1"/>
        <v>47.794500000000006</v>
      </c>
      <c r="BF15">
        <f t="shared" si="2"/>
        <v>133.633422</v>
      </c>
      <c r="BG15">
        <f t="shared" si="2"/>
        <v>136.0709415</v>
      </c>
      <c r="BH15">
        <f t="shared" si="2"/>
        <v>57.257811000000004</v>
      </c>
      <c r="BI15">
        <f t="shared" si="3"/>
        <v>65.392434899999998</v>
      </c>
      <c r="BJ15">
        <f t="shared" si="6"/>
        <v>1</v>
      </c>
      <c r="BK15">
        <f>Constants!$M$2</f>
        <v>0.02</v>
      </c>
      <c r="BL15">
        <f t="shared" si="7"/>
        <v>1.3078486979999999</v>
      </c>
      <c r="BM15">
        <f t="shared" si="8"/>
        <v>0.95589000000000013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2.2607098922571425E-2</v>
      </c>
      <c r="BQ15">
        <f t="shared" si="10"/>
        <v>1.6523241428571429E-2</v>
      </c>
      <c r="BR15">
        <f>SUM(BP15:BQ18)/1000</f>
        <v>1.7169307231371426E-4</v>
      </c>
    </row>
    <row r="16" spans="1:70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3.1312000000000002E-3</v>
      </c>
      <c r="AZ16">
        <f t="shared" si="5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1"/>
        <v>179.65259999999995</v>
      </c>
      <c r="BD16">
        <f t="shared" si="1"/>
        <v>119.76839999999999</v>
      </c>
      <c r="BE16">
        <f t="shared" si="1"/>
        <v>59.884199999999993</v>
      </c>
      <c r="BF16">
        <f t="shared" si="2"/>
        <v>167.43622319999997</v>
      </c>
      <c r="BG16">
        <f t="shared" si="2"/>
        <v>170.49031739999995</v>
      </c>
      <c r="BH16">
        <f t="shared" si="2"/>
        <v>71.74127159999999</v>
      </c>
      <c r="BI16">
        <f t="shared" si="3"/>
        <v>81.933562439999974</v>
      </c>
      <c r="BJ16">
        <f t="shared" si="6"/>
        <v>1</v>
      </c>
      <c r="BK16">
        <f>Constants!$M$2</f>
        <v>0.02</v>
      </c>
      <c r="BL16">
        <f t="shared" si="7"/>
        <v>1.6386712487999995</v>
      </c>
      <c r="BM16">
        <f t="shared" si="8"/>
        <v>1.197684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2.8325603014971414E-2</v>
      </c>
      <c r="BQ16">
        <f t="shared" si="10"/>
        <v>2.0702823428571427E-2</v>
      </c>
    </row>
    <row r="17" spans="1:70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3.4223999999999999E-3</v>
      </c>
      <c r="AZ17">
        <f t="shared" si="5"/>
        <v>1.813872E-3</v>
      </c>
      <c r="BA17">
        <f t="shared" si="0"/>
        <v>510.1515</v>
      </c>
      <c r="BB17">
        <f t="shared" si="1"/>
        <v>204.06060000000002</v>
      </c>
      <c r="BC17">
        <f t="shared" si="1"/>
        <v>153.04544999999999</v>
      </c>
      <c r="BD17">
        <f t="shared" si="1"/>
        <v>102.03030000000001</v>
      </c>
      <c r="BE17">
        <f t="shared" si="1"/>
        <v>51.015150000000006</v>
      </c>
      <c r="BF17">
        <f t="shared" si="2"/>
        <v>142.63835940000001</v>
      </c>
      <c r="BG17">
        <f t="shared" si="2"/>
        <v>145.24013204999997</v>
      </c>
      <c r="BH17">
        <f t="shared" si="2"/>
        <v>61.116149700000001</v>
      </c>
      <c r="BI17">
        <f t="shared" si="3"/>
        <v>69.798928230000001</v>
      </c>
      <c r="BJ17">
        <f t="shared" si="6"/>
        <v>1</v>
      </c>
      <c r="BK17">
        <f>Constants!$M$2</f>
        <v>0.02</v>
      </c>
      <c r="BL17">
        <f t="shared" si="7"/>
        <v>1.3959785646</v>
      </c>
      <c r="BM17">
        <f t="shared" si="8"/>
        <v>1.0203030000000002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2.4130486616657142E-2</v>
      </c>
      <c r="BQ17">
        <f t="shared" si="10"/>
        <v>1.7636666142857145E-2</v>
      </c>
    </row>
    <row r="18" spans="1:70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69.798928230000001</v>
      </c>
      <c r="BJ18">
        <f t="shared" si="6"/>
        <v>1</v>
      </c>
      <c r="BK18">
        <f>Constants!$M$2</f>
        <v>0.02</v>
      </c>
      <c r="BL18">
        <f t="shared" si="7"/>
        <v>1.3959785646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2.4130486616657142E-2</v>
      </c>
      <c r="BQ18">
        <f t="shared" si="10"/>
        <v>1.7636666142857145E-2</v>
      </c>
    </row>
    <row r="19" spans="1:70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2.6144000000000002E-3</v>
      </c>
      <c r="AZ19">
        <f t="shared" si="5"/>
        <v>1.6993600000000002E-3</v>
      </c>
      <c r="BA19">
        <f t="shared" si="0"/>
        <v>628.70032368000011</v>
      </c>
      <c r="BB19">
        <f t="shared" si="1"/>
        <v>0</v>
      </c>
      <c r="BC19">
        <f t="shared" si="1"/>
        <v>565.8302913120001</v>
      </c>
      <c r="BD19">
        <f t="shared" si="1"/>
        <v>0</v>
      </c>
      <c r="BE19">
        <f t="shared" si="1"/>
        <v>62.870032368000011</v>
      </c>
      <c r="BF19">
        <f t="shared" si="2"/>
        <v>0</v>
      </c>
      <c r="BG19">
        <f t="shared" si="2"/>
        <v>536.97294645508805</v>
      </c>
      <c r="BH19">
        <f t="shared" si="2"/>
        <v>0</v>
      </c>
      <c r="BI19">
        <f t="shared" si="3"/>
        <v>182.57080179472996</v>
      </c>
      <c r="BJ19">
        <f t="shared" si="6"/>
        <v>1</v>
      </c>
      <c r="BK19">
        <f>Constants!$M$2</f>
        <v>0.02</v>
      </c>
      <c r="BL19">
        <f t="shared" si="7"/>
        <v>3.6514160358945991</v>
      </c>
      <c r="BM19">
        <f t="shared" si="8"/>
        <v>1.2574006473600003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6.3117334334749489E-2</v>
      </c>
      <c r="BQ19">
        <f t="shared" si="10"/>
        <v>2.1735068332937146E-2</v>
      </c>
      <c r="BR19">
        <f>SUM(BP19:BQ22)/1000</f>
        <v>3.7230879099138802E-4</v>
      </c>
    </row>
    <row r="20" spans="1:70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228.75239638108914</v>
      </c>
      <c r="BJ20">
        <f t="shared" si="6"/>
        <v>1</v>
      </c>
      <c r="BK20">
        <f>Constants!$M$2</f>
        <v>0.02</v>
      </c>
      <c r="BL20">
        <f t="shared" si="7"/>
        <v>4.5750479276217826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7.9082971320319384E-2</v>
      </c>
      <c r="BQ20">
        <f t="shared" si="10"/>
        <v>2.7232990805705137E-2</v>
      </c>
      <c r="BR20"/>
    </row>
    <row r="21" spans="1:70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3.4223999999999999E-3</v>
      </c>
      <c r="AZ21">
        <f t="shared" si="5"/>
        <v>1.813872E-3</v>
      </c>
      <c r="BA21">
        <f t="shared" si="0"/>
        <v>671.06552673600004</v>
      </c>
      <c r="BB21">
        <f t="shared" si="1"/>
        <v>0</v>
      </c>
      <c r="BC21">
        <f t="shared" si="1"/>
        <v>603.9589740624001</v>
      </c>
      <c r="BD21">
        <f t="shared" si="1"/>
        <v>0</v>
      </c>
      <c r="BE21">
        <f t="shared" si="1"/>
        <v>67.106552673600007</v>
      </c>
      <c r="BF21">
        <f t="shared" si="2"/>
        <v>0</v>
      </c>
      <c r="BG21">
        <f t="shared" si="2"/>
        <v>573.15706638521772</v>
      </c>
      <c r="BH21">
        <f t="shared" si="2"/>
        <v>0</v>
      </c>
      <c r="BI21">
        <f t="shared" si="3"/>
        <v>194.87340257097404</v>
      </c>
      <c r="BJ21">
        <f t="shared" si="6"/>
        <v>1</v>
      </c>
      <c r="BK21">
        <f>Constants!$M$2</f>
        <v>0.02</v>
      </c>
      <c r="BL21">
        <f t="shared" si="7"/>
        <v>3.8974680514194806</v>
      </c>
      <c r="BM21">
        <f t="shared" si="8"/>
        <v>1.3421310534720001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6.7370519174536736E-2</v>
      </c>
      <c r="BQ21">
        <f t="shared" si="10"/>
        <v>2.3199693924301715E-2</v>
      </c>
    </row>
    <row r="22" spans="1:70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194.87340257097404</v>
      </c>
      <c r="BJ22">
        <f t="shared" si="6"/>
        <v>1</v>
      </c>
      <c r="BK22">
        <f>Constants!$M$2</f>
        <v>0.02</v>
      </c>
      <c r="BL22">
        <f t="shared" si="7"/>
        <v>3.8974680514194806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6.7370519174536736E-2</v>
      </c>
      <c r="BQ22">
        <f t="shared" si="10"/>
        <v>2.3199693924301715E-2</v>
      </c>
    </row>
    <row r="23" spans="1:70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10.993576183200002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10"/>
        <v>0</v>
      </c>
      <c r="BR23">
        <f>SUM(BP23:BQ26)/1000</f>
        <v>0</v>
      </c>
    </row>
    <row r="24" spans="1:70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3.1312000000000002E-3</v>
      </c>
      <c r="AZ24">
        <f t="shared" si="5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1"/>
        <v>0</v>
      </c>
      <c r="BD24">
        <f t="shared" si="1"/>
        <v>0</v>
      </c>
      <c r="BE24">
        <f t="shared" si="1"/>
        <v>354.70609343999996</v>
      </c>
      <c r="BF24">
        <f t="shared" si="2"/>
        <v>27.548839923839992</v>
      </c>
      <c r="BG24">
        <f t="shared" si="2"/>
        <v>0</v>
      </c>
      <c r="BH24">
        <f t="shared" si="2"/>
        <v>0</v>
      </c>
      <c r="BI24">
        <f t="shared" si="3"/>
        <v>13.774419961919996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10"/>
        <v>0</v>
      </c>
    </row>
    <row r="25" spans="1:70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3.4223999999999999E-3</v>
      </c>
      <c r="AZ25">
        <f t="shared" si="5"/>
        <v>1.813872E-3</v>
      </c>
      <c r="BA25">
        <f t="shared" si="0"/>
        <v>335.74770719999998</v>
      </c>
      <c r="BB25">
        <f t="shared" si="1"/>
        <v>33.574770719999997</v>
      </c>
      <c r="BC25">
        <f t="shared" si="1"/>
        <v>0</v>
      </c>
      <c r="BD25">
        <f t="shared" si="1"/>
        <v>0</v>
      </c>
      <c r="BE25">
        <f t="shared" si="1"/>
        <v>302.17293647999998</v>
      </c>
      <c r="BF25">
        <f t="shared" si="2"/>
        <v>23.468764733279997</v>
      </c>
      <c r="BG25">
        <f t="shared" si="2"/>
        <v>0</v>
      </c>
      <c r="BH25">
        <f t="shared" si="2"/>
        <v>0</v>
      </c>
      <c r="BI25">
        <f t="shared" si="3"/>
        <v>11.734382366639998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10"/>
        <v>0</v>
      </c>
      <c r="BR25"/>
    </row>
    <row r="26" spans="1:70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11.734382366639998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10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7875-5D60-8742-BBBA-69D98D824AF5}">
  <dimension ref="A1:O60"/>
  <sheetViews>
    <sheetView topLeftCell="A45" workbookViewId="0">
      <selection activeCell="M18" sqref="M18:M27"/>
    </sheetView>
  </sheetViews>
  <sheetFormatPr baseColWidth="10" defaultRowHeight="16" x14ac:dyDescent="0.2"/>
  <sheetData>
    <row r="1" spans="1:15" x14ac:dyDescent="0.2">
      <c r="A1" t="s">
        <v>99</v>
      </c>
    </row>
    <row r="2" spans="1:15" x14ac:dyDescent="0.2">
      <c r="K2" t="s">
        <v>0</v>
      </c>
    </row>
    <row r="3" spans="1:15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J3" t="s">
        <v>1</v>
      </c>
      <c r="K3" t="s">
        <v>1</v>
      </c>
      <c r="L3" t="s">
        <v>1</v>
      </c>
      <c r="M3" t="s">
        <v>1</v>
      </c>
      <c r="N3" t="s">
        <v>1</v>
      </c>
      <c r="O3" t="s">
        <v>1</v>
      </c>
    </row>
    <row r="5" spans="1:15" x14ac:dyDescent="0.2">
      <c r="A5" t="s">
        <v>35</v>
      </c>
      <c r="B5" t="s">
        <v>43</v>
      </c>
      <c r="C5" t="s">
        <v>42</v>
      </c>
      <c r="D5" t="s">
        <v>62</v>
      </c>
      <c r="E5" t="s">
        <v>65</v>
      </c>
      <c r="F5" t="s">
        <v>28</v>
      </c>
      <c r="G5" t="s">
        <v>2</v>
      </c>
      <c r="H5" t="s">
        <v>3</v>
      </c>
      <c r="I5" t="s">
        <v>44</v>
      </c>
      <c r="J5" t="s">
        <v>46</v>
      </c>
      <c r="K5" t="s">
        <v>49</v>
      </c>
      <c r="L5" t="s">
        <v>36</v>
      </c>
      <c r="M5" t="s">
        <v>57</v>
      </c>
      <c r="N5" t="s">
        <v>37</v>
      </c>
      <c r="O5" t="s">
        <v>60</v>
      </c>
    </row>
    <row r="7" spans="1:15" x14ac:dyDescent="0.2">
      <c r="A7" s="1" t="s">
        <v>26</v>
      </c>
      <c r="B7" s="1" t="s">
        <v>26</v>
      </c>
      <c r="C7" s="1"/>
      <c r="D7" s="1" t="s">
        <v>64</v>
      </c>
      <c r="E7" s="1" t="s">
        <v>66</v>
      </c>
      <c r="F7" s="1" t="s">
        <v>25</v>
      </c>
      <c r="G7" s="1" t="s">
        <v>4</v>
      </c>
      <c r="H7" s="1" t="s">
        <v>5</v>
      </c>
      <c r="I7" s="1" t="s">
        <v>6</v>
      </c>
      <c r="J7" s="1" t="s">
        <v>7</v>
      </c>
      <c r="K7" s="1" t="s">
        <v>95</v>
      </c>
      <c r="L7" s="1" t="s">
        <v>59</v>
      </c>
      <c r="M7" s="1" t="s">
        <v>38</v>
      </c>
      <c r="N7" s="1" t="s">
        <v>39</v>
      </c>
      <c r="O7" s="1" t="s">
        <v>53</v>
      </c>
    </row>
    <row r="8" spans="1:15" x14ac:dyDescent="0.2">
      <c r="A8" t="s">
        <v>61</v>
      </c>
      <c r="C8" t="s">
        <v>71</v>
      </c>
      <c r="D8" t="s">
        <v>63</v>
      </c>
      <c r="E8" t="b">
        <v>1</v>
      </c>
      <c r="F8" t="s">
        <v>9</v>
      </c>
      <c r="G8">
        <v>5000</v>
      </c>
      <c r="H8">
        <v>50</v>
      </c>
      <c r="L8" t="s">
        <v>16</v>
      </c>
      <c r="M8">
        <v>0.1</v>
      </c>
      <c r="N8" t="s">
        <v>19</v>
      </c>
      <c r="O8">
        <v>0.15</v>
      </c>
    </row>
    <row r="9" spans="1:15" x14ac:dyDescent="0.2">
      <c r="I9" t="str">
        <f>IF(ISBLANK($F9), "",_xlfn.XLOOKUP($F9,Constants!$A$2:$A$5,Constants!B$2:B$5))</f>
        <v/>
      </c>
      <c r="J9" t="str">
        <f>IF(ISBLANK($F9), "",_xlfn.XLOOKUP($F9,Constants!$A$2:$A$5,Constants!D$2:D$5))</f>
        <v/>
      </c>
      <c r="K9" t="str">
        <f>IF(ISBLANK($F9), "",_xlfn.XLOOKUP($F9,Constants!$A$2:$A$5,Constants!E$2:E$5))</f>
        <v/>
      </c>
      <c r="L9" t="s">
        <v>17</v>
      </c>
      <c r="M9">
        <v>0.2</v>
      </c>
      <c r="N9" t="s">
        <v>20</v>
      </c>
      <c r="O9">
        <v>0.2</v>
      </c>
    </row>
    <row r="10" spans="1:15" x14ac:dyDescent="0.2">
      <c r="I10" t="str">
        <f>IF(ISBLANK($F10), "",_xlfn.XLOOKUP($F10,Constants!$A$2:$A$5,Constants!B$2:B$5))</f>
        <v/>
      </c>
      <c r="J10" t="str">
        <f>IF(ISBLANK($F10), "",_xlfn.XLOOKUP($F10,Constants!$A$2:$A$5,Constants!D$2:D$5))</f>
        <v/>
      </c>
      <c r="K10" t="str">
        <f>IF(ISBLANK($F10), "",_xlfn.XLOOKUP($F10,Constants!$A$2:$A$5,Constants!E$2:E$5))</f>
        <v/>
      </c>
      <c r="L10" t="s">
        <v>18</v>
      </c>
      <c r="M10">
        <v>0.3</v>
      </c>
      <c r="N10" t="s">
        <v>22</v>
      </c>
      <c r="O10">
        <v>0.25</v>
      </c>
    </row>
    <row r="11" spans="1:15" x14ac:dyDescent="0.2">
      <c r="I11" t="str">
        <f>IF(ISBLANK($F11), "",_xlfn.XLOOKUP($F11,Constants!$A$2:$A$5,Constants!B$2:B$5))</f>
        <v/>
      </c>
      <c r="J11" t="str">
        <f>IF(ISBLANK($F11), "",_xlfn.XLOOKUP($F11,Constants!$A$2:$A$5,Constants!D$2:D$5))</f>
        <v/>
      </c>
      <c r="K11" t="str">
        <f>IF(ISBLANK($F11), "",_xlfn.XLOOKUP($F11,Constants!$A$2:$A$5,Constants!E$2:E$5))</f>
        <v/>
      </c>
      <c r="L11" t="s">
        <v>40</v>
      </c>
      <c r="M11">
        <v>0.4</v>
      </c>
      <c r="N11" t="s">
        <v>21</v>
      </c>
      <c r="O11">
        <v>0.17</v>
      </c>
    </row>
    <row r="12" spans="1:15" x14ac:dyDescent="0.2">
      <c r="A12" s="11"/>
      <c r="B12" s="11"/>
      <c r="C12" s="11"/>
      <c r="D12" s="11"/>
      <c r="E12" s="11"/>
      <c r="F12" s="11"/>
      <c r="G12" s="11"/>
      <c r="H12" s="11"/>
      <c r="I12" s="11" t="str">
        <f>IF(ISBLANK($F12), "",_xlfn.XLOOKUP($F12,Constants!$A$2:$A$5,Constants!B$2:B$5))</f>
        <v/>
      </c>
      <c r="J12" s="11" t="str">
        <f>IF(ISBLANK($F12), "",_xlfn.XLOOKUP($F12,Constants!$A$2:$A$5,Constants!D$2:D$5))</f>
        <v/>
      </c>
      <c r="K12" s="11" t="str">
        <f>IF(ISBLANK($F12), "",_xlfn.XLOOKUP($F12,Constants!$A$2:$A$5,Constants!E$2:E$5))</f>
        <v/>
      </c>
      <c r="L12" s="11"/>
      <c r="M12" s="11"/>
      <c r="N12" s="11" t="s">
        <v>41</v>
      </c>
      <c r="O12" s="11">
        <v>0.23</v>
      </c>
    </row>
    <row r="13" spans="1:15" x14ac:dyDescent="0.2">
      <c r="A13" t="s">
        <v>76</v>
      </c>
      <c r="C13" t="s">
        <v>68</v>
      </c>
      <c r="D13" t="s">
        <v>73</v>
      </c>
      <c r="E13" t="b">
        <v>1</v>
      </c>
      <c r="F13" t="s">
        <v>94</v>
      </c>
      <c r="G13">
        <v>2250</v>
      </c>
      <c r="H13">
        <v>125</v>
      </c>
      <c r="L13" t="s">
        <v>16</v>
      </c>
      <c r="M13">
        <v>0.4</v>
      </c>
      <c r="N13" t="s">
        <v>19</v>
      </c>
      <c r="O13">
        <v>0.2</v>
      </c>
    </row>
    <row r="14" spans="1:15" x14ac:dyDescent="0.2">
      <c r="I14" t="str">
        <f>IF(ISBLANK($F14), "",_xlfn.XLOOKUP($F14,Constants!$A$2:$A$5,Constants!B$2:B$5))</f>
        <v/>
      </c>
      <c r="J14" t="str">
        <f>IF(ISBLANK($F14), "",_xlfn.XLOOKUP($F14,Constants!$A$2:$A$5,Constants!D$2:D$5))</f>
        <v/>
      </c>
      <c r="K14" t="str">
        <f>IF(ISBLANK($F14), "",_xlfn.XLOOKUP($F14,Constants!$A$2:$A$5,Constants!E$2:E$5))</f>
        <v/>
      </c>
      <c r="L14" t="s">
        <v>17</v>
      </c>
      <c r="M14">
        <v>0.3</v>
      </c>
      <c r="N14" t="s">
        <v>20</v>
      </c>
      <c r="O14">
        <v>0.25</v>
      </c>
    </row>
    <row r="15" spans="1:15" x14ac:dyDescent="0.2">
      <c r="I15" t="str">
        <f>IF(ISBLANK($F15), "",_xlfn.XLOOKUP($F15,Constants!$A$2:$A$5,Constants!B$2:B$5))</f>
        <v/>
      </c>
      <c r="J15" t="str">
        <f>IF(ISBLANK($F15), "",_xlfn.XLOOKUP($F15,Constants!$A$2:$A$5,Constants!D$2:D$5))</f>
        <v/>
      </c>
      <c r="K15" t="str">
        <f>IF(ISBLANK($F15), "",_xlfn.XLOOKUP($F15,Constants!$A$2:$A$5,Constants!E$2:E$5))</f>
        <v/>
      </c>
      <c r="L15" t="s">
        <v>18</v>
      </c>
      <c r="M15">
        <v>0.2</v>
      </c>
      <c r="N15" t="s">
        <v>22</v>
      </c>
      <c r="O15">
        <v>0.2</v>
      </c>
    </row>
    <row r="16" spans="1:15" x14ac:dyDescent="0.2">
      <c r="I16" t="str">
        <f>IF(ISBLANK($F16), "",_xlfn.XLOOKUP($F16,Constants!$A$2:$A$5,Constants!B$2:B$5))</f>
        <v/>
      </c>
      <c r="J16" t="str">
        <f>IF(ISBLANK($F16), "",_xlfn.XLOOKUP($F16,Constants!$A$2:$A$5,Constants!D$2:D$5))</f>
        <v/>
      </c>
      <c r="K16" t="str">
        <f>IF(ISBLANK($F16), "",_xlfn.XLOOKUP($F16,Constants!$A$2:$A$5,Constants!E$2:E$5))</f>
        <v/>
      </c>
      <c r="L16" t="s">
        <v>40</v>
      </c>
      <c r="M16">
        <v>0.1</v>
      </c>
      <c r="N16" t="s">
        <v>21</v>
      </c>
      <c r="O16">
        <v>0.25</v>
      </c>
    </row>
    <row r="17" spans="1:15" x14ac:dyDescent="0.2">
      <c r="A17" s="11"/>
      <c r="B17" s="11"/>
      <c r="C17" s="11"/>
      <c r="D17" s="11"/>
      <c r="E17" s="11"/>
      <c r="F17" s="11"/>
      <c r="G17" s="11"/>
      <c r="H17" s="11"/>
      <c r="I17" s="11" t="str">
        <f>IF(ISBLANK($F17), "",_xlfn.XLOOKUP($F17,Constants!$A$2:$A$5,Constants!B$2:B$5))</f>
        <v/>
      </c>
      <c r="J17" s="11" t="str">
        <f>IF(ISBLANK($F17), "",_xlfn.XLOOKUP($F17,Constants!$A$2:$A$5,Constants!D$2:D$5))</f>
        <v/>
      </c>
      <c r="K17" s="11" t="str">
        <f>IF(ISBLANK($F17), "",_xlfn.XLOOKUP($F17,Constants!$A$2:$A$5,Constants!E$2:E$5))</f>
        <v/>
      </c>
      <c r="L17" s="11"/>
      <c r="M17" s="11"/>
      <c r="N17" s="11" t="s">
        <v>41</v>
      </c>
      <c r="O17" s="11">
        <v>0.1</v>
      </c>
    </row>
    <row r="18" spans="1:15" x14ac:dyDescent="0.2">
      <c r="A18" t="s">
        <v>81</v>
      </c>
      <c r="C18" t="s">
        <v>67</v>
      </c>
      <c r="D18" t="s">
        <v>63</v>
      </c>
      <c r="E18" t="b">
        <v>1</v>
      </c>
      <c r="F18" t="s">
        <v>10</v>
      </c>
      <c r="G18">
        <v>3333</v>
      </c>
      <c r="H18">
        <v>111</v>
      </c>
      <c r="L18" t="s">
        <v>16</v>
      </c>
      <c r="M18">
        <v>0</v>
      </c>
      <c r="N18" t="s">
        <v>19</v>
      </c>
      <c r="O18">
        <v>0.34</v>
      </c>
    </row>
    <row r="19" spans="1:15" x14ac:dyDescent="0.2">
      <c r="I19" t="str">
        <f>IF(ISBLANK($F19), "",_xlfn.XLOOKUP($F19,Constants!$A$2:$A$5,Constants!B$2:B$5))</f>
        <v/>
      </c>
      <c r="J19" t="str">
        <f>IF(ISBLANK($F19), "",_xlfn.XLOOKUP($F19,Constants!$A$2:$A$5,Constants!D$2:D$5))</f>
        <v/>
      </c>
      <c r="K19" t="str">
        <f>IF(ISBLANK($F19), "",_xlfn.XLOOKUP($F19,Constants!$A$2:$A$5,Constants!E$2:E$5))</f>
        <v/>
      </c>
      <c r="L19" t="s">
        <v>17</v>
      </c>
      <c r="M19">
        <v>0.9</v>
      </c>
      <c r="N19" t="s">
        <v>20</v>
      </c>
      <c r="O19">
        <v>0.6</v>
      </c>
    </row>
    <row r="20" spans="1:15" x14ac:dyDescent="0.2">
      <c r="I20" t="str">
        <f>IF(ISBLANK($F20), "",_xlfn.XLOOKUP($F20,Constants!$A$2:$A$5,Constants!B$2:B$5))</f>
        <v/>
      </c>
      <c r="J20" t="str">
        <f>IF(ISBLANK($F20), "",_xlfn.XLOOKUP($F20,Constants!$A$2:$A$5,Constants!D$2:D$5))</f>
        <v/>
      </c>
      <c r="K20" t="str">
        <f>IF(ISBLANK($F20), "",_xlfn.XLOOKUP($F20,Constants!$A$2:$A$5,Constants!E$2:E$5))</f>
        <v/>
      </c>
      <c r="L20" t="s">
        <v>18</v>
      </c>
      <c r="M20">
        <v>0</v>
      </c>
      <c r="N20" t="s">
        <v>22</v>
      </c>
      <c r="O20">
        <v>0</v>
      </c>
    </row>
    <row r="21" spans="1:15" x14ac:dyDescent="0.2">
      <c r="I21" t="str">
        <f>IF(ISBLANK($F21), "",_xlfn.XLOOKUP($F21,Constants!$A$2:$A$5,Constants!B$2:B$5))</f>
        <v/>
      </c>
      <c r="J21" t="str">
        <f>IF(ISBLANK($F21), "",_xlfn.XLOOKUP($F21,Constants!$A$2:$A$5,Constants!D$2:D$5))</f>
        <v/>
      </c>
      <c r="K21" t="str">
        <f>IF(ISBLANK($F21), "",_xlfn.XLOOKUP($F21,Constants!$A$2:$A$5,Constants!E$2:E$5))</f>
        <v/>
      </c>
      <c r="L21" t="s">
        <v>40</v>
      </c>
      <c r="M21">
        <v>0.1</v>
      </c>
      <c r="N21" t="s">
        <v>21</v>
      </c>
      <c r="O21">
        <v>0</v>
      </c>
    </row>
    <row r="22" spans="1:15" x14ac:dyDescent="0.2">
      <c r="A22" s="11"/>
      <c r="B22" s="11"/>
      <c r="C22" s="11"/>
      <c r="D22" s="11"/>
      <c r="E22" s="11"/>
      <c r="F22" s="11"/>
      <c r="G22" s="11"/>
      <c r="H22" s="11"/>
      <c r="I22" s="11" t="str">
        <f>IF(ISBLANK($F22), "",_xlfn.XLOOKUP($F22,Constants!$A$2:$A$5,Constants!B$2:B$5))</f>
        <v/>
      </c>
      <c r="J22" s="11" t="str">
        <f>IF(ISBLANK($F22), "",_xlfn.XLOOKUP($F22,Constants!$A$2:$A$5,Constants!D$2:D$5))</f>
        <v/>
      </c>
      <c r="K22" s="11" t="str">
        <f>IF(ISBLANK($F22), "",_xlfn.XLOOKUP($F22,Constants!$A$2:$A$5,Constants!E$2:E$5))</f>
        <v/>
      </c>
      <c r="L22" s="11"/>
      <c r="M22" s="11"/>
      <c r="N22" s="11" t="s">
        <v>41</v>
      </c>
      <c r="O22" s="11">
        <v>0.06</v>
      </c>
    </row>
    <row r="23" spans="1:15" x14ac:dyDescent="0.2">
      <c r="A23" t="s">
        <v>77</v>
      </c>
      <c r="C23" t="s">
        <v>70</v>
      </c>
      <c r="D23" t="s">
        <v>73</v>
      </c>
      <c r="E23" t="b">
        <v>1</v>
      </c>
      <c r="F23" t="s">
        <v>11</v>
      </c>
      <c r="G23">
        <v>1234</v>
      </c>
      <c r="H23">
        <v>150</v>
      </c>
      <c r="L23" t="s">
        <v>16</v>
      </c>
      <c r="M23">
        <v>0.1</v>
      </c>
      <c r="N23" t="s">
        <v>19</v>
      </c>
      <c r="O23">
        <v>0.5</v>
      </c>
    </row>
    <row r="24" spans="1:15" x14ac:dyDescent="0.2">
      <c r="I24" t="str">
        <f>IF(ISBLANK($F24), "",_xlfn.XLOOKUP($F24,Constants!$A$2:$A$5,Constants!B$2:B$5))</f>
        <v/>
      </c>
      <c r="J24" t="str">
        <f>IF(ISBLANK($F24), "",_xlfn.XLOOKUP($F24,Constants!$A$2:$A$5,Constants!D$2:D$5))</f>
        <v/>
      </c>
      <c r="K24" t="str">
        <f>IF(ISBLANK($F24), "",_xlfn.XLOOKUP($F24,Constants!$A$2:$A$5,Constants!E$2:E$5))</f>
        <v/>
      </c>
      <c r="L24" t="s">
        <v>17</v>
      </c>
      <c r="M24">
        <v>0</v>
      </c>
      <c r="N24" t="s">
        <v>20</v>
      </c>
      <c r="O24">
        <v>0.25</v>
      </c>
    </row>
    <row r="25" spans="1:15" x14ac:dyDescent="0.2">
      <c r="I25" t="str">
        <f>IF(ISBLANK($F25), "",_xlfn.XLOOKUP($F25,Constants!$A$2:$A$5,Constants!B$2:B$5))</f>
        <v/>
      </c>
      <c r="J25" t="str">
        <f>IF(ISBLANK($F25), "",_xlfn.XLOOKUP($F25,Constants!$A$2:$A$5,Constants!D$2:D$5))</f>
        <v/>
      </c>
      <c r="K25" t="str">
        <f>IF(ISBLANK($F25), "",_xlfn.XLOOKUP($F25,Constants!$A$2:$A$5,Constants!E$2:E$5))</f>
        <v/>
      </c>
      <c r="L25" t="s">
        <v>18</v>
      </c>
      <c r="M25">
        <v>0</v>
      </c>
      <c r="N25" t="s">
        <v>22</v>
      </c>
      <c r="O25">
        <v>0.25</v>
      </c>
    </row>
    <row r="26" spans="1:15" x14ac:dyDescent="0.2">
      <c r="I26" t="str">
        <f>IF(ISBLANK($F26), "",_xlfn.XLOOKUP($F26,Constants!$A$2:$A$5,Constants!B$2:B$5))</f>
        <v/>
      </c>
      <c r="J26" t="str">
        <f>IF(ISBLANK($F26), "",_xlfn.XLOOKUP($F26,Constants!$A$2:$A$5,Constants!D$2:D$5))</f>
        <v/>
      </c>
      <c r="K26" t="str">
        <f>IF(ISBLANK($F26), "",_xlfn.XLOOKUP($F26,Constants!$A$2:$A$5,Constants!E$2:E$5))</f>
        <v/>
      </c>
      <c r="L26" t="s">
        <v>40</v>
      </c>
      <c r="M26">
        <v>0.9</v>
      </c>
      <c r="N26" t="s">
        <v>21</v>
      </c>
      <c r="O26">
        <v>0</v>
      </c>
    </row>
    <row r="27" spans="1:15" x14ac:dyDescent="0.2">
      <c r="A27" s="11"/>
      <c r="B27" s="11"/>
      <c r="C27" s="11"/>
      <c r="D27" s="11"/>
      <c r="E27" s="11"/>
      <c r="F27" s="11"/>
      <c r="G27" s="11"/>
      <c r="H27" s="11"/>
      <c r="I27" s="11" t="str">
        <f>IF(ISBLANK($F27), "",_xlfn.XLOOKUP($F27,Constants!$A$2:$A$5,Constants!B$2:B$5))</f>
        <v/>
      </c>
      <c r="J27" s="11" t="str">
        <f>IF(ISBLANK($F27), "",_xlfn.XLOOKUP($F27,Constants!$A$2:$A$5,Constants!D$2:D$5))</f>
        <v/>
      </c>
      <c r="K27" s="11" t="str">
        <f>IF(ISBLANK($F27), "",_xlfn.XLOOKUP($F27,Constants!$A$2:$A$5,Constants!E$2:E$5))</f>
        <v/>
      </c>
      <c r="L27" s="11"/>
      <c r="M27" s="11"/>
      <c r="N27" s="11" t="s">
        <v>41</v>
      </c>
      <c r="O27" s="11">
        <v>0</v>
      </c>
    </row>
    <row r="29" spans="1:15" x14ac:dyDescent="0.2">
      <c r="A29" t="s">
        <v>115</v>
      </c>
    </row>
    <row r="30" spans="1:15" x14ac:dyDescent="0.2">
      <c r="K30" t="s">
        <v>0</v>
      </c>
    </row>
    <row r="31" spans="1:15" x14ac:dyDescent="0.2">
      <c r="A31" t="s">
        <v>1</v>
      </c>
      <c r="C31" t="s">
        <v>1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  <c r="L31" t="s">
        <v>1</v>
      </c>
      <c r="M31" t="s">
        <v>1</v>
      </c>
      <c r="N31" t="s">
        <v>1</v>
      </c>
      <c r="O31" t="s">
        <v>1</v>
      </c>
    </row>
    <row r="33" spans="1:15" x14ac:dyDescent="0.2">
      <c r="A33" t="s">
        <v>35</v>
      </c>
      <c r="B33" t="s">
        <v>43</v>
      </c>
      <c r="C33" t="s">
        <v>42</v>
      </c>
      <c r="D33" t="s">
        <v>62</v>
      </c>
      <c r="E33" t="s">
        <v>65</v>
      </c>
      <c r="F33" t="s">
        <v>28</v>
      </c>
      <c r="G33" t="s">
        <v>2</v>
      </c>
      <c r="H33" t="s">
        <v>3</v>
      </c>
      <c r="I33" t="s">
        <v>44</v>
      </c>
      <c r="J33" t="s">
        <v>46</v>
      </c>
      <c r="K33" t="s">
        <v>49</v>
      </c>
      <c r="L33" t="s">
        <v>36</v>
      </c>
      <c r="M33" t="s">
        <v>57</v>
      </c>
      <c r="N33" t="s">
        <v>37</v>
      </c>
      <c r="O33" t="s">
        <v>60</v>
      </c>
    </row>
    <row r="35" spans="1:15" x14ac:dyDescent="0.2">
      <c r="A35" s="1" t="s">
        <v>26</v>
      </c>
      <c r="B35" s="1" t="s">
        <v>26</v>
      </c>
      <c r="C35" s="1"/>
      <c r="D35" s="1" t="s">
        <v>64</v>
      </c>
      <c r="E35" s="1" t="s">
        <v>66</v>
      </c>
      <c r="F35" s="1" t="s">
        <v>25</v>
      </c>
      <c r="G35" s="1" t="s">
        <v>4</v>
      </c>
      <c r="H35" s="1" t="s">
        <v>5</v>
      </c>
      <c r="I35" s="1" t="s">
        <v>6</v>
      </c>
      <c r="J35" s="1" t="s">
        <v>7</v>
      </c>
      <c r="K35" s="1" t="s">
        <v>95</v>
      </c>
      <c r="L35" s="1" t="s">
        <v>59</v>
      </c>
      <c r="M35" s="1" t="s">
        <v>38</v>
      </c>
      <c r="N35" s="1" t="s">
        <v>39</v>
      </c>
      <c r="O35" s="1" t="s">
        <v>53</v>
      </c>
    </row>
    <row r="36" spans="1:15" x14ac:dyDescent="0.2">
      <c r="A36" t="s">
        <v>61</v>
      </c>
      <c r="B36" t="s">
        <v>113</v>
      </c>
      <c r="C36" t="s">
        <v>71</v>
      </c>
      <c r="D36" t="s">
        <v>63</v>
      </c>
      <c r="E36" t="b">
        <v>1</v>
      </c>
      <c r="F36" t="s">
        <v>9</v>
      </c>
      <c r="G36">
        <v>5000</v>
      </c>
      <c r="H36">
        <v>50</v>
      </c>
      <c r="M36">
        <v>0.1</v>
      </c>
      <c r="N36" t="s">
        <v>19</v>
      </c>
      <c r="O36">
        <v>0.15</v>
      </c>
    </row>
    <row r="37" spans="1:15" x14ac:dyDescent="0.2">
      <c r="I37" t="str">
        <f>IF(ISBLANK($F37), "",_xlfn.XLOOKUP($F37,Constants!$A$2:$A$5,Constants!B$2:B$5))</f>
        <v/>
      </c>
      <c r="J37" t="str">
        <f>IF(ISBLANK($F37), "",_xlfn.XLOOKUP($F37,Constants!$A$2:$A$5,Constants!D$2:D$5))</f>
        <v/>
      </c>
      <c r="K37" t="str">
        <f>IF(ISBLANK($F37), "",_xlfn.XLOOKUP($F37,Constants!$A$2:$A$5,Constants!E$2:E$5))</f>
        <v/>
      </c>
      <c r="M37">
        <v>0.2</v>
      </c>
      <c r="N37" t="s">
        <v>20</v>
      </c>
      <c r="O37">
        <v>0.2</v>
      </c>
    </row>
    <row r="38" spans="1:15" x14ac:dyDescent="0.2">
      <c r="I38" t="str">
        <f>IF(ISBLANK($F38), "",_xlfn.XLOOKUP($F38,Constants!$A$2:$A$5,Constants!B$2:B$5))</f>
        <v/>
      </c>
      <c r="J38" t="str">
        <f>IF(ISBLANK($F38), "",_xlfn.XLOOKUP($F38,Constants!$A$2:$A$5,Constants!D$2:D$5))</f>
        <v/>
      </c>
      <c r="K38" t="str">
        <f>IF(ISBLANK($F38), "",_xlfn.XLOOKUP($F38,Constants!$A$2:$A$5,Constants!E$2:E$5))</f>
        <v/>
      </c>
      <c r="M38">
        <v>0.3</v>
      </c>
      <c r="N38" t="s">
        <v>22</v>
      </c>
      <c r="O38">
        <v>0.25</v>
      </c>
    </row>
    <row r="39" spans="1:15" x14ac:dyDescent="0.2">
      <c r="I39" t="str">
        <f>IF(ISBLANK($F39), "",_xlfn.XLOOKUP($F39,Constants!$A$2:$A$5,Constants!B$2:B$5))</f>
        <v/>
      </c>
      <c r="J39" t="str">
        <f>IF(ISBLANK($F39), "",_xlfn.XLOOKUP($F39,Constants!$A$2:$A$5,Constants!D$2:D$5))</f>
        <v/>
      </c>
      <c r="K39" t="str">
        <f>IF(ISBLANK($F39), "",_xlfn.XLOOKUP($F39,Constants!$A$2:$A$5,Constants!E$2:E$5))</f>
        <v/>
      </c>
      <c r="M39">
        <v>0.4</v>
      </c>
      <c r="N39" t="s">
        <v>21</v>
      </c>
      <c r="O39">
        <v>0.17</v>
      </c>
    </row>
    <row r="40" spans="1:15" x14ac:dyDescent="0.2">
      <c r="A40" s="11"/>
      <c r="B40" s="11"/>
      <c r="C40" s="11"/>
      <c r="D40" s="11"/>
      <c r="E40" s="11"/>
      <c r="F40" s="11"/>
      <c r="G40" s="11"/>
      <c r="H40" s="11"/>
      <c r="I40" s="11" t="str">
        <f>IF(ISBLANK($F40), "",_xlfn.XLOOKUP($F40,Constants!$A$2:$A$5,Constants!B$2:B$5))</f>
        <v/>
      </c>
      <c r="J40" s="11" t="str">
        <f>IF(ISBLANK($F40), "",_xlfn.XLOOKUP($F40,Constants!$A$2:$A$5,Constants!D$2:D$5))</f>
        <v/>
      </c>
      <c r="K40" s="11" t="str">
        <f>IF(ISBLANK($F40), "",_xlfn.XLOOKUP($F40,Constants!$A$2:$A$5,Constants!E$2:E$5))</f>
        <v/>
      </c>
      <c r="L40" s="11"/>
      <c r="M40" s="11"/>
      <c r="N40" s="11" t="s">
        <v>41</v>
      </c>
      <c r="O40" s="11">
        <v>0.23</v>
      </c>
    </row>
    <row r="41" spans="1:15" x14ac:dyDescent="0.2">
      <c r="A41" t="s">
        <v>76</v>
      </c>
      <c r="B41">
        <v>14</v>
      </c>
      <c r="C41" t="s">
        <v>68</v>
      </c>
      <c r="D41" t="s">
        <v>73</v>
      </c>
      <c r="E41" t="b">
        <v>1</v>
      </c>
      <c r="F41" t="s">
        <v>94</v>
      </c>
      <c r="G41">
        <v>2250</v>
      </c>
      <c r="H41">
        <v>125</v>
      </c>
      <c r="L41" t="s">
        <v>16</v>
      </c>
      <c r="M41">
        <v>0.4</v>
      </c>
      <c r="N41" t="s">
        <v>19</v>
      </c>
      <c r="O41">
        <v>0.2</v>
      </c>
    </row>
    <row r="42" spans="1:15" x14ac:dyDescent="0.2">
      <c r="I42" t="str">
        <f>IF(ISBLANK($F42), "",_xlfn.XLOOKUP($F42,Constants!$A$2:$A$5,Constants!B$2:B$5))</f>
        <v/>
      </c>
      <c r="J42" t="str">
        <f>IF(ISBLANK($F42), "",_xlfn.XLOOKUP($F42,Constants!$A$2:$A$5,Constants!D$2:D$5))</f>
        <v/>
      </c>
      <c r="K42" t="str">
        <f>IF(ISBLANK($F42), "",_xlfn.XLOOKUP($F42,Constants!$A$2:$A$5,Constants!E$2:E$5))</f>
        <v/>
      </c>
      <c r="L42" t="s">
        <v>17</v>
      </c>
      <c r="M42">
        <v>0.3</v>
      </c>
      <c r="N42" t="s">
        <v>20</v>
      </c>
      <c r="O42">
        <v>0.25</v>
      </c>
    </row>
    <row r="43" spans="1:15" x14ac:dyDescent="0.2">
      <c r="I43" t="str">
        <f>IF(ISBLANK($F43), "",_xlfn.XLOOKUP($F43,Constants!$A$2:$A$5,Constants!B$2:B$5))</f>
        <v/>
      </c>
      <c r="J43" t="str">
        <f>IF(ISBLANK($F43), "",_xlfn.XLOOKUP($F43,Constants!$A$2:$A$5,Constants!D$2:D$5))</f>
        <v/>
      </c>
      <c r="K43" t="str">
        <f>IF(ISBLANK($F43), "",_xlfn.XLOOKUP($F43,Constants!$A$2:$A$5,Constants!E$2:E$5))</f>
        <v/>
      </c>
      <c r="L43" t="s">
        <v>18</v>
      </c>
      <c r="M43">
        <v>0.2</v>
      </c>
      <c r="N43" t="s">
        <v>22</v>
      </c>
      <c r="O43">
        <v>0.2</v>
      </c>
    </row>
    <row r="44" spans="1:15" x14ac:dyDescent="0.2">
      <c r="I44" t="str">
        <f>IF(ISBLANK($F44), "",_xlfn.XLOOKUP($F44,Constants!$A$2:$A$5,Constants!B$2:B$5))</f>
        <v/>
      </c>
      <c r="J44" t="str">
        <f>IF(ISBLANK($F44), "",_xlfn.XLOOKUP($F44,Constants!$A$2:$A$5,Constants!D$2:D$5))</f>
        <v/>
      </c>
      <c r="K44" t="str">
        <f>IF(ISBLANK($F44), "",_xlfn.XLOOKUP($F44,Constants!$A$2:$A$5,Constants!E$2:E$5))</f>
        <v/>
      </c>
      <c r="L44" t="s">
        <v>40</v>
      </c>
      <c r="M44">
        <v>0.1</v>
      </c>
      <c r="N44" t="s">
        <v>21</v>
      </c>
      <c r="O44">
        <v>0.25</v>
      </c>
    </row>
    <row r="45" spans="1:15" x14ac:dyDescent="0.2">
      <c r="A45" s="11"/>
      <c r="B45" s="11"/>
      <c r="C45" s="11"/>
      <c r="D45" s="11"/>
      <c r="E45" s="11"/>
      <c r="F45" s="11"/>
      <c r="G45" s="11"/>
      <c r="H45" s="11"/>
      <c r="I45" s="11" t="str">
        <f>IF(ISBLANK($F45), "",_xlfn.XLOOKUP($F45,Constants!$A$2:$A$5,Constants!B$2:B$5))</f>
        <v/>
      </c>
      <c r="J45" s="11" t="str">
        <f>IF(ISBLANK($F45), "",_xlfn.XLOOKUP($F45,Constants!$A$2:$A$5,Constants!D$2:D$5))</f>
        <v/>
      </c>
      <c r="K45" s="11" t="str">
        <f>IF(ISBLANK($F45), "",_xlfn.XLOOKUP($F45,Constants!$A$2:$A$5,Constants!E$2:E$5))</f>
        <v/>
      </c>
      <c r="L45" s="11"/>
      <c r="M45" s="11"/>
      <c r="N45" s="11" t="s">
        <v>41</v>
      </c>
      <c r="O45" s="11">
        <v>0.1</v>
      </c>
    </row>
    <row r="46" spans="1:15" x14ac:dyDescent="0.2">
      <c r="A46" t="s">
        <v>81</v>
      </c>
      <c r="B46">
        <v>15</v>
      </c>
      <c r="C46" t="s">
        <v>67</v>
      </c>
      <c r="D46" t="s">
        <v>63</v>
      </c>
      <c r="E46" t="b">
        <v>1</v>
      </c>
      <c r="F46" t="s">
        <v>10</v>
      </c>
      <c r="G46">
        <v>3333</v>
      </c>
      <c r="H46">
        <v>111</v>
      </c>
      <c r="L46" t="s">
        <v>16</v>
      </c>
      <c r="M46">
        <v>0</v>
      </c>
      <c r="N46" t="s">
        <v>19</v>
      </c>
      <c r="O46">
        <v>0.34</v>
      </c>
    </row>
    <row r="47" spans="1:15" x14ac:dyDescent="0.2">
      <c r="I47" t="str">
        <f>IF(ISBLANK($F47), "",_xlfn.XLOOKUP($F47,Constants!$A$2:$A$5,Constants!B$2:B$5))</f>
        <v/>
      </c>
      <c r="J47" t="str">
        <f>IF(ISBLANK($F47), "",_xlfn.XLOOKUP($F47,Constants!$A$2:$A$5,Constants!D$2:D$5))</f>
        <v/>
      </c>
      <c r="K47" t="str">
        <f>IF(ISBLANK($F47), "",_xlfn.XLOOKUP($F47,Constants!$A$2:$A$5,Constants!E$2:E$5))</f>
        <v/>
      </c>
      <c r="L47" t="s">
        <v>17</v>
      </c>
      <c r="M47">
        <v>0.9</v>
      </c>
      <c r="N47" t="s">
        <v>20</v>
      </c>
      <c r="O47">
        <v>0.6</v>
      </c>
    </row>
    <row r="48" spans="1:15" x14ac:dyDescent="0.2">
      <c r="I48" t="str">
        <f>IF(ISBLANK($F48), "",_xlfn.XLOOKUP($F48,Constants!$A$2:$A$5,Constants!B$2:B$5))</f>
        <v/>
      </c>
      <c r="J48" t="str">
        <f>IF(ISBLANK($F48), "",_xlfn.XLOOKUP($F48,Constants!$A$2:$A$5,Constants!D$2:D$5))</f>
        <v/>
      </c>
      <c r="K48" t="str">
        <f>IF(ISBLANK($F48), "",_xlfn.XLOOKUP($F48,Constants!$A$2:$A$5,Constants!E$2:E$5))</f>
        <v/>
      </c>
      <c r="L48" t="s">
        <v>18</v>
      </c>
      <c r="M48">
        <v>0</v>
      </c>
      <c r="N48" t="s">
        <v>22</v>
      </c>
      <c r="O48">
        <v>0</v>
      </c>
    </row>
    <row r="49" spans="1:15" x14ac:dyDescent="0.2">
      <c r="I49" t="str">
        <f>IF(ISBLANK($F49), "",_xlfn.XLOOKUP($F49,Constants!$A$2:$A$5,Constants!B$2:B$5))</f>
        <v/>
      </c>
      <c r="J49" t="str">
        <f>IF(ISBLANK($F49), "",_xlfn.XLOOKUP($F49,Constants!$A$2:$A$5,Constants!D$2:D$5))</f>
        <v/>
      </c>
      <c r="K49" t="str">
        <f>IF(ISBLANK($F49), "",_xlfn.XLOOKUP($F49,Constants!$A$2:$A$5,Constants!E$2:E$5))</f>
        <v/>
      </c>
      <c r="L49" t="s">
        <v>40</v>
      </c>
      <c r="M49">
        <v>0.1</v>
      </c>
      <c r="N49" t="s">
        <v>21</v>
      </c>
      <c r="O49">
        <v>0</v>
      </c>
    </row>
    <row r="50" spans="1:15" x14ac:dyDescent="0.2">
      <c r="A50" s="11"/>
      <c r="B50" s="11"/>
      <c r="C50" s="11"/>
      <c r="D50" s="11"/>
      <c r="E50" s="11"/>
      <c r="F50" s="11"/>
      <c r="G50" s="11"/>
      <c r="H50" s="11"/>
      <c r="I50" s="11" t="str">
        <f>IF(ISBLANK($F50), "",_xlfn.XLOOKUP($F50,Constants!$A$2:$A$5,Constants!B$2:B$5))</f>
        <v/>
      </c>
      <c r="J50" s="11" t="str">
        <f>IF(ISBLANK($F50), "",_xlfn.XLOOKUP($F50,Constants!$A$2:$A$5,Constants!D$2:D$5))</f>
        <v/>
      </c>
      <c r="K50" s="11" t="str">
        <f>IF(ISBLANK($F50), "",_xlfn.XLOOKUP($F50,Constants!$A$2:$A$5,Constants!E$2:E$5))</f>
        <v/>
      </c>
      <c r="L50" s="11"/>
      <c r="M50" s="11"/>
      <c r="N50" s="11" t="s">
        <v>41</v>
      </c>
      <c r="O50" s="11">
        <v>0.06</v>
      </c>
    </row>
    <row r="51" spans="1:15" x14ac:dyDescent="0.2">
      <c r="A51" t="s">
        <v>77</v>
      </c>
      <c r="B51">
        <v>25</v>
      </c>
      <c r="C51" t="s">
        <v>70</v>
      </c>
      <c r="D51" t="s">
        <v>73</v>
      </c>
      <c r="E51" t="b">
        <v>1</v>
      </c>
      <c r="F51" t="s">
        <v>11</v>
      </c>
      <c r="G51">
        <v>1234</v>
      </c>
      <c r="H51">
        <v>150</v>
      </c>
      <c r="L51" t="s">
        <v>16</v>
      </c>
      <c r="M51">
        <v>0.1</v>
      </c>
      <c r="N51" t="s">
        <v>19</v>
      </c>
      <c r="O51">
        <v>0.5</v>
      </c>
    </row>
    <row r="52" spans="1:15" x14ac:dyDescent="0.2">
      <c r="I52" t="str">
        <f>IF(ISBLANK($F52), "",_xlfn.XLOOKUP($F52,Constants!$A$2:$A$5,Constants!B$2:B$5))</f>
        <v/>
      </c>
      <c r="J52" t="str">
        <f>IF(ISBLANK($F52), "",_xlfn.XLOOKUP($F52,Constants!$A$2:$A$5,Constants!D$2:D$5))</f>
        <v/>
      </c>
      <c r="K52" t="str">
        <f>IF(ISBLANK($F52), "",_xlfn.XLOOKUP($F52,Constants!$A$2:$A$5,Constants!E$2:E$5))</f>
        <v/>
      </c>
      <c r="L52" t="s">
        <v>17</v>
      </c>
      <c r="M52">
        <v>0</v>
      </c>
      <c r="N52" t="s">
        <v>20</v>
      </c>
      <c r="O52">
        <v>0.25</v>
      </c>
    </row>
    <row r="53" spans="1:15" x14ac:dyDescent="0.2">
      <c r="I53" t="str">
        <f>IF(ISBLANK($F53), "",_xlfn.XLOOKUP($F53,Constants!$A$2:$A$5,Constants!B$2:B$5))</f>
        <v/>
      </c>
      <c r="J53" t="str">
        <f>IF(ISBLANK($F53), "",_xlfn.XLOOKUP($F53,Constants!$A$2:$A$5,Constants!D$2:D$5))</f>
        <v/>
      </c>
      <c r="K53" t="str">
        <f>IF(ISBLANK($F53), "",_xlfn.XLOOKUP($F53,Constants!$A$2:$A$5,Constants!E$2:E$5))</f>
        <v/>
      </c>
      <c r="L53" t="s">
        <v>18</v>
      </c>
      <c r="M53">
        <v>0</v>
      </c>
      <c r="N53" t="s">
        <v>22</v>
      </c>
      <c r="O53">
        <v>0.25</v>
      </c>
    </row>
    <row r="54" spans="1:15" x14ac:dyDescent="0.2">
      <c r="I54" t="str">
        <f>IF(ISBLANK($F54), "",_xlfn.XLOOKUP($F54,Constants!$A$2:$A$5,Constants!B$2:B$5))</f>
        <v/>
      </c>
      <c r="J54" t="str">
        <f>IF(ISBLANK($F54), "",_xlfn.XLOOKUP($F54,Constants!$A$2:$A$5,Constants!D$2:D$5))</f>
        <v/>
      </c>
      <c r="K54" t="str">
        <f>IF(ISBLANK($F54), "",_xlfn.XLOOKUP($F54,Constants!$A$2:$A$5,Constants!E$2:E$5))</f>
        <v/>
      </c>
      <c r="L54" t="s">
        <v>40</v>
      </c>
      <c r="M54">
        <v>0.9</v>
      </c>
      <c r="N54" t="s">
        <v>21</v>
      </c>
      <c r="O54">
        <v>0</v>
      </c>
    </row>
    <row r="55" spans="1:15" x14ac:dyDescent="0.2">
      <c r="A55" s="11"/>
      <c r="B55" s="11"/>
      <c r="C55" s="11"/>
      <c r="D55" s="11"/>
      <c r="E55" s="11"/>
      <c r="F55" s="11"/>
      <c r="G55" s="11"/>
      <c r="H55" s="11"/>
      <c r="I55" s="11" t="str">
        <f>IF(ISBLANK($F55), "",_xlfn.XLOOKUP($F55,Constants!$A$2:$A$5,Constants!B$2:B$5))</f>
        <v/>
      </c>
      <c r="J55" s="11" t="str">
        <f>IF(ISBLANK($F55), "",_xlfn.XLOOKUP($F55,Constants!$A$2:$A$5,Constants!D$2:D$5))</f>
        <v/>
      </c>
      <c r="K55" s="11" t="str">
        <f>IF(ISBLANK($F55), "",_xlfn.XLOOKUP($F55,Constants!$A$2:$A$5,Constants!E$2:E$5))</f>
        <v/>
      </c>
      <c r="L55" s="11"/>
      <c r="M55" s="11"/>
      <c r="N55" s="11" t="s">
        <v>41</v>
      </c>
      <c r="O55" s="11">
        <v>0</v>
      </c>
    </row>
    <row r="56" spans="1:15" x14ac:dyDescent="0.2">
      <c r="A56" t="s">
        <v>77</v>
      </c>
      <c r="B56">
        <v>25</v>
      </c>
      <c r="C56" t="s">
        <v>70</v>
      </c>
      <c r="D56" t="s">
        <v>73</v>
      </c>
      <c r="E56" t="b">
        <v>1</v>
      </c>
      <c r="F56" t="s">
        <v>11</v>
      </c>
      <c r="G56">
        <v>1234</v>
      </c>
      <c r="H56">
        <v>150</v>
      </c>
      <c r="L56" t="s">
        <v>16</v>
      </c>
      <c r="M56">
        <v>0.1</v>
      </c>
      <c r="N56" t="s">
        <v>19</v>
      </c>
      <c r="O56">
        <v>0.5</v>
      </c>
    </row>
    <row r="57" spans="1:15" x14ac:dyDescent="0.2">
      <c r="I57" t="str">
        <f>IF(ISBLANK($F57), "",_xlfn.XLOOKUP($F57,Constants!$A$2:$A$5,Constants!B$2:B$5))</f>
        <v/>
      </c>
      <c r="J57" t="str">
        <f>IF(ISBLANK($F57), "",_xlfn.XLOOKUP($F57,Constants!$A$2:$A$5,Constants!D$2:D$5))</f>
        <v/>
      </c>
      <c r="K57" t="str">
        <f>IF(ISBLANK($F57), "",_xlfn.XLOOKUP($F57,Constants!$A$2:$A$5,Constants!E$2:E$5))</f>
        <v/>
      </c>
      <c r="L57" t="s">
        <v>17</v>
      </c>
      <c r="M57">
        <v>0</v>
      </c>
      <c r="N57" t="s">
        <v>20</v>
      </c>
      <c r="O57">
        <v>0.25</v>
      </c>
    </row>
    <row r="58" spans="1:15" x14ac:dyDescent="0.2">
      <c r="I58" t="str">
        <f>IF(ISBLANK($F58), "",_xlfn.XLOOKUP($F58,Constants!$A$2:$A$5,Constants!B$2:B$5))</f>
        <v/>
      </c>
      <c r="J58" t="str">
        <f>IF(ISBLANK($F58), "",_xlfn.XLOOKUP($F58,Constants!$A$2:$A$5,Constants!D$2:D$5))</f>
        <v/>
      </c>
      <c r="K58" t="str">
        <f>IF(ISBLANK($F58), "",_xlfn.XLOOKUP($F58,Constants!$A$2:$A$5,Constants!E$2:E$5))</f>
        <v/>
      </c>
      <c r="L58" t="s">
        <v>18</v>
      </c>
      <c r="M58">
        <v>0</v>
      </c>
      <c r="N58" t="s">
        <v>22</v>
      </c>
      <c r="O58">
        <v>0.25</v>
      </c>
    </row>
    <row r="59" spans="1:15" x14ac:dyDescent="0.2">
      <c r="I59" t="str">
        <f>IF(ISBLANK($F59), "",_xlfn.XLOOKUP($F59,Constants!$A$2:$A$5,Constants!B$2:B$5))</f>
        <v/>
      </c>
      <c r="J59" t="str">
        <f>IF(ISBLANK($F59), "",_xlfn.XLOOKUP($F59,Constants!$A$2:$A$5,Constants!D$2:D$5))</f>
        <v/>
      </c>
      <c r="K59" t="str">
        <f>IF(ISBLANK($F59), "",_xlfn.XLOOKUP($F59,Constants!$A$2:$A$5,Constants!E$2:E$5))</f>
        <v/>
      </c>
      <c r="L59" t="s">
        <v>40</v>
      </c>
      <c r="M59">
        <v>0.9</v>
      </c>
      <c r="N59" t="s">
        <v>21</v>
      </c>
      <c r="O59">
        <v>0</v>
      </c>
    </row>
    <row r="60" spans="1:15" x14ac:dyDescent="0.2">
      <c r="A60" s="11"/>
      <c r="B60" s="11"/>
      <c r="C60" s="11"/>
      <c r="D60" s="11"/>
      <c r="E60" s="11"/>
      <c r="F60" s="11"/>
      <c r="G60" s="11"/>
      <c r="H60" s="11"/>
      <c r="I60" s="11" t="str">
        <f>IF(ISBLANK($F60), "",_xlfn.XLOOKUP($F60,Constants!$A$2:$A$5,Constants!B$2:B$5))</f>
        <v/>
      </c>
      <c r="J60" s="11" t="str">
        <f>IF(ISBLANK($F60), "",_xlfn.XLOOKUP($F60,Constants!$A$2:$A$5,Constants!D$2:D$5))</f>
        <v/>
      </c>
      <c r="K60" s="11" t="str">
        <f>IF(ISBLANK($F60), "",_xlfn.XLOOKUP($F60,Constants!$A$2:$A$5,Constants!E$2:E$5))</f>
        <v/>
      </c>
      <c r="L60" s="11"/>
      <c r="M60" s="11"/>
      <c r="N60" s="11" t="s">
        <v>41</v>
      </c>
      <c r="O60" s="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4F6A-1B9B-0E42-AF0E-0B61B3BE4291}">
  <dimension ref="A1:AE23"/>
  <sheetViews>
    <sheetView topLeftCell="S1" workbookViewId="0">
      <selection activeCell="E24" sqref="E24"/>
    </sheetView>
  </sheetViews>
  <sheetFormatPr baseColWidth="10" defaultRowHeight="16" x14ac:dyDescent="0.2"/>
  <sheetData>
    <row r="1" spans="1:31" x14ac:dyDescent="0.2">
      <c r="A1" t="s">
        <v>99</v>
      </c>
    </row>
    <row r="2" spans="1:31" x14ac:dyDescent="0.2">
      <c r="L2" t="s">
        <v>0</v>
      </c>
    </row>
    <row r="3" spans="1:31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K3" t="s">
        <v>1</v>
      </c>
      <c r="L3" t="s">
        <v>1</v>
      </c>
      <c r="M3" t="s">
        <v>1</v>
      </c>
    </row>
    <row r="5" spans="1:31" x14ac:dyDescent="0.2">
      <c r="A5" t="s">
        <v>35</v>
      </c>
      <c r="B5" t="s">
        <v>43</v>
      </c>
      <c r="C5" t="s">
        <v>42</v>
      </c>
      <c r="D5" t="s">
        <v>62</v>
      </c>
      <c r="E5" t="s">
        <v>65</v>
      </c>
      <c r="F5" t="s">
        <v>28</v>
      </c>
      <c r="G5" t="s">
        <v>2</v>
      </c>
      <c r="H5" t="s">
        <v>3</v>
      </c>
      <c r="I5" t="s">
        <v>44</v>
      </c>
      <c r="K5" t="s">
        <v>46</v>
      </c>
      <c r="L5" t="s">
        <v>49</v>
      </c>
      <c r="M5" t="s">
        <v>120</v>
      </c>
      <c r="Q5" t="s">
        <v>126</v>
      </c>
      <c r="V5" t="s">
        <v>127</v>
      </c>
      <c r="AA5" t="s">
        <v>128</v>
      </c>
    </row>
    <row r="6" spans="1:31" x14ac:dyDescent="0.2">
      <c r="M6" t="s">
        <v>16</v>
      </c>
      <c r="N6" t="s">
        <v>17</v>
      </c>
      <c r="O6" t="s">
        <v>18</v>
      </c>
      <c r="P6" t="s">
        <v>40</v>
      </c>
      <c r="Q6" t="s">
        <v>19</v>
      </c>
      <c r="R6" t="s">
        <v>20</v>
      </c>
      <c r="S6" t="s">
        <v>22</v>
      </c>
      <c r="T6" t="s">
        <v>21</v>
      </c>
      <c r="U6" t="s">
        <v>41</v>
      </c>
      <c r="V6" t="s">
        <v>19</v>
      </c>
      <c r="W6" t="s">
        <v>20</v>
      </c>
      <c r="X6" t="s">
        <v>22</v>
      </c>
      <c r="Y6" t="s">
        <v>21</v>
      </c>
      <c r="Z6" t="s">
        <v>41</v>
      </c>
      <c r="AA6" t="s">
        <v>19</v>
      </c>
      <c r="AB6" t="s">
        <v>20</v>
      </c>
      <c r="AC6" t="s">
        <v>22</v>
      </c>
      <c r="AD6" t="s">
        <v>21</v>
      </c>
      <c r="AE6" t="s">
        <v>41</v>
      </c>
    </row>
    <row r="7" spans="1:31" s="11" customFormat="1" x14ac:dyDescent="0.2">
      <c r="A7" s="14" t="s">
        <v>26</v>
      </c>
      <c r="B7" s="14" t="s">
        <v>26</v>
      </c>
      <c r="C7" s="14"/>
      <c r="D7" s="14" t="s">
        <v>64</v>
      </c>
      <c r="E7" s="14" t="s">
        <v>66</v>
      </c>
      <c r="F7" s="14" t="s">
        <v>25</v>
      </c>
      <c r="G7" s="14" t="s">
        <v>4</v>
      </c>
      <c r="H7" s="14" t="s">
        <v>5</v>
      </c>
      <c r="I7" s="14" t="s">
        <v>6</v>
      </c>
      <c r="J7" s="14"/>
      <c r="K7" s="14" t="s">
        <v>7</v>
      </c>
      <c r="L7" s="14" t="s">
        <v>95</v>
      </c>
      <c r="M7" s="14" t="s">
        <v>117</v>
      </c>
      <c r="N7" s="14" t="s">
        <v>116</v>
      </c>
      <c r="O7" s="14" t="s">
        <v>118</v>
      </c>
      <c r="P7" s="14" t="s">
        <v>119</v>
      </c>
      <c r="Q7" s="14" t="s">
        <v>121</v>
      </c>
      <c r="R7" s="14" t="s">
        <v>122</v>
      </c>
      <c r="S7" s="14" t="s">
        <v>123</v>
      </c>
      <c r="T7" s="14" t="s">
        <v>124</v>
      </c>
      <c r="U7" s="14" t="s">
        <v>125</v>
      </c>
      <c r="V7" s="14" t="s">
        <v>121</v>
      </c>
      <c r="W7" s="14" t="s">
        <v>122</v>
      </c>
      <c r="X7" s="14" t="s">
        <v>123</v>
      </c>
      <c r="Y7" s="14" t="s">
        <v>124</v>
      </c>
      <c r="Z7" s="14" t="s">
        <v>125</v>
      </c>
      <c r="AA7" s="14" t="s">
        <v>121</v>
      </c>
      <c r="AB7" s="14" t="s">
        <v>122</v>
      </c>
      <c r="AC7" s="14" t="s">
        <v>123</v>
      </c>
      <c r="AD7" s="14" t="s">
        <v>124</v>
      </c>
      <c r="AE7" s="14" t="s">
        <v>125</v>
      </c>
    </row>
    <row r="8" spans="1:31" x14ac:dyDescent="0.2">
      <c r="A8" t="s">
        <v>61</v>
      </c>
      <c r="C8" t="s">
        <v>71</v>
      </c>
      <c r="D8" t="s">
        <v>63</v>
      </c>
      <c r="E8" t="b">
        <v>1</v>
      </c>
      <c r="F8" t="s">
        <v>9</v>
      </c>
      <c r="G8">
        <v>5000</v>
      </c>
      <c r="H8">
        <v>50</v>
      </c>
      <c r="M8">
        <v>0.1</v>
      </c>
      <c r="N8">
        <v>0.2</v>
      </c>
      <c r="O8">
        <v>0.3</v>
      </c>
      <c r="P8">
        <v>0.4</v>
      </c>
      <c r="Q8">
        <v>0.15</v>
      </c>
      <c r="R8">
        <v>0.2</v>
      </c>
      <c r="S8">
        <v>0.25</v>
      </c>
      <c r="T8">
        <v>0.17</v>
      </c>
      <c r="U8">
        <v>0.23</v>
      </c>
      <c r="V8">
        <v>0.15</v>
      </c>
      <c r="W8">
        <v>0.2</v>
      </c>
      <c r="X8">
        <v>0.25</v>
      </c>
      <c r="Y8">
        <v>0.17</v>
      </c>
      <c r="Z8">
        <v>0.23</v>
      </c>
      <c r="AA8">
        <v>0.15</v>
      </c>
      <c r="AB8">
        <v>0.2</v>
      </c>
      <c r="AC8">
        <v>0.25</v>
      </c>
      <c r="AD8">
        <v>0.17</v>
      </c>
      <c r="AE8">
        <v>0.23</v>
      </c>
    </row>
    <row r="9" spans="1:31" x14ac:dyDescent="0.2">
      <c r="A9" t="s">
        <v>61</v>
      </c>
      <c r="C9" t="s">
        <v>71</v>
      </c>
      <c r="D9" t="s">
        <v>63</v>
      </c>
      <c r="E9" t="b">
        <v>1</v>
      </c>
      <c r="F9" t="s">
        <v>94</v>
      </c>
      <c r="G9">
        <v>5000</v>
      </c>
      <c r="H9">
        <v>50</v>
      </c>
      <c r="M9">
        <v>0.1</v>
      </c>
      <c r="N9">
        <v>0.2</v>
      </c>
      <c r="O9">
        <v>0.3</v>
      </c>
      <c r="P9">
        <v>0.4</v>
      </c>
      <c r="Q9">
        <v>0.15</v>
      </c>
      <c r="R9">
        <v>0.2</v>
      </c>
      <c r="S9">
        <v>0.25</v>
      </c>
      <c r="T9">
        <v>0.17</v>
      </c>
      <c r="U9">
        <v>0.23</v>
      </c>
      <c r="V9">
        <v>0.15</v>
      </c>
      <c r="W9">
        <v>0.2</v>
      </c>
      <c r="X9">
        <v>0.25</v>
      </c>
      <c r="Y9">
        <v>0.17</v>
      </c>
      <c r="Z9">
        <v>0.23</v>
      </c>
      <c r="AA9">
        <v>0.15</v>
      </c>
      <c r="AB9">
        <v>0.2</v>
      </c>
      <c r="AC9">
        <v>0.25</v>
      </c>
      <c r="AD9">
        <v>0.17</v>
      </c>
      <c r="AE9">
        <v>0.23</v>
      </c>
    </row>
    <row r="10" spans="1:31" x14ac:dyDescent="0.2">
      <c r="A10" t="s">
        <v>61</v>
      </c>
      <c r="C10" t="s">
        <v>71</v>
      </c>
      <c r="D10" t="s">
        <v>63</v>
      </c>
      <c r="E10" t="b">
        <v>1</v>
      </c>
      <c r="F10" t="s">
        <v>10</v>
      </c>
      <c r="G10">
        <v>5000</v>
      </c>
      <c r="H10">
        <v>50</v>
      </c>
      <c r="M10">
        <v>0.1</v>
      </c>
      <c r="N10">
        <v>0.2</v>
      </c>
      <c r="O10">
        <v>0.3</v>
      </c>
      <c r="P10">
        <v>0.4</v>
      </c>
      <c r="Q10">
        <v>0.15</v>
      </c>
      <c r="R10">
        <v>0.2</v>
      </c>
      <c r="S10">
        <v>0.25</v>
      </c>
      <c r="T10">
        <v>0.17</v>
      </c>
      <c r="U10">
        <v>0.23</v>
      </c>
      <c r="V10">
        <v>0.15</v>
      </c>
      <c r="W10">
        <v>0.2</v>
      </c>
      <c r="X10">
        <v>0.25</v>
      </c>
      <c r="Y10">
        <v>0.17</v>
      </c>
      <c r="Z10">
        <v>0.23</v>
      </c>
      <c r="AA10">
        <v>0.15</v>
      </c>
      <c r="AB10">
        <v>0.2</v>
      </c>
      <c r="AC10">
        <v>0.25</v>
      </c>
      <c r="AD10">
        <v>0.17</v>
      </c>
      <c r="AE10">
        <v>0.23</v>
      </c>
    </row>
    <row r="11" spans="1:31" s="11" customFormat="1" x14ac:dyDescent="0.2">
      <c r="A11" s="11" t="s">
        <v>61</v>
      </c>
      <c r="C11" s="11" t="s">
        <v>71</v>
      </c>
      <c r="D11" s="11" t="s">
        <v>63</v>
      </c>
      <c r="E11" s="11" t="b">
        <v>1</v>
      </c>
      <c r="F11" s="11" t="s">
        <v>11</v>
      </c>
      <c r="G11" s="11">
        <v>5000</v>
      </c>
      <c r="H11" s="11">
        <v>50</v>
      </c>
      <c r="M11" s="11">
        <v>0.1</v>
      </c>
      <c r="N11" s="11">
        <v>0.2</v>
      </c>
      <c r="O11" s="11">
        <v>0.3</v>
      </c>
      <c r="P11" s="11">
        <v>0.4</v>
      </c>
      <c r="Q11" s="11">
        <v>0.15</v>
      </c>
      <c r="R11" s="11">
        <v>0.2</v>
      </c>
      <c r="S11" s="11">
        <v>0.25</v>
      </c>
      <c r="T11" s="11">
        <v>0.17</v>
      </c>
      <c r="U11" s="11">
        <v>0.23</v>
      </c>
      <c r="V11" s="11">
        <v>0.15</v>
      </c>
      <c r="W11" s="11">
        <v>0.2</v>
      </c>
      <c r="X11" s="11">
        <v>0.25</v>
      </c>
      <c r="Y11" s="11">
        <v>0.17</v>
      </c>
      <c r="Z11" s="11">
        <v>0.23</v>
      </c>
      <c r="AA11" s="11">
        <v>0.15</v>
      </c>
      <c r="AB11" s="11">
        <v>0.2</v>
      </c>
      <c r="AC11" s="11">
        <v>0.25</v>
      </c>
      <c r="AD11" s="11">
        <v>0.17</v>
      </c>
      <c r="AE11" s="11">
        <v>0.23</v>
      </c>
    </row>
    <row r="12" spans="1:31" x14ac:dyDescent="0.2">
      <c r="A12" t="s">
        <v>76</v>
      </c>
      <c r="C12" t="s">
        <v>68</v>
      </c>
      <c r="D12" t="s">
        <v>73</v>
      </c>
      <c r="E12" t="b">
        <v>1</v>
      </c>
      <c r="F12" t="s">
        <v>9</v>
      </c>
      <c r="G12">
        <v>2250</v>
      </c>
      <c r="H12">
        <v>125</v>
      </c>
      <c r="M12">
        <v>0.4</v>
      </c>
      <c r="N12">
        <v>0.3</v>
      </c>
      <c r="O12">
        <v>0.2</v>
      </c>
      <c r="P12">
        <v>0.1</v>
      </c>
      <c r="Q12">
        <v>0.2</v>
      </c>
      <c r="R12">
        <v>0.25</v>
      </c>
      <c r="S12">
        <v>0.2</v>
      </c>
      <c r="T12">
        <v>0.25</v>
      </c>
      <c r="U12">
        <v>0.1</v>
      </c>
      <c r="V12">
        <v>0.2</v>
      </c>
      <c r="W12">
        <v>0.25</v>
      </c>
      <c r="X12">
        <v>0.2</v>
      </c>
      <c r="Y12">
        <v>0.25</v>
      </c>
      <c r="Z12">
        <v>0.1</v>
      </c>
      <c r="AA12">
        <v>0.2</v>
      </c>
      <c r="AB12">
        <v>0.25</v>
      </c>
      <c r="AC12">
        <v>0.2</v>
      </c>
      <c r="AD12">
        <v>0.25</v>
      </c>
      <c r="AE12">
        <v>0.1</v>
      </c>
    </row>
    <row r="13" spans="1:31" x14ac:dyDescent="0.2">
      <c r="A13" t="s">
        <v>76</v>
      </c>
      <c r="C13" t="s">
        <v>68</v>
      </c>
      <c r="D13" t="s">
        <v>73</v>
      </c>
      <c r="E13" t="b">
        <v>1</v>
      </c>
      <c r="F13" t="s">
        <v>94</v>
      </c>
      <c r="G13">
        <v>2250</v>
      </c>
      <c r="H13">
        <v>125</v>
      </c>
      <c r="M13">
        <v>0.4</v>
      </c>
      <c r="N13">
        <v>0.3</v>
      </c>
      <c r="O13">
        <v>0.2</v>
      </c>
      <c r="P13">
        <v>0.1</v>
      </c>
      <c r="Q13">
        <v>0.2</v>
      </c>
      <c r="R13">
        <v>0.25</v>
      </c>
      <c r="S13">
        <v>0.2</v>
      </c>
      <c r="T13">
        <v>0.25</v>
      </c>
      <c r="U13">
        <v>0.1</v>
      </c>
      <c r="V13">
        <v>0.2</v>
      </c>
      <c r="W13">
        <v>0.25</v>
      </c>
      <c r="X13">
        <v>0.2</v>
      </c>
      <c r="Y13">
        <v>0.25</v>
      </c>
      <c r="Z13">
        <v>0.1</v>
      </c>
      <c r="AA13">
        <v>0.2</v>
      </c>
      <c r="AB13">
        <v>0.25</v>
      </c>
      <c r="AC13">
        <v>0.2</v>
      </c>
      <c r="AD13">
        <v>0.25</v>
      </c>
      <c r="AE13">
        <v>0.1</v>
      </c>
    </row>
    <row r="14" spans="1:31" x14ac:dyDescent="0.2">
      <c r="A14" t="s">
        <v>76</v>
      </c>
      <c r="C14" t="s">
        <v>68</v>
      </c>
      <c r="D14" t="s">
        <v>73</v>
      </c>
      <c r="E14" t="b">
        <v>1</v>
      </c>
      <c r="F14" t="s">
        <v>10</v>
      </c>
      <c r="G14">
        <v>2250</v>
      </c>
      <c r="H14">
        <v>125</v>
      </c>
      <c r="M14">
        <v>0.4</v>
      </c>
      <c r="N14">
        <v>0.3</v>
      </c>
      <c r="O14">
        <v>0.2</v>
      </c>
      <c r="P14">
        <v>0.1</v>
      </c>
      <c r="Q14">
        <v>0.2</v>
      </c>
      <c r="R14">
        <v>0.25</v>
      </c>
      <c r="S14">
        <v>0.2</v>
      </c>
      <c r="T14">
        <v>0.25</v>
      </c>
      <c r="U14">
        <v>0.1</v>
      </c>
      <c r="V14">
        <v>0.2</v>
      </c>
      <c r="W14">
        <v>0.25</v>
      </c>
      <c r="X14">
        <v>0.2</v>
      </c>
      <c r="Y14">
        <v>0.25</v>
      </c>
      <c r="Z14">
        <v>0.1</v>
      </c>
      <c r="AA14">
        <v>0.2</v>
      </c>
      <c r="AB14">
        <v>0.25</v>
      </c>
      <c r="AC14">
        <v>0.2</v>
      </c>
      <c r="AD14">
        <v>0.25</v>
      </c>
      <c r="AE14">
        <v>0.1</v>
      </c>
    </row>
    <row r="15" spans="1:31" s="11" customFormat="1" x14ac:dyDescent="0.2">
      <c r="A15" s="11" t="s">
        <v>76</v>
      </c>
      <c r="C15" s="11" t="s">
        <v>68</v>
      </c>
      <c r="D15" s="11" t="s">
        <v>73</v>
      </c>
      <c r="E15" s="11" t="b">
        <v>1</v>
      </c>
      <c r="F15" s="11" t="s">
        <v>11</v>
      </c>
      <c r="G15" s="11">
        <v>2250</v>
      </c>
      <c r="H15" s="11">
        <v>125</v>
      </c>
      <c r="M15" s="11">
        <v>0.4</v>
      </c>
      <c r="N15" s="11">
        <v>0.3</v>
      </c>
      <c r="O15" s="11">
        <v>0.2</v>
      </c>
      <c r="P15" s="11">
        <v>0.1</v>
      </c>
      <c r="Q15" s="11">
        <v>0.2</v>
      </c>
      <c r="R15" s="11">
        <v>0.25</v>
      </c>
      <c r="S15" s="11">
        <v>0.2</v>
      </c>
      <c r="T15" s="11">
        <v>0.25</v>
      </c>
      <c r="U15" s="11">
        <v>0.1</v>
      </c>
      <c r="V15" s="11">
        <v>0.2</v>
      </c>
      <c r="W15" s="11">
        <v>0.25</v>
      </c>
      <c r="X15" s="11">
        <v>0.2</v>
      </c>
      <c r="Y15" s="11">
        <v>0.25</v>
      </c>
      <c r="Z15" s="11">
        <v>0.1</v>
      </c>
      <c r="AA15" s="11">
        <v>0.2</v>
      </c>
      <c r="AB15" s="11">
        <v>0.25</v>
      </c>
      <c r="AC15" s="11">
        <v>0.2</v>
      </c>
      <c r="AD15" s="11">
        <v>0.25</v>
      </c>
      <c r="AE15" s="11">
        <v>0.1</v>
      </c>
    </row>
    <row r="16" spans="1:31" x14ac:dyDescent="0.2">
      <c r="A16" t="s">
        <v>81</v>
      </c>
      <c r="C16" t="s">
        <v>67</v>
      </c>
      <c r="D16" t="s">
        <v>63</v>
      </c>
      <c r="E16" t="b">
        <v>1</v>
      </c>
      <c r="F16" t="s">
        <v>9</v>
      </c>
      <c r="G16">
        <v>3333</v>
      </c>
      <c r="H16">
        <v>111</v>
      </c>
      <c r="M16">
        <v>0</v>
      </c>
      <c r="N16">
        <v>0.9</v>
      </c>
      <c r="O16">
        <v>0</v>
      </c>
      <c r="P16">
        <v>0.1</v>
      </c>
      <c r="Q16">
        <v>0.34</v>
      </c>
      <c r="R16">
        <v>0.6</v>
      </c>
      <c r="S16">
        <v>0</v>
      </c>
      <c r="T16">
        <v>0</v>
      </c>
      <c r="U16">
        <v>0.06</v>
      </c>
      <c r="V16">
        <v>0.34</v>
      </c>
      <c r="W16">
        <v>0.6</v>
      </c>
      <c r="X16">
        <v>0</v>
      </c>
      <c r="Y16">
        <v>0</v>
      </c>
      <c r="Z16">
        <v>0.06</v>
      </c>
      <c r="AA16">
        <v>0.34</v>
      </c>
      <c r="AB16">
        <v>0.6</v>
      </c>
      <c r="AC16">
        <v>0</v>
      </c>
      <c r="AD16">
        <v>0</v>
      </c>
      <c r="AE16">
        <v>0.06</v>
      </c>
    </row>
    <row r="17" spans="1:31" x14ac:dyDescent="0.2">
      <c r="A17" t="s">
        <v>81</v>
      </c>
      <c r="C17" t="s">
        <v>67</v>
      </c>
      <c r="D17" t="s">
        <v>63</v>
      </c>
      <c r="E17" t="b">
        <v>1</v>
      </c>
      <c r="F17" t="s">
        <v>94</v>
      </c>
      <c r="G17">
        <v>3333</v>
      </c>
      <c r="H17">
        <v>111</v>
      </c>
      <c r="M17">
        <v>0</v>
      </c>
      <c r="N17">
        <v>0.9</v>
      </c>
      <c r="O17">
        <v>0</v>
      </c>
      <c r="P17">
        <v>0.1</v>
      </c>
      <c r="Q17">
        <v>0.34</v>
      </c>
      <c r="R17">
        <v>0.6</v>
      </c>
      <c r="S17">
        <v>0</v>
      </c>
      <c r="T17">
        <v>0</v>
      </c>
      <c r="U17">
        <v>0.06</v>
      </c>
      <c r="V17">
        <v>0.34</v>
      </c>
      <c r="W17">
        <v>0.6</v>
      </c>
      <c r="X17">
        <v>0</v>
      </c>
      <c r="Y17">
        <v>0</v>
      </c>
      <c r="Z17">
        <v>0.06</v>
      </c>
      <c r="AA17">
        <v>0.34</v>
      </c>
      <c r="AB17">
        <v>0.6</v>
      </c>
      <c r="AC17">
        <v>0</v>
      </c>
      <c r="AD17">
        <v>0</v>
      </c>
      <c r="AE17">
        <v>0.06</v>
      </c>
    </row>
    <row r="18" spans="1:31" x14ac:dyDescent="0.2">
      <c r="A18" t="s">
        <v>81</v>
      </c>
      <c r="C18" t="s">
        <v>67</v>
      </c>
      <c r="D18" t="s">
        <v>63</v>
      </c>
      <c r="E18" t="b">
        <v>1</v>
      </c>
      <c r="F18" t="s">
        <v>10</v>
      </c>
      <c r="G18">
        <v>3333</v>
      </c>
      <c r="H18">
        <v>111</v>
      </c>
      <c r="M18">
        <v>0</v>
      </c>
      <c r="N18">
        <v>0.9</v>
      </c>
      <c r="O18">
        <v>0</v>
      </c>
      <c r="P18">
        <v>0.1</v>
      </c>
      <c r="Q18">
        <v>0.34</v>
      </c>
      <c r="R18">
        <v>0.6</v>
      </c>
      <c r="S18">
        <v>0</v>
      </c>
      <c r="T18">
        <v>0</v>
      </c>
      <c r="U18">
        <v>0.06</v>
      </c>
      <c r="V18">
        <v>0.34</v>
      </c>
      <c r="W18">
        <v>0.6</v>
      </c>
      <c r="X18">
        <v>0</v>
      </c>
      <c r="Y18">
        <v>0</v>
      </c>
      <c r="Z18">
        <v>0.06</v>
      </c>
      <c r="AA18">
        <v>0.34</v>
      </c>
      <c r="AB18">
        <v>0.6</v>
      </c>
      <c r="AC18">
        <v>0</v>
      </c>
      <c r="AD18">
        <v>0</v>
      </c>
      <c r="AE18">
        <v>0.06</v>
      </c>
    </row>
    <row r="19" spans="1:31" s="11" customFormat="1" x14ac:dyDescent="0.2">
      <c r="A19" s="11" t="s">
        <v>81</v>
      </c>
      <c r="C19" s="11" t="s">
        <v>67</v>
      </c>
      <c r="D19" s="11" t="s">
        <v>63</v>
      </c>
      <c r="E19" s="11" t="b">
        <v>1</v>
      </c>
      <c r="F19" s="11" t="s">
        <v>11</v>
      </c>
      <c r="G19" s="11">
        <v>3333</v>
      </c>
      <c r="H19" s="11">
        <v>111</v>
      </c>
      <c r="M19" s="11">
        <v>0</v>
      </c>
      <c r="N19" s="11">
        <v>0.9</v>
      </c>
      <c r="O19" s="11">
        <v>0</v>
      </c>
      <c r="P19" s="11">
        <v>0.1</v>
      </c>
      <c r="Q19" s="11">
        <v>0.34</v>
      </c>
      <c r="R19" s="11">
        <v>0.6</v>
      </c>
      <c r="S19" s="11">
        <v>0</v>
      </c>
      <c r="T19" s="11">
        <v>0</v>
      </c>
      <c r="U19" s="11">
        <v>0.06</v>
      </c>
      <c r="V19" s="11">
        <v>0.34</v>
      </c>
      <c r="W19" s="11">
        <v>0.6</v>
      </c>
      <c r="X19" s="11">
        <v>0</v>
      </c>
      <c r="Y19" s="11">
        <v>0</v>
      </c>
      <c r="Z19" s="11">
        <v>0.06</v>
      </c>
      <c r="AA19" s="11">
        <v>0.34</v>
      </c>
      <c r="AB19" s="11">
        <v>0.6</v>
      </c>
      <c r="AC19" s="11">
        <v>0</v>
      </c>
      <c r="AD19" s="11">
        <v>0</v>
      </c>
      <c r="AE19" s="11">
        <v>0.06</v>
      </c>
    </row>
    <row r="20" spans="1:31" x14ac:dyDescent="0.2">
      <c r="A20" t="s">
        <v>77</v>
      </c>
      <c r="C20" t="s">
        <v>70</v>
      </c>
      <c r="D20" t="s">
        <v>73</v>
      </c>
      <c r="E20" t="b">
        <v>0</v>
      </c>
      <c r="F20" t="s">
        <v>9</v>
      </c>
      <c r="G20">
        <v>1234</v>
      </c>
      <c r="H20">
        <v>150</v>
      </c>
      <c r="M20">
        <v>0.1</v>
      </c>
      <c r="N20">
        <v>0</v>
      </c>
      <c r="O20">
        <v>0</v>
      </c>
      <c r="P20">
        <v>0.9</v>
      </c>
      <c r="Q20">
        <v>0.5</v>
      </c>
      <c r="R20">
        <v>0.25</v>
      </c>
      <c r="S20">
        <v>0.25</v>
      </c>
      <c r="T20">
        <v>0</v>
      </c>
      <c r="U20">
        <v>0</v>
      </c>
      <c r="V20">
        <v>0.5</v>
      </c>
      <c r="W20">
        <v>0.25</v>
      </c>
      <c r="X20">
        <v>0.25</v>
      </c>
      <c r="Y20">
        <v>0</v>
      </c>
      <c r="Z20">
        <v>0</v>
      </c>
      <c r="AA20">
        <v>0.5</v>
      </c>
      <c r="AB20">
        <v>0.25</v>
      </c>
      <c r="AC20">
        <v>0.25</v>
      </c>
      <c r="AD20">
        <v>0</v>
      </c>
      <c r="AE20">
        <v>0</v>
      </c>
    </row>
    <row r="21" spans="1:31" x14ac:dyDescent="0.2">
      <c r="A21" t="s">
        <v>77</v>
      </c>
      <c r="C21" t="s">
        <v>70</v>
      </c>
      <c r="D21" t="s">
        <v>73</v>
      </c>
      <c r="E21" t="b">
        <v>0</v>
      </c>
      <c r="F21" t="s">
        <v>94</v>
      </c>
      <c r="G21">
        <v>1234</v>
      </c>
      <c r="H21">
        <v>150</v>
      </c>
      <c r="M21">
        <v>0.1</v>
      </c>
      <c r="N21">
        <v>0</v>
      </c>
      <c r="O21">
        <v>0</v>
      </c>
      <c r="P21">
        <v>0.9</v>
      </c>
      <c r="Q21">
        <v>0.5</v>
      </c>
      <c r="R21">
        <v>0.25</v>
      </c>
      <c r="S21">
        <v>0.25</v>
      </c>
      <c r="T21">
        <v>0</v>
      </c>
      <c r="U21">
        <v>0</v>
      </c>
      <c r="V21">
        <v>0.5</v>
      </c>
      <c r="W21">
        <v>0.25</v>
      </c>
      <c r="X21">
        <v>0.25</v>
      </c>
      <c r="Y21">
        <v>0</v>
      </c>
      <c r="Z21">
        <v>0</v>
      </c>
      <c r="AA21">
        <v>0.5</v>
      </c>
      <c r="AB21">
        <v>0.25</v>
      </c>
      <c r="AC21">
        <v>0.25</v>
      </c>
      <c r="AD21">
        <v>0</v>
      </c>
      <c r="AE21">
        <v>0</v>
      </c>
    </row>
    <row r="22" spans="1:31" x14ac:dyDescent="0.2">
      <c r="A22" t="s">
        <v>77</v>
      </c>
      <c r="C22" t="s">
        <v>70</v>
      </c>
      <c r="D22" t="s">
        <v>73</v>
      </c>
      <c r="E22" t="b">
        <v>0</v>
      </c>
      <c r="F22" t="s">
        <v>10</v>
      </c>
      <c r="G22">
        <v>1234</v>
      </c>
      <c r="H22">
        <v>150</v>
      </c>
      <c r="M22">
        <v>0.1</v>
      </c>
      <c r="N22">
        <v>0</v>
      </c>
      <c r="O22">
        <v>0</v>
      </c>
      <c r="P22">
        <v>0.9</v>
      </c>
      <c r="Q22">
        <v>0.5</v>
      </c>
      <c r="R22">
        <v>0.25</v>
      </c>
      <c r="S22">
        <v>0.25</v>
      </c>
      <c r="T22">
        <v>0</v>
      </c>
      <c r="U22">
        <v>0</v>
      </c>
      <c r="V22">
        <v>0.5</v>
      </c>
      <c r="W22">
        <v>0.25</v>
      </c>
      <c r="X22">
        <v>0.25</v>
      </c>
      <c r="Y22">
        <v>0</v>
      </c>
      <c r="Z22">
        <v>0</v>
      </c>
      <c r="AA22">
        <v>0.5</v>
      </c>
      <c r="AB22">
        <v>0.25</v>
      </c>
      <c r="AC22">
        <v>0.25</v>
      </c>
      <c r="AD22">
        <v>0</v>
      </c>
      <c r="AE22">
        <v>0</v>
      </c>
    </row>
    <row r="23" spans="1:31" s="11" customFormat="1" x14ac:dyDescent="0.2">
      <c r="A23" s="11" t="s">
        <v>77</v>
      </c>
      <c r="C23" s="11" t="s">
        <v>70</v>
      </c>
      <c r="D23" s="11" t="s">
        <v>73</v>
      </c>
      <c r="E23" s="11" t="b">
        <v>0</v>
      </c>
      <c r="F23" s="11" t="s">
        <v>11</v>
      </c>
      <c r="G23" s="11">
        <v>1234</v>
      </c>
      <c r="H23" s="11">
        <v>150</v>
      </c>
      <c r="M23" s="11">
        <v>0.1</v>
      </c>
      <c r="N23" s="11">
        <v>0</v>
      </c>
      <c r="O23" s="11">
        <v>0</v>
      </c>
      <c r="P23" s="11">
        <v>0.9</v>
      </c>
      <c r="Q23" s="11">
        <v>0.5</v>
      </c>
      <c r="R23" s="11">
        <v>0.25</v>
      </c>
      <c r="S23" s="11">
        <v>0.25</v>
      </c>
      <c r="T23" s="11">
        <v>0</v>
      </c>
      <c r="U23" s="11">
        <v>0</v>
      </c>
      <c r="V23" s="11">
        <v>0.5</v>
      </c>
      <c r="W23" s="11">
        <v>0.25</v>
      </c>
      <c r="X23" s="11">
        <v>0.25</v>
      </c>
      <c r="Y23" s="11">
        <v>0</v>
      </c>
      <c r="Z23" s="11">
        <v>0</v>
      </c>
      <c r="AA23" s="11">
        <v>0.5</v>
      </c>
      <c r="AB23" s="11">
        <v>0.25</v>
      </c>
      <c r="AC23" s="11">
        <v>0.25</v>
      </c>
      <c r="AD23" s="11">
        <v>0</v>
      </c>
      <c r="AE23" s="1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O39"/>
  <sheetViews>
    <sheetView workbookViewId="0">
      <selection activeCell="A4" sqref="A4"/>
    </sheetView>
  </sheetViews>
  <sheetFormatPr baseColWidth="10" defaultRowHeight="16" x14ac:dyDescent="0.2"/>
  <cols>
    <col min="1" max="1" width="20.5" customWidth="1"/>
  </cols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50</v>
      </c>
      <c r="I1" s="2" t="s">
        <v>86</v>
      </c>
      <c r="J1" s="2" t="s">
        <v>102</v>
      </c>
      <c r="K1" s="2" t="s">
        <v>105</v>
      </c>
      <c r="L1" s="2" t="s">
        <v>108</v>
      </c>
      <c r="M1" s="2" t="s">
        <v>109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94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62</v>
      </c>
      <c r="J4" t="s">
        <v>74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63</v>
      </c>
      <c r="J5">
        <v>6.0000000000000001E-3</v>
      </c>
    </row>
    <row r="6" spans="1:13" x14ac:dyDescent="0.2">
      <c r="I6" t="s">
        <v>73</v>
      </c>
      <c r="J6">
        <v>2E-3</v>
      </c>
    </row>
    <row r="7" spans="1:13" x14ac:dyDescent="0.2">
      <c r="F7" t="s">
        <v>83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87</v>
      </c>
      <c r="F8" s="3" t="s">
        <v>61</v>
      </c>
      <c r="G8" s="3" t="s">
        <v>75</v>
      </c>
      <c r="H8" s="3" t="s">
        <v>76</v>
      </c>
      <c r="I8" s="3" t="s">
        <v>77</v>
      </c>
      <c r="J8" s="3" t="s">
        <v>78</v>
      </c>
      <c r="K8" s="3" t="s">
        <v>79</v>
      </c>
      <c r="L8" s="3" t="s">
        <v>80</v>
      </c>
      <c r="M8" s="3" t="s">
        <v>81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55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56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82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82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82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82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40</v>
      </c>
      <c r="C16" s="9" t="s">
        <v>82</v>
      </c>
      <c r="D16" s="9">
        <v>0.02</v>
      </c>
      <c r="E16" s="9" t="s">
        <v>82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5" x14ac:dyDescent="0.2">
      <c r="A17" s="8">
        <v>13</v>
      </c>
      <c r="B17" s="9" t="s">
        <v>41</v>
      </c>
      <c r="C17" s="9" t="s">
        <v>82</v>
      </c>
      <c r="D17" s="9" t="s">
        <v>82</v>
      </c>
      <c r="E17" s="9" t="s">
        <v>82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5" x14ac:dyDescent="0.2">
      <c r="A19" s="2" t="s">
        <v>42</v>
      </c>
      <c r="B19" s="2" t="s">
        <v>72</v>
      </c>
      <c r="D19" t="s">
        <v>112</v>
      </c>
    </row>
    <row r="20" spans="1:15" x14ac:dyDescent="0.2">
      <c r="A20" t="s">
        <v>71</v>
      </c>
      <c r="B20">
        <v>1.8E-3</v>
      </c>
      <c r="D20" s="2" t="s">
        <v>43</v>
      </c>
      <c r="E20" s="2" t="s">
        <v>16</v>
      </c>
      <c r="F20" s="2" t="s">
        <v>17</v>
      </c>
      <c r="G20" s="2" t="s">
        <v>18</v>
      </c>
      <c r="H20" s="2" t="s">
        <v>19</v>
      </c>
      <c r="I20" s="2" t="s">
        <v>20</v>
      </c>
      <c r="J20" s="2" t="s">
        <v>22</v>
      </c>
      <c r="K20" s="2" t="s">
        <v>21</v>
      </c>
      <c r="L20" s="2" t="s">
        <v>41</v>
      </c>
      <c r="N20" s="2"/>
      <c r="O20" s="2"/>
    </row>
    <row r="21" spans="1:15" x14ac:dyDescent="0.2">
      <c r="A21" t="s">
        <v>67</v>
      </c>
      <c r="B21">
        <v>5.8999999999999999E-3</v>
      </c>
      <c r="D21" s="9" t="s">
        <v>113</v>
      </c>
      <c r="E21">
        <v>1.4999999999999999E-2</v>
      </c>
      <c r="F21">
        <v>1.4999999999999999E-2</v>
      </c>
      <c r="G21">
        <v>1.4999999999999999E-2</v>
      </c>
      <c r="H21">
        <v>0.02</v>
      </c>
      <c r="I21">
        <v>5.0000000000000001E-3</v>
      </c>
      <c r="J21">
        <v>0.1</v>
      </c>
      <c r="K21">
        <v>0</v>
      </c>
      <c r="L21">
        <v>0</v>
      </c>
    </row>
    <row r="22" spans="1:15" x14ac:dyDescent="0.2">
      <c r="A22" t="s">
        <v>68</v>
      </c>
      <c r="B22">
        <v>7.0000000000000001E-3</v>
      </c>
      <c r="D22" s="9">
        <v>11</v>
      </c>
      <c r="E22">
        <v>1.4999999999999999E-2</v>
      </c>
      <c r="F22">
        <v>1.4999999999999999E-2</v>
      </c>
      <c r="G22">
        <v>1.4999999999999999E-2</v>
      </c>
      <c r="H22">
        <v>0.02</v>
      </c>
      <c r="I22">
        <v>5.0000000000000001E-3</v>
      </c>
      <c r="J22">
        <v>0.1</v>
      </c>
      <c r="K22">
        <v>0</v>
      </c>
      <c r="L22">
        <v>0</v>
      </c>
    </row>
    <row r="23" spans="1:15" x14ac:dyDescent="0.2">
      <c r="A23" t="s">
        <v>69</v>
      </c>
      <c r="B23">
        <v>2.8999999999999998E-3</v>
      </c>
      <c r="D23" s="9">
        <v>12</v>
      </c>
      <c r="E23">
        <v>1.4999999999999999E-2</v>
      </c>
      <c r="F23">
        <v>1.4999999999999999E-2</v>
      </c>
      <c r="G23">
        <v>1.4999999999999999E-2</v>
      </c>
      <c r="H23">
        <v>0.02</v>
      </c>
      <c r="I23">
        <v>5.0000000000000001E-3</v>
      </c>
      <c r="J23">
        <v>0.1</v>
      </c>
      <c r="K23">
        <v>0</v>
      </c>
      <c r="L23">
        <v>0</v>
      </c>
    </row>
    <row r="24" spans="1:15" x14ac:dyDescent="0.2">
      <c r="A24" t="s">
        <v>70</v>
      </c>
      <c r="B24">
        <v>8.0000000000000002E-3</v>
      </c>
      <c r="D24" s="9">
        <v>13</v>
      </c>
      <c r="E24">
        <v>1.4999999999999999E-2</v>
      </c>
      <c r="F24">
        <v>1.4999999999999999E-2</v>
      </c>
      <c r="G24">
        <v>1.4999999999999999E-2</v>
      </c>
      <c r="H24">
        <v>0.02</v>
      </c>
      <c r="I24">
        <v>5.0000000000000001E-3</v>
      </c>
      <c r="J24">
        <v>0.1</v>
      </c>
      <c r="K24">
        <v>0</v>
      </c>
      <c r="L24">
        <v>0</v>
      </c>
    </row>
    <row r="25" spans="1:15" x14ac:dyDescent="0.2">
      <c r="D25" s="9">
        <v>14</v>
      </c>
      <c r="E25">
        <v>1.4999999999999999E-2</v>
      </c>
      <c r="F25">
        <v>1.4999999999999999E-2</v>
      </c>
      <c r="G25">
        <v>1.4999999999999999E-2</v>
      </c>
      <c r="H25">
        <v>0.02</v>
      </c>
      <c r="I25">
        <v>0.01</v>
      </c>
      <c r="J25">
        <v>0.1</v>
      </c>
      <c r="K25">
        <v>0</v>
      </c>
      <c r="L25">
        <v>0</v>
      </c>
    </row>
    <row r="26" spans="1:15" x14ac:dyDescent="0.2">
      <c r="A26" s="2" t="s">
        <v>62</v>
      </c>
      <c r="B26" s="2" t="s">
        <v>74</v>
      </c>
      <c r="D26" s="1">
        <v>15</v>
      </c>
      <c r="E26">
        <v>1.4999999999999999E-2</v>
      </c>
      <c r="F26">
        <v>1.4999999999999999E-2</v>
      </c>
      <c r="G26">
        <v>1.4999999999999999E-2</v>
      </c>
      <c r="H26">
        <v>0.02</v>
      </c>
      <c r="I26">
        <v>0.01</v>
      </c>
      <c r="J26">
        <v>0.1</v>
      </c>
      <c r="K26">
        <v>0</v>
      </c>
      <c r="L26">
        <v>0</v>
      </c>
    </row>
    <row r="27" spans="1:15" x14ac:dyDescent="0.2">
      <c r="A27" t="s">
        <v>63</v>
      </c>
      <c r="B27">
        <v>6.0000000000000001E-3</v>
      </c>
      <c r="D27" s="1">
        <v>16</v>
      </c>
      <c r="E27">
        <v>1.4999999999999999E-2</v>
      </c>
      <c r="F27">
        <v>1.4999999999999999E-2</v>
      </c>
      <c r="G27">
        <v>1.4999999999999999E-2</v>
      </c>
      <c r="H27">
        <v>0.02</v>
      </c>
      <c r="I27">
        <v>0.01</v>
      </c>
      <c r="J27">
        <v>0.1</v>
      </c>
      <c r="K27">
        <v>0</v>
      </c>
      <c r="L27">
        <v>0</v>
      </c>
    </row>
    <row r="28" spans="1:15" x14ac:dyDescent="0.2">
      <c r="A28" t="s">
        <v>73</v>
      </c>
      <c r="B28">
        <v>2E-3</v>
      </c>
      <c r="D28" s="1">
        <v>17</v>
      </c>
      <c r="E28">
        <v>1.4999999999999999E-2</v>
      </c>
      <c r="F28">
        <v>1.4999999999999999E-2</v>
      </c>
      <c r="G28">
        <v>1.4999999999999999E-2</v>
      </c>
      <c r="H28">
        <v>0.02</v>
      </c>
      <c r="I28">
        <v>0.01</v>
      </c>
      <c r="J28">
        <v>0.1</v>
      </c>
      <c r="K28">
        <v>0</v>
      </c>
      <c r="L28">
        <v>0</v>
      </c>
    </row>
    <row r="29" spans="1:15" x14ac:dyDescent="0.2">
      <c r="D29" s="1">
        <v>18</v>
      </c>
      <c r="E29">
        <v>1.4999999999999999E-2</v>
      </c>
      <c r="F29">
        <v>1.4999999999999999E-2</v>
      </c>
      <c r="G29">
        <v>1.4999999999999999E-2</v>
      </c>
      <c r="H29">
        <v>0.02</v>
      </c>
      <c r="I29">
        <v>0.01</v>
      </c>
      <c r="J29">
        <v>0.1</v>
      </c>
      <c r="K29">
        <v>0</v>
      </c>
      <c r="L29">
        <v>0</v>
      </c>
    </row>
    <row r="30" spans="1:15" x14ac:dyDescent="0.2">
      <c r="D30" s="1">
        <v>19</v>
      </c>
      <c r="E30">
        <v>1.4999999999999999E-2</v>
      </c>
      <c r="F30">
        <v>1.4999999999999999E-2</v>
      </c>
      <c r="G30">
        <v>1.4999999999999999E-2</v>
      </c>
      <c r="H30">
        <v>0.02</v>
      </c>
      <c r="I30">
        <v>0.01</v>
      </c>
      <c r="J30">
        <v>0.1</v>
      </c>
      <c r="K30">
        <v>0</v>
      </c>
      <c r="L30">
        <v>0</v>
      </c>
    </row>
    <row r="31" spans="1:15" x14ac:dyDescent="0.2">
      <c r="D31" s="1">
        <v>20</v>
      </c>
      <c r="E31">
        <v>1.4999999999999999E-2</v>
      </c>
      <c r="F31">
        <v>1.4999999999999999E-2</v>
      </c>
      <c r="G31">
        <v>1.4999999999999999E-2</v>
      </c>
      <c r="H31">
        <v>0.02</v>
      </c>
      <c r="I31">
        <v>0.01</v>
      </c>
      <c r="J31">
        <v>0.1</v>
      </c>
      <c r="K31">
        <v>0</v>
      </c>
      <c r="L31">
        <v>0</v>
      </c>
    </row>
    <row r="32" spans="1:15" x14ac:dyDescent="0.2">
      <c r="D32" s="1">
        <v>21</v>
      </c>
      <c r="E32">
        <v>1.4999999999999999E-2</v>
      </c>
      <c r="F32">
        <v>1.4999999999999999E-2</v>
      </c>
      <c r="G32">
        <v>1.4999999999999999E-2</v>
      </c>
      <c r="H32">
        <v>0.02</v>
      </c>
      <c r="I32">
        <v>0.01</v>
      </c>
      <c r="J32">
        <v>0.1</v>
      </c>
      <c r="K32">
        <v>0</v>
      </c>
      <c r="L32">
        <v>0</v>
      </c>
    </row>
    <row r="33" spans="4:12" x14ac:dyDescent="0.2">
      <c r="D33" s="1">
        <v>22</v>
      </c>
      <c r="E33">
        <v>1.4999999999999999E-2</v>
      </c>
      <c r="F33">
        <v>1.4999999999999999E-2</v>
      </c>
      <c r="G33">
        <v>1.4999999999999999E-2</v>
      </c>
      <c r="H33">
        <v>0.02</v>
      </c>
      <c r="I33">
        <v>0.01</v>
      </c>
      <c r="J33">
        <v>0.1</v>
      </c>
      <c r="K33">
        <v>0</v>
      </c>
      <c r="L33">
        <v>0</v>
      </c>
    </row>
    <row r="34" spans="4:12" x14ac:dyDescent="0.2">
      <c r="D34" s="1">
        <v>23</v>
      </c>
      <c r="E34">
        <v>1.4999999999999999E-2</v>
      </c>
      <c r="F34">
        <v>1.4999999999999999E-2</v>
      </c>
      <c r="G34">
        <v>1.4999999999999999E-2</v>
      </c>
      <c r="H34">
        <v>0.02</v>
      </c>
      <c r="I34">
        <v>0.01</v>
      </c>
      <c r="J34">
        <v>0.1</v>
      </c>
      <c r="K34">
        <v>0</v>
      </c>
      <c r="L34">
        <v>0</v>
      </c>
    </row>
    <row r="35" spans="4:12" x14ac:dyDescent="0.2">
      <c r="D35" s="1">
        <v>24</v>
      </c>
      <c r="E35">
        <v>1.4999999999999999E-2</v>
      </c>
      <c r="F35">
        <v>1.4999999999999999E-2</v>
      </c>
      <c r="G35">
        <v>1.4999999999999999E-2</v>
      </c>
      <c r="H35">
        <v>0.02</v>
      </c>
      <c r="I35">
        <v>0.01</v>
      </c>
      <c r="J35">
        <v>0.1</v>
      </c>
      <c r="K35">
        <v>0</v>
      </c>
      <c r="L35">
        <v>0</v>
      </c>
    </row>
    <row r="36" spans="4:12" x14ac:dyDescent="0.2">
      <c r="D36" s="1">
        <v>25</v>
      </c>
      <c r="E36">
        <v>1.4999999999999999E-2</v>
      </c>
      <c r="F36">
        <v>1.4999999999999999E-2</v>
      </c>
      <c r="G36">
        <v>1.4999999999999999E-2</v>
      </c>
      <c r="H36">
        <v>0.02</v>
      </c>
      <c r="I36">
        <v>0.01</v>
      </c>
      <c r="J36">
        <v>0.1</v>
      </c>
      <c r="K36">
        <v>0</v>
      </c>
      <c r="L36">
        <v>0</v>
      </c>
    </row>
    <row r="37" spans="4:12" x14ac:dyDescent="0.2">
      <c r="D37" s="13">
        <v>26</v>
      </c>
      <c r="E37">
        <v>1.4999999999999999E-2</v>
      </c>
      <c r="F37">
        <v>1.4999999999999999E-2</v>
      </c>
      <c r="G37">
        <v>1.4999999999999999E-2</v>
      </c>
      <c r="H37">
        <v>0.02</v>
      </c>
      <c r="I37">
        <v>1.4999999999999999E-2</v>
      </c>
      <c r="J37">
        <v>0.1</v>
      </c>
      <c r="K37">
        <v>0</v>
      </c>
      <c r="L37">
        <v>0</v>
      </c>
    </row>
    <row r="38" spans="4:12" x14ac:dyDescent="0.2">
      <c r="D38" s="13">
        <v>27</v>
      </c>
      <c r="E38">
        <v>1.4999999999999999E-2</v>
      </c>
      <c r="F38">
        <v>1.4999999999999999E-2</v>
      </c>
      <c r="G38">
        <v>1.4999999999999999E-2</v>
      </c>
      <c r="H38">
        <v>0.02</v>
      </c>
      <c r="I38">
        <v>1.4999999999999999E-2</v>
      </c>
      <c r="J38">
        <v>0.1</v>
      </c>
      <c r="K38">
        <v>0</v>
      </c>
      <c r="L38">
        <v>0</v>
      </c>
    </row>
    <row r="39" spans="4:12" x14ac:dyDescent="0.2">
      <c r="D39" s="13" t="s">
        <v>114</v>
      </c>
      <c r="E39">
        <v>1.4999999999999999E-2</v>
      </c>
      <c r="F39">
        <v>1.4999999999999999E-2</v>
      </c>
      <c r="G39">
        <v>1.4999999999999999E-2</v>
      </c>
      <c r="H39">
        <v>0.02</v>
      </c>
      <c r="I39">
        <v>1.4999999999999999E-2</v>
      </c>
      <c r="J39">
        <v>0.1</v>
      </c>
      <c r="K39">
        <v>0</v>
      </c>
      <c r="L3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4.6.1.1</vt:lpstr>
      <vt:lpstr>4.6.1.3</vt:lpstr>
      <vt:lpstr>4.6.1.5</vt:lpstr>
      <vt:lpstr>4.6.1.7</vt:lpstr>
      <vt:lpstr>Input Scenarios (old)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2026-06-15T07:39:11Z</dcterms:modified>
</cp:coreProperties>
</file>