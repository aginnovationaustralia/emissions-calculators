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"/>
    </mc:Choice>
  </mc:AlternateContent>
  <xr:revisionPtr revIDLastSave="0" documentId="13_ncr:1_{9C17E295-9462-B64B-8EF0-E6EBC04BC2CD}" xr6:coauthVersionLast="47" xr6:coauthVersionMax="47" xr10:uidLastSave="{00000000-0000-0000-0000-000000000000}"/>
  <bookViews>
    <workbookView xWindow="0" yWindow="600" windowWidth="28800" windowHeight="15880" xr2:uid="{5678E890-3691-CF46-80E7-00FB1F103661}"/>
  </bookViews>
  <sheets>
    <sheet name="10.1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6" i="4" l="1"/>
  <c r="U56" i="4"/>
  <c r="T56" i="4"/>
  <c r="S56" i="4"/>
  <c r="R56" i="4"/>
  <c r="Q56" i="4"/>
  <c r="O56" i="4"/>
  <c r="N56" i="4"/>
  <c r="M56" i="4"/>
  <c r="L56" i="4"/>
  <c r="K56" i="4"/>
  <c r="I56" i="4"/>
  <c r="G56" i="4"/>
  <c r="F56" i="4"/>
  <c r="E56" i="4"/>
  <c r="V55" i="4"/>
  <c r="U55" i="4"/>
  <c r="T55" i="4"/>
  <c r="S55" i="4"/>
  <c r="R55" i="4"/>
  <c r="Q55" i="4"/>
  <c r="P55" i="4"/>
  <c r="O55" i="4"/>
  <c r="N55" i="4"/>
  <c r="M55" i="4"/>
  <c r="L55" i="4"/>
  <c r="K55" i="4"/>
  <c r="I55" i="4"/>
  <c r="G55" i="4"/>
  <c r="F55" i="4"/>
  <c r="E55" i="4"/>
  <c r="V54" i="4"/>
  <c r="U54" i="4"/>
  <c r="T54" i="4"/>
  <c r="S54" i="4"/>
  <c r="R54" i="4"/>
  <c r="Q54" i="4"/>
  <c r="P54" i="4"/>
  <c r="O54" i="4"/>
  <c r="N54" i="4"/>
  <c r="M54" i="4"/>
  <c r="L54" i="4"/>
  <c r="K54" i="4"/>
  <c r="I54" i="4"/>
  <c r="G54" i="4"/>
  <c r="E54" i="4"/>
  <c r="F54" i="4" s="1"/>
  <c r="V53" i="4"/>
  <c r="U53" i="4"/>
  <c r="T53" i="4"/>
  <c r="S53" i="4"/>
  <c r="R53" i="4"/>
  <c r="Q53" i="4"/>
  <c r="P53" i="4"/>
  <c r="O53" i="4"/>
  <c r="N53" i="4"/>
  <c r="M53" i="4"/>
  <c r="L53" i="4"/>
  <c r="K53" i="4"/>
  <c r="I53" i="4"/>
  <c r="G53" i="4"/>
  <c r="E53" i="4"/>
  <c r="F53" i="4" s="1"/>
  <c r="V52" i="4"/>
  <c r="U52" i="4"/>
  <c r="T52" i="4"/>
  <c r="S52" i="4"/>
  <c r="R52" i="4"/>
  <c r="Q52" i="4"/>
  <c r="O52" i="4"/>
  <c r="N52" i="4"/>
  <c r="M52" i="4"/>
  <c r="L52" i="4"/>
  <c r="K52" i="4"/>
  <c r="I52" i="4"/>
  <c r="G52" i="4"/>
  <c r="E52" i="4"/>
  <c r="F52" i="4" s="1"/>
  <c r="P52" i="4" s="1"/>
  <c r="V51" i="4"/>
  <c r="U51" i="4"/>
  <c r="T51" i="4"/>
  <c r="S51" i="4"/>
  <c r="R51" i="4"/>
  <c r="Q51" i="4"/>
  <c r="P51" i="4"/>
  <c r="O51" i="4"/>
  <c r="N51" i="4"/>
  <c r="M51" i="4"/>
  <c r="L51" i="4"/>
  <c r="K51" i="4"/>
  <c r="I51" i="4"/>
  <c r="G51" i="4"/>
  <c r="E51" i="4"/>
  <c r="F51" i="4" s="1"/>
  <c r="V50" i="4"/>
  <c r="U50" i="4"/>
  <c r="T50" i="4"/>
  <c r="S50" i="4"/>
  <c r="R50" i="4"/>
  <c r="Q50" i="4"/>
  <c r="P50" i="4"/>
  <c r="O50" i="4"/>
  <c r="N50" i="4"/>
  <c r="M50" i="4"/>
  <c r="L50" i="4"/>
  <c r="K50" i="4"/>
  <c r="I50" i="4"/>
  <c r="G50" i="4"/>
  <c r="F50" i="4"/>
  <c r="E50" i="4"/>
  <c r="V49" i="4"/>
  <c r="U49" i="4"/>
  <c r="T49" i="4"/>
  <c r="S49" i="4"/>
  <c r="R49" i="4"/>
  <c r="Q49" i="4"/>
  <c r="P49" i="4"/>
  <c r="O49" i="4"/>
  <c r="N49" i="4"/>
  <c r="M49" i="4"/>
  <c r="L49" i="4"/>
  <c r="K49" i="4"/>
  <c r="I49" i="4"/>
  <c r="G49" i="4"/>
  <c r="F49" i="4"/>
  <c r="E49" i="4"/>
  <c r="V48" i="4"/>
  <c r="U48" i="4"/>
  <c r="T48" i="4"/>
  <c r="S48" i="4"/>
  <c r="R48" i="4"/>
  <c r="Q48" i="4"/>
  <c r="P48" i="4"/>
  <c r="O48" i="4"/>
  <c r="N48" i="4"/>
  <c r="M48" i="4"/>
  <c r="L48" i="4"/>
  <c r="K48" i="4"/>
  <c r="I48" i="4"/>
  <c r="G48" i="4"/>
  <c r="F48" i="4"/>
  <c r="E48" i="4"/>
  <c r="V47" i="4"/>
  <c r="U47" i="4"/>
  <c r="T47" i="4"/>
  <c r="S47" i="4"/>
  <c r="R47" i="4"/>
  <c r="Q47" i="4"/>
  <c r="P47" i="4"/>
  <c r="O47" i="4"/>
  <c r="N47" i="4"/>
  <c r="M47" i="4"/>
  <c r="L47" i="4"/>
  <c r="K47" i="4"/>
  <c r="I47" i="4"/>
  <c r="G47" i="4"/>
  <c r="F47" i="4"/>
  <c r="E47" i="4"/>
  <c r="V46" i="4"/>
  <c r="U46" i="4"/>
  <c r="T46" i="4"/>
  <c r="S46" i="4"/>
  <c r="R46" i="4"/>
  <c r="Q46" i="4"/>
  <c r="O46" i="4"/>
  <c r="N46" i="4"/>
  <c r="M46" i="4"/>
  <c r="L46" i="4"/>
  <c r="K46" i="4"/>
  <c r="I46" i="4"/>
  <c r="G46" i="4"/>
  <c r="F46" i="4"/>
  <c r="P46" i="4" s="1"/>
  <c r="E46" i="4"/>
  <c r="V45" i="4"/>
  <c r="U45" i="4"/>
  <c r="T45" i="4"/>
  <c r="S45" i="4"/>
  <c r="R45" i="4"/>
  <c r="Q45" i="4"/>
  <c r="O45" i="4"/>
  <c r="N45" i="4"/>
  <c r="M45" i="4"/>
  <c r="L45" i="4"/>
  <c r="P45" i="4" s="1"/>
  <c r="K45" i="4"/>
  <c r="I45" i="4"/>
  <c r="G45" i="4"/>
  <c r="F45" i="4"/>
  <c r="H45" i="4" s="1"/>
  <c r="E45" i="4"/>
  <c r="V44" i="4"/>
  <c r="U44" i="4"/>
  <c r="T44" i="4"/>
  <c r="S44" i="4"/>
  <c r="R44" i="4"/>
  <c r="Q44" i="4"/>
  <c r="O44" i="4"/>
  <c r="N44" i="4"/>
  <c r="M44" i="4"/>
  <c r="L44" i="4"/>
  <c r="K44" i="4"/>
  <c r="I44" i="4"/>
  <c r="G44" i="4"/>
  <c r="E44" i="4"/>
  <c r="F44" i="4" s="1"/>
  <c r="V43" i="4"/>
  <c r="U43" i="4"/>
  <c r="T43" i="4"/>
  <c r="S43" i="4"/>
  <c r="R43" i="4"/>
  <c r="Q43" i="4"/>
  <c r="O43" i="4"/>
  <c r="N43" i="4"/>
  <c r="M43" i="4"/>
  <c r="L43" i="4"/>
  <c r="K43" i="4"/>
  <c r="I43" i="4"/>
  <c r="G43" i="4"/>
  <c r="E43" i="4"/>
  <c r="F43" i="4" s="1"/>
  <c r="W43" i="4" s="1"/>
  <c r="V42" i="4"/>
  <c r="U42" i="4"/>
  <c r="T42" i="4"/>
  <c r="S42" i="4"/>
  <c r="R42" i="4"/>
  <c r="Q42" i="4"/>
  <c r="O42" i="4"/>
  <c r="N42" i="4"/>
  <c r="M42" i="4"/>
  <c r="L42" i="4"/>
  <c r="K42" i="4"/>
  <c r="I42" i="4"/>
  <c r="G42" i="4"/>
  <c r="E42" i="4"/>
  <c r="F42" i="4" s="1"/>
  <c r="V41" i="4"/>
  <c r="U41" i="4"/>
  <c r="T41" i="4"/>
  <c r="S41" i="4"/>
  <c r="R41" i="4"/>
  <c r="Q41" i="4"/>
  <c r="O41" i="4"/>
  <c r="N41" i="4"/>
  <c r="M41" i="4"/>
  <c r="L41" i="4"/>
  <c r="K41" i="4"/>
  <c r="I41" i="4"/>
  <c r="G41" i="4"/>
  <c r="E41" i="4"/>
  <c r="F41" i="4" s="1"/>
  <c r="V40" i="4"/>
  <c r="U40" i="4"/>
  <c r="T40" i="4"/>
  <c r="S40" i="4"/>
  <c r="R40" i="4"/>
  <c r="Q40" i="4"/>
  <c r="O40" i="4"/>
  <c r="N40" i="4"/>
  <c r="M40" i="4"/>
  <c r="L40" i="4"/>
  <c r="K40" i="4"/>
  <c r="P40" i="4" s="1"/>
  <c r="I40" i="4"/>
  <c r="G40" i="4"/>
  <c r="F40" i="4"/>
  <c r="E40" i="4"/>
  <c r="V39" i="4"/>
  <c r="U39" i="4"/>
  <c r="T39" i="4"/>
  <c r="S39" i="4"/>
  <c r="R39" i="4"/>
  <c r="Q39" i="4"/>
  <c r="O39" i="4"/>
  <c r="N39" i="4"/>
  <c r="M39" i="4"/>
  <c r="L39" i="4"/>
  <c r="K39" i="4"/>
  <c r="I39" i="4"/>
  <c r="G39" i="4"/>
  <c r="F39" i="4"/>
  <c r="J39" i="4" s="1"/>
  <c r="E39" i="4"/>
  <c r="V38" i="4"/>
  <c r="U38" i="4"/>
  <c r="T38" i="4"/>
  <c r="S38" i="4"/>
  <c r="R38" i="4"/>
  <c r="Q38" i="4"/>
  <c r="O38" i="4"/>
  <c r="N38" i="4"/>
  <c r="M38" i="4"/>
  <c r="L38" i="4"/>
  <c r="K38" i="4"/>
  <c r="I38" i="4"/>
  <c r="G38" i="4"/>
  <c r="F38" i="4"/>
  <c r="P38" i="4" s="1"/>
  <c r="E38" i="4"/>
  <c r="V37" i="4"/>
  <c r="U37" i="4"/>
  <c r="T37" i="4"/>
  <c r="S37" i="4"/>
  <c r="R37" i="4"/>
  <c r="Q37" i="4"/>
  <c r="O37" i="4"/>
  <c r="P37" i="4" s="1"/>
  <c r="N37" i="4"/>
  <c r="M37" i="4"/>
  <c r="L37" i="4"/>
  <c r="K37" i="4"/>
  <c r="I37" i="4"/>
  <c r="G37" i="4"/>
  <c r="F37" i="4"/>
  <c r="W37" i="4" s="1"/>
  <c r="E37" i="4"/>
  <c r="U36" i="4"/>
  <c r="T36" i="4"/>
  <c r="S36" i="4"/>
  <c r="R36" i="4"/>
  <c r="Q36" i="4"/>
  <c r="N36" i="4"/>
  <c r="M36" i="4"/>
  <c r="L36" i="4"/>
  <c r="K36" i="4"/>
  <c r="I36" i="4"/>
  <c r="G36" i="4"/>
  <c r="F36" i="4"/>
  <c r="E36" i="4"/>
  <c r="U35" i="4"/>
  <c r="T35" i="4"/>
  <c r="S35" i="4"/>
  <c r="R35" i="4"/>
  <c r="Q35" i="4"/>
  <c r="O35" i="4"/>
  <c r="N35" i="4"/>
  <c r="M35" i="4"/>
  <c r="L35" i="4"/>
  <c r="K35" i="4"/>
  <c r="I35" i="4"/>
  <c r="G35" i="4"/>
  <c r="F35" i="4"/>
  <c r="E35" i="4"/>
  <c r="V34" i="4"/>
  <c r="U34" i="4"/>
  <c r="T34" i="4"/>
  <c r="S34" i="4"/>
  <c r="R34" i="4"/>
  <c r="Q34" i="4"/>
  <c r="N34" i="4"/>
  <c r="M34" i="4"/>
  <c r="L34" i="4"/>
  <c r="K34" i="4"/>
  <c r="I34" i="4"/>
  <c r="G34" i="4"/>
  <c r="E34" i="4"/>
  <c r="F34" i="4" s="1"/>
  <c r="U33" i="4"/>
  <c r="T33" i="4"/>
  <c r="S33" i="4"/>
  <c r="R33" i="4"/>
  <c r="Q33" i="4"/>
  <c r="N33" i="4"/>
  <c r="M33" i="4"/>
  <c r="L33" i="4"/>
  <c r="K33" i="4"/>
  <c r="I33" i="4"/>
  <c r="G33" i="4"/>
  <c r="E33" i="4"/>
  <c r="F33" i="4" s="1"/>
  <c r="U32" i="4"/>
  <c r="T32" i="4"/>
  <c r="S32" i="4"/>
  <c r="R32" i="4"/>
  <c r="Q32" i="4"/>
  <c r="N32" i="4"/>
  <c r="M32" i="4"/>
  <c r="L32" i="4"/>
  <c r="K32" i="4"/>
  <c r="I32" i="4"/>
  <c r="G32" i="4"/>
  <c r="E32" i="4"/>
  <c r="F32" i="4" s="1"/>
  <c r="U31" i="4"/>
  <c r="T31" i="4"/>
  <c r="S31" i="4"/>
  <c r="R31" i="4"/>
  <c r="Q31" i="4"/>
  <c r="P31" i="4"/>
  <c r="N31" i="4"/>
  <c r="M31" i="4"/>
  <c r="L31" i="4"/>
  <c r="K31" i="4"/>
  <c r="I31" i="4"/>
  <c r="G31" i="4"/>
  <c r="E31" i="4"/>
  <c r="F31" i="4" s="1"/>
  <c r="U30" i="4"/>
  <c r="T30" i="4"/>
  <c r="S30" i="4"/>
  <c r="R30" i="4"/>
  <c r="Q30" i="4"/>
  <c r="O30" i="4"/>
  <c r="N30" i="4"/>
  <c r="M30" i="4"/>
  <c r="L30" i="4"/>
  <c r="K30" i="4"/>
  <c r="I30" i="4"/>
  <c r="G30" i="4"/>
  <c r="F30" i="4"/>
  <c r="P30" i="4" s="1"/>
  <c r="E30" i="4"/>
  <c r="U29" i="4"/>
  <c r="T29" i="4"/>
  <c r="S29" i="4"/>
  <c r="R29" i="4"/>
  <c r="Q29" i="4"/>
  <c r="O29" i="4"/>
  <c r="N29" i="4"/>
  <c r="M29" i="4"/>
  <c r="L29" i="4"/>
  <c r="K29" i="4"/>
  <c r="I29" i="4"/>
  <c r="G29" i="4"/>
  <c r="F29" i="4"/>
  <c r="E29" i="4"/>
  <c r="U28" i="4"/>
  <c r="T28" i="4"/>
  <c r="S28" i="4"/>
  <c r="R28" i="4"/>
  <c r="Q28" i="4"/>
  <c r="O28" i="4"/>
  <c r="N28" i="4"/>
  <c r="M28" i="4"/>
  <c r="L28" i="4"/>
  <c r="K28" i="4"/>
  <c r="P28" i="4" s="1"/>
  <c r="I28" i="4"/>
  <c r="G28" i="4"/>
  <c r="F28" i="4"/>
  <c r="E28" i="4"/>
  <c r="V27" i="4"/>
  <c r="U27" i="4"/>
  <c r="T27" i="4"/>
  <c r="S27" i="4"/>
  <c r="R27" i="4"/>
  <c r="Q27" i="4"/>
  <c r="N27" i="4"/>
  <c r="M27" i="4"/>
  <c r="L27" i="4"/>
  <c r="K27" i="4"/>
  <c r="I27" i="4"/>
  <c r="G27" i="4"/>
  <c r="F27" i="4"/>
  <c r="E27" i="4"/>
  <c r="E25" i="4"/>
  <c r="F25" i="4"/>
  <c r="P25" i="4" s="1"/>
  <c r="G25" i="4"/>
  <c r="I25" i="4"/>
  <c r="K25" i="4"/>
  <c r="L25" i="4"/>
  <c r="M25" i="4"/>
  <c r="N25" i="4"/>
  <c r="Q25" i="4"/>
  <c r="R25" i="4"/>
  <c r="S25" i="4"/>
  <c r="T25" i="4"/>
  <c r="U25" i="4"/>
  <c r="E26" i="4"/>
  <c r="F26" i="4"/>
  <c r="G26" i="4"/>
  <c r="I26" i="4"/>
  <c r="K26" i="4"/>
  <c r="L26" i="4"/>
  <c r="M26" i="4"/>
  <c r="N26" i="4"/>
  <c r="Q26" i="4"/>
  <c r="R26" i="4"/>
  <c r="S26" i="4"/>
  <c r="T26" i="4"/>
  <c r="U26" i="4"/>
  <c r="V26" i="4"/>
  <c r="V20" i="4"/>
  <c r="U18" i="4"/>
  <c r="U19" i="4"/>
  <c r="U20" i="4"/>
  <c r="U21" i="4"/>
  <c r="U22" i="4"/>
  <c r="U23" i="4"/>
  <c r="U24" i="4"/>
  <c r="U17" i="4"/>
  <c r="Q18" i="4"/>
  <c r="R18" i="4"/>
  <c r="S18" i="4"/>
  <c r="Q19" i="4"/>
  <c r="R19" i="4"/>
  <c r="S19" i="4"/>
  <c r="Q20" i="4"/>
  <c r="R20" i="4"/>
  <c r="S20" i="4"/>
  <c r="Q21" i="4"/>
  <c r="R21" i="4"/>
  <c r="S21" i="4"/>
  <c r="Q22" i="4"/>
  <c r="R22" i="4"/>
  <c r="S22" i="4"/>
  <c r="Q23" i="4"/>
  <c r="R23" i="4"/>
  <c r="S23" i="4"/>
  <c r="Q24" i="4"/>
  <c r="R24" i="4"/>
  <c r="S24" i="4"/>
  <c r="I18" i="4"/>
  <c r="I19" i="4"/>
  <c r="I20" i="4"/>
  <c r="I21" i="4"/>
  <c r="I22" i="4"/>
  <c r="I23" i="4"/>
  <c r="I24" i="4"/>
  <c r="I17" i="4"/>
  <c r="G18" i="4"/>
  <c r="G19" i="4"/>
  <c r="G20" i="4"/>
  <c r="G21" i="4"/>
  <c r="G22" i="4"/>
  <c r="G23" i="4"/>
  <c r="G24" i="4"/>
  <c r="G17" i="4"/>
  <c r="T18" i="4"/>
  <c r="T19" i="4"/>
  <c r="T20" i="4"/>
  <c r="T21" i="4"/>
  <c r="T22" i="4"/>
  <c r="T23" i="4"/>
  <c r="T24" i="4"/>
  <c r="T17" i="4"/>
  <c r="R17" i="4"/>
  <c r="Q17" i="4"/>
  <c r="S17" i="4"/>
  <c r="AC6" i="4"/>
  <c r="V18" i="4" s="1"/>
  <c r="K18" i="4"/>
  <c r="L18" i="4"/>
  <c r="M18" i="4"/>
  <c r="N18" i="4"/>
  <c r="K19" i="4"/>
  <c r="L19" i="4"/>
  <c r="M19" i="4"/>
  <c r="N19" i="4"/>
  <c r="K20" i="4"/>
  <c r="L20" i="4"/>
  <c r="M20" i="4"/>
  <c r="N20" i="4"/>
  <c r="K21" i="4"/>
  <c r="L21" i="4"/>
  <c r="M21" i="4"/>
  <c r="N21" i="4"/>
  <c r="K22" i="4"/>
  <c r="L22" i="4"/>
  <c r="M22" i="4"/>
  <c r="N22" i="4"/>
  <c r="K23" i="4"/>
  <c r="L23" i="4"/>
  <c r="M23" i="4"/>
  <c r="N23" i="4"/>
  <c r="K24" i="4"/>
  <c r="L24" i="4"/>
  <c r="M24" i="4"/>
  <c r="N24" i="4"/>
  <c r="N17" i="4"/>
  <c r="M17" i="4"/>
  <c r="L17" i="4"/>
  <c r="K17" i="4"/>
  <c r="F18" i="4"/>
  <c r="F19" i="4"/>
  <c r="F20" i="4"/>
  <c r="F17" i="4"/>
  <c r="E18" i="4"/>
  <c r="E19" i="4"/>
  <c r="E20" i="4"/>
  <c r="E21" i="4"/>
  <c r="F21" i="4" s="1"/>
  <c r="E22" i="4"/>
  <c r="F22" i="4" s="1"/>
  <c r="E23" i="4"/>
  <c r="F23" i="4" s="1"/>
  <c r="E24" i="4"/>
  <c r="F24" i="4" s="1"/>
  <c r="P24" i="4" s="1"/>
  <c r="E17" i="4"/>
  <c r="P6" i="4"/>
  <c r="Q6" i="4"/>
  <c r="R6" i="4"/>
  <c r="P7" i="4"/>
  <c r="Q7" i="4"/>
  <c r="R7" i="4"/>
  <c r="P8" i="4"/>
  <c r="Q8" i="4"/>
  <c r="R8" i="4"/>
  <c r="P9" i="4"/>
  <c r="Q9" i="4"/>
  <c r="R9" i="4"/>
  <c r="P10" i="4"/>
  <c r="Q10" i="4"/>
  <c r="R10" i="4"/>
  <c r="R5" i="4"/>
  <c r="Q5" i="4"/>
  <c r="P5" i="4"/>
  <c r="AC5" i="4"/>
  <c r="N10" i="4" s="1"/>
  <c r="G6" i="4"/>
  <c r="H6" i="4"/>
  <c r="J6" i="4"/>
  <c r="K6" i="4"/>
  <c r="M6" i="4"/>
  <c r="G7" i="4"/>
  <c r="H7" i="4"/>
  <c r="J7" i="4"/>
  <c r="K7" i="4"/>
  <c r="M7" i="4"/>
  <c r="G8" i="4"/>
  <c r="H8" i="4"/>
  <c r="J8" i="4"/>
  <c r="K8" i="4"/>
  <c r="L8" i="4" s="1"/>
  <c r="V8" i="4" s="1"/>
  <c r="M8" i="4"/>
  <c r="G9" i="4"/>
  <c r="H9" i="4"/>
  <c r="J9" i="4"/>
  <c r="K9" i="4"/>
  <c r="M9" i="4"/>
  <c r="G10" i="4"/>
  <c r="H10" i="4"/>
  <c r="J10" i="4"/>
  <c r="K10" i="4"/>
  <c r="M10" i="4"/>
  <c r="K5" i="4"/>
  <c r="J5" i="4"/>
  <c r="L5" i="4" s="1"/>
  <c r="V5" i="4" s="1"/>
  <c r="H5" i="4"/>
  <c r="G5" i="4"/>
  <c r="M5" i="4"/>
  <c r="H40" i="4" l="1"/>
  <c r="H32" i="4"/>
  <c r="J46" i="4"/>
  <c r="H39" i="4"/>
  <c r="H37" i="4"/>
  <c r="H38" i="4"/>
  <c r="J37" i="4"/>
  <c r="J38" i="4"/>
  <c r="H43" i="4"/>
  <c r="H53" i="4"/>
  <c r="H55" i="4"/>
  <c r="H56" i="4"/>
  <c r="J56" i="4"/>
  <c r="H49" i="4"/>
  <c r="H50" i="4"/>
  <c r="J43" i="4"/>
  <c r="H46" i="4"/>
  <c r="J50" i="4"/>
  <c r="H26" i="4"/>
  <c r="H48" i="4"/>
  <c r="J48" i="4"/>
  <c r="J47" i="4"/>
  <c r="W48" i="4"/>
  <c r="W56" i="4"/>
  <c r="H47" i="4"/>
  <c r="J49" i="4"/>
  <c r="W50" i="4"/>
  <c r="P56" i="4"/>
  <c r="X47" i="4" s="1"/>
  <c r="W55" i="4"/>
  <c r="J54" i="4"/>
  <c r="J55" i="4"/>
  <c r="J45" i="4"/>
  <c r="W40" i="4"/>
  <c r="J40" i="4"/>
  <c r="J51" i="4"/>
  <c r="W51" i="4"/>
  <c r="H51" i="4"/>
  <c r="J42" i="4"/>
  <c r="P42" i="4"/>
  <c r="W42" i="4"/>
  <c r="J52" i="4"/>
  <c r="H52" i="4"/>
  <c r="W52" i="4"/>
  <c r="W44" i="4"/>
  <c r="J44" i="4"/>
  <c r="P44" i="4"/>
  <c r="H44" i="4"/>
  <c r="W41" i="4"/>
  <c r="P41" i="4"/>
  <c r="J41" i="4"/>
  <c r="H41" i="4"/>
  <c r="H42" i="4"/>
  <c r="W53" i="4"/>
  <c r="J53" i="4"/>
  <c r="W47" i="4"/>
  <c r="W54" i="4"/>
  <c r="W49" i="4"/>
  <c r="H54" i="4"/>
  <c r="W39" i="4"/>
  <c r="P39" i="4"/>
  <c r="W45" i="4"/>
  <c r="W38" i="4"/>
  <c r="P43" i="4"/>
  <c r="W46" i="4"/>
  <c r="J25" i="4"/>
  <c r="V28" i="4"/>
  <c r="O36" i="4"/>
  <c r="L6" i="4"/>
  <c r="V6" i="4" s="1"/>
  <c r="J26" i="4"/>
  <c r="O27" i="4"/>
  <c r="P27" i="4" s="1"/>
  <c r="V33" i="4"/>
  <c r="W33" i="4" s="1"/>
  <c r="O34" i="4"/>
  <c r="W27" i="4"/>
  <c r="O17" i="4"/>
  <c r="S6" i="4"/>
  <c r="V25" i="4"/>
  <c r="L9" i="4"/>
  <c r="V9" i="4" s="1"/>
  <c r="H36" i="4"/>
  <c r="L7" i="4"/>
  <c r="V7" i="4" s="1"/>
  <c r="V21" i="4"/>
  <c r="W21" i="4" s="1"/>
  <c r="O26" i="4"/>
  <c r="V29" i="4"/>
  <c r="W29" i="4" s="1"/>
  <c r="O31" i="4"/>
  <c r="V35" i="4"/>
  <c r="W35" i="4" s="1"/>
  <c r="H31" i="4"/>
  <c r="J31" i="4"/>
  <c r="J36" i="4"/>
  <c r="H29" i="4"/>
  <c r="H35" i="4"/>
  <c r="L10" i="4"/>
  <c r="V10" i="4" s="1"/>
  <c r="S5" i="4"/>
  <c r="H25" i="4"/>
  <c r="H27" i="4"/>
  <c r="H28" i="4"/>
  <c r="V32" i="4"/>
  <c r="W32" i="4" s="1"/>
  <c r="O33" i="4"/>
  <c r="V17" i="4"/>
  <c r="W17" i="4" s="1"/>
  <c r="V23" i="4"/>
  <c r="W25" i="4"/>
  <c r="J27" i="4"/>
  <c r="J28" i="4"/>
  <c r="S10" i="4"/>
  <c r="H30" i="4"/>
  <c r="W28" i="4"/>
  <c r="I5" i="4"/>
  <c r="V22" i="4"/>
  <c r="W22" i="4" s="1"/>
  <c r="W26" i="4"/>
  <c r="O25" i="4"/>
  <c r="V30" i="4"/>
  <c r="V31" i="4"/>
  <c r="W31" i="4" s="1"/>
  <c r="O32" i="4"/>
  <c r="V36" i="4"/>
  <c r="W36" i="4"/>
  <c r="J35" i="4"/>
  <c r="J32" i="4"/>
  <c r="P32" i="4"/>
  <c r="J34" i="4"/>
  <c r="P34" i="4"/>
  <c r="W34" i="4"/>
  <c r="P33" i="4"/>
  <c r="H33" i="4"/>
  <c r="J33" i="4"/>
  <c r="H34" i="4"/>
  <c r="J30" i="4"/>
  <c r="P36" i="4"/>
  <c r="P29" i="4"/>
  <c r="J29" i="4"/>
  <c r="W30" i="4"/>
  <c r="P35" i="4"/>
  <c r="P26" i="4"/>
  <c r="P17" i="4"/>
  <c r="W23" i="4"/>
  <c r="O22" i="4"/>
  <c r="P22" i="4" s="1"/>
  <c r="V24" i="4"/>
  <c r="W24" i="4" s="1"/>
  <c r="O20" i="4"/>
  <c r="P20" i="4" s="1"/>
  <c r="O21" i="4"/>
  <c r="P21" i="4" s="1"/>
  <c r="V19" i="4"/>
  <c r="W19" i="4" s="1"/>
  <c r="O18" i="4"/>
  <c r="P18" i="4" s="1"/>
  <c r="O24" i="4"/>
  <c r="O23" i="4"/>
  <c r="P23" i="4" s="1"/>
  <c r="O19" i="4"/>
  <c r="P19" i="4" s="1"/>
  <c r="J20" i="4"/>
  <c r="H19" i="4"/>
  <c r="J18" i="4"/>
  <c r="W20" i="4"/>
  <c r="W18" i="4"/>
  <c r="J17" i="4"/>
  <c r="J21" i="4"/>
  <c r="H21" i="4"/>
  <c r="H24" i="4"/>
  <c r="J24" i="4"/>
  <c r="H23" i="4"/>
  <c r="J23" i="4"/>
  <c r="J22" i="4"/>
  <c r="H22" i="4"/>
  <c r="H18" i="4"/>
  <c r="H20" i="4"/>
  <c r="J19" i="4"/>
  <c r="H17" i="4"/>
  <c r="I10" i="4"/>
  <c r="I6" i="4"/>
  <c r="U6" i="4" s="1"/>
  <c r="S7" i="4"/>
  <c r="I7" i="4"/>
  <c r="I9" i="4"/>
  <c r="O10" i="4"/>
  <c r="T10" i="4" s="1"/>
  <c r="S8" i="4"/>
  <c r="I8" i="4"/>
  <c r="U8" i="4" s="1"/>
  <c r="S9" i="4"/>
  <c r="N9" i="4"/>
  <c r="N8" i="4"/>
  <c r="N6" i="4"/>
  <c r="O6" i="4" s="1"/>
  <c r="N5" i="4"/>
  <c r="O5" i="4" s="1"/>
  <c r="T5" i="4" s="1"/>
  <c r="N7" i="4"/>
  <c r="Y37" i="4" l="1"/>
  <c r="Z47" i="4"/>
  <c r="Y47" i="4"/>
  <c r="Z37" i="4"/>
  <c r="X37" i="4"/>
  <c r="U10" i="4"/>
  <c r="U5" i="4"/>
  <c r="Z27" i="4"/>
  <c r="Y17" i="4"/>
  <c r="X17" i="4"/>
  <c r="Z17" i="4"/>
  <c r="Y27" i="4"/>
  <c r="X27" i="4"/>
  <c r="U9" i="4"/>
  <c r="U7" i="4"/>
  <c r="T6" i="4"/>
  <c r="O7" i="4"/>
  <c r="T7" i="4" s="1"/>
  <c r="O8" i="4"/>
  <c r="T8" i="4" s="1"/>
  <c r="O9" i="4"/>
  <c r="T9" i="4" s="1"/>
</calcChain>
</file>

<file path=xl/sharedStrings.xml><?xml version="1.0" encoding="utf-8"?>
<sst xmlns="http://schemas.openxmlformats.org/spreadsheetml/2006/main" count="164" uniqueCount="66">
  <si>
    <t>Method 1</t>
  </si>
  <si>
    <t>Sludge</t>
  </si>
  <si>
    <t>Incineration</t>
  </si>
  <si>
    <t>Food waste</t>
  </si>
  <si>
    <t>Green waste</t>
  </si>
  <si>
    <t>Composting</t>
  </si>
  <si>
    <t>Paper and cardboard</t>
  </si>
  <si>
    <t>Textiles</t>
  </si>
  <si>
    <t>Rubber and leather</t>
  </si>
  <si>
    <t>Anaerobic Digestion</t>
  </si>
  <si>
    <t>VTMw</t>
  </si>
  <si>
    <t>Qt (composting)</t>
  </si>
  <si>
    <t>Qt (anaerobic digestion)</t>
  </si>
  <si>
    <t>Qburn</t>
  </si>
  <si>
    <t>Qu (deep)</t>
  </si>
  <si>
    <t>Qu (shallow)</t>
  </si>
  <si>
    <t>Qu (burial)</t>
  </si>
  <si>
    <t>EFCH4t (composting)</t>
  </si>
  <si>
    <t>EFCH4t (anaerobic digestion)</t>
  </si>
  <si>
    <t>EtCH4</t>
  </si>
  <si>
    <t>CCO2</t>
  </si>
  <si>
    <t>EFburn</t>
  </si>
  <si>
    <t>EFN2Ot (compost)</t>
  </si>
  <si>
    <t>EFN2Ot (anaerobic</t>
  </si>
  <si>
    <t>EtN2O</t>
  </si>
  <si>
    <t>EFuCH4 (deep)</t>
  </si>
  <si>
    <t>EFuCH4 (shallow)</t>
  </si>
  <si>
    <t>EFuCH4 (burial)</t>
  </si>
  <si>
    <t>EburnCO2</t>
  </si>
  <si>
    <t>EuCH4</t>
  </si>
  <si>
    <t>ECO2</t>
  </si>
  <si>
    <t>ECH4</t>
  </si>
  <si>
    <t>EN2O</t>
  </si>
  <si>
    <t>t</t>
  </si>
  <si>
    <t>EFCH4t</t>
  </si>
  <si>
    <t>EFN2Ot</t>
  </si>
  <si>
    <t>u</t>
  </si>
  <si>
    <t>EFCH4u</t>
  </si>
  <si>
    <t>Unmanaged - deep</t>
  </si>
  <si>
    <t>Burial</t>
  </si>
  <si>
    <t>Unmanaged - shallow</t>
  </si>
  <si>
    <t>ECO2 (t)</t>
  </si>
  <si>
    <t>ECH4 (t)</t>
  </si>
  <si>
    <t>EN2O (t)</t>
  </si>
  <si>
    <t>Method 2</t>
  </si>
  <si>
    <t>Wood products (at time of harvest)</t>
  </si>
  <si>
    <t>Wood products (at end of life)</t>
  </si>
  <si>
    <t>Inert waste</t>
  </si>
  <si>
    <t>f</t>
  </si>
  <si>
    <t>w</t>
  </si>
  <si>
    <t>Qwf</t>
  </si>
  <si>
    <t>Vwf</t>
  </si>
  <si>
    <t>VTM</t>
  </si>
  <si>
    <t>Qwf (resolved)</t>
  </si>
  <si>
    <t>Nappies</t>
  </si>
  <si>
    <t>CCw</t>
  </si>
  <si>
    <t>FCCw</t>
  </si>
  <si>
    <t>OFw</t>
  </si>
  <si>
    <t>dmw</t>
  </si>
  <si>
    <t>DOCw</t>
  </si>
  <si>
    <t>DOCFw</t>
  </si>
  <si>
    <t>FFCw</t>
  </si>
  <si>
    <t>CCH4</t>
  </si>
  <si>
    <t>F</t>
  </si>
  <si>
    <t>MCFu</t>
  </si>
  <si>
    <t>OFu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</si>
</sst>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0" borderId="1" xfId="0" applyBorder="1"/>
    <xf numFmtId="0" fontId="1" fillId="3" borderId="0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98977-3DCB-B945-B1EB-32F5BC0F6F7E}" name="WasteEFs" displayName="WasteEFs" ref="AE3:AL13" totalsRowShown="0">
  <autoFilter ref="AE3:AL13" xr:uid="{EEC98977-3DCB-B945-B1EB-32F5BC0F6F7E}"/>
  <tableColumns count="8">
    <tableColumn id="1" xr3:uid="{31ACD9B1-0F50-134C-B5F4-982A3FEF17B3}" name="w"/>
    <tableColumn id="2" xr3:uid="{F1AD0735-3346-B944-9EA2-6C78A43D19ED}" name="CCw"/>
    <tableColumn id="3" xr3:uid="{674C3B9C-3FB7-0F4E-87BA-0AA57B771D6F}" name="FCCw"/>
    <tableColumn id="4" xr3:uid="{72E4EAF6-7E0D-3347-A83B-C5E183876D7C}" name="OFw"/>
    <tableColumn id="5" xr3:uid="{28DF8355-DFF2-9B41-B271-F9BAB3776EE1}" name="dmw"/>
    <tableColumn id="6" xr3:uid="{B48BA4B8-6BDB-AE41-A24B-52C33254F276}" name="DOCw"/>
    <tableColumn id="7" xr3:uid="{15AA5D9D-A2B5-9F40-886B-C4EB19C3CAF2}" name="DOCFw"/>
    <tableColumn id="8" xr3:uid="{1CCE8EFA-905E-1D4C-83F0-09608AF44F67}" name="VTMw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4FAE-ABC2-7049-8399-F2C9DDB583DD}">
  <dimension ref="A1:AL56"/>
  <sheetViews>
    <sheetView tabSelected="1" topLeftCell="A14" zoomScaleNormal="100" workbookViewId="0">
      <selection activeCell="B25" sqref="B25"/>
    </sheetView>
  </sheetViews>
  <sheetFormatPr baseColWidth="10" defaultRowHeight="16" x14ac:dyDescent="0.2"/>
  <cols>
    <col min="8" max="8" width="11.83203125" customWidth="1"/>
  </cols>
  <sheetData>
    <row r="1" spans="1:38" x14ac:dyDescent="0.2">
      <c r="A1" t="s">
        <v>0</v>
      </c>
    </row>
    <row r="3" spans="1:38" x14ac:dyDescent="0.2">
      <c r="AE3" t="s">
        <v>49</v>
      </c>
      <c r="AF3" t="s">
        <v>55</v>
      </c>
      <c r="AG3" t="s">
        <v>56</v>
      </c>
      <c r="AH3" t="s">
        <v>57</v>
      </c>
      <c r="AI3" t="s">
        <v>58</v>
      </c>
      <c r="AJ3" t="s">
        <v>59</v>
      </c>
      <c r="AK3" t="s">
        <v>60</v>
      </c>
      <c r="AL3" t="s">
        <v>10</v>
      </c>
    </row>
    <row r="4" spans="1:38" x14ac:dyDescent="0.2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22</v>
      </c>
      <c r="K4" s="1" t="s">
        <v>23</v>
      </c>
      <c r="L4" s="1" t="s">
        <v>24</v>
      </c>
      <c r="M4" s="1" t="s">
        <v>21</v>
      </c>
      <c r="N4" s="1" t="s">
        <v>20</v>
      </c>
      <c r="O4" s="1" t="s">
        <v>30</v>
      </c>
      <c r="P4" s="1" t="s">
        <v>25</v>
      </c>
      <c r="Q4" s="1" t="s">
        <v>26</v>
      </c>
      <c r="R4" s="1" t="s">
        <v>27</v>
      </c>
      <c r="S4" s="1" t="s">
        <v>29</v>
      </c>
      <c r="T4" s="2" t="s">
        <v>41</v>
      </c>
      <c r="U4" s="2" t="s">
        <v>42</v>
      </c>
      <c r="V4" s="2" t="s">
        <v>43</v>
      </c>
      <c r="X4" t="s">
        <v>33</v>
      </c>
      <c r="Y4" t="s">
        <v>34</v>
      </c>
      <c r="Z4" t="s">
        <v>35</v>
      </c>
      <c r="AB4" t="s">
        <v>21</v>
      </c>
      <c r="AC4">
        <v>5.0500000000000003E-2</v>
      </c>
      <c r="AE4" t="s">
        <v>3</v>
      </c>
      <c r="AF4">
        <v>0.38</v>
      </c>
      <c r="AG4">
        <v>0</v>
      </c>
      <c r="AH4">
        <v>0.71</v>
      </c>
      <c r="AI4">
        <v>0.4</v>
      </c>
      <c r="AJ4">
        <v>0.15</v>
      </c>
      <c r="AK4">
        <v>0.84</v>
      </c>
      <c r="AL4">
        <v>0.5</v>
      </c>
    </row>
    <row r="5" spans="1:38" x14ac:dyDescent="0.2">
      <c r="A5">
        <v>1000</v>
      </c>
      <c r="B5">
        <v>2000</v>
      </c>
      <c r="C5">
        <v>3000</v>
      </c>
      <c r="D5">
        <v>4000</v>
      </c>
      <c r="E5">
        <v>5000</v>
      </c>
      <c r="F5">
        <v>6000</v>
      </c>
      <c r="G5">
        <f>$Y$5</f>
        <v>7.5000000000000002E-4</v>
      </c>
      <c r="H5">
        <f>$Y$6</f>
        <v>1E-4</v>
      </c>
      <c r="I5">
        <f>A5*G5+B5*H5</f>
        <v>0.95</v>
      </c>
      <c r="J5">
        <f>$Z$5</f>
        <v>9.4300000000000002E-5</v>
      </c>
      <c r="K5">
        <f>$Z$6</f>
        <v>0</v>
      </c>
      <c r="L5">
        <f>A5*J5+B5*K5</f>
        <v>9.4299999999999995E-2</v>
      </c>
      <c r="M5">
        <f>$AC$4</f>
        <v>5.0500000000000003E-2</v>
      </c>
      <c r="N5">
        <f>$AC$5</f>
        <v>3.6666666666666665</v>
      </c>
      <c r="O5">
        <f>C5*M5*N5</f>
        <v>555.5</v>
      </c>
      <c r="P5">
        <f>$Y$9</f>
        <v>5.0200000000000002E-2</v>
      </c>
      <c r="Q5">
        <f>$Y$10</f>
        <v>2.5100000000000001E-2</v>
      </c>
      <c r="R5">
        <f>$Y$11</f>
        <v>3.95E-2</v>
      </c>
      <c r="S5">
        <f>D5*P5+E5*Q5+F5*R5</f>
        <v>563.29999999999995</v>
      </c>
      <c r="T5">
        <f>O5</f>
        <v>555.5</v>
      </c>
      <c r="U5">
        <f>I5+S5</f>
        <v>564.25</v>
      </c>
      <c r="V5">
        <f>L5</f>
        <v>9.4299999999999995E-2</v>
      </c>
      <c r="X5" t="s">
        <v>5</v>
      </c>
      <c r="Y5">
        <v>7.5000000000000002E-4</v>
      </c>
      <c r="Z5">
        <v>9.4300000000000002E-5</v>
      </c>
      <c r="AB5" t="s">
        <v>20</v>
      </c>
      <c r="AC5">
        <f>44/12</f>
        <v>3.6666666666666665</v>
      </c>
      <c r="AE5" t="s">
        <v>6</v>
      </c>
      <c r="AF5">
        <v>0.46</v>
      </c>
      <c r="AG5">
        <v>0.01</v>
      </c>
      <c r="AH5">
        <v>0.71</v>
      </c>
      <c r="AI5">
        <v>0.9</v>
      </c>
      <c r="AJ5">
        <v>0.4</v>
      </c>
      <c r="AK5">
        <v>0.49</v>
      </c>
      <c r="AL5">
        <v>0.09</v>
      </c>
    </row>
    <row r="6" spans="1:38" x14ac:dyDescent="0.2">
      <c r="A6">
        <v>1000</v>
      </c>
      <c r="B6">
        <v>1000</v>
      </c>
      <c r="C6">
        <v>1000</v>
      </c>
      <c r="D6">
        <v>1000</v>
      </c>
      <c r="E6">
        <v>1000</v>
      </c>
      <c r="F6">
        <v>1000</v>
      </c>
      <c r="G6">
        <f>$Y$5</f>
        <v>7.5000000000000002E-4</v>
      </c>
      <c r="H6">
        <f>$Y$6</f>
        <v>1E-4</v>
      </c>
      <c r="I6">
        <f t="shared" ref="I6:I10" si="0">A6*G6+B6*H6</f>
        <v>0.85</v>
      </c>
      <c r="J6">
        <f>$Z$5</f>
        <v>9.4300000000000002E-5</v>
      </c>
      <c r="K6">
        <f>$Z$6</f>
        <v>0</v>
      </c>
      <c r="L6">
        <f t="shared" ref="L6:L10" si="1">A6*J6+B6*K6</f>
        <v>9.4299999999999995E-2</v>
      </c>
      <c r="M6">
        <f>$AC$4</f>
        <v>5.0500000000000003E-2</v>
      </c>
      <c r="N6">
        <f>$AC$5</f>
        <v>3.6666666666666665</v>
      </c>
      <c r="O6">
        <f t="shared" ref="O6:O10" si="2">C6*M6*N6</f>
        <v>185.16666666666666</v>
      </c>
      <c r="P6">
        <f>$Y$9</f>
        <v>5.0200000000000002E-2</v>
      </c>
      <c r="Q6">
        <f>$Y$10</f>
        <v>2.5100000000000001E-2</v>
      </c>
      <c r="R6">
        <f>$Y$11</f>
        <v>3.95E-2</v>
      </c>
      <c r="S6">
        <f t="shared" ref="S6:S10" si="3">D6*P6+E6*Q6+F6*R6</f>
        <v>114.80000000000001</v>
      </c>
      <c r="T6">
        <f t="shared" ref="T6:T10" si="4">O6</f>
        <v>185.16666666666666</v>
      </c>
      <c r="U6">
        <f t="shared" ref="U6:U10" si="5">I6+S6</f>
        <v>115.65</v>
      </c>
      <c r="V6">
        <f t="shared" ref="V6:V10" si="6">L6</f>
        <v>9.4299999999999995E-2</v>
      </c>
      <c r="X6" s="3" t="s">
        <v>9</v>
      </c>
      <c r="Y6">
        <v>1E-4</v>
      </c>
      <c r="Z6">
        <v>0</v>
      </c>
      <c r="AB6" t="s">
        <v>62</v>
      </c>
      <c r="AC6">
        <f>16/12</f>
        <v>1.3333333333333333</v>
      </c>
      <c r="AE6" t="s">
        <v>4</v>
      </c>
      <c r="AF6">
        <v>0.49</v>
      </c>
      <c r="AG6">
        <v>0</v>
      </c>
      <c r="AH6">
        <v>0.71</v>
      </c>
      <c r="AI6">
        <v>0.4</v>
      </c>
      <c r="AJ6">
        <v>0.2</v>
      </c>
      <c r="AK6">
        <v>0.47</v>
      </c>
      <c r="AL6">
        <v>0.24</v>
      </c>
    </row>
    <row r="7" spans="1:38" x14ac:dyDescent="0.2">
      <c r="A7">
        <v>1000</v>
      </c>
      <c r="B7">
        <v>2000</v>
      </c>
      <c r="C7">
        <v>1234</v>
      </c>
      <c r="G7">
        <f>$Y$5</f>
        <v>7.5000000000000002E-4</v>
      </c>
      <c r="H7">
        <f>$Y$6</f>
        <v>1E-4</v>
      </c>
      <c r="I7">
        <f t="shared" si="0"/>
        <v>0.95</v>
      </c>
      <c r="J7">
        <f>$Z$5</f>
        <v>9.4300000000000002E-5</v>
      </c>
      <c r="K7">
        <f>$Z$6</f>
        <v>0</v>
      </c>
      <c r="L7">
        <f t="shared" si="1"/>
        <v>9.4299999999999995E-2</v>
      </c>
      <c r="M7">
        <f>$AC$4</f>
        <v>5.0500000000000003E-2</v>
      </c>
      <c r="N7">
        <f>$AC$5</f>
        <v>3.6666666666666665</v>
      </c>
      <c r="O7">
        <f t="shared" si="2"/>
        <v>228.49566666666669</v>
      </c>
      <c r="P7">
        <f>$Y$9</f>
        <v>5.0200000000000002E-2</v>
      </c>
      <c r="Q7">
        <f>$Y$10</f>
        <v>2.5100000000000001E-2</v>
      </c>
      <c r="R7">
        <f>$Y$11</f>
        <v>3.95E-2</v>
      </c>
      <c r="S7">
        <f t="shared" si="3"/>
        <v>0</v>
      </c>
      <c r="T7">
        <f t="shared" si="4"/>
        <v>228.49566666666669</v>
      </c>
      <c r="U7">
        <f t="shared" si="5"/>
        <v>0.95</v>
      </c>
      <c r="V7">
        <f t="shared" si="6"/>
        <v>9.4299999999999995E-2</v>
      </c>
      <c r="AB7" t="s">
        <v>63</v>
      </c>
      <c r="AC7">
        <v>0.5</v>
      </c>
      <c r="AE7" t="s">
        <v>45</v>
      </c>
      <c r="AF7">
        <v>0.5</v>
      </c>
      <c r="AG7">
        <v>0</v>
      </c>
      <c r="AH7">
        <v>0.71</v>
      </c>
      <c r="AI7">
        <v>0.4</v>
      </c>
      <c r="AJ7">
        <v>0.43</v>
      </c>
      <c r="AK7">
        <v>0.1</v>
      </c>
      <c r="AL7">
        <v>0.15</v>
      </c>
    </row>
    <row r="8" spans="1:38" x14ac:dyDescent="0.2">
      <c r="D8">
        <v>4000</v>
      </c>
      <c r="E8">
        <v>5000</v>
      </c>
      <c r="F8">
        <v>6000</v>
      </c>
      <c r="G8">
        <f>$Y$5</f>
        <v>7.5000000000000002E-4</v>
      </c>
      <c r="H8">
        <f>$Y$6</f>
        <v>1E-4</v>
      </c>
      <c r="I8">
        <f t="shared" si="0"/>
        <v>0</v>
      </c>
      <c r="J8">
        <f>$Z$5</f>
        <v>9.4300000000000002E-5</v>
      </c>
      <c r="K8">
        <f>$Z$6</f>
        <v>0</v>
      </c>
      <c r="L8">
        <f t="shared" si="1"/>
        <v>0</v>
      </c>
      <c r="M8">
        <f>$AC$4</f>
        <v>5.0500000000000003E-2</v>
      </c>
      <c r="N8">
        <f>$AC$5</f>
        <v>3.6666666666666665</v>
      </c>
      <c r="O8">
        <f t="shared" si="2"/>
        <v>0</v>
      </c>
      <c r="P8">
        <f>$Y$9</f>
        <v>5.0200000000000002E-2</v>
      </c>
      <c r="Q8">
        <f>$Y$10</f>
        <v>2.5100000000000001E-2</v>
      </c>
      <c r="R8">
        <f>$Y$11</f>
        <v>3.95E-2</v>
      </c>
      <c r="S8">
        <f t="shared" si="3"/>
        <v>563.29999999999995</v>
      </c>
      <c r="T8">
        <f t="shared" si="4"/>
        <v>0</v>
      </c>
      <c r="U8">
        <f t="shared" si="5"/>
        <v>563.29999999999995</v>
      </c>
      <c r="V8">
        <f t="shared" si="6"/>
        <v>0</v>
      </c>
      <c r="X8" t="s">
        <v>36</v>
      </c>
      <c r="Y8" t="s">
        <v>37</v>
      </c>
      <c r="Z8" t="s">
        <v>64</v>
      </c>
      <c r="AA8" t="s">
        <v>65</v>
      </c>
      <c r="AE8" t="s">
        <v>46</v>
      </c>
      <c r="AF8">
        <v>0.5</v>
      </c>
      <c r="AG8">
        <v>0</v>
      </c>
      <c r="AH8">
        <v>0.71</v>
      </c>
      <c r="AI8">
        <v>0.9</v>
      </c>
      <c r="AJ8">
        <v>0.43</v>
      </c>
      <c r="AK8">
        <v>0.1</v>
      </c>
      <c r="AL8">
        <v>0.15</v>
      </c>
    </row>
    <row r="9" spans="1:38" x14ac:dyDescent="0.2">
      <c r="B9">
        <v>2000</v>
      </c>
      <c r="C9">
        <v>2345</v>
      </c>
      <c r="D9">
        <v>4000</v>
      </c>
      <c r="F9">
        <v>6000</v>
      </c>
      <c r="G9">
        <f>$Y$5</f>
        <v>7.5000000000000002E-4</v>
      </c>
      <c r="H9">
        <f>$Y$6</f>
        <v>1E-4</v>
      </c>
      <c r="I9">
        <f t="shared" si="0"/>
        <v>0.2</v>
      </c>
      <c r="J9">
        <f>$Z$5</f>
        <v>9.4300000000000002E-5</v>
      </c>
      <c r="K9">
        <f>$Z$6</f>
        <v>0</v>
      </c>
      <c r="L9">
        <f t="shared" si="1"/>
        <v>0</v>
      </c>
      <c r="M9">
        <f>$AC$4</f>
        <v>5.0500000000000003E-2</v>
      </c>
      <c r="N9">
        <f>$AC$5</f>
        <v>3.6666666666666665</v>
      </c>
      <c r="O9">
        <f t="shared" si="2"/>
        <v>434.21583333333336</v>
      </c>
      <c r="P9">
        <f>$Y$9</f>
        <v>5.0200000000000002E-2</v>
      </c>
      <c r="Q9">
        <f>$Y$10</f>
        <v>2.5100000000000001E-2</v>
      </c>
      <c r="R9">
        <f>$Y$11</f>
        <v>3.95E-2</v>
      </c>
      <c r="S9">
        <f t="shared" si="3"/>
        <v>437.8</v>
      </c>
      <c r="T9">
        <f t="shared" si="4"/>
        <v>434.21583333333336</v>
      </c>
      <c r="U9">
        <f t="shared" si="5"/>
        <v>438</v>
      </c>
      <c r="V9">
        <f t="shared" si="6"/>
        <v>0</v>
      </c>
      <c r="X9" t="s">
        <v>38</v>
      </c>
      <c r="Y9">
        <v>5.0200000000000002E-2</v>
      </c>
      <c r="Z9">
        <v>0.8</v>
      </c>
      <c r="AA9">
        <v>0</v>
      </c>
      <c r="AE9" t="s">
        <v>7</v>
      </c>
      <c r="AF9">
        <v>0.5</v>
      </c>
      <c r="AG9">
        <v>0.2</v>
      </c>
      <c r="AH9">
        <v>0.71</v>
      </c>
      <c r="AI9">
        <v>0.8</v>
      </c>
      <c r="AJ9">
        <v>0.24</v>
      </c>
      <c r="AK9">
        <v>0.5</v>
      </c>
      <c r="AL9">
        <v>0.14000000000000001</v>
      </c>
    </row>
    <row r="10" spans="1:38" x14ac:dyDescent="0.2">
      <c r="A10">
        <v>1000</v>
      </c>
      <c r="B10">
        <v>2000</v>
      </c>
      <c r="D10">
        <v>4000</v>
      </c>
      <c r="E10">
        <v>5000</v>
      </c>
      <c r="F10">
        <v>6000</v>
      </c>
      <c r="G10">
        <f>$Y$5</f>
        <v>7.5000000000000002E-4</v>
      </c>
      <c r="H10">
        <f>$Y$6</f>
        <v>1E-4</v>
      </c>
      <c r="I10">
        <f t="shared" si="0"/>
        <v>0.95</v>
      </c>
      <c r="J10">
        <f>$Z$5</f>
        <v>9.4300000000000002E-5</v>
      </c>
      <c r="K10">
        <f>$Z$6</f>
        <v>0</v>
      </c>
      <c r="L10">
        <f t="shared" si="1"/>
        <v>9.4299999999999995E-2</v>
      </c>
      <c r="M10">
        <f>$AC$4</f>
        <v>5.0500000000000003E-2</v>
      </c>
      <c r="N10">
        <f>$AC$5</f>
        <v>3.6666666666666665</v>
      </c>
      <c r="O10">
        <f t="shared" si="2"/>
        <v>0</v>
      </c>
      <c r="P10">
        <f>$Y$9</f>
        <v>5.0200000000000002E-2</v>
      </c>
      <c r="Q10">
        <f>$Y$10</f>
        <v>2.5100000000000001E-2</v>
      </c>
      <c r="R10">
        <f>$Y$11</f>
        <v>3.95E-2</v>
      </c>
      <c r="S10">
        <f t="shared" si="3"/>
        <v>563.29999999999995</v>
      </c>
      <c r="T10">
        <f t="shared" si="4"/>
        <v>0</v>
      </c>
      <c r="U10">
        <f t="shared" si="5"/>
        <v>564.25</v>
      </c>
      <c r="V10">
        <f t="shared" si="6"/>
        <v>9.4299999999999995E-2</v>
      </c>
      <c r="X10" t="s">
        <v>40</v>
      </c>
      <c r="Y10">
        <v>2.5100000000000001E-2</v>
      </c>
      <c r="Z10">
        <v>0.4</v>
      </c>
      <c r="AA10">
        <v>0</v>
      </c>
      <c r="AE10" t="s">
        <v>1</v>
      </c>
      <c r="AF10">
        <v>0.5</v>
      </c>
      <c r="AG10">
        <v>0</v>
      </c>
      <c r="AH10">
        <v>0.71</v>
      </c>
      <c r="AI10">
        <v>0</v>
      </c>
      <c r="AJ10">
        <v>0.05</v>
      </c>
      <c r="AK10">
        <v>0.5</v>
      </c>
      <c r="AL10">
        <v>0.72</v>
      </c>
    </row>
    <row r="11" spans="1:38" x14ac:dyDescent="0.2">
      <c r="X11" t="s">
        <v>39</v>
      </c>
      <c r="Y11">
        <v>3.95E-2</v>
      </c>
      <c r="Z11">
        <v>0.7</v>
      </c>
      <c r="AA11">
        <v>0.1</v>
      </c>
      <c r="AE11" t="s">
        <v>54</v>
      </c>
      <c r="AF11">
        <v>0.7</v>
      </c>
      <c r="AG11">
        <v>0.1</v>
      </c>
      <c r="AH11">
        <v>0.71</v>
      </c>
      <c r="AI11">
        <v>0.4</v>
      </c>
      <c r="AJ11">
        <v>0.24</v>
      </c>
      <c r="AK11">
        <v>0.5</v>
      </c>
      <c r="AL11">
        <v>0.39</v>
      </c>
    </row>
    <row r="12" spans="1:38" x14ac:dyDescent="0.2">
      <c r="AE12" t="s">
        <v>8</v>
      </c>
      <c r="AF12">
        <v>0.67</v>
      </c>
      <c r="AG12">
        <v>0.2</v>
      </c>
      <c r="AH12">
        <v>0.71</v>
      </c>
      <c r="AI12">
        <v>0.84</v>
      </c>
      <c r="AJ12">
        <v>0.39</v>
      </c>
      <c r="AK12">
        <v>0.5</v>
      </c>
      <c r="AL12">
        <v>0.14000000000000001</v>
      </c>
    </row>
    <row r="13" spans="1:38" x14ac:dyDescent="0.2">
      <c r="AE13" t="s">
        <v>47</v>
      </c>
      <c r="AF13">
        <v>0.03</v>
      </c>
      <c r="AG13">
        <v>1</v>
      </c>
      <c r="AH13">
        <v>0.71</v>
      </c>
      <c r="AI13">
        <v>0.9</v>
      </c>
      <c r="AJ13">
        <v>0</v>
      </c>
      <c r="AK13">
        <v>0</v>
      </c>
      <c r="AL13">
        <v>0.42</v>
      </c>
    </row>
    <row r="14" spans="1:38" x14ac:dyDescent="0.2">
      <c r="A14" t="s">
        <v>44</v>
      </c>
    </row>
    <row r="16" spans="1:38" x14ac:dyDescent="0.2">
      <c r="A16" s="1" t="s">
        <v>48</v>
      </c>
      <c r="B16" s="1" t="s">
        <v>49</v>
      </c>
      <c r="C16" s="1" t="s">
        <v>50</v>
      </c>
      <c r="D16" s="1" t="s">
        <v>51</v>
      </c>
      <c r="E16" s="1" t="s">
        <v>52</v>
      </c>
      <c r="F16" s="1" t="s">
        <v>53</v>
      </c>
      <c r="G16" s="1" t="s">
        <v>34</v>
      </c>
      <c r="H16" s="1" t="s">
        <v>19</v>
      </c>
      <c r="I16" s="1" t="s">
        <v>22</v>
      </c>
      <c r="J16" s="1" t="s">
        <v>24</v>
      </c>
      <c r="K16" s="1" t="s">
        <v>58</v>
      </c>
      <c r="L16" s="1" t="s">
        <v>55</v>
      </c>
      <c r="M16" s="1" t="s">
        <v>61</v>
      </c>
      <c r="N16" s="1" t="s">
        <v>57</v>
      </c>
      <c r="O16" s="1" t="s">
        <v>20</v>
      </c>
      <c r="P16" s="1" t="s">
        <v>28</v>
      </c>
      <c r="Q16" s="1" t="s">
        <v>59</v>
      </c>
      <c r="R16" s="1" t="s">
        <v>60</v>
      </c>
      <c r="S16" s="1" t="s">
        <v>63</v>
      </c>
      <c r="T16" s="1" t="s">
        <v>64</v>
      </c>
      <c r="U16" s="1" t="s">
        <v>65</v>
      </c>
      <c r="V16" s="1" t="s">
        <v>62</v>
      </c>
      <c r="W16" s="1" t="s">
        <v>29</v>
      </c>
      <c r="X16" s="5" t="s">
        <v>30</v>
      </c>
      <c r="Y16" s="5" t="s">
        <v>31</v>
      </c>
      <c r="Z16" s="5" t="s">
        <v>32</v>
      </c>
    </row>
    <row r="17" spans="1:26" x14ac:dyDescent="0.2">
      <c r="A17" s="6" t="s">
        <v>2</v>
      </c>
      <c r="B17" s="6" t="s">
        <v>3</v>
      </c>
      <c r="C17" s="6">
        <v>1234</v>
      </c>
      <c r="D17" s="6"/>
      <c r="E17" s="6">
        <f>_xlfn.XLOOKUP(B17, WasteEFs[w], WasteEFs[VTMw])</f>
        <v>0.5</v>
      </c>
      <c r="F17" s="6">
        <f>IF(C17&lt;&gt;"", C17,D17*E17)</f>
        <v>1234</v>
      </c>
      <c r="G17" s="6">
        <f>_xlfn.XLOOKUP(A17,$X$5:$X$6,$Y$5:$Y$6, 0)</f>
        <v>0</v>
      </c>
      <c r="H17" s="6">
        <f>G17*F17</f>
        <v>0</v>
      </c>
      <c r="I17" s="6">
        <f>_xlfn.XLOOKUP(A17,$X$5:$X$6,$Z$5:$Z$6, 0)</f>
        <v>0</v>
      </c>
      <c r="J17" s="6">
        <f>F17*I17</f>
        <v>0</v>
      </c>
      <c r="K17" s="6">
        <f>_xlfn.XLOOKUP($B17,WasteEFs[w],WasteEFs[dmw])</f>
        <v>0.4</v>
      </c>
      <c r="L17" s="6">
        <f>_xlfn.XLOOKUP($B17, WasteEFs[w], WasteEFs[CCw])</f>
        <v>0.38</v>
      </c>
      <c r="M17" s="6">
        <f>_xlfn.XLOOKUP($B17, WasteEFs[w], WasteEFs[FCCw])</f>
        <v>0</v>
      </c>
      <c r="N17" s="6">
        <f>_xlfn.XLOOKUP($B17, WasteEFs[w], WasteEFs[OFw])</f>
        <v>0.71</v>
      </c>
      <c r="O17" s="6">
        <f>$AC$5</f>
        <v>3.6666666666666665</v>
      </c>
      <c r="P17" s="6">
        <f>IF(A17&lt;&gt;"Incineration", 0, F17*K17*L17*M17*N17*O17)</f>
        <v>0</v>
      </c>
      <c r="Q17" s="6">
        <f>_xlfn.XLOOKUP($B17,WasteEFs[w],WasteEFs[DOCw])</f>
        <v>0.15</v>
      </c>
      <c r="R17" s="6">
        <f>_xlfn.XLOOKUP($B17,WasteEFs[w],WasteEFs[DOCFw])</f>
        <v>0.84</v>
      </c>
      <c r="S17" s="6">
        <f>$AC$7</f>
        <v>0.5</v>
      </c>
      <c r="T17" s="6">
        <f>_xlfn.XLOOKUP(A17,$X$9:$X$11,Z$9:Z$11, 0)</f>
        <v>0</v>
      </c>
      <c r="U17" s="6">
        <f>_xlfn.XLOOKUP(A17,$X$9:$X$11,AA$9:AA$11, 0)</f>
        <v>0</v>
      </c>
      <c r="V17" s="6">
        <f>$AC$6</f>
        <v>1.3333333333333333</v>
      </c>
      <c r="W17" s="6">
        <f>F17*Q17*R17*S17*T17*V17*(1-U17)</f>
        <v>0</v>
      </c>
      <c r="X17" s="6">
        <f>SUM(P17:P26)</f>
        <v>188.51871719999997</v>
      </c>
      <c r="Y17" s="6">
        <f>SUM(H17:H26,W17:W26)</f>
        <v>0</v>
      </c>
      <c r="Z17" s="6">
        <f>SUM(J17:J26)</f>
        <v>0</v>
      </c>
    </row>
    <row r="18" spans="1:26" x14ac:dyDescent="0.2">
      <c r="A18" s="6" t="s">
        <v>2</v>
      </c>
      <c r="B18" s="6" t="s">
        <v>6</v>
      </c>
      <c r="C18" s="6">
        <v>342</v>
      </c>
      <c r="D18" s="6"/>
      <c r="E18" s="6">
        <f>_xlfn.XLOOKUP(B18, WasteEFs[w], WasteEFs[VTMw])</f>
        <v>0.09</v>
      </c>
      <c r="F18" s="6">
        <f t="shared" ref="F18:F24" si="7">IF(C18&lt;&gt;"", C18,D18*E18)</f>
        <v>342</v>
      </c>
      <c r="G18" s="6">
        <f t="shared" ref="G18:G24" si="8">_xlfn.XLOOKUP(A18,$X$5:$X$6,$Y$5:$Y$6, 0)</f>
        <v>0</v>
      </c>
      <c r="H18" s="6">
        <f t="shared" ref="H18:H23" si="9">G18*F18</f>
        <v>0</v>
      </c>
      <c r="I18" s="6">
        <f t="shared" ref="I18:I24" si="10">_xlfn.XLOOKUP(A18,$X$5:$X$6,$Z$5:$Z$6, 0)</f>
        <v>0</v>
      </c>
      <c r="J18" s="6">
        <f t="shared" ref="J18:J24" si="11">F18*I18</f>
        <v>0</v>
      </c>
      <c r="K18" s="6">
        <f>_xlfn.XLOOKUP($B18,WasteEFs[w],WasteEFs[dmw])</f>
        <v>0.9</v>
      </c>
      <c r="L18" s="6">
        <f>_xlfn.XLOOKUP($B18, WasteEFs[w], WasteEFs[CCw])</f>
        <v>0.46</v>
      </c>
      <c r="M18" s="6">
        <f>_xlfn.XLOOKUP($B18, WasteEFs[w], WasteEFs[FCCw])</f>
        <v>0.01</v>
      </c>
      <c r="N18" s="6">
        <f>_xlfn.XLOOKUP($B18, WasteEFs[w], WasteEFs[OFw])</f>
        <v>0.71</v>
      </c>
      <c r="O18" s="6">
        <f>$AC$5</f>
        <v>3.6666666666666665</v>
      </c>
      <c r="P18" s="6">
        <f t="shared" ref="P18:P24" si="12">IF(A18&lt;&gt;"Incineration", 0, F18*K18*L18*M18*N18*O18)</f>
        <v>3.6860075999999999</v>
      </c>
      <c r="Q18" s="6">
        <f>_xlfn.XLOOKUP($B18,WasteEFs[w],WasteEFs[DOCw])</f>
        <v>0.4</v>
      </c>
      <c r="R18" s="6">
        <f>_xlfn.XLOOKUP($B18,WasteEFs[w],WasteEFs[DOCFw])</f>
        <v>0.49</v>
      </c>
      <c r="S18" s="6">
        <f t="shared" ref="S18:S56" si="13">$AC$7</f>
        <v>0.5</v>
      </c>
      <c r="T18" s="6">
        <f>_xlfn.XLOOKUP(A18,$X$9:$X$11,Z$9:Z$11, 0)</f>
        <v>0</v>
      </c>
      <c r="U18" s="6">
        <f>_xlfn.XLOOKUP(A18,$X$9:$X$11,AA$9:AA$11, 0)</f>
        <v>0</v>
      </c>
      <c r="V18" s="6">
        <f t="shared" ref="V18:V56" si="14">$AC$6</f>
        <v>1.3333333333333333</v>
      </c>
      <c r="W18" s="6">
        <f t="shared" ref="W18:W24" si="15">F18*Q18*R18*S18*T18*V18*(1-U18)</f>
        <v>0</v>
      </c>
      <c r="X18" s="6"/>
      <c r="Y18" s="6"/>
      <c r="Z18" s="6"/>
    </row>
    <row r="19" spans="1:26" x14ac:dyDescent="0.2">
      <c r="A19" s="6" t="s">
        <v>2</v>
      </c>
      <c r="B19" s="6" t="s">
        <v>4</v>
      </c>
      <c r="C19" s="6">
        <v>346</v>
      </c>
      <c r="D19" s="6"/>
      <c r="E19" s="6">
        <f>_xlfn.XLOOKUP(B19, WasteEFs[w], WasteEFs[VTMw])</f>
        <v>0.24</v>
      </c>
      <c r="F19" s="6">
        <f t="shared" si="7"/>
        <v>346</v>
      </c>
      <c r="G19" s="6">
        <f t="shared" si="8"/>
        <v>0</v>
      </c>
      <c r="H19" s="6">
        <f t="shared" si="9"/>
        <v>0</v>
      </c>
      <c r="I19" s="6">
        <f t="shared" si="10"/>
        <v>0</v>
      </c>
      <c r="J19" s="6">
        <f t="shared" si="11"/>
        <v>0</v>
      </c>
      <c r="K19" s="6">
        <f>_xlfn.XLOOKUP($B19,WasteEFs[w],WasteEFs[dmw])</f>
        <v>0.4</v>
      </c>
      <c r="L19" s="6">
        <f>_xlfn.XLOOKUP($B19, WasteEFs[w], WasteEFs[CCw])</f>
        <v>0.49</v>
      </c>
      <c r="M19" s="6">
        <f>_xlfn.XLOOKUP($B19, WasteEFs[w], WasteEFs[FCCw])</f>
        <v>0</v>
      </c>
      <c r="N19" s="6">
        <f>_xlfn.XLOOKUP($B19, WasteEFs[w], WasteEFs[OFw])</f>
        <v>0.71</v>
      </c>
      <c r="O19" s="6">
        <f>$AC$5</f>
        <v>3.6666666666666665</v>
      </c>
      <c r="P19" s="6">
        <f t="shared" si="12"/>
        <v>0</v>
      </c>
      <c r="Q19" s="6">
        <f>_xlfn.XLOOKUP($B19,WasteEFs[w],WasteEFs[DOCw])</f>
        <v>0.2</v>
      </c>
      <c r="R19" s="6">
        <f>_xlfn.XLOOKUP($B19,WasteEFs[w],WasteEFs[DOCFw])</f>
        <v>0.47</v>
      </c>
      <c r="S19" s="6">
        <f t="shared" si="13"/>
        <v>0.5</v>
      </c>
      <c r="T19" s="6">
        <f>_xlfn.XLOOKUP(A19,$X$9:$X$11,Z$9:Z$11, 0)</f>
        <v>0</v>
      </c>
      <c r="U19" s="6">
        <f>_xlfn.XLOOKUP(A19,$X$9:$X$11,AA$9:AA$11, 0)</f>
        <v>0</v>
      </c>
      <c r="V19" s="6">
        <f t="shared" si="14"/>
        <v>1.3333333333333333</v>
      </c>
      <c r="W19" s="6">
        <f t="shared" si="15"/>
        <v>0</v>
      </c>
      <c r="X19" s="6"/>
      <c r="Y19" s="6"/>
      <c r="Z19" s="6"/>
    </row>
    <row r="20" spans="1:26" x14ac:dyDescent="0.2">
      <c r="A20" s="6" t="s">
        <v>2</v>
      </c>
      <c r="B20" s="6" t="s">
        <v>45</v>
      </c>
      <c r="C20" s="6">
        <v>1435</v>
      </c>
      <c r="D20" s="6"/>
      <c r="E20" s="6">
        <f>_xlfn.XLOOKUP(B20, WasteEFs[w], WasteEFs[VTMw])</f>
        <v>0.15</v>
      </c>
      <c r="F20" s="6">
        <f t="shared" si="7"/>
        <v>1435</v>
      </c>
      <c r="G20" s="6">
        <f t="shared" si="8"/>
        <v>0</v>
      </c>
      <c r="H20" s="6">
        <f t="shared" si="9"/>
        <v>0</v>
      </c>
      <c r="I20" s="6">
        <f t="shared" si="10"/>
        <v>0</v>
      </c>
      <c r="J20" s="6">
        <f t="shared" si="11"/>
        <v>0</v>
      </c>
      <c r="K20" s="6">
        <f>_xlfn.XLOOKUP($B20,WasteEFs[w],WasteEFs[dmw])</f>
        <v>0.4</v>
      </c>
      <c r="L20" s="6">
        <f>_xlfn.XLOOKUP($B20, WasteEFs[w], WasteEFs[CCw])</f>
        <v>0.5</v>
      </c>
      <c r="M20" s="6">
        <f>_xlfn.XLOOKUP($B20, WasteEFs[w], WasteEFs[FCCw])</f>
        <v>0</v>
      </c>
      <c r="N20" s="6">
        <f>_xlfn.XLOOKUP($B20, WasteEFs[w], WasteEFs[OFw])</f>
        <v>0.71</v>
      </c>
      <c r="O20" s="6">
        <f>$AC$5</f>
        <v>3.6666666666666665</v>
      </c>
      <c r="P20" s="6">
        <f t="shared" si="12"/>
        <v>0</v>
      </c>
      <c r="Q20" s="6">
        <f>_xlfn.XLOOKUP($B20,WasteEFs[w],WasteEFs[DOCw])</f>
        <v>0.43</v>
      </c>
      <c r="R20" s="6">
        <f>_xlfn.XLOOKUP($B20,WasteEFs[w],WasteEFs[DOCFw])</f>
        <v>0.1</v>
      </c>
      <c r="S20" s="6">
        <f t="shared" si="13"/>
        <v>0.5</v>
      </c>
      <c r="T20" s="6">
        <f>_xlfn.XLOOKUP(A20,$X$9:$X$11,Z$9:Z$11, 0)</f>
        <v>0</v>
      </c>
      <c r="U20" s="6">
        <f>_xlfn.XLOOKUP(A20,$X$9:$X$11,AA$9:AA$11, 0)</f>
        <v>0</v>
      </c>
      <c r="V20" s="6">
        <f t="shared" si="14"/>
        <v>1.3333333333333333</v>
      </c>
      <c r="W20" s="6">
        <f t="shared" si="15"/>
        <v>0</v>
      </c>
      <c r="X20" s="6"/>
      <c r="Y20" s="6"/>
      <c r="Z20" s="6"/>
    </row>
    <row r="21" spans="1:26" x14ac:dyDescent="0.2">
      <c r="A21" s="6" t="s">
        <v>2</v>
      </c>
      <c r="B21" s="6" t="s">
        <v>46</v>
      </c>
      <c r="C21" s="6"/>
      <c r="D21" s="6">
        <v>1235</v>
      </c>
      <c r="E21" s="6">
        <f>_xlfn.XLOOKUP(B21, WasteEFs[w], WasteEFs[VTMw])</f>
        <v>0.15</v>
      </c>
      <c r="F21" s="6">
        <f t="shared" si="7"/>
        <v>185.25</v>
      </c>
      <c r="G21" s="6">
        <f t="shared" si="8"/>
        <v>0</v>
      </c>
      <c r="H21" s="6">
        <f t="shared" si="9"/>
        <v>0</v>
      </c>
      <c r="I21" s="6">
        <f t="shared" si="10"/>
        <v>0</v>
      </c>
      <c r="J21" s="6">
        <f t="shared" si="11"/>
        <v>0</v>
      </c>
      <c r="K21" s="6">
        <f>_xlfn.XLOOKUP($B21,WasteEFs[w],WasteEFs[dmw])</f>
        <v>0.9</v>
      </c>
      <c r="L21" s="6">
        <f>_xlfn.XLOOKUP($B21, WasteEFs[w], WasteEFs[CCw])</f>
        <v>0.5</v>
      </c>
      <c r="M21" s="6">
        <f>_xlfn.XLOOKUP($B21, WasteEFs[w], WasteEFs[FCCw])</f>
        <v>0</v>
      </c>
      <c r="N21" s="6">
        <f>_xlfn.XLOOKUP($B21, WasteEFs[w], WasteEFs[OFw])</f>
        <v>0.71</v>
      </c>
      <c r="O21" s="6">
        <f>$AC$5</f>
        <v>3.6666666666666665</v>
      </c>
      <c r="P21" s="6">
        <f t="shared" si="12"/>
        <v>0</v>
      </c>
      <c r="Q21" s="6">
        <f>_xlfn.XLOOKUP($B21,WasteEFs[w],WasteEFs[DOCw])</f>
        <v>0.43</v>
      </c>
      <c r="R21" s="6">
        <f>_xlfn.XLOOKUP($B21,WasteEFs[w],WasteEFs[DOCFw])</f>
        <v>0.1</v>
      </c>
      <c r="S21" s="6">
        <f t="shared" si="13"/>
        <v>0.5</v>
      </c>
      <c r="T21" s="6">
        <f>_xlfn.XLOOKUP(A21,$X$9:$X$11,Z$9:Z$11, 0)</f>
        <v>0</v>
      </c>
      <c r="U21" s="6">
        <f>_xlfn.XLOOKUP(A21,$X$9:$X$11,AA$9:AA$11, 0)</f>
        <v>0</v>
      </c>
      <c r="V21" s="6">
        <f t="shared" si="14"/>
        <v>1.3333333333333333</v>
      </c>
      <c r="W21" s="6">
        <f t="shared" si="15"/>
        <v>0</v>
      </c>
      <c r="X21" s="6"/>
      <c r="Y21" s="6"/>
      <c r="Z21" s="6"/>
    </row>
    <row r="22" spans="1:26" x14ac:dyDescent="0.2">
      <c r="A22" s="6" t="s">
        <v>2</v>
      </c>
      <c r="B22" s="6" t="s">
        <v>7</v>
      </c>
      <c r="C22" s="6"/>
      <c r="D22" s="6">
        <v>345</v>
      </c>
      <c r="E22" s="6">
        <f>_xlfn.XLOOKUP(B22, WasteEFs[w], WasteEFs[VTMw])</f>
        <v>0.14000000000000001</v>
      </c>
      <c r="F22" s="6">
        <f t="shared" si="7"/>
        <v>48.300000000000004</v>
      </c>
      <c r="G22" s="6">
        <f t="shared" si="8"/>
        <v>0</v>
      </c>
      <c r="H22" s="6">
        <f t="shared" si="9"/>
        <v>0</v>
      </c>
      <c r="I22" s="6">
        <f t="shared" si="10"/>
        <v>0</v>
      </c>
      <c r="J22" s="6">
        <f t="shared" si="11"/>
        <v>0</v>
      </c>
      <c r="K22" s="6">
        <f>_xlfn.XLOOKUP($B22,WasteEFs[w],WasteEFs[dmw])</f>
        <v>0.8</v>
      </c>
      <c r="L22" s="6">
        <f>_xlfn.XLOOKUP($B22, WasteEFs[w], WasteEFs[CCw])</f>
        <v>0.5</v>
      </c>
      <c r="M22" s="6">
        <f>_xlfn.XLOOKUP($B22, WasteEFs[w], WasteEFs[FCCw])</f>
        <v>0.2</v>
      </c>
      <c r="N22" s="6">
        <f>_xlfn.XLOOKUP($B22, WasteEFs[w], WasteEFs[OFw])</f>
        <v>0.71</v>
      </c>
      <c r="O22" s="6">
        <f>$AC$5</f>
        <v>3.6666666666666665</v>
      </c>
      <c r="P22" s="6">
        <f t="shared" si="12"/>
        <v>10.059280000000001</v>
      </c>
      <c r="Q22" s="6">
        <f>_xlfn.XLOOKUP($B22,WasteEFs[w],WasteEFs[DOCw])</f>
        <v>0.24</v>
      </c>
      <c r="R22" s="6">
        <f>_xlfn.XLOOKUP($B22,WasteEFs[w],WasteEFs[DOCFw])</f>
        <v>0.5</v>
      </c>
      <c r="S22" s="6">
        <f t="shared" si="13"/>
        <v>0.5</v>
      </c>
      <c r="T22" s="6">
        <f>_xlfn.XLOOKUP(A22,$X$9:$X$11,Z$9:Z$11, 0)</f>
        <v>0</v>
      </c>
      <c r="U22" s="6">
        <f>_xlfn.XLOOKUP(A22,$X$9:$X$11,AA$9:AA$11, 0)</f>
        <v>0</v>
      </c>
      <c r="V22" s="6">
        <f t="shared" si="14"/>
        <v>1.3333333333333333</v>
      </c>
      <c r="W22" s="6">
        <f t="shared" si="15"/>
        <v>0</v>
      </c>
      <c r="X22" s="6"/>
      <c r="Y22" s="6"/>
      <c r="Z22" s="6"/>
    </row>
    <row r="23" spans="1:26" x14ac:dyDescent="0.2">
      <c r="A23" s="6" t="s">
        <v>2</v>
      </c>
      <c r="B23" s="6" t="s">
        <v>1</v>
      </c>
      <c r="C23" s="6"/>
      <c r="D23" s="6">
        <v>4356</v>
      </c>
      <c r="E23" s="6">
        <f>_xlfn.XLOOKUP(B23, WasteEFs[w], WasteEFs[VTMw])</f>
        <v>0.72</v>
      </c>
      <c r="F23" s="6">
        <f t="shared" si="7"/>
        <v>3136.3199999999997</v>
      </c>
      <c r="G23" s="6">
        <f t="shared" si="8"/>
        <v>0</v>
      </c>
      <c r="H23" s="6">
        <f t="shared" si="9"/>
        <v>0</v>
      </c>
      <c r="I23" s="6">
        <f t="shared" si="10"/>
        <v>0</v>
      </c>
      <c r="J23" s="6">
        <f t="shared" si="11"/>
        <v>0</v>
      </c>
      <c r="K23" s="6">
        <f>_xlfn.XLOOKUP($B23,WasteEFs[w],WasteEFs[dmw])</f>
        <v>0</v>
      </c>
      <c r="L23" s="6">
        <f>_xlfn.XLOOKUP($B23, WasteEFs[w], WasteEFs[CCw])</f>
        <v>0.5</v>
      </c>
      <c r="M23" s="6">
        <f>_xlfn.XLOOKUP($B23, WasteEFs[w], WasteEFs[FCCw])</f>
        <v>0</v>
      </c>
      <c r="N23" s="6">
        <f>_xlfn.XLOOKUP($B23, WasteEFs[w], WasteEFs[OFw])</f>
        <v>0.71</v>
      </c>
      <c r="O23" s="6">
        <f>$AC$5</f>
        <v>3.6666666666666665</v>
      </c>
      <c r="P23" s="6">
        <f t="shared" si="12"/>
        <v>0</v>
      </c>
      <c r="Q23" s="6">
        <f>_xlfn.XLOOKUP($B23,WasteEFs[w],WasteEFs[DOCw])</f>
        <v>0.05</v>
      </c>
      <c r="R23" s="6">
        <f>_xlfn.XLOOKUP($B23,WasteEFs[w],WasteEFs[DOCFw])</f>
        <v>0.5</v>
      </c>
      <c r="S23" s="6">
        <f t="shared" si="13"/>
        <v>0.5</v>
      </c>
      <c r="T23" s="6">
        <f>_xlfn.XLOOKUP(A23,$X$9:$X$11,Z$9:Z$11, 0)</f>
        <v>0</v>
      </c>
      <c r="U23" s="6">
        <f>_xlfn.XLOOKUP(A23,$X$9:$X$11,AA$9:AA$11, 0)</f>
        <v>0</v>
      </c>
      <c r="V23" s="6">
        <f t="shared" si="14"/>
        <v>1.3333333333333333</v>
      </c>
      <c r="W23" s="6">
        <f t="shared" si="15"/>
        <v>0</v>
      </c>
      <c r="X23" s="6"/>
      <c r="Y23" s="6"/>
      <c r="Z23" s="6"/>
    </row>
    <row r="24" spans="1:26" x14ac:dyDescent="0.2">
      <c r="A24" s="6" t="s">
        <v>2</v>
      </c>
      <c r="B24" s="6" t="s">
        <v>54</v>
      </c>
      <c r="C24" s="6"/>
      <c r="D24" s="6">
        <v>324</v>
      </c>
      <c r="E24" s="6">
        <f>_xlfn.XLOOKUP(B24, WasteEFs[w], WasteEFs[VTMw])</f>
        <v>0.39</v>
      </c>
      <c r="F24" s="6">
        <f t="shared" si="7"/>
        <v>126.36</v>
      </c>
      <c r="G24" s="6">
        <f t="shared" si="8"/>
        <v>0</v>
      </c>
      <c r="H24" s="6">
        <f>G24*F24</f>
        <v>0</v>
      </c>
      <c r="I24" s="6">
        <f t="shared" si="10"/>
        <v>0</v>
      </c>
      <c r="J24" s="6">
        <f t="shared" si="11"/>
        <v>0</v>
      </c>
      <c r="K24" s="6">
        <f>_xlfn.XLOOKUP($B24,WasteEFs[w],WasteEFs[dmw])</f>
        <v>0.4</v>
      </c>
      <c r="L24" s="6">
        <f>_xlfn.XLOOKUP($B24, WasteEFs[w], WasteEFs[CCw])</f>
        <v>0.7</v>
      </c>
      <c r="M24" s="6">
        <f>_xlfn.XLOOKUP($B24, WasteEFs[w], WasteEFs[FCCw])</f>
        <v>0.1</v>
      </c>
      <c r="N24" s="6">
        <f>_xlfn.XLOOKUP($B24, WasteEFs[w], WasteEFs[OFw])</f>
        <v>0.71</v>
      </c>
      <c r="O24" s="6">
        <f>$AC$5</f>
        <v>3.6666666666666665</v>
      </c>
      <c r="P24" s="6">
        <f t="shared" si="12"/>
        <v>9.2108015999999999</v>
      </c>
      <c r="Q24" s="6">
        <f>_xlfn.XLOOKUP($B24,WasteEFs[w],WasteEFs[DOCw])</f>
        <v>0.24</v>
      </c>
      <c r="R24" s="6">
        <f>_xlfn.XLOOKUP($B24,WasteEFs[w],WasteEFs[DOCFw])</f>
        <v>0.5</v>
      </c>
      <c r="S24" s="6">
        <f t="shared" si="13"/>
        <v>0.5</v>
      </c>
      <c r="T24" s="6">
        <f>_xlfn.XLOOKUP(A24,$X$9:$X$11,Z$9:Z$11, 0)</f>
        <v>0</v>
      </c>
      <c r="U24" s="6">
        <f>_xlfn.XLOOKUP(A24,$X$9:$X$11,AA$9:AA$11, 0)</f>
        <v>0</v>
      </c>
      <c r="V24" s="6">
        <f t="shared" si="14"/>
        <v>1.3333333333333333</v>
      </c>
      <c r="W24" s="6">
        <f t="shared" si="15"/>
        <v>0</v>
      </c>
      <c r="X24" s="6"/>
      <c r="Y24" s="6"/>
      <c r="Z24" s="6"/>
    </row>
    <row r="25" spans="1:26" x14ac:dyDescent="0.2">
      <c r="A25" s="6" t="s">
        <v>2</v>
      </c>
      <c r="B25" s="6" t="s">
        <v>8</v>
      </c>
      <c r="C25" s="6">
        <v>565</v>
      </c>
      <c r="D25" s="6"/>
      <c r="E25" s="6">
        <f>_xlfn.XLOOKUP(B25, WasteEFs[w], WasteEFs[VTMw])</f>
        <v>0.14000000000000001</v>
      </c>
      <c r="F25" s="6">
        <f t="shared" ref="F25:F26" si="16">IF(C25&lt;&gt;"", C25,D25*E25)</f>
        <v>565</v>
      </c>
      <c r="G25" s="6">
        <f t="shared" ref="G25:G26" si="17">_xlfn.XLOOKUP(A25,$X$5:$X$6,$Y$5:$Y$6, 0)</f>
        <v>0</v>
      </c>
      <c r="H25" s="6">
        <f t="shared" ref="H25:H26" si="18">G25*F25</f>
        <v>0</v>
      </c>
      <c r="I25" s="6">
        <f t="shared" ref="I25:I26" si="19">_xlfn.XLOOKUP(A25,$X$5:$X$6,$Z$5:$Z$6, 0)</f>
        <v>0</v>
      </c>
      <c r="J25" s="6">
        <f t="shared" ref="J25:J26" si="20">F25*I25</f>
        <v>0</v>
      </c>
      <c r="K25" s="6">
        <f>_xlfn.XLOOKUP($B25,WasteEFs[w],WasteEFs[dmw])</f>
        <v>0.84</v>
      </c>
      <c r="L25" s="6">
        <f>_xlfn.XLOOKUP($B25, WasteEFs[w], WasteEFs[CCw])</f>
        <v>0.67</v>
      </c>
      <c r="M25" s="6">
        <f>_xlfn.XLOOKUP($B25, WasteEFs[w], WasteEFs[FCCw])</f>
        <v>0.2</v>
      </c>
      <c r="N25" s="6">
        <f>_xlfn.XLOOKUP($B25, WasteEFs[w], WasteEFs[OFw])</f>
        <v>0.71</v>
      </c>
      <c r="O25" s="6">
        <f t="shared" ref="O25:O26" si="21">$AC$5</f>
        <v>3.6666666666666665</v>
      </c>
      <c r="P25" s="6">
        <f>IF(A25&lt;&gt;"Incineration", 0, F25*K25*L25*M25*N25*O25)</f>
        <v>165.56262799999996</v>
      </c>
      <c r="Q25" s="6">
        <f>_xlfn.XLOOKUP($B25,WasteEFs[w],WasteEFs[DOCw])</f>
        <v>0.39</v>
      </c>
      <c r="R25" s="6">
        <f>_xlfn.XLOOKUP($B25,WasteEFs[w],WasteEFs[DOCFw])</f>
        <v>0.5</v>
      </c>
      <c r="S25" s="6">
        <f t="shared" si="13"/>
        <v>0.5</v>
      </c>
      <c r="T25" s="6">
        <f>_xlfn.XLOOKUP(A25,$X$9:$X$11,Z$9:Z$11, 0)</f>
        <v>0</v>
      </c>
      <c r="U25" s="6">
        <f>_xlfn.XLOOKUP(A25,$X$9:$X$11,AA$9:AA$11, 0)</f>
        <v>0</v>
      </c>
      <c r="V25" s="6">
        <f t="shared" si="14"/>
        <v>1.3333333333333333</v>
      </c>
      <c r="W25" s="6">
        <f t="shared" ref="W25:W26" si="22">F25*Q25*R25*S25*T25*V25*(1-U25)</f>
        <v>0</v>
      </c>
      <c r="X25" s="6"/>
      <c r="Y25" s="6"/>
      <c r="Z25" s="6"/>
    </row>
    <row r="26" spans="1:26" x14ac:dyDescent="0.2">
      <c r="A26" s="4" t="s">
        <v>2</v>
      </c>
      <c r="B26" s="4" t="s">
        <v>47</v>
      </c>
      <c r="C26" s="4">
        <v>0</v>
      </c>
      <c r="D26" s="4"/>
      <c r="E26" s="4">
        <f>_xlfn.XLOOKUP(B26, WasteEFs[w], WasteEFs[VTMw])</f>
        <v>0.42</v>
      </c>
      <c r="F26" s="4">
        <f t="shared" si="16"/>
        <v>0</v>
      </c>
      <c r="G26" s="4">
        <f t="shared" si="17"/>
        <v>0</v>
      </c>
      <c r="H26" s="4">
        <f t="shared" si="18"/>
        <v>0</v>
      </c>
      <c r="I26" s="4">
        <f t="shared" si="19"/>
        <v>0</v>
      </c>
      <c r="J26" s="4">
        <f t="shared" si="20"/>
        <v>0</v>
      </c>
      <c r="K26" s="4">
        <f>_xlfn.XLOOKUP($B26,WasteEFs[w],WasteEFs[dmw])</f>
        <v>0.9</v>
      </c>
      <c r="L26" s="4">
        <f>_xlfn.XLOOKUP($B26, WasteEFs[w], WasteEFs[CCw])</f>
        <v>0.03</v>
      </c>
      <c r="M26" s="4">
        <f>_xlfn.XLOOKUP($B26, WasteEFs[w], WasteEFs[FCCw])</f>
        <v>1</v>
      </c>
      <c r="N26" s="4">
        <f>_xlfn.XLOOKUP($B26, WasteEFs[w], WasteEFs[OFw])</f>
        <v>0.71</v>
      </c>
      <c r="O26" s="4">
        <f t="shared" si="21"/>
        <v>3.6666666666666665</v>
      </c>
      <c r="P26" s="4">
        <f t="shared" ref="P25:P26" si="23">IF(A26&lt;&gt;"Incineration", 0, F26*K26*L26*M26*N26*O26)</f>
        <v>0</v>
      </c>
      <c r="Q26" s="4">
        <f>_xlfn.XLOOKUP($B26,WasteEFs[w],WasteEFs[DOCw])</f>
        <v>0</v>
      </c>
      <c r="R26" s="4">
        <f>_xlfn.XLOOKUP($B26,WasteEFs[w],WasteEFs[DOCFw])</f>
        <v>0</v>
      </c>
      <c r="S26" s="4">
        <f t="shared" si="13"/>
        <v>0.5</v>
      </c>
      <c r="T26" s="4">
        <f>_xlfn.XLOOKUP(A26,$X$9:$X$11,Z$9:Z$11, 0)</f>
        <v>0</v>
      </c>
      <c r="U26" s="4">
        <f>_xlfn.XLOOKUP(A26,$X$9:$X$11,AA$9:AA$11, 0)</f>
        <v>0</v>
      </c>
      <c r="V26" s="4">
        <f t="shared" si="14"/>
        <v>1.3333333333333333</v>
      </c>
      <c r="W26" s="4">
        <f t="shared" si="22"/>
        <v>0</v>
      </c>
      <c r="X26" s="4"/>
      <c r="Y26" s="4"/>
      <c r="Z26" s="4"/>
    </row>
    <row r="27" spans="1:26" x14ac:dyDescent="0.2">
      <c r="A27" t="s">
        <v>38</v>
      </c>
      <c r="B27" s="6" t="s">
        <v>3</v>
      </c>
      <c r="C27" s="6">
        <v>1234</v>
      </c>
      <c r="D27" s="6"/>
      <c r="E27" s="6">
        <f>_xlfn.XLOOKUP(B27, WasteEFs[w], WasteEFs[VTMw])</f>
        <v>0.5</v>
      </c>
      <c r="F27" s="6">
        <f>IF(C27&lt;&gt;"", C27,D27*E27)</f>
        <v>1234</v>
      </c>
      <c r="G27" s="6">
        <f>_xlfn.XLOOKUP(A27,$X$5:$X$6,$Y$5:$Y$6, 0)</f>
        <v>0</v>
      </c>
      <c r="H27" s="6">
        <f>G27*F27</f>
        <v>0</v>
      </c>
      <c r="I27" s="6">
        <f>_xlfn.XLOOKUP(A27,$X$5:$X$6,$Z$5:$Z$6, 0)</f>
        <v>0</v>
      </c>
      <c r="J27" s="6">
        <f>F27*I27</f>
        <v>0</v>
      </c>
      <c r="K27" s="6">
        <f>_xlfn.XLOOKUP($B27,WasteEFs[w],WasteEFs[dmw])</f>
        <v>0.4</v>
      </c>
      <c r="L27" s="6">
        <f>_xlfn.XLOOKUP($B27, WasteEFs[w], WasteEFs[CCw])</f>
        <v>0.38</v>
      </c>
      <c r="M27" s="6">
        <f>_xlfn.XLOOKUP($B27, WasteEFs[w], WasteEFs[FCCw])</f>
        <v>0</v>
      </c>
      <c r="N27" s="6">
        <f>_xlfn.XLOOKUP($B27, WasteEFs[w], WasteEFs[OFw])</f>
        <v>0.71</v>
      </c>
      <c r="O27" s="6">
        <f>$AC$5</f>
        <v>3.6666666666666665</v>
      </c>
      <c r="P27" s="6">
        <f>IF(A27&lt;&gt;"Incineration", 0, F27*K27*L27*M27*N27*O27)</f>
        <v>0</v>
      </c>
      <c r="Q27" s="6">
        <f>_xlfn.XLOOKUP($B27,WasteEFs[w],WasteEFs[DOCw])</f>
        <v>0.15</v>
      </c>
      <c r="R27" s="6">
        <f>_xlfn.XLOOKUP($B27,WasteEFs[w],WasteEFs[DOCFw])</f>
        <v>0.84</v>
      </c>
      <c r="S27" s="6">
        <f>$AC$7</f>
        <v>0.5</v>
      </c>
      <c r="T27" s="6">
        <f>_xlfn.XLOOKUP(A27,$X$9:$X$11,Z$9:Z$11, 0)</f>
        <v>0.8</v>
      </c>
      <c r="U27" s="6">
        <f>_xlfn.XLOOKUP(A27,$X$9:$X$11,AA$9:AA$11, 0)</f>
        <v>0</v>
      </c>
      <c r="V27" s="6">
        <f>$AC$6</f>
        <v>1.3333333333333333</v>
      </c>
      <c r="W27" s="6">
        <f>F27*Q27*R27*S27*T27*V27*(1-U27)</f>
        <v>82.924799999999991</v>
      </c>
      <c r="X27" s="6">
        <f>SUM(P27:P36)</f>
        <v>0</v>
      </c>
      <c r="Y27" s="6">
        <f>SUM(H27:H36,W27:W36)</f>
        <v>231.21257333333332</v>
      </c>
      <c r="Z27" s="6">
        <f>SUM(J27:J36)</f>
        <v>0</v>
      </c>
    </row>
    <row r="28" spans="1:26" x14ac:dyDescent="0.2">
      <c r="A28" t="s">
        <v>40</v>
      </c>
      <c r="B28" s="6" t="s">
        <v>6</v>
      </c>
      <c r="C28" s="6">
        <v>342</v>
      </c>
      <c r="D28" s="6"/>
      <c r="E28" s="6">
        <f>_xlfn.XLOOKUP(B28, WasteEFs[w], WasteEFs[VTMw])</f>
        <v>0.09</v>
      </c>
      <c r="F28" s="6">
        <f t="shared" ref="F28:F36" si="24">IF(C28&lt;&gt;"", C28,D28*E28)</f>
        <v>342</v>
      </c>
      <c r="G28" s="6">
        <f t="shared" ref="G28:G36" si="25">_xlfn.XLOOKUP(A28,$X$5:$X$6,$Y$5:$Y$6, 0)</f>
        <v>0</v>
      </c>
      <c r="H28" s="6">
        <f t="shared" ref="H28:H33" si="26">G28*F28</f>
        <v>0</v>
      </c>
      <c r="I28" s="6">
        <f t="shared" ref="I28:I36" si="27">_xlfn.XLOOKUP(A28,$X$5:$X$6,$Z$5:$Z$6, 0)</f>
        <v>0</v>
      </c>
      <c r="J28" s="6">
        <f t="shared" ref="J28:J36" si="28">F28*I28</f>
        <v>0</v>
      </c>
      <c r="K28" s="6">
        <f>_xlfn.XLOOKUP($B28,WasteEFs[w],WasteEFs[dmw])</f>
        <v>0.9</v>
      </c>
      <c r="L28" s="6">
        <f>_xlfn.XLOOKUP($B28, WasteEFs[w], WasteEFs[CCw])</f>
        <v>0.46</v>
      </c>
      <c r="M28" s="6">
        <f>_xlfn.XLOOKUP($B28, WasteEFs[w], WasteEFs[FCCw])</f>
        <v>0.01</v>
      </c>
      <c r="N28" s="6">
        <f>_xlfn.XLOOKUP($B28, WasteEFs[w], WasteEFs[OFw])</f>
        <v>0.71</v>
      </c>
      <c r="O28" s="6">
        <f>$AC$5</f>
        <v>3.6666666666666665</v>
      </c>
      <c r="P28" s="6">
        <f t="shared" ref="P28:P36" si="29">IF(A28&lt;&gt;"Incineration", 0, F28*K28*L28*M28*N28*O28)</f>
        <v>0</v>
      </c>
      <c r="Q28" s="6">
        <f>_xlfn.XLOOKUP($B28,WasteEFs[w],WasteEFs[DOCw])</f>
        <v>0.4</v>
      </c>
      <c r="R28" s="6">
        <f>_xlfn.XLOOKUP($B28,WasteEFs[w],WasteEFs[DOCFw])</f>
        <v>0.49</v>
      </c>
      <c r="S28" s="6">
        <f t="shared" si="13"/>
        <v>0.5</v>
      </c>
      <c r="T28" s="6">
        <f>_xlfn.XLOOKUP(A28,$X$9:$X$11,Z$9:Z$11, 0)</f>
        <v>0.4</v>
      </c>
      <c r="U28" s="6">
        <f>_xlfn.XLOOKUP(A28,$X$9:$X$11,AA$9:AA$11, 0)</f>
        <v>0</v>
      </c>
      <c r="V28" s="6">
        <f t="shared" si="14"/>
        <v>1.3333333333333333</v>
      </c>
      <c r="W28" s="6">
        <f t="shared" ref="W28:W36" si="30">F28*Q28*R28*S28*T28*V28*(1-U28)</f>
        <v>17.875200000000003</v>
      </c>
      <c r="X28" s="6"/>
      <c r="Y28" s="6"/>
      <c r="Z28" s="6"/>
    </row>
    <row r="29" spans="1:26" x14ac:dyDescent="0.2">
      <c r="A29" t="s">
        <v>39</v>
      </c>
      <c r="B29" s="6" t="s">
        <v>4</v>
      </c>
      <c r="C29" s="6">
        <v>346</v>
      </c>
      <c r="D29" s="6"/>
      <c r="E29" s="6">
        <f>_xlfn.XLOOKUP(B29, WasteEFs[w], WasteEFs[VTMw])</f>
        <v>0.24</v>
      </c>
      <c r="F29" s="6">
        <f t="shared" si="24"/>
        <v>346</v>
      </c>
      <c r="G29" s="6">
        <f t="shared" si="25"/>
        <v>0</v>
      </c>
      <c r="H29" s="6">
        <f t="shared" si="26"/>
        <v>0</v>
      </c>
      <c r="I29" s="6">
        <f t="shared" si="27"/>
        <v>0</v>
      </c>
      <c r="J29" s="6">
        <f t="shared" si="28"/>
        <v>0</v>
      </c>
      <c r="K29" s="6">
        <f>_xlfn.XLOOKUP($B29,WasteEFs[w],WasteEFs[dmw])</f>
        <v>0.4</v>
      </c>
      <c r="L29" s="6">
        <f>_xlfn.XLOOKUP($B29, WasteEFs[w], WasteEFs[CCw])</f>
        <v>0.49</v>
      </c>
      <c r="M29" s="6">
        <f>_xlfn.XLOOKUP($B29, WasteEFs[w], WasteEFs[FCCw])</f>
        <v>0</v>
      </c>
      <c r="N29" s="6">
        <f>_xlfn.XLOOKUP($B29, WasteEFs[w], WasteEFs[OFw])</f>
        <v>0.71</v>
      </c>
      <c r="O29" s="6">
        <f>$AC$5</f>
        <v>3.6666666666666665</v>
      </c>
      <c r="P29" s="6">
        <f t="shared" si="29"/>
        <v>0</v>
      </c>
      <c r="Q29" s="6">
        <f>_xlfn.XLOOKUP($B29,WasteEFs[w],WasteEFs[DOCw])</f>
        <v>0.2</v>
      </c>
      <c r="R29" s="6">
        <f>_xlfn.XLOOKUP($B29,WasteEFs[w],WasteEFs[DOCFw])</f>
        <v>0.47</v>
      </c>
      <c r="S29" s="6">
        <f t="shared" si="13"/>
        <v>0.5</v>
      </c>
      <c r="T29" s="6">
        <f>_xlfn.XLOOKUP(A29,$X$9:$X$11,Z$9:Z$11, 0)</f>
        <v>0.7</v>
      </c>
      <c r="U29" s="6">
        <f>_xlfn.XLOOKUP(A29,$X$9:$X$11,AA$9:AA$11, 0)</f>
        <v>0.1</v>
      </c>
      <c r="V29" s="6">
        <f t="shared" si="14"/>
        <v>1.3333333333333333</v>
      </c>
      <c r="W29" s="6">
        <f t="shared" si="30"/>
        <v>13.660080000000001</v>
      </c>
      <c r="X29" s="6"/>
      <c r="Y29" s="6"/>
      <c r="Z29" s="6"/>
    </row>
    <row r="30" spans="1:26" x14ac:dyDescent="0.2">
      <c r="A30" t="s">
        <v>38</v>
      </c>
      <c r="B30" s="6" t="s">
        <v>45</v>
      </c>
      <c r="C30" s="6">
        <v>1435</v>
      </c>
      <c r="D30" s="6"/>
      <c r="E30" s="6">
        <f>_xlfn.XLOOKUP(B30, WasteEFs[w], WasteEFs[VTMw])</f>
        <v>0.15</v>
      </c>
      <c r="F30" s="6">
        <f t="shared" si="24"/>
        <v>1435</v>
      </c>
      <c r="G30" s="6">
        <f t="shared" si="25"/>
        <v>0</v>
      </c>
      <c r="H30" s="6">
        <f t="shared" si="26"/>
        <v>0</v>
      </c>
      <c r="I30" s="6">
        <f t="shared" si="27"/>
        <v>0</v>
      </c>
      <c r="J30" s="6">
        <f t="shared" si="28"/>
        <v>0</v>
      </c>
      <c r="K30" s="6">
        <f>_xlfn.XLOOKUP($B30,WasteEFs[w],WasteEFs[dmw])</f>
        <v>0.4</v>
      </c>
      <c r="L30" s="6">
        <f>_xlfn.XLOOKUP($B30, WasteEFs[w], WasteEFs[CCw])</f>
        <v>0.5</v>
      </c>
      <c r="M30" s="6">
        <f>_xlfn.XLOOKUP($B30, WasteEFs[w], WasteEFs[FCCw])</f>
        <v>0</v>
      </c>
      <c r="N30" s="6">
        <f>_xlfn.XLOOKUP($B30, WasteEFs[w], WasteEFs[OFw])</f>
        <v>0.71</v>
      </c>
      <c r="O30" s="6">
        <f>$AC$5</f>
        <v>3.6666666666666665</v>
      </c>
      <c r="P30" s="6">
        <f t="shared" si="29"/>
        <v>0</v>
      </c>
      <c r="Q30" s="6">
        <f>_xlfn.XLOOKUP($B30,WasteEFs[w],WasteEFs[DOCw])</f>
        <v>0.43</v>
      </c>
      <c r="R30" s="6">
        <f>_xlfn.XLOOKUP($B30,WasteEFs[w],WasteEFs[DOCFw])</f>
        <v>0.1</v>
      </c>
      <c r="S30" s="6">
        <f t="shared" si="13"/>
        <v>0.5</v>
      </c>
      <c r="T30" s="6">
        <f>_xlfn.XLOOKUP(A30,$X$9:$X$11,Z$9:Z$11, 0)</f>
        <v>0.8</v>
      </c>
      <c r="U30" s="6">
        <f>_xlfn.XLOOKUP(A30,$X$9:$X$11,AA$9:AA$11, 0)</f>
        <v>0</v>
      </c>
      <c r="V30" s="6">
        <f t="shared" si="14"/>
        <v>1.3333333333333333</v>
      </c>
      <c r="W30" s="6">
        <f t="shared" si="30"/>
        <v>32.909333333333336</v>
      </c>
      <c r="X30" s="6"/>
      <c r="Y30" s="6"/>
      <c r="Z30" s="6"/>
    </row>
    <row r="31" spans="1:26" x14ac:dyDescent="0.2">
      <c r="A31" t="s">
        <v>40</v>
      </c>
      <c r="B31" s="6" t="s">
        <v>46</v>
      </c>
      <c r="C31" s="6"/>
      <c r="D31" s="6">
        <v>1235</v>
      </c>
      <c r="E31" s="6">
        <f>_xlfn.XLOOKUP(B31, WasteEFs[w], WasteEFs[VTMw])</f>
        <v>0.15</v>
      </c>
      <c r="F31" s="6">
        <f t="shared" si="24"/>
        <v>185.25</v>
      </c>
      <c r="G31" s="6">
        <f t="shared" si="25"/>
        <v>0</v>
      </c>
      <c r="H31" s="6">
        <f t="shared" si="26"/>
        <v>0</v>
      </c>
      <c r="I31" s="6">
        <f t="shared" si="27"/>
        <v>0</v>
      </c>
      <c r="J31" s="6">
        <f t="shared" si="28"/>
        <v>0</v>
      </c>
      <c r="K31" s="6">
        <f>_xlfn.XLOOKUP($B31,WasteEFs[w],WasteEFs[dmw])</f>
        <v>0.9</v>
      </c>
      <c r="L31" s="6">
        <f>_xlfn.XLOOKUP($B31, WasteEFs[w], WasteEFs[CCw])</f>
        <v>0.5</v>
      </c>
      <c r="M31" s="6">
        <f>_xlfn.XLOOKUP($B31, WasteEFs[w], WasteEFs[FCCw])</f>
        <v>0</v>
      </c>
      <c r="N31" s="6">
        <f>_xlfn.XLOOKUP($B31, WasteEFs[w], WasteEFs[OFw])</f>
        <v>0.71</v>
      </c>
      <c r="O31" s="6">
        <f>$AC$5</f>
        <v>3.6666666666666665</v>
      </c>
      <c r="P31" s="6">
        <f t="shared" si="29"/>
        <v>0</v>
      </c>
      <c r="Q31" s="6">
        <f>_xlfn.XLOOKUP($B31,WasteEFs[w],WasteEFs[DOCw])</f>
        <v>0.43</v>
      </c>
      <c r="R31" s="6">
        <f>_xlfn.XLOOKUP($B31,WasteEFs[w],WasteEFs[DOCFw])</f>
        <v>0.1</v>
      </c>
      <c r="S31" s="6">
        <f t="shared" si="13"/>
        <v>0.5</v>
      </c>
      <c r="T31" s="6">
        <f>_xlfn.XLOOKUP(A31,$X$9:$X$11,Z$9:Z$11, 0)</f>
        <v>0.4</v>
      </c>
      <c r="U31" s="6">
        <f>_xlfn.XLOOKUP(A31,$X$9:$X$11,AA$9:AA$11, 0)</f>
        <v>0</v>
      </c>
      <c r="V31" s="6">
        <f t="shared" si="14"/>
        <v>1.3333333333333333</v>
      </c>
      <c r="W31" s="6">
        <f t="shared" si="30"/>
        <v>2.1242000000000001</v>
      </c>
      <c r="X31" s="6"/>
      <c r="Y31" s="6"/>
      <c r="Z31" s="6"/>
    </row>
    <row r="32" spans="1:26" x14ac:dyDescent="0.2">
      <c r="A32" t="s">
        <v>39</v>
      </c>
      <c r="B32" s="6" t="s">
        <v>7</v>
      </c>
      <c r="C32" s="6"/>
      <c r="D32" s="6">
        <v>345</v>
      </c>
      <c r="E32" s="6">
        <f>_xlfn.XLOOKUP(B32, WasteEFs[w], WasteEFs[VTMw])</f>
        <v>0.14000000000000001</v>
      </c>
      <c r="F32" s="6">
        <f t="shared" si="24"/>
        <v>48.300000000000004</v>
      </c>
      <c r="G32" s="6">
        <f t="shared" si="25"/>
        <v>0</v>
      </c>
      <c r="H32" s="6">
        <f t="shared" si="26"/>
        <v>0</v>
      </c>
      <c r="I32" s="6">
        <f t="shared" si="27"/>
        <v>0</v>
      </c>
      <c r="J32" s="6">
        <f t="shared" si="28"/>
        <v>0</v>
      </c>
      <c r="K32" s="6">
        <f>_xlfn.XLOOKUP($B32,WasteEFs[w],WasteEFs[dmw])</f>
        <v>0.8</v>
      </c>
      <c r="L32" s="6">
        <f>_xlfn.XLOOKUP($B32, WasteEFs[w], WasteEFs[CCw])</f>
        <v>0.5</v>
      </c>
      <c r="M32" s="6">
        <f>_xlfn.XLOOKUP($B32, WasteEFs[w], WasteEFs[FCCw])</f>
        <v>0.2</v>
      </c>
      <c r="N32" s="6">
        <f>_xlfn.XLOOKUP($B32, WasteEFs[w], WasteEFs[OFw])</f>
        <v>0.71</v>
      </c>
      <c r="O32" s="6">
        <f>$AC$5</f>
        <v>3.6666666666666665</v>
      </c>
      <c r="P32" s="6">
        <f t="shared" si="29"/>
        <v>0</v>
      </c>
      <c r="Q32" s="6">
        <f>_xlfn.XLOOKUP($B32,WasteEFs[w],WasteEFs[DOCw])</f>
        <v>0.24</v>
      </c>
      <c r="R32" s="6">
        <f>_xlfn.XLOOKUP($B32,WasteEFs[w],WasteEFs[DOCFw])</f>
        <v>0.5</v>
      </c>
      <c r="S32" s="6">
        <f t="shared" si="13"/>
        <v>0.5</v>
      </c>
      <c r="T32" s="6">
        <f>_xlfn.XLOOKUP(A32,$X$9:$X$11,Z$9:Z$11, 0)</f>
        <v>0.7</v>
      </c>
      <c r="U32" s="6">
        <f>_xlfn.XLOOKUP(A32,$X$9:$X$11,AA$9:AA$11, 0)</f>
        <v>0.1</v>
      </c>
      <c r="V32" s="6">
        <f t="shared" si="14"/>
        <v>1.3333333333333333</v>
      </c>
      <c r="W32" s="6">
        <f t="shared" si="30"/>
        <v>2.4343199999999996</v>
      </c>
      <c r="X32" s="6"/>
      <c r="Y32" s="6"/>
      <c r="Z32" s="6"/>
    </row>
    <row r="33" spans="1:26" x14ac:dyDescent="0.2">
      <c r="A33" t="s">
        <v>38</v>
      </c>
      <c r="B33" s="6" t="s">
        <v>1</v>
      </c>
      <c r="C33" s="6"/>
      <c r="D33" s="6">
        <v>4356</v>
      </c>
      <c r="E33" s="6">
        <f>_xlfn.XLOOKUP(B33, WasteEFs[w], WasteEFs[VTMw])</f>
        <v>0.72</v>
      </c>
      <c r="F33" s="6">
        <f t="shared" si="24"/>
        <v>3136.3199999999997</v>
      </c>
      <c r="G33" s="6">
        <f t="shared" si="25"/>
        <v>0</v>
      </c>
      <c r="H33" s="6">
        <f t="shared" si="26"/>
        <v>0</v>
      </c>
      <c r="I33" s="6">
        <f t="shared" si="27"/>
        <v>0</v>
      </c>
      <c r="J33" s="6">
        <f t="shared" si="28"/>
        <v>0</v>
      </c>
      <c r="K33" s="6">
        <f>_xlfn.XLOOKUP($B33,WasteEFs[w],WasteEFs[dmw])</f>
        <v>0</v>
      </c>
      <c r="L33" s="6">
        <f>_xlfn.XLOOKUP($B33, WasteEFs[w], WasteEFs[CCw])</f>
        <v>0.5</v>
      </c>
      <c r="M33" s="6">
        <f>_xlfn.XLOOKUP($B33, WasteEFs[w], WasteEFs[FCCw])</f>
        <v>0</v>
      </c>
      <c r="N33" s="6">
        <f>_xlfn.XLOOKUP($B33, WasteEFs[w], WasteEFs[OFw])</f>
        <v>0.71</v>
      </c>
      <c r="O33" s="6">
        <f>$AC$5</f>
        <v>3.6666666666666665</v>
      </c>
      <c r="P33" s="6">
        <f t="shared" si="29"/>
        <v>0</v>
      </c>
      <c r="Q33" s="6">
        <f>_xlfn.XLOOKUP($B33,WasteEFs[w],WasteEFs[DOCw])</f>
        <v>0.05</v>
      </c>
      <c r="R33" s="6">
        <f>_xlfn.XLOOKUP($B33,WasteEFs[w],WasteEFs[DOCFw])</f>
        <v>0.5</v>
      </c>
      <c r="S33" s="6">
        <f t="shared" si="13"/>
        <v>0.5</v>
      </c>
      <c r="T33" s="6">
        <f>_xlfn.XLOOKUP(A33,$X$9:$X$11,Z$9:Z$11, 0)</f>
        <v>0.8</v>
      </c>
      <c r="U33" s="6">
        <f>_xlfn.XLOOKUP(A33,$X$9:$X$11,AA$9:AA$11, 0)</f>
        <v>0</v>
      </c>
      <c r="V33" s="6">
        <f t="shared" si="14"/>
        <v>1.3333333333333333</v>
      </c>
      <c r="W33" s="6">
        <f t="shared" si="30"/>
        <v>41.817599999999999</v>
      </c>
      <c r="X33" s="6"/>
      <c r="Y33" s="6"/>
      <c r="Z33" s="6"/>
    </row>
    <row r="34" spans="1:26" x14ac:dyDescent="0.2">
      <c r="A34" t="s">
        <v>38</v>
      </c>
      <c r="B34" s="6" t="s">
        <v>54</v>
      </c>
      <c r="C34" s="6"/>
      <c r="D34" s="6">
        <v>324</v>
      </c>
      <c r="E34" s="6">
        <f>_xlfn.XLOOKUP(B34, WasteEFs[w], WasteEFs[VTMw])</f>
        <v>0.39</v>
      </c>
      <c r="F34" s="6">
        <f t="shared" si="24"/>
        <v>126.36</v>
      </c>
      <c r="G34" s="6">
        <f t="shared" si="25"/>
        <v>0</v>
      </c>
      <c r="H34" s="6">
        <f>G34*F34</f>
        <v>0</v>
      </c>
      <c r="I34" s="6">
        <f t="shared" si="27"/>
        <v>0</v>
      </c>
      <c r="J34" s="6">
        <f t="shared" si="28"/>
        <v>0</v>
      </c>
      <c r="K34" s="6">
        <f>_xlfn.XLOOKUP($B34,WasteEFs[w],WasteEFs[dmw])</f>
        <v>0.4</v>
      </c>
      <c r="L34" s="6">
        <f>_xlfn.XLOOKUP($B34, WasteEFs[w], WasteEFs[CCw])</f>
        <v>0.7</v>
      </c>
      <c r="M34" s="6">
        <f>_xlfn.XLOOKUP($B34, WasteEFs[w], WasteEFs[FCCw])</f>
        <v>0.1</v>
      </c>
      <c r="N34" s="6">
        <f>_xlfn.XLOOKUP($B34, WasteEFs[w], WasteEFs[OFw])</f>
        <v>0.71</v>
      </c>
      <c r="O34" s="6">
        <f>$AC$5</f>
        <v>3.6666666666666665</v>
      </c>
      <c r="P34" s="6">
        <f t="shared" si="29"/>
        <v>0</v>
      </c>
      <c r="Q34" s="6">
        <f>_xlfn.XLOOKUP($B34,WasteEFs[w],WasteEFs[DOCw])</f>
        <v>0.24</v>
      </c>
      <c r="R34" s="6">
        <f>_xlfn.XLOOKUP($B34,WasteEFs[w],WasteEFs[DOCFw])</f>
        <v>0.5</v>
      </c>
      <c r="S34" s="6">
        <f t="shared" si="13"/>
        <v>0.5</v>
      </c>
      <c r="T34" s="6">
        <f>_xlfn.XLOOKUP(A34,$X$9:$X$11,Z$9:Z$11, 0)</f>
        <v>0.8</v>
      </c>
      <c r="U34" s="6">
        <f>_xlfn.XLOOKUP(A34,$X$9:$X$11,AA$9:AA$11, 0)</f>
        <v>0</v>
      </c>
      <c r="V34" s="6">
        <f t="shared" si="14"/>
        <v>1.3333333333333333</v>
      </c>
      <c r="W34" s="6">
        <f t="shared" si="30"/>
        <v>8.08704</v>
      </c>
      <c r="X34" s="6"/>
      <c r="Y34" s="6"/>
      <c r="Z34" s="6"/>
    </row>
    <row r="35" spans="1:26" x14ac:dyDescent="0.2">
      <c r="A35" t="s">
        <v>40</v>
      </c>
      <c r="B35" s="6" t="s">
        <v>8</v>
      </c>
      <c r="C35" s="6">
        <v>565</v>
      </c>
      <c r="D35" s="6"/>
      <c r="E35" s="6">
        <f>_xlfn.XLOOKUP(B35, WasteEFs[w], WasteEFs[VTMw])</f>
        <v>0.14000000000000001</v>
      </c>
      <c r="F35" s="6">
        <f t="shared" si="24"/>
        <v>565</v>
      </c>
      <c r="G35" s="6">
        <f t="shared" si="25"/>
        <v>0</v>
      </c>
      <c r="H35" s="6">
        <f t="shared" ref="H35:H36" si="31">G35*F35</f>
        <v>0</v>
      </c>
      <c r="I35" s="6">
        <f t="shared" si="27"/>
        <v>0</v>
      </c>
      <c r="J35" s="6">
        <f t="shared" si="28"/>
        <v>0</v>
      </c>
      <c r="K35" s="6">
        <f>_xlfn.XLOOKUP($B35,WasteEFs[w],WasteEFs[dmw])</f>
        <v>0.84</v>
      </c>
      <c r="L35" s="6">
        <f>_xlfn.XLOOKUP($B35, WasteEFs[w], WasteEFs[CCw])</f>
        <v>0.67</v>
      </c>
      <c r="M35" s="6">
        <f>_xlfn.XLOOKUP($B35, WasteEFs[w], WasteEFs[FCCw])</f>
        <v>0.2</v>
      </c>
      <c r="N35" s="6">
        <f>_xlfn.XLOOKUP($B35, WasteEFs[w], WasteEFs[OFw])</f>
        <v>0.71</v>
      </c>
      <c r="O35" s="6">
        <f t="shared" ref="O35:O36" si="32">$AC$5</f>
        <v>3.6666666666666665</v>
      </c>
      <c r="P35" s="6">
        <f t="shared" si="29"/>
        <v>0</v>
      </c>
      <c r="Q35" s="6">
        <f>_xlfn.XLOOKUP($B35,WasteEFs[w],WasteEFs[DOCw])</f>
        <v>0.39</v>
      </c>
      <c r="R35" s="6">
        <f>_xlfn.XLOOKUP($B35,WasteEFs[w],WasteEFs[DOCFw])</f>
        <v>0.5</v>
      </c>
      <c r="S35" s="6">
        <f t="shared" si="13"/>
        <v>0.5</v>
      </c>
      <c r="T35" s="6">
        <f>_xlfn.XLOOKUP(A35,$X$9:$X$11,Z$9:Z$11, 0)</f>
        <v>0.4</v>
      </c>
      <c r="U35" s="6">
        <f>_xlfn.XLOOKUP(A35,$X$9:$X$11,AA$9:AA$11, 0)</f>
        <v>0</v>
      </c>
      <c r="V35" s="6">
        <f t="shared" si="14"/>
        <v>1.3333333333333333</v>
      </c>
      <c r="W35" s="6">
        <f t="shared" si="30"/>
        <v>29.38</v>
      </c>
      <c r="X35" s="6"/>
      <c r="Y35" s="6"/>
      <c r="Z35" s="6"/>
    </row>
    <row r="36" spans="1:26" x14ac:dyDescent="0.2">
      <c r="A36" s="4" t="s">
        <v>39</v>
      </c>
      <c r="B36" s="4" t="s">
        <v>47</v>
      </c>
      <c r="C36" s="4">
        <v>7643</v>
      </c>
      <c r="D36" s="4"/>
      <c r="E36" s="4">
        <f>_xlfn.XLOOKUP(B36, WasteEFs[w], WasteEFs[VTMw])</f>
        <v>0.42</v>
      </c>
      <c r="F36" s="4">
        <f t="shared" si="24"/>
        <v>7643</v>
      </c>
      <c r="G36" s="4">
        <f t="shared" si="25"/>
        <v>0</v>
      </c>
      <c r="H36" s="4">
        <f t="shared" si="31"/>
        <v>0</v>
      </c>
      <c r="I36" s="4">
        <f t="shared" si="27"/>
        <v>0</v>
      </c>
      <c r="J36" s="4">
        <f t="shared" si="28"/>
        <v>0</v>
      </c>
      <c r="K36" s="4">
        <f>_xlfn.XLOOKUP($B36,WasteEFs[w],WasteEFs[dmw])</f>
        <v>0.9</v>
      </c>
      <c r="L36" s="4">
        <f>_xlfn.XLOOKUP($B36, WasteEFs[w], WasteEFs[CCw])</f>
        <v>0.03</v>
      </c>
      <c r="M36" s="4">
        <f>_xlfn.XLOOKUP($B36, WasteEFs[w], WasteEFs[FCCw])</f>
        <v>1</v>
      </c>
      <c r="N36" s="4">
        <f>_xlfn.XLOOKUP($B36, WasteEFs[w], WasteEFs[OFw])</f>
        <v>0.71</v>
      </c>
      <c r="O36" s="4">
        <f t="shared" si="32"/>
        <v>3.6666666666666665</v>
      </c>
      <c r="P36" s="4">
        <f t="shared" si="29"/>
        <v>0</v>
      </c>
      <c r="Q36" s="4">
        <f>_xlfn.XLOOKUP($B36,WasteEFs[w],WasteEFs[DOCw])</f>
        <v>0</v>
      </c>
      <c r="R36" s="4">
        <f>_xlfn.XLOOKUP($B36,WasteEFs[w],WasteEFs[DOCFw])</f>
        <v>0</v>
      </c>
      <c r="S36" s="4">
        <f t="shared" si="13"/>
        <v>0.5</v>
      </c>
      <c r="T36" s="4">
        <f>_xlfn.XLOOKUP(A36,$X$9:$X$11,Z$9:Z$11, 0)</f>
        <v>0.7</v>
      </c>
      <c r="U36" s="4">
        <f>_xlfn.XLOOKUP(A36,$X$9:$X$11,AA$9:AA$11, 0)</f>
        <v>0.1</v>
      </c>
      <c r="V36" s="4">
        <f t="shared" si="14"/>
        <v>1.3333333333333333</v>
      </c>
      <c r="W36" s="4">
        <f t="shared" si="30"/>
        <v>0</v>
      </c>
      <c r="X36" s="4"/>
      <c r="Y36" s="4"/>
      <c r="Z36" s="4"/>
    </row>
    <row r="37" spans="1:26" x14ac:dyDescent="0.2">
      <c r="A37" s="6" t="s">
        <v>5</v>
      </c>
      <c r="B37" s="6" t="s">
        <v>3</v>
      </c>
      <c r="C37" s="6">
        <v>1234</v>
      </c>
      <c r="D37" s="6"/>
      <c r="E37" s="6">
        <f>_xlfn.XLOOKUP(B37, WasteEFs[w], WasteEFs[VTMw])</f>
        <v>0.5</v>
      </c>
      <c r="F37" s="6">
        <f>IF(C37&lt;&gt;"", C37,D37*E37)</f>
        <v>1234</v>
      </c>
      <c r="G37" s="6">
        <f>_xlfn.XLOOKUP(A37,$X$5:$X$6,$Y$5:$Y$6, 0)</f>
        <v>7.5000000000000002E-4</v>
      </c>
      <c r="H37" s="6">
        <f>G37*F37</f>
        <v>0.92549999999999999</v>
      </c>
      <c r="I37" s="6">
        <f>_xlfn.XLOOKUP(A37,$X$5:$X$6,$Z$5:$Z$6, 0)</f>
        <v>9.4300000000000002E-5</v>
      </c>
      <c r="J37" s="6">
        <f>F37*I37</f>
        <v>0.1163662</v>
      </c>
      <c r="K37" s="6">
        <f>_xlfn.XLOOKUP($B37,WasteEFs[w],WasteEFs[dmw])</f>
        <v>0.4</v>
      </c>
      <c r="L37" s="6">
        <f>_xlfn.XLOOKUP($B37, WasteEFs[w], WasteEFs[CCw])</f>
        <v>0.38</v>
      </c>
      <c r="M37" s="6">
        <f>_xlfn.XLOOKUP($B37, WasteEFs[w], WasteEFs[FCCw])</f>
        <v>0</v>
      </c>
      <c r="N37" s="6">
        <f>_xlfn.XLOOKUP($B37, WasteEFs[w], WasteEFs[OFw])</f>
        <v>0.71</v>
      </c>
      <c r="O37" s="6">
        <f>$AC$5</f>
        <v>3.6666666666666665</v>
      </c>
      <c r="P37" s="6">
        <f>IF(A37&lt;&gt;"Incineration", 0, F37*K37*L37*M37*N37*O37)</f>
        <v>0</v>
      </c>
      <c r="Q37" s="6">
        <f>_xlfn.XLOOKUP($B37,WasteEFs[w],WasteEFs[DOCw])</f>
        <v>0.15</v>
      </c>
      <c r="R37" s="6">
        <f>_xlfn.XLOOKUP($B37,WasteEFs[w],WasteEFs[DOCFw])</f>
        <v>0.84</v>
      </c>
      <c r="S37" s="6">
        <f>$AC$7</f>
        <v>0.5</v>
      </c>
      <c r="T37" s="6">
        <f>_xlfn.XLOOKUP(A37,$X$9:$X$11,Z$9:Z$11, 0)</f>
        <v>0</v>
      </c>
      <c r="U37" s="6">
        <f>_xlfn.XLOOKUP(A37,$X$9:$X$11,AA$9:AA$11, 0)</f>
        <v>0</v>
      </c>
      <c r="V37" s="6">
        <f>$AC$6</f>
        <v>1.3333333333333333</v>
      </c>
      <c r="W37" s="6">
        <f>F37*Q37*R37*S37*T37*V37*(1-U37)</f>
        <v>0</v>
      </c>
      <c r="X37" s="6">
        <f>SUM(P37:P46)</f>
        <v>547.28574999999978</v>
      </c>
      <c r="Y37" s="6">
        <f>SUM(H37:H46,W37:W46)</f>
        <v>108.46994266666667</v>
      </c>
      <c r="Z37" s="6">
        <f>SUM(J37:J46)</f>
        <v>0.14899400000000002</v>
      </c>
    </row>
    <row r="38" spans="1:26" x14ac:dyDescent="0.2">
      <c r="A38" s="6" t="s">
        <v>38</v>
      </c>
      <c r="B38" s="6" t="s">
        <v>6</v>
      </c>
      <c r="C38" s="6">
        <v>342</v>
      </c>
      <c r="D38" s="6"/>
      <c r="E38" s="6">
        <f>_xlfn.XLOOKUP(B38, WasteEFs[w], WasteEFs[VTMw])</f>
        <v>0.09</v>
      </c>
      <c r="F38" s="6">
        <f t="shared" ref="F38:F46" si="33">IF(C38&lt;&gt;"", C38,D38*E38)</f>
        <v>342</v>
      </c>
      <c r="G38" s="6">
        <f t="shared" ref="G38:G46" si="34">_xlfn.XLOOKUP(A38,$X$5:$X$6,$Y$5:$Y$6, 0)</f>
        <v>0</v>
      </c>
      <c r="H38" s="6">
        <f t="shared" ref="H38:H43" si="35">G38*F38</f>
        <v>0</v>
      </c>
      <c r="I38" s="6">
        <f t="shared" ref="I38:I46" si="36">_xlfn.XLOOKUP(A38,$X$5:$X$6,$Z$5:$Z$6, 0)</f>
        <v>0</v>
      </c>
      <c r="J38" s="6">
        <f t="shared" ref="J38:J46" si="37">F38*I38</f>
        <v>0</v>
      </c>
      <c r="K38" s="6">
        <f>_xlfn.XLOOKUP($B38,WasteEFs[w],WasteEFs[dmw])</f>
        <v>0.9</v>
      </c>
      <c r="L38" s="6">
        <f>_xlfn.XLOOKUP($B38, WasteEFs[w], WasteEFs[CCw])</f>
        <v>0.46</v>
      </c>
      <c r="M38" s="6">
        <f>_xlfn.XLOOKUP($B38, WasteEFs[w], WasteEFs[FCCw])</f>
        <v>0.01</v>
      </c>
      <c r="N38" s="6">
        <f>_xlfn.XLOOKUP($B38, WasteEFs[w], WasteEFs[OFw])</f>
        <v>0.71</v>
      </c>
      <c r="O38" s="6">
        <f>$AC$5</f>
        <v>3.6666666666666665</v>
      </c>
      <c r="P38" s="6">
        <f t="shared" ref="P38:P46" si="38">IF(A38&lt;&gt;"Incineration", 0, F38*K38*L38*M38*N38*O38)</f>
        <v>0</v>
      </c>
      <c r="Q38" s="6">
        <f>_xlfn.XLOOKUP($B38,WasteEFs[w],WasteEFs[DOCw])</f>
        <v>0.4</v>
      </c>
      <c r="R38" s="6">
        <f>_xlfn.XLOOKUP($B38,WasteEFs[w],WasteEFs[DOCFw])</f>
        <v>0.49</v>
      </c>
      <c r="S38" s="6">
        <f t="shared" si="13"/>
        <v>0.5</v>
      </c>
      <c r="T38" s="6">
        <f>_xlfn.XLOOKUP(A38,$X$9:$X$11,Z$9:Z$11, 0)</f>
        <v>0.8</v>
      </c>
      <c r="U38" s="6">
        <f>_xlfn.XLOOKUP(A38,$X$9:$X$11,AA$9:AA$11, 0)</f>
        <v>0</v>
      </c>
      <c r="V38" s="6">
        <f t="shared" si="14"/>
        <v>1.3333333333333333</v>
      </c>
      <c r="W38" s="6">
        <f t="shared" ref="W38:W46" si="39">F38*Q38*R38*S38*T38*V38*(1-U38)</f>
        <v>35.750400000000006</v>
      </c>
      <c r="X38" s="6"/>
      <c r="Y38" s="6"/>
      <c r="Z38" s="6"/>
    </row>
    <row r="39" spans="1:26" x14ac:dyDescent="0.2">
      <c r="A39" s="6" t="s">
        <v>5</v>
      </c>
      <c r="B39" s="6" t="s">
        <v>4</v>
      </c>
      <c r="C39" s="6">
        <v>346</v>
      </c>
      <c r="D39" s="6"/>
      <c r="E39" s="6">
        <f>_xlfn.XLOOKUP(B39, WasteEFs[w], WasteEFs[VTMw])</f>
        <v>0.24</v>
      </c>
      <c r="F39" s="6">
        <f t="shared" si="33"/>
        <v>346</v>
      </c>
      <c r="G39" s="6">
        <f t="shared" si="34"/>
        <v>7.5000000000000002E-4</v>
      </c>
      <c r="H39" s="6">
        <f t="shared" si="35"/>
        <v>0.25950000000000001</v>
      </c>
      <c r="I39" s="6">
        <f t="shared" si="36"/>
        <v>9.4300000000000002E-5</v>
      </c>
      <c r="J39" s="6">
        <f t="shared" si="37"/>
        <v>3.2627799999999998E-2</v>
      </c>
      <c r="K39" s="6">
        <f>_xlfn.XLOOKUP($B39,WasteEFs[w],WasteEFs[dmw])</f>
        <v>0.4</v>
      </c>
      <c r="L39" s="6">
        <f>_xlfn.XLOOKUP($B39, WasteEFs[w], WasteEFs[CCw])</f>
        <v>0.49</v>
      </c>
      <c r="M39" s="6">
        <f>_xlfn.XLOOKUP($B39, WasteEFs[w], WasteEFs[FCCw])</f>
        <v>0</v>
      </c>
      <c r="N39" s="6">
        <f>_xlfn.XLOOKUP($B39, WasteEFs[w], WasteEFs[OFw])</f>
        <v>0.71</v>
      </c>
      <c r="O39" s="6">
        <f>$AC$5</f>
        <v>3.6666666666666665</v>
      </c>
      <c r="P39" s="6">
        <f t="shared" si="38"/>
        <v>0</v>
      </c>
      <c r="Q39" s="6">
        <f>_xlfn.XLOOKUP($B39,WasteEFs[w],WasteEFs[DOCw])</f>
        <v>0.2</v>
      </c>
      <c r="R39" s="6">
        <f>_xlfn.XLOOKUP($B39,WasteEFs[w],WasteEFs[DOCFw])</f>
        <v>0.47</v>
      </c>
      <c r="S39" s="6">
        <f t="shared" si="13"/>
        <v>0.5</v>
      </c>
      <c r="T39" s="6">
        <f>_xlfn.XLOOKUP(A39,$X$9:$X$11,Z$9:Z$11, 0)</f>
        <v>0</v>
      </c>
      <c r="U39" s="6">
        <f>_xlfn.XLOOKUP(A39,$X$9:$X$11,AA$9:AA$11, 0)</f>
        <v>0</v>
      </c>
      <c r="V39" s="6">
        <f t="shared" si="14"/>
        <v>1.3333333333333333</v>
      </c>
      <c r="W39" s="6">
        <f t="shared" si="39"/>
        <v>0</v>
      </c>
      <c r="X39" s="6"/>
      <c r="Y39" s="6"/>
      <c r="Z39" s="6"/>
    </row>
    <row r="40" spans="1:26" x14ac:dyDescent="0.2">
      <c r="A40" s="6" t="s">
        <v>40</v>
      </c>
      <c r="B40" s="6" t="s">
        <v>45</v>
      </c>
      <c r="C40" s="6">
        <v>1435</v>
      </c>
      <c r="D40" s="6"/>
      <c r="E40" s="6">
        <f>_xlfn.XLOOKUP(B40, WasteEFs[w], WasteEFs[VTMw])</f>
        <v>0.15</v>
      </c>
      <c r="F40" s="6">
        <f t="shared" si="33"/>
        <v>1435</v>
      </c>
      <c r="G40" s="6">
        <f t="shared" si="34"/>
        <v>0</v>
      </c>
      <c r="H40" s="6">
        <f t="shared" si="35"/>
        <v>0</v>
      </c>
      <c r="I40" s="6">
        <f t="shared" si="36"/>
        <v>0</v>
      </c>
      <c r="J40" s="6">
        <f t="shared" si="37"/>
        <v>0</v>
      </c>
      <c r="K40" s="6">
        <f>_xlfn.XLOOKUP($B40,WasteEFs[w],WasteEFs[dmw])</f>
        <v>0.4</v>
      </c>
      <c r="L40" s="6">
        <f>_xlfn.XLOOKUP($B40, WasteEFs[w], WasteEFs[CCw])</f>
        <v>0.5</v>
      </c>
      <c r="M40" s="6">
        <f>_xlfn.XLOOKUP($B40, WasteEFs[w], WasteEFs[FCCw])</f>
        <v>0</v>
      </c>
      <c r="N40" s="6">
        <f>_xlfn.XLOOKUP($B40, WasteEFs[w], WasteEFs[OFw])</f>
        <v>0.71</v>
      </c>
      <c r="O40" s="6">
        <f>$AC$5</f>
        <v>3.6666666666666665</v>
      </c>
      <c r="P40" s="6">
        <f t="shared" si="38"/>
        <v>0</v>
      </c>
      <c r="Q40" s="6">
        <f>_xlfn.XLOOKUP($B40,WasteEFs[w],WasteEFs[DOCw])</f>
        <v>0.43</v>
      </c>
      <c r="R40" s="6">
        <f>_xlfn.XLOOKUP($B40,WasteEFs[w],WasteEFs[DOCFw])</f>
        <v>0.1</v>
      </c>
      <c r="S40" s="6">
        <f t="shared" si="13"/>
        <v>0.5</v>
      </c>
      <c r="T40" s="6">
        <f>_xlfn.XLOOKUP(A40,$X$9:$X$11,Z$9:Z$11, 0)</f>
        <v>0.4</v>
      </c>
      <c r="U40" s="6">
        <f>_xlfn.XLOOKUP(A40,$X$9:$X$11,AA$9:AA$11, 0)</f>
        <v>0</v>
      </c>
      <c r="V40" s="6">
        <f t="shared" si="14"/>
        <v>1.3333333333333333</v>
      </c>
      <c r="W40" s="6">
        <f t="shared" si="39"/>
        <v>16.454666666666668</v>
      </c>
      <c r="X40" s="6"/>
      <c r="Y40" s="6"/>
      <c r="Z40" s="6"/>
    </row>
    <row r="41" spans="1:26" x14ac:dyDescent="0.2">
      <c r="A41" s="6" t="s">
        <v>40</v>
      </c>
      <c r="B41" s="6" t="s">
        <v>46</v>
      </c>
      <c r="C41" s="6"/>
      <c r="D41" s="6">
        <v>1235</v>
      </c>
      <c r="E41" s="6">
        <f>_xlfn.XLOOKUP(B41, WasteEFs[w], WasteEFs[VTMw])</f>
        <v>0.15</v>
      </c>
      <c r="F41" s="6">
        <f t="shared" si="33"/>
        <v>185.25</v>
      </c>
      <c r="G41" s="6">
        <f t="shared" si="34"/>
        <v>0</v>
      </c>
      <c r="H41" s="6">
        <f t="shared" si="35"/>
        <v>0</v>
      </c>
      <c r="I41" s="6">
        <f t="shared" si="36"/>
        <v>0</v>
      </c>
      <c r="J41" s="6">
        <f t="shared" si="37"/>
        <v>0</v>
      </c>
      <c r="K41" s="6">
        <f>_xlfn.XLOOKUP($B41,WasteEFs[w],WasteEFs[dmw])</f>
        <v>0.9</v>
      </c>
      <c r="L41" s="6">
        <f>_xlfn.XLOOKUP($B41, WasteEFs[w], WasteEFs[CCw])</f>
        <v>0.5</v>
      </c>
      <c r="M41" s="6">
        <f>_xlfn.XLOOKUP($B41, WasteEFs[w], WasteEFs[FCCw])</f>
        <v>0</v>
      </c>
      <c r="N41" s="6">
        <f>_xlfn.XLOOKUP($B41, WasteEFs[w], WasteEFs[OFw])</f>
        <v>0.71</v>
      </c>
      <c r="O41" s="6">
        <f>$AC$5</f>
        <v>3.6666666666666665</v>
      </c>
      <c r="P41" s="6">
        <f t="shared" si="38"/>
        <v>0</v>
      </c>
      <c r="Q41" s="6">
        <f>_xlfn.XLOOKUP($B41,WasteEFs[w],WasteEFs[DOCw])</f>
        <v>0.43</v>
      </c>
      <c r="R41" s="6">
        <f>_xlfn.XLOOKUP($B41,WasteEFs[w],WasteEFs[DOCFw])</f>
        <v>0.1</v>
      </c>
      <c r="S41" s="6">
        <f t="shared" si="13"/>
        <v>0.5</v>
      </c>
      <c r="T41" s="6">
        <f>_xlfn.XLOOKUP(A41,$X$9:$X$11,Z$9:Z$11, 0)</f>
        <v>0.4</v>
      </c>
      <c r="U41" s="6">
        <f>_xlfn.XLOOKUP(A41,$X$9:$X$11,AA$9:AA$11, 0)</f>
        <v>0</v>
      </c>
      <c r="V41" s="6">
        <f t="shared" si="14"/>
        <v>1.3333333333333333</v>
      </c>
      <c r="W41" s="6">
        <f t="shared" si="39"/>
        <v>2.1242000000000001</v>
      </c>
      <c r="X41" s="6"/>
      <c r="Y41" s="6"/>
      <c r="Z41" s="6"/>
    </row>
    <row r="42" spans="1:26" x14ac:dyDescent="0.2">
      <c r="A42" s="6" t="s">
        <v>2</v>
      </c>
      <c r="B42" s="6" t="s">
        <v>7</v>
      </c>
      <c r="C42" s="6"/>
      <c r="D42" s="6">
        <v>345</v>
      </c>
      <c r="E42" s="6">
        <f>_xlfn.XLOOKUP(B42, WasteEFs[w], WasteEFs[VTMw])</f>
        <v>0.14000000000000001</v>
      </c>
      <c r="F42" s="6">
        <f t="shared" si="33"/>
        <v>48.300000000000004</v>
      </c>
      <c r="G42" s="6">
        <f t="shared" si="34"/>
        <v>0</v>
      </c>
      <c r="H42" s="6">
        <f t="shared" si="35"/>
        <v>0</v>
      </c>
      <c r="I42" s="6">
        <f t="shared" si="36"/>
        <v>0</v>
      </c>
      <c r="J42" s="6">
        <f t="shared" si="37"/>
        <v>0</v>
      </c>
      <c r="K42" s="6">
        <f>_xlfn.XLOOKUP($B42,WasteEFs[w],WasteEFs[dmw])</f>
        <v>0.8</v>
      </c>
      <c r="L42" s="6">
        <f>_xlfn.XLOOKUP($B42, WasteEFs[w], WasteEFs[CCw])</f>
        <v>0.5</v>
      </c>
      <c r="M42" s="6">
        <f>_xlfn.XLOOKUP($B42, WasteEFs[w], WasteEFs[FCCw])</f>
        <v>0.2</v>
      </c>
      <c r="N42" s="6">
        <f>_xlfn.XLOOKUP($B42, WasteEFs[w], WasteEFs[OFw])</f>
        <v>0.71</v>
      </c>
      <c r="O42" s="6">
        <f>$AC$5</f>
        <v>3.6666666666666665</v>
      </c>
      <c r="P42" s="6">
        <f t="shared" si="38"/>
        <v>10.059280000000001</v>
      </c>
      <c r="Q42" s="6">
        <f>_xlfn.XLOOKUP($B42,WasteEFs[w],WasteEFs[DOCw])</f>
        <v>0.24</v>
      </c>
      <c r="R42" s="6">
        <f>_xlfn.XLOOKUP($B42,WasteEFs[w],WasteEFs[DOCFw])</f>
        <v>0.5</v>
      </c>
      <c r="S42" s="6">
        <f t="shared" si="13"/>
        <v>0.5</v>
      </c>
      <c r="T42" s="6">
        <f>_xlfn.XLOOKUP(A42,$X$9:$X$11,Z$9:Z$11, 0)</f>
        <v>0</v>
      </c>
      <c r="U42" s="6">
        <f>_xlfn.XLOOKUP(A42,$X$9:$X$11,AA$9:AA$11, 0)</f>
        <v>0</v>
      </c>
      <c r="V42" s="6">
        <f t="shared" si="14"/>
        <v>1.3333333333333333</v>
      </c>
      <c r="W42" s="6">
        <f t="shared" si="39"/>
        <v>0</v>
      </c>
      <c r="X42" s="6"/>
      <c r="Y42" s="6"/>
      <c r="Z42" s="6"/>
    </row>
    <row r="43" spans="1:26" x14ac:dyDescent="0.2">
      <c r="A43" s="6" t="s">
        <v>9</v>
      </c>
      <c r="B43" s="6" t="s">
        <v>1</v>
      </c>
      <c r="C43" s="6"/>
      <c r="D43" s="6">
        <v>4356</v>
      </c>
      <c r="E43" s="6">
        <f>_xlfn.XLOOKUP(B43, WasteEFs[w], WasteEFs[VTMw])</f>
        <v>0.72</v>
      </c>
      <c r="F43" s="6">
        <f t="shared" si="33"/>
        <v>3136.3199999999997</v>
      </c>
      <c r="G43" s="6">
        <f t="shared" si="34"/>
        <v>1E-4</v>
      </c>
      <c r="H43" s="6">
        <f t="shared" si="35"/>
        <v>0.31363199999999997</v>
      </c>
      <c r="I43" s="6">
        <f t="shared" si="36"/>
        <v>0</v>
      </c>
      <c r="J43" s="6">
        <f t="shared" si="37"/>
        <v>0</v>
      </c>
      <c r="K43" s="6">
        <f>_xlfn.XLOOKUP($B43,WasteEFs[w],WasteEFs[dmw])</f>
        <v>0</v>
      </c>
      <c r="L43" s="6">
        <f>_xlfn.XLOOKUP($B43, WasteEFs[w], WasteEFs[CCw])</f>
        <v>0.5</v>
      </c>
      <c r="M43" s="6">
        <f>_xlfn.XLOOKUP($B43, WasteEFs[w], WasteEFs[FCCw])</f>
        <v>0</v>
      </c>
      <c r="N43" s="6">
        <f>_xlfn.XLOOKUP($B43, WasteEFs[w], WasteEFs[OFw])</f>
        <v>0.71</v>
      </c>
      <c r="O43" s="6">
        <f>$AC$5</f>
        <v>3.6666666666666665</v>
      </c>
      <c r="P43" s="6">
        <f t="shared" si="38"/>
        <v>0</v>
      </c>
      <c r="Q43" s="6">
        <f>_xlfn.XLOOKUP($B43,WasteEFs[w],WasteEFs[DOCw])</f>
        <v>0.05</v>
      </c>
      <c r="R43" s="6">
        <f>_xlfn.XLOOKUP($B43,WasteEFs[w],WasteEFs[DOCFw])</f>
        <v>0.5</v>
      </c>
      <c r="S43" s="6">
        <f t="shared" si="13"/>
        <v>0.5</v>
      </c>
      <c r="T43" s="6">
        <f>_xlfn.XLOOKUP(A43,$X$9:$X$11,Z$9:Z$11, 0)</f>
        <v>0</v>
      </c>
      <c r="U43" s="6">
        <f>_xlfn.XLOOKUP(A43,$X$9:$X$11,AA$9:AA$11, 0)</f>
        <v>0</v>
      </c>
      <c r="V43" s="6">
        <f t="shared" si="14"/>
        <v>1.3333333333333333</v>
      </c>
      <c r="W43" s="6">
        <f t="shared" si="39"/>
        <v>0</v>
      </c>
      <c r="X43" s="6"/>
      <c r="Y43" s="6"/>
      <c r="Z43" s="6"/>
    </row>
    <row r="44" spans="1:26" x14ac:dyDescent="0.2">
      <c r="A44" s="6" t="s">
        <v>39</v>
      </c>
      <c r="B44" s="6" t="s">
        <v>54</v>
      </c>
      <c r="C44" s="6"/>
      <c r="D44" s="6">
        <v>324</v>
      </c>
      <c r="E44" s="6">
        <f>_xlfn.XLOOKUP(B44, WasteEFs[w], WasteEFs[VTMw])</f>
        <v>0.39</v>
      </c>
      <c r="F44" s="6">
        <f t="shared" si="33"/>
        <v>126.36</v>
      </c>
      <c r="G44" s="6">
        <f t="shared" si="34"/>
        <v>0</v>
      </c>
      <c r="H44" s="6">
        <f>G44*F44</f>
        <v>0</v>
      </c>
      <c r="I44" s="6">
        <f t="shared" si="36"/>
        <v>0</v>
      </c>
      <c r="J44" s="6">
        <f t="shared" si="37"/>
        <v>0</v>
      </c>
      <c r="K44" s="6">
        <f>_xlfn.XLOOKUP($B44,WasteEFs[w],WasteEFs[dmw])</f>
        <v>0.4</v>
      </c>
      <c r="L44" s="6">
        <f>_xlfn.XLOOKUP($B44, WasteEFs[w], WasteEFs[CCw])</f>
        <v>0.7</v>
      </c>
      <c r="M44" s="6">
        <f>_xlfn.XLOOKUP($B44, WasteEFs[w], WasteEFs[FCCw])</f>
        <v>0.1</v>
      </c>
      <c r="N44" s="6">
        <f>_xlfn.XLOOKUP($B44, WasteEFs[w], WasteEFs[OFw])</f>
        <v>0.71</v>
      </c>
      <c r="O44" s="6">
        <f>$AC$5</f>
        <v>3.6666666666666665</v>
      </c>
      <c r="P44" s="6">
        <f t="shared" si="38"/>
        <v>0</v>
      </c>
      <c r="Q44" s="6">
        <f>_xlfn.XLOOKUP($B44,WasteEFs[w],WasteEFs[DOCw])</f>
        <v>0.24</v>
      </c>
      <c r="R44" s="6">
        <f>_xlfn.XLOOKUP($B44,WasteEFs[w],WasteEFs[DOCFw])</f>
        <v>0.5</v>
      </c>
      <c r="S44" s="6">
        <f t="shared" si="13"/>
        <v>0.5</v>
      </c>
      <c r="T44" s="6">
        <f>_xlfn.XLOOKUP(A44,$X$9:$X$11,Z$9:Z$11, 0)</f>
        <v>0.7</v>
      </c>
      <c r="U44" s="6">
        <f>_xlfn.XLOOKUP(A44,$X$9:$X$11,AA$9:AA$11, 0)</f>
        <v>0.1</v>
      </c>
      <c r="V44" s="6">
        <f t="shared" si="14"/>
        <v>1.3333333333333333</v>
      </c>
      <c r="W44" s="6">
        <f t="shared" si="39"/>
        <v>6.3685439999999991</v>
      </c>
      <c r="X44" s="6"/>
      <c r="Y44" s="6"/>
      <c r="Z44" s="6"/>
    </row>
    <row r="45" spans="1:26" x14ac:dyDescent="0.2">
      <c r="A45" s="6" t="s">
        <v>39</v>
      </c>
      <c r="B45" s="6" t="s">
        <v>8</v>
      </c>
      <c r="C45" s="6">
        <v>565</v>
      </c>
      <c r="D45" s="6"/>
      <c r="E45" s="6">
        <f>_xlfn.XLOOKUP(B45, WasteEFs[w], WasteEFs[VTMw])</f>
        <v>0.14000000000000001</v>
      </c>
      <c r="F45" s="6">
        <f t="shared" si="33"/>
        <v>565</v>
      </c>
      <c r="G45" s="6">
        <f t="shared" si="34"/>
        <v>0</v>
      </c>
      <c r="H45" s="6">
        <f t="shared" ref="H45:H46" si="40">G45*F45</f>
        <v>0</v>
      </c>
      <c r="I45" s="6">
        <f t="shared" si="36"/>
        <v>0</v>
      </c>
      <c r="J45" s="6">
        <f t="shared" si="37"/>
        <v>0</v>
      </c>
      <c r="K45" s="6">
        <f>_xlfn.XLOOKUP($B45,WasteEFs[w],WasteEFs[dmw])</f>
        <v>0.84</v>
      </c>
      <c r="L45" s="6">
        <f>_xlfn.XLOOKUP($B45, WasteEFs[w], WasteEFs[CCw])</f>
        <v>0.67</v>
      </c>
      <c r="M45" s="6">
        <f>_xlfn.XLOOKUP($B45, WasteEFs[w], WasteEFs[FCCw])</f>
        <v>0.2</v>
      </c>
      <c r="N45" s="6">
        <f>_xlfn.XLOOKUP($B45, WasteEFs[w], WasteEFs[OFw])</f>
        <v>0.71</v>
      </c>
      <c r="O45" s="6">
        <f t="shared" ref="O45:O46" si="41">$AC$5</f>
        <v>3.6666666666666665</v>
      </c>
      <c r="P45" s="6">
        <f t="shared" si="38"/>
        <v>0</v>
      </c>
      <c r="Q45" s="6">
        <f>_xlfn.XLOOKUP($B45,WasteEFs[w],WasteEFs[DOCw])</f>
        <v>0.39</v>
      </c>
      <c r="R45" s="6">
        <f>_xlfn.XLOOKUP($B45,WasteEFs[w],WasteEFs[DOCFw])</f>
        <v>0.5</v>
      </c>
      <c r="S45" s="6">
        <f t="shared" si="13"/>
        <v>0.5</v>
      </c>
      <c r="T45" s="6">
        <f>_xlfn.XLOOKUP(A45,$X$9:$X$11,Z$9:Z$11, 0)</f>
        <v>0.7</v>
      </c>
      <c r="U45" s="6">
        <f>_xlfn.XLOOKUP(A45,$X$9:$X$11,AA$9:AA$11, 0)</f>
        <v>0.1</v>
      </c>
      <c r="V45" s="6">
        <f t="shared" si="14"/>
        <v>1.3333333333333333</v>
      </c>
      <c r="W45" s="6">
        <f t="shared" si="39"/>
        <v>46.273499999999991</v>
      </c>
      <c r="X45" s="6"/>
      <c r="Y45" s="6"/>
      <c r="Z45" s="6"/>
    </row>
    <row r="46" spans="1:26" x14ac:dyDescent="0.2">
      <c r="A46" s="4" t="s">
        <v>2</v>
      </c>
      <c r="B46" s="4" t="s">
        <v>47</v>
      </c>
      <c r="C46" s="4">
        <v>7643</v>
      </c>
      <c r="D46" s="4"/>
      <c r="E46" s="4">
        <f>_xlfn.XLOOKUP(B46, WasteEFs[w], WasteEFs[VTMw])</f>
        <v>0.42</v>
      </c>
      <c r="F46" s="4">
        <f t="shared" si="33"/>
        <v>7643</v>
      </c>
      <c r="G46" s="4">
        <f t="shared" si="34"/>
        <v>0</v>
      </c>
      <c r="H46" s="4">
        <f t="shared" si="40"/>
        <v>0</v>
      </c>
      <c r="I46" s="4">
        <f t="shared" si="36"/>
        <v>0</v>
      </c>
      <c r="J46" s="4">
        <f t="shared" si="37"/>
        <v>0</v>
      </c>
      <c r="K46" s="4">
        <f>_xlfn.XLOOKUP($B46,WasteEFs[w],WasteEFs[dmw])</f>
        <v>0.9</v>
      </c>
      <c r="L46" s="4">
        <f>_xlfn.XLOOKUP($B46, WasteEFs[w], WasteEFs[CCw])</f>
        <v>0.03</v>
      </c>
      <c r="M46" s="4">
        <f>_xlfn.XLOOKUP($B46, WasteEFs[w], WasteEFs[FCCw])</f>
        <v>1</v>
      </c>
      <c r="N46" s="4">
        <f>_xlfn.XLOOKUP($B46, WasteEFs[w], WasteEFs[OFw])</f>
        <v>0.71</v>
      </c>
      <c r="O46" s="4">
        <f t="shared" si="41"/>
        <v>3.6666666666666665</v>
      </c>
      <c r="P46" s="4">
        <f t="shared" si="38"/>
        <v>537.22646999999984</v>
      </c>
      <c r="Q46" s="4">
        <f>_xlfn.XLOOKUP($B46,WasteEFs[w],WasteEFs[DOCw])</f>
        <v>0</v>
      </c>
      <c r="R46" s="4">
        <f>_xlfn.XLOOKUP($B46,WasteEFs[w],WasteEFs[DOCFw])</f>
        <v>0</v>
      </c>
      <c r="S46" s="4">
        <f t="shared" si="13"/>
        <v>0.5</v>
      </c>
      <c r="T46" s="4">
        <f>_xlfn.XLOOKUP(A46,$X$9:$X$11,Z$9:Z$11, 0)</f>
        <v>0</v>
      </c>
      <c r="U46" s="4">
        <f>_xlfn.XLOOKUP(A46,$X$9:$X$11,AA$9:AA$11, 0)</f>
        <v>0</v>
      </c>
      <c r="V46" s="4">
        <f t="shared" si="14"/>
        <v>1.3333333333333333</v>
      </c>
      <c r="W46" s="4">
        <f t="shared" si="39"/>
        <v>0</v>
      </c>
      <c r="X46" s="4"/>
      <c r="Y46" s="4"/>
      <c r="Z46" s="4"/>
    </row>
    <row r="47" spans="1:26" x14ac:dyDescent="0.2">
      <c r="A47" s="6" t="s">
        <v>5</v>
      </c>
      <c r="B47" s="6" t="s">
        <v>3</v>
      </c>
      <c r="C47" s="6">
        <v>1234</v>
      </c>
      <c r="D47" s="6"/>
      <c r="E47" s="6">
        <f>_xlfn.XLOOKUP(B47, WasteEFs[w], WasteEFs[VTMw])</f>
        <v>0.5</v>
      </c>
      <c r="F47" s="6">
        <f>IF(C47&lt;&gt;"", C47,D47*E47)</f>
        <v>1234</v>
      </c>
      <c r="G47" s="6">
        <f>_xlfn.XLOOKUP(A47,$X$5:$X$6,$Y$5:$Y$6, 0)</f>
        <v>7.5000000000000002E-4</v>
      </c>
      <c r="H47" s="6">
        <f>G47*F47</f>
        <v>0.92549999999999999</v>
      </c>
      <c r="I47" s="6">
        <f>_xlfn.XLOOKUP(A47,$X$5:$X$6,$Z$5:$Z$6, 0)</f>
        <v>9.4300000000000002E-5</v>
      </c>
      <c r="J47" s="6">
        <f>F47*I47</f>
        <v>0.1163662</v>
      </c>
      <c r="K47" s="6">
        <f>_xlfn.XLOOKUP($B47,WasteEFs[w],WasteEFs[dmw])</f>
        <v>0.4</v>
      </c>
      <c r="L47" s="6">
        <f>_xlfn.XLOOKUP($B47, WasteEFs[w], WasteEFs[CCw])</f>
        <v>0.38</v>
      </c>
      <c r="M47" s="6">
        <f>_xlfn.XLOOKUP($B47, WasteEFs[w], WasteEFs[FCCw])</f>
        <v>0</v>
      </c>
      <c r="N47" s="6">
        <f>_xlfn.XLOOKUP($B47, WasteEFs[w], WasteEFs[OFw])</f>
        <v>0.71</v>
      </c>
      <c r="O47" s="6">
        <f>$AC$5</f>
        <v>3.6666666666666665</v>
      </c>
      <c r="P47" s="6">
        <f>IF(A47&lt;&gt;"Incineration", 0, F47*K47*L47*M47*N47*O47)</f>
        <v>0</v>
      </c>
      <c r="Q47" s="6">
        <f>_xlfn.XLOOKUP($B47,WasteEFs[w],WasteEFs[DOCw])</f>
        <v>0.15</v>
      </c>
      <c r="R47" s="6">
        <f>_xlfn.XLOOKUP($B47,WasteEFs[w],WasteEFs[DOCFw])</f>
        <v>0.84</v>
      </c>
      <c r="S47" s="6">
        <f>$AC$7</f>
        <v>0.5</v>
      </c>
      <c r="T47" s="6">
        <f>_xlfn.XLOOKUP(A47,$X$9:$X$11,Z$9:Z$11, 0)</f>
        <v>0</v>
      </c>
      <c r="U47" s="6">
        <f>_xlfn.XLOOKUP(A47,$X$9:$X$11,AA$9:AA$11, 0)</f>
        <v>0</v>
      </c>
      <c r="V47" s="6">
        <f>$AC$6</f>
        <v>1.3333333333333333</v>
      </c>
      <c r="W47" s="6">
        <f>F47*Q47*R47*S47*T47*V47*(1-U47)</f>
        <v>0</v>
      </c>
      <c r="X47" s="6">
        <f>SUM(P47:P56)</f>
        <v>10.059280000000001</v>
      </c>
      <c r="Y47" s="6">
        <f>SUM(H47:H56,W47:W56)</f>
        <v>87.181038666666666</v>
      </c>
      <c r="Z47" s="6">
        <f>SUM(J47:J56)</f>
        <v>0.18124459999999998</v>
      </c>
    </row>
    <row r="48" spans="1:26" x14ac:dyDescent="0.2">
      <c r="A48" s="6" t="s">
        <v>5</v>
      </c>
      <c r="B48" s="6" t="s">
        <v>3</v>
      </c>
      <c r="C48" s="6">
        <v>342</v>
      </c>
      <c r="D48" s="6"/>
      <c r="E48" s="6">
        <f>_xlfn.XLOOKUP(B48, WasteEFs[w], WasteEFs[VTMw])</f>
        <v>0.5</v>
      </c>
      <c r="F48" s="6">
        <f t="shared" ref="F48:F56" si="42">IF(C48&lt;&gt;"", C48,D48*E48)</f>
        <v>342</v>
      </c>
      <c r="G48" s="6">
        <f t="shared" ref="G48:G56" si="43">_xlfn.XLOOKUP(A48,$X$5:$X$6,$Y$5:$Y$6, 0)</f>
        <v>7.5000000000000002E-4</v>
      </c>
      <c r="H48" s="6">
        <f t="shared" ref="H48:H53" si="44">G48*F48</f>
        <v>0.25650000000000001</v>
      </c>
      <c r="I48" s="6">
        <f t="shared" ref="I48:I56" si="45">_xlfn.XLOOKUP(A48,$X$5:$X$6,$Z$5:$Z$6, 0)</f>
        <v>9.4300000000000002E-5</v>
      </c>
      <c r="J48" s="6">
        <f t="shared" ref="J48:J56" si="46">F48*I48</f>
        <v>3.2250599999999997E-2</v>
      </c>
      <c r="K48" s="6">
        <f>_xlfn.XLOOKUP($B48,WasteEFs[w],WasteEFs[dmw])</f>
        <v>0.4</v>
      </c>
      <c r="L48" s="6">
        <f>_xlfn.XLOOKUP($B48, WasteEFs[w], WasteEFs[CCw])</f>
        <v>0.38</v>
      </c>
      <c r="M48" s="6">
        <f>_xlfn.XLOOKUP($B48, WasteEFs[w], WasteEFs[FCCw])</f>
        <v>0</v>
      </c>
      <c r="N48" s="6">
        <f>_xlfn.XLOOKUP($B48, WasteEFs[w], WasteEFs[OFw])</f>
        <v>0.71</v>
      </c>
      <c r="O48" s="6">
        <f>$AC$5</f>
        <v>3.6666666666666665</v>
      </c>
      <c r="P48" s="6">
        <f t="shared" ref="P48:P56" si="47">IF(A48&lt;&gt;"Incineration", 0, F48*K48*L48*M48*N48*O48)</f>
        <v>0</v>
      </c>
      <c r="Q48" s="6">
        <f>_xlfn.XLOOKUP($B48,WasteEFs[w],WasteEFs[DOCw])</f>
        <v>0.15</v>
      </c>
      <c r="R48" s="6">
        <f>_xlfn.XLOOKUP($B48,WasteEFs[w],WasteEFs[DOCFw])</f>
        <v>0.84</v>
      </c>
      <c r="S48" s="6">
        <f t="shared" si="13"/>
        <v>0.5</v>
      </c>
      <c r="T48" s="6">
        <f>_xlfn.XLOOKUP(A48,$X$9:$X$11,Z$9:Z$11, 0)</f>
        <v>0</v>
      </c>
      <c r="U48" s="6">
        <f>_xlfn.XLOOKUP(A48,$X$9:$X$11,AA$9:AA$11, 0)</f>
        <v>0</v>
      </c>
      <c r="V48" s="6">
        <f t="shared" si="14"/>
        <v>1.3333333333333333</v>
      </c>
      <c r="W48" s="6">
        <f t="shared" ref="W48:W56" si="48">F48*Q48*R48*S48*T48*V48*(1-U48)</f>
        <v>0</v>
      </c>
      <c r="X48" s="6"/>
      <c r="Y48" s="6"/>
      <c r="Z48" s="6"/>
    </row>
    <row r="49" spans="1:26" x14ac:dyDescent="0.2">
      <c r="A49" s="6" t="s">
        <v>5</v>
      </c>
      <c r="B49" s="6" t="s">
        <v>4</v>
      </c>
      <c r="C49" s="6">
        <v>346</v>
      </c>
      <c r="D49" s="6"/>
      <c r="E49" s="6">
        <f>_xlfn.XLOOKUP(B49, WasteEFs[w], WasteEFs[VTMw])</f>
        <v>0.24</v>
      </c>
      <c r="F49" s="6">
        <f t="shared" si="42"/>
        <v>346</v>
      </c>
      <c r="G49" s="6">
        <f t="shared" si="43"/>
        <v>7.5000000000000002E-4</v>
      </c>
      <c r="H49" s="6">
        <f t="shared" si="44"/>
        <v>0.25950000000000001</v>
      </c>
      <c r="I49" s="6">
        <f t="shared" si="45"/>
        <v>9.4300000000000002E-5</v>
      </c>
      <c r="J49" s="6">
        <f t="shared" si="46"/>
        <v>3.2627799999999998E-2</v>
      </c>
      <c r="K49" s="6">
        <f>_xlfn.XLOOKUP($B49,WasteEFs[w],WasteEFs[dmw])</f>
        <v>0.4</v>
      </c>
      <c r="L49" s="6">
        <f>_xlfn.XLOOKUP($B49, WasteEFs[w], WasteEFs[CCw])</f>
        <v>0.49</v>
      </c>
      <c r="M49" s="6">
        <f>_xlfn.XLOOKUP($B49, WasteEFs[w], WasteEFs[FCCw])</f>
        <v>0</v>
      </c>
      <c r="N49" s="6">
        <f>_xlfn.XLOOKUP($B49, WasteEFs[w], WasteEFs[OFw])</f>
        <v>0.71</v>
      </c>
      <c r="O49" s="6">
        <f>$AC$5</f>
        <v>3.6666666666666665</v>
      </c>
      <c r="P49" s="6">
        <f t="shared" si="47"/>
        <v>0</v>
      </c>
      <c r="Q49" s="6">
        <f>_xlfn.XLOOKUP($B49,WasteEFs[w],WasteEFs[DOCw])</f>
        <v>0.2</v>
      </c>
      <c r="R49" s="6">
        <f>_xlfn.XLOOKUP($B49,WasteEFs[w],WasteEFs[DOCFw])</f>
        <v>0.47</v>
      </c>
      <c r="S49" s="6">
        <f t="shared" si="13"/>
        <v>0.5</v>
      </c>
      <c r="T49" s="6">
        <f>_xlfn.XLOOKUP(A49,$X$9:$X$11,Z$9:Z$11, 0)</f>
        <v>0</v>
      </c>
      <c r="U49" s="6">
        <f>_xlfn.XLOOKUP(A49,$X$9:$X$11,AA$9:AA$11, 0)</f>
        <v>0</v>
      </c>
      <c r="V49" s="6">
        <f t="shared" si="14"/>
        <v>1.3333333333333333</v>
      </c>
      <c r="W49" s="6">
        <f t="shared" si="48"/>
        <v>0</v>
      </c>
      <c r="X49" s="6"/>
      <c r="Y49" s="6"/>
      <c r="Z49" s="6"/>
    </row>
    <row r="50" spans="1:26" x14ac:dyDescent="0.2">
      <c r="A50" s="6" t="s">
        <v>40</v>
      </c>
      <c r="B50" s="6" t="s">
        <v>45</v>
      </c>
      <c r="C50" s="6">
        <v>1435</v>
      </c>
      <c r="D50" s="6"/>
      <c r="E50" s="6">
        <f>_xlfn.XLOOKUP(B50, WasteEFs[w], WasteEFs[VTMw])</f>
        <v>0.15</v>
      </c>
      <c r="F50" s="6">
        <f t="shared" si="42"/>
        <v>1435</v>
      </c>
      <c r="G50" s="6">
        <f t="shared" si="43"/>
        <v>0</v>
      </c>
      <c r="H50" s="6">
        <f t="shared" si="44"/>
        <v>0</v>
      </c>
      <c r="I50" s="6">
        <f t="shared" si="45"/>
        <v>0</v>
      </c>
      <c r="J50" s="6">
        <f t="shared" si="46"/>
        <v>0</v>
      </c>
      <c r="K50" s="6">
        <f>_xlfn.XLOOKUP($B50,WasteEFs[w],WasteEFs[dmw])</f>
        <v>0.4</v>
      </c>
      <c r="L50" s="6">
        <f>_xlfn.XLOOKUP($B50, WasteEFs[w], WasteEFs[CCw])</f>
        <v>0.5</v>
      </c>
      <c r="M50" s="6">
        <f>_xlfn.XLOOKUP($B50, WasteEFs[w], WasteEFs[FCCw])</f>
        <v>0</v>
      </c>
      <c r="N50" s="6">
        <f>_xlfn.XLOOKUP($B50, WasteEFs[w], WasteEFs[OFw])</f>
        <v>0.71</v>
      </c>
      <c r="O50" s="6">
        <f>$AC$5</f>
        <v>3.6666666666666665</v>
      </c>
      <c r="P50" s="6">
        <f t="shared" si="47"/>
        <v>0</v>
      </c>
      <c r="Q50" s="6">
        <f>_xlfn.XLOOKUP($B50,WasteEFs[w],WasteEFs[DOCw])</f>
        <v>0.43</v>
      </c>
      <c r="R50" s="6">
        <f>_xlfn.XLOOKUP($B50,WasteEFs[w],WasteEFs[DOCFw])</f>
        <v>0.1</v>
      </c>
      <c r="S50" s="6">
        <f t="shared" si="13"/>
        <v>0.5</v>
      </c>
      <c r="T50" s="6">
        <f>_xlfn.XLOOKUP(A50,$X$9:$X$11,Z$9:Z$11, 0)</f>
        <v>0.4</v>
      </c>
      <c r="U50" s="6">
        <f>_xlfn.XLOOKUP(A50,$X$9:$X$11,AA$9:AA$11, 0)</f>
        <v>0</v>
      </c>
      <c r="V50" s="6">
        <f t="shared" si="14"/>
        <v>1.3333333333333333</v>
      </c>
      <c r="W50" s="6">
        <f t="shared" si="48"/>
        <v>16.454666666666668</v>
      </c>
      <c r="X50" s="6"/>
      <c r="Y50" s="6"/>
      <c r="Z50" s="6"/>
    </row>
    <row r="51" spans="1:26" x14ac:dyDescent="0.2">
      <c r="A51" s="6" t="s">
        <v>40</v>
      </c>
      <c r="B51" s="6" t="s">
        <v>46</v>
      </c>
      <c r="C51" s="6"/>
      <c r="D51" s="6">
        <v>1235</v>
      </c>
      <c r="E51" s="6">
        <f>_xlfn.XLOOKUP(B51, WasteEFs[w], WasteEFs[VTMw])</f>
        <v>0.15</v>
      </c>
      <c r="F51" s="6">
        <f t="shared" si="42"/>
        <v>185.25</v>
      </c>
      <c r="G51" s="6">
        <f t="shared" si="43"/>
        <v>0</v>
      </c>
      <c r="H51" s="6">
        <f t="shared" si="44"/>
        <v>0</v>
      </c>
      <c r="I51" s="6">
        <f t="shared" si="45"/>
        <v>0</v>
      </c>
      <c r="J51" s="6">
        <f t="shared" si="46"/>
        <v>0</v>
      </c>
      <c r="K51" s="6">
        <f>_xlfn.XLOOKUP($B51,WasteEFs[w],WasteEFs[dmw])</f>
        <v>0.9</v>
      </c>
      <c r="L51" s="6">
        <f>_xlfn.XLOOKUP($B51, WasteEFs[w], WasteEFs[CCw])</f>
        <v>0.5</v>
      </c>
      <c r="M51" s="6">
        <f>_xlfn.XLOOKUP($B51, WasteEFs[w], WasteEFs[FCCw])</f>
        <v>0</v>
      </c>
      <c r="N51" s="6">
        <f>_xlfn.XLOOKUP($B51, WasteEFs[w], WasteEFs[OFw])</f>
        <v>0.71</v>
      </c>
      <c r="O51" s="6">
        <f>$AC$5</f>
        <v>3.6666666666666665</v>
      </c>
      <c r="P51" s="6">
        <f t="shared" si="47"/>
        <v>0</v>
      </c>
      <c r="Q51" s="6">
        <f>_xlfn.XLOOKUP($B51,WasteEFs[w],WasteEFs[DOCw])</f>
        <v>0.43</v>
      </c>
      <c r="R51" s="6">
        <f>_xlfn.XLOOKUP($B51,WasteEFs[w],WasteEFs[DOCFw])</f>
        <v>0.1</v>
      </c>
      <c r="S51" s="6">
        <f t="shared" si="13"/>
        <v>0.5</v>
      </c>
      <c r="T51" s="6">
        <f>_xlfn.XLOOKUP(A51,$X$9:$X$11,Z$9:Z$11, 0)</f>
        <v>0.4</v>
      </c>
      <c r="U51" s="6">
        <f>_xlfn.XLOOKUP(A51,$X$9:$X$11,AA$9:AA$11, 0)</f>
        <v>0</v>
      </c>
      <c r="V51" s="6">
        <f t="shared" si="14"/>
        <v>1.3333333333333333</v>
      </c>
      <c r="W51" s="6">
        <f t="shared" si="48"/>
        <v>2.1242000000000001</v>
      </c>
      <c r="X51" s="6"/>
      <c r="Y51" s="6"/>
      <c r="Z51" s="6"/>
    </row>
    <row r="52" spans="1:26" x14ac:dyDescent="0.2">
      <c r="A52" s="6" t="s">
        <v>2</v>
      </c>
      <c r="B52" s="6" t="s">
        <v>7</v>
      </c>
      <c r="C52" s="6"/>
      <c r="D52" s="6">
        <v>345</v>
      </c>
      <c r="E52" s="6">
        <f>_xlfn.XLOOKUP(B52, WasteEFs[w], WasteEFs[VTMw])</f>
        <v>0.14000000000000001</v>
      </c>
      <c r="F52" s="6">
        <f t="shared" si="42"/>
        <v>48.300000000000004</v>
      </c>
      <c r="G52" s="6">
        <f t="shared" si="43"/>
        <v>0</v>
      </c>
      <c r="H52" s="6">
        <f t="shared" si="44"/>
        <v>0</v>
      </c>
      <c r="I52" s="6">
        <f t="shared" si="45"/>
        <v>0</v>
      </c>
      <c r="J52" s="6">
        <f t="shared" si="46"/>
        <v>0</v>
      </c>
      <c r="K52" s="6">
        <f>_xlfn.XLOOKUP($B52,WasteEFs[w],WasteEFs[dmw])</f>
        <v>0.8</v>
      </c>
      <c r="L52" s="6">
        <f>_xlfn.XLOOKUP($B52, WasteEFs[w], WasteEFs[CCw])</f>
        <v>0.5</v>
      </c>
      <c r="M52" s="6">
        <f>_xlfn.XLOOKUP($B52, WasteEFs[w], WasteEFs[FCCw])</f>
        <v>0.2</v>
      </c>
      <c r="N52" s="6">
        <f>_xlfn.XLOOKUP($B52, WasteEFs[w], WasteEFs[OFw])</f>
        <v>0.71</v>
      </c>
      <c r="O52" s="6">
        <f>$AC$5</f>
        <v>3.6666666666666665</v>
      </c>
      <c r="P52" s="6">
        <f t="shared" si="47"/>
        <v>10.059280000000001</v>
      </c>
      <c r="Q52" s="6">
        <f>_xlfn.XLOOKUP($B52,WasteEFs[w],WasteEFs[DOCw])</f>
        <v>0.24</v>
      </c>
      <c r="R52" s="6">
        <f>_xlfn.XLOOKUP($B52,WasteEFs[w],WasteEFs[DOCFw])</f>
        <v>0.5</v>
      </c>
      <c r="S52" s="6">
        <f t="shared" si="13"/>
        <v>0.5</v>
      </c>
      <c r="T52" s="6">
        <f>_xlfn.XLOOKUP(A52,$X$9:$X$11,Z$9:Z$11, 0)</f>
        <v>0</v>
      </c>
      <c r="U52" s="6">
        <f>_xlfn.XLOOKUP(A52,$X$9:$X$11,AA$9:AA$11, 0)</f>
        <v>0</v>
      </c>
      <c r="V52" s="6">
        <f t="shared" si="14"/>
        <v>1.3333333333333333</v>
      </c>
      <c r="W52" s="6">
        <f t="shared" si="48"/>
        <v>0</v>
      </c>
      <c r="X52" s="6"/>
      <c r="Y52" s="6"/>
      <c r="Z52" s="6"/>
    </row>
    <row r="53" spans="1:26" x14ac:dyDescent="0.2">
      <c r="A53" s="6" t="s">
        <v>9</v>
      </c>
      <c r="B53" s="6" t="s">
        <v>1</v>
      </c>
      <c r="C53" s="6"/>
      <c r="D53" s="6">
        <v>4356</v>
      </c>
      <c r="E53" s="6">
        <f>_xlfn.XLOOKUP(B53, WasteEFs[w], WasteEFs[VTMw])</f>
        <v>0.72</v>
      </c>
      <c r="F53" s="6">
        <f t="shared" si="42"/>
        <v>3136.3199999999997</v>
      </c>
      <c r="G53" s="6">
        <f t="shared" si="43"/>
        <v>1E-4</v>
      </c>
      <c r="H53" s="6">
        <f t="shared" si="44"/>
        <v>0.31363199999999997</v>
      </c>
      <c r="I53" s="6">
        <f t="shared" si="45"/>
        <v>0</v>
      </c>
      <c r="J53" s="6">
        <f t="shared" si="46"/>
        <v>0</v>
      </c>
      <c r="K53" s="6">
        <f>_xlfn.XLOOKUP($B53,WasteEFs[w],WasteEFs[dmw])</f>
        <v>0</v>
      </c>
      <c r="L53" s="6">
        <f>_xlfn.XLOOKUP($B53, WasteEFs[w], WasteEFs[CCw])</f>
        <v>0.5</v>
      </c>
      <c r="M53" s="6">
        <f>_xlfn.XLOOKUP($B53, WasteEFs[w], WasteEFs[FCCw])</f>
        <v>0</v>
      </c>
      <c r="N53" s="6">
        <f>_xlfn.XLOOKUP($B53, WasteEFs[w], WasteEFs[OFw])</f>
        <v>0.71</v>
      </c>
      <c r="O53" s="6">
        <f>$AC$5</f>
        <v>3.6666666666666665</v>
      </c>
      <c r="P53" s="6">
        <f t="shared" si="47"/>
        <v>0</v>
      </c>
      <c r="Q53" s="6">
        <f>_xlfn.XLOOKUP($B53,WasteEFs[w],WasteEFs[DOCw])</f>
        <v>0.05</v>
      </c>
      <c r="R53" s="6">
        <f>_xlfn.XLOOKUP($B53,WasteEFs[w],WasteEFs[DOCFw])</f>
        <v>0.5</v>
      </c>
      <c r="S53" s="6">
        <f t="shared" si="13"/>
        <v>0.5</v>
      </c>
      <c r="T53" s="6">
        <f>_xlfn.XLOOKUP(A53,$X$9:$X$11,Z$9:Z$11, 0)</f>
        <v>0</v>
      </c>
      <c r="U53" s="6">
        <f>_xlfn.XLOOKUP(A53,$X$9:$X$11,AA$9:AA$11, 0)</f>
        <v>0</v>
      </c>
      <c r="V53" s="6">
        <f t="shared" si="14"/>
        <v>1.3333333333333333</v>
      </c>
      <c r="W53" s="6">
        <f t="shared" si="48"/>
        <v>0</v>
      </c>
      <c r="X53" s="6"/>
      <c r="Y53" s="6"/>
      <c r="Z53" s="6"/>
    </row>
    <row r="54" spans="1:26" x14ac:dyDescent="0.2">
      <c r="A54" s="6" t="s">
        <v>38</v>
      </c>
      <c r="B54" s="6" t="s">
        <v>54</v>
      </c>
      <c r="C54" s="6"/>
      <c r="D54" s="6">
        <v>324</v>
      </c>
      <c r="E54" s="6">
        <f>_xlfn.XLOOKUP(B54, WasteEFs[w], WasteEFs[VTMw])</f>
        <v>0.39</v>
      </c>
      <c r="F54" s="6">
        <f t="shared" si="42"/>
        <v>126.36</v>
      </c>
      <c r="G54" s="6">
        <f t="shared" si="43"/>
        <v>0</v>
      </c>
      <c r="H54" s="6">
        <f>G54*F54</f>
        <v>0</v>
      </c>
      <c r="I54" s="6">
        <f t="shared" si="45"/>
        <v>0</v>
      </c>
      <c r="J54" s="6">
        <f t="shared" si="46"/>
        <v>0</v>
      </c>
      <c r="K54" s="6">
        <f>_xlfn.XLOOKUP($B54,WasteEFs[w],WasteEFs[dmw])</f>
        <v>0.4</v>
      </c>
      <c r="L54" s="6">
        <f>_xlfn.XLOOKUP($B54, WasteEFs[w], WasteEFs[CCw])</f>
        <v>0.7</v>
      </c>
      <c r="M54" s="6">
        <f>_xlfn.XLOOKUP($B54, WasteEFs[w], WasteEFs[FCCw])</f>
        <v>0.1</v>
      </c>
      <c r="N54" s="6">
        <f>_xlfn.XLOOKUP($B54, WasteEFs[w], WasteEFs[OFw])</f>
        <v>0.71</v>
      </c>
      <c r="O54" s="6">
        <f>$AC$5</f>
        <v>3.6666666666666665</v>
      </c>
      <c r="P54" s="6">
        <f t="shared" si="47"/>
        <v>0</v>
      </c>
      <c r="Q54" s="6">
        <f>_xlfn.XLOOKUP($B54,WasteEFs[w],WasteEFs[DOCw])</f>
        <v>0.24</v>
      </c>
      <c r="R54" s="6">
        <f>_xlfn.XLOOKUP($B54,WasteEFs[w],WasteEFs[DOCFw])</f>
        <v>0.5</v>
      </c>
      <c r="S54" s="6">
        <f t="shared" si="13"/>
        <v>0.5</v>
      </c>
      <c r="T54" s="6">
        <f>_xlfn.XLOOKUP(A54,$X$9:$X$11,Z$9:Z$11, 0)</f>
        <v>0.8</v>
      </c>
      <c r="U54" s="6">
        <f>_xlfn.XLOOKUP(A54,$X$9:$X$11,AA$9:AA$11, 0)</f>
        <v>0</v>
      </c>
      <c r="V54" s="6">
        <f t="shared" si="14"/>
        <v>1.3333333333333333</v>
      </c>
      <c r="W54" s="6">
        <f t="shared" si="48"/>
        <v>8.08704</v>
      </c>
      <c r="X54" s="6"/>
      <c r="Y54" s="6"/>
      <c r="Z54" s="6"/>
    </row>
    <row r="55" spans="1:26" x14ac:dyDescent="0.2">
      <c r="A55" s="6" t="s">
        <v>38</v>
      </c>
      <c r="B55" s="6" t="s">
        <v>8</v>
      </c>
      <c r="C55" s="6">
        <v>565</v>
      </c>
      <c r="D55" s="6"/>
      <c r="E55" s="6">
        <f>_xlfn.XLOOKUP(B55, WasteEFs[w], WasteEFs[VTMw])</f>
        <v>0.14000000000000001</v>
      </c>
      <c r="F55" s="6">
        <f t="shared" si="42"/>
        <v>565</v>
      </c>
      <c r="G55" s="6">
        <f t="shared" si="43"/>
        <v>0</v>
      </c>
      <c r="H55" s="6">
        <f t="shared" ref="H55:H56" si="49">G55*F55</f>
        <v>0</v>
      </c>
      <c r="I55" s="6">
        <f t="shared" si="45"/>
        <v>0</v>
      </c>
      <c r="J55" s="6">
        <f t="shared" si="46"/>
        <v>0</v>
      </c>
      <c r="K55" s="6">
        <f>_xlfn.XLOOKUP($B55,WasteEFs[w],WasteEFs[dmw])</f>
        <v>0.84</v>
      </c>
      <c r="L55" s="6">
        <f>_xlfn.XLOOKUP($B55, WasteEFs[w], WasteEFs[CCw])</f>
        <v>0.67</v>
      </c>
      <c r="M55" s="6">
        <f>_xlfn.XLOOKUP($B55, WasteEFs[w], WasteEFs[FCCw])</f>
        <v>0.2</v>
      </c>
      <c r="N55" s="6">
        <f>_xlfn.XLOOKUP($B55, WasteEFs[w], WasteEFs[OFw])</f>
        <v>0.71</v>
      </c>
      <c r="O55" s="6">
        <f t="shared" ref="O55:O56" si="50">$AC$5</f>
        <v>3.6666666666666665</v>
      </c>
      <c r="P55" s="6">
        <f t="shared" si="47"/>
        <v>0</v>
      </c>
      <c r="Q55" s="6">
        <f>_xlfn.XLOOKUP($B55,WasteEFs[w],WasteEFs[DOCw])</f>
        <v>0.39</v>
      </c>
      <c r="R55" s="6">
        <f>_xlfn.XLOOKUP($B55,WasteEFs[w],WasteEFs[DOCFw])</f>
        <v>0.5</v>
      </c>
      <c r="S55" s="6">
        <f t="shared" si="13"/>
        <v>0.5</v>
      </c>
      <c r="T55" s="6">
        <f>_xlfn.XLOOKUP(A55,$X$9:$X$11,Z$9:Z$11, 0)</f>
        <v>0.8</v>
      </c>
      <c r="U55" s="6">
        <f>_xlfn.XLOOKUP(A55,$X$9:$X$11,AA$9:AA$11, 0)</f>
        <v>0</v>
      </c>
      <c r="V55" s="6">
        <f t="shared" si="14"/>
        <v>1.3333333333333333</v>
      </c>
      <c r="W55" s="6">
        <f t="shared" si="48"/>
        <v>58.76</v>
      </c>
      <c r="X55" s="6"/>
      <c r="Y55" s="6"/>
      <c r="Z55" s="6"/>
    </row>
    <row r="56" spans="1:26" x14ac:dyDescent="0.2">
      <c r="A56" s="4" t="s">
        <v>38</v>
      </c>
      <c r="B56" s="4" t="s">
        <v>47</v>
      </c>
      <c r="C56" s="4">
        <v>7643</v>
      </c>
      <c r="D56" s="4"/>
      <c r="E56" s="4">
        <f>_xlfn.XLOOKUP(B56, WasteEFs[w], WasteEFs[VTMw])</f>
        <v>0.42</v>
      </c>
      <c r="F56" s="4">
        <f t="shared" si="42"/>
        <v>7643</v>
      </c>
      <c r="G56" s="4">
        <f t="shared" si="43"/>
        <v>0</v>
      </c>
      <c r="H56" s="4">
        <f t="shared" si="49"/>
        <v>0</v>
      </c>
      <c r="I56" s="4">
        <f t="shared" si="45"/>
        <v>0</v>
      </c>
      <c r="J56" s="4">
        <f t="shared" si="46"/>
        <v>0</v>
      </c>
      <c r="K56" s="4">
        <f>_xlfn.XLOOKUP($B56,WasteEFs[w],WasteEFs[dmw])</f>
        <v>0.9</v>
      </c>
      <c r="L56" s="4">
        <f>_xlfn.XLOOKUP($B56, WasteEFs[w], WasteEFs[CCw])</f>
        <v>0.03</v>
      </c>
      <c r="M56" s="4">
        <f>_xlfn.XLOOKUP($B56, WasteEFs[w], WasteEFs[FCCw])</f>
        <v>1</v>
      </c>
      <c r="N56" s="4">
        <f>_xlfn.XLOOKUP($B56, WasteEFs[w], WasteEFs[OFw])</f>
        <v>0.71</v>
      </c>
      <c r="O56" s="4">
        <f t="shared" si="50"/>
        <v>3.6666666666666665</v>
      </c>
      <c r="P56" s="4">
        <f t="shared" si="47"/>
        <v>0</v>
      </c>
      <c r="Q56" s="4">
        <f>_xlfn.XLOOKUP($B56,WasteEFs[w],WasteEFs[DOCw])</f>
        <v>0</v>
      </c>
      <c r="R56" s="4">
        <f>_xlfn.XLOOKUP($B56,WasteEFs[w],WasteEFs[DOCFw])</f>
        <v>0</v>
      </c>
      <c r="S56" s="4">
        <f t="shared" si="13"/>
        <v>0.5</v>
      </c>
      <c r="T56" s="4">
        <f>_xlfn.XLOOKUP(A56,$X$9:$X$11,Z$9:Z$11, 0)</f>
        <v>0.8</v>
      </c>
      <c r="U56" s="4">
        <f>_xlfn.XLOOKUP(A56,$X$9:$X$11,AA$9:AA$11, 0)</f>
        <v>0</v>
      </c>
      <c r="V56" s="4">
        <f t="shared" si="14"/>
        <v>1.3333333333333333</v>
      </c>
      <c r="W56" s="4">
        <f t="shared" si="48"/>
        <v>0</v>
      </c>
      <c r="X56" s="4"/>
      <c r="Y56" s="4"/>
      <c r="Z56" s="4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2026-09-25T01:48:10Z</dcterms:modified>
</cp:coreProperties>
</file>