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xr:revisionPtr revIDLastSave="0" documentId="13_ncr:1_{5BB77C36-C68E-D748-B59F-24285B8FDE41}" xr6:coauthVersionLast="47" xr6:coauthVersionMax="47" xr10:uidLastSave="{00000000-0000-0000-0000-000000000000}"/>
  <bookViews>
    <workbookView xWindow="0" yWindow="660" windowWidth="28800" windowHeight="15880" xr2:uid="{5678E890-3691-CF46-80E7-00FB1F103661}"/>
  </bookViews>
  <sheets>
    <sheet name="10.1" sheetId="4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6" i="4" l="1"/>
  <c r="AC5" i="4"/>
  <c r="U56" i="4"/>
  <c r="T56" i="4"/>
  <c r="S56" i="4"/>
  <c r="R56" i="4"/>
  <c r="Q56" i="4"/>
  <c r="O56" i="4"/>
  <c r="N56" i="4"/>
  <c r="M56" i="4"/>
  <c r="L56" i="4"/>
  <c r="K56" i="4"/>
  <c r="I56" i="4"/>
  <c r="G56" i="4"/>
  <c r="F56" i="4"/>
  <c r="E56" i="4"/>
  <c r="U55" i="4"/>
  <c r="T55" i="4"/>
  <c r="S55" i="4"/>
  <c r="R55" i="4"/>
  <c r="Q55" i="4"/>
  <c r="P55" i="4"/>
  <c r="O55" i="4"/>
  <c r="N55" i="4"/>
  <c r="M55" i="4"/>
  <c r="L55" i="4"/>
  <c r="K55" i="4"/>
  <c r="I55" i="4"/>
  <c r="G55" i="4"/>
  <c r="F55" i="4"/>
  <c r="E55" i="4"/>
  <c r="U54" i="4"/>
  <c r="T54" i="4"/>
  <c r="S54" i="4"/>
  <c r="R54" i="4"/>
  <c r="Q54" i="4"/>
  <c r="P54" i="4"/>
  <c r="O54" i="4"/>
  <c r="N54" i="4"/>
  <c r="M54" i="4"/>
  <c r="L54" i="4"/>
  <c r="K54" i="4"/>
  <c r="I54" i="4"/>
  <c r="G54" i="4"/>
  <c r="E54" i="4"/>
  <c r="F54" i="4" s="1"/>
  <c r="U53" i="4"/>
  <c r="T53" i="4"/>
  <c r="S53" i="4"/>
  <c r="R53" i="4"/>
  <c r="Q53" i="4"/>
  <c r="P53" i="4"/>
  <c r="N53" i="4"/>
  <c r="M53" i="4"/>
  <c r="L53" i="4"/>
  <c r="K53" i="4"/>
  <c r="I53" i="4"/>
  <c r="G53" i="4"/>
  <c r="E53" i="4"/>
  <c r="F53" i="4" s="1"/>
  <c r="U52" i="4"/>
  <c r="T52" i="4"/>
  <c r="S52" i="4"/>
  <c r="R52" i="4"/>
  <c r="Q52" i="4"/>
  <c r="N52" i="4"/>
  <c r="M52" i="4"/>
  <c r="L52" i="4"/>
  <c r="K52" i="4"/>
  <c r="I52" i="4"/>
  <c r="G52" i="4"/>
  <c r="E52" i="4"/>
  <c r="F52" i="4" s="1"/>
  <c r="U51" i="4"/>
  <c r="T51" i="4"/>
  <c r="S51" i="4"/>
  <c r="R51" i="4"/>
  <c r="Q51" i="4"/>
  <c r="P51" i="4"/>
  <c r="N51" i="4"/>
  <c r="M51" i="4"/>
  <c r="L51" i="4"/>
  <c r="K51" i="4"/>
  <c r="I51" i="4"/>
  <c r="G51" i="4"/>
  <c r="E51" i="4"/>
  <c r="F51" i="4" s="1"/>
  <c r="U50" i="4"/>
  <c r="T50" i="4"/>
  <c r="S50" i="4"/>
  <c r="R50" i="4"/>
  <c r="Q50" i="4"/>
  <c r="P50" i="4"/>
  <c r="N50" i="4"/>
  <c r="M50" i="4"/>
  <c r="L50" i="4"/>
  <c r="K50" i="4"/>
  <c r="I50" i="4"/>
  <c r="G50" i="4"/>
  <c r="F50" i="4"/>
  <c r="E50" i="4"/>
  <c r="U49" i="4"/>
  <c r="T49" i="4"/>
  <c r="S49" i="4"/>
  <c r="R49" i="4"/>
  <c r="Q49" i="4"/>
  <c r="P49" i="4"/>
  <c r="N49" i="4"/>
  <c r="M49" i="4"/>
  <c r="L49" i="4"/>
  <c r="K49" i="4"/>
  <c r="I49" i="4"/>
  <c r="G49" i="4"/>
  <c r="F49" i="4"/>
  <c r="E49" i="4"/>
  <c r="U48" i="4"/>
  <c r="T48" i="4"/>
  <c r="S48" i="4"/>
  <c r="R48" i="4"/>
  <c r="Q48" i="4"/>
  <c r="P48" i="4"/>
  <c r="N48" i="4"/>
  <c r="M48" i="4"/>
  <c r="L48" i="4"/>
  <c r="K48" i="4"/>
  <c r="I48" i="4"/>
  <c r="G48" i="4"/>
  <c r="F48" i="4"/>
  <c r="E48" i="4"/>
  <c r="U47" i="4"/>
  <c r="T47" i="4"/>
  <c r="S47" i="4"/>
  <c r="R47" i="4"/>
  <c r="Q47" i="4"/>
  <c r="P47" i="4"/>
  <c r="N47" i="4"/>
  <c r="M47" i="4"/>
  <c r="L47" i="4"/>
  <c r="K47" i="4"/>
  <c r="I47" i="4"/>
  <c r="G47" i="4"/>
  <c r="F47" i="4"/>
  <c r="E47" i="4"/>
  <c r="U46" i="4"/>
  <c r="T46" i="4"/>
  <c r="S46" i="4"/>
  <c r="R46" i="4"/>
  <c r="Q46" i="4"/>
  <c r="N46" i="4"/>
  <c r="M46" i="4"/>
  <c r="L46" i="4"/>
  <c r="K46" i="4"/>
  <c r="I46" i="4"/>
  <c r="G46" i="4"/>
  <c r="F46" i="4"/>
  <c r="E46" i="4"/>
  <c r="U45" i="4"/>
  <c r="T45" i="4"/>
  <c r="S45" i="4"/>
  <c r="R45" i="4"/>
  <c r="Q45" i="4"/>
  <c r="O45" i="4"/>
  <c r="N45" i="4"/>
  <c r="M45" i="4"/>
  <c r="L45" i="4"/>
  <c r="P45" i="4" s="1"/>
  <c r="K45" i="4"/>
  <c r="I45" i="4"/>
  <c r="G45" i="4"/>
  <c r="F45" i="4"/>
  <c r="H45" i="4" s="1"/>
  <c r="E45" i="4"/>
  <c r="U44" i="4"/>
  <c r="T44" i="4"/>
  <c r="S44" i="4"/>
  <c r="R44" i="4"/>
  <c r="Q44" i="4"/>
  <c r="O44" i="4"/>
  <c r="N44" i="4"/>
  <c r="M44" i="4"/>
  <c r="L44" i="4"/>
  <c r="K44" i="4"/>
  <c r="I44" i="4"/>
  <c r="G44" i="4"/>
  <c r="E44" i="4"/>
  <c r="F44" i="4" s="1"/>
  <c r="U43" i="4"/>
  <c r="T43" i="4"/>
  <c r="S43" i="4"/>
  <c r="R43" i="4"/>
  <c r="Q43" i="4"/>
  <c r="O43" i="4"/>
  <c r="N43" i="4"/>
  <c r="M43" i="4"/>
  <c r="L43" i="4"/>
  <c r="K43" i="4"/>
  <c r="I43" i="4"/>
  <c r="G43" i="4"/>
  <c r="E43" i="4"/>
  <c r="F43" i="4" s="1"/>
  <c r="U42" i="4"/>
  <c r="T42" i="4"/>
  <c r="S42" i="4"/>
  <c r="R42" i="4"/>
  <c r="Q42" i="4"/>
  <c r="O42" i="4"/>
  <c r="N42" i="4"/>
  <c r="M42" i="4"/>
  <c r="L42" i="4"/>
  <c r="K42" i="4"/>
  <c r="I42" i="4"/>
  <c r="G42" i="4"/>
  <c r="E42" i="4"/>
  <c r="F42" i="4" s="1"/>
  <c r="U41" i="4"/>
  <c r="T41" i="4"/>
  <c r="S41" i="4"/>
  <c r="R41" i="4"/>
  <c r="Q41" i="4"/>
  <c r="O41" i="4"/>
  <c r="N41" i="4"/>
  <c r="M41" i="4"/>
  <c r="L41" i="4"/>
  <c r="K41" i="4"/>
  <c r="I41" i="4"/>
  <c r="G41" i="4"/>
  <c r="E41" i="4"/>
  <c r="F41" i="4" s="1"/>
  <c r="U40" i="4"/>
  <c r="T40" i="4"/>
  <c r="S40" i="4"/>
  <c r="R40" i="4"/>
  <c r="Q40" i="4"/>
  <c r="O40" i="4"/>
  <c r="N40" i="4"/>
  <c r="M40" i="4"/>
  <c r="L40" i="4"/>
  <c r="K40" i="4"/>
  <c r="P40" i="4" s="1"/>
  <c r="I40" i="4"/>
  <c r="G40" i="4"/>
  <c r="F40" i="4"/>
  <c r="E40" i="4"/>
  <c r="U39" i="4"/>
  <c r="T39" i="4"/>
  <c r="S39" i="4"/>
  <c r="R39" i="4"/>
  <c r="Q39" i="4"/>
  <c r="O39" i="4"/>
  <c r="N39" i="4"/>
  <c r="M39" i="4"/>
  <c r="L39" i="4"/>
  <c r="K39" i="4"/>
  <c r="I39" i="4"/>
  <c r="G39" i="4"/>
  <c r="F39" i="4"/>
  <c r="J39" i="4" s="1"/>
  <c r="E39" i="4"/>
  <c r="U38" i="4"/>
  <c r="T38" i="4"/>
  <c r="S38" i="4"/>
  <c r="R38" i="4"/>
  <c r="Q38" i="4"/>
  <c r="O38" i="4"/>
  <c r="N38" i="4"/>
  <c r="M38" i="4"/>
  <c r="L38" i="4"/>
  <c r="K38" i="4"/>
  <c r="I38" i="4"/>
  <c r="G38" i="4"/>
  <c r="F38" i="4"/>
  <c r="P38" i="4" s="1"/>
  <c r="E38" i="4"/>
  <c r="U37" i="4"/>
  <c r="T37" i="4"/>
  <c r="S37" i="4"/>
  <c r="R37" i="4"/>
  <c r="Q37" i="4"/>
  <c r="O37" i="4"/>
  <c r="P37" i="4" s="1"/>
  <c r="N37" i="4"/>
  <c r="M37" i="4"/>
  <c r="L37" i="4"/>
  <c r="K37" i="4"/>
  <c r="I37" i="4"/>
  <c r="G37" i="4"/>
  <c r="F37" i="4"/>
  <c r="E37" i="4"/>
  <c r="U36" i="4"/>
  <c r="T36" i="4"/>
  <c r="S36" i="4"/>
  <c r="R36" i="4"/>
  <c r="Q36" i="4"/>
  <c r="N36" i="4"/>
  <c r="M36" i="4"/>
  <c r="L36" i="4"/>
  <c r="K36" i="4"/>
  <c r="I36" i="4"/>
  <c r="G36" i="4"/>
  <c r="F36" i="4"/>
  <c r="E36" i="4"/>
  <c r="U35" i="4"/>
  <c r="T35" i="4"/>
  <c r="S35" i="4"/>
  <c r="R35" i="4"/>
  <c r="Q35" i="4"/>
  <c r="O35" i="4"/>
  <c r="N35" i="4"/>
  <c r="M35" i="4"/>
  <c r="L35" i="4"/>
  <c r="K35" i="4"/>
  <c r="I35" i="4"/>
  <c r="G35" i="4"/>
  <c r="F35" i="4"/>
  <c r="E35" i="4"/>
  <c r="U34" i="4"/>
  <c r="T34" i="4"/>
  <c r="S34" i="4"/>
  <c r="R34" i="4"/>
  <c r="Q34" i="4"/>
  <c r="N34" i="4"/>
  <c r="M34" i="4"/>
  <c r="L34" i="4"/>
  <c r="K34" i="4"/>
  <c r="I34" i="4"/>
  <c r="G34" i="4"/>
  <c r="E34" i="4"/>
  <c r="F34" i="4" s="1"/>
  <c r="U33" i="4"/>
  <c r="T33" i="4"/>
  <c r="S33" i="4"/>
  <c r="R33" i="4"/>
  <c r="Q33" i="4"/>
  <c r="N33" i="4"/>
  <c r="M33" i="4"/>
  <c r="L33" i="4"/>
  <c r="K33" i="4"/>
  <c r="I33" i="4"/>
  <c r="G33" i="4"/>
  <c r="E33" i="4"/>
  <c r="F33" i="4" s="1"/>
  <c r="U32" i="4"/>
  <c r="T32" i="4"/>
  <c r="S32" i="4"/>
  <c r="R32" i="4"/>
  <c r="Q32" i="4"/>
  <c r="N32" i="4"/>
  <c r="M32" i="4"/>
  <c r="L32" i="4"/>
  <c r="K32" i="4"/>
  <c r="I32" i="4"/>
  <c r="G32" i="4"/>
  <c r="E32" i="4"/>
  <c r="F32" i="4" s="1"/>
  <c r="U31" i="4"/>
  <c r="T31" i="4"/>
  <c r="S31" i="4"/>
  <c r="R31" i="4"/>
  <c r="Q31" i="4"/>
  <c r="P31" i="4"/>
  <c r="N31" i="4"/>
  <c r="M31" i="4"/>
  <c r="L31" i="4"/>
  <c r="K31" i="4"/>
  <c r="I31" i="4"/>
  <c r="G31" i="4"/>
  <c r="E31" i="4"/>
  <c r="F31" i="4" s="1"/>
  <c r="U30" i="4"/>
  <c r="T30" i="4"/>
  <c r="S30" i="4"/>
  <c r="R30" i="4"/>
  <c r="Q30" i="4"/>
  <c r="O30" i="4"/>
  <c r="N30" i="4"/>
  <c r="M30" i="4"/>
  <c r="L30" i="4"/>
  <c r="K30" i="4"/>
  <c r="I30" i="4"/>
  <c r="G30" i="4"/>
  <c r="F30" i="4"/>
  <c r="P30" i="4" s="1"/>
  <c r="E30" i="4"/>
  <c r="U29" i="4"/>
  <c r="T29" i="4"/>
  <c r="S29" i="4"/>
  <c r="R29" i="4"/>
  <c r="Q29" i="4"/>
  <c r="O29" i="4"/>
  <c r="N29" i="4"/>
  <c r="M29" i="4"/>
  <c r="L29" i="4"/>
  <c r="K29" i="4"/>
  <c r="I29" i="4"/>
  <c r="G29" i="4"/>
  <c r="F29" i="4"/>
  <c r="E29" i="4"/>
  <c r="U28" i="4"/>
  <c r="T28" i="4"/>
  <c r="S28" i="4"/>
  <c r="R28" i="4"/>
  <c r="Q28" i="4"/>
  <c r="O28" i="4"/>
  <c r="N28" i="4"/>
  <c r="M28" i="4"/>
  <c r="L28" i="4"/>
  <c r="K28" i="4"/>
  <c r="P28" i="4" s="1"/>
  <c r="I28" i="4"/>
  <c r="G28" i="4"/>
  <c r="F28" i="4"/>
  <c r="E28" i="4"/>
  <c r="U27" i="4"/>
  <c r="T27" i="4"/>
  <c r="S27" i="4"/>
  <c r="R27" i="4"/>
  <c r="Q27" i="4"/>
  <c r="N27" i="4"/>
  <c r="M27" i="4"/>
  <c r="L27" i="4"/>
  <c r="K27" i="4"/>
  <c r="I27" i="4"/>
  <c r="G27" i="4"/>
  <c r="F27" i="4"/>
  <c r="E27" i="4"/>
  <c r="E25" i="4"/>
  <c r="F25" i="4"/>
  <c r="G25" i="4"/>
  <c r="I25" i="4"/>
  <c r="K25" i="4"/>
  <c r="L25" i="4"/>
  <c r="M25" i="4"/>
  <c r="N25" i="4"/>
  <c r="Q25" i="4"/>
  <c r="R25" i="4"/>
  <c r="S25" i="4"/>
  <c r="T25" i="4"/>
  <c r="U25" i="4"/>
  <c r="E26" i="4"/>
  <c r="F26" i="4"/>
  <c r="G26" i="4"/>
  <c r="I26" i="4"/>
  <c r="K26" i="4"/>
  <c r="L26" i="4"/>
  <c r="M26" i="4"/>
  <c r="N26" i="4"/>
  <c r="Q26" i="4"/>
  <c r="R26" i="4"/>
  <c r="S26" i="4"/>
  <c r="T26" i="4"/>
  <c r="U26" i="4"/>
  <c r="U18" i="4"/>
  <c r="U19" i="4"/>
  <c r="U20" i="4"/>
  <c r="U21" i="4"/>
  <c r="U22" i="4"/>
  <c r="U23" i="4"/>
  <c r="U24" i="4"/>
  <c r="U17" i="4"/>
  <c r="Q18" i="4"/>
  <c r="R18" i="4"/>
  <c r="S18" i="4"/>
  <c r="Q19" i="4"/>
  <c r="R19" i="4"/>
  <c r="S19" i="4"/>
  <c r="Q20" i="4"/>
  <c r="R20" i="4"/>
  <c r="S20" i="4"/>
  <c r="Q21" i="4"/>
  <c r="R21" i="4"/>
  <c r="S21" i="4"/>
  <c r="Q22" i="4"/>
  <c r="R22" i="4"/>
  <c r="S22" i="4"/>
  <c r="Q23" i="4"/>
  <c r="R23" i="4"/>
  <c r="S23" i="4"/>
  <c r="Q24" i="4"/>
  <c r="R24" i="4"/>
  <c r="S24" i="4"/>
  <c r="I18" i="4"/>
  <c r="I19" i="4"/>
  <c r="I20" i="4"/>
  <c r="I21" i="4"/>
  <c r="I22" i="4"/>
  <c r="I23" i="4"/>
  <c r="I24" i="4"/>
  <c r="I17" i="4"/>
  <c r="G18" i="4"/>
  <c r="G19" i="4"/>
  <c r="G20" i="4"/>
  <c r="G21" i="4"/>
  <c r="G22" i="4"/>
  <c r="G23" i="4"/>
  <c r="G24" i="4"/>
  <c r="G17" i="4"/>
  <c r="T18" i="4"/>
  <c r="T19" i="4"/>
  <c r="T20" i="4"/>
  <c r="T21" i="4"/>
  <c r="T22" i="4"/>
  <c r="T23" i="4"/>
  <c r="T24" i="4"/>
  <c r="T17" i="4"/>
  <c r="R17" i="4"/>
  <c r="Q17" i="4"/>
  <c r="S17" i="4"/>
  <c r="K18" i="4"/>
  <c r="L18" i="4"/>
  <c r="M18" i="4"/>
  <c r="N18" i="4"/>
  <c r="K19" i="4"/>
  <c r="L19" i="4"/>
  <c r="M19" i="4"/>
  <c r="N19" i="4"/>
  <c r="K20" i="4"/>
  <c r="L20" i="4"/>
  <c r="M20" i="4"/>
  <c r="N20" i="4"/>
  <c r="K21" i="4"/>
  <c r="L21" i="4"/>
  <c r="M21" i="4"/>
  <c r="N21" i="4"/>
  <c r="K22" i="4"/>
  <c r="L22" i="4"/>
  <c r="M22" i="4"/>
  <c r="N22" i="4"/>
  <c r="K23" i="4"/>
  <c r="L23" i="4"/>
  <c r="M23" i="4"/>
  <c r="N23" i="4"/>
  <c r="K24" i="4"/>
  <c r="L24" i="4"/>
  <c r="M24" i="4"/>
  <c r="N24" i="4"/>
  <c r="N17" i="4"/>
  <c r="M17" i="4"/>
  <c r="L17" i="4"/>
  <c r="K17" i="4"/>
  <c r="F18" i="4"/>
  <c r="F19" i="4"/>
  <c r="F20" i="4"/>
  <c r="F17" i="4"/>
  <c r="E18" i="4"/>
  <c r="E19" i="4"/>
  <c r="E20" i="4"/>
  <c r="E21" i="4"/>
  <c r="F21" i="4" s="1"/>
  <c r="E22" i="4"/>
  <c r="F22" i="4" s="1"/>
  <c r="E23" i="4"/>
  <c r="F23" i="4" s="1"/>
  <c r="E24" i="4"/>
  <c r="F24" i="4" s="1"/>
  <c r="E17" i="4"/>
  <c r="P6" i="4"/>
  <c r="Q6" i="4"/>
  <c r="R6" i="4"/>
  <c r="P7" i="4"/>
  <c r="Q7" i="4"/>
  <c r="R7" i="4"/>
  <c r="P8" i="4"/>
  <c r="Q8" i="4"/>
  <c r="R8" i="4"/>
  <c r="P9" i="4"/>
  <c r="Q9" i="4"/>
  <c r="R9" i="4"/>
  <c r="P10" i="4"/>
  <c r="Q10" i="4"/>
  <c r="R10" i="4"/>
  <c r="R5" i="4"/>
  <c r="Q5" i="4"/>
  <c r="P5" i="4"/>
  <c r="N10" i="4"/>
  <c r="G6" i="4"/>
  <c r="H6" i="4"/>
  <c r="J6" i="4"/>
  <c r="K6" i="4"/>
  <c r="M6" i="4"/>
  <c r="G7" i="4"/>
  <c r="H7" i="4"/>
  <c r="J7" i="4"/>
  <c r="K7" i="4"/>
  <c r="M7" i="4"/>
  <c r="G8" i="4"/>
  <c r="H8" i="4"/>
  <c r="J8" i="4"/>
  <c r="K8" i="4"/>
  <c r="L8" i="4" s="1"/>
  <c r="V8" i="4" s="1"/>
  <c r="M8" i="4"/>
  <c r="G9" i="4"/>
  <c r="H9" i="4"/>
  <c r="J9" i="4"/>
  <c r="K9" i="4"/>
  <c r="M9" i="4"/>
  <c r="G10" i="4"/>
  <c r="H10" i="4"/>
  <c r="J10" i="4"/>
  <c r="K10" i="4"/>
  <c r="M10" i="4"/>
  <c r="K5" i="4"/>
  <c r="J5" i="4"/>
  <c r="L5" i="4" s="1"/>
  <c r="V5" i="4" s="1"/>
  <c r="H5" i="4"/>
  <c r="G5" i="4"/>
  <c r="M5" i="4"/>
  <c r="V52" i="4" l="1"/>
  <c r="V51" i="4"/>
  <c r="W51" i="4" s="1"/>
  <c r="V50" i="4"/>
  <c r="W50" i="4" s="1"/>
  <c r="V49" i="4"/>
  <c r="W49" i="4" s="1"/>
  <c r="V48" i="4"/>
  <c r="W48" i="4" s="1"/>
  <c r="V47" i="4"/>
  <c r="W47" i="4" s="1"/>
  <c r="V46" i="4"/>
  <c r="W46" i="4" s="1"/>
  <c r="V45" i="4"/>
  <c r="W45" i="4" s="1"/>
  <c r="V44" i="4"/>
  <c r="V43" i="4"/>
  <c r="W43" i="4" s="1"/>
  <c r="V42" i="4"/>
  <c r="W42" i="4" s="1"/>
  <c r="V41" i="4"/>
  <c r="V40" i="4"/>
  <c r="W40" i="4" s="1"/>
  <c r="V39" i="4"/>
  <c r="W39" i="4" s="1"/>
  <c r="V38" i="4"/>
  <c r="W38" i="4" s="1"/>
  <c r="V37" i="4"/>
  <c r="W37" i="4" s="1"/>
  <c r="V34" i="4"/>
  <c r="V27" i="4"/>
  <c r="W27" i="4" s="1"/>
  <c r="V26" i="4"/>
  <c r="V20" i="4"/>
  <c r="V18" i="4"/>
  <c r="V56" i="4"/>
  <c r="W56" i="4" s="1"/>
  <c r="V55" i="4"/>
  <c r="W55" i="4" s="1"/>
  <c r="V54" i="4"/>
  <c r="W54" i="4" s="1"/>
  <c r="V53" i="4"/>
  <c r="W53" i="4" s="1"/>
  <c r="O53" i="4"/>
  <c r="O52" i="4"/>
  <c r="P52" i="4" s="1"/>
  <c r="O51" i="4"/>
  <c r="O50" i="4"/>
  <c r="O48" i="4"/>
  <c r="O47" i="4"/>
  <c r="O46" i="4"/>
  <c r="P46" i="4" s="1"/>
  <c r="O49" i="4"/>
  <c r="H40" i="4"/>
  <c r="H32" i="4"/>
  <c r="J46" i="4"/>
  <c r="H39" i="4"/>
  <c r="H37" i="4"/>
  <c r="H38" i="4"/>
  <c r="J37" i="4"/>
  <c r="J38" i="4"/>
  <c r="H43" i="4"/>
  <c r="H53" i="4"/>
  <c r="H55" i="4"/>
  <c r="H56" i="4"/>
  <c r="J56" i="4"/>
  <c r="H49" i="4"/>
  <c r="H50" i="4"/>
  <c r="J43" i="4"/>
  <c r="H46" i="4"/>
  <c r="J50" i="4"/>
  <c r="H26" i="4"/>
  <c r="H48" i="4"/>
  <c r="J48" i="4"/>
  <c r="J47" i="4"/>
  <c r="H47" i="4"/>
  <c r="J49" i="4"/>
  <c r="P56" i="4"/>
  <c r="X47" i="4" s="1"/>
  <c r="J54" i="4"/>
  <c r="J55" i="4"/>
  <c r="J45" i="4"/>
  <c r="J40" i="4"/>
  <c r="J51" i="4"/>
  <c r="H51" i="4"/>
  <c r="J42" i="4"/>
  <c r="P42" i="4"/>
  <c r="J52" i="4"/>
  <c r="H52" i="4"/>
  <c r="W52" i="4"/>
  <c r="W44" i="4"/>
  <c r="J44" i="4"/>
  <c r="P44" i="4"/>
  <c r="H44" i="4"/>
  <c r="W41" i="4"/>
  <c r="P41" i="4"/>
  <c r="J41" i="4"/>
  <c r="H41" i="4"/>
  <c r="H42" i="4"/>
  <c r="J53" i="4"/>
  <c r="H54" i="4"/>
  <c r="P39" i="4"/>
  <c r="P43" i="4"/>
  <c r="J25" i="4"/>
  <c r="V28" i="4"/>
  <c r="O36" i="4"/>
  <c r="L6" i="4"/>
  <c r="V6" i="4" s="1"/>
  <c r="J26" i="4"/>
  <c r="O27" i="4"/>
  <c r="P27" i="4" s="1"/>
  <c r="V33" i="4"/>
  <c r="W33" i="4" s="1"/>
  <c r="O34" i="4"/>
  <c r="O17" i="4"/>
  <c r="S6" i="4"/>
  <c r="V25" i="4"/>
  <c r="L9" i="4"/>
  <c r="V9" i="4" s="1"/>
  <c r="H36" i="4"/>
  <c r="L7" i="4"/>
  <c r="V7" i="4" s="1"/>
  <c r="V21" i="4"/>
  <c r="W21" i="4" s="1"/>
  <c r="O26" i="4"/>
  <c r="V29" i="4"/>
  <c r="W29" i="4" s="1"/>
  <c r="O31" i="4"/>
  <c r="V35" i="4"/>
  <c r="W35" i="4" s="1"/>
  <c r="H31" i="4"/>
  <c r="J31" i="4"/>
  <c r="J36" i="4"/>
  <c r="H29" i="4"/>
  <c r="H35" i="4"/>
  <c r="L10" i="4"/>
  <c r="V10" i="4" s="1"/>
  <c r="S5" i="4"/>
  <c r="H25" i="4"/>
  <c r="H27" i="4"/>
  <c r="H28" i="4"/>
  <c r="V32" i="4"/>
  <c r="W32" i="4" s="1"/>
  <c r="O33" i="4"/>
  <c r="V17" i="4"/>
  <c r="W17" i="4" s="1"/>
  <c r="V23" i="4"/>
  <c r="W25" i="4"/>
  <c r="J27" i="4"/>
  <c r="J28" i="4"/>
  <c r="S10" i="4"/>
  <c r="H30" i="4"/>
  <c r="W28" i="4"/>
  <c r="I5" i="4"/>
  <c r="V22" i="4"/>
  <c r="W22" i="4" s="1"/>
  <c r="W26" i="4"/>
  <c r="O25" i="4"/>
  <c r="P25" i="4" s="1"/>
  <c r="V30" i="4"/>
  <c r="V31" i="4"/>
  <c r="W31" i="4" s="1"/>
  <c r="O32" i="4"/>
  <c r="V36" i="4"/>
  <c r="W36" i="4"/>
  <c r="J35" i="4"/>
  <c r="J32" i="4"/>
  <c r="P32" i="4"/>
  <c r="J34" i="4"/>
  <c r="P34" i="4"/>
  <c r="W34" i="4"/>
  <c r="P33" i="4"/>
  <c r="H33" i="4"/>
  <c r="J33" i="4"/>
  <c r="H34" i="4"/>
  <c r="J30" i="4"/>
  <c r="P36" i="4"/>
  <c r="P29" i="4"/>
  <c r="J29" i="4"/>
  <c r="W30" i="4"/>
  <c r="P35" i="4"/>
  <c r="P26" i="4"/>
  <c r="P17" i="4"/>
  <c r="W23" i="4"/>
  <c r="O22" i="4"/>
  <c r="P22" i="4" s="1"/>
  <c r="V24" i="4"/>
  <c r="W24" i="4" s="1"/>
  <c r="O20" i="4"/>
  <c r="P20" i="4" s="1"/>
  <c r="O21" i="4"/>
  <c r="P21" i="4" s="1"/>
  <c r="V19" i="4"/>
  <c r="W19" i="4" s="1"/>
  <c r="O18" i="4"/>
  <c r="P18" i="4" s="1"/>
  <c r="O24" i="4"/>
  <c r="P24" i="4" s="1"/>
  <c r="O23" i="4"/>
  <c r="P23" i="4" s="1"/>
  <c r="O19" i="4"/>
  <c r="P19" i="4" s="1"/>
  <c r="J20" i="4"/>
  <c r="H19" i="4"/>
  <c r="J18" i="4"/>
  <c r="W20" i="4"/>
  <c r="W18" i="4"/>
  <c r="J17" i="4"/>
  <c r="J21" i="4"/>
  <c r="H21" i="4"/>
  <c r="H24" i="4"/>
  <c r="J24" i="4"/>
  <c r="H23" i="4"/>
  <c r="J23" i="4"/>
  <c r="J22" i="4"/>
  <c r="H22" i="4"/>
  <c r="H18" i="4"/>
  <c r="H20" i="4"/>
  <c r="J19" i="4"/>
  <c r="H17" i="4"/>
  <c r="I10" i="4"/>
  <c r="I6" i="4"/>
  <c r="U6" i="4" s="1"/>
  <c r="S7" i="4"/>
  <c r="I7" i="4"/>
  <c r="I9" i="4"/>
  <c r="O10" i="4"/>
  <c r="T10" i="4" s="1"/>
  <c r="S8" i="4"/>
  <c r="I8" i="4"/>
  <c r="U8" i="4" s="1"/>
  <c r="S9" i="4"/>
  <c r="N9" i="4"/>
  <c r="N8" i="4"/>
  <c r="N6" i="4"/>
  <c r="O6" i="4" s="1"/>
  <c r="N5" i="4"/>
  <c r="O5" i="4" s="1"/>
  <c r="T5" i="4" s="1"/>
  <c r="N7" i="4"/>
  <c r="Y37" i="4" l="1"/>
  <c r="Z47" i="4"/>
  <c r="Y47" i="4"/>
  <c r="Z37" i="4"/>
  <c r="X37" i="4"/>
  <c r="U10" i="4"/>
  <c r="U5" i="4"/>
  <c r="Z27" i="4"/>
  <c r="Y17" i="4"/>
  <c r="X17" i="4"/>
  <c r="Z17" i="4"/>
  <c r="Y27" i="4"/>
  <c r="X27" i="4"/>
  <c r="U9" i="4"/>
  <c r="U7" i="4"/>
  <c r="T6" i="4"/>
  <c r="O7" i="4"/>
  <c r="T7" i="4" s="1"/>
  <c r="O8" i="4"/>
  <c r="T8" i="4" s="1"/>
  <c r="O9" i="4"/>
  <c r="T9" i="4" s="1"/>
</calcChain>
</file>

<file path=xl/sharedStrings.xml><?xml version="1.0" encoding="utf-8"?>
<sst xmlns="http://schemas.openxmlformats.org/spreadsheetml/2006/main" count="164" uniqueCount="66">
  <si>
    <t>Method 1</t>
  </si>
  <si>
    <t>Sludge</t>
  </si>
  <si>
    <t>Incineration</t>
  </si>
  <si>
    <t>Food waste</t>
  </si>
  <si>
    <t>Green waste</t>
  </si>
  <si>
    <t>Composting</t>
  </si>
  <si>
    <t>Paper and cardboard</t>
  </si>
  <si>
    <t>Textiles</t>
  </si>
  <si>
    <t>Rubber and leather</t>
  </si>
  <si>
    <t>Anaerobic Digestion</t>
  </si>
  <si>
    <t>VTMw</t>
  </si>
  <si>
    <t>Qt (composting)</t>
  </si>
  <si>
    <t>Qt (anaerobic digestion)</t>
  </si>
  <si>
    <t>Qburn</t>
  </si>
  <si>
    <t>Qu (deep)</t>
  </si>
  <si>
    <t>Qu (shallow)</t>
  </si>
  <si>
    <t>Qu (burial)</t>
  </si>
  <si>
    <t>EFCH4t (composting)</t>
  </si>
  <si>
    <t>EFCH4t (anaerobic digestion)</t>
  </si>
  <si>
    <t>EtCH4</t>
  </si>
  <si>
    <t>CCO2</t>
  </si>
  <si>
    <t>EFburn</t>
  </si>
  <si>
    <t>EFN2Ot (compost)</t>
  </si>
  <si>
    <t>EFN2Ot (anaerobic</t>
  </si>
  <si>
    <t>EtN2O</t>
  </si>
  <si>
    <t>EFuCH4 (deep)</t>
  </si>
  <si>
    <t>EFuCH4 (shallow)</t>
  </si>
  <si>
    <t>EFuCH4 (burial)</t>
  </si>
  <si>
    <t>EburnCO2</t>
  </si>
  <si>
    <t>EuCH4</t>
  </si>
  <si>
    <t>ECO2</t>
  </si>
  <si>
    <t>ECH4</t>
  </si>
  <si>
    <t>EN2O</t>
  </si>
  <si>
    <t>t</t>
  </si>
  <si>
    <t>EFCH4t</t>
  </si>
  <si>
    <t>EFN2Ot</t>
  </si>
  <si>
    <t>u</t>
  </si>
  <si>
    <t>EFCH4u</t>
  </si>
  <si>
    <t>Unmanaged - deep</t>
  </si>
  <si>
    <t>Burial</t>
  </si>
  <si>
    <t>Unmanaged - shallow</t>
  </si>
  <si>
    <t>ECO2 (t)</t>
  </si>
  <si>
    <t>ECH4 (t)</t>
  </si>
  <si>
    <t>EN2O (t)</t>
  </si>
  <si>
    <t>Method 2</t>
  </si>
  <si>
    <t>Wood products (at time of harvest)</t>
  </si>
  <si>
    <t>Wood products (at end of life)</t>
  </si>
  <si>
    <t>Inert waste</t>
  </si>
  <si>
    <t>f</t>
  </si>
  <si>
    <t>w</t>
  </si>
  <si>
    <t>Qwf</t>
  </si>
  <si>
    <t>Vwf</t>
  </si>
  <si>
    <t>VTM</t>
  </si>
  <si>
    <t>Qwf (resolved)</t>
  </si>
  <si>
    <t>Nappies</t>
  </si>
  <si>
    <t>CCw</t>
  </si>
  <si>
    <t>FCCw</t>
  </si>
  <si>
    <t>OFw</t>
  </si>
  <si>
    <t>dmw</t>
  </si>
  <si>
    <t>DOCw</t>
  </si>
  <si>
    <t>DOCFw</t>
  </si>
  <si>
    <t>FFCw</t>
  </si>
  <si>
    <t>CCH4</t>
  </si>
  <si>
    <t>F</t>
  </si>
  <si>
    <t>MCFu</t>
  </si>
  <si>
    <t>OFu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</si>
</sst>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stants/comm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on"/>
    </sheetNames>
    <definedNames>
      <definedName name="common_cch4" refersTo="='common'!$B$3"/>
      <definedName name="common_cco2" refersTo="='common'!$B$2"/>
    </definedNames>
    <sheetDataSet>
      <sheetData sheetId="0">
        <row r="2">
          <cell r="B2">
            <v>3.67</v>
          </cell>
        </row>
        <row r="3">
          <cell r="B3">
            <v>1.33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C98977-3DCB-B945-B1EB-32F5BC0F6F7E}" name="WasteEFs" displayName="WasteEFs" ref="AE3:AL13" totalsRowShown="0">
  <autoFilter ref="AE3:AL13" xr:uid="{EEC98977-3DCB-B945-B1EB-32F5BC0F6F7E}"/>
  <tableColumns count="8">
    <tableColumn id="1" xr3:uid="{31ACD9B1-0F50-134C-B5F4-982A3FEF17B3}" name="w"/>
    <tableColumn id="2" xr3:uid="{F1AD0735-3346-B944-9EA2-6C78A43D19ED}" name="CCw"/>
    <tableColumn id="3" xr3:uid="{674C3B9C-3FB7-0F4E-87BA-0AA57B771D6F}" name="FCCw"/>
    <tableColumn id="4" xr3:uid="{72E4EAF6-7E0D-3347-A83B-C5E183876D7C}" name="OFw"/>
    <tableColumn id="5" xr3:uid="{28DF8355-DFF2-9B41-B271-F9BAB3776EE1}" name="dmw"/>
    <tableColumn id="6" xr3:uid="{B48BA4B8-6BDB-AE41-A24B-52C33254F276}" name="DOCw"/>
    <tableColumn id="7" xr3:uid="{15AA5D9D-A2B5-9F40-886B-C4EB19C3CAF2}" name="DOCFw"/>
    <tableColumn id="8" xr3:uid="{1CCE8EFA-905E-1D4C-83F0-09608AF44F67}" name="VTMw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34FAE-ABC2-7049-8399-F2C9DDB583DD}">
  <dimension ref="A1:AL56"/>
  <sheetViews>
    <sheetView tabSelected="1" topLeftCell="A14" zoomScaleNormal="100" workbookViewId="0">
      <selection activeCell="B25" sqref="B25"/>
    </sheetView>
  </sheetViews>
  <sheetFormatPr baseColWidth="10" defaultRowHeight="16" x14ac:dyDescent="0.2"/>
  <cols>
    <col min="8" max="8" width="11.83203125" customWidth="1"/>
  </cols>
  <sheetData>
    <row r="1" spans="1:38" x14ac:dyDescent="0.2">
      <c r="A1" t="s">
        <v>0</v>
      </c>
    </row>
    <row r="3" spans="1:38" x14ac:dyDescent="0.2">
      <c r="AE3" t="s">
        <v>49</v>
      </c>
      <c r="AF3" t="s">
        <v>55</v>
      </c>
      <c r="AG3" t="s">
        <v>56</v>
      </c>
      <c r="AH3" t="s">
        <v>57</v>
      </c>
      <c r="AI3" t="s">
        <v>58</v>
      </c>
      <c r="AJ3" t="s">
        <v>59</v>
      </c>
      <c r="AK3" t="s">
        <v>60</v>
      </c>
      <c r="AL3" t="s">
        <v>10</v>
      </c>
    </row>
    <row r="4" spans="1:38" x14ac:dyDescent="0.2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18</v>
      </c>
      <c r="I4" s="1" t="s">
        <v>19</v>
      </c>
      <c r="J4" s="1" t="s">
        <v>22</v>
      </c>
      <c r="K4" s="1" t="s">
        <v>23</v>
      </c>
      <c r="L4" s="1" t="s">
        <v>24</v>
      </c>
      <c r="M4" s="1" t="s">
        <v>21</v>
      </c>
      <c r="N4" s="1" t="s">
        <v>20</v>
      </c>
      <c r="O4" s="1" t="s">
        <v>30</v>
      </c>
      <c r="P4" s="1" t="s">
        <v>25</v>
      </c>
      <c r="Q4" s="1" t="s">
        <v>26</v>
      </c>
      <c r="R4" s="1" t="s">
        <v>27</v>
      </c>
      <c r="S4" s="1" t="s">
        <v>29</v>
      </c>
      <c r="T4" s="2" t="s">
        <v>41</v>
      </c>
      <c r="U4" s="2" t="s">
        <v>42</v>
      </c>
      <c r="V4" s="2" t="s">
        <v>43</v>
      </c>
      <c r="X4" t="s">
        <v>33</v>
      </c>
      <c r="Y4" t="s">
        <v>34</v>
      </c>
      <c r="Z4" t="s">
        <v>35</v>
      </c>
      <c r="AB4" t="s">
        <v>21</v>
      </c>
      <c r="AC4">
        <v>5.0500000000000003E-2</v>
      </c>
      <c r="AE4" t="s">
        <v>3</v>
      </c>
      <c r="AF4">
        <v>0.38</v>
      </c>
      <c r="AG4">
        <v>0</v>
      </c>
      <c r="AH4">
        <v>0.71</v>
      </c>
      <c r="AI4">
        <v>0.4</v>
      </c>
      <c r="AJ4">
        <v>0.15</v>
      </c>
      <c r="AK4">
        <v>0.84</v>
      </c>
      <c r="AL4">
        <v>0.5</v>
      </c>
    </row>
    <row r="5" spans="1:38" x14ac:dyDescent="0.2">
      <c r="A5">
        <v>1000</v>
      </c>
      <c r="B5">
        <v>2000</v>
      </c>
      <c r="C5">
        <v>3000</v>
      </c>
      <c r="D5">
        <v>4000</v>
      </c>
      <c r="E5">
        <v>5000</v>
      </c>
      <c r="F5">
        <v>6000</v>
      </c>
      <c r="G5">
        <f t="shared" ref="G5:G10" si="0">$Y$5</f>
        <v>7.5000000000000002E-4</v>
      </c>
      <c r="H5">
        <f t="shared" ref="H5:H10" si="1">$Y$6</f>
        <v>1E-4</v>
      </c>
      <c r="I5">
        <f>A5*G5+B5*H5</f>
        <v>0.95</v>
      </c>
      <c r="J5">
        <f t="shared" ref="J5:J10" si="2">$Z$5</f>
        <v>9.4300000000000002E-5</v>
      </c>
      <c r="K5">
        <f t="shared" ref="K5:K10" si="3">$Z$6</f>
        <v>0</v>
      </c>
      <c r="L5">
        <f>A5*J5+B5*K5</f>
        <v>9.4299999999999995E-2</v>
      </c>
      <c r="M5">
        <f t="shared" ref="M5:M10" si="4">$AC$4</f>
        <v>5.0500000000000003E-2</v>
      </c>
      <c r="N5">
        <f t="shared" ref="N5:N10" si="5">$AC$5</f>
        <v>3.67</v>
      </c>
      <c r="O5">
        <f>C5*M5*N5</f>
        <v>556.005</v>
      </c>
      <c r="P5">
        <f t="shared" ref="P5:P10" si="6">$Y$9</f>
        <v>5.0200000000000002E-2</v>
      </c>
      <c r="Q5">
        <f t="shared" ref="Q5:Q10" si="7">$Y$10</f>
        <v>2.5100000000000001E-2</v>
      </c>
      <c r="R5">
        <f t="shared" ref="R5:R10" si="8">$Y$11</f>
        <v>3.95E-2</v>
      </c>
      <c r="S5">
        <f>D5*P5+E5*Q5+F5*R5</f>
        <v>563.29999999999995</v>
      </c>
      <c r="T5">
        <f>O5</f>
        <v>556.005</v>
      </c>
      <c r="U5">
        <f>I5+S5</f>
        <v>564.25</v>
      </c>
      <c r="V5">
        <f>L5</f>
        <v>9.4299999999999995E-2</v>
      </c>
      <c r="X5" t="s">
        <v>5</v>
      </c>
      <c r="Y5">
        <v>7.5000000000000002E-4</v>
      </c>
      <c r="Z5">
        <v>9.4300000000000002E-5</v>
      </c>
      <c r="AB5" t="s">
        <v>20</v>
      </c>
      <c r="AC5">
        <f>[1]!common_cco2</f>
        <v>3.67</v>
      </c>
      <c r="AE5" t="s">
        <v>6</v>
      </c>
      <c r="AF5">
        <v>0.46</v>
      </c>
      <c r="AG5">
        <v>0.01</v>
      </c>
      <c r="AH5">
        <v>0.71</v>
      </c>
      <c r="AI5">
        <v>0.9</v>
      </c>
      <c r="AJ5">
        <v>0.4</v>
      </c>
      <c r="AK5">
        <v>0.49</v>
      </c>
      <c r="AL5">
        <v>0.09</v>
      </c>
    </row>
    <row r="6" spans="1:38" x14ac:dyDescent="0.2">
      <c r="A6">
        <v>1000</v>
      </c>
      <c r="B6">
        <v>1000</v>
      </c>
      <c r="C6">
        <v>1000</v>
      </c>
      <c r="D6">
        <v>1000</v>
      </c>
      <c r="E6">
        <v>1000</v>
      </c>
      <c r="F6">
        <v>1000</v>
      </c>
      <c r="G6">
        <f t="shared" si="0"/>
        <v>7.5000000000000002E-4</v>
      </c>
      <c r="H6">
        <f t="shared" si="1"/>
        <v>1E-4</v>
      </c>
      <c r="I6">
        <f t="shared" ref="I6:I10" si="9">A6*G6+B6*H6</f>
        <v>0.85</v>
      </c>
      <c r="J6">
        <f t="shared" si="2"/>
        <v>9.4300000000000002E-5</v>
      </c>
      <c r="K6">
        <f t="shared" si="3"/>
        <v>0</v>
      </c>
      <c r="L6">
        <f t="shared" ref="L6:L10" si="10">A6*J6+B6*K6</f>
        <v>9.4299999999999995E-2</v>
      </c>
      <c r="M6">
        <f t="shared" si="4"/>
        <v>5.0500000000000003E-2</v>
      </c>
      <c r="N6">
        <f t="shared" si="5"/>
        <v>3.67</v>
      </c>
      <c r="O6">
        <f t="shared" ref="O6:O10" si="11">C6*M6*N6</f>
        <v>185.33500000000001</v>
      </c>
      <c r="P6">
        <f t="shared" si="6"/>
        <v>5.0200000000000002E-2</v>
      </c>
      <c r="Q6">
        <f t="shared" si="7"/>
        <v>2.5100000000000001E-2</v>
      </c>
      <c r="R6">
        <f t="shared" si="8"/>
        <v>3.95E-2</v>
      </c>
      <c r="S6">
        <f t="shared" ref="S6:S10" si="12">D6*P6+E6*Q6+F6*R6</f>
        <v>114.80000000000001</v>
      </c>
      <c r="T6">
        <f t="shared" ref="T6:T10" si="13">O6</f>
        <v>185.33500000000001</v>
      </c>
      <c r="U6">
        <f t="shared" ref="U6:U10" si="14">I6+S6</f>
        <v>115.65</v>
      </c>
      <c r="V6">
        <f t="shared" ref="V6:V10" si="15">L6</f>
        <v>9.4299999999999995E-2</v>
      </c>
      <c r="X6" t="s">
        <v>9</v>
      </c>
      <c r="Y6">
        <v>1E-4</v>
      </c>
      <c r="Z6">
        <v>0</v>
      </c>
      <c r="AB6" t="s">
        <v>62</v>
      </c>
      <c r="AC6">
        <f>[1]!common_cch4</f>
        <v>1.33</v>
      </c>
      <c r="AE6" t="s">
        <v>4</v>
      </c>
      <c r="AF6">
        <v>0.49</v>
      </c>
      <c r="AG6">
        <v>0</v>
      </c>
      <c r="AH6">
        <v>0.71</v>
      </c>
      <c r="AI6">
        <v>0.4</v>
      </c>
      <c r="AJ6">
        <v>0.2</v>
      </c>
      <c r="AK6">
        <v>0.47</v>
      </c>
      <c r="AL6">
        <v>0.24</v>
      </c>
    </row>
    <row r="7" spans="1:38" x14ac:dyDescent="0.2">
      <c r="A7">
        <v>1000</v>
      </c>
      <c r="B7">
        <v>2000</v>
      </c>
      <c r="C7">
        <v>1234</v>
      </c>
      <c r="G7">
        <f t="shared" si="0"/>
        <v>7.5000000000000002E-4</v>
      </c>
      <c r="H7">
        <f t="shared" si="1"/>
        <v>1E-4</v>
      </c>
      <c r="I7">
        <f t="shared" si="9"/>
        <v>0.95</v>
      </c>
      <c r="J7">
        <f t="shared" si="2"/>
        <v>9.4300000000000002E-5</v>
      </c>
      <c r="K7">
        <f t="shared" si="3"/>
        <v>0</v>
      </c>
      <c r="L7">
        <f t="shared" si="10"/>
        <v>9.4299999999999995E-2</v>
      </c>
      <c r="M7">
        <f t="shared" si="4"/>
        <v>5.0500000000000003E-2</v>
      </c>
      <c r="N7">
        <f t="shared" si="5"/>
        <v>3.67</v>
      </c>
      <c r="O7">
        <f t="shared" si="11"/>
        <v>228.70339000000001</v>
      </c>
      <c r="P7">
        <f t="shared" si="6"/>
        <v>5.0200000000000002E-2</v>
      </c>
      <c r="Q7">
        <f t="shared" si="7"/>
        <v>2.5100000000000001E-2</v>
      </c>
      <c r="R7">
        <f t="shared" si="8"/>
        <v>3.95E-2</v>
      </c>
      <c r="S7">
        <f t="shared" si="12"/>
        <v>0</v>
      </c>
      <c r="T7">
        <f t="shared" si="13"/>
        <v>228.70339000000001</v>
      </c>
      <c r="U7">
        <f t="shared" si="14"/>
        <v>0.95</v>
      </c>
      <c r="V7">
        <f t="shared" si="15"/>
        <v>9.4299999999999995E-2</v>
      </c>
      <c r="AB7" t="s">
        <v>63</v>
      </c>
      <c r="AC7">
        <v>0.5</v>
      </c>
      <c r="AE7" t="s">
        <v>45</v>
      </c>
      <c r="AF7">
        <v>0.5</v>
      </c>
      <c r="AG7">
        <v>0</v>
      </c>
      <c r="AH7">
        <v>0.71</v>
      </c>
      <c r="AI7">
        <v>0.4</v>
      </c>
      <c r="AJ7">
        <v>0.43</v>
      </c>
      <c r="AK7">
        <v>0.1</v>
      </c>
      <c r="AL7">
        <v>0.15</v>
      </c>
    </row>
    <row r="8" spans="1:38" x14ac:dyDescent="0.2">
      <c r="D8">
        <v>4000</v>
      </c>
      <c r="E8">
        <v>5000</v>
      </c>
      <c r="F8">
        <v>6000</v>
      </c>
      <c r="G8">
        <f t="shared" si="0"/>
        <v>7.5000000000000002E-4</v>
      </c>
      <c r="H8">
        <f t="shared" si="1"/>
        <v>1E-4</v>
      </c>
      <c r="I8">
        <f t="shared" si="9"/>
        <v>0</v>
      </c>
      <c r="J8">
        <f t="shared" si="2"/>
        <v>9.4300000000000002E-5</v>
      </c>
      <c r="K8">
        <f t="shared" si="3"/>
        <v>0</v>
      </c>
      <c r="L8">
        <f t="shared" si="10"/>
        <v>0</v>
      </c>
      <c r="M8">
        <f t="shared" si="4"/>
        <v>5.0500000000000003E-2</v>
      </c>
      <c r="N8">
        <f t="shared" si="5"/>
        <v>3.67</v>
      </c>
      <c r="O8">
        <f t="shared" si="11"/>
        <v>0</v>
      </c>
      <c r="P8">
        <f t="shared" si="6"/>
        <v>5.0200000000000002E-2</v>
      </c>
      <c r="Q8">
        <f t="shared" si="7"/>
        <v>2.5100000000000001E-2</v>
      </c>
      <c r="R8">
        <f t="shared" si="8"/>
        <v>3.95E-2</v>
      </c>
      <c r="S8">
        <f t="shared" si="12"/>
        <v>563.29999999999995</v>
      </c>
      <c r="T8">
        <f t="shared" si="13"/>
        <v>0</v>
      </c>
      <c r="U8">
        <f t="shared" si="14"/>
        <v>563.29999999999995</v>
      </c>
      <c r="V8">
        <f t="shared" si="15"/>
        <v>0</v>
      </c>
      <c r="X8" t="s">
        <v>36</v>
      </c>
      <c r="Y8" t="s">
        <v>37</v>
      </c>
      <c r="Z8" t="s">
        <v>64</v>
      </c>
      <c r="AA8" t="s">
        <v>65</v>
      </c>
      <c r="AE8" t="s">
        <v>46</v>
      </c>
      <c r="AF8">
        <v>0.5</v>
      </c>
      <c r="AG8">
        <v>0</v>
      </c>
      <c r="AH8">
        <v>0.71</v>
      </c>
      <c r="AI8">
        <v>0.9</v>
      </c>
      <c r="AJ8">
        <v>0.43</v>
      </c>
      <c r="AK8">
        <v>0.1</v>
      </c>
      <c r="AL8">
        <v>0.15</v>
      </c>
    </row>
    <row r="9" spans="1:38" x14ac:dyDescent="0.2">
      <c r="B9">
        <v>2000</v>
      </c>
      <c r="C9">
        <v>2345</v>
      </c>
      <c r="D9">
        <v>4000</v>
      </c>
      <c r="F9">
        <v>6000</v>
      </c>
      <c r="G9">
        <f t="shared" si="0"/>
        <v>7.5000000000000002E-4</v>
      </c>
      <c r="H9">
        <f t="shared" si="1"/>
        <v>1E-4</v>
      </c>
      <c r="I9">
        <f t="shared" si="9"/>
        <v>0.2</v>
      </c>
      <c r="J9">
        <f t="shared" si="2"/>
        <v>9.4300000000000002E-5</v>
      </c>
      <c r="K9">
        <f t="shared" si="3"/>
        <v>0</v>
      </c>
      <c r="L9">
        <f t="shared" si="10"/>
        <v>0</v>
      </c>
      <c r="M9">
        <f t="shared" si="4"/>
        <v>5.0500000000000003E-2</v>
      </c>
      <c r="N9">
        <f t="shared" si="5"/>
        <v>3.67</v>
      </c>
      <c r="O9">
        <f t="shared" si="11"/>
        <v>434.61057500000004</v>
      </c>
      <c r="P9">
        <f t="shared" si="6"/>
        <v>5.0200000000000002E-2</v>
      </c>
      <c r="Q9">
        <f t="shared" si="7"/>
        <v>2.5100000000000001E-2</v>
      </c>
      <c r="R9">
        <f t="shared" si="8"/>
        <v>3.95E-2</v>
      </c>
      <c r="S9">
        <f t="shared" si="12"/>
        <v>437.8</v>
      </c>
      <c r="T9">
        <f t="shared" si="13"/>
        <v>434.61057500000004</v>
      </c>
      <c r="U9">
        <f t="shared" si="14"/>
        <v>438</v>
      </c>
      <c r="V9">
        <f t="shared" si="15"/>
        <v>0</v>
      </c>
      <c r="X9" t="s">
        <v>38</v>
      </c>
      <c r="Y9">
        <v>5.0200000000000002E-2</v>
      </c>
      <c r="Z9">
        <v>0.8</v>
      </c>
      <c r="AA9">
        <v>0</v>
      </c>
      <c r="AE9" t="s">
        <v>7</v>
      </c>
      <c r="AF9">
        <v>0.5</v>
      </c>
      <c r="AG9">
        <v>0.2</v>
      </c>
      <c r="AH9">
        <v>0.71</v>
      </c>
      <c r="AI9">
        <v>0.8</v>
      </c>
      <c r="AJ9">
        <v>0.24</v>
      </c>
      <c r="AK9">
        <v>0.5</v>
      </c>
      <c r="AL9">
        <v>0.14000000000000001</v>
      </c>
    </row>
    <row r="10" spans="1:38" x14ac:dyDescent="0.2">
      <c r="A10">
        <v>1000</v>
      </c>
      <c r="B10">
        <v>2000</v>
      </c>
      <c r="D10">
        <v>4000</v>
      </c>
      <c r="E10">
        <v>5000</v>
      </c>
      <c r="F10">
        <v>6000</v>
      </c>
      <c r="G10">
        <f t="shared" si="0"/>
        <v>7.5000000000000002E-4</v>
      </c>
      <c r="H10">
        <f t="shared" si="1"/>
        <v>1E-4</v>
      </c>
      <c r="I10">
        <f t="shared" si="9"/>
        <v>0.95</v>
      </c>
      <c r="J10">
        <f t="shared" si="2"/>
        <v>9.4300000000000002E-5</v>
      </c>
      <c r="K10">
        <f t="shared" si="3"/>
        <v>0</v>
      </c>
      <c r="L10">
        <f t="shared" si="10"/>
        <v>9.4299999999999995E-2</v>
      </c>
      <c r="M10">
        <f t="shared" si="4"/>
        <v>5.0500000000000003E-2</v>
      </c>
      <c r="N10">
        <f t="shared" si="5"/>
        <v>3.67</v>
      </c>
      <c r="O10">
        <f t="shared" si="11"/>
        <v>0</v>
      </c>
      <c r="P10">
        <f t="shared" si="6"/>
        <v>5.0200000000000002E-2</v>
      </c>
      <c r="Q10">
        <f t="shared" si="7"/>
        <v>2.5100000000000001E-2</v>
      </c>
      <c r="R10">
        <f t="shared" si="8"/>
        <v>3.95E-2</v>
      </c>
      <c r="S10">
        <f t="shared" si="12"/>
        <v>563.29999999999995</v>
      </c>
      <c r="T10">
        <f t="shared" si="13"/>
        <v>0</v>
      </c>
      <c r="U10">
        <f t="shared" si="14"/>
        <v>564.25</v>
      </c>
      <c r="V10">
        <f t="shared" si="15"/>
        <v>9.4299999999999995E-2</v>
      </c>
      <c r="X10" t="s">
        <v>40</v>
      </c>
      <c r="Y10">
        <v>2.5100000000000001E-2</v>
      </c>
      <c r="Z10">
        <v>0.4</v>
      </c>
      <c r="AA10">
        <v>0</v>
      </c>
      <c r="AE10" t="s">
        <v>1</v>
      </c>
      <c r="AF10">
        <v>0.5</v>
      </c>
      <c r="AG10">
        <v>0</v>
      </c>
      <c r="AH10">
        <v>0.71</v>
      </c>
      <c r="AI10">
        <v>0</v>
      </c>
      <c r="AJ10">
        <v>0.05</v>
      </c>
      <c r="AK10">
        <v>0.5</v>
      </c>
      <c r="AL10">
        <v>0.72</v>
      </c>
    </row>
    <row r="11" spans="1:38" x14ac:dyDescent="0.2">
      <c r="X11" t="s">
        <v>39</v>
      </c>
      <c r="Y11">
        <v>3.95E-2</v>
      </c>
      <c r="Z11">
        <v>0.7</v>
      </c>
      <c r="AA11">
        <v>0.1</v>
      </c>
      <c r="AE11" t="s">
        <v>54</v>
      </c>
      <c r="AF11">
        <v>0.7</v>
      </c>
      <c r="AG11">
        <v>0.1</v>
      </c>
      <c r="AH11">
        <v>0.71</v>
      </c>
      <c r="AI11">
        <v>0.4</v>
      </c>
      <c r="AJ11">
        <v>0.24</v>
      </c>
      <c r="AK11">
        <v>0.5</v>
      </c>
      <c r="AL11">
        <v>0.39</v>
      </c>
    </row>
    <row r="12" spans="1:38" x14ac:dyDescent="0.2">
      <c r="AE12" t="s">
        <v>8</v>
      </c>
      <c r="AF12">
        <v>0.67</v>
      </c>
      <c r="AG12">
        <v>0.2</v>
      </c>
      <c r="AH12">
        <v>0.71</v>
      </c>
      <c r="AI12">
        <v>0.84</v>
      </c>
      <c r="AJ12">
        <v>0.39</v>
      </c>
      <c r="AK12">
        <v>0.5</v>
      </c>
      <c r="AL12">
        <v>0.14000000000000001</v>
      </c>
    </row>
    <row r="13" spans="1:38" x14ac:dyDescent="0.2">
      <c r="AE13" t="s">
        <v>47</v>
      </c>
      <c r="AF13">
        <v>0.03</v>
      </c>
      <c r="AG13">
        <v>1</v>
      </c>
      <c r="AH13">
        <v>0.71</v>
      </c>
      <c r="AI13">
        <v>0.9</v>
      </c>
      <c r="AJ13">
        <v>0</v>
      </c>
      <c r="AK13">
        <v>0</v>
      </c>
      <c r="AL13">
        <v>0.42</v>
      </c>
    </row>
    <row r="14" spans="1:38" x14ac:dyDescent="0.2">
      <c r="A14" t="s">
        <v>44</v>
      </c>
    </row>
    <row r="16" spans="1:38" x14ac:dyDescent="0.2">
      <c r="A16" s="1" t="s">
        <v>48</v>
      </c>
      <c r="B16" s="1" t="s">
        <v>49</v>
      </c>
      <c r="C16" s="1" t="s">
        <v>50</v>
      </c>
      <c r="D16" s="1" t="s">
        <v>51</v>
      </c>
      <c r="E16" s="1" t="s">
        <v>52</v>
      </c>
      <c r="F16" s="1" t="s">
        <v>53</v>
      </c>
      <c r="G16" s="1" t="s">
        <v>34</v>
      </c>
      <c r="H16" s="1" t="s">
        <v>19</v>
      </c>
      <c r="I16" s="1" t="s">
        <v>22</v>
      </c>
      <c r="J16" s="1" t="s">
        <v>24</v>
      </c>
      <c r="K16" s="1" t="s">
        <v>58</v>
      </c>
      <c r="L16" s="1" t="s">
        <v>55</v>
      </c>
      <c r="M16" s="1" t="s">
        <v>61</v>
      </c>
      <c r="N16" s="1" t="s">
        <v>57</v>
      </c>
      <c r="O16" s="1" t="s">
        <v>20</v>
      </c>
      <c r="P16" s="1" t="s">
        <v>28</v>
      </c>
      <c r="Q16" s="1" t="s">
        <v>59</v>
      </c>
      <c r="R16" s="1" t="s">
        <v>60</v>
      </c>
      <c r="S16" s="1" t="s">
        <v>63</v>
      </c>
      <c r="T16" s="1" t="s">
        <v>64</v>
      </c>
      <c r="U16" s="1" t="s">
        <v>65</v>
      </c>
      <c r="V16" s="1" t="s">
        <v>62</v>
      </c>
      <c r="W16" s="1" t="s">
        <v>29</v>
      </c>
      <c r="X16" s="4" t="s">
        <v>30</v>
      </c>
      <c r="Y16" s="4" t="s">
        <v>31</v>
      </c>
      <c r="Z16" s="4" t="s">
        <v>32</v>
      </c>
    </row>
    <row r="17" spans="1:26" x14ac:dyDescent="0.2">
      <c r="A17" t="s">
        <v>2</v>
      </c>
      <c r="B17" t="s">
        <v>3</v>
      </c>
      <c r="C17">
        <v>1234</v>
      </c>
      <c r="E17">
        <f>_xlfn.XLOOKUP(B17, WasteEFs[w], WasteEFs[VTMw])</f>
        <v>0.5</v>
      </c>
      <c r="F17">
        <f>IF(C17&lt;&gt;"", C17,D17*E17)</f>
        <v>1234</v>
      </c>
      <c r="G17">
        <f>_xlfn.XLOOKUP(A17,$X$5:$X$6,$Y$5:$Y$6, 0)</f>
        <v>0</v>
      </c>
      <c r="H17">
        <f>G17*F17</f>
        <v>0</v>
      </c>
      <c r="I17">
        <f>_xlfn.XLOOKUP(A17,$X$5:$X$6,$Z$5:$Z$6, 0)</f>
        <v>0</v>
      </c>
      <c r="J17">
        <f>F17*I17</f>
        <v>0</v>
      </c>
      <c r="K17">
        <f>_xlfn.XLOOKUP($B17,WasteEFs[w],WasteEFs[dmw])</f>
        <v>0.4</v>
      </c>
      <c r="L17">
        <f>_xlfn.XLOOKUP($B17, WasteEFs[w], WasteEFs[CCw])</f>
        <v>0.38</v>
      </c>
      <c r="M17">
        <f>_xlfn.XLOOKUP($B17, WasteEFs[w], WasteEFs[FCCw])</f>
        <v>0</v>
      </c>
      <c r="N17">
        <f>_xlfn.XLOOKUP($B17, WasteEFs[w], WasteEFs[OFw])</f>
        <v>0.71</v>
      </c>
      <c r="O17">
        <f t="shared" ref="O17:O24" si="16">$AC$5</f>
        <v>3.67</v>
      </c>
      <c r="P17">
        <f>IF(A17&lt;&gt;"Incineration", 0, F17*K17*L17*M17*N17*O17)</f>
        <v>0</v>
      </c>
      <c r="Q17">
        <f>_xlfn.XLOOKUP($B17,WasteEFs[w],WasteEFs[DOCw])</f>
        <v>0.15</v>
      </c>
      <c r="R17">
        <f>_xlfn.XLOOKUP($B17,WasteEFs[w],WasteEFs[DOCFw])</f>
        <v>0.84</v>
      </c>
      <c r="S17">
        <f>$AC$7</f>
        <v>0.5</v>
      </c>
      <c r="T17">
        <f t="shared" ref="T17:T56" si="17">_xlfn.XLOOKUP(A17,$X$9:$X$11,Z$9:Z$11, 0)</f>
        <v>0</v>
      </c>
      <c r="U17">
        <f t="shared" ref="U17:U56" si="18">_xlfn.XLOOKUP(A17,$X$9:$X$11,AA$9:AA$11, 0)</f>
        <v>0</v>
      </c>
      <c r="V17">
        <f>$AC$6</f>
        <v>1.33</v>
      </c>
      <c r="W17">
        <f>F17*Q17*R17*S17*T17*V17*(1-U17)</f>
        <v>0</v>
      </c>
      <c r="X17">
        <f>SUM(P17:P26)</f>
        <v>188.69009785199998</v>
      </c>
      <c r="Y17">
        <f>SUM(H17:H26,W17:W26)</f>
        <v>0</v>
      </c>
      <c r="Z17">
        <f>SUM(J17:J26)</f>
        <v>0</v>
      </c>
    </row>
    <row r="18" spans="1:26" x14ac:dyDescent="0.2">
      <c r="A18" t="s">
        <v>2</v>
      </c>
      <c r="B18" t="s">
        <v>6</v>
      </c>
      <c r="C18">
        <v>342</v>
      </c>
      <c r="E18">
        <f>_xlfn.XLOOKUP(B18, WasteEFs[w], WasteEFs[VTMw])</f>
        <v>0.09</v>
      </c>
      <c r="F18">
        <f t="shared" ref="F18:F24" si="19">IF(C18&lt;&gt;"", C18,D18*E18)</f>
        <v>342</v>
      </c>
      <c r="G18">
        <f t="shared" ref="G18:G24" si="20">_xlfn.XLOOKUP(A18,$X$5:$X$6,$Y$5:$Y$6, 0)</f>
        <v>0</v>
      </c>
      <c r="H18">
        <f t="shared" ref="H18:H23" si="21">G18*F18</f>
        <v>0</v>
      </c>
      <c r="I18">
        <f t="shared" ref="I18:I24" si="22">_xlfn.XLOOKUP(A18,$X$5:$X$6,$Z$5:$Z$6, 0)</f>
        <v>0</v>
      </c>
      <c r="J18">
        <f t="shared" ref="J18:J24" si="23">F18*I18</f>
        <v>0</v>
      </c>
      <c r="K18">
        <f>_xlfn.XLOOKUP($B18,WasteEFs[w],WasteEFs[dmw])</f>
        <v>0.9</v>
      </c>
      <c r="L18">
        <f>_xlfn.XLOOKUP($B18, WasteEFs[w], WasteEFs[CCw])</f>
        <v>0.46</v>
      </c>
      <c r="M18">
        <f>_xlfn.XLOOKUP($B18, WasteEFs[w], WasteEFs[FCCw])</f>
        <v>0.01</v>
      </c>
      <c r="N18">
        <f>_xlfn.XLOOKUP($B18, WasteEFs[w], WasteEFs[OFw])</f>
        <v>0.71</v>
      </c>
      <c r="O18">
        <f t="shared" si="16"/>
        <v>3.67</v>
      </c>
      <c r="P18">
        <f t="shared" ref="P18:P24" si="24">IF(A18&lt;&gt;"Incineration", 0, F18*K18*L18*M18*N18*O18)</f>
        <v>3.689358516</v>
      </c>
      <c r="Q18">
        <f>_xlfn.XLOOKUP($B18,WasteEFs[w],WasteEFs[DOCw])</f>
        <v>0.4</v>
      </c>
      <c r="R18">
        <f>_xlfn.XLOOKUP($B18,WasteEFs[w],WasteEFs[DOCFw])</f>
        <v>0.49</v>
      </c>
      <c r="S18">
        <f t="shared" ref="S18:S56" si="25">$AC$7</f>
        <v>0.5</v>
      </c>
      <c r="T18">
        <f t="shared" si="17"/>
        <v>0</v>
      </c>
      <c r="U18">
        <f t="shared" si="18"/>
        <v>0</v>
      </c>
      <c r="V18">
        <f t="shared" ref="V18:V56" si="26">$AC$6</f>
        <v>1.33</v>
      </c>
      <c r="W18">
        <f t="shared" ref="W18:W24" si="27">F18*Q18*R18*S18*T18*V18*(1-U18)</f>
        <v>0</v>
      </c>
    </row>
    <row r="19" spans="1:26" x14ac:dyDescent="0.2">
      <c r="A19" t="s">
        <v>2</v>
      </c>
      <c r="B19" t="s">
        <v>4</v>
      </c>
      <c r="C19">
        <v>346</v>
      </c>
      <c r="E19">
        <f>_xlfn.XLOOKUP(B19, WasteEFs[w], WasteEFs[VTMw])</f>
        <v>0.24</v>
      </c>
      <c r="F19">
        <f t="shared" si="19"/>
        <v>346</v>
      </c>
      <c r="G19">
        <f t="shared" si="20"/>
        <v>0</v>
      </c>
      <c r="H19">
        <f t="shared" si="21"/>
        <v>0</v>
      </c>
      <c r="I19">
        <f t="shared" si="22"/>
        <v>0</v>
      </c>
      <c r="J19">
        <f t="shared" si="23"/>
        <v>0</v>
      </c>
      <c r="K19">
        <f>_xlfn.XLOOKUP($B19,WasteEFs[w],WasteEFs[dmw])</f>
        <v>0.4</v>
      </c>
      <c r="L19">
        <f>_xlfn.XLOOKUP($B19, WasteEFs[w], WasteEFs[CCw])</f>
        <v>0.49</v>
      </c>
      <c r="M19">
        <f>_xlfn.XLOOKUP($B19, WasteEFs[w], WasteEFs[FCCw])</f>
        <v>0</v>
      </c>
      <c r="N19">
        <f>_xlfn.XLOOKUP($B19, WasteEFs[w], WasteEFs[OFw])</f>
        <v>0.71</v>
      </c>
      <c r="O19">
        <f t="shared" si="16"/>
        <v>3.67</v>
      </c>
      <c r="P19">
        <f t="shared" si="24"/>
        <v>0</v>
      </c>
      <c r="Q19">
        <f>_xlfn.XLOOKUP($B19,WasteEFs[w],WasteEFs[DOCw])</f>
        <v>0.2</v>
      </c>
      <c r="R19">
        <f>_xlfn.XLOOKUP($B19,WasteEFs[w],WasteEFs[DOCFw])</f>
        <v>0.47</v>
      </c>
      <c r="S19">
        <f t="shared" si="25"/>
        <v>0.5</v>
      </c>
      <c r="T19">
        <f t="shared" si="17"/>
        <v>0</v>
      </c>
      <c r="U19">
        <f t="shared" si="18"/>
        <v>0</v>
      </c>
      <c r="V19">
        <f t="shared" si="26"/>
        <v>1.33</v>
      </c>
      <c r="W19">
        <f t="shared" si="27"/>
        <v>0</v>
      </c>
    </row>
    <row r="20" spans="1:26" x14ac:dyDescent="0.2">
      <c r="A20" t="s">
        <v>2</v>
      </c>
      <c r="B20" t="s">
        <v>45</v>
      </c>
      <c r="C20">
        <v>1435</v>
      </c>
      <c r="E20">
        <f>_xlfn.XLOOKUP(B20, WasteEFs[w], WasteEFs[VTMw])</f>
        <v>0.15</v>
      </c>
      <c r="F20">
        <f t="shared" si="19"/>
        <v>1435</v>
      </c>
      <c r="G20">
        <f t="shared" si="20"/>
        <v>0</v>
      </c>
      <c r="H20">
        <f t="shared" si="21"/>
        <v>0</v>
      </c>
      <c r="I20">
        <f t="shared" si="22"/>
        <v>0</v>
      </c>
      <c r="J20">
        <f t="shared" si="23"/>
        <v>0</v>
      </c>
      <c r="K20">
        <f>_xlfn.XLOOKUP($B20,WasteEFs[w],WasteEFs[dmw])</f>
        <v>0.4</v>
      </c>
      <c r="L20">
        <f>_xlfn.XLOOKUP($B20, WasteEFs[w], WasteEFs[CCw])</f>
        <v>0.5</v>
      </c>
      <c r="M20">
        <f>_xlfn.XLOOKUP($B20, WasteEFs[w], WasteEFs[FCCw])</f>
        <v>0</v>
      </c>
      <c r="N20">
        <f>_xlfn.XLOOKUP($B20, WasteEFs[w], WasteEFs[OFw])</f>
        <v>0.71</v>
      </c>
      <c r="O20">
        <f t="shared" si="16"/>
        <v>3.67</v>
      </c>
      <c r="P20">
        <f t="shared" si="24"/>
        <v>0</v>
      </c>
      <c r="Q20">
        <f>_xlfn.XLOOKUP($B20,WasteEFs[w],WasteEFs[DOCw])</f>
        <v>0.43</v>
      </c>
      <c r="R20">
        <f>_xlfn.XLOOKUP($B20,WasteEFs[w],WasteEFs[DOCFw])</f>
        <v>0.1</v>
      </c>
      <c r="S20">
        <f t="shared" si="25"/>
        <v>0.5</v>
      </c>
      <c r="T20">
        <f t="shared" si="17"/>
        <v>0</v>
      </c>
      <c r="U20">
        <f t="shared" si="18"/>
        <v>0</v>
      </c>
      <c r="V20">
        <f t="shared" si="26"/>
        <v>1.33</v>
      </c>
      <c r="W20">
        <f t="shared" si="27"/>
        <v>0</v>
      </c>
    </row>
    <row r="21" spans="1:26" x14ac:dyDescent="0.2">
      <c r="A21" t="s">
        <v>2</v>
      </c>
      <c r="B21" t="s">
        <v>46</v>
      </c>
      <c r="D21">
        <v>1235</v>
      </c>
      <c r="E21">
        <f>_xlfn.XLOOKUP(B21, WasteEFs[w], WasteEFs[VTMw])</f>
        <v>0.15</v>
      </c>
      <c r="F21">
        <f t="shared" si="19"/>
        <v>185.25</v>
      </c>
      <c r="G21">
        <f t="shared" si="20"/>
        <v>0</v>
      </c>
      <c r="H21">
        <f t="shared" si="21"/>
        <v>0</v>
      </c>
      <c r="I21">
        <f t="shared" si="22"/>
        <v>0</v>
      </c>
      <c r="J21">
        <f t="shared" si="23"/>
        <v>0</v>
      </c>
      <c r="K21">
        <f>_xlfn.XLOOKUP($B21,WasteEFs[w],WasteEFs[dmw])</f>
        <v>0.9</v>
      </c>
      <c r="L21">
        <f>_xlfn.XLOOKUP($B21, WasteEFs[w], WasteEFs[CCw])</f>
        <v>0.5</v>
      </c>
      <c r="M21">
        <f>_xlfn.XLOOKUP($B21, WasteEFs[w], WasteEFs[FCCw])</f>
        <v>0</v>
      </c>
      <c r="N21">
        <f>_xlfn.XLOOKUP($B21, WasteEFs[w], WasteEFs[OFw])</f>
        <v>0.71</v>
      </c>
      <c r="O21">
        <f t="shared" si="16"/>
        <v>3.67</v>
      </c>
      <c r="P21">
        <f t="shared" si="24"/>
        <v>0</v>
      </c>
      <c r="Q21">
        <f>_xlfn.XLOOKUP($B21,WasteEFs[w],WasteEFs[DOCw])</f>
        <v>0.43</v>
      </c>
      <c r="R21">
        <f>_xlfn.XLOOKUP($B21,WasteEFs[w],WasteEFs[DOCFw])</f>
        <v>0.1</v>
      </c>
      <c r="S21">
        <f t="shared" si="25"/>
        <v>0.5</v>
      </c>
      <c r="T21">
        <f t="shared" si="17"/>
        <v>0</v>
      </c>
      <c r="U21">
        <f t="shared" si="18"/>
        <v>0</v>
      </c>
      <c r="V21">
        <f t="shared" si="26"/>
        <v>1.33</v>
      </c>
      <c r="W21">
        <f t="shared" si="27"/>
        <v>0</v>
      </c>
    </row>
    <row r="22" spans="1:26" x14ac:dyDescent="0.2">
      <c r="A22" t="s">
        <v>2</v>
      </c>
      <c r="B22" t="s">
        <v>7</v>
      </c>
      <c r="D22">
        <v>345</v>
      </c>
      <c r="E22">
        <f>_xlfn.XLOOKUP(B22, WasteEFs[w], WasteEFs[VTMw])</f>
        <v>0.14000000000000001</v>
      </c>
      <c r="F22">
        <f t="shared" si="19"/>
        <v>48.300000000000004</v>
      </c>
      <c r="G22">
        <f t="shared" si="20"/>
        <v>0</v>
      </c>
      <c r="H22">
        <f t="shared" si="21"/>
        <v>0</v>
      </c>
      <c r="I22">
        <f t="shared" si="22"/>
        <v>0</v>
      </c>
      <c r="J22">
        <f t="shared" si="23"/>
        <v>0</v>
      </c>
      <c r="K22">
        <f>_xlfn.XLOOKUP($B22,WasteEFs[w],WasteEFs[dmw])</f>
        <v>0.8</v>
      </c>
      <c r="L22">
        <f>_xlfn.XLOOKUP($B22, WasteEFs[w], WasteEFs[CCw])</f>
        <v>0.5</v>
      </c>
      <c r="M22">
        <f>_xlfn.XLOOKUP($B22, WasteEFs[w], WasteEFs[FCCw])</f>
        <v>0.2</v>
      </c>
      <c r="N22">
        <f>_xlfn.XLOOKUP($B22, WasteEFs[w], WasteEFs[OFw])</f>
        <v>0.71</v>
      </c>
      <c r="O22">
        <f t="shared" si="16"/>
        <v>3.67</v>
      </c>
      <c r="P22">
        <f t="shared" si="24"/>
        <v>10.068424800000003</v>
      </c>
      <c r="Q22">
        <f>_xlfn.XLOOKUP($B22,WasteEFs[w],WasteEFs[DOCw])</f>
        <v>0.24</v>
      </c>
      <c r="R22">
        <f>_xlfn.XLOOKUP($B22,WasteEFs[w],WasteEFs[DOCFw])</f>
        <v>0.5</v>
      </c>
      <c r="S22">
        <f t="shared" si="25"/>
        <v>0.5</v>
      </c>
      <c r="T22">
        <f t="shared" si="17"/>
        <v>0</v>
      </c>
      <c r="U22">
        <f t="shared" si="18"/>
        <v>0</v>
      </c>
      <c r="V22">
        <f t="shared" si="26"/>
        <v>1.33</v>
      </c>
      <c r="W22">
        <f t="shared" si="27"/>
        <v>0</v>
      </c>
    </row>
    <row r="23" spans="1:26" x14ac:dyDescent="0.2">
      <c r="A23" t="s">
        <v>2</v>
      </c>
      <c r="B23" t="s">
        <v>1</v>
      </c>
      <c r="D23">
        <v>4356</v>
      </c>
      <c r="E23">
        <f>_xlfn.XLOOKUP(B23, WasteEFs[w], WasteEFs[VTMw])</f>
        <v>0.72</v>
      </c>
      <c r="F23">
        <f t="shared" si="19"/>
        <v>3136.3199999999997</v>
      </c>
      <c r="G23">
        <f t="shared" si="20"/>
        <v>0</v>
      </c>
      <c r="H23">
        <f t="shared" si="21"/>
        <v>0</v>
      </c>
      <c r="I23">
        <f t="shared" si="22"/>
        <v>0</v>
      </c>
      <c r="J23">
        <f t="shared" si="23"/>
        <v>0</v>
      </c>
      <c r="K23">
        <f>_xlfn.XLOOKUP($B23,WasteEFs[w],WasteEFs[dmw])</f>
        <v>0</v>
      </c>
      <c r="L23">
        <f>_xlfn.XLOOKUP($B23, WasteEFs[w], WasteEFs[CCw])</f>
        <v>0.5</v>
      </c>
      <c r="M23">
        <f>_xlfn.XLOOKUP($B23, WasteEFs[w], WasteEFs[FCCw])</f>
        <v>0</v>
      </c>
      <c r="N23">
        <f>_xlfn.XLOOKUP($B23, WasteEFs[w], WasteEFs[OFw])</f>
        <v>0.71</v>
      </c>
      <c r="O23">
        <f t="shared" si="16"/>
        <v>3.67</v>
      </c>
      <c r="P23">
        <f t="shared" si="24"/>
        <v>0</v>
      </c>
      <c r="Q23">
        <f>_xlfn.XLOOKUP($B23,WasteEFs[w],WasteEFs[DOCw])</f>
        <v>0.05</v>
      </c>
      <c r="R23">
        <f>_xlfn.XLOOKUP($B23,WasteEFs[w],WasteEFs[DOCFw])</f>
        <v>0.5</v>
      </c>
      <c r="S23">
        <f t="shared" si="25"/>
        <v>0.5</v>
      </c>
      <c r="T23">
        <f t="shared" si="17"/>
        <v>0</v>
      </c>
      <c r="U23">
        <f t="shared" si="18"/>
        <v>0</v>
      </c>
      <c r="V23">
        <f t="shared" si="26"/>
        <v>1.33</v>
      </c>
      <c r="W23">
        <f t="shared" si="27"/>
        <v>0</v>
      </c>
    </row>
    <row r="24" spans="1:26" x14ac:dyDescent="0.2">
      <c r="A24" t="s">
        <v>2</v>
      </c>
      <c r="B24" t="s">
        <v>54</v>
      </c>
      <c r="D24">
        <v>324</v>
      </c>
      <c r="E24">
        <f>_xlfn.XLOOKUP(B24, WasteEFs[w], WasteEFs[VTMw])</f>
        <v>0.39</v>
      </c>
      <c r="F24">
        <f t="shared" si="19"/>
        <v>126.36</v>
      </c>
      <c r="G24">
        <f t="shared" si="20"/>
        <v>0</v>
      </c>
      <c r="H24">
        <f>G24*F24</f>
        <v>0</v>
      </c>
      <c r="I24">
        <f t="shared" si="22"/>
        <v>0</v>
      </c>
      <c r="J24">
        <f t="shared" si="23"/>
        <v>0</v>
      </c>
      <c r="K24">
        <f>_xlfn.XLOOKUP($B24,WasteEFs[w],WasteEFs[dmw])</f>
        <v>0.4</v>
      </c>
      <c r="L24">
        <f>_xlfn.XLOOKUP($B24, WasteEFs[w], WasteEFs[CCw])</f>
        <v>0.7</v>
      </c>
      <c r="M24">
        <f>_xlfn.XLOOKUP($B24, WasteEFs[w], WasteEFs[FCCw])</f>
        <v>0.1</v>
      </c>
      <c r="N24">
        <f>_xlfn.XLOOKUP($B24, WasteEFs[w], WasteEFs[OFw])</f>
        <v>0.71</v>
      </c>
      <c r="O24">
        <f t="shared" si="16"/>
        <v>3.67</v>
      </c>
      <c r="P24">
        <f t="shared" si="24"/>
        <v>9.219175056000001</v>
      </c>
      <c r="Q24">
        <f>_xlfn.XLOOKUP($B24,WasteEFs[w],WasteEFs[DOCw])</f>
        <v>0.24</v>
      </c>
      <c r="R24">
        <f>_xlfn.XLOOKUP($B24,WasteEFs[w],WasteEFs[DOCFw])</f>
        <v>0.5</v>
      </c>
      <c r="S24">
        <f t="shared" si="25"/>
        <v>0.5</v>
      </c>
      <c r="T24">
        <f t="shared" si="17"/>
        <v>0</v>
      </c>
      <c r="U24">
        <f t="shared" si="18"/>
        <v>0</v>
      </c>
      <c r="V24">
        <f t="shared" si="26"/>
        <v>1.33</v>
      </c>
      <c r="W24">
        <f t="shared" si="27"/>
        <v>0</v>
      </c>
    </row>
    <row r="25" spans="1:26" x14ac:dyDescent="0.2">
      <c r="A25" t="s">
        <v>2</v>
      </c>
      <c r="B25" t="s">
        <v>8</v>
      </c>
      <c r="C25">
        <v>565</v>
      </c>
      <c r="E25">
        <f>_xlfn.XLOOKUP(B25, WasteEFs[w], WasteEFs[VTMw])</f>
        <v>0.14000000000000001</v>
      </c>
      <c r="F25">
        <f t="shared" ref="F25:F26" si="28">IF(C25&lt;&gt;"", C25,D25*E25)</f>
        <v>565</v>
      </c>
      <c r="G25">
        <f t="shared" ref="G25:G26" si="29">_xlfn.XLOOKUP(A25,$X$5:$X$6,$Y$5:$Y$6, 0)</f>
        <v>0</v>
      </c>
      <c r="H25">
        <f t="shared" ref="H25:H26" si="30">G25*F25</f>
        <v>0</v>
      </c>
      <c r="I25">
        <f t="shared" ref="I25:I26" si="31">_xlfn.XLOOKUP(A25,$X$5:$X$6,$Z$5:$Z$6, 0)</f>
        <v>0</v>
      </c>
      <c r="J25">
        <f t="shared" ref="J25:J26" si="32">F25*I25</f>
        <v>0</v>
      </c>
      <c r="K25">
        <f>_xlfn.XLOOKUP($B25,WasteEFs[w],WasteEFs[dmw])</f>
        <v>0.84</v>
      </c>
      <c r="L25">
        <f>_xlfn.XLOOKUP($B25, WasteEFs[w], WasteEFs[CCw])</f>
        <v>0.67</v>
      </c>
      <c r="M25">
        <f>_xlfn.XLOOKUP($B25, WasteEFs[w], WasteEFs[FCCw])</f>
        <v>0.2</v>
      </c>
      <c r="N25">
        <f>_xlfn.XLOOKUP($B25, WasteEFs[w], WasteEFs[OFw])</f>
        <v>0.71</v>
      </c>
      <c r="O25">
        <f t="shared" ref="O25:O26" si="33">$AC$5</f>
        <v>3.67</v>
      </c>
      <c r="P25">
        <f>IF(A25&lt;&gt;"Incineration", 0, F25*K25*L25*M25*N25*O25)</f>
        <v>165.71313947999997</v>
      </c>
      <c r="Q25">
        <f>_xlfn.XLOOKUP($B25,WasteEFs[w],WasteEFs[DOCw])</f>
        <v>0.39</v>
      </c>
      <c r="R25">
        <f>_xlfn.XLOOKUP($B25,WasteEFs[w],WasteEFs[DOCFw])</f>
        <v>0.5</v>
      </c>
      <c r="S25">
        <f t="shared" si="25"/>
        <v>0.5</v>
      </c>
      <c r="T25">
        <f t="shared" si="17"/>
        <v>0</v>
      </c>
      <c r="U25">
        <f t="shared" si="18"/>
        <v>0</v>
      </c>
      <c r="V25">
        <f t="shared" si="26"/>
        <v>1.33</v>
      </c>
      <c r="W25">
        <f t="shared" ref="W25:W26" si="34">F25*Q25*R25*S25*T25*V25*(1-U25)</f>
        <v>0</v>
      </c>
    </row>
    <row r="26" spans="1:26" x14ac:dyDescent="0.2">
      <c r="A26" s="3" t="s">
        <v>2</v>
      </c>
      <c r="B26" s="3" t="s">
        <v>47</v>
      </c>
      <c r="C26" s="3">
        <v>0</v>
      </c>
      <c r="D26" s="3"/>
      <c r="E26" s="3">
        <f>_xlfn.XLOOKUP(B26, WasteEFs[w], WasteEFs[VTMw])</f>
        <v>0.42</v>
      </c>
      <c r="F26" s="3">
        <f t="shared" si="28"/>
        <v>0</v>
      </c>
      <c r="G26" s="3">
        <f t="shared" si="29"/>
        <v>0</v>
      </c>
      <c r="H26" s="3">
        <f t="shared" si="30"/>
        <v>0</v>
      </c>
      <c r="I26" s="3">
        <f t="shared" si="31"/>
        <v>0</v>
      </c>
      <c r="J26" s="3">
        <f t="shared" si="32"/>
        <v>0</v>
      </c>
      <c r="K26" s="3">
        <f>_xlfn.XLOOKUP($B26,WasteEFs[w],WasteEFs[dmw])</f>
        <v>0.9</v>
      </c>
      <c r="L26" s="3">
        <f>_xlfn.XLOOKUP($B26, WasteEFs[w], WasteEFs[CCw])</f>
        <v>0.03</v>
      </c>
      <c r="M26" s="3">
        <f>_xlfn.XLOOKUP($B26, WasteEFs[w], WasteEFs[FCCw])</f>
        <v>1</v>
      </c>
      <c r="N26" s="3">
        <f>_xlfn.XLOOKUP($B26, WasteEFs[w], WasteEFs[OFw])</f>
        <v>0.71</v>
      </c>
      <c r="O26" s="3">
        <f t="shared" si="33"/>
        <v>3.67</v>
      </c>
      <c r="P26" s="3">
        <f t="shared" ref="P26" si="35">IF(A26&lt;&gt;"Incineration", 0, F26*K26*L26*M26*N26*O26)</f>
        <v>0</v>
      </c>
      <c r="Q26" s="3">
        <f>_xlfn.XLOOKUP($B26,WasteEFs[w],WasteEFs[DOCw])</f>
        <v>0</v>
      </c>
      <c r="R26" s="3">
        <f>_xlfn.XLOOKUP($B26,WasteEFs[w],WasteEFs[DOCFw])</f>
        <v>0</v>
      </c>
      <c r="S26" s="3">
        <f t="shared" si="25"/>
        <v>0.5</v>
      </c>
      <c r="T26" s="3">
        <f t="shared" si="17"/>
        <v>0</v>
      </c>
      <c r="U26" s="3">
        <f t="shared" si="18"/>
        <v>0</v>
      </c>
      <c r="V26" s="3">
        <f t="shared" si="26"/>
        <v>1.33</v>
      </c>
      <c r="W26" s="3">
        <f t="shared" si="34"/>
        <v>0</v>
      </c>
      <c r="X26" s="3"/>
      <c r="Y26" s="3"/>
      <c r="Z26" s="3"/>
    </row>
    <row r="27" spans="1:26" x14ac:dyDescent="0.2">
      <c r="A27" t="s">
        <v>38</v>
      </c>
      <c r="B27" t="s">
        <v>3</v>
      </c>
      <c r="C27">
        <v>1234</v>
      </c>
      <c r="E27">
        <f>_xlfn.XLOOKUP(B27, WasteEFs[w], WasteEFs[VTMw])</f>
        <v>0.5</v>
      </c>
      <c r="F27">
        <f>IF(C27&lt;&gt;"", C27,D27*E27)</f>
        <v>1234</v>
      </c>
      <c r="G27">
        <f>_xlfn.XLOOKUP(A27,$X$5:$X$6,$Y$5:$Y$6, 0)</f>
        <v>0</v>
      </c>
      <c r="H27">
        <f>G27*F27</f>
        <v>0</v>
      </c>
      <c r="I27">
        <f>_xlfn.XLOOKUP(A27,$X$5:$X$6,$Z$5:$Z$6, 0)</f>
        <v>0</v>
      </c>
      <c r="J27">
        <f>F27*I27</f>
        <v>0</v>
      </c>
      <c r="K27">
        <f>_xlfn.XLOOKUP($B27,WasteEFs[w],WasteEFs[dmw])</f>
        <v>0.4</v>
      </c>
      <c r="L27">
        <f>_xlfn.XLOOKUP($B27, WasteEFs[w], WasteEFs[CCw])</f>
        <v>0.38</v>
      </c>
      <c r="M27">
        <f>_xlfn.XLOOKUP($B27, WasteEFs[w], WasteEFs[FCCw])</f>
        <v>0</v>
      </c>
      <c r="N27">
        <f>_xlfn.XLOOKUP($B27, WasteEFs[w], WasteEFs[OFw])</f>
        <v>0.71</v>
      </c>
      <c r="O27">
        <f t="shared" ref="O27:O34" si="36">$AC$5</f>
        <v>3.67</v>
      </c>
      <c r="P27">
        <f>IF(A27&lt;&gt;"Incineration", 0, F27*K27*L27*M27*N27*O27)</f>
        <v>0</v>
      </c>
      <c r="Q27">
        <f>_xlfn.XLOOKUP($B27,WasteEFs[w],WasteEFs[DOCw])</f>
        <v>0.15</v>
      </c>
      <c r="R27">
        <f>_xlfn.XLOOKUP($B27,WasteEFs[w],WasteEFs[DOCFw])</f>
        <v>0.84</v>
      </c>
      <c r="S27">
        <f>$AC$7</f>
        <v>0.5</v>
      </c>
      <c r="T27">
        <f t="shared" si="17"/>
        <v>0.8</v>
      </c>
      <c r="U27">
        <f t="shared" si="18"/>
        <v>0</v>
      </c>
      <c r="V27">
        <f>$AC$6</f>
        <v>1.33</v>
      </c>
      <c r="W27">
        <f>F27*Q27*R27*S27*T27*V27*(1-U27)</f>
        <v>82.717488000000003</v>
      </c>
      <c r="X27">
        <f>SUM(P27:P36)</f>
        <v>0</v>
      </c>
      <c r="Y27">
        <f>SUM(H27:H36,W27:W36)</f>
        <v>230.63454189999999</v>
      </c>
      <c r="Z27">
        <f>SUM(J27:J36)</f>
        <v>0</v>
      </c>
    </row>
    <row r="28" spans="1:26" x14ac:dyDescent="0.2">
      <c r="A28" t="s">
        <v>40</v>
      </c>
      <c r="B28" t="s">
        <v>6</v>
      </c>
      <c r="C28">
        <v>342</v>
      </c>
      <c r="E28">
        <f>_xlfn.XLOOKUP(B28, WasteEFs[w], WasteEFs[VTMw])</f>
        <v>0.09</v>
      </c>
      <c r="F28">
        <f t="shared" ref="F28:F36" si="37">IF(C28&lt;&gt;"", C28,D28*E28)</f>
        <v>342</v>
      </c>
      <c r="G28">
        <f t="shared" ref="G28:G36" si="38">_xlfn.XLOOKUP(A28,$X$5:$X$6,$Y$5:$Y$6, 0)</f>
        <v>0</v>
      </c>
      <c r="H28">
        <f t="shared" ref="H28:H33" si="39">G28*F28</f>
        <v>0</v>
      </c>
      <c r="I28">
        <f t="shared" ref="I28:I36" si="40">_xlfn.XLOOKUP(A28,$X$5:$X$6,$Z$5:$Z$6, 0)</f>
        <v>0</v>
      </c>
      <c r="J28">
        <f t="shared" ref="J28:J36" si="41">F28*I28</f>
        <v>0</v>
      </c>
      <c r="K28">
        <f>_xlfn.XLOOKUP($B28,WasteEFs[w],WasteEFs[dmw])</f>
        <v>0.9</v>
      </c>
      <c r="L28">
        <f>_xlfn.XLOOKUP($B28, WasteEFs[w], WasteEFs[CCw])</f>
        <v>0.46</v>
      </c>
      <c r="M28">
        <f>_xlfn.XLOOKUP($B28, WasteEFs[w], WasteEFs[FCCw])</f>
        <v>0.01</v>
      </c>
      <c r="N28">
        <f>_xlfn.XLOOKUP($B28, WasteEFs[w], WasteEFs[OFw])</f>
        <v>0.71</v>
      </c>
      <c r="O28">
        <f t="shared" si="36"/>
        <v>3.67</v>
      </c>
      <c r="P28">
        <f t="shared" ref="P28:P36" si="42">IF(A28&lt;&gt;"Incineration", 0, F28*K28*L28*M28*N28*O28)</f>
        <v>0</v>
      </c>
      <c r="Q28">
        <f>_xlfn.XLOOKUP($B28,WasteEFs[w],WasteEFs[DOCw])</f>
        <v>0.4</v>
      </c>
      <c r="R28">
        <f>_xlfn.XLOOKUP($B28,WasteEFs[w],WasteEFs[DOCFw])</f>
        <v>0.49</v>
      </c>
      <c r="S28">
        <f t="shared" si="25"/>
        <v>0.5</v>
      </c>
      <c r="T28">
        <f t="shared" si="17"/>
        <v>0.4</v>
      </c>
      <c r="U28">
        <f t="shared" si="18"/>
        <v>0</v>
      </c>
      <c r="V28">
        <f t="shared" si="26"/>
        <v>1.33</v>
      </c>
      <c r="W28">
        <f t="shared" ref="W28:W36" si="43">F28*Q28*R28*S28*T28*V28*(1-U28)</f>
        <v>17.830512000000006</v>
      </c>
    </row>
    <row r="29" spans="1:26" x14ac:dyDescent="0.2">
      <c r="A29" t="s">
        <v>39</v>
      </c>
      <c r="B29" t="s">
        <v>4</v>
      </c>
      <c r="C29">
        <v>346</v>
      </c>
      <c r="E29">
        <f>_xlfn.XLOOKUP(B29, WasteEFs[w], WasteEFs[VTMw])</f>
        <v>0.24</v>
      </c>
      <c r="F29">
        <f t="shared" si="37"/>
        <v>346</v>
      </c>
      <c r="G29">
        <f t="shared" si="38"/>
        <v>0</v>
      </c>
      <c r="H29">
        <f t="shared" si="39"/>
        <v>0</v>
      </c>
      <c r="I29">
        <f t="shared" si="40"/>
        <v>0</v>
      </c>
      <c r="J29">
        <f t="shared" si="41"/>
        <v>0</v>
      </c>
      <c r="K29">
        <f>_xlfn.XLOOKUP($B29,WasteEFs[w],WasteEFs[dmw])</f>
        <v>0.4</v>
      </c>
      <c r="L29">
        <f>_xlfn.XLOOKUP($B29, WasteEFs[w], WasteEFs[CCw])</f>
        <v>0.49</v>
      </c>
      <c r="M29">
        <f>_xlfn.XLOOKUP($B29, WasteEFs[w], WasteEFs[FCCw])</f>
        <v>0</v>
      </c>
      <c r="N29">
        <f>_xlfn.XLOOKUP($B29, WasteEFs[w], WasteEFs[OFw])</f>
        <v>0.71</v>
      </c>
      <c r="O29">
        <f t="shared" si="36"/>
        <v>3.67</v>
      </c>
      <c r="P29">
        <f t="shared" si="42"/>
        <v>0</v>
      </c>
      <c r="Q29">
        <f>_xlfn.XLOOKUP($B29,WasteEFs[w],WasteEFs[DOCw])</f>
        <v>0.2</v>
      </c>
      <c r="R29">
        <f>_xlfn.XLOOKUP($B29,WasteEFs[w],WasteEFs[DOCFw])</f>
        <v>0.47</v>
      </c>
      <c r="S29">
        <f t="shared" si="25"/>
        <v>0.5</v>
      </c>
      <c r="T29">
        <f t="shared" si="17"/>
        <v>0.7</v>
      </c>
      <c r="U29">
        <f t="shared" si="18"/>
        <v>0.1</v>
      </c>
      <c r="V29">
        <f t="shared" si="26"/>
        <v>1.33</v>
      </c>
      <c r="W29">
        <f t="shared" si="43"/>
        <v>13.6259298</v>
      </c>
    </row>
    <row r="30" spans="1:26" x14ac:dyDescent="0.2">
      <c r="A30" t="s">
        <v>38</v>
      </c>
      <c r="B30" t="s">
        <v>45</v>
      </c>
      <c r="C30">
        <v>1435</v>
      </c>
      <c r="E30">
        <f>_xlfn.XLOOKUP(B30, WasteEFs[w], WasteEFs[VTMw])</f>
        <v>0.15</v>
      </c>
      <c r="F30">
        <f t="shared" si="37"/>
        <v>1435</v>
      </c>
      <c r="G30">
        <f t="shared" si="38"/>
        <v>0</v>
      </c>
      <c r="H30">
        <f t="shared" si="39"/>
        <v>0</v>
      </c>
      <c r="I30">
        <f t="shared" si="40"/>
        <v>0</v>
      </c>
      <c r="J30">
        <f t="shared" si="41"/>
        <v>0</v>
      </c>
      <c r="K30">
        <f>_xlfn.XLOOKUP($B30,WasteEFs[w],WasteEFs[dmw])</f>
        <v>0.4</v>
      </c>
      <c r="L30">
        <f>_xlfn.XLOOKUP($B30, WasteEFs[w], WasteEFs[CCw])</f>
        <v>0.5</v>
      </c>
      <c r="M30">
        <f>_xlfn.XLOOKUP($B30, WasteEFs[w], WasteEFs[FCCw])</f>
        <v>0</v>
      </c>
      <c r="N30">
        <f>_xlfn.XLOOKUP($B30, WasteEFs[w], WasteEFs[OFw])</f>
        <v>0.71</v>
      </c>
      <c r="O30">
        <f t="shared" si="36"/>
        <v>3.67</v>
      </c>
      <c r="P30">
        <f t="shared" si="42"/>
        <v>0</v>
      </c>
      <c r="Q30">
        <f>_xlfn.XLOOKUP($B30,WasteEFs[w],WasteEFs[DOCw])</f>
        <v>0.43</v>
      </c>
      <c r="R30">
        <f>_xlfn.XLOOKUP($B30,WasteEFs[w],WasteEFs[DOCFw])</f>
        <v>0.1</v>
      </c>
      <c r="S30">
        <f t="shared" si="25"/>
        <v>0.5</v>
      </c>
      <c r="T30">
        <f t="shared" si="17"/>
        <v>0.8</v>
      </c>
      <c r="U30">
        <f t="shared" si="18"/>
        <v>0</v>
      </c>
      <c r="V30">
        <f t="shared" si="26"/>
        <v>1.33</v>
      </c>
      <c r="W30">
        <f t="shared" si="43"/>
        <v>32.827060000000003</v>
      </c>
    </row>
    <row r="31" spans="1:26" x14ac:dyDescent="0.2">
      <c r="A31" t="s">
        <v>40</v>
      </c>
      <c r="B31" t="s">
        <v>46</v>
      </c>
      <c r="D31">
        <v>1235</v>
      </c>
      <c r="E31">
        <f>_xlfn.XLOOKUP(B31, WasteEFs[w], WasteEFs[VTMw])</f>
        <v>0.15</v>
      </c>
      <c r="F31">
        <f t="shared" si="37"/>
        <v>185.25</v>
      </c>
      <c r="G31">
        <f t="shared" si="38"/>
        <v>0</v>
      </c>
      <c r="H31">
        <f t="shared" si="39"/>
        <v>0</v>
      </c>
      <c r="I31">
        <f t="shared" si="40"/>
        <v>0</v>
      </c>
      <c r="J31">
        <f t="shared" si="41"/>
        <v>0</v>
      </c>
      <c r="K31">
        <f>_xlfn.XLOOKUP($B31,WasteEFs[w],WasteEFs[dmw])</f>
        <v>0.9</v>
      </c>
      <c r="L31">
        <f>_xlfn.XLOOKUP($B31, WasteEFs[w], WasteEFs[CCw])</f>
        <v>0.5</v>
      </c>
      <c r="M31">
        <f>_xlfn.XLOOKUP($B31, WasteEFs[w], WasteEFs[FCCw])</f>
        <v>0</v>
      </c>
      <c r="N31">
        <f>_xlfn.XLOOKUP($B31, WasteEFs[w], WasteEFs[OFw])</f>
        <v>0.71</v>
      </c>
      <c r="O31">
        <f t="shared" si="36"/>
        <v>3.67</v>
      </c>
      <c r="P31">
        <f t="shared" si="42"/>
        <v>0</v>
      </c>
      <c r="Q31">
        <f>_xlfn.XLOOKUP($B31,WasteEFs[w],WasteEFs[DOCw])</f>
        <v>0.43</v>
      </c>
      <c r="R31">
        <f>_xlfn.XLOOKUP($B31,WasteEFs[w],WasteEFs[DOCFw])</f>
        <v>0.1</v>
      </c>
      <c r="S31">
        <f t="shared" si="25"/>
        <v>0.5</v>
      </c>
      <c r="T31">
        <f t="shared" si="17"/>
        <v>0.4</v>
      </c>
      <c r="U31">
        <f t="shared" si="18"/>
        <v>0</v>
      </c>
      <c r="V31">
        <f t="shared" si="26"/>
        <v>1.33</v>
      </c>
      <c r="W31">
        <f t="shared" si="43"/>
        <v>2.1188895000000003</v>
      </c>
    </row>
    <row r="32" spans="1:26" x14ac:dyDescent="0.2">
      <c r="A32" t="s">
        <v>39</v>
      </c>
      <c r="B32" t="s">
        <v>7</v>
      </c>
      <c r="D32">
        <v>345</v>
      </c>
      <c r="E32">
        <f>_xlfn.XLOOKUP(B32, WasteEFs[w], WasteEFs[VTMw])</f>
        <v>0.14000000000000001</v>
      </c>
      <c r="F32">
        <f t="shared" si="37"/>
        <v>48.300000000000004</v>
      </c>
      <c r="G32">
        <f t="shared" si="38"/>
        <v>0</v>
      </c>
      <c r="H32">
        <f t="shared" si="39"/>
        <v>0</v>
      </c>
      <c r="I32">
        <f t="shared" si="40"/>
        <v>0</v>
      </c>
      <c r="J32">
        <f t="shared" si="41"/>
        <v>0</v>
      </c>
      <c r="K32">
        <f>_xlfn.XLOOKUP($B32,WasteEFs[w],WasteEFs[dmw])</f>
        <v>0.8</v>
      </c>
      <c r="L32">
        <f>_xlfn.XLOOKUP($B32, WasteEFs[w], WasteEFs[CCw])</f>
        <v>0.5</v>
      </c>
      <c r="M32">
        <f>_xlfn.XLOOKUP($B32, WasteEFs[w], WasteEFs[FCCw])</f>
        <v>0.2</v>
      </c>
      <c r="N32">
        <f>_xlfn.XLOOKUP($B32, WasteEFs[w], WasteEFs[OFw])</f>
        <v>0.71</v>
      </c>
      <c r="O32">
        <f t="shared" si="36"/>
        <v>3.67</v>
      </c>
      <c r="P32">
        <f t="shared" si="42"/>
        <v>0</v>
      </c>
      <c r="Q32">
        <f>_xlfn.XLOOKUP($B32,WasteEFs[w],WasteEFs[DOCw])</f>
        <v>0.24</v>
      </c>
      <c r="R32">
        <f>_xlfn.XLOOKUP($B32,WasteEFs[w],WasteEFs[DOCFw])</f>
        <v>0.5</v>
      </c>
      <c r="S32">
        <f t="shared" si="25"/>
        <v>0.5</v>
      </c>
      <c r="T32">
        <f t="shared" si="17"/>
        <v>0.7</v>
      </c>
      <c r="U32">
        <f t="shared" si="18"/>
        <v>0.1</v>
      </c>
      <c r="V32">
        <f t="shared" si="26"/>
        <v>1.33</v>
      </c>
      <c r="W32">
        <f t="shared" si="43"/>
        <v>2.4282341999999999</v>
      </c>
    </row>
    <row r="33" spans="1:26" x14ac:dyDescent="0.2">
      <c r="A33" t="s">
        <v>38</v>
      </c>
      <c r="B33" t="s">
        <v>1</v>
      </c>
      <c r="D33">
        <v>4356</v>
      </c>
      <c r="E33">
        <f>_xlfn.XLOOKUP(B33, WasteEFs[w], WasteEFs[VTMw])</f>
        <v>0.72</v>
      </c>
      <c r="F33">
        <f t="shared" si="37"/>
        <v>3136.3199999999997</v>
      </c>
      <c r="G33">
        <f t="shared" si="38"/>
        <v>0</v>
      </c>
      <c r="H33">
        <f t="shared" si="39"/>
        <v>0</v>
      </c>
      <c r="I33">
        <f t="shared" si="40"/>
        <v>0</v>
      </c>
      <c r="J33">
        <f t="shared" si="41"/>
        <v>0</v>
      </c>
      <c r="K33">
        <f>_xlfn.XLOOKUP($B33,WasteEFs[w],WasteEFs[dmw])</f>
        <v>0</v>
      </c>
      <c r="L33">
        <f>_xlfn.XLOOKUP($B33, WasteEFs[w], WasteEFs[CCw])</f>
        <v>0.5</v>
      </c>
      <c r="M33">
        <f>_xlfn.XLOOKUP($B33, WasteEFs[w], WasteEFs[FCCw])</f>
        <v>0</v>
      </c>
      <c r="N33">
        <f>_xlfn.XLOOKUP($B33, WasteEFs[w], WasteEFs[OFw])</f>
        <v>0.71</v>
      </c>
      <c r="O33">
        <f t="shared" si="36"/>
        <v>3.67</v>
      </c>
      <c r="P33">
        <f t="shared" si="42"/>
        <v>0</v>
      </c>
      <c r="Q33">
        <f>_xlfn.XLOOKUP($B33,WasteEFs[w],WasteEFs[DOCw])</f>
        <v>0.05</v>
      </c>
      <c r="R33">
        <f>_xlfn.XLOOKUP($B33,WasteEFs[w],WasteEFs[DOCFw])</f>
        <v>0.5</v>
      </c>
      <c r="S33">
        <f t="shared" si="25"/>
        <v>0.5</v>
      </c>
      <c r="T33">
        <f t="shared" si="17"/>
        <v>0.8</v>
      </c>
      <c r="U33">
        <f t="shared" si="18"/>
        <v>0</v>
      </c>
      <c r="V33">
        <f t="shared" si="26"/>
        <v>1.33</v>
      </c>
      <c r="W33">
        <f t="shared" si="43"/>
        <v>41.713056000000009</v>
      </c>
    </row>
    <row r="34" spans="1:26" x14ac:dyDescent="0.2">
      <c r="A34" t="s">
        <v>38</v>
      </c>
      <c r="B34" t="s">
        <v>54</v>
      </c>
      <c r="D34">
        <v>324</v>
      </c>
      <c r="E34">
        <f>_xlfn.XLOOKUP(B34, WasteEFs[w], WasteEFs[VTMw])</f>
        <v>0.39</v>
      </c>
      <c r="F34">
        <f t="shared" si="37"/>
        <v>126.36</v>
      </c>
      <c r="G34">
        <f t="shared" si="38"/>
        <v>0</v>
      </c>
      <c r="H34">
        <f>G34*F34</f>
        <v>0</v>
      </c>
      <c r="I34">
        <f t="shared" si="40"/>
        <v>0</v>
      </c>
      <c r="J34">
        <f t="shared" si="41"/>
        <v>0</v>
      </c>
      <c r="K34">
        <f>_xlfn.XLOOKUP($B34,WasteEFs[w],WasteEFs[dmw])</f>
        <v>0.4</v>
      </c>
      <c r="L34">
        <f>_xlfn.XLOOKUP($B34, WasteEFs[w], WasteEFs[CCw])</f>
        <v>0.7</v>
      </c>
      <c r="M34">
        <f>_xlfn.XLOOKUP($B34, WasteEFs[w], WasteEFs[FCCw])</f>
        <v>0.1</v>
      </c>
      <c r="N34">
        <f>_xlfn.XLOOKUP($B34, WasteEFs[w], WasteEFs[OFw])</f>
        <v>0.71</v>
      </c>
      <c r="O34">
        <f t="shared" si="36"/>
        <v>3.67</v>
      </c>
      <c r="P34">
        <f t="shared" si="42"/>
        <v>0</v>
      </c>
      <c r="Q34">
        <f>_xlfn.XLOOKUP($B34,WasteEFs[w],WasteEFs[DOCw])</f>
        <v>0.24</v>
      </c>
      <c r="R34">
        <f>_xlfn.XLOOKUP($B34,WasteEFs[w],WasteEFs[DOCFw])</f>
        <v>0.5</v>
      </c>
      <c r="S34">
        <f t="shared" si="25"/>
        <v>0.5</v>
      </c>
      <c r="T34">
        <f t="shared" si="17"/>
        <v>0.8</v>
      </c>
      <c r="U34">
        <f t="shared" si="18"/>
        <v>0</v>
      </c>
      <c r="V34">
        <f t="shared" si="26"/>
        <v>1.33</v>
      </c>
      <c r="W34">
        <f t="shared" si="43"/>
        <v>8.0668224000000013</v>
      </c>
    </row>
    <row r="35" spans="1:26" x14ac:dyDescent="0.2">
      <c r="A35" t="s">
        <v>40</v>
      </c>
      <c r="B35" t="s">
        <v>8</v>
      </c>
      <c r="C35">
        <v>565</v>
      </c>
      <c r="E35">
        <f>_xlfn.XLOOKUP(B35, WasteEFs[w], WasteEFs[VTMw])</f>
        <v>0.14000000000000001</v>
      </c>
      <c r="F35">
        <f t="shared" si="37"/>
        <v>565</v>
      </c>
      <c r="G35">
        <f t="shared" si="38"/>
        <v>0</v>
      </c>
      <c r="H35">
        <f t="shared" ref="H35:H36" si="44">G35*F35</f>
        <v>0</v>
      </c>
      <c r="I35">
        <f t="shared" si="40"/>
        <v>0</v>
      </c>
      <c r="J35">
        <f t="shared" si="41"/>
        <v>0</v>
      </c>
      <c r="K35">
        <f>_xlfn.XLOOKUP($B35,WasteEFs[w],WasteEFs[dmw])</f>
        <v>0.84</v>
      </c>
      <c r="L35">
        <f>_xlfn.XLOOKUP($B35, WasteEFs[w], WasteEFs[CCw])</f>
        <v>0.67</v>
      </c>
      <c r="M35">
        <f>_xlfn.XLOOKUP($B35, WasteEFs[w], WasteEFs[FCCw])</f>
        <v>0.2</v>
      </c>
      <c r="N35">
        <f>_xlfn.XLOOKUP($B35, WasteEFs[w], WasteEFs[OFw])</f>
        <v>0.71</v>
      </c>
      <c r="O35">
        <f t="shared" ref="O35:O36" si="45">$AC$5</f>
        <v>3.67</v>
      </c>
      <c r="P35">
        <f t="shared" si="42"/>
        <v>0</v>
      </c>
      <c r="Q35">
        <f>_xlfn.XLOOKUP($B35,WasteEFs[w],WasteEFs[DOCw])</f>
        <v>0.39</v>
      </c>
      <c r="R35">
        <f>_xlfn.XLOOKUP($B35,WasteEFs[w],WasteEFs[DOCFw])</f>
        <v>0.5</v>
      </c>
      <c r="S35">
        <f t="shared" si="25"/>
        <v>0.5</v>
      </c>
      <c r="T35">
        <f t="shared" si="17"/>
        <v>0.4</v>
      </c>
      <c r="U35">
        <f t="shared" si="18"/>
        <v>0</v>
      </c>
      <c r="V35">
        <f t="shared" si="26"/>
        <v>1.33</v>
      </c>
      <c r="W35">
        <f t="shared" si="43"/>
        <v>29.306550000000001</v>
      </c>
    </row>
    <row r="36" spans="1:26" x14ac:dyDescent="0.2">
      <c r="A36" s="3" t="s">
        <v>39</v>
      </c>
      <c r="B36" s="3" t="s">
        <v>47</v>
      </c>
      <c r="C36" s="3">
        <v>7643</v>
      </c>
      <c r="D36" s="3"/>
      <c r="E36" s="3">
        <f>_xlfn.XLOOKUP(B36, WasteEFs[w], WasteEFs[VTMw])</f>
        <v>0.42</v>
      </c>
      <c r="F36" s="3">
        <f t="shared" si="37"/>
        <v>7643</v>
      </c>
      <c r="G36" s="3">
        <f t="shared" si="38"/>
        <v>0</v>
      </c>
      <c r="H36" s="3">
        <f t="shared" si="44"/>
        <v>0</v>
      </c>
      <c r="I36" s="3">
        <f t="shared" si="40"/>
        <v>0</v>
      </c>
      <c r="J36" s="3">
        <f t="shared" si="41"/>
        <v>0</v>
      </c>
      <c r="K36" s="3">
        <f>_xlfn.XLOOKUP($B36,WasteEFs[w],WasteEFs[dmw])</f>
        <v>0.9</v>
      </c>
      <c r="L36" s="3">
        <f>_xlfn.XLOOKUP($B36, WasteEFs[w], WasteEFs[CCw])</f>
        <v>0.03</v>
      </c>
      <c r="M36" s="3">
        <f>_xlfn.XLOOKUP($B36, WasteEFs[w], WasteEFs[FCCw])</f>
        <v>1</v>
      </c>
      <c r="N36" s="3">
        <f>_xlfn.XLOOKUP($B36, WasteEFs[w], WasteEFs[OFw])</f>
        <v>0.71</v>
      </c>
      <c r="O36" s="3">
        <f t="shared" si="45"/>
        <v>3.67</v>
      </c>
      <c r="P36" s="3">
        <f t="shared" si="42"/>
        <v>0</v>
      </c>
      <c r="Q36" s="3">
        <f>_xlfn.XLOOKUP($B36,WasteEFs[w],WasteEFs[DOCw])</f>
        <v>0</v>
      </c>
      <c r="R36" s="3">
        <f>_xlfn.XLOOKUP($B36,WasteEFs[w],WasteEFs[DOCFw])</f>
        <v>0</v>
      </c>
      <c r="S36" s="3">
        <f t="shared" si="25"/>
        <v>0.5</v>
      </c>
      <c r="T36" s="3">
        <f t="shared" si="17"/>
        <v>0.7</v>
      </c>
      <c r="U36" s="3">
        <f t="shared" si="18"/>
        <v>0.1</v>
      </c>
      <c r="V36" s="3">
        <f t="shared" si="26"/>
        <v>1.33</v>
      </c>
      <c r="W36" s="3">
        <f t="shared" si="43"/>
        <v>0</v>
      </c>
      <c r="X36" s="3"/>
      <c r="Y36" s="3"/>
      <c r="Z36" s="3"/>
    </row>
    <row r="37" spans="1:26" x14ac:dyDescent="0.2">
      <c r="A37" t="s">
        <v>5</v>
      </c>
      <c r="B37" t="s">
        <v>3</v>
      </c>
      <c r="C37">
        <v>1234</v>
      </c>
      <c r="E37">
        <f>_xlfn.XLOOKUP(B37, WasteEFs[w], WasteEFs[VTMw])</f>
        <v>0.5</v>
      </c>
      <c r="F37">
        <f>IF(C37&lt;&gt;"", C37,D37*E37)</f>
        <v>1234</v>
      </c>
      <c r="G37">
        <f>_xlfn.XLOOKUP(A37,$X$5:$X$6,$Y$5:$Y$6, 0)</f>
        <v>7.5000000000000002E-4</v>
      </c>
      <c r="H37">
        <f>G37*F37</f>
        <v>0.92549999999999999</v>
      </c>
      <c r="I37">
        <f>_xlfn.XLOOKUP(A37,$X$5:$X$6,$Z$5:$Z$6, 0)</f>
        <v>9.4300000000000002E-5</v>
      </c>
      <c r="J37">
        <f>F37*I37</f>
        <v>0.1163662</v>
      </c>
      <c r="K37">
        <f>_xlfn.XLOOKUP($B37,WasteEFs[w],WasteEFs[dmw])</f>
        <v>0.4</v>
      </c>
      <c r="L37">
        <f>_xlfn.XLOOKUP($B37, WasteEFs[w], WasteEFs[CCw])</f>
        <v>0.38</v>
      </c>
      <c r="M37">
        <f>_xlfn.XLOOKUP($B37, WasteEFs[w], WasteEFs[FCCw])</f>
        <v>0</v>
      </c>
      <c r="N37">
        <f>_xlfn.XLOOKUP($B37, WasteEFs[w], WasteEFs[OFw])</f>
        <v>0.71</v>
      </c>
      <c r="O37">
        <f t="shared" ref="O37:O44" si="46">$AC$5</f>
        <v>3.67</v>
      </c>
      <c r="P37">
        <f>IF(A37&lt;&gt;"Incineration", 0, F37*K37*L37*M37*N37*O37)</f>
        <v>0</v>
      </c>
      <c r="Q37">
        <f>_xlfn.XLOOKUP($B37,WasteEFs[w],WasteEFs[DOCw])</f>
        <v>0.15</v>
      </c>
      <c r="R37">
        <f>_xlfn.XLOOKUP($B37,WasteEFs[w],WasteEFs[DOCFw])</f>
        <v>0.84</v>
      </c>
      <c r="S37">
        <f>$AC$7</f>
        <v>0.5</v>
      </c>
      <c r="T37">
        <f t="shared" si="17"/>
        <v>0</v>
      </c>
      <c r="U37">
        <f t="shared" si="18"/>
        <v>0</v>
      </c>
      <c r="V37">
        <f>$AC$6</f>
        <v>1.33</v>
      </c>
      <c r="W37">
        <f>F37*Q37*R37*S37*T37*V37*(1-U37)</f>
        <v>0</v>
      </c>
      <c r="X37">
        <f>SUM(P37:P46)</f>
        <v>547.78328249999993</v>
      </c>
      <c r="Y37">
        <f>SUM(H37:H46,W37:W46)</f>
        <v>108.20251439</v>
      </c>
      <c r="Z37">
        <f>SUM(J37:J46)</f>
        <v>0.14899400000000002</v>
      </c>
    </row>
    <row r="38" spans="1:26" x14ac:dyDescent="0.2">
      <c r="A38" t="s">
        <v>38</v>
      </c>
      <c r="B38" t="s">
        <v>6</v>
      </c>
      <c r="C38">
        <v>342</v>
      </c>
      <c r="E38">
        <f>_xlfn.XLOOKUP(B38, WasteEFs[w], WasteEFs[VTMw])</f>
        <v>0.09</v>
      </c>
      <c r="F38">
        <f t="shared" ref="F38:F46" si="47">IF(C38&lt;&gt;"", C38,D38*E38)</f>
        <v>342</v>
      </c>
      <c r="G38">
        <f t="shared" ref="G38:G46" si="48">_xlfn.XLOOKUP(A38,$X$5:$X$6,$Y$5:$Y$6, 0)</f>
        <v>0</v>
      </c>
      <c r="H38">
        <f t="shared" ref="H38:H43" si="49">G38*F38</f>
        <v>0</v>
      </c>
      <c r="I38">
        <f t="shared" ref="I38:I46" si="50">_xlfn.XLOOKUP(A38,$X$5:$X$6,$Z$5:$Z$6, 0)</f>
        <v>0</v>
      </c>
      <c r="J38">
        <f t="shared" ref="J38:J46" si="51">F38*I38</f>
        <v>0</v>
      </c>
      <c r="K38">
        <f>_xlfn.XLOOKUP($B38,WasteEFs[w],WasteEFs[dmw])</f>
        <v>0.9</v>
      </c>
      <c r="L38">
        <f>_xlfn.XLOOKUP($B38, WasteEFs[w], WasteEFs[CCw])</f>
        <v>0.46</v>
      </c>
      <c r="M38">
        <f>_xlfn.XLOOKUP($B38, WasteEFs[w], WasteEFs[FCCw])</f>
        <v>0.01</v>
      </c>
      <c r="N38">
        <f>_xlfn.XLOOKUP($B38, WasteEFs[w], WasteEFs[OFw])</f>
        <v>0.71</v>
      </c>
      <c r="O38">
        <f t="shared" si="46"/>
        <v>3.67</v>
      </c>
      <c r="P38">
        <f t="shared" ref="P38:P46" si="52">IF(A38&lt;&gt;"Incineration", 0, F38*K38*L38*M38*N38*O38)</f>
        <v>0</v>
      </c>
      <c r="Q38">
        <f>_xlfn.XLOOKUP($B38,WasteEFs[w],WasteEFs[DOCw])</f>
        <v>0.4</v>
      </c>
      <c r="R38">
        <f>_xlfn.XLOOKUP($B38,WasteEFs[w],WasteEFs[DOCFw])</f>
        <v>0.49</v>
      </c>
      <c r="S38">
        <f t="shared" si="25"/>
        <v>0.5</v>
      </c>
      <c r="T38">
        <f t="shared" si="17"/>
        <v>0.8</v>
      </c>
      <c r="U38">
        <f t="shared" si="18"/>
        <v>0</v>
      </c>
      <c r="V38">
        <f t="shared" si="26"/>
        <v>1.33</v>
      </c>
      <c r="W38">
        <f t="shared" ref="W38:W46" si="53">F38*Q38*R38*S38*T38*V38*(1-U38)</f>
        <v>35.661024000000012</v>
      </c>
    </row>
    <row r="39" spans="1:26" x14ac:dyDescent="0.2">
      <c r="A39" t="s">
        <v>5</v>
      </c>
      <c r="B39" t="s">
        <v>4</v>
      </c>
      <c r="C39">
        <v>346</v>
      </c>
      <c r="E39">
        <f>_xlfn.XLOOKUP(B39, WasteEFs[w], WasteEFs[VTMw])</f>
        <v>0.24</v>
      </c>
      <c r="F39">
        <f t="shared" si="47"/>
        <v>346</v>
      </c>
      <c r="G39">
        <f t="shared" si="48"/>
        <v>7.5000000000000002E-4</v>
      </c>
      <c r="H39">
        <f t="shared" si="49"/>
        <v>0.25950000000000001</v>
      </c>
      <c r="I39">
        <f t="shared" si="50"/>
        <v>9.4300000000000002E-5</v>
      </c>
      <c r="J39">
        <f t="shared" si="51"/>
        <v>3.2627799999999998E-2</v>
      </c>
      <c r="K39">
        <f>_xlfn.XLOOKUP($B39,WasteEFs[w],WasteEFs[dmw])</f>
        <v>0.4</v>
      </c>
      <c r="L39">
        <f>_xlfn.XLOOKUP($B39, WasteEFs[w], WasteEFs[CCw])</f>
        <v>0.49</v>
      </c>
      <c r="M39">
        <f>_xlfn.XLOOKUP($B39, WasteEFs[w], WasteEFs[FCCw])</f>
        <v>0</v>
      </c>
      <c r="N39">
        <f>_xlfn.XLOOKUP($B39, WasteEFs[w], WasteEFs[OFw])</f>
        <v>0.71</v>
      </c>
      <c r="O39">
        <f t="shared" si="46"/>
        <v>3.67</v>
      </c>
      <c r="P39">
        <f t="shared" si="52"/>
        <v>0</v>
      </c>
      <c r="Q39">
        <f>_xlfn.XLOOKUP($B39,WasteEFs[w],WasteEFs[DOCw])</f>
        <v>0.2</v>
      </c>
      <c r="R39">
        <f>_xlfn.XLOOKUP($B39,WasteEFs[w],WasteEFs[DOCFw])</f>
        <v>0.47</v>
      </c>
      <c r="S39">
        <f t="shared" si="25"/>
        <v>0.5</v>
      </c>
      <c r="T39">
        <f t="shared" si="17"/>
        <v>0</v>
      </c>
      <c r="U39">
        <f t="shared" si="18"/>
        <v>0</v>
      </c>
      <c r="V39">
        <f t="shared" si="26"/>
        <v>1.33</v>
      </c>
      <c r="W39">
        <f t="shared" si="53"/>
        <v>0</v>
      </c>
    </row>
    <row r="40" spans="1:26" x14ac:dyDescent="0.2">
      <c r="A40" t="s">
        <v>40</v>
      </c>
      <c r="B40" t="s">
        <v>45</v>
      </c>
      <c r="C40">
        <v>1435</v>
      </c>
      <c r="E40">
        <f>_xlfn.XLOOKUP(B40, WasteEFs[w], WasteEFs[VTMw])</f>
        <v>0.15</v>
      </c>
      <c r="F40">
        <f t="shared" si="47"/>
        <v>1435</v>
      </c>
      <c r="G40">
        <f t="shared" si="48"/>
        <v>0</v>
      </c>
      <c r="H40">
        <f t="shared" si="49"/>
        <v>0</v>
      </c>
      <c r="I40">
        <f t="shared" si="50"/>
        <v>0</v>
      </c>
      <c r="J40">
        <f t="shared" si="51"/>
        <v>0</v>
      </c>
      <c r="K40">
        <f>_xlfn.XLOOKUP($B40,WasteEFs[w],WasteEFs[dmw])</f>
        <v>0.4</v>
      </c>
      <c r="L40">
        <f>_xlfn.XLOOKUP($B40, WasteEFs[w], WasteEFs[CCw])</f>
        <v>0.5</v>
      </c>
      <c r="M40">
        <f>_xlfn.XLOOKUP($B40, WasteEFs[w], WasteEFs[FCCw])</f>
        <v>0</v>
      </c>
      <c r="N40">
        <f>_xlfn.XLOOKUP($B40, WasteEFs[w], WasteEFs[OFw])</f>
        <v>0.71</v>
      </c>
      <c r="O40">
        <f t="shared" si="46"/>
        <v>3.67</v>
      </c>
      <c r="P40">
        <f t="shared" si="52"/>
        <v>0</v>
      </c>
      <c r="Q40">
        <f>_xlfn.XLOOKUP($B40,WasteEFs[w],WasteEFs[DOCw])</f>
        <v>0.43</v>
      </c>
      <c r="R40">
        <f>_xlfn.XLOOKUP($B40,WasteEFs[w],WasteEFs[DOCFw])</f>
        <v>0.1</v>
      </c>
      <c r="S40">
        <f t="shared" si="25"/>
        <v>0.5</v>
      </c>
      <c r="T40">
        <f t="shared" si="17"/>
        <v>0.4</v>
      </c>
      <c r="U40">
        <f t="shared" si="18"/>
        <v>0</v>
      </c>
      <c r="V40">
        <f t="shared" si="26"/>
        <v>1.33</v>
      </c>
      <c r="W40">
        <f t="shared" si="53"/>
        <v>16.413530000000002</v>
      </c>
    </row>
    <row r="41" spans="1:26" x14ac:dyDescent="0.2">
      <c r="A41" t="s">
        <v>40</v>
      </c>
      <c r="B41" t="s">
        <v>46</v>
      </c>
      <c r="D41">
        <v>1235</v>
      </c>
      <c r="E41">
        <f>_xlfn.XLOOKUP(B41, WasteEFs[w], WasteEFs[VTMw])</f>
        <v>0.15</v>
      </c>
      <c r="F41">
        <f t="shared" si="47"/>
        <v>185.25</v>
      </c>
      <c r="G41">
        <f t="shared" si="48"/>
        <v>0</v>
      </c>
      <c r="H41">
        <f t="shared" si="49"/>
        <v>0</v>
      </c>
      <c r="I41">
        <f t="shared" si="50"/>
        <v>0</v>
      </c>
      <c r="J41">
        <f t="shared" si="51"/>
        <v>0</v>
      </c>
      <c r="K41">
        <f>_xlfn.XLOOKUP($B41,WasteEFs[w],WasteEFs[dmw])</f>
        <v>0.9</v>
      </c>
      <c r="L41">
        <f>_xlfn.XLOOKUP($B41, WasteEFs[w], WasteEFs[CCw])</f>
        <v>0.5</v>
      </c>
      <c r="M41">
        <f>_xlfn.XLOOKUP($B41, WasteEFs[w], WasteEFs[FCCw])</f>
        <v>0</v>
      </c>
      <c r="N41">
        <f>_xlfn.XLOOKUP($B41, WasteEFs[w], WasteEFs[OFw])</f>
        <v>0.71</v>
      </c>
      <c r="O41">
        <f t="shared" si="46"/>
        <v>3.67</v>
      </c>
      <c r="P41">
        <f t="shared" si="52"/>
        <v>0</v>
      </c>
      <c r="Q41">
        <f>_xlfn.XLOOKUP($B41,WasteEFs[w],WasteEFs[DOCw])</f>
        <v>0.43</v>
      </c>
      <c r="R41">
        <f>_xlfn.XLOOKUP($B41,WasteEFs[w],WasteEFs[DOCFw])</f>
        <v>0.1</v>
      </c>
      <c r="S41">
        <f t="shared" si="25"/>
        <v>0.5</v>
      </c>
      <c r="T41">
        <f t="shared" si="17"/>
        <v>0.4</v>
      </c>
      <c r="U41">
        <f t="shared" si="18"/>
        <v>0</v>
      </c>
      <c r="V41">
        <f t="shared" si="26"/>
        <v>1.33</v>
      </c>
      <c r="W41">
        <f t="shared" si="53"/>
        <v>2.1188895000000003</v>
      </c>
    </row>
    <row r="42" spans="1:26" x14ac:dyDescent="0.2">
      <c r="A42" t="s">
        <v>2</v>
      </c>
      <c r="B42" t="s">
        <v>7</v>
      </c>
      <c r="D42">
        <v>345</v>
      </c>
      <c r="E42">
        <f>_xlfn.XLOOKUP(B42, WasteEFs[w], WasteEFs[VTMw])</f>
        <v>0.14000000000000001</v>
      </c>
      <c r="F42">
        <f t="shared" si="47"/>
        <v>48.300000000000004</v>
      </c>
      <c r="G42">
        <f t="shared" si="48"/>
        <v>0</v>
      </c>
      <c r="H42">
        <f t="shared" si="49"/>
        <v>0</v>
      </c>
      <c r="I42">
        <f t="shared" si="50"/>
        <v>0</v>
      </c>
      <c r="J42">
        <f t="shared" si="51"/>
        <v>0</v>
      </c>
      <c r="K42">
        <f>_xlfn.XLOOKUP($B42,WasteEFs[w],WasteEFs[dmw])</f>
        <v>0.8</v>
      </c>
      <c r="L42">
        <f>_xlfn.XLOOKUP($B42, WasteEFs[w], WasteEFs[CCw])</f>
        <v>0.5</v>
      </c>
      <c r="M42">
        <f>_xlfn.XLOOKUP($B42, WasteEFs[w], WasteEFs[FCCw])</f>
        <v>0.2</v>
      </c>
      <c r="N42">
        <f>_xlfn.XLOOKUP($B42, WasteEFs[w], WasteEFs[OFw])</f>
        <v>0.71</v>
      </c>
      <c r="O42">
        <f t="shared" si="46"/>
        <v>3.67</v>
      </c>
      <c r="P42">
        <f t="shared" si="52"/>
        <v>10.068424800000003</v>
      </c>
      <c r="Q42">
        <f>_xlfn.XLOOKUP($B42,WasteEFs[w],WasteEFs[DOCw])</f>
        <v>0.24</v>
      </c>
      <c r="R42">
        <f>_xlfn.XLOOKUP($B42,WasteEFs[w],WasteEFs[DOCFw])</f>
        <v>0.5</v>
      </c>
      <c r="S42">
        <f t="shared" si="25"/>
        <v>0.5</v>
      </c>
      <c r="T42">
        <f t="shared" si="17"/>
        <v>0</v>
      </c>
      <c r="U42">
        <f t="shared" si="18"/>
        <v>0</v>
      </c>
      <c r="V42">
        <f t="shared" si="26"/>
        <v>1.33</v>
      </c>
      <c r="W42">
        <f t="shared" si="53"/>
        <v>0</v>
      </c>
    </row>
    <row r="43" spans="1:26" x14ac:dyDescent="0.2">
      <c r="A43" t="s">
        <v>9</v>
      </c>
      <c r="B43" t="s">
        <v>1</v>
      </c>
      <c r="D43">
        <v>4356</v>
      </c>
      <c r="E43">
        <f>_xlfn.XLOOKUP(B43, WasteEFs[w], WasteEFs[VTMw])</f>
        <v>0.72</v>
      </c>
      <c r="F43">
        <f t="shared" si="47"/>
        <v>3136.3199999999997</v>
      </c>
      <c r="G43">
        <f t="shared" si="48"/>
        <v>1E-4</v>
      </c>
      <c r="H43">
        <f t="shared" si="49"/>
        <v>0.31363199999999997</v>
      </c>
      <c r="I43">
        <f t="shared" si="50"/>
        <v>0</v>
      </c>
      <c r="J43">
        <f t="shared" si="51"/>
        <v>0</v>
      </c>
      <c r="K43">
        <f>_xlfn.XLOOKUP($B43,WasteEFs[w],WasteEFs[dmw])</f>
        <v>0</v>
      </c>
      <c r="L43">
        <f>_xlfn.XLOOKUP($B43, WasteEFs[w], WasteEFs[CCw])</f>
        <v>0.5</v>
      </c>
      <c r="M43">
        <f>_xlfn.XLOOKUP($B43, WasteEFs[w], WasteEFs[FCCw])</f>
        <v>0</v>
      </c>
      <c r="N43">
        <f>_xlfn.XLOOKUP($B43, WasteEFs[w], WasteEFs[OFw])</f>
        <v>0.71</v>
      </c>
      <c r="O43">
        <f t="shared" si="46"/>
        <v>3.67</v>
      </c>
      <c r="P43">
        <f t="shared" si="52"/>
        <v>0</v>
      </c>
      <c r="Q43">
        <f>_xlfn.XLOOKUP($B43,WasteEFs[w],WasteEFs[DOCw])</f>
        <v>0.05</v>
      </c>
      <c r="R43">
        <f>_xlfn.XLOOKUP($B43,WasteEFs[w],WasteEFs[DOCFw])</f>
        <v>0.5</v>
      </c>
      <c r="S43">
        <f t="shared" si="25"/>
        <v>0.5</v>
      </c>
      <c r="T43">
        <f t="shared" si="17"/>
        <v>0</v>
      </c>
      <c r="U43">
        <f t="shared" si="18"/>
        <v>0</v>
      </c>
      <c r="V43">
        <f t="shared" si="26"/>
        <v>1.33</v>
      </c>
      <c r="W43">
        <f t="shared" si="53"/>
        <v>0</v>
      </c>
    </row>
    <row r="44" spans="1:26" x14ac:dyDescent="0.2">
      <c r="A44" t="s">
        <v>39</v>
      </c>
      <c r="B44" t="s">
        <v>54</v>
      </c>
      <c r="D44">
        <v>324</v>
      </c>
      <c r="E44">
        <f>_xlfn.XLOOKUP(B44, WasteEFs[w], WasteEFs[VTMw])</f>
        <v>0.39</v>
      </c>
      <c r="F44">
        <f t="shared" si="47"/>
        <v>126.36</v>
      </c>
      <c r="G44">
        <f t="shared" si="48"/>
        <v>0</v>
      </c>
      <c r="H44">
        <f>G44*F44</f>
        <v>0</v>
      </c>
      <c r="I44">
        <f t="shared" si="50"/>
        <v>0</v>
      </c>
      <c r="J44">
        <f t="shared" si="51"/>
        <v>0</v>
      </c>
      <c r="K44">
        <f>_xlfn.XLOOKUP($B44,WasteEFs[w],WasteEFs[dmw])</f>
        <v>0.4</v>
      </c>
      <c r="L44">
        <f>_xlfn.XLOOKUP($B44, WasteEFs[w], WasteEFs[CCw])</f>
        <v>0.7</v>
      </c>
      <c r="M44">
        <f>_xlfn.XLOOKUP($B44, WasteEFs[w], WasteEFs[FCCw])</f>
        <v>0.1</v>
      </c>
      <c r="N44">
        <f>_xlfn.XLOOKUP($B44, WasteEFs[w], WasteEFs[OFw])</f>
        <v>0.71</v>
      </c>
      <c r="O44">
        <f t="shared" si="46"/>
        <v>3.67</v>
      </c>
      <c r="P44">
        <f t="shared" si="52"/>
        <v>0</v>
      </c>
      <c r="Q44">
        <f>_xlfn.XLOOKUP($B44,WasteEFs[w],WasteEFs[DOCw])</f>
        <v>0.24</v>
      </c>
      <c r="R44">
        <f>_xlfn.XLOOKUP($B44,WasteEFs[w],WasteEFs[DOCFw])</f>
        <v>0.5</v>
      </c>
      <c r="S44">
        <f t="shared" si="25"/>
        <v>0.5</v>
      </c>
      <c r="T44">
        <f t="shared" si="17"/>
        <v>0.7</v>
      </c>
      <c r="U44">
        <f t="shared" si="18"/>
        <v>0.1</v>
      </c>
      <c r="V44">
        <f t="shared" si="26"/>
        <v>1.33</v>
      </c>
      <c r="W44">
        <f t="shared" si="53"/>
        <v>6.3526226399999999</v>
      </c>
    </row>
    <row r="45" spans="1:26" x14ac:dyDescent="0.2">
      <c r="A45" t="s">
        <v>39</v>
      </c>
      <c r="B45" t="s">
        <v>8</v>
      </c>
      <c r="C45">
        <v>565</v>
      </c>
      <c r="E45">
        <f>_xlfn.XLOOKUP(B45, WasteEFs[w], WasteEFs[VTMw])</f>
        <v>0.14000000000000001</v>
      </c>
      <c r="F45">
        <f t="shared" si="47"/>
        <v>565</v>
      </c>
      <c r="G45">
        <f t="shared" si="48"/>
        <v>0</v>
      </c>
      <c r="H45">
        <f t="shared" ref="H45:H46" si="54">G45*F45</f>
        <v>0</v>
      </c>
      <c r="I45">
        <f t="shared" si="50"/>
        <v>0</v>
      </c>
      <c r="J45">
        <f t="shared" si="51"/>
        <v>0</v>
      </c>
      <c r="K45">
        <f>_xlfn.XLOOKUP($B45,WasteEFs[w],WasteEFs[dmw])</f>
        <v>0.84</v>
      </c>
      <c r="L45">
        <f>_xlfn.XLOOKUP($B45, WasteEFs[w], WasteEFs[CCw])</f>
        <v>0.67</v>
      </c>
      <c r="M45">
        <f>_xlfn.XLOOKUP($B45, WasteEFs[w], WasteEFs[FCCw])</f>
        <v>0.2</v>
      </c>
      <c r="N45">
        <f>_xlfn.XLOOKUP($B45, WasteEFs[w], WasteEFs[OFw])</f>
        <v>0.71</v>
      </c>
      <c r="O45">
        <f t="shared" ref="O45:O46" si="55">$AC$5</f>
        <v>3.67</v>
      </c>
      <c r="P45">
        <f t="shared" si="52"/>
        <v>0</v>
      </c>
      <c r="Q45">
        <f>_xlfn.XLOOKUP($B45,WasteEFs[w],WasteEFs[DOCw])</f>
        <v>0.39</v>
      </c>
      <c r="R45">
        <f>_xlfn.XLOOKUP($B45,WasteEFs[w],WasteEFs[DOCFw])</f>
        <v>0.5</v>
      </c>
      <c r="S45">
        <f t="shared" si="25"/>
        <v>0.5</v>
      </c>
      <c r="T45">
        <f t="shared" si="17"/>
        <v>0.7</v>
      </c>
      <c r="U45">
        <f t="shared" si="18"/>
        <v>0.1</v>
      </c>
      <c r="V45">
        <f t="shared" si="26"/>
        <v>1.33</v>
      </c>
      <c r="W45">
        <f t="shared" si="53"/>
        <v>46.157816249999996</v>
      </c>
    </row>
    <row r="46" spans="1:26" x14ac:dyDescent="0.2">
      <c r="A46" s="3" t="s">
        <v>2</v>
      </c>
      <c r="B46" s="3" t="s">
        <v>47</v>
      </c>
      <c r="C46" s="3">
        <v>7643</v>
      </c>
      <c r="D46" s="3"/>
      <c r="E46" s="3">
        <f>_xlfn.XLOOKUP(B46, WasteEFs[w], WasteEFs[VTMw])</f>
        <v>0.42</v>
      </c>
      <c r="F46" s="3">
        <f t="shared" si="47"/>
        <v>7643</v>
      </c>
      <c r="G46" s="3">
        <f t="shared" si="48"/>
        <v>0</v>
      </c>
      <c r="H46" s="3">
        <f t="shared" si="54"/>
        <v>0</v>
      </c>
      <c r="I46" s="3">
        <f t="shared" si="50"/>
        <v>0</v>
      </c>
      <c r="J46" s="3">
        <f t="shared" si="51"/>
        <v>0</v>
      </c>
      <c r="K46" s="3">
        <f>_xlfn.XLOOKUP($B46,WasteEFs[w],WasteEFs[dmw])</f>
        <v>0.9</v>
      </c>
      <c r="L46" s="3">
        <f>_xlfn.XLOOKUP($B46, WasteEFs[w], WasteEFs[CCw])</f>
        <v>0.03</v>
      </c>
      <c r="M46" s="3">
        <f>_xlfn.XLOOKUP($B46, WasteEFs[w], WasteEFs[FCCw])</f>
        <v>1</v>
      </c>
      <c r="N46" s="3">
        <f>_xlfn.XLOOKUP($B46, WasteEFs[w], WasteEFs[OFw])</f>
        <v>0.71</v>
      </c>
      <c r="O46" s="3">
        <f t="shared" si="55"/>
        <v>3.67</v>
      </c>
      <c r="P46" s="3">
        <f t="shared" si="52"/>
        <v>537.71485769999992</v>
      </c>
      <c r="Q46" s="3">
        <f>_xlfn.XLOOKUP($B46,WasteEFs[w],WasteEFs[DOCw])</f>
        <v>0</v>
      </c>
      <c r="R46" s="3">
        <f>_xlfn.XLOOKUP($B46,WasteEFs[w],WasteEFs[DOCFw])</f>
        <v>0</v>
      </c>
      <c r="S46" s="3">
        <f t="shared" si="25"/>
        <v>0.5</v>
      </c>
      <c r="T46" s="3">
        <f t="shared" si="17"/>
        <v>0</v>
      </c>
      <c r="U46" s="3">
        <f t="shared" si="18"/>
        <v>0</v>
      </c>
      <c r="V46" s="3">
        <f t="shared" si="26"/>
        <v>1.33</v>
      </c>
      <c r="W46" s="3">
        <f t="shared" si="53"/>
        <v>0</v>
      </c>
      <c r="X46" s="3"/>
      <c r="Y46" s="3"/>
      <c r="Z46" s="3"/>
    </row>
    <row r="47" spans="1:26" x14ac:dyDescent="0.2">
      <c r="A47" t="s">
        <v>5</v>
      </c>
      <c r="B47" t="s">
        <v>3</v>
      </c>
      <c r="C47">
        <v>1234</v>
      </c>
      <c r="E47">
        <f>_xlfn.XLOOKUP(B47, WasteEFs[w], WasteEFs[VTMw])</f>
        <v>0.5</v>
      </c>
      <c r="F47">
        <f>IF(C47&lt;&gt;"", C47,D47*E47)</f>
        <v>1234</v>
      </c>
      <c r="G47">
        <f>_xlfn.XLOOKUP(A47,$X$5:$X$6,$Y$5:$Y$6, 0)</f>
        <v>7.5000000000000002E-4</v>
      </c>
      <c r="H47">
        <f>G47*F47</f>
        <v>0.92549999999999999</v>
      </c>
      <c r="I47">
        <f>_xlfn.XLOOKUP(A47,$X$5:$X$6,$Z$5:$Z$6, 0)</f>
        <v>9.4300000000000002E-5</v>
      </c>
      <c r="J47">
        <f>F47*I47</f>
        <v>0.1163662</v>
      </c>
      <c r="K47">
        <f>_xlfn.XLOOKUP($B47,WasteEFs[w],WasteEFs[dmw])</f>
        <v>0.4</v>
      </c>
      <c r="L47">
        <f>_xlfn.XLOOKUP($B47, WasteEFs[w], WasteEFs[CCw])</f>
        <v>0.38</v>
      </c>
      <c r="M47">
        <f>_xlfn.XLOOKUP($B47, WasteEFs[w], WasteEFs[FCCw])</f>
        <v>0</v>
      </c>
      <c r="N47">
        <f>_xlfn.XLOOKUP($B47, WasteEFs[w], WasteEFs[OFw])</f>
        <v>0.71</v>
      </c>
      <c r="O47">
        <f t="shared" ref="O47:O54" si="56">$AC$5</f>
        <v>3.67</v>
      </c>
      <c r="P47">
        <f>IF(A47&lt;&gt;"Incineration", 0, F47*K47*L47*M47*N47*O47)</f>
        <v>0</v>
      </c>
      <c r="Q47">
        <f>_xlfn.XLOOKUP($B47,WasteEFs[w],WasteEFs[DOCw])</f>
        <v>0.15</v>
      </c>
      <c r="R47">
        <f>_xlfn.XLOOKUP($B47,WasteEFs[w],WasteEFs[DOCFw])</f>
        <v>0.84</v>
      </c>
      <c r="S47">
        <f>$AC$7</f>
        <v>0.5</v>
      </c>
      <c r="T47">
        <f t="shared" si="17"/>
        <v>0</v>
      </c>
      <c r="U47">
        <f t="shared" si="18"/>
        <v>0</v>
      </c>
      <c r="V47">
        <f>$AC$6</f>
        <v>1.33</v>
      </c>
      <c r="W47">
        <f>F47*Q47*R47*S47*T47*V47*(1-U47)</f>
        <v>0</v>
      </c>
      <c r="X47">
        <f>SUM(P47:P56)</f>
        <v>10.068424800000003</v>
      </c>
      <c r="Y47">
        <f>SUM(H47:H56,W47:W56)</f>
        <v>86.967473900000016</v>
      </c>
      <c r="Z47">
        <f>SUM(J47:J56)</f>
        <v>0.18124459999999998</v>
      </c>
    </row>
    <row r="48" spans="1:26" x14ac:dyDescent="0.2">
      <c r="A48" t="s">
        <v>5</v>
      </c>
      <c r="B48" t="s">
        <v>3</v>
      </c>
      <c r="C48">
        <v>342</v>
      </c>
      <c r="E48">
        <f>_xlfn.XLOOKUP(B48, WasteEFs[w], WasteEFs[VTMw])</f>
        <v>0.5</v>
      </c>
      <c r="F48">
        <f t="shared" ref="F48:F56" si="57">IF(C48&lt;&gt;"", C48,D48*E48)</f>
        <v>342</v>
      </c>
      <c r="G48">
        <f t="shared" ref="G48:G56" si="58">_xlfn.XLOOKUP(A48,$X$5:$X$6,$Y$5:$Y$6, 0)</f>
        <v>7.5000000000000002E-4</v>
      </c>
      <c r="H48">
        <f t="shared" ref="H48:H53" si="59">G48*F48</f>
        <v>0.25650000000000001</v>
      </c>
      <c r="I48">
        <f t="shared" ref="I48:I56" si="60">_xlfn.XLOOKUP(A48,$X$5:$X$6,$Z$5:$Z$6, 0)</f>
        <v>9.4300000000000002E-5</v>
      </c>
      <c r="J48">
        <f t="shared" ref="J48:J56" si="61">F48*I48</f>
        <v>3.2250599999999997E-2</v>
      </c>
      <c r="K48">
        <f>_xlfn.XLOOKUP($B48,WasteEFs[w],WasteEFs[dmw])</f>
        <v>0.4</v>
      </c>
      <c r="L48">
        <f>_xlfn.XLOOKUP($B48, WasteEFs[w], WasteEFs[CCw])</f>
        <v>0.38</v>
      </c>
      <c r="M48">
        <f>_xlfn.XLOOKUP($B48, WasteEFs[w], WasteEFs[FCCw])</f>
        <v>0</v>
      </c>
      <c r="N48">
        <f>_xlfn.XLOOKUP($B48, WasteEFs[w], WasteEFs[OFw])</f>
        <v>0.71</v>
      </c>
      <c r="O48">
        <f t="shared" si="56"/>
        <v>3.67</v>
      </c>
      <c r="P48">
        <f t="shared" ref="P48:P56" si="62">IF(A48&lt;&gt;"Incineration", 0, F48*K48*L48*M48*N48*O48)</f>
        <v>0</v>
      </c>
      <c r="Q48">
        <f>_xlfn.XLOOKUP($B48,WasteEFs[w],WasteEFs[DOCw])</f>
        <v>0.15</v>
      </c>
      <c r="R48">
        <f>_xlfn.XLOOKUP($B48,WasteEFs[w],WasteEFs[DOCFw])</f>
        <v>0.84</v>
      </c>
      <c r="S48">
        <f t="shared" si="25"/>
        <v>0.5</v>
      </c>
      <c r="T48">
        <f t="shared" si="17"/>
        <v>0</v>
      </c>
      <c r="U48">
        <f t="shared" si="18"/>
        <v>0</v>
      </c>
      <c r="V48">
        <f t="shared" si="26"/>
        <v>1.33</v>
      </c>
      <c r="W48">
        <f t="shared" ref="W48:W56" si="63">F48*Q48*R48*S48*T48*V48*(1-U48)</f>
        <v>0</v>
      </c>
    </row>
    <row r="49" spans="1:26" x14ac:dyDescent="0.2">
      <c r="A49" t="s">
        <v>5</v>
      </c>
      <c r="B49" t="s">
        <v>4</v>
      </c>
      <c r="C49">
        <v>346</v>
      </c>
      <c r="E49">
        <f>_xlfn.XLOOKUP(B49, WasteEFs[w], WasteEFs[VTMw])</f>
        <v>0.24</v>
      </c>
      <c r="F49">
        <f t="shared" si="57"/>
        <v>346</v>
      </c>
      <c r="G49">
        <f t="shared" si="58"/>
        <v>7.5000000000000002E-4</v>
      </c>
      <c r="H49">
        <f t="shared" si="59"/>
        <v>0.25950000000000001</v>
      </c>
      <c r="I49">
        <f t="shared" si="60"/>
        <v>9.4300000000000002E-5</v>
      </c>
      <c r="J49">
        <f t="shared" si="61"/>
        <v>3.2627799999999998E-2</v>
      </c>
      <c r="K49">
        <f>_xlfn.XLOOKUP($B49,WasteEFs[w],WasteEFs[dmw])</f>
        <v>0.4</v>
      </c>
      <c r="L49">
        <f>_xlfn.XLOOKUP($B49, WasteEFs[w], WasteEFs[CCw])</f>
        <v>0.49</v>
      </c>
      <c r="M49">
        <f>_xlfn.XLOOKUP($B49, WasteEFs[w], WasteEFs[FCCw])</f>
        <v>0</v>
      </c>
      <c r="N49">
        <f>_xlfn.XLOOKUP($B49, WasteEFs[w], WasteEFs[OFw])</f>
        <v>0.71</v>
      </c>
      <c r="O49">
        <f t="shared" si="56"/>
        <v>3.67</v>
      </c>
      <c r="P49">
        <f t="shared" si="62"/>
        <v>0</v>
      </c>
      <c r="Q49">
        <f>_xlfn.XLOOKUP($B49,WasteEFs[w],WasteEFs[DOCw])</f>
        <v>0.2</v>
      </c>
      <c r="R49">
        <f>_xlfn.XLOOKUP($B49,WasteEFs[w],WasteEFs[DOCFw])</f>
        <v>0.47</v>
      </c>
      <c r="S49">
        <f t="shared" si="25"/>
        <v>0.5</v>
      </c>
      <c r="T49">
        <f t="shared" si="17"/>
        <v>0</v>
      </c>
      <c r="U49">
        <f t="shared" si="18"/>
        <v>0</v>
      </c>
      <c r="V49">
        <f t="shared" si="26"/>
        <v>1.33</v>
      </c>
      <c r="W49">
        <f t="shared" si="63"/>
        <v>0</v>
      </c>
    </row>
    <row r="50" spans="1:26" x14ac:dyDescent="0.2">
      <c r="A50" t="s">
        <v>40</v>
      </c>
      <c r="B50" t="s">
        <v>45</v>
      </c>
      <c r="C50">
        <v>1435</v>
      </c>
      <c r="E50">
        <f>_xlfn.XLOOKUP(B50, WasteEFs[w], WasteEFs[VTMw])</f>
        <v>0.15</v>
      </c>
      <c r="F50">
        <f t="shared" si="57"/>
        <v>1435</v>
      </c>
      <c r="G50">
        <f t="shared" si="58"/>
        <v>0</v>
      </c>
      <c r="H50">
        <f t="shared" si="59"/>
        <v>0</v>
      </c>
      <c r="I50">
        <f t="shared" si="60"/>
        <v>0</v>
      </c>
      <c r="J50">
        <f t="shared" si="61"/>
        <v>0</v>
      </c>
      <c r="K50">
        <f>_xlfn.XLOOKUP($B50,WasteEFs[w],WasteEFs[dmw])</f>
        <v>0.4</v>
      </c>
      <c r="L50">
        <f>_xlfn.XLOOKUP($B50, WasteEFs[w], WasteEFs[CCw])</f>
        <v>0.5</v>
      </c>
      <c r="M50">
        <f>_xlfn.XLOOKUP($B50, WasteEFs[w], WasteEFs[FCCw])</f>
        <v>0</v>
      </c>
      <c r="N50">
        <f>_xlfn.XLOOKUP($B50, WasteEFs[w], WasteEFs[OFw])</f>
        <v>0.71</v>
      </c>
      <c r="O50">
        <f t="shared" si="56"/>
        <v>3.67</v>
      </c>
      <c r="P50">
        <f t="shared" si="62"/>
        <v>0</v>
      </c>
      <c r="Q50">
        <f>_xlfn.XLOOKUP($B50,WasteEFs[w],WasteEFs[DOCw])</f>
        <v>0.43</v>
      </c>
      <c r="R50">
        <f>_xlfn.XLOOKUP($B50,WasteEFs[w],WasteEFs[DOCFw])</f>
        <v>0.1</v>
      </c>
      <c r="S50">
        <f t="shared" si="25"/>
        <v>0.5</v>
      </c>
      <c r="T50">
        <f t="shared" si="17"/>
        <v>0.4</v>
      </c>
      <c r="U50">
        <f t="shared" si="18"/>
        <v>0</v>
      </c>
      <c r="V50">
        <f t="shared" si="26"/>
        <v>1.33</v>
      </c>
      <c r="W50">
        <f t="shared" si="63"/>
        <v>16.413530000000002</v>
      </c>
    </row>
    <row r="51" spans="1:26" x14ac:dyDescent="0.2">
      <c r="A51" t="s">
        <v>40</v>
      </c>
      <c r="B51" t="s">
        <v>46</v>
      </c>
      <c r="D51">
        <v>1235</v>
      </c>
      <c r="E51">
        <f>_xlfn.XLOOKUP(B51, WasteEFs[w], WasteEFs[VTMw])</f>
        <v>0.15</v>
      </c>
      <c r="F51">
        <f t="shared" si="57"/>
        <v>185.25</v>
      </c>
      <c r="G51">
        <f t="shared" si="58"/>
        <v>0</v>
      </c>
      <c r="H51">
        <f t="shared" si="59"/>
        <v>0</v>
      </c>
      <c r="I51">
        <f t="shared" si="60"/>
        <v>0</v>
      </c>
      <c r="J51">
        <f t="shared" si="61"/>
        <v>0</v>
      </c>
      <c r="K51">
        <f>_xlfn.XLOOKUP($B51,WasteEFs[w],WasteEFs[dmw])</f>
        <v>0.9</v>
      </c>
      <c r="L51">
        <f>_xlfn.XLOOKUP($B51, WasteEFs[w], WasteEFs[CCw])</f>
        <v>0.5</v>
      </c>
      <c r="M51">
        <f>_xlfn.XLOOKUP($B51, WasteEFs[w], WasteEFs[FCCw])</f>
        <v>0</v>
      </c>
      <c r="N51">
        <f>_xlfn.XLOOKUP($B51, WasteEFs[w], WasteEFs[OFw])</f>
        <v>0.71</v>
      </c>
      <c r="O51">
        <f t="shared" si="56"/>
        <v>3.67</v>
      </c>
      <c r="P51">
        <f t="shared" si="62"/>
        <v>0</v>
      </c>
      <c r="Q51">
        <f>_xlfn.XLOOKUP($B51,WasteEFs[w],WasteEFs[DOCw])</f>
        <v>0.43</v>
      </c>
      <c r="R51">
        <f>_xlfn.XLOOKUP($B51,WasteEFs[w],WasteEFs[DOCFw])</f>
        <v>0.1</v>
      </c>
      <c r="S51">
        <f t="shared" si="25"/>
        <v>0.5</v>
      </c>
      <c r="T51">
        <f t="shared" si="17"/>
        <v>0.4</v>
      </c>
      <c r="U51">
        <f t="shared" si="18"/>
        <v>0</v>
      </c>
      <c r="V51">
        <f t="shared" si="26"/>
        <v>1.33</v>
      </c>
      <c r="W51">
        <f t="shared" si="63"/>
        <v>2.1188895000000003</v>
      </c>
    </row>
    <row r="52" spans="1:26" x14ac:dyDescent="0.2">
      <c r="A52" t="s">
        <v>2</v>
      </c>
      <c r="B52" t="s">
        <v>7</v>
      </c>
      <c r="D52">
        <v>345</v>
      </c>
      <c r="E52">
        <f>_xlfn.XLOOKUP(B52, WasteEFs[w], WasteEFs[VTMw])</f>
        <v>0.14000000000000001</v>
      </c>
      <c r="F52">
        <f t="shared" si="57"/>
        <v>48.300000000000004</v>
      </c>
      <c r="G52">
        <f t="shared" si="58"/>
        <v>0</v>
      </c>
      <c r="H52">
        <f t="shared" si="59"/>
        <v>0</v>
      </c>
      <c r="I52">
        <f t="shared" si="60"/>
        <v>0</v>
      </c>
      <c r="J52">
        <f t="shared" si="61"/>
        <v>0</v>
      </c>
      <c r="K52">
        <f>_xlfn.XLOOKUP($B52,WasteEFs[w],WasteEFs[dmw])</f>
        <v>0.8</v>
      </c>
      <c r="L52">
        <f>_xlfn.XLOOKUP($B52, WasteEFs[w], WasteEFs[CCw])</f>
        <v>0.5</v>
      </c>
      <c r="M52">
        <f>_xlfn.XLOOKUP($B52, WasteEFs[w], WasteEFs[FCCw])</f>
        <v>0.2</v>
      </c>
      <c r="N52">
        <f>_xlfn.XLOOKUP($B52, WasteEFs[w], WasteEFs[OFw])</f>
        <v>0.71</v>
      </c>
      <c r="O52">
        <f t="shared" si="56"/>
        <v>3.67</v>
      </c>
      <c r="P52">
        <f t="shared" si="62"/>
        <v>10.068424800000003</v>
      </c>
      <c r="Q52">
        <f>_xlfn.XLOOKUP($B52,WasteEFs[w],WasteEFs[DOCw])</f>
        <v>0.24</v>
      </c>
      <c r="R52">
        <f>_xlfn.XLOOKUP($B52,WasteEFs[w],WasteEFs[DOCFw])</f>
        <v>0.5</v>
      </c>
      <c r="S52">
        <f t="shared" si="25"/>
        <v>0.5</v>
      </c>
      <c r="T52">
        <f t="shared" si="17"/>
        <v>0</v>
      </c>
      <c r="U52">
        <f t="shared" si="18"/>
        <v>0</v>
      </c>
      <c r="V52">
        <f t="shared" si="26"/>
        <v>1.33</v>
      </c>
      <c r="W52">
        <f t="shared" si="63"/>
        <v>0</v>
      </c>
    </row>
    <row r="53" spans="1:26" x14ac:dyDescent="0.2">
      <c r="A53" t="s">
        <v>9</v>
      </c>
      <c r="B53" t="s">
        <v>1</v>
      </c>
      <c r="D53">
        <v>4356</v>
      </c>
      <c r="E53">
        <f>_xlfn.XLOOKUP(B53, WasteEFs[w], WasteEFs[VTMw])</f>
        <v>0.72</v>
      </c>
      <c r="F53">
        <f t="shared" si="57"/>
        <v>3136.3199999999997</v>
      </c>
      <c r="G53">
        <f t="shared" si="58"/>
        <v>1E-4</v>
      </c>
      <c r="H53">
        <f t="shared" si="59"/>
        <v>0.31363199999999997</v>
      </c>
      <c r="I53">
        <f t="shared" si="60"/>
        <v>0</v>
      </c>
      <c r="J53">
        <f t="shared" si="61"/>
        <v>0</v>
      </c>
      <c r="K53">
        <f>_xlfn.XLOOKUP($B53,WasteEFs[w],WasteEFs[dmw])</f>
        <v>0</v>
      </c>
      <c r="L53">
        <f>_xlfn.XLOOKUP($B53, WasteEFs[w], WasteEFs[CCw])</f>
        <v>0.5</v>
      </c>
      <c r="M53">
        <f>_xlfn.XLOOKUP($B53, WasteEFs[w], WasteEFs[FCCw])</f>
        <v>0</v>
      </c>
      <c r="N53">
        <f>_xlfn.XLOOKUP($B53, WasteEFs[w], WasteEFs[OFw])</f>
        <v>0.71</v>
      </c>
      <c r="O53">
        <f t="shared" si="56"/>
        <v>3.67</v>
      </c>
      <c r="P53">
        <f t="shared" si="62"/>
        <v>0</v>
      </c>
      <c r="Q53">
        <f>_xlfn.XLOOKUP($B53,WasteEFs[w],WasteEFs[DOCw])</f>
        <v>0.05</v>
      </c>
      <c r="R53">
        <f>_xlfn.XLOOKUP($B53,WasteEFs[w],WasteEFs[DOCFw])</f>
        <v>0.5</v>
      </c>
      <c r="S53">
        <f t="shared" si="25"/>
        <v>0.5</v>
      </c>
      <c r="T53">
        <f t="shared" si="17"/>
        <v>0</v>
      </c>
      <c r="U53">
        <f t="shared" si="18"/>
        <v>0</v>
      </c>
      <c r="V53">
        <f t="shared" si="26"/>
        <v>1.33</v>
      </c>
      <c r="W53">
        <f t="shared" si="63"/>
        <v>0</v>
      </c>
    </row>
    <row r="54" spans="1:26" x14ac:dyDescent="0.2">
      <c r="A54" t="s">
        <v>38</v>
      </c>
      <c r="B54" t="s">
        <v>54</v>
      </c>
      <c r="D54">
        <v>324</v>
      </c>
      <c r="E54">
        <f>_xlfn.XLOOKUP(B54, WasteEFs[w], WasteEFs[VTMw])</f>
        <v>0.39</v>
      </c>
      <c r="F54">
        <f t="shared" si="57"/>
        <v>126.36</v>
      </c>
      <c r="G54">
        <f t="shared" si="58"/>
        <v>0</v>
      </c>
      <c r="H54">
        <f>G54*F54</f>
        <v>0</v>
      </c>
      <c r="I54">
        <f t="shared" si="60"/>
        <v>0</v>
      </c>
      <c r="J54">
        <f t="shared" si="61"/>
        <v>0</v>
      </c>
      <c r="K54">
        <f>_xlfn.XLOOKUP($B54,WasteEFs[w],WasteEFs[dmw])</f>
        <v>0.4</v>
      </c>
      <c r="L54">
        <f>_xlfn.XLOOKUP($B54, WasteEFs[w], WasteEFs[CCw])</f>
        <v>0.7</v>
      </c>
      <c r="M54">
        <f>_xlfn.XLOOKUP($B54, WasteEFs[w], WasteEFs[FCCw])</f>
        <v>0.1</v>
      </c>
      <c r="N54">
        <f>_xlfn.XLOOKUP($B54, WasteEFs[w], WasteEFs[OFw])</f>
        <v>0.71</v>
      </c>
      <c r="O54">
        <f t="shared" si="56"/>
        <v>3.67</v>
      </c>
      <c r="P54">
        <f t="shared" si="62"/>
        <v>0</v>
      </c>
      <c r="Q54">
        <f>_xlfn.XLOOKUP($B54,WasteEFs[w],WasteEFs[DOCw])</f>
        <v>0.24</v>
      </c>
      <c r="R54">
        <f>_xlfn.XLOOKUP($B54,WasteEFs[w],WasteEFs[DOCFw])</f>
        <v>0.5</v>
      </c>
      <c r="S54">
        <f t="shared" si="25"/>
        <v>0.5</v>
      </c>
      <c r="T54">
        <f t="shared" si="17"/>
        <v>0.8</v>
      </c>
      <c r="U54">
        <f t="shared" si="18"/>
        <v>0</v>
      </c>
      <c r="V54">
        <f t="shared" si="26"/>
        <v>1.33</v>
      </c>
      <c r="W54">
        <f t="shared" si="63"/>
        <v>8.0668224000000013</v>
      </c>
    </row>
    <row r="55" spans="1:26" x14ac:dyDescent="0.2">
      <c r="A55" t="s">
        <v>38</v>
      </c>
      <c r="B55" t="s">
        <v>8</v>
      </c>
      <c r="C55">
        <v>565</v>
      </c>
      <c r="E55">
        <f>_xlfn.XLOOKUP(B55, WasteEFs[w], WasteEFs[VTMw])</f>
        <v>0.14000000000000001</v>
      </c>
      <c r="F55">
        <f t="shared" si="57"/>
        <v>565</v>
      </c>
      <c r="G55">
        <f t="shared" si="58"/>
        <v>0</v>
      </c>
      <c r="H55">
        <f t="shared" ref="H55:H56" si="64">G55*F55</f>
        <v>0</v>
      </c>
      <c r="I55">
        <f t="shared" si="60"/>
        <v>0</v>
      </c>
      <c r="J55">
        <f t="shared" si="61"/>
        <v>0</v>
      </c>
      <c r="K55">
        <f>_xlfn.XLOOKUP($B55,WasteEFs[w],WasteEFs[dmw])</f>
        <v>0.84</v>
      </c>
      <c r="L55">
        <f>_xlfn.XLOOKUP($B55, WasteEFs[w], WasteEFs[CCw])</f>
        <v>0.67</v>
      </c>
      <c r="M55">
        <f>_xlfn.XLOOKUP($B55, WasteEFs[w], WasteEFs[FCCw])</f>
        <v>0.2</v>
      </c>
      <c r="N55">
        <f>_xlfn.XLOOKUP($B55, WasteEFs[w], WasteEFs[OFw])</f>
        <v>0.71</v>
      </c>
      <c r="O55">
        <f t="shared" ref="O55:O56" si="65">$AC$5</f>
        <v>3.67</v>
      </c>
      <c r="P55">
        <f t="shared" si="62"/>
        <v>0</v>
      </c>
      <c r="Q55">
        <f>_xlfn.XLOOKUP($B55,WasteEFs[w],WasteEFs[DOCw])</f>
        <v>0.39</v>
      </c>
      <c r="R55">
        <f>_xlfn.XLOOKUP($B55,WasteEFs[w],WasteEFs[DOCFw])</f>
        <v>0.5</v>
      </c>
      <c r="S55">
        <f t="shared" si="25"/>
        <v>0.5</v>
      </c>
      <c r="T55">
        <f t="shared" si="17"/>
        <v>0.8</v>
      </c>
      <c r="U55">
        <f t="shared" si="18"/>
        <v>0</v>
      </c>
      <c r="V55">
        <f t="shared" si="26"/>
        <v>1.33</v>
      </c>
      <c r="W55">
        <f t="shared" si="63"/>
        <v>58.613100000000003</v>
      </c>
    </row>
    <row r="56" spans="1:26" x14ac:dyDescent="0.2">
      <c r="A56" s="3" t="s">
        <v>38</v>
      </c>
      <c r="B56" s="3" t="s">
        <v>47</v>
      </c>
      <c r="C56" s="3">
        <v>7643</v>
      </c>
      <c r="D56" s="3"/>
      <c r="E56" s="3">
        <f>_xlfn.XLOOKUP(B56, WasteEFs[w], WasteEFs[VTMw])</f>
        <v>0.42</v>
      </c>
      <c r="F56" s="3">
        <f t="shared" si="57"/>
        <v>7643</v>
      </c>
      <c r="G56" s="3">
        <f t="shared" si="58"/>
        <v>0</v>
      </c>
      <c r="H56" s="3">
        <f t="shared" si="64"/>
        <v>0</v>
      </c>
      <c r="I56" s="3">
        <f t="shared" si="60"/>
        <v>0</v>
      </c>
      <c r="J56" s="3">
        <f t="shared" si="61"/>
        <v>0</v>
      </c>
      <c r="K56" s="3">
        <f>_xlfn.XLOOKUP($B56,WasteEFs[w],WasteEFs[dmw])</f>
        <v>0.9</v>
      </c>
      <c r="L56" s="3">
        <f>_xlfn.XLOOKUP($B56, WasteEFs[w], WasteEFs[CCw])</f>
        <v>0.03</v>
      </c>
      <c r="M56" s="3">
        <f>_xlfn.XLOOKUP($B56, WasteEFs[w], WasteEFs[FCCw])</f>
        <v>1</v>
      </c>
      <c r="N56" s="3">
        <f>_xlfn.XLOOKUP($B56, WasteEFs[w], WasteEFs[OFw])</f>
        <v>0.71</v>
      </c>
      <c r="O56" s="3">
        <f t="shared" si="65"/>
        <v>3.67</v>
      </c>
      <c r="P56" s="3">
        <f t="shared" si="62"/>
        <v>0</v>
      </c>
      <c r="Q56" s="3">
        <f>_xlfn.XLOOKUP($B56,WasteEFs[w],WasteEFs[DOCw])</f>
        <v>0</v>
      </c>
      <c r="R56" s="3">
        <f>_xlfn.XLOOKUP($B56,WasteEFs[w],WasteEFs[DOCFw])</f>
        <v>0</v>
      </c>
      <c r="S56" s="3">
        <f t="shared" si="25"/>
        <v>0.5</v>
      </c>
      <c r="T56" s="3">
        <f t="shared" si="17"/>
        <v>0.8</v>
      </c>
      <c r="U56" s="3">
        <f t="shared" si="18"/>
        <v>0</v>
      </c>
      <c r="V56" s="3">
        <f t="shared" si="26"/>
        <v>1.33</v>
      </c>
      <c r="W56" s="3">
        <f t="shared" si="63"/>
        <v>0</v>
      </c>
      <c r="X56" s="3"/>
      <c r="Y56" s="3"/>
      <c r="Z56" s="3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Eddie Sholl</cp:lastModifiedBy>
  <dcterms:created xsi:type="dcterms:W3CDTF">2026-02-18T00:55:42Z</dcterms:created>
  <dcterms:modified xsi:type="dcterms:W3CDTF">2026-10-22T06:06:32Z</dcterms:modified>
</cp:coreProperties>
</file>