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817209BF-CDF8-E14B-858F-7020FC890C0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15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J66" i="1"/>
  <c r="J67" i="1"/>
  <c r="J68" i="1"/>
  <c r="J69" i="1"/>
  <c r="J70" i="1"/>
  <c r="J71" i="1"/>
  <c r="J72" i="1"/>
  <c r="J73" i="1"/>
  <c r="J74" i="1"/>
  <c r="J75" i="1"/>
  <c r="J64" i="1"/>
  <c r="J47" i="1"/>
  <c r="J48" i="1"/>
  <c r="J49" i="1"/>
  <c r="J50" i="1"/>
  <c r="J51" i="1"/>
  <c r="J52" i="1"/>
  <c r="J53" i="1"/>
  <c r="I53" i="1"/>
  <c r="I52" i="1"/>
  <c r="I51" i="1"/>
  <c r="I50" i="1"/>
  <c r="I49" i="1"/>
  <c r="I48" i="1"/>
  <c r="I47" i="1"/>
  <c r="I46" i="1"/>
  <c r="J46" i="1"/>
  <c r="G47" i="1"/>
  <c r="G48" i="1"/>
  <c r="G49" i="1"/>
  <c r="G50" i="1"/>
  <c r="G51" i="1"/>
  <c r="G52" i="1"/>
  <c r="G53" i="1"/>
  <c r="G46" i="1"/>
  <c r="J42" i="1" l="1"/>
  <c r="J43" i="1"/>
  <c r="J44" i="1"/>
  <c r="J45" i="1"/>
  <c r="I42" i="1"/>
  <c r="I43" i="1"/>
  <c r="I44" i="1"/>
  <c r="I45" i="1"/>
  <c r="I41" i="1"/>
  <c r="J41" i="1"/>
  <c r="G42" i="1"/>
  <c r="G43" i="1"/>
  <c r="G44" i="1"/>
  <c r="G45" i="1"/>
  <c r="G41" i="1"/>
  <c r="I36" i="1"/>
  <c r="I37" i="1"/>
  <c r="J37" i="1" s="1"/>
  <c r="I38" i="1"/>
  <c r="J38" i="1" s="1"/>
  <c r="I39" i="1"/>
  <c r="J39" i="1" s="1"/>
  <c r="I40" i="1"/>
  <c r="G37" i="1"/>
  <c r="G38" i="1"/>
  <c r="G39" i="1"/>
  <c r="G40" i="1"/>
  <c r="G3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26" i="1" a="1"/>
  <c r="G26" i="1" s="1"/>
  <c r="G11" i="1" a="1"/>
  <c r="G11" i="1" s="1"/>
  <c r="I27" i="1"/>
  <c r="I28" i="1"/>
  <c r="I29" i="1"/>
  <c r="I30" i="1"/>
  <c r="I31" i="1"/>
  <c r="I32" i="1"/>
  <c r="I33" i="1"/>
  <c r="I34" i="1"/>
  <c r="I35" i="1"/>
  <c r="I26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1" i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J19" i="1" s="1"/>
  <c r="G20" i="1" a="1"/>
  <c r="G20" i="1" s="1"/>
  <c r="G21" i="1" a="1"/>
  <c r="G21" i="1" s="1"/>
  <c r="J21" i="1" s="1"/>
  <c r="G22" i="1" a="1"/>
  <c r="G22" i="1" s="1"/>
  <c r="G23" i="1" a="1"/>
  <c r="G23" i="1" s="1"/>
  <c r="G24" i="1" a="1"/>
  <c r="G24" i="1" s="1"/>
  <c r="G25" i="1" a="1"/>
  <c r="G25" i="1" s="1"/>
  <c r="J14" i="1" l="1"/>
  <c r="J24" i="1"/>
  <c r="J12" i="1"/>
  <c r="J23" i="1"/>
  <c r="J22" i="1"/>
  <c r="J20" i="1"/>
  <c r="J18" i="1"/>
  <c r="J29" i="1"/>
  <c r="J26" i="1"/>
  <c r="J35" i="1"/>
  <c r="J34" i="1"/>
  <c r="J33" i="1"/>
  <c r="J17" i="1"/>
  <c r="J32" i="1"/>
  <c r="J16" i="1"/>
  <c r="J31" i="1"/>
  <c r="J15" i="1"/>
  <c r="J30" i="1"/>
  <c r="J25" i="1"/>
  <c r="J13" i="1"/>
  <c r="J28" i="1"/>
  <c r="J27" i="1"/>
  <c r="J11" i="1"/>
  <c r="J40" i="1"/>
  <c r="J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<sst xmlns="http://schemas.openxmlformats.org/spreadsheetml/2006/main" count="348" uniqueCount="100">
  <si>
    <t>input</t>
  </si>
  <si>
    <t>constant</t>
  </si>
  <si>
    <t>expression</t>
  </si>
  <si>
    <t>E</t>
  </si>
  <si>
    <t>Method 1</t>
  </si>
  <si>
    <t>tonnes CO2e</t>
  </si>
  <si>
    <t>Method 2</t>
  </si>
  <si>
    <t>Wco</t>
  </si>
  <si>
    <t>Efco</t>
  </si>
  <si>
    <t>Buffalo</t>
  </si>
  <si>
    <t>Goats</t>
  </si>
  <si>
    <t>Deer</t>
  </si>
  <si>
    <t>Camels</t>
  </si>
  <si>
    <t>Alpacas</t>
  </si>
  <si>
    <t>Horses</t>
  </si>
  <si>
    <t>Mules/asses</t>
  </si>
  <si>
    <t>Emus/ostriches</t>
  </si>
  <si>
    <t>Nco</t>
  </si>
  <si>
    <t>head</t>
  </si>
  <si>
    <t>kg</t>
  </si>
  <si>
    <t>Type</t>
  </si>
  <si>
    <t>Beef</t>
  </si>
  <si>
    <t>Dairy</t>
  </si>
  <si>
    <t>Pig</t>
  </si>
  <si>
    <t>Poultry</t>
  </si>
  <si>
    <t>Other</t>
  </si>
  <si>
    <t>Region</t>
  </si>
  <si>
    <t>Class</t>
  </si>
  <si>
    <t>W</t>
  </si>
  <si>
    <t>Appendix A.1.2.1</t>
  </si>
  <si>
    <t>Season</t>
  </si>
  <si>
    <t>ACT</t>
  </si>
  <si>
    <t>NSW</t>
  </si>
  <si>
    <t>SA</t>
  </si>
  <si>
    <t>TAS</t>
  </si>
  <si>
    <t>VIC</t>
  </si>
  <si>
    <t>WA - South West</t>
  </si>
  <si>
    <t>WA - Pilbara</t>
  </si>
  <si>
    <t>WA - Kimberley</t>
  </si>
  <si>
    <t>NT - Alice Springs</t>
  </si>
  <si>
    <t>NT - Barkly</t>
  </si>
  <si>
    <t>NT - Northern</t>
  </si>
  <si>
    <t>QLD - High</t>
  </si>
  <si>
    <t>QLD - Moderate/High</t>
  </si>
  <si>
    <t>QLD - Moderate/Low</t>
  </si>
  <si>
    <t>QLD - Low</t>
  </si>
  <si>
    <t>Spring</t>
  </si>
  <si>
    <t>Bulls &lt; 1 year</t>
  </si>
  <si>
    <t>Summer</t>
  </si>
  <si>
    <t>Autumn</t>
  </si>
  <si>
    <t>Winter</t>
  </si>
  <si>
    <t>Bulls &gt; 1 year</t>
  </si>
  <si>
    <t>Cows 1-2 years</t>
  </si>
  <si>
    <t>Cows 2-3 years</t>
  </si>
  <si>
    <t>Cows &lt; 1 year</t>
  </si>
  <si>
    <t>Cows &gt; 3 years</t>
  </si>
  <si>
    <t>Steers 1-2 years</t>
  </si>
  <si>
    <t>Steers 2-3 years</t>
  </si>
  <si>
    <t>Steers &lt; 1 year</t>
  </si>
  <si>
    <t>Steers &gt;3 years</t>
  </si>
  <si>
    <t>Category</t>
  </si>
  <si>
    <t>beefPrime</t>
  </si>
  <si>
    <t>beefWeaned</t>
  </si>
  <si>
    <t>dairySpent</t>
  </si>
  <si>
    <t>EF</t>
  </si>
  <si>
    <t>sheepMutton</t>
  </si>
  <si>
    <t>sheepPrimeLamb</t>
  </si>
  <si>
    <t>Breed</t>
  </si>
  <si>
    <t>milkingCows</t>
  </si>
  <si>
    <t>heifersGt1</t>
  </si>
  <si>
    <t>bullsGt1</t>
  </si>
  <si>
    <t>Medium Friesian</t>
  </si>
  <si>
    <t>Large Friesian</t>
  </si>
  <si>
    <t>Holstein-Friesian</t>
  </si>
  <si>
    <t>Friesian crossbred</t>
  </si>
  <si>
    <t>Jersey</t>
  </si>
  <si>
    <t>Jersey crossbred</t>
  </si>
  <si>
    <t>Ayrshire</t>
  </si>
  <si>
    <t>Guernsey</t>
  </si>
  <si>
    <t>Brown Swiss</t>
  </si>
  <si>
    <t>Illawarra/Aussie Red</t>
  </si>
  <si>
    <t>Livestock type</t>
  </si>
  <si>
    <t>heifersLt1</t>
  </si>
  <si>
    <t>bullsLt1</t>
  </si>
  <si>
    <t>boars</t>
  </si>
  <si>
    <t>sows</t>
  </si>
  <si>
    <t>gilts</t>
  </si>
  <si>
    <t>slaughterPigs</t>
  </si>
  <si>
    <t>slaughterPigsAtTurnoff</t>
  </si>
  <si>
    <t>chickens</t>
  </si>
  <si>
    <t>hensGte1</t>
  </si>
  <si>
    <t>pullets</t>
  </si>
  <si>
    <t>broilers</t>
  </si>
  <si>
    <t>chicks</t>
  </si>
  <si>
    <t>Poultry EF</t>
  </si>
  <si>
    <t>pigsDefault</t>
  </si>
  <si>
    <t>pigsConventionalRearingCoveredPond</t>
  </si>
  <si>
    <t>pigsConventionalRearingUncoveredEffluentPond</t>
  </si>
  <si>
    <t>pigsDeepLitterRearing</t>
  </si>
  <si>
    <t>pigsOutdoorRearing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</si>
</sst>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91"/>
  <sheetViews>
    <sheetView tabSelected="1" topLeftCell="U1" workbookViewId="0">
      <selection activeCell="AF13" sqref="AF13"/>
    </sheetView>
  </sheetViews>
  <sheetFormatPr baseColWidth="10" defaultRowHeight="16" x14ac:dyDescent="0.2"/>
  <cols>
    <col min="2" max="2" width="16.33203125" customWidth="1"/>
    <col min="3" max="3" width="18.33203125" customWidth="1"/>
    <col min="5" max="5" width="30.1640625" customWidth="1"/>
    <col min="6" max="6" width="14.83203125" customWidth="1"/>
    <col min="26" max="26" width="18.33203125" bestFit="1" customWidth="1"/>
    <col min="27" max="27" width="17.83203125" bestFit="1" customWidth="1"/>
    <col min="32" max="32" width="39" bestFit="1" customWidth="1"/>
  </cols>
  <sheetData>
    <row r="2" spans="1:33" x14ac:dyDescent="0.2">
      <c r="AF2" t="s">
        <v>64</v>
      </c>
    </row>
    <row r="3" spans="1:33" x14ac:dyDescent="0.2">
      <c r="M3" t="s">
        <v>94</v>
      </c>
      <c r="N3">
        <v>1.03</v>
      </c>
      <c r="AF3" t="s">
        <v>63</v>
      </c>
      <c r="AG3">
        <v>3.98</v>
      </c>
    </row>
    <row r="4" spans="1:33" x14ac:dyDescent="0.2">
      <c r="AF4" t="s">
        <v>61</v>
      </c>
      <c r="AG4">
        <v>12.4</v>
      </c>
    </row>
    <row r="5" spans="1:33" x14ac:dyDescent="0.2">
      <c r="J5" s="2"/>
      <c r="AF5" t="s">
        <v>62</v>
      </c>
      <c r="AG5">
        <v>13.29</v>
      </c>
    </row>
    <row r="6" spans="1:33" x14ac:dyDescent="0.2">
      <c r="A6" t="s">
        <v>4</v>
      </c>
      <c r="AF6" t="s">
        <v>65</v>
      </c>
      <c r="AG6">
        <v>6.03</v>
      </c>
    </row>
    <row r="7" spans="1:33" x14ac:dyDescent="0.2">
      <c r="H7">
        <v>257</v>
      </c>
      <c r="I7">
        <v>258</v>
      </c>
      <c r="J7">
        <v>256</v>
      </c>
      <c r="AF7" t="s">
        <v>66</v>
      </c>
      <c r="AG7">
        <v>6.08</v>
      </c>
    </row>
    <row r="8" spans="1:33" x14ac:dyDescent="0.2">
      <c r="G8" t="s">
        <v>0</v>
      </c>
      <c r="H8" t="s">
        <v>0</v>
      </c>
      <c r="I8" t="s">
        <v>1</v>
      </c>
      <c r="J8" t="s">
        <v>2</v>
      </c>
      <c r="AF8" t="s">
        <v>95</v>
      </c>
      <c r="AG8">
        <v>3.11</v>
      </c>
    </row>
    <row r="9" spans="1:33" x14ac:dyDescent="0.2">
      <c r="G9" t="s">
        <v>19</v>
      </c>
      <c r="H9" t="s">
        <v>18</v>
      </c>
      <c r="J9" t="s">
        <v>5</v>
      </c>
      <c r="AF9" t="s">
        <v>96</v>
      </c>
      <c r="AG9">
        <v>2.0499999999999998</v>
      </c>
    </row>
    <row r="10" spans="1:33" x14ac:dyDescent="0.2">
      <c r="A10" s="1" t="s">
        <v>20</v>
      </c>
      <c r="B10" s="1" t="s">
        <v>26</v>
      </c>
      <c r="C10" s="1" t="s">
        <v>27</v>
      </c>
      <c r="D10" s="1" t="s">
        <v>30</v>
      </c>
      <c r="E10" s="1" t="s">
        <v>60</v>
      </c>
      <c r="F10" s="1" t="s">
        <v>67</v>
      </c>
      <c r="G10" s="1" t="s">
        <v>7</v>
      </c>
      <c r="H10" s="1" t="s">
        <v>17</v>
      </c>
      <c r="I10" s="1" t="s">
        <v>8</v>
      </c>
      <c r="J10" s="1" t="s">
        <v>3</v>
      </c>
      <c r="L10" s="3"/>
      <c r="M10" s="3"/>
      <c r="N10" s="3"/>
      <c r="AF10" t="s">
        <v>97</v>
      </c>
      <c r="AG10">
        <v>4.95</v>
      </c>
    </row>
    <row r="11" spans="1:33" x14ac:dyDescent="0.2">
      <c r="A11" s="3" t="s">
        <v>21</v>
      </c>
      <c r="B11" s="3" t="s">
        <v>31</v>
      </c>
      <c r="C11" s="3" t="s">
        <v>47</v>
      </c>
      <c r="D11" t="s">
        <v>46</v>
      </c>
      <c r="E11" s="3" t="s">
        <v>61</v>
      </c>
      <c r="F11" s="3"/>
      <c r="G11" cm="1">
        <f t="array" ref="G11">_xlfn.XLOOKUP(D11&amp;C11,$L$13:$L$52&amp;$M$13:$M$52,_xlfn.XLOOKUP(B11,$N$12:$AB$12,$N$13:$AB$52))</f>
        <v>80</v>
      </c>
      <c r="H11">
        <v>103</v>
      </c>
      <c r="I11">
        <f>VLOOKUP(E11, $AF$3:$AG$12,2)</f>
        <v>12.4</v>
      </c>
      <c r="J11">
        <f>(G11*H11*I11)/1000</f>
        <v>102.176</v>
      </c>
      <c r="L11" t="s">
        <v>28</v>
      </c>
      <c r="M11" t="s">
        <v>29</v>
      </c>
      <c r="AF11" t="s">
        <v>98</v>
      </c>
      <c r="AG11">
        <v>1.66</v>
      </c>
    </row>
    <row r="12" spans="1:33" x14ac:dyDescent="0.2">
      <c r="A12" s="3" t="s">
        <v>21</v>
      </c>
      <c r="B12" t="s">
        <v>32</v>
      </c>
      <c r="C12" t="s">
        <v>52</v>
      </c>
      <c r="D12" t="s">
        <v>48</v>
      </c>
      <c r="E12" s="3" t="s">
        <v>61</v>
      </c>
      <c r="F12" s="3"/>
      <c r="G12" cm="1">
        <f t="array" ref="G12">_xlfn.XLOOKUP(D12&amp;C12,$L$13:$L$52&amp;$M$13:$M$52,_xlfn.XLOOKUP(B12,$N$12:$AB$12,$N$13:$AB$52))</f>
        <v>360</v>
      </c>
      <c r="H12">
        <v>104</v>
      </c>
      <c r="I12">
        <f t="shared" ref="I12:I35" si="0">VLOOKUP(E12, $AF$3:$AG$12,2)</f>
        <v>12.4</v>
      </c>
      <c r="J12">
        <f t="shared" ref="J12:J53" si="1">(G12*H12*I12)/1000</f>
        <v>464.25599999999997</v>
      </c>
      <c r="L12" t="s">
        <v>30</v>
      </c>
      <c r="M12" t="s">
        <v>27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 t="s">
        <v>42</v>
      </c>
      <c r="Z12" t="s">
        <v>43</v>
      </c>
      <c r="AA12" t="s">
        <v>44</v>
      </c>
      <c r="AB12" t="s">
        <v>45</v>
      </c>
      <c r="AF12" t="s">
        <v>99</v>
      </c>
      <c r="AG12">
        <v>2.06</v>
      </c>
    </row>
    <row r="13" spans="1:33" x14ac:dyDescent="0.2">
      <c r="A13" s="3" t="s">
        <v>21</v>
      </c>
      <c r="B13" t="s">
        <v>33</v>
      </c>
      <c r="C13" t="s">
        <v>54</v>
      </c>
      <c r="D13" t="s">
        <v>49</v>
      </c>
      <c r="E13" s="3" t="s">
        <v>61</v>
      </c>
      <c r="F13" s="3"/>
      <c r="G13" cm="1">
        <f t="array" ref="G13">_xlfn.XLOOKUP(D13&amp;C13,$L$13:$L$52&amp;$M$13:$M$52,_xlfn.XLOOKUP(B13,$N$12:$AB$12,$N$13:$AB$52))</f>
        <v>70</v>
      </c>
      <c r="H13">
        <v>105</v>
      </c>
      <c r="I13">
        <f t="shared" si="0"/>
        <v>12.4</v>
      </c>
      <c r="J13">
        <f t="shared" si="1"/>
        <v>91.14</v>
      </c>
      <c r="L13" t="s">
        <v>46</v>
      </c>
      <c r="M13" t="s">
        <v>47</v>
      </c>
      <c r="N13">
        <v>80</v>
      </c>
      <c r="O13">
        <v>80</v>
      </c>
      <c r="P13">
        <v>250</v>
      </c>
      <c r="Q13">
        <v>105</v>
      </c>
      <c r="R13">
        <v>250</v>
      </c>
      <c r="S13">
        <v>340</v>
      </c>
      <c r="T13">
        <v>80</v>
      </c>
      <c r="U13">
        <v>220</v>
      </c>
      <c r="V13">
        <v>220</v>
      </c>
      <c r="W13">
        <v>220</v>
      </c>
      <c r="X13">
        <v>220</v>
      </c>
      <c r="Y13">
        <v>260</v>
      </c>
      <c r="Z13">
        <v>230</v>
      </c>
      <c r="AA13">
        <v>236</v>
      </c>
      <c r="AB13">
        <v>190</v>
      </c>
    </row>
    <row r="14" spans="1:33" x14ac:dyDescent="0.2">
      <c r="A14" s="3" t="s">
        <v>21</v>
      </c>
      <c r="B14" t="s">
        <v>34</v>
      </c>
      <c r="C14" t="s">
        <v>55</v>
      </c>
      <c r="D14" t="s">
        <v>50</v>
      </c>
      <c r="E14" s="3" t="s">
        <v>61</v>
      </c>
      <c r="F14" s="3"/>
      <c r="G14" cm="1">
        <f t="array" ref="G14">_xlfn.XLOOKUP(D14&amp;C14,$L$13:$L$52&amp;$M$13:$M$52,_xlfn.XLOOKUP(B14,$N$12:$AB$12,$N$13:$AB$52))</f>
        <v>460</v>
      </c>
      <c r="H14">
        <v>106</v>
      </c>
      <c r="I14">
        <f t="shared" si="0"/>
        <v>12.4</v>
      </c>
      <c r="J14">
        <f t="shared" si="1"/>
        <v>604.62400000000002</v>
      </c>
      <c r="L14" t="s">
        <v>48</v>
      </c>
      <c r="M14" t="s">
        <v>47</v>
      </c>
      <c r="N14">
        <v>170</v>
      </c>
      <c r="O14">
        <v>170</v>
      </c>
      <c r="P14">
        <v>320</v>
      </c>
      <c r="Q14">
        <v>480</v>
      </c>
      <c r="R14">
        <v>280</v>
      </c>
      <c r="S14">
        <v>380</v>
      </c>
      <c r="T14">
        <v>150</v>
      </c>
      <c r="U14">
        <v>110</v>
      </c>
      <c r="V14">
        <v>110</v>
      </c>
      <c r="W14">
        <v>110</v>
      </c>
      <c r="X14">
        <v>110</v>
      </c>
      <c r="Y14">
        <v>153</v>
      </c>
      <c r="Z14">
        <v>113</v>
      </c>
      <c r="AA14">
        <v>120</v>
      </c>
      <c r="AB14">
        <v>119</v>
      </c>
    </row>
    <row r="15" spans="1:33" x14ac:dyDescent="0.2">
      <c r="A15" s="3" t="s">
        <v>21</v>
      </c>
      <c r="B15" t="s">
        <v>35</v>
      </c>
      <c r="C15" t="s">
        <v>56</v>
      </c>
      <c r="D15" t="s">
        <v>46</v>
      </c>
      <c r="E15" s="3" t="s">
        <v>61</v>
      </c>
      <c r="F15" s="3"/>
      <c r="G15" cm="1">
        <f t="array" ref="G15">_xlfn.XLOOKUP(D15&amp;C15,$L$13:$L$52&amp;$M$13:$M$52,_xlfn.XLOOKUP(B15,$N$12:$AB$12,$N$13:$AB$52))</f>
        <v>510</v>
      </c>
      <c r="H15">
        <v>107</v>
      </c>
      <c r="I15">
        <f t="shared" si="0"/>
        <v>12.4</v>
      </c>
      <c r="J15">
        <f t="shared" si="1"/>
        <v>676.66800000000001</v>
      </c>
      <c r="L15" t="s">
        <v>49</v>
      </c>
      <c r="M15" t="s">
        <v>47</v>
      </c>
      <c r="N15">
        <v>240</v>
      </c>
      <c r="O15">
        <v>240</v>
      </c>
      <c r="P15">
        <v>80</v>
      </c>
      <c r="Q15">
        <v>250</v>
      </c>
      <c r="R15">
        <v>100</v>
      </c>
      <c r="S15">
        <v>100</v>
      </c>
      <c r="T15">
        <v>230</v>
      </c>
      <c r="U15">
        <v>170</v>
      </c>
      <c r="V15">
        <v>170</v>
      </c>
      <c r="W15">
        <v>170</v>
      </c>
      <c r="X15">
        <v>170</v>
      </c>
      <c r="Y15">
        <v>168</v>
      </c>
      <c r="Z15">
        <v>172</v>
      </c>
      <c r="AA15">
        <v>125</v>
      </c>
      <c r="AB15">
        <v>175</v>
      </c>
    </row>
    <row r="16" spans="1:33" x14ac:dyDescent="0.2">
      <c r="A16" s="3" t="s">
        <v>21</v>
      </c>
      <c r="B16" t="s">
        <v>36</v>
      </c>
      <c r="C16" t="s">
        <v>57</v>
      </c>
      <c r="D16" t="s">
        <v>48</v>
      </c>
      <c r="E16" s="3" t="s">
        <v>61</v>
      </c>
      <c r="F16" s="3"/>
      <c r="G16" cm="1">
        <f t="array" ref="G16">_xlfn.XLOOKUP(D16&amp;C16,$L$13:$L$52&amp;$M$13:$M$52,_xlfn.XLOOKUP(B16,$N$12:$AB$12,$N$13:$AB$52))</f>
        <v>470</v>
      </c>
      <c r="H16">
        <v>108</v>
      </c>
      <c r="I16">
        <f t="shared" si="0"/>
        <v>12.4</v>
      </c>
      <c r="J16">
        <f t="shared" si="1"/>
        <v>629.42399999999998</v>
      </c>
      <c r="L16" t="s">
        <v>50</v>
      </c>
      <c r="M16" t="s">
        <v>47</v>
      </c>
      <c r="N16">
        <v>280</v>
      </c>
      <c r="O16">
        <v>280</v>
      </c>
      <c r="P16">
        <v>160</v>
      </c>
      <c r="Q16">
        <v>260</v>
      </c>
      <c r="R16">
        <v>150</v>
      </c>
      <c r="S16">
        <v>190</v>
      </c>
      <c r="T16">
        <v>250</v>
      </c>
      <c r="U16">
        <v>200</v>
      </c>
      <c r="V16">
        <v>200</v>
      </c>
      <c r="W16">
        <v>200</v>
      </c>
      <c r="X16">
        <v>200</v>
      </c>
      <c r="Y16">
        <v>235</v>
      </c>
      <c r="Z16">
        <v>241</v>
      </c>
      <c r="AA16">
        <v>180</v>
      </c>
      <c r="AB16">
        <v>192</v>
      </c>
    </row>
    <row r="17" spans="1:28" x14ac:dyDescent="0.2">
      <c r="A17" s="3" t="s">
        <v>21</v>
      </c>
      <c r="B17" t="s">
        <v>37</v>
      </c>
      <c r="C17" t="s">
        <v>58</v>
      </c>
      <c r="D17" t="s">
        <v>49</v>
      </c>
      <c r="E17" s="3" t="s">
        <v>61</v>
      </c>
      <c r="F17" s="3"/>
      <c r="G17" cm="1">
        <f t="array" ref="G17">_xlfn.XLOOKUP(D17&amp;C17,$L$13:$L$52&amp;$M$13:$M$52,_xlfn.XLOOKUP(B17,$N$12:$AB$12,$N$13:$AB$52))</f>
        <v>230</v>
      </c>
      <c r="H17">
        <v>109</v>
      </c>
      <c r="I17">
        <f t="shared" si="0"/>
        <v>12.4</v>
      </c>
      <c r="J17">
        <f t="shared" si="1"/>
        <v>310.86799999999999</v>
      </c>
      <c r="L17" t="s">
        <v>46</v>
      </c>
      <c r="M17" t="s">
        <v>51</v>
      </c>
      <c r="N17">
        <v>480</v>
      </c>
      <c r="O17">
        <v>480</v>
      </c>
      <c r="P17">
        <v>800</v>
      </c>
      <c r="Q17">
        <v>700</v>
      </c>
      <c r="R17">
        <v>820</v>
      </c>
      <c r="S17">
        <v>800</v>
      </c>
      <c r="T17">
        <v>450</v>
      </c>
      <c r="U17">
        <v>500</v>
      </c>
      <c r="V17">
        <v>706</v>
      </c>
      <c r="W17">
        <v>620</v>
      </c>
      <c r="X17">
        <v>620</v>
      </c>
      <c r="Y17">
        <v>705</v>
      </c>
      <c r="Z17">
        <v>674</v>
      </c>
      <c r="AA17">
        <v>674</v>
      </c>
      <c r="AB17">
        <v>617</v>
      </c>
    </row>
    <row r="18" spans="1:28" ht="17" customHeight="1" x14ac:dyDescent="0.2">
      <c r="A18" s="3" t="s">
        <v>21</v>
      </c>
      <c r="B18" t="s">
        <v>38</v>
      </c>
      <c r="C18" t="s">
        <v>59</v>
      </c>
      <c r="D18" t="s">
        <v>50</v>
      </c>
      <c r="E18" s="3" t="s">
        <v>61</v>
      </c>
      <c r="F18" s="3"/>
      <c r="G18" cm="1">
        <f t="array" ref="G18">_xlfn.XLOOKUP(D18&amp;C18,$L$13:$L$52&amp;$M$13:$M$52,_xlfn.XLOOKUP(B18,$N$12:$AB$12,$N$13:$AB$52))</f>
        <v>400</v>
      </c>
      <c r="H18">
        <v>110</v>
      </c>
      <c r="I18">
        <f t="shared" si="0"/>
        <v>12.4</v>
      </c>
      <c r="J18">
        <f t="shared" si="1"/>
        <v>545.6</v>
      </c>
      <c r="L18" t="s">
        <v>48</v>
      </c>
      <c r="M18" t="s">
        <v>51</v>
      </c>
      <c r="N18">
        <v>520</v>
      </c>
      <c r="O18">
        <v>520</v>
      </c>
      <c r="P18">
        <v>800</v>
      </c>
      <c r="Q18">
        <v>750</v>
      </c>
      <c r="R18">
        <v>850</v>
      </c>
      <c r="S18">
        <v>780</v>
      </c>
      <c r="T18">
        <v>500</v>
      </c>
      <c r="U18">
        <v>550</v>
      </c>
      <c r="V18">
        <v>703</v>
      </c>
      <c r="W18">
        <v>650</v>
      </c>
      <c r="X18">
        <v>650</v>
      </c>
      <c r="Y18">
        <v>703</v>
      </c>
      <c r="Z18">
        <v>669</v>
      </c>
      <c r="AA18">
        <v>669</v>
      </c>
      <c r="AB18">
        <v>591</v>
      </c>
    </row>
    <row r="19" spans="1:28" x14ac:dyDescent="0.2">
      <c r="A19" s="3" t="s">
        <v>21</v>
      </c>
      <c r="B19" t="s">
        <v>39</v>
      </c>
      <c r="C19" s="3" t="s">
        <v>47</v>
      </c>
      <c r="D19" t="s">
        <v>46</v>
      </c>
      <c r="E19" t="s">
        <v>62</v>
      </c>
      <c r="G19" cm="1">
        <f t="array" ref="G19">_xlfn.XLOOKUP(D19&amp;C19,$L$13:$L$52&amp;$M$13:$M$52,_xlfn.XLOOKUP(B19,$N$12:$AB$12,$N$13:$AB$52))</f>
        <v>220</v>
      </c>
      <c r="H19">
        <v>111</v>
      </c>
      <c r="I19">
        <f t="shared" si="0"/>
        <v>13.29</v>
      </c>
      <c r="J19">
        <f t="shared" si="1"/>
        <v>324.54179999999997</v>
      </c>
      <c r="L19" t="s">
        <v>49</v>
      </c>
      <c r="M19" t="s">
        <v>51</v>
      </c>
      <c r="N19">
        <v>550</v>
      </c>
      <c r="O19">
        <v>550</v>
      </c>
      <c r="P19">
        <v>700</v>
      </c>
      <c r="Q19">
        <v>725</v>
      </c>
      <c r="R19">
        <v>700</v>
      </c>
      <c r="S19">
        <v>680</v>
      </c>
      <c r="T19">
        <v>550</v>
      </c>
      <c r="U19">
        <v>600</v>
      </c>
      <c r="V19">
        <v>721</v>
      </c>
      <c r="W19">
        <v>670</v>
      </c>
      <c r="X19">
        <v>670</v>
      </c>
      <c r="Y19">
        <v>718</v>
      </c>
      <c r="Z19">
        <v>685</v>
      </c>
      <c r="AA19">
        <v>685</v>
      </c>
      <c r="AB19">
        <v>610</v>
      </c>
    </row>
    <row r="20" spans="1:28" x14ac:dyDescent="0.2">
      <c r="A20" s="3" t="s">
        <v>21</v>
      </c>
      <c r="B20" t="s">
        <v>40</v>
      </c>
      <c r="C20" t="s">
        <v>52</v>
      </c>
      <c r="D20" t="s">
        <v>48</v>
      </c>
      <c r="E20" t="s">
        <v>62</v>
      </c>
      <c r="G20" cm="1">
        <f t="array" ref="G20">_xlfn.XLOOKUP(D20&amp;C20,$L$13:$L$52&amp;$M$13:$M$52,_xlfn.XLOOKUP(B20,$N$12:$AB$12,$N$13:$AB$52))</f>
        <v>262</v>
      </c>
      <c r="H20">
        <v>112</v>
      </c>
      <c r="I20">
        <f t="shared" si="0"/>
        <v>13.29</v>
      </c>
      <c r="J20">
        <f t="shared" si="1"/>
        <v>389.98175999999995</v>
      </c>
      <c r="L20" t="s">
        <v>50</v>
      </c>
      <c r="M20" t="s">
        <v>51</v>
      </c>
      <c r="N20">
        <v>560</v>
      </c>
      <c r="O20">
        <v>560</v>
      </c>
      <c r="P20">
        <v>700</v>
      </c>
      <c r="Q20">
        <v>700</v>
      </c>
      <c r="R20">
        <v>720</v>
      </c>
      <c r="S20">
        <v>700</v>
      </c>
      <c r="T20">
        <v>500</v>
      </c>
      <c r="U20">
        <v>550</v>
      </c>
      <c r="V20">
        <v>727</v>
      </c>
      <c r="W20">
        <v>660</v>
      </c>
      <c r="X20">
        <v>660</v>
      </c>
      <c r="Y20">
        <v>722</v>
      </c>
      <c r="Z20">
        <v>692</v>
      </c>
      <c r="AA20">
        <v>692</v>
      </c>
      <c r="AB20">
        <v>615</v>
      </c>
    </row>
    <row r="21" spans="1:28" x14ac:dyDescent="0.2">
      <c r="A21" s="3" t="s">
        <v>21</v>
      </c>
      <c r="B21" t="s">
        <v>41</v>
      </c>
      <c r="C21" t="s">
        <v>54</v>
      </c>
      <c r="D21" t="s">
        <v>49</v>
      </c>
      <c r="E21" t="s">
        <v>62</v>
      </c>
      <c r="G21" cm="1">
        <f t="array" ref="G21">_xlfn.XLOOKUP(D21&amp;C21,$L$13:$L$52&amp;$M$13:$M$52,_xlfn.XLOOKUP(B21,$N$12:$AB$12,$N$13:$AB$52))</f>
        <v>173</v>
      </c>
      <c r="H21">
        <v>113</v>
      </c>
      <c r="I21">
        <f t="shared" si="0"/>
        <v>13.29</v>
      </c>
      <c r="J21">
        <f t="shared" si="1"/>
        <v>259.80620999999996</v>
      </c>
      <c r="L21" t="s">
        <v>46</v>
      </c>
      <c r="M21" t="s">
        <v>52</v>
      </c>
      <c r="N21">
        <v>300</v>
      </c>
      <c r="O21">
        <v>300</v>
      </c>
      <c r="P21">
        <v>400</v>
      </c>
      <c r="Q21">
        <v>300</v>
      </c>
      <c r="R21">
        <v>410</v>
      </c>
      <c r="S21">
        <v>420</v>
      </c>
      <c r="T21">
        <v>260</v>
      </c>
      <c r="U21">
        <v>300</v>
      </c>
      <c r="V21">
        <v>323</v>
      </c>
      <c r="W21">
        <v>319</v>
      </c>
      <c r="X21">
        <v>267</v>
      </c>
      <c r="Y21">
        <v>302</v>
      </c>
      <c r="Z21">
        <v>344</v>
      </c>
      <c r="AA21">
        <v>310</v>
      </c>
      <c r="AB21">
        <v>265</v>
      </c>
    </row>
    <row r="22" spans="1:28" x14ac:dyDescent="0.2">
      <c r="A22" s="3" t="s">
        <v>21</v>
      </c>
      <c r="B22" t="s">
        <v>42</v>
      </c>
      <c r="C22" t="s">
        <v>55</v>
      </c>
      <c r="D22" t="s">
        <v>50</v>
      </c>
      <c r="E22" t="s">
        <v>62</v>
      </c>
      <c r="G22" cm="1">
        <f t="array" ref="G22">_xlfn.XLOOKUP(D22&amp;C22,$L$13:$L$52&amp;$M$13:$M$52,_xlfn.XLOOKUP(B22,$N$12:$AB$12,$N$13:$AB$52))</f>
        <v>514</v>
      </c>
      <c r="H22">
        <v>114</v>
      </c>
      <c r="I22">
        <f t="shared" si="0"/>
        <v>13.29</v>
      </c>
      <c r="J22">
        <f t="shared" si="1"/>
        <v>778.74083999999993</v>
      </c>
      <c r="L22" t="s">
        <v>48</v>
      </c>
      <c r="M22" t="s">
        <v>52</v>
      </c>
      <c r="N22">
        <v>360</v>
      </c>
      <c r="O22">
        <v>360</v>
      </c>
      <c r="P22">
        <v>420</v>
      </c>
      <c r="Q22">
        <v>350</v>
      </c>
      <c r="R22">
        <v>440</v>
      </c>
      <c r="S22">
        <v>450</v>
      </c>
      <c r="T22">
        <v>310</v>
      </c>
      <c r="U22">
        <v>220</v>
      </c>
      <c r="V22">
        <v>256</v>
      </c>
      <c r="W22">
        <v>262</v>
      </c>
      <c r="X22">
        <v>203</v>
      </c>
      <c r="Y22">
        <v>277</v>
      </c>
      <c r="Z22">
        <v>283</v>
      </c>
      <c r="AA22">
        <v>250</v>
      </c>
      <c r="AB22">
        <v>205</v>
      </c>
    </row>
    <row r="23" spans="1:28" x14ac:dyDescent="0.2">
      <c r="A23" s="3" t="s">
        <v>21</v>
      </c>
      <c r="B23" t="s">
        <v>43</v>
      </c>
      <c r="C23" t="s">
        <v>56</v>
      </c>
      <c r="D23" t="s">
        <v>46</v>
      </c>
      <c r="E23" t="s">
        <v>62</v>
      </c>
      <c r="G23" cm="1">
        <f t="array" ref="G23">_xlfn.XLOOKUP(D23&amp;C23,$L$13:$L$52&amp;$M$13:$M$52,_xlfn.XLOOKUP(B23,$N$12:$AB$12,$N$13:$AB$52))</f>
        <v>370</v>
      </c>
      <c r="H23">
        <v>115</v>
      </c>
      <c r="I23">
        <f t="shared" si="0"/>
        <v>13.29</v>
      </c>
      <c r="J23">
        <f t="shared" si="1"/>
        <v>565.48950000000002</v>
      </c>
      <c r="L23" t="s">
        <v>49</v>
      </c>
      <c r="M23" t="s">
        <v>52</v>
      </c>
      <c r="N23">
        <v>390</v>
      </c>
      <c r="O23">
        <v>390</v>
      </c>
      <c r="P23">
        <v>300</v>
      </c>
      <c r="Q23">
        <v>360</v>
      </c>
      <c r="R23">
        <v>300</v>
      </c>
      <c r="S23">
        <v>320</v>
      </c>
      <c r="T23">
        <v>330</v>
      </c>
      <c r="U23">
        <v>270</v>
      </c>
      <c r="V23">
        <v>306</v>
      </c>
      <c r="W23">
        <v>266</v>
      </c>
      <c r="X23">
        <v>250</v>
      </c>
      <c r="Y23">
        <v>319</v>
      </c>
      <c r="Z23">
        <v>309</v>
      </c>
      <c r="AA23">
        <v>277</v>
      </c>
      <c r="AB23">
        <v>232</v>
      </c>
    </row>
    <row r="24" spans="1:28" x14ac:dyDescent="0.2">
      <c r="A24" s="3" t="s">
        <v>21</v>
      </c>
      <c r="B24" t="s">
        <v>44</v>
      </c>
      <c r="C24" t="s">
        <v>57</v>
      </c>
      <c r="D24" t="s">
        <v>48</v>
      </c>
      <c r="E24" t="s">
        <v>62</v>
      </c>
      <c r="G24" cm="1">
        <f t="array" ref="G24">_xlfn.XLOOKUP(D24&amp;C24,$L$13:$L$52&amp;$M$13:$M$52,_xlfn.XLOOKUP(B24,$N$12:$AB$12,$N$13:$AB$52))</f>
        <v>433</v>
      </c>
      <c r="H24">
        <v>116</v>
      </c>
      <c r="I24">
        <f t="shared" si="0"/>
        <v>13.29</v>
      </c>
      <c r="J24">
        <f t="shared" si="1"/>
        <v>667.53012000000001</v>
      </c>
      <c r="L24" t="s">
        <v>50</v>
      </c>
      <c r="M24" t="s">
        <v>52</v>
      </c>
      <c r="N24">
        <v>410</v>
      </c>
      <c r="O24">
        <v>410</v>
      </c>
      <c r="P24">
        <v>350</v>
      </c>
      <c r="Q24">
        <v>380</v>
      </c>
      <c r="R24">
        <v>320</v>
      </c>
      <c r="S24">
        <v>330</v>
      </c>
      <c r="T24">
        <v>340</v>
      </c>
      <c r="U24">
        <v>280</v>
      </c>
      <c r="V24">
        <v>338</v>
      </c>
      <c r="W24">
        <v>307</v>
      </c>
      <c r="X24">
        <v>272</v>
      </c>
      <c r="Y24">
        <v>352</v>
      </c>
      <c r="Z24">
        <v>344</v>
      </c>
      <c r="AA24">
        <v>316</v>
      </c>
      <c r="AB24">
        <v>255</v>
      </c>
    </row>
    <row r="25" spans="1:28" x14ac:dyDescent="0.2">
      <c r="A25" s="3" t="s">
        <v>21</v>
      </c>
      <c r="B25" t="s">
        <v>45</v>
      </c>
      <c r="C25" t="s">
        <v>58</v>
      </c>
      <c r="D25" t="s">
        <v>49</v>
      </c>
      <c r="E25" t="s">
        <v>62</v>
      </c>
      <c r="G25" cm="1">
        <f t="array" ref="G25">_xlfn.XLOOKUP(D25&amp;C25,$L$13:$L$52&amp;$M$13:$M$52,_xlfn.XLOOKUP(B25,$N$12:$AB$12,$N$13:$AB$52))</f>
        <v>146</v>
      </c>
      <c r="H25">
        <v>117</v>
      </c>
      <c r="I25">
        <f t="shared" si="0"/>
        <v>13.29</v>
      </c>
      <c r="J25">
        <f t="shared" si="1"/>
        <v>227.01978</v>
      </c>
      <c r="L25" t="s">
        <v>46</v>
      </c>
      <c r="M25" t="s">
        <v>53</v>
      </c>
      <c r="N25">
        <v>440</v>
      </c>
      <c r="O25">
        <v>440</v>
      </c>
      <c r="P25">
        <v>500</v>
      </c>
      <c r="Q25">
        <v>490</v>
      </c>
      <c r="R25">
        <v>560</v>
      </c>
      <c r="S25">
        <v>550</v>
      </c>
      <c r="T25">
        <v>340</v>
      </c>
      <c r="U25">
        <v>320</v>
      </c>
      <c r="V25">
        <v>415</v>
      </c>
      <c r="W25">
        <v>398</v>
      </c>
      <c r="X25">
        <v>365</v>
      </c>
      <c r="Y25">
        <v>416</v>
      </c>
      <c r="Z25">
        <v>357</v>
      </c>
      <c r="AA25">
        <v>428</v>
      </c>
      <c r="AB25">
        <v>371</v>
      </c>
    </row>
    <row r="26" spans="1:28" x14ac:dyDescent="0.2">
      <c r="A26" s="3" t="s">
        <v>22</v>
      </c>
      <c r="C26" t="s">
        <v>68</v>
      </c>
      <c r="E26" s="3" t="s">
        <v>61</v>
      </c>
      <c r="F26" t="s">
        <v>71</v>
      </c>
      <c r="G26" cm="1">
        <f t="array" ref="G26">_xlfn.XLOOKUP(F26,$L$57:$L$66,_xlfn.XLOOKUP(C26,$M$56:$S$56,$M$57:$S$66))</f>
        <v>550</v>
      </c>
      <c r="H26">
        <v>10</v>
      </c>
      <c r="I26">
        <f>_xlfn.XLOOKUP(E26, $AF$3:$AF$12, $AG$3:$AG$12, 0, 0 )</f>
        <v>12.4</v>
      </c>
      <c r="J26">
        <f t="shared" si="1"/>
        <v>68.2</v>
      </c>
      <c r="L26" t="s">
        <v>48</v>
      </c>
      <c r="M26" t="s">
        <v>53</v>
      </c>
      <c r="N26">
        <v>470</v>
      </c>
      <c r="O26">
        <v>470</v>
      </c>
      <c r="P26">
        <v>500</v>
      </c>
      <c r="Q26">
        <v>530</v>
      </c>
      <c r="R26">
        <v>550</v>
      </c>
      <c r="S26">
        <v>530</v>
      </c>
      <c r="T26">
        <v>360</v>
      </c>
      <c r="U26">
        <v>380</v>
      </c>
      <c r="V26">
        <v>368</v>
      </c>
      <c r="W26">
        <v>346</v>
      </c>
      <c r="X26">
        <v>299</v>
      </c>
      <c r="Y26">
        <v>397</v>
      </c>
      <c r="Z26">
        <v>361</v>
      </c>
      <c r="AA26">
        <v>390</v>
      </c>
      <c r="AB26">
        <v>310</v>
      </c>
    </row>
    <row r="27" spans="1:28" x14ac:dyDescent="0.2">
      <c r="A27" s="3" t="s">
        <v>22</v>
      </c>
      <c r="C27" t="s">
        <v>69</v>
      </c>
      <c r="E27" s="3" t="s">
        <v>61</v>
      </c>
      <c r="F27" t="s">
        <v>72</v>
      </c>
      <c r="G27" cm="1">
        <f t="array" ref="G27">_xlfn.XLOOKUP(F27,$L$57:$L$66,_xlfn.XLOOKUP(C27,$M$56:$S$56,$M$57:$S$66))</f>
        <v>415</v>
      </c>
      <c r="H27">
        <v>15</v>
      </c>
      <c r="I27">
        <f t="shared" ref="I27:I40" si="2">_xlfn.XLOOKUP(E27, $AF$3:$AF$12, $AG$3:$AG$12, 0, 0 )</f>
        <v>12.4</v>
      </c>
      <c r="J27">
        <f t="shared" si="1"/>
        <v>77.19</v>
      </c>
      <c r="L27" t="s">
        <v>49</v>
      </c>
      <c r="M27" t="s">
        <v>53</v>
      </c>
      <c r="N27">
        <v>490</v>
      </c>
      <c r="O27">
        <v>490</v>
      </c>
      <c r="P27">
        <v>450</v>
      </c>
      <c r="Q27">
        <v>500</v>
      </c>
      <c r="R27">
        <v>450</v>
      </c>
      <c r="S27">
        <v>480</v>
      </c>
      <c r="T27">
        <v>380</v>
      </c>
      <c r="U27">
        <v>390</v>
      </c>
      <c r="V27">
        <v>392</v>
      </c>
      <c r="W27">
        <v>363</v>
      </c>
      <c r="X27">
        <v>336</v>
      </c>
      <c r="Y27">
        <v>440</v>
      </c>
      <c r="Z27">
        <v>376</v>
      </c>
      <c r="AA27">
        <v>407</v>
      </c>
      <c r="AB27">
        <v>351</v>
      </c>
    </row>
    <row r="28" spans="1:28" x14ac:dyDescent="0.2">
      <c r="A28" s="3" t="s">
        <v>22</v>
      </c>
      <c r="C28" t="s">
        <v>82</v>
      </c>
      <c r="E28" s="3" t="s">
        <v>61</v>
      </c>
      <c r="F28" t="s">
        <v>73</v>
      </c>
      <c r="G28" cm="1">
        <f t="array" ref="G28">_xlfn.XLOOKUP(F28,$L$57:$L$66,_xlfn.XLOOKUP(C28,$M$56:$S$56,$M$57:$S$66))</f>
        <v>185</v>
      </c>
      <c r="H28">
        <v>20</v>
      </c>
      <c r="I28">
        <f t="shared" si="2"/>
        <v>12.4</v>
      </c>
      <c r="J28">
        <f t="shared" si="1"/>
        <v>45.88</v>
      </c>
      <c r="L28" t="s">
        <v>50</v>
      </c>
      <c r="M28" t="s">
        <v>53</v>
      </c>
      <c r="N28">
        <v>500</v>
      </c>
      <c r="O28">
        <v>500</v>
      </c>
      <c r="P28">
        <v>450</v>
      </c>
      <c r="Q28">
        <v>460</v>
      </c>
      <c r="R28">
        <v>470</v>
      </c>
      <c r="S28">
        <v>490</v>
      </c>
      <c r="T28">
        <v>360</v>
      </c>
      <c r="U28">
        <v>350</v>
      </c>
      <c r="V28">
        <v>432</v>
      </c>
      <c r="W28">
        <v>398</v>
      </c>
      <c r="X28">
        <v>365</v>
      </c>
      <c r="Y28">
        <v>470</v>
      </c>
      <c r="Z28">
        <v>364</v>
      </c>
      <c r="AA28">
        <v>438</v>
      </c>
      <c r="AB28">
        <v>364</v>
      </c>
    </row>
    <row r="29" spans="1:28" x14ac:dyDescent="0.2">
      <c r="A29" s="3" t="s">
        <v>22</v>
      </c>
      <c r="C29" t="s">
        <v>70</v>
      </c>
      <c r="E29" s="3" t="s">
        <v>61</v>
      </c>
      <c r="F29" t="s">
        <v>74</v>
      </c>
      <c r="G29" cm="1">
        <f t="array" ref="G29">_xlfn.XLOOKUP(F29,$L$57:$L$66,_xlfn.XLOOKUP(C29,$M$56:$S$56,$M$57:$S$66))</f>
        <v>600</v>
      </c>
      <c r="H29">
        <v>25</v>
      </c>
      <c r="I29">
        <f t="shared" si="2"/>
        <v>12.4</v>
      </c>
      <c r="J29">
        <f t="shared" si="1"/>
        <v>186</v>
      </c>
      <c r="L29" t="s">
        <v>46</v>
      </c>
      <c r="M29" t="s">
        <v>54</v>
      </c>
      <c r="N29">
        <v>75</v>
      </c>
      <c r="O29">
        <v>75</v>
      </c>
      <c r="P29">
        <v>220</v>
      </c>
      <c r="Q29">
        <v>85</v>
      </c>
      <c r="R29">
        <v>240</v>
      </c>
      <c r="S29">
        <v>260</v>
      </c>
      <c r="T29">
        <v>70</v>
      </c>
      <c r="U29">
        <v>180</v>
      </c>
      <c r="V29">
        <v>208</v>
      </c>
      <c r="W29">
        <v>227</v>
      </c>
      <c r="X29">
        <v>177</v>
      </c>
      <c r="Y29">
        <v>215</v>
      </c>
      <c r="Z29">
        <v>217</v>
      </c>
      <c r="AA29">
        <v>178</v>
      </c>
      <c r="AB29">
        <v>174</v>
      </c>
    </row>
    <row r="30" spans="1:28" x14ac:dyDescent="0.2">
      <c r="A30" s="3" t="s">
        <v>22</v>
      </c>
      <c r="C30" t="s">
        <v>83</v>
      </c>
      <c r="E30" t="s">
        <v>62</v>
      </c>
      <c r="F30" t="s">
        <v>75</v>
      </c>
      <c r="G30" cm="1">
        <f t="array" ref="G30">_xlfn.XLOOKUP(F30,$L$57:$L$66,_xlfn.XLOOKUP(C30,$M$56:$S$56,$M$57:$S$66))</f>
        <v>225</v>
      </c>
      <c r="H30">
        <v>30</v>
      </c>
      <c r="I30">
        <f t="shared" si="2"/>
        <v>13.29</v>
      </c>
      <c r="J30">
        <f t="shared" si="1"/>
        <v>89.707499999999996</v>
      </c>
      <c r="L30" t="s">
        <v>48</v>
      </c>
      <c r="M30" t="s">
        <v>54</v>
      </c>
      <c r="N30">
        <v>160</v>
      </c>
      <c r="O30">
        <v>160</v>
      </c>
      <c r="P30">
        <v>280</v>
      </c>
      <c r="Q30">
        <v>150</v>
      </c>
      <c r="R30">
        <v>260</v>
      </c>
      <c r="S30">
        <v>300</v>
      </c>
      <c r="T30">
        <v>140</v>
      </c>
      <c r="U30">
        <v>90</v>
      </c>
      <c r="V30">
        <v>112</v>
      </c>
      <c r="W30">
        <v>108</v>
      </c>
      <c r="X30">
        <v>102</v>
      </c>
      <c r="Y30">
        <v>118</v>
      </c>
      <c r="Z30">
        <v>113</v>
      </c>
      <c r="AA30">
        <v>112</v>
      </c>
      <c r="AB30">
        <v>140</v>
      </c>
    </row>
    <row r="31" spans="1:28" x14ac:dyDescent="0.2">
      <c r="A31" s="3" t="s">
        <v>22</v>
      </c>
      <c r="C31" t="s">
        <v>68</v>
      </c>
      <c r="E31" t="s">
        <v>62</v>
      </c>
      <c r="F31" t="s">
        <v>76</v>
      </c>
      <c r="G31" cm="1">
        <f t="array" ref="G31">_xlfn.XLOOKUP(F31,$L$57:$L$66,_xlfn.XLOOKUP(C31,$M$56:$S$56,$M$57:$S$66))</f>
        <v>450</v>
      </c>
      <c r="H31">
        <v>35</v>
      </c>
      <c r="I31">
        <f t="shared" si="2"/>
        <v>13.29</v>
      </c>
      <c r="J31">
        <f t="shared" si="1"/>
        <v>209.3175</v>
      </c>
      <c r="L31" t="s">
        <v>49</v>
      </c>
      <c r="M31" t="s">
        <v>54</v>
      </c>
      <c r="N31">
        <v>220</v>
      </c>
      <c r="O31">
        <v>220</v>
      </c>
      <c r="P31">
        <v>70</v>
      </c>
      <c r="Q31">
        <v>200</v>
      </c>
      <c r="R31">
        <v>95</v>
      </c>
      <c r="S31">
        <v>80</v>
      </c>
      <c r="T31">
        <v>220</v>
      </c>
      <c r="U31">
        <v>140</v>
      </c>
      <c r="V31">
        <v>169</v>
      </c>
      <c r="W31">
        <v>170</v>
      </c>
      <c r="X31">
        <v>173</v>
      </c>
      <c r="Y31">
        <v>191</v>
      </c>
      <c r="Z31">
        <v>172</v>
      </c>
      <c r="AA31">
        <v>140</v>
      </c>
      <c r="AB31">
        <v>163</v>
      </c>
    </row>
    <row r="32" spans="1:28" x14ac:dyDescent="0.2">
      <c r="A32" s="3" t="s">
        <v>22</v>
      </c>
      <c r="C32" t="s">
        <v>69</v>
      </c>
      <c r="E32" t="s">
        <v>62</v>
      </c>
      <c r="F32" t="s">
        <v>77</v>
      </c>
      <c r="G32" cm="1">
        <f t="array" ref="G32">_xlfn.XLOOKUP(F32,$L$57:$L$66,_xlfn.XLOOKUP(C32,$M$56:$S$56,$M$57:$S$66))</f>
        <v>375</v>
      </c>
      <c r="H32">
        <v>40</v>
      </c>
      <c r="I32">
        <f t="shared" si="2"/>
        <v>13.29</v>
      </c>
      <c r="J32">
        <f t="shared" si="1"/>
        <v>199.35</v>
      </c>
      <c r="L32" t="s">
        <v>50</v>
      </c>
      <c r="M32" t="s">
        <v>54</v>
      </c>
      <c r="N32">
        <v>260</v>
      </c>
      <c r="O32">
        <v>260</v>
      </c>
      <c r="P32">
        <v>140</v>
      </c>
      <c r="Q32">
        <v>210</v>
      </c>
      <c r="R32">
        <v>140</v>
      </c>
      <c r="S32">
        <v>150</v>
      </c>
      <c r="T32">
        <v>240</v>
      </c>
      <c r="U32">
        <v>150</v>
      </c>
      <c r="V32">
        <v>211</v>
      </c>
      <c r="W32">
        <v>225</v>
      </c>
      <c r="X32">
        <v>202</v>
      </c>
      <c r="Y32">
        <v>207</v>
      </c>
      <c r="Z32">
        <v>208</v>
      </c>
      <c r="AA32">
        <v>183</v>
      </c>
      <c r="AB32">
        <v>162</v>
      </c>
    </row>
    <row r="33" spans="1:28" x14ac:dyDescent="0.2">
      <c r="A33" s="3" t="s">
        <v>22</v>
      </c>
      <c r="C33" t="s">
        <v>82</v>
      </c>
      <c r="E33" t="s">
        <v>63</v>
      </c>
      <c r="F33" t="s">
        <v>78</v>
      </c>
      <c r="G33" cm="1">
        <f t="array" ref="G33">_xlfn.XLOOKUP(F33,$L$57:$L$66,_xlfn.XLOOKUP(C33,$M$56:$S$56,$M$57:$S$66))</f>
        <v>140</v>
      </c>
      <c r="H33">
        <v>45</v>
      </c>
      <c r="I33">
        <f t="shared" si="2"/>
        <v>3.98</v>
      </c>
      <c r="J33">
        <f t="shared" si="1"/>
        <v>25.074000000000002</v>
      </c>
      <c r="L33" t="s">
        <v>46</v>
      </c>
      <c r="M33" t="s">
        <v>55</v>
      </c>
      <c r="N33">
        <v>440</v>
      </c>
      <c r="O33">
        <v>440</v>
      </c>
      <c r="P33">
        <v>500</v>
      </c>
      <c r="Q33">
        <v>490</v>
      </c>
      <c r="R33">
        <v>560</v>
      </c>
      <c r="S33">
        <v>550</v>
      </c>
      <c r="T33">
        <v>340</v>
      </c>
      <c r="U33">
        <v>320</v>
      </c>
      <c r="V33">
        <v>467</v>
      </c>
      <c r="W33">
        <v>452</v>
      </c>
      <c r="X33">
        <v>406</v>
      </c>
      <c r="Y33">
        <v>519</v>
      </c>
      <c r="Z33">
        <v>467</v>
      </c>
      <c r="AA33">
        <v>466</v>
      </c>
      <c r="AB33">
        <v>415</v>
      </c>
    </row>
    <row r="34" spans="1:28" x14ac:dyDescent="0.2">
      <c r="A34" s="3" t="s">
        <v>22</v>
      </c>
      <c r="B34" s="3"/>
      <c r="C34" t="s">
        <v>70</v>
      </c>
      <c r="D34" s="3"/>
      <c r="E34" t="s">
        <v>63</v>
      </c>
      <c r="F34" t="s">
        <v>79</v>
      </c>
      <c r="G34" cm="1">
        <f t="array" ref="G34">_xlfn.XLOOKUP(F34,$L$57:$L$66,_xlfn.XLOOKUP(C34,$M$56:$S$56,$M$57:$S$66))</f>
        <v>600</v>
      </c>
      <c r="H34">
        <v>50</v>
      </c>
      <c r="I34">
        <f t="shared" si="2"/>
        <v>3.98</v>
      </c>
      <c r="J34">
        <f t="shared" si="1"/>
        <v>119.4</v>
      </c>
      <c r="L34" t="s">
        <v>48</v>
      </c>
      <c r="M34" t="s">
        <v>55</v>
      </c>
      <c r="N34">
        <v>470</v>
      </c>
      <c r="O34">
        <v>470</v>
      </c>
      <c r="P34">
        <v>500</v>
      </c>
      <c r="Q34">
        <v>530</v>
      </c>
      <c r="R34">
        <v>550</v>
      </c>
      <c r="S34">
        <v>530</v>
      </c>
      <c r="T34">
        <v>360</v>
      </c>
      <c r="U34">
        <v>380</v>
      </c>
      <c r="V34">
        <v>465</v>
      </c>
      <c r="W34">
        <v>430</v>
      </c>
      <c r="X34">
        <v>380</v>
      </c>
      <c r="Y34">
        <v>483</v>
      </c>
      <c r="Z34">
        <v>477</v>
      </c>
      <c r="AA34">
        <v>448</v>
      </c>
      <c r="AB34">
        <v>405</v>
      </c>
    </row>
    <row r="35" spans="1:28" x14ac:dyDescent="0.2">
      <c r="A35" s="3" t="s">
        <v>22</v>
      </c>
      <c r="B35" s="3"/>
      <c r="C35" t="s">
        <v>83</v>
      </c>
      <c r="D35" s="3"/>
      <c r="E35" t="s">
        <v>63</v>
      </c>
      <c r="F35" t="s">
        <v>80</v>
      </c>
      <c r="G35" cm="1">
        <f t="array" ref="G35">_xlfn.XLOOKUP(F35,$L$57:$L$66,_xlfn.XLOOKUP(C35,$M$56:$S$56,$M$57:$S$66))</f>
        <v>225</v>
      </c>
      <c r="H35">
        <v>55</v>
      </c>
      <c r="I35">
        <f t="shared" si="2"/>
        <v>3.98</v>
      </c>
      <c r="J35">
        <f t="shared" si="1"/>
        <v>49.252499999999998</v>
      </c>
      <c r="L35" t="s">
        <v>49</v>
      </c>
      <c r="M35" t="s">
        <v>55</v>
      </c>
      <c r="N35">
        <v>490</v>
      </c>
      <c r="O35">
        <v>490</v>
      </c>
      <c r="P35">
        <v>450</v>
      </c>
      <c r="Q35">
        <v>500</v>
      </c>
      <c r="R35">
        <v>450</v>
      </c>
      <c r="S35">
        <v>480</v>
      </c>
      <c r="T35">
        <v>380</v>
      </c>
      <c r="U35">
        <v>390</v>
      </c>
      <c r="V35">
        <v>464</v>
      </c>
      <c r="W35">
        <v>444</v>
      </c>
      <c r="X35">
        <v>414</v>
      </c>
      <c r="Y35">
        <v>506</v>
      </c>
      <c r="Z35">
        <v>471</v>
      </c>
      <c r="AA35">
        <v>455</v>
      </c>
      <c r="AB35">
        <v>427</v>
      </c>
    </row>
    <row r="36" spans="1:28" x14ac:dyDescent="0.2">
      <c r="A36" s="3" t="s">
        <v>23</v>
      </c>
      <c r="B36" s="3"/>
      <c r="C36" s="3" t="s">
        <v>84</v>
      </c>
      <c r="D36" s="3"/>
      <c r="E36" t="s">
        <v>95</v>
      </c>
      <c r="F36" s="3"/>
      <c r="G36">
        <f>_xlfn.XLOOKUP(C36, $L$70:$L$74, $M$70:$M$74)</f>
        <v>206</v>
      </c>
      <c r="H36">
        <v>20</v>
      </c>
      <c r="I36">
        <f t="shared" si="2"/>
        <v>3.11</v>
      </c>
      <c r="J36">
        <f t="shared" si="1"/>
        <v>12.813199999999998</v>
      </c>
      <c r="L36" t="s">
        <v>50</v>
      </c>
      <c r="M36" t="s">
        <v>55</v>
      </c>
      <c r="N36">
        <v>500</v>
      </c>
      <c r="O36">
        <v>500</v>
      </c>
      <c r="P36">
        <v>450</v>
      </c>
      <c r="Q36">
        <v>460</v>
      </c>
      <c r="R36">
        <v>470</v>
      </c>
      <c r="S36">
        <v>490</v>
      </c>
      <c r="T36">
        <v>360</v>
      </c>
      <c r="U36">
        <v>350</v>
      </c>
      <c r="V36">
        <v>492</v>
      </c>
      <c r="W36">
        <v>452</v>
      </c>
      <c r="X36">
        <v>390</v>
      </c>
      <c r="Y36">
        <v>514</v>
      </c>
      <c r="Z36">
        <v>484</v>
      </c>
      <c r="AA36">
        <v>468</v>
      </c>
      <c r="AB36">
        <v>420</v>
      </c>
    </row>
    <row r="37" spans="1:28" x14ac:dyDescent="0.2">
      <c r="A37" s="3" t="s">
        <v>23</v>
      </c>
      <c r="B37" s="3"/>
      <c r="C37" s="3" t="s">
        <v>85</v>
      </c>
      <c r="D37" s="3"/>
      <c r="E37" t="s">
        <v>96</v>
      </c>
      <c r="F37" s="3"/>
      <c r="G37">
        <f t="shared" ref="G37:G41" si="3">_xlfn.XLOOKUP(C37, $L$70:$L$74, $M$70:$M$74)</f>
        <v>188</v>
      </c>
      <c r="H37">
        <v>21</v>
      </c>
      <c r="I37">
        <f t="shared" si="2"/>
        <v>2.0499999999999998</v>
      </c>
      <c r="J37">
        <f t="shared" si="1"/>
        <v>8.093399999999999</v>
      </c>
      <c r="L37" t="s">
        <v>46</v>
      </c>
      <c r="M37" t="s">
        <v>56</v>
      </c>
      <c r="N37">
        <v>380</v>
      </c>
      <c r="O37">
        <v>380</v>
      </c>
      <c r="P37">
        <v>420</v>
      </c>
      <c r="Q37">
        <v>480</v>
      </c>
      <c r="R37">
        <v>510</v>
      </c>
      <c r="S37">
        <v>480</v>
      </c>
      <c r="T37">
        <v>370</v>
      </c>
      <c r="U37">
        <v>340</v>
      </c>
      <c r="V37">
        <v>371</v>
      </c>
      <c r="W37">
        <v>334</v>
      </c>
      <c r="X37">
        <v>249</v>
      </c>
      <c r="Y37">
        <v>455</v>
      </c>
      <c r="Z37">
        <v>370</v>
      </c>
      <c r="AA37">
        <v>370</v>
      </c>
      <c r="AB37">
        <v>272</v>
      </c>
    </row>
    <row r="38" spans="1:28" x14ac:dyDescent="0.2">
      <c r="A38" s="3" t="s">
        <v>23</v>
      </c>
      <c r="C38" t="s">
        <v>86</v>
      </c>
      <c r="E38" t="s">
        <v>97</v>
      </c>
      <c r="G38">
        <f t="shared" si="3"/>
        <v>125</v>
      </c>
      <c r="H38">
        <v>22</v>
      </c>
      <c r="I38">
        <f t="shared" si="2"/>
        <v>4.95</v>
      </c>
      <c r="J38">
        <f t="shared" si="1"/>
        <v>13.612500000000001</v>
      </c>
      <c r="L38" t="s">
        <v>48</v>
      </c>
      <c r="M38" t="s">
        <v>56</v>
      </c>
      <c r="N38">
        <v>420</v>
      </c>
      <c r="O38">
        <v>420</v>
      </c>
      <c r="P38">
        <v>420</v>
      </c>
      <c r="Q38">
        <v>460</v>
      </c>
      <c r="R38">
        <v>520</v>
      </c>
      <c r="S38">
        <v>470</v>
      </c>
      <c r="T38">
        <v>400</v>
      </c>
      <c r="U38">
        <v>390</v>
      </c>
      <c r="V38">
        <v>280</v>
      </c>
      <c r="W38">
        <v>236</v>
      </c>
      <c r="X38">
        <v>218</v>
      </c>
      <c r="Y38">
        <v>304</v>
      </c>
      <c r="Z38">
        <v>273</v>
      </c>
      <c r="AA38">
        <v>273</v>
      </c>
      <c r="AB38">
        <v>218</v>
      </c>
    </row>
    <row r="39" spans="1:28" x14ac:dyDescent="0.2">
      <c r="A39" s="3" t="s">
        <v>23</v>
      </c>
      <c r="C39" t="s">
        <v>87</v>
      </c>
      <c r="E39" t="s">
        <v>98</v>
      </c>
      <c r="G39">
        <f t="shared" si="3"/>
        <v>39</v>
      </c>
      <c r="H39">
        <v>23</v>
      </c>
      <c r="I39">
        <f t="shared" si="2"/>
        <v>1.66</v>
      </c>
      <c r="J39">
        <f t="shared" si="1"/>
        <v>1.48902</v>
      </c>
      <c r="L39" t="s">
        <v>49</v>
      </c>
      <c r="M39" t="s">
        <v>56</v>
      </c>
      <c r="N39">
        <v>450</v>
      </c>
      <c r="O39">
        <v>450</v>
      </c>
      <c r="P39">
        <v>400</v>
      </c>
      <c r="Q39">
        <v>490</v>
      </c>
      <c r="R39">
        <v>410</v>
      </c>
      <c r="S39">
        <v>340</v>
      </c>
      <c r="T39">
        <v>420</v>
      </c>
      <c r="U39">
        <v>430</v>
      </c>
      <c r="V39">
        <v>339</v>
      </c>
      <c r="W39">
        <v>282</v>
      </c>
      <c r="X39">
        <v>243</v>
      </c>
      <c r="Y39">
        <v>326</v>
      </c>
      <c r="Z39">
        <v>329</v>
      </c>
      <c r="AA39">
        <v>296</v>
      </c>
      <c r="AB39">
        <v>242</v>
      </c>
    </row>
    <row r="40" spans="1:28" x14ac:dyDescent="0.2">
      <c r="A40" s="3" t="s">
        <v>23</v>
      </c>
      <c r="C40" t="s">
        <v>88</v>
      </c>
      <c r="E40" t="s">
        <v>99</v>
      </c>
      <c r="G40">
        <f t="shared" si="3"/>
        <v>97</v>
      </c>
      <c r="H40">
        <v>24</v>
      </c>
      <c r="I40">
        <f t="shared" si="2"/>
        <v>2.06</v>
      </c>
      <c r="J40">
        <f t="shared" si="1"/>
        <v>4.7956799999999999</v>
      </c>
      <c r="L40" t="s">
        <v>50</v>
      </c>
      <c r="M40" t="s">
        <v>56</v>
      </c>
      <c r="N40">
        <v>460</v>
      </c>
      <c r="O40">
        <v>460</v>
      </c>
      <c r="P40">
        <v>400</v>
      </c>
      <c r="Q40">
        <v>470</v>
      </c>
      <c r="R40">
        <v>440</v>
      </c>
      <c r="S40">
        <v>360</v>
      </c>
      <c r="T40">
        <v>390</v>
      </c>
      <c r="U40">
        <v>400</v>
      </c>
      <c r="V40">
        <v>377</v>
      </c>
      <c r="W40">
        <v>326</v>
      </c>
      <c r="X40">
        <v>260</v>
      </c>
      <c r="Y40">
        <v>421</v>
      </c>
      <c r="Z40">
        <v>350</v>
      </c>
      <c r="AA40">
        <v>354</v>
      </c>
      <c r="AB40">
        <v>261</v>
      </c>
    </row>
    <row r="41" spans="1:28" x14ac:dyDescent="0.2">
      <c r="A41" s="3" t="s">
        <v>24</v>
      </c>
      <c r="C41" t="s">
        <v>89</v>
      </c>
      <c r="G41">
        <f>_xlfn.XLOOKUP(C41, $L$77:$L$81, $M$77:$M$81)</f>
        <v>1.3</v>
      </c>
      <c r="H41">
        <v>100</v>
      </c>
      <c r="I41">
        <f>$N$3</f>
        <v>1.03</v>
      </c>
      <c r="J41">
        <f t="shared" si="1"/>
        <v>0.13390000000000002</v>
      </c>
      <c r="L41" t="s">
        <v>46</v>
      </c>
      <c r="M41" t="s">
        <v>57</v>
      </c>
      <c r="N41">
        <v>380</v>
      </c>
      <c r="O41">
        <v>380</v>
      </c>
      <c r="P41">
        <v>420</v>
      </c>
      <c r="Q41">
        <v>480</v>
      </c>
      <c r="R41">
        <v>510</v>
      </c>
      <c r="S41">
        <v>480</v>
      </c>
      <c r="T41">
        <v>370</v>
      </c>
      <c r="U41">
        <v>340</v>
      </c>
      <c r="V41">
        <v>493</v>
      </c>
      <c r="X41">
        <v>324</v>
      </c>
      <c r="Y41">
        <v>551</v>
      </c>
      <c r="Z41">
        <v>550</v>
      </c>
      <c r="AA41">
        <v>519</v>
      </c>
      <c r="AB41">
        <v>392</v>
      </c>
    </row>
    <row r="42" spans="1:28" x14ac:dyDescent="0.2">
      <c r="A42" s="3" t="s">
        <v>24</v>
      </c>
      <c r="C42" t="s">
        <v>90</v>
      </c>
      <c r="G42">
        <f t="shared" ref="G42:G53" si="4">_xlfn.XLOOKUP(C42, $L$77:$L$81, $M$77:$M$81)</f>
        <v>2</v>
      </c>
      <c r="H42">
        <v>101</v>
      </c>
      <c r="I42">
        <f t="shared" ref="I42:I45" si="5">$N$3</f>
        <v>1.03</v>
      </c>
      <c r="J42">
        <f t="shared" si="1"/>
        <v>0.20805999999999999</v>
      </c>
      <c r="L42" t="s">
        <v>48</v>
      </c>
      <c r="M42" t="s">
        <v>57</v>
      </c>
      <c r="N42">
        <v>420</v>
      </c>
      <c r="O42">
        <v>420</v>
      </c>
      <c r="P42">
        <v>420</v>
      </c>
      <c r="Q42">
        <v>460</v>
      </c>
      <c r="R42">
        <v>520</v>
      </c>
      <c r="S42">
        <v>470</v>
      </c>
      <c r="T42">
        <v>400</v>
      </c>
      <c r="U42">
        <v>390</v>
      </c>
      <c r="V42">
        <v>421</v>
      </c>
      <c r="X42">
        <v>263</v>
      </c>
      <c r="Y42">
        <v>521</v>
      </c>
      <c r="Z42">
        <v>545</v>
      </c>
      <c r="AA42">
        <v>433</v>
      </c>
      <c r="AB42">
        <v>315</v>
      </c>
    </row>
    <row r="43" spans="1:28" x14ac:dyDescent="0.2">
      <c r="A43" s="3" t="s">
        <v>24</v>
      </c>
      <c r="C43" t="s">
        <v>91</v>
      </c>
      <c r="G43">
        <f t="shared" si="4"/>
        <v>1.4</v>
      </c>
      <c r="H43">
        <v>102</v>
      </c>
      <c r="I43">
        <f t="shared" si="5"/>
        <v>1.03</v>
      </c>
      <c r="J43">
        <f t="shared" si="1"/>
        <v>0.14708399999999996</v>
      </c>
      <c r="L43" t="s">
        <v>49</v>
      </c>
      <c r="M43" t="s">
        <v>57</v>
      </c>
      <c r="N43">
        <v>450</v>
      </c>
      <c r="O43">
        <v>450</v>
      </c>
      <c r="P43">
        <v>400</v>
      </c>
      <c r="Q43">
        <v>490</v>
      </c>
      <c r="R43">
        <v>410</v>
      </c>
      <c r="S43">
        <v>340</v>
      </c>
      <c r="T43">
        <v>420</v>
      </c>
      <c r="U43">
        <v>430</v>
      </c>
      <c r="V43">
        <v>470</v>
      </c>
      <c r="X43">
        <v>304</v>
      </c>
      <c r="Y43">
        <v>520</v>
      </c>
      <c r="Z43">
        <v>573</v>
      </c>
      <c r="AA43">
        <v>445</v>
      </c>
      <c r="AB43">
        <v>320</v>
      </c>
    </row>
    <row r="44" spans="1:28" x14ac:dyDescent="0.2">
      <c r="A44" s="3" t="s">
        <v>24</v>
      </c>
      <c r="C44" t="s">
        <v>92</v>
      </c>
      <c r="G44">
        <f t="shared" si="4"/>
        <v>1.2</v>
      </c>
      <c r="H44">
        <v>103</v>
      </c>
      <c r="I44">
        <f t="shared" si="5"/>
        <v>1.03</v>
      </c>
      <c r="J44">
        <f t="shared" si="1"/>
        <v>0.127308</v>
      </c>
      <c r="L44" t="s">
        <v>50</v>
      </c>
      <c r="M44" t="s">
        <v>57</v>
      </c>
      <c r="N44">
        <v>460</v>
      </c>
      <c r="O44">
        <v>460</v>
      </c>
      <c r="P44">
        <v>400</v>
      </c>
      <c r="Q44">
        <v>470</v>
      </c>
      <c r="R44">
        <v>440</v>
      </c>
      <c r="S44">
        <v>360</v>
      </c>
      <c r="T44">
        <v>390</v>
      </c>
      <c r="U44">
        <v>400</v>
      </c>
      <c r="V44">
        <v>498</v>
      </c>
      <c r="X44">
        <v>337</v>
      </c>
      <c r="Y44">
        <v>512</v>
      </c>
      <c r="Z44">
        <v>567</v>
      </c>
      <c r="AA44">
        <v>500</v>
      </c>
      <c r="AB44">
        <v>342</v>
      </c>
    </row>
    <row r="45" spans="1:28" x14ac:dyDescent="0.2">
      <c r="A45" s="3" t="s">
        <v>24</v>
      </c>
      <c r="C45" t="s">
        <v>93</v>
      </c>
      <c r="G45">
        <f t="shared" si="4"/>
        <v>0.04</v>
      </c>
      <c r="H45">
        <v>104</v>
      </c>
      <c r="I45">
        <f t="shared" si="5"/>
        <v>1.03</v>
      </c>
      <c r="J45">
        <f t="shared" si="1"/>
        <v>4.2848000000000009E-3</v>
      </c>
      <c r="L45" t="s">
        <v>46</v>
      </c>
      <c r="M45" t="s">
        <v>58</v>
      </c>
      <c r="N45">
        <v>75</v>
      </c>
      <c r="O45">
        <v>75</v>
      </c>
      <c r="P45">
        <v>230</v>
      </c>
      <c r="Q45">
        <v>90</v>
      </c>
      <c r="R45">
        <v>240</v>
      </c>
      <c r="S45">
        <v>300</v>
      </c>
      <c r="T45">
        <v>80</v>
      </c>
      <c r="U45">
        <v>210</v>
      </c>
      <c r="V45">
        <v>223</v>
      </c>
      <c r="W45">
        <v>216</v>
      </c>
      <c r="X45">
        <v>231</v>
      </c>
      <c r="Y45">
        <v>234</v>
      </c>
      <c r="Z45">
        <v>242</v>
      </c>
      <c r="AA45">
        <v>193</v>
      </c>
      <c r="AB45">
        <v>170</v>
      </c>
    </row>
    <row r="46" spans="1:28" x14ac:dyDescent="0.2">
      <c r="A46" t="s">
        <v>25</v>
      </c>
      <c r="C46" s="3" t="s">
        <v>9</v>
      </c>
      <c r="G46">
        <f>_xlfn.XLOOKUP(C46, $L$84:$L$91, $M$84:$M$91)</f>
        <v>336</v>
      </c>
      <c r="H46">
        <v>105</v>
      </c>
      <c r="I46">
        <f>$Q$85</f>
        <v>12.4</v>
      </c>
      <c r="J46">
        <f t="shared" si="1"/>
        <v>437.47199999999998</v>
      </c>
      <c r="L46" t="s">
        <v>48</v>
      </c>
      <c r="M46" t="s">
        <v>58</v>
      </c>
      <c r="N46">
        <v>160</v>
      </c>
      <c r="O46">
        <v>160</v>
      </c>
      <c r="P46">
        <v>290</v>
      </c>
      <c r="Q46">
        <v>160</v>
      </c>
      <c r="R46">
        <v>270</v>
      </c>
      <c r="S46">
        <v>340</v>
      </c>
      <c r="T46">
        <v>150</v>
      </c>
      <c r="U46">
        <v>100</v>
      </c>
      <c r="V46">
        <v>108</v>
      </c>
      <c r="W46">
        <v>111</v>
      </c>
      <c r="X46">
        <v>102</v>
      </c>
      <c r="Y46">
        <v>111</v>
      </c>
      <c r="Z46">
        <v>120</v>
      </c>
      <c r="AA46">
        <v>115</v>
      </c>
      <c r="AB46">
        <v>133</v>
      </c>
    </row>
    <row r="47" spans="1:28" x14ac:dyDescent="0.2">
      <c r="A47" t="s">
        <v>25</v>
      </c>
      <c r="C47" s="3" t="s">
        <v>10</v>
      </c>
      <c r="G47">
        <f t="shared" ref="G47:G53" si="6">_xlfn.XLOOKUP(C47, $L$84:$L$91, $M$84:$M$91)</f>
        <v>50</v>
      </c>
      <c r="H47">
        <v>106</v>
      </c>
      <c r="I47">
        <f>0.56*$Q$86</f>
        <v>3.3768000000000002</v>
      </c>
      <c r="J47">
        <f t="shared" si="1"/>
        <v>17.897040000000001</v>
      </c>
      <c r="L47" t="s">
        <v>49</v>
      </c>
      <c r="M47" t="s">
        <v>58</v>
      </c>
      <c r="N47">
        <v>220</v>
      </c>
      <c r="O47">
        <v>220</v>
      </c>
      <c r="P47">
        <v>75</v>
      </c>
      <c r="Q47">
        <v>215</v>
      </c>
      <c r="R47">
        <v>95</v>
      </c>
      <c r="S47">
        <v>100</v>
      </c>
      <c r="T47">
        <v>230</v>
      </c>
      <c r="U47">
        <v>160</v>
      </c>
      <c r="V47">
        <v>176</v>
      </c>
      <c r="W47">
        <v>169</v>
      </c>
      <c r="X47">
        <v>175</v>
      </c>
      <c r="Y47">
        <v>188</v>
      </c>
      <c r="Z47">
        <v>238</v>
      </c>
      <c r="AA47">
        <v>141</v>
      </c>
      <c r="AB47">
        <v>146</v>
      </c>
    </row>
    <row r="48" spans="1:28" x14ac:dyDescent="0.2">
      <c r="A48" t="s">
        <v>25</v>
      </c>
      <c r="C48" s="3" t="s">
        <v>11</v>
      </c>
      <c r="G48">
        <f t="shared" si="6"/>
        <v>120</v>
      </c>
      <c r="H48">
        <v>107</v>
      </c>
      <c r="I48">
        <f>0.32*$Q$86</f>
        <v>1.9296000000000002</v>
      </c>
      <c r="J48">
        <f t="shared" si="1"/>
        <v>24.776064000000002</v>
      </c>
      <c r="L48" t="s">
        <v>50</v>
      </c>
      <c r="M48" t="s">
        <v>58</v>
      </c>
      <c r="N48">
        <v>260</v>
      </c>
      <c r="O48">
        <v>260</v>
      </c>
      <c r="P48">
        <v>150</v>
      </c>
      <c r="Q48">
        <v>230</v>
      </c>
      <c r="R48">
        <v>140</v>
      </c>
      <c r="S48">
        <v>170</v>
      </c>
      <c r="T48">
        <v>250</v>
      </c>
      <c r="U48">
        <v>190</v>
      </c>
      <c r="V48">
        <v>222</v>
      </c>
      <c r="W48">
        <v>214</v>
      </c>
      <c r="X48">
        <v>208</v>
      </c>
      <c r="Y48">
        <v>209</v>
      </c>
      <c r="Z48">
        <v>260</v>
      </c>
      <c r="AA48">
        <v>189</v>
      </c>
      <c r="AB48">
        <v>157</v>
      </c>
    </row>
    <row r="49" spans="1:28" x14ac:dyDescent="0.2">
      <c r="A49" t="s">
        <v>25</v>
      </c>
      <c r="B49" s="3"/>
      <c r="C49" s="3" t="s">
        <v>12</v>
      </c>
      <c r="D49" s="3"/>
      <c r="E49" s="3"/>
      <c r="F49" s="3"/>
      <c r="G49">
        <f t="shared" si="6"/>
        <v>570</v>
      </c>
      <c r="H49">
        <v>108</v>
      </c>
      <c r="I49">
        <f>0.73*$Q$85</f>
        <v>9.0519999999999996</v>
      </c>
      <c r="J49">
        <f t="shared" si="1"/>
        <v>557.24112000000002</v>
      </c>
      <c r="L49" t="s">
        <v>46</v>
      </c>
      <c r="M49" t="s">
        <v>59</v>
      </c>
      <c r="N49">
        <v>380</v>
      </c>
      <c r="O49">
        <v>380</v>
      </c>
      <c r="P49">
        <v>420</v>
      </c>
      <c r="Q49">
        <v>480</v>
      </c>
      <c r="R49">
        <v>510</v>
      </c>
      <c r="S49">
        <v>480</v>
      </c>
      <c r="T49">
        <v>370</v>
      </c>
      <c r="U49">
        <v>340</v>
      </c>
      <c r="V49">
        <v>585</v>
      </c>
      <c r="Y49">
        <v>660</v>
      </c>
      <c r="Z49">
        <v>620</v>
      </c>
      <c r="AA49">
        <v>565</v>
      </c>
      <c r="AB49">
        <v>531</v>
      </c>
    </row>
    <row r="50" spans="1:28" x14ac:dyDescent="0.2">
      <c r="A50" t="s">
        <v>25</v>
      </c>
      <c r="B50" s="3"/>
      <c r="C50" s="3" t="s">
        <v>13</v>
      </c>
      <c r="D50" s="3"/>
      <c r="E50" s="3"/>
      <c r="F50" s="3"/>
      <c r="G50">
        <f t="shared" si="6"/>
        <v>65</v>
      </c>
      <c r="H50">
        <v>109</v>
      </c>
      <c r="I50">
        <f>0.89*$Q$86</f>
        <v>5.3667000000000007</v>
      </c>
      <c r="J50">
        <f t="shared" si="1"/>
        <v>38.023069500000005</v>
      </c>
      <c r="L50" t="s">
        <v>48</v>
      </c>
      <c r="M50" t="s">
        <v>59</v>
      </c>
      <c r="N50">
        <v>420</v>
      </c>
      <c r="O50">
        <v>420</v>
      </c>
      <c r="P50">
        <v>420</v>
      </c>
      <c r="Q50">
        <v>460</v>
      </c>
      <c r="R50">
        <v>520</v>
      </c>
      <c r="S50">
        <v>470</v>
      </c>
      <c r="T50">
        <v>400</v>
      </c>
      <c r="U50">
        <v>390</v>
      </c>
      <c r="V50">
        <v>543</v>
      </c>
      <c r="Y50">
        <v>547</v>
      </c>
      <c r="Z50">
        <v>553</v>
      </c>
      <c r="AA50">
        <v>556</v>
      </c>
      <c r="AB50">
        <v>445</v>
      </c>
    </row>
    <row r="51" spans="1:28" x14ac:dyDescent="0.2">
      <c r="A51" t="s">
        <v>25</v>
      </c>
      <c r="B51" s="3"/>
      <c r="C51" s="3" t="s">
        <v>14</v>
      </c>
      <c r="D51" s="3"/>
      <c r="E51" s="3"/>
      <c r="F51" s="3"/>
      <c r="G51">
        <f t="shared" si="6"/>
        <v>550</v>
      </c>
      <c r="H51">
        <v>110</v>
      </c>
      <c r="I51">
        <f>0.29*$Q$85</f>
        <v>3.5959999999999996</v>
      </c>
      <c r="J51">
        <f t="shared" si="1"/>
        <v>217.55799999999996</v>
      </c>
      <c r="L51" t="s">
        <v>49</v>
      </c>
      <c r="M51" t="s">
        <v>59</v>
      </c>
      <c r="N51">
        <v>450</v>
      </c>
      <c r="O51">
        <v>450</v>
      </c>
      <c r="P51">
        <v>400</v>
      </c>
      <c r="Q51">
        <v>490</v>
      </c>
      <c r="R51">
        <v>410</v>
      </c>
      <c r="S51">
        <v>340</v>
      </c>
      <c r="T51">
        <v>420</v>
      </c>
      <c r="U51">
        <v>430</v>
      </c>
      <c r="V51">
        <v>580</v>
      </c>
      <c r="Y51">
        <v>582</v>
      </c>
      <c r="Z51">
        <v>620</v>
      </c>
      <c r="AA51">
        <v>593</v>
      </c>
      <c r="AB51">
        <v>471</v>
      </c>
    </row>
    <row r="52" spans="1:28" x14ac:dyDescent="0.2">
      <c r="A52" t="s">
        <v>25</v>
      </c>
      <c r="C52" s="3" t="s">
        <v>15</v>
      </c>
      <c r="D52" s="3"/>
      <c r="E52" s="3"/>
      <c r="F52" s="3"/>
      <c r="G52">
        <f t="shared" si="6"/>
        <v>245</v>
      </c>
      <c r="H52">
        <v>111</v>
      </c>
      <c r="I52">
        <f>0.16*$Q$85</f>
        <v>1.9840000000000002</v>
      </c>
      <c r="J52">
        <f t="shared" si="1"/>
        <v>53.954880000000003</v>
      </c>
      <c r="L52" t="s">
        <v>50</v>
      </c>
      <c r="M52" t="s">
        <v>59</v>
      </c>
      <c r="N52">
        <v>460</v>
      </c>
      <c r="O52">
        <v>460</v>
      </c>
      <c r="P52">
        <v>400</v>
      </c>
      <c r="Q52">
        <v>470</v>
      </c>
      <c r="R52">
        <v>440</v>
      </c>
      <c r="S52">
        <v>360</v>
      </c>
      <c r="T52">
        <v>390</v>
      </c>
      <c r="U52">
        <v>400</v>
      </c>
      <c r="V52">
        <v>590</v>
      </c>
      <c r="Y52">
        <v>605</v>
      </c>
      <c r="Z52">
        <v>620</v>
      </c>
      <c r="AA52">
        <v>553</v>
      </c>
      <c r="AB52">
        <v>484</v>
      </c>
    </row>
    <row r="53" spans="1:28" x14ac:dyDescent="0.2">
      <c r="A53" t="s">
        <v>25</v>
      </c>
      <c r="C53" s="3" t="s">
        <v>16</v>
      </c>
      <c r="D53" s="3"/>
      <c r="E53" s="3"/>
      <c r="F53" s="3"/>
      <c r="G53">
        <f t="shared" si="6"/>
        <v>120</v>
      </c>
      <c r="H53">
        <v>112</v>
      </c>
      <c r="I53">
        <f>0.56*$Q$86</f>
        <v>3.3768000000000002</v>
      </c>
      <c r="J53">
        <f t="shared" si="1"/>
        <v>45.384192000000006</v>
      </c>
    </row>
    <row r="54" spans="1:28" x14ac:dyDescent="0.2">
      <c r="C54" s="3"/>
      <c r="D54" s="3"/>
      <c r="E54" s="3"/>
      <c r="F54" s="3"/>
    </row>
    <row r="55" spans="1:28" x14ac:dyDescent="0.2">
      <c r="C55" s="3"/>
      <c r="D55" s="3"/>
      <c r="E55" s="3"/>
      <c r="F55" s="3"/>
    </row>
    <row r="56" spans="1:28" x14ac:dyDescent="0.2">
      <c r="C56" s="3"/>
      <c r="D56" s="3"/>
      <c r="E56" s="3"/>
      <c r="F56" s="3"/>
      <c r="L56" s="4" t="s">
        <v>67</v>
      </c>
      <c r="M56" s="4" t="s">
        <v>68</v>
      </c>
      <c r="N56" s="4" t="s">
        <v>69</v>
      </c>
      <c r="O56" s="4"/>
      <c r="P56" s="4" t="s">
        <v>70</v>
      </c>
      <c r="Q56" s="4"/>
      <c r="R56" s="5" t="s">
        <v>82</v>
      </c>
      <c r="S56" s="5" t="s">
        <v>83</v>
      </c>
    </row>
    <row r="57" spans="1:28" x14ac:dyDescent="0.2">
      <c r="C57" s="3"/>
      <c r="D57" s="3"/>
      <c r="E57" s="3"/>
      <c r="F57" s="3"/>
      <c r="L57" t="s">
        <v>71</v>
      </c>
      <c r="M57">
        <v>550</v>
      </c>
      <c r="N57">
        <v>380</v>
      </c>
      <c r="P57">
        <v>600</v>
      </c>
      <c r="R57" s="6">
        <v>155</v>
      </c>
      <c r="S57" s="6">
        <v>225</v>
      </c>
    </row>
    <row r="58" spans="1:28" x14ac:dyDescent="0.2">
      <c r="C58" s="3"/>
      <c r="D58" s="3"/>
      <c r="E58" s="3"/>
      <c r="F58" s="3"/>
      <c r="L58" t="s">
        <v>72</v>
      </c>
      <c r="M58">
        <v>600</v>
      </c>
      <c r="N58">
        <v>415</v>
      </c>
      <c r="P58">
        <v>600</v>
      </c>
      <c r="R58" s="6">
        <v>170</v>
      </c>
      <c r="S58" s="6">
        <v>225</v>
      </c>
    </row>
    <row r="59" spans="1:28" x14ac:dyDescent="0.2">
      <c r="C59" s="3"/>
      <c r="D59" s="3"/>
      <c r="E59" s="3"/>
      <c r="F59" s="3"/>
      <c r="L59" t="s">
        <v>73</v>
      </c>
      <c r="M59">
        <v>650</v>
      </c>
      <c r="N59">
        <v>450</v>
      </c>
      <c r="P59">
        <v>600</v>
      </c>
      <c r="R59" s="6">
        <v>185</v>
      </c>
      <c r="S59" s="6">
        <v>225</v>
      </c>
    </row>
    <row r="60" spans="1:28" x14ac:dyDescent="0.2">
      <c r="L60" t="s">
        <v>74</v>
      </c>
      <c r="M60">
        <v>500</v>
      </c>
      <c r="N60">
        <v>350</v>
      </c>
      <c r="P60">
        <v>600</v>
      </c>
      <c r="R60" s="6">
        <v>145</v>
      </c>
      <c r="S60" s="6">
        <v>225</v>
      </c>
    </row>
    <row r="61" spans="1:28" x14ac:dyDescent="0.2">
      <c r="A61" s="3" t="s">
        <v>6</v>
      </c>
      <c r="B61" s="3"/>
      <c r="C61" s="3"/>
      <c r="D61" s="3"/>
      <c r="E61" s="3"/>
      <c r="F61" s="3"/>
      <c r="L61" t="s">
        <v>75</v>
      </c>
      <c r="M61">
        <v>400</v>
      </c>
      <c r="N61">
        <v>275</v>
      </c>
      <c r="P61">
        <v>600</v>
      </c>
      <c r="R61" s="6">
        <v>115</v>
      </c>
      <c r="S61" s="6">
        <v>225</v>
      </c>
    </row>
    <row r="62" spans="1:28" x14ac:dyDescent="0.2">
      <c r="I62" t="s">
        <v>0</v>
      </c>
      <c r="L62" t="s">
        <v>76</v>
      </c>
      <c r="M62">
        <v>450</v>
      </c>
      <c r="N62">
        <v>315</v>
      </c>
      <c r="P62">
        <v>600</v>
      </c>
      <c r="R62" s="6">
        <v>130</v>
      </c>
      <c r="S62" s="6">
        <v>225</v>
      </c>
    </row>
    <row r="63" spans="1:28" x14ac:dyDescent="0.2">
      <c r="A63" s="1" t="s">
        <v>81</v>
      </c>
      <c r="B63" s="1"/>
      <c r="C63" s="1"/>
      <c r="D63" s="1"/>
      <c r="E63" s="1"/>
      <c r="F63" s="1"/>
      <c r="G63" s="1" t="s">
        <v>7</v>
      </c>
      <c r="H63" s="1" t="s">
        <v>17</v>
      </c>
      <c r="I63" s="1" t="s">
        <v>8</v>
      </c>
      <c r="J63" s="1" t="s">
        <v>3</v>
      </c>
      <c r="L63" t="s">
        <v>77</v>
      </c>
      <c r="M63">
        <v>540</v>
      </c>
      <c r="N63">
        <v>375</v>
      </c>
      <c r="P63">
        <v>600</v>
      </c>
      <c r="R63" s="6">
        <v>150</v>
      </c>
      <c r="S63" s="6">
        <v>225</v>
      </c>
    </row>
    <row r="64" spans="1:28" x14ac:dyDescent="0.2">
      <c r="A64" s="3" t="s">
        <v>21</v>
      </c>
      <c r="B64" s="3"/>
      <c r="C64" s="3"/>
      <c r="D64" s="3"/>
      <c r="E64" s="3"/>
      <c r="F64" s="3"/>
      <c r="G64">
        <v>340</v>
      </c>
      <c r="H64">
        <v>103</v>
      </c>
      <c r="I64">
        <v>10</v>
      </c>
      <c r="J64">
        <f>G64*H64*I64/1000</f>
        <v>350.2</v>
      </c>
      <c r="L64" t="s">
        <v>78</v>
      </c>
      <c r="M64">
        <v>480</v>
      </c>
      <c r="N64">
        <v>335</v>
      </c>
      <c r="P64">
        <v>600</v>
      </c>
      <c r="R64" s="6">
        <v>140</v>
      </c>
      <c r="S64" s="6">
        <v>225</v>
      </c>
    </row>
    <row r="65" spans="1:19" x14ac:dyDescent="0.2">
      <c r="A65" s="3" t="s">
        <v>22</v>
      </c>
      <c r="B65" s="3"/>
      <c r="C65" s="3"/>
      <c r="D65" s="3"/>
      <c r="E65" s="3"/>
      <c r="F65" s="3"/>
      <c r="G65">
        <v>400</v>
      </c>
      <c r="H65">
        <v>41</v>
      </c>
      <c r="I65">
        <v>6.3</v>
      </c>
      <c r="J65">
        <f t="shared" ref="J65:J75" si="7">G65*H65*I65/1000</f>
        <v>103.32</v>
      </c>
      <c r="L65" t="s">
        <v>79</v>
      </c>
      <c r="M65">
        <v>600</v>
      </c>
      <c r="N65">
        <v>415</v>
      </c>
      <c r="P65">
        <v>600</v>
      </c>
      <c r="R65" s="6">
        <v>170</v>
      </c>
      <c r="S65" s="6">
        <v>225</v>
      </c>
    </row>
    <row r="66" spans="1:19" x14ac:dyDescent="0.2">
      <c r="A66" s="3" t="s">
        <v>23</v>
      </c>
      <c r="B66" s="3"/>
      <c r="C66" s="3"/>
      <c r="D66" s="3"/>
      <c r="E66" s="3"/>
      <c r="F66" s="3"/>
      <c r="G66">
        <v>250</v>
      </c>
      <c r="H66">
        <v>2452</v>
      </c>
      <c r="I66">
        <v>4.87</v>
      </c>
      <c r="J66">
        <f t="shared" si="7"/>
        <v>2985.31</v>
      </c>
      <c r="L66" t="s">
        <v>80</v>
      </c>
      <c r="M66">
        <v>550</v>
      </c>
      <c r="N66">
        <v>375</v>
      </c>
      <c r="P66">
        <v>600</v>
      </c>
      <c r="R66" s="6">
        <v>150</v>
      </c>
      <c r="S66" s="6">
        <v>225</v>
      </c>
    </row>
    <row r="67" spans="1:19" x14ac:dyDescent="0.2">
      <c r="A67" s="3" t="s">
        <v>24</v>
      </c>
      <c r="G67">
        <v>25</v>
      </c>
      <c r="H67">
        <v>120</v>
      </c>
      <c r="I67">
        <v>2.5</v>
      </c>
      <c r="J67">
        <f t="shared" si="7"/>
        <v>7.5</v>
      </c>
    </row>
    <row r="68" spans="1:19" x14ac:dyDescent="0.2">
      <c r="A68" s="3" t="s">
        <v>25</v>
      </c>
      <c r="C68" s="3" t="s">
        <v>9</v>
      </c>
      <c r="G68">
        <v>500</v>
      </c>
      <c r="H68">
        <v>131</v>
      </c>
      <c r="I68">
        <v>3.75</v>
      </c>
      <c r="J68">
        <f t="shared" si="7"/>
        <v>245.625</v>
      </c>
    </row>
    <row r="69" spans="1:19" x14ac:dyDescent="0.2">
      <c r="A69" s="3" t="s">
        <v>25</v>
      </c>
      <c r="C69" s="3" t="s">
        <v>10</v>
      </c>
      <c r="G69">
        <v>180</v>
      </c>
      <c r="H69">
        <v>142</v>
      </c>
      <c r="I69">
        <v>5</v>
      </c>
      <c r="J69">
        <f t="shared" si="7"/>
        <v>127.8</v>
      </c>
    </row>
    <row r="70" spans="1:19" x14ac:dyDescent="0.2">
      <c r="A70" s="3" t="s">
        <v>25</v>
      </c>
      <c r="C70" s="3" t="s">
        <v>11</v>
      </c>
      <c r="G70">
        <v>400</v>
      </c>
      <c r="H70">
        <v>153</v>
      </c>
      <c r="I70">
        <v>6.25</v>
      </c>
      <c r="J70">
        <f t="shared" si="7"/>
        <v>382.5</v>
      </c>
      <c r="L70" s="3" t="s">
        <v>85</v>
      </c>
      <c r="M70" s="3">
        <v>188</v>
      </c>
    </row>
    <row r="71" spans="1:19" x14ac:dyDescent="0.2">
      <c r="A71" s="3" t="s">
        <v>25</v>
      </c>
      <c r="C71" s="3" t="s">
        <v>12</v>
      </c>
      <c r="G71">
        <v>450</v>
      </c>
      <c r="H71">
        <v>164</v>
      </c>
      <c r="I71">
        <v>7.5</v>
      </c>
      <c r="J71">
        <f t="shared" si="7"/>
        <v>553.5</v>
      </c>
      <c r="L71" s="3" t="s">
        <v>84</v>
      </c>
      <c r="M71" s="3">
        <v>206</v>
      </c>
    </row>
    <row r="72" spans="1:19" x14ac:dyDescent="0.2">
      <c r="A72" s="3" t="s">
        <v>25</v>
      </c>
      <c r="C72" s="3" t="s">
        <v>13</v>
      </c>
      <c r="G72">
        <v>250</v>
      </c>
      <c r="H72">
        <v>175</v>
      </c>
      <c r="I72">
        <v>8.75</v>
      </c>
      <c r="J72">
        <f t="shared" si="7"/>
        <v>382.8125</v>
      </c>
      <c r="L72" t="s">
        <v>86</v>
      </c>
      <c r="M72" s="3">
        <v>125</v>
      </c>
    </row>
    <row r="73" spans="1:19" x14ac:dyDescent="0.2">
      <c r="A73" s="3" t="s">
        <v>25</v>
      </c>
      <c r="C73" s="3" t="s">
        <v>14</v>
      </c>
      <c r="G73">
        <v>500</v>
      </c>
      <c r="H73">
        <v>186</v>
      </c>
      <c r="I73">
        <v>10</v>
      </c>
      <c r="J73">
        <f t="shared" si="7"/>
        <v>930</v>
      </c>
      <c r="L73" t="s">
        <v>87</v>
      </c>
      <c r="M73" s="3">
        <v>39</v>
      </c>
    </row>
    <row r="74" spans="1:19" x14ac:dyDescent="0.2">
      <c r="A74" s="3" t="s">
        <v>25</v>
      </c>
      <c r="C74" s="3" t="s">
        <v>15</v>
      </c>
      <c r="G74">
        <v>450</v>
      </c>
      <c r="H74">
        <v>197</v>
      </c>
      <c r="I74">
        <v>11.25</v>
      </c>
      <c r="J74">
        <f t="shared" si="7"/>
        <v>997.3125</v>
      </c>
      <c r="L74" t="s">
        <v>88</v>
      </c>
      <c r="M74" s="3">
        <v>97</v>
      </c>
    </row>
    <row r="75" spans="1:19" x14ac:dyDescent="0.2">
      <c r="A75" s="3" t="s">
        <v>25</v>
      </c>
      <c r="C75" s="3" t="s">
        <v>16</v>
      </c>
      <c r="G75">
        <v>150</v>
      </c>
      <c r="H75">
        <v>208</v>
      </c>
      <c r="I75">
        <v>12.5</v>
      </c>
      <c r="J75">
        <f t="shared" si="7"/>
        <v>390</v>
      </c>
    </row>
    <row r="77" spans="1:19" x14ac:dyDescent="0.2">
      <c r="L77" t="s">
        <v>89</v>
      </c>
      <c r="M77" s="3">
        <v>1.3</v>
      </c>
    </row>
    <row r="78" spans="1:19" x14ac:dyDescent="0.2">
      <c r="L78" t="s">
        <v>90</v>
      </c>
      <c r="M78" s="3">
        <v>2</v>
      </c>
    </row>
    <row r="79" spans="1:19" x14ac:dyDescent="0.2">
      <c r="L79" t="s">
        <v>91</v>
      </c>
      <c r="M79" s="3">
        <v>1.4</v>
      </c>
    </row>
    <row r="80" spans="1:19" x14ac:dyDescent="0.2">
      <c r="L80" t="s">
        <v>92</v>
      </c>
      <c r="M80" s="3">
        <v>1.2</v>
      </c>
    </row>
    <row r="81" spans="12:17" x14ac:dyDescent="0.2">
      <c r="L81" t="s">
        <v>93</v>
      </c>
      <c r="M81" s="3">
        <v>0.04</v>
      </c>
    </row>
    <row r="84" spans="12:17" x14ac:dyDescent="0.2">
      <c r="L84" s="3" t="s">
        <v>9</v>
      </c>
      <c r="M84" s="3">
        <v>336</v>
      </c>
    </row>
    <row r="85" spans="12:17" x14ac:dyDescent="0.2">
      <c r="L85" s="3" t="s">
        <v>10</v>
      </c>
      <c r="M85" s="3">
        <v>50</v>
      </c>
      <c r="P85" t="s">
        <v>61</v>
      </c>
      <c r="Q85">
        <v>12.4</v>
      </c>
    </row>
    <row r="86" spans="12:17" x14ac:dyDescent="0.2">
      <c r="L86" s="3" t="s">
        <v>11</v>
      </c>
      <c r="M86" s="3">
        <v>120</v>
      </c>
      <c r="P86" t="s">
        <v>65</v>
      </c>
      <c r="Q86">
        <v>6.03</v>
      </c>
    </row>
    <row r="87" spans="12:17" x14ac:dyDescent="0.2">
      <c r="L87" s="3" t="s">
        <v>12</v>
      </c>
      <c r="M87" s="3">
        <v>570</v>
      </c>
    </row>
    <row r="88" spans="12:17" x14ac:dyDescent="0.2">
      <c r="L88" s="3" t="s">
        <v>13</v>
      </c>
      <c r="M88" s="3">
        <v>65</v>
      </c>
    </row>
    <row r="89" spans="12:17" x14ac:dyDescent="0.2">
      <c r="L89" s="3" t="s">
        <v>14</v>
      </c>
      <c r="M89" s="3">
        <v>550</v>
      </c>
    </row>
    <row r="90" spans="12:17" x14ac:dyDescent="0.2">
      <c r="L90" s="3" t="s">
        <v>15</v>
      </c>
      <c r="M90" s="3">
        <v>245</v>
      </c>
    </row>
    <row r="91" spans="12:17" x14ac:dyDescent="0.2">
      <c r="L91" s="3" t="s">
        <v>16</v>
      </c>
      <c r="M91" s="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 Cheesman</dc:creator>
  <cp:lastModifiedBy>Eddie Sholl</cp:lastModifiedBy>
  <dcterms:created xsi:type="dcterms:W3CDTF">2026-03-30T23:21:58Z</dcterms:created>
  <dcterms:modified xsi:type="dcterms:W3CDTF">2026-09-15T22:05:31Z</dcterms:modified>
</cp:coreProperties>
</file>