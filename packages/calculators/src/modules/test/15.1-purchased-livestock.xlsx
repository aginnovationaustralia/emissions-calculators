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8E767353-4F59-1A4B-B818-F640B5BBE040}" xr6:coauthVersionLast="47" xr6:coauthVersionMax="47" xr10:uidLastSave="{00000000-0000-0000-0000-000000000000}"/>
  <bookViews>
    <workbookView xWindow="1820" yWindow="1500" windowWidth="25020" windowHeight="13000" xr2:uid="{00000000-000D-0000-FFFF-FFFF00000000}"/>
  </bookViews>
  <sheets>
    <sheet name="15.1.1 (Other Livestock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E33" i="1"/>
  <c r="E3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11" i="1"/>
</calcChain>
</file>

<file path=xl/sharedStrings.xml><?xml version="1.0" encoding="utf-8"?>
<sst xmlns="http://schemas.openxmlformats.org/spreadsheetml/2006/main" count="50" uniqueCount="23">
  <si>
    <t>input</t>
  </si>
  <si>
    <t>constant</t>
  </si>
  <si>
    <t>expression</t>
  </si>
  <si>
    <t>E</t>
  </si>
  <si>
    <t>Method 1</t>
  </si>
  <si>
    <t>tonnes CO2e</t>
  </si>
  <si>
    <t>Method 2</t>
  </si>
  <si>
    <t>Livestock type</t>
  </si>
  <si>
    <t>Wco</t>
  </si>
  <si>
    <t>Livestock type ©</t>
  </si>
  <si>
    <t>Efco</t>
  </si>
  <si>
    <t>Buffalo</t>
  </si>
  <si>
    <t>Goats</t>
  </si>
  <si>
    <t>Deer</t>
  </si>
  <si>
    <t>Camels</t>
  </si>
  <si>
    <t>Alpacas</t>
  </si>
  <si>
    <t>Horses</t>
  </si>
  <si>
    <t>Mules/asses</t>
  </si>
  <si>
    <t>Emus/ostriches</t>
  </si>
  <si>
    <t>Nco</t>
  </si>
  <si>
    <t>head</t>
  </si>
  <si>
    <t>kg</t>
  </si>
  <si>
    <t>Reference Weight (Wco)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</si>
</sst>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2"/>
      <color theme="1"/>
      <name val="Helvetica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I33"/>
  <sheetViews>
    <sheetView tabSelected="1" topLeftCell="A16" workbookViewId="0">
      <selection activeCell="I23" sqref="I23"/>
    </sheetView>
  </sheetViews>
  <sheetFormatPr baseColWidth="10" defaultRowHeight="16" x14ac:dyDescent="0.2"/>
  <sheetData>
    <row r="5" spans="1:9" x14ac:dyDescent="0.2">
      <c r="E5" s="2"/>
    </row>
    <row r="6" spans="1:9" x14ac:dyDescent="0.2">
      <c r="A6" t="s">
        <v>4</v>
      </c>
    </row>
    <row r="7" spans="1:9" x14ac:dyDescent="0.2">
      <c r="C7">
        <v>257</v>
      </c>
      <c r="D7">
        <v>258</v>
      </c>
      <c r="E7">
        <v>256</v>
      </c>
    </row>
    <row r="8" spans="1:9" x14ac:dyDescent="0.2">
      <c r="B8" t="s">
        <v>0</v>
      </c>
      <c r="C8" t="s">
        <v>0</v>
      </c>
      <c r="D8" t="s">
        <v>1</v>
      </c>
      <c r="E8" t="s">
        <v>2</v>
      </c>
    </row>
    <row r="9" spans="1:9" x14ac:dyDescent="0.2">
      <c r="B9" t="s">
        <v>21</v>
      </c>
      <c r="C9" t="s">
        <v>20</v>
      </c>
      <c r="E9" t="s">
        <v>5</v>
      </c>
    </row>
    <row r="10" spans="1:9" x14ac:dyDescent="0.2">
      <c r="A10" s="1" t="s">
        <v>9</v>
      </c>
      <c r="B10" s="1" t="s">
        <v>8</v>
      </c>
      <c r="C10" s="1" t="s">
        <v>19</v>
      </c>
      <c r="D10" s="1" t="s">
        <v>10</v>
      </c>
      <c r="E10" s="1" t="s">
        <v>3</v>
      </c>
      <c r="G10" s="3" t="s">
        <v>7</v>
      </c>
      <c r="H10" s="3" t="s">
        <v>22</v>
      </c>
      <c r="I10" s="3" t="s">
        <v>10</v>
      </c>
    </row>
    <row r="11" spans="1:9" x14ac:dyDescent="0.2">
      <c r="A11" s="3" t="s">
        <v>11</v>
      </c>
      <c r="B11">
        <v>340</v>
      </c>
      <c r="C11">
        <v>103</v>
      </c>
      <c r="D11">
        <f>_xlfn.XLOOKUP(A11,$G$11:$G$18,$I$11:$I$18)</f>
        <v>12.4</v>
      </c>
      <c r="E11">
        <f>(C11*IF(ISBLANK(B11), _xlfn.XLOOKUP(A11,$G$11:$G$18,$H$11:$H$18), B11)*D11)/1000</f>
        <v>434.24799999999999</v>
      </c>
      <c r="G11" s="5" t="s">
        <v>11</v>
      </c>
      <c r="H11" s="4">
        <v>336</v>
      </c>
      <c r="I11" s="4">
        <v>12.4</v>
      </c>
    </row>
    <row r="12" spans="1:9" x14ac:dyDescent="0.2">
      <c r="A12" s="3" t="s">
        <v>12</v>
      </c>
      <c r="B12">
        <v>45</v>
      </c>
      <c r="C12">
        <v>41</v>
      </c>
      <c r="D12">
        <f t="shared" ref="D12:D26" si="0">_xlfn.XLOOKUP(A12,$G$11:$G$18,$I$11:$I$18)</f>
        <v>5.44</v>
      </c>
      <c r="E12">
        <f t="shared" ref="E12:E26" si="1">(C12*IF(ISBLANK(B12), _xlfn.XLOOKUP(A12,$G$11:$G$18,$H$11:$H$18), B12)*D12)/1000</f>
        <v>10.036800000000001</v>
      </c>
      <c r="G12" s="5" t="s">
        <v>12</v>
      </c>
      <c r="H12" s="4">
        <v>50</v>
      </c>
      <c r="I12" s="4">
        <v>5.44</v>
      </c>
    </row>
    <row r="13" spans="1:9" x14ac:dyDescent="0.2">
      <c r="A13" s="3" t="s">
        <v>13</v>
      </c>
      <c r="B13">
        <v>145</v>
      </c>
      <c r="C13">
        <v>2452</v>
      </c>
      <c r="D13">
        <f t="shared" si="0"/>
        <v>5.44</v>
      </c>
      <c r="E13">
        <f t="shared" si="1"/>
        <v>1934.1376</v>
      </c>
      <c r="G13" s="5" t="s">
        <v>13</v>
      </c>
      <c r="H13" s="4">
        <v>120</v>
      </c>
      <c r="I13" s="4">
        <v>5.44</v>
      </c>
    </row>
    <row r="14" spans="1:9" x14ac:dyDescent="0.2">
      <c r="A14" s="3" t="s">
        <v>14</v>
      </c>
      <c r="B14">
        <v>550</v>
      </c>
      <c r="C14">
        <v>32</v>
      </c>
      <c r="D14">
        <f t="shared" si="0"/>
        <v>12.4</v>
      </c>
      <c r="E14">
        <f t="shared" si="1"/>
        <v>218.24</v>
      </c>
      <c r="G14" s="5" t="s">
        <v>14</v>
      </c>
      <c r="H14" s="4">
        <v>570</v>
      </c>
      <c r="I14" s="4">
        <v>12.4</v>
      </c>
    </row>
    <row r="15" spans="1:9" x14ac:dyDescent="0.2">
      <c r="A15" s="3" t="s">
        <v>15</v>
      </c>
      <c r="B15">
        <v>60</v>
      </c>
      <c r="C15">
        <v>524</v>
      </c>
      <c r="D15">
        <f t="shared" si="0"/>
        <v>5.44</v>
      </c>
      <c r="E15">
        <f t="shared" si="1"/>
        <v>171.03360000000001</v>
      </c>
      <c r="G15" s="5" t="s">
        <v>15</v>
      </c>
      <c r="H15" s="4">
        <v>65</v>
      </c>
      <c r="I15" s="4">
        <v>5.44</v>
      </c>
    </row>
    <row r="16" spans="1:9" x14ac:dyDescent="0.2">
      <c r="A16" s="3" t="s">
        <v>16</v>
      </c>
      <c r="B16">
        <v>555</v>
      </c>
      <c r="C16">
        <v>23</v>
      </c>
      <c r="D16">
        <f t="shared" si="0"/>
        <v>12.4</v>
      </c>
      <c r="E16">
        <f t="shared" si="1"/>
        <v>158.286</v>
      </c>
      <c r="G16" s="5" t="s">
        <v>16</v>
      </c>
      <c r="H16" s="4">
        <v>550</v>
      </c>
      <c r="I16" s="4">
        <v>12.4</v>
      </c>
    </row>
    <row r="17" spans="1:9" x14ac:dyDescent="0.2">
      <c r="A17" s="3" t="s">
        <v>17</v>
      </c>
      <c r="B17">
        <v>239</v>
      </c>
      <c r="C17">
        <v>346</v>
      </c>
      <c r="D17">
        <f t="shared" si="0"/>
        <v>5.44</v>
      </c>
      <c r="E17">
        <f t="shared" si="1"/>
        <v>449.85536000000002</v>
      </c>
      <c r="G17" s="5" t="s">
        <v>17</v>
      </c>
      <c r="H17" s="4">
        <v>245</v>
      </c>
      <c r="I17" s="4">
        <v>5.44</v>
      </c>
    </row>
    <row r="18" spans="1:9" ht="17" customHeight="1" x14ac:dyDescent="0.2">
      <c r="A18" s="3" t="s">
        <v>18</v>
      </c>
      <c r="B18">
        <v>145</v>
      </c>
      <c r="C18">
        <v>123</v>
      </c>
      <c r="D18">
        <f t="shared" si="0"/>
        <v>5.44</v>
      </c>
      <c r="E18">
        <f t="shared" si="1"/>
        <v>97.022400000000005</v>
      </c>
      <c r="G18" s="5" t="s">
        <v>18</v>
      </c>
      <c r="H18" s="4">
        <v>120</v>
      </c>
      <c r="I18" s="4">
        <v>5.44</v>
      </c>
    </row>
    <row r="19" spans="1:9" x14ac:dyDescent="0.2">
      <c r="A19" s="3" t="s">
        <v>11</v>
      </c>
      <c r="C19">
        <v>43</v>
      </c>
      <c r="D19">
        <f t="shared" si="0"/>
        <v>12.4</v>
      </c>
      <c r="E19">
        <f t="shared" si="1"/>
        <v>179.15520000000001</v>
      </c>
    </row>
    <row r="20" spans="1:9" x14ac:dyDescent="0.2">
      <c r="A20" s="3" t="s">
        <v>12</v>
      </c>
      <c r="C20">
        <v>78</v>
      </c>
      <c r="D20">
        <f t="shared" si="0"/>
        <v>5.44</v>
      </c>
      <c r="E20">
        <f t="shared" si="1"/>
        <v>21.216000000000001</v>
      </c>
    </row>
    <row r="21" spans="1:9" x14ac:dyDescent="0.2">
      <c r="A21" s="3" t="s">
        <v>13</v>
      </c>
      <c r="C21">
        <v>58</v>
      </c>
      <c r="D21">
        <f t="shared" si="0"/>
        <v>5.44</v>
      </c>
      <c r="E21">
        <f t="shared" si="1"/>
        <v>37.862400000000001</v>
      </c>
    </row>
    <row r="22" spans="1:9" x14ac:dyDescent="0.2">
      <c r="A22" s="3" t="s">
        <v>14</v>
      </c>
      <c r="C22">
        <v>10</v>
      </c>
      <c r="D22">
        <f t="shared" si="0"/>
        <v>12.4</v>
      </c>
      <c r="E22">
        <f t="shared" si="1"/>
        <v>70.680000000000007</v>
      </c>
    </row>
    <row r="23" spans="1:9" x14ac:dyDescent="0.2">
      <c r="A23" s="3" t="s">
        <v>15</v>
      </c>
      <c r="C23">
        <v>405</v>
      </c>
      <c r="D23">
        <f t="shared" si="0"/>
        <v>5.44</v>
      </c>
      <c r="E23">
        <f t="shared" si="1"/>
        <v>143.208</v>
      </c>
    </row>
    <row r="24" spans="1:9" x14ac:dyDescent="0.2">
      <c r="A24" s="3" t="s">
        <v>16</v>
      </c>
      <c r="C24">
        <v>18</v>
      </c>
      <c r="D24">
        <f t="shared" si="0"/>
        <v>12.4</v>
      </c>
      <c r="E24">
        <f t="shared" si="1"/>
        <v>122.76</v>
      </c>
    </row>
    <row r="25" spans="1:9" x14ac:dyDescent="0.2">
      <c r="A25" s="3" t="s">
        <v>17</v>
      </c>
      <c r="C25">
        <v>352</v>
      </c>
      <c r="D25">
        <f t="shared" si="0"/>
        <v>5.44</v>
      </c>
      <c r="E25">
        <f t="shared" si="1"/>
        <v>469.14560000000006</v>
      </c>
    </row>
    <row r="26" spans="1:9" x14ac:dyDescent="0.2">
      <c r="A26" s="3" t="s">
        <v>18</v>
      </c>
      <c r="C26">
        <v>34</v>
      </c>
      <c r="D26">
        <f t="shared" si="0"/>
        <v>5.44</v>
      </c>
      <c r="E26">
        <f t="shared" si="1"/>
        <v>22.1952</v>
      </c>
    </row>
    <row r="28" spans="1:9" x14ac:dyDescent="0.2">
      <c r="A28" s="3" t="s">
        <v>6</v>
      </c>
    </row>
    <row r="29" spans="1:9" x14ac:dyDescent="0.2">
      <c r="D29" t="s">
        <v>0</v>
      </c>
    </row>
    <row r="30" spans="1:9" x14ac:dyDescent="0.2">
      <c r="A30" s="1" t="s">
        <v>9</v>
      </c>
      <c r="B30" s="1" t="s">
        <v>8</v>
      </c>
      <c r="C30" s="1" t="s">
        <v>19</v>
      </c>
      <c r="D30" s="1" t="s">
        <v>10</v>
      </c>
      <c r="E30" s="1" t="s">
        <v>3</v>
      </c>
    </row>
    <row r="31" spans="1:9" x14ac:dyDescent="0.2">
      <c r="A31" s="3" t="s">
        <v>11</v>
      </c>
      <c r="B31">
        <v>340</v>
      </c>
      <c r="C31">
        <v>103</v>
      </c>
      <c r="D31">
        <v>10</v>
      </c>
      <c r="E31">
        <f t="shared" ref="E31:E33" si="2">(C31*IF(ISBLANK(B31), _xlfn.XLOOKUP(A31,$G$11:$G$18,$H$11:$H$18), B31)*D31)/1000</f>
        <v>350.2</v>
      </c>
    </row>
    <row r="32" spans="1:9" x14ac:dyDescent="0.2">
      <c r="A32" s="3" t="s">
        <v>12</v>
      </c>
      <c r="B32">
        <v>45</v>
      </c>
      <c r="C32">
        <v>41</v>
      </c>
      <c r="D32">
        <v>6.3</v>
      </c>
      <c r="E32">
        <f t="shared" si="2"/>
        <v>11.6235</v>
      </c>
    </row>
    <row r="33" spans="1:5" x14ac:dyDescent="0.2">
      <c r="A33" s="3" t="s">
        <v>13</v>
      </c>
      <c r="B33">
        <v>145</v>
      </c>
      <c r="C33">
        <v>2452</v>
      </c>
      <c r="D33">
        <v>4.87</v>
      </c>
      <c r="E33">
        <f t="shared" si="2"/>
        <v>1731.4798000000001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15.1.1 (Other Livestock)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2026-03-30T23:21:58Z</dcterms:created>
  <dcterms:modified xsi:type="dcterms:W3CDTF">2026-05-12T04:20:50Z</dcterms:modified>
</cp:coreProperties>
</file>