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defaultThemeVersion="202300"/>
  <mc:AlternateContent xmlns:mc="http://schemas.openxmlformats.org/markup-compatibility/2006">
    <mc:Choice Requires="x15">
      <x15ac:absPath xmlns:x15ac="http://schemas.microsoft.com/office/spreadsheetml/2010/11/ac" url="/Users/eddiesholl/Code/aginnovationaustralia/emissions-calculators/packages/calculators/src/modules/test/"/>
    </mc:Choice>
  </mc:AlternateContent>
  <xr:revisionPtr revIDLastSave="0" documentId="13_ncr:20001_{EB6E3F6E-4F69-CD40-A60B-6A75C5C16771}" xr6:coauthVersionLast="47" xr6:coauthVersionMax="47" xr10:uidLastSave="{00000000-0000-0000-0000-000000000000}"/>
  <bookViews>
    <workbookView xWindow="0" yWindow="600" windowWidth="38400" windowHeight="21000" xr2:uid="{00000000-000D-0000-FFFF-FFFF00000000}"/>
  </bookViews>
  <sheets>
    <sheet name="4.2.1 methane" sheetId="2" r:id="rId1"/>
    <sheet name="Checks" sheetId="3"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11" i="2" l="1"/>
  <c r="AN11" i="2" a="1"/>
  <c r="AN11" i="2" s="1"/>
  <c r="AJ11" i="2" a="1"/>
  <c r="AJ11" i="2" s="1"/>
  <c r="W15" i="2" s="1"/>
  <c r="U32" i="2"/>
  <c r="U31" i="2"/>
  <c r="U28" i="2"/>
  <c r="U27" i="2"/>
  <c r="T36" i="2"/>
  <c r="T35" i="2"/>
  <c r="T20" i="2"/>
  <c r="T19" i="2"/>
  <c r="T12" i="2"/>
  <c r="M41" i="2" a="1"/>
  <c r="M41" i="2" s="1"/>
  <c r="M42" i="2" a="1"/>
  <c r="M42" i="2" s="1"/>
  <c r="M43" i="2" a="1"/>
  <c r="M43" i="2" s="1"/>
  <c r="M44" i="2" a="1"/>
  <c r="M44" i="2"/>
  <c r="M45" i="2" a="1"/>
  <c r="M45" i="2" s="1"/>
  <c r="M46" i="2" a="1"/>
  <c r="M46" i="2" s="1"/>
  <c r="M47" i="2" a="1"/>
  <c r="M47" i="2" s="1"/>
  <c r="M48" i="2" a="1"/>
  <c r="M48" i="2" s="1"/>
  <c r="M49" i="2" a="1"/>
  <c r="M49" i="2" s="1"/>
  <c r="M50" i="2" a="1"/>
  <c r="M50" i="2"/>
  <c r="M12" i="2" a="1"/>
  <c r="M12" i="2" s="1"/>
  <c r="M13" i="2" a="1"/>
  <c r="M13" i="2"/>
  <c r="M14" i="2" a="1"/>
  <c r="M14" i="2" s="1"/>
  <c r="M15" i="2" a="1"/>
  <c r="M15" i="2" s="1"/>
  <c r="M16" i="2" a="1"/>
  <c r="M16" i="2" s="1"/>
  <c r="M17" i="2" a="1"/>
  <c r="M17" i="2" s="1"/>
  <c r="M18" i="2" a="1"/>
  <c r="M18" i="2" s="1"/>
  <c r="M19" i="2" a="1"/>
  <c r="M19" i="2" s="1"/>
  <c r="M20" i="2" a="1"/>
  <c r="M20" i="2" s="1"/>
  <c r="M21" i="2" a="1"/>
  <c r="M21" i="2" s="1"/>
  <c r="M22" i="2" a="1"/>
  <c r="M22" i="2" s="1"/>
  <c r="M23" i="2" a="1"/>
  <c r="M23" i="2" s="1"/>
  <c r="M24" i="2" a="1"/>
  <c r="M24" i="2" s="1"/>
  <c r="M25" i="2" a="1"/>
  <c r="M25" i="2" s="1"/>
  <c r="M26" i="2" a="1"/>
  <c r="M26" i="2" s="1"/>
  <c r="M27" i="2" a="1"/>
  <c r="M27" i="2" s="1"/>
  <c r="M28" i="2" a="1"/>
  <c r="M28" i="2" s="1"/>
  <c r="M29" i="2" a="1"/>
  <c r="M29" i="2" s="1"/>
  <c r="M30" i="2" a="1"/>
  <c r="M30" i="2" s="1"/>
  <c r="M31" i="2" a="1"/>
  <c r="M31" i="2" s="1"/>
  <c r="M32" i="2" a="1"/>
  <c r="M32" i="2" s="1"/>
  <c r="M33" i="2" a="1"/>
  <c r="M33" i="2" s="1"/>
  <c r="M34" i="2" a="1"/>
  <c r="M34" i="2" s="1"/>
  <c r="M35" i="2" a="1"/>
  <c r="M35" i="2" s="1"/>
  <c r="M36" i="2" a="1"/>
  <c r="M36" i="2" s="1"/>
  <c r="M37" i="2" a="1"/>
  <c r="M37" i="2" s="1"/>
  <c r="M38" i="2" a="1"/>
  <c r="M38" i="2" s="1"/>
  <c r="M39" i="2" a="1"/>
  <c r="M39" i="2" s="1"/>
  <c r="M40" i="2" a="1"/>
  <c r="M40" i="2" s="1"/>
  <c r="M11" i="2" a="1"/>
  <c r="M11" i="2" s="1"/>
  <c r="E11" i="2"/>
  <c r="T11" i="2"/>
  <c r="BN11" i="2"/>
  <c r="BL11" i="2"/>
  <c r="BJ11" i="2"/>
  <c r="BH11" i="2"/>
  <c r="BD11" i="2"/>
  <c r="CG7" i="2"/>
  <c r="BC11" i="2" s="1"/>
  <c r="BB11" i="2"/>
  <c r="V12" i="2"/>
  <c r="V13" i="2"/>
  <c r="V14" i="2"/>
  <c r="V15" i="2"/>
  <c r="V16" i="2"/>
  <c r="V17" i="2"/>
  <c r="V18" i="2"/>
  <c r="V19" i="2"/>
  <c r="V20" i="2"/>
  <c r="V21" i="2"/>
  <c r="V22" i="2"/>
  <c r="V23" i="2"/>
  <c r="V24" i="2"/>
  <c r="V25" i="2"/>
  <c r="V26" i="2"/>
  <c r="V11" i="2"/>
  <c r="M130" i="2" a="1"/>
  <c r="M130" i="2" s="1"/>
  <c r="M129" i="2" a="1"/>
  <c r="M129" i="2" s="1"/>
  <c r="M128" i="2" a="1"/>
  <c r="M128" i="2" s="1"/>
  <c r="M127" i="2" a="1"/>
  <c r="M127" i="2" s="1"/>
  <c r="M126" i="2" a="1"/>
  <c r="M126" i="2" s="1"/>
  <c r="M125" i="2" a="1"/>
  <c r="M125" i="2" s="1"/>
  <c r="M124" i="2" a="1"/>
  <c r="M124" i="2" s="1"/>
  <c r="M123" i="2" a="1"/>
  <c r="M123" i="2" s="1"/>
  <c r="M122" i="2" a="1"/>
  <c r="M122" i="2" s="1"/>
  <c r="M121" i="2" a="1"/>
  <c r="M121" i="2" s="1"/>
  <c r="M120" i="2" a="1"/>
  <c r="M120" i="2" s="1"/>
  <c r="M119" i="2" a="1"/>
  <c r="M119" i="2" s="1"/>
  <c r="M118" i="2" a="1"/>
  <c r="M118" i="2" s="1"/>
  <c r="M117" i="2" a="1"/>
  <c r="M117" i="2" s="1"/>
  <c r="M116" i="2" a="1"/>
  <c r="M116" i="2" s="1"/>
  <c r="M115" i="2" a="1"/>
  <c r="M115" i="2" s="1"/>
  <c r="M114" i="2" a="1"/>
  <c r="M114" i="2" s="1"/>
  <c r="M113" i="2" a="1"/>
  <c r="M113" i="2" s="1"/>
  <c r="M112" i="2" a="1"/>
  <c r="M112" i="2" s="1"/>
  <c r="M111" i="2" a="1"/>
  <c r="M111" i="2" s="1"/>
  <c r="M110" i="2" a="1"/>
  <c r="M110" i="2" s="1"/>
  <c r="M109" i="2" a="1"/>
  <c r="M109" i="2" s="1"/>
  <c r="M108" i="2" a="1"/>
  <c r="M108" i="2" s="1"/>
  <c r="M107" i="2" a="1"/>
  <c r="M107" i="2" s="1"/>
  <c r="M106" i="2" a="1"/>
  <c r="M106" i="2" s="1"/>
  <c r="M105" i="2" a="1"/>
  <c r="M105" i="2" s="1"/>
  <c r="M104" i="2" a="1"/>
  <c r="M104" i="2" s="1"/>
  <c r="M103" i="2" a="1"/>
  <c r="M103" i="2" s="1"/>
  <c r="M102" i="2" a="1"/>
  <c r="M102" i="2" s="1"/>
  <c r="M101" i="2" a="1"/>
  <c r="M101" i="2" s="1"/>
  <c r="M100" i="2" a="1"/>
  <c r="M100" i="2" s="1"/>
  <c r="M99" i="2" a="1"/>
  <c r="M99" i="2" s="1"/>
  <c r="M98" i="2" a="1"/>
  <c r="M98" i="2" s="1"/>
  <c r="M97" i="2" a="1"/>
  <c r="M97" i="2" s="1"/>
  <c r="M96" i="2" a="1"/>
  <c r="M96" i="2" s="1"/>
  <c r="M95" i="2" a="1"/>
  <c r="M95" i="2" s="1"/>
  <c r="M94" i="2" a="1"/>
  <c r="M94" i="2" s="1"/>
  <c r="M93" i="2" a="1"/>
  <c r="M93" i="2" s="1"/>
  <c r="M92" i="2" a="1"/>
  <c r="M92" i="2" s="1"/>
  <c r="M91" i="2" a="1"/>
  <c r="M91" i="2" s="1"/>
  <c r="M90" i="2" a="1"/>
  <c r="M90" i="2" s="1"/>
  <c r="M89" i="2" a="1"/>
  <c r="M89" i="2" s="1"/>
  <c r="M88" i="2" a="1"/>
  <c r="M88" i="2" s="1"/>
  <c r="M87" i="2" a="1"/>
  <c r="M87" i="2" s="1"/>
  <c r="M86" i="2" a="1"/>
  <c r="M86" i="2" s="1"/>
  <c r="M85" i="2" a="1"/>
  <c r="M85" i="2" s="1"/>
  <c r="M84" i="2" a="1"/>
  <c r="M84" i="2" s="1"/>
  <c r="M83" i="2" a="1"/>
  <c r="M83" i="2" s="1"/>
  <c r="M82" i="2" a="1"/>
  <c r="M82" i="2" s="1"/>
  <c r="M81" i="2" a="1"/>
  <c r="M81" i="2" s="1"/>
  <c r="M80" i="2" a="1"/>
  <c r="M80" i="2" s="1"/>
  <c r="M79" i="2" a="1"/>
  <c r="M79" i="2" s="1"/>
  <c r="M78" i="2" a="1"/>
  <c r="M78" i="2" s="1"/>
  <c r="M77" i="2" a="1"/>
  <c r="M77" i="2" s="1"/>
  <c r="M76" i="2" a="1"/>
  <c r="M76" i="2" s="1"/>
  <c r="M75" i="2" a="1"/>
  <c r="M75" i="2" s="1"/>
  <c r="M74" i="2" a="1"/>
  <c r="M74" i="2" s="1"/>
  <c r="M73" i="2" a="1"/>
  <c r="M73" i="2" s="1"/>
  <c r="M72" i="2" a="1"/>
  <c r="M72" i="2" s="1"/>
  <c r="M71" i="2" a="1"/>
  <c r="M71" i="2" s="1"/>
  <c r="M70" i="2" a="1"/>
  <c r="M70" i="2" s="1"/>
  <c r="M69" i="2" a="1"/>
  <c r="M69" i="2" s="1"/>
  <c r="M68" i="2" a="1"/>
  <c r="M68" i="2" s="1"/>
  <c r="M67" i="2" a="1"/>
  <c r="M67" i="2" s="1"/>
  <c r="M66" i="2" a="1"/>
  <c r="M66" i="2" s="1"/>
  <c r="M65" i="2" a="1"/>
  <c r="M65" i="2" s="1"/>
  <c r="M64" i="2" a="1"/>
  <c r="M64" i="2" s="1"/>
  <c r="M63" i="2" a="1"/>
  <c r="M63" i="2" s="1"/>
  <c r="M62" i="2" a="1"/>
  <c r="M62" i="2" s="1"/>
  <c r="M61" i="2" a="1"/>
  <c r="M61" i="2" s="1"/>
  <c r="M60" i="2" a="1"/>
  <c r="M60" i="2" s="1"/>
  <c r="M59" i="2" a="1"/>
  <c r="M59" i="2" s="1"/>
  <c r="M58" i="2" a="1"/>
  <c r="M58" i="2" s="1"/>
  <c r="M57" i="2" a="1"/>
  <c r="M57" i="2" s="1"/>
  <c r="M56" i="2" a="1"/>
  <c r="M56" i="2" s="1"/>
  <c r="M55" i="2" a="1"/>
  <c r="M55" i="2" s="1"/>
  <c r="M54" i="2" a="1"/>
  <c r="M54" i="2" s="1"/>
  <c r="M53" i="2" a="1"/>
  <c r="M53" i="2" s="1"/>
  <c r="M52" i="2" a="1"/>
  <c r="M52" i="2" s="1"/>
  <c r="M51" i="2" a="1"/>
  <c r="M51" i="2" s="1"/>
  <c r="R108" i="2"/>
  <c r="R109" i="2"/>
  <c r="R110" i="2"/>
  <c r="R111" i="2"/>
  <c r="R112" i="2"/>
  <c r="R113" i="2"/>
  <c r="R114" i="2"/>
  <c r="R107" i="2"/>
  <c r="R68" i="2"/>
  <c r="R69" i="2"/>
  <c r="R70" i="2"/>
  <c r="R71" i="2"/>
  <c r="R72" i="2"/>
  <c r="R73" i="2"/>
  <c r="R74" i="2"/>
  <c r="R67" i="2"/>
  <c r="R28" i="2"/>
  <c r="R29" i="2"/>
  <c r="R30" i="2"/>
  <c r="R31" i="2"/>
  <c r="R32" i="2"/>
  <c r="R33" i="2"/>
  <c r="R34" i="2"/>
  <c r="R27" i="2"/>
  <c r="Q158" i="2"/>
  <c r="S158" i="2" s="1"/>
  <c r="Q159" i="2"/>
  <c r="S159" i="2" s="1"/>
  <c r="Q160" i="2"/>
  <c r="S160" i="2" s="1"/>
  <c r="Q161" i="2"/>
  <c r="S161" i="2" s="1"/>
  <c r="Q162" i="2"/>
  <c r="S162" i="2" s="1"/>
  <c r="Q163" i="2"/>
  <c r="S163" i="2" s="1"/>
  <c r="Z163" i="2" s="1"/>
  <c r="Q164" i="2"/>
  <c r="S164" i="2" s="1"/>
  <c r="Q157" i="2"/>
  <c r="S157" i="2" s="1"/>
  <c r="Q28" i="2"/>
  <c r="Q29" i="2"/>
  <c r="V29" i="2" s="1"/>
  <c r="Q30" i="2"/>
  <c r="V30" i="2" s="1"/>
  <c r="Q31" i="2"/>
  <c r="Q32" i="2"/>
  <c r="Q33" i="2"/>
  <c r="V33" i="2" s="1"/>
  <c r="Q34" i="2"/>
  <c r="V34" i="2" s="1"/>
  <c r="Q35" i="2"/>
  <c r="V35" i="2" s="1"/>
  <c r="Q36" i="2"/>
  <c r="V36" i="2" s="1"/>
  <c r="Q37" i="2"/>
  <c r="V37" i="2" s="1"/>
  <c r="Q38" i="2"/>
  <c r="V38" i="2" s="1"/>
  <c r="Q39" i="2"/>
  <c r="V39" i="2" s="1"/>
  <c r="Q40" i="2"/>
  <c r="V40" i="2" s="1"/>
  <c r="Q41" i="2"/>
  <c r="V41" i="2" s="1"/>
  <c r="Q42" i="2"/>
  <c r="V42" i="2" s="1"/>
  <c r="Q43" i="2"/>
  <c r="V43" i="2" s="1"/>
  <c r="Q44" i="2"/>
  <c r="V44" i="2" s="1"/>
  <c r="Q45" i="2"/>
  <c r="V45" i="2" s="1"/>
  <c r="Q46" i="2"/>
  <c r="V46" i="2" s="1"/>
  <c r="Q47" i="2"/>
  <c r="V47" i="2" s="1"/>
  <c r="Q48" i="2"/>
  <c r="V48" i="2" s="1"/>
  <c r="Q49" i="2"/>
  <c r="V49" i="2" s="1"/>
  <c r="Q50" i="2"/>
  <c r="V50" i="2" s="1"/>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27" i="2"/>
  <c r="AC52" i="3"/>
  <c r="AC53" i="3"/>
  <c r="AC54" i="3"/>
  <c r="AC55" i="3"/>
  <c r="AB53" i="3"/>
  <c r="AB54" i="3"/>
  <c r="AB55" i="3"/>
  <c r="AB52" i="3"/>
  <c r="AA53" i="3"/>
  <c r="AA54" i="3"/>
  <c r="AA55" i="3"/>
  <c r="AA52" i="3"/>
  <c r="Z53" i="3"/>
  <c r="Z54" i="3"/>
  <c r="Z55" i="3"/>
  <c r="Z52" i="3"/>
  <c r="Y53" i="3"/>
  <c r="Y54" i="3"/>
  <c r="Y55" i="3"/>
  <c r="Y52" i="3"/>
  <c r="X53" i="3"/>
  <c r="X54" i="3"/>
  <c r="X55" i="3"/>
  <c r="X52" i="3"/>
  <c r="AE53" i="3"/>
  <c r="AE54" i="3"/>
  <c r="AE55" i="3"/>
  <c r="AE52" i="3"/>
  <c r="AD53" i="3"/>
  <c r="AD54" i="3"/>
  <c r="AD55" i="3"/>
  <c r="AD52" i="3"/>
  <c r="AG41" i="3"/>
  <c r="AG11" i="3"/>
  <c r="M35" i="3"/>
  <c r="M36" i="3"/>
  <c r="M37" i="3"/>
  <c r="M38" i="3"/>
  <c r="M39" i="3"/>
  <c r="M40" i="3"/>
  <c r="M41" i="3"/>
  <c r="M42" i="3"/>
  <c r="M43" i="3"/>
  <c r="M44" i="3"/>
  <c r="M45" i="3"/>
  <c r="N45" i="3" s="1"/>
  <c r="M46" i="3"/>
  <c r="M47" i="3"/>
  <c r="M48" i="3"/>
  <c r="M49" i="3"/>
  <c r="M50" i="3"/>
  <c r="M51" i="3"/>
  <c r="M52" i="3"/>
  <c r="M53" i="3"/>
  <c r="M54" i="3"/>
  <c r="M55" i="3"/>
  <c r="N55" i="3" s="1"/>
  <c r="M56" i="3"/>
  <c r="M57" i="3"/>
  <c r="M58" i="3"/>
  <c r="M59" i="3"/>
  <c r="M60" i="3"/>
  <c r="M61" i="3"/>
  <c r="M62" i="3"/>
  <c r="M63" i="3"/>
  <c r="M64" i="3"/>
  <c r="M29" i="3"/>
  <c r="M30" i="3"/>
  <c r="M31" i="3"/>
  <c r="M32" i="3"/>
  <c r="M33" i="3"/>
  <c r="M34" i="3"/>
  <c r="M28" i="3"/>
  <c r="M27" i="3"/>
  <c r="L36" i="3"/>
  <c r="L37" i="3"/>
  <c r="L38" i="3"/>
  <c r="L39" i="3"/>
  <c r="L40" i="3"/>
  <c r="L41" i="3"/>
  <c r="L42" i="3"/>
  <c r="L43" i="3"/>
  <c r="L44" i="3"/>
  <c r="L45" i="3"/>
  <c r="N46" i="3" s="1"/>
  <c r="L46" i="3"/>
  <c r="L47" i="3"/>
  <c r="L48" i="3"/>
  <c r="L49" i="3"/>
  <c r="L50" i="3"/>
  <c r="L51" i="3"/>
  <c r="L52" i="3"/>
  <c r="N52" i="3" s="1"/>
  <c r="L53" i="3"/>
  <c r="L54" i="3"/>
  <c r="L55" i="3"/>
  <c r="L56" i="3"/>
  <c r="N56" i="3" s="1"/>
  <c r="L57" i="3"/>
  <c r="L58" i="3"/>
  <c r="L59" i="3"/>
  <c r="L60" i="3"/>
  <c r="L28" i="3"/>
  <c r="L29" i="3"/>
  <c r="L30" i="3"/>
  <c r="L31" i="3"/>
  <c r="L32" i="3"/>
  <c r="L33" i="3"/>
  <c r="L34" i="3"/>
  <c r="N31" i="3" s="1"/>
  <c r="L35" i="3"/>
  <c r="L27" i="3"/>
  <c r="N28" i="3" s="1"/>
  <c r="I61" i="3" a="1"/>
  <c r="I61" i="3" s="1"/>
  <c r="H61" i="3" a="1"/>
  <c r="H61" i="3" s="1"/>
  <c r="N60" i="3"/>
  <c r="I57" i="3" a="1"/>
  <c r="I57" i="3" s="1"/>
  <c r="H57" i="3" a="1"/>
  <c r="N54" i="3"/>
  <c r="N53" i="3"/>
  <c r="I53" i="3" a="1"/>
  <c r="I53" i="3" s="1"/>
  <c r="H53" i="3" a="1"/>
  <c r="N50" i="3"/>
  <c r="N49" i="3"/>
  <c r="I49" i="3" a="1"/>
  <c r="I49" i="3" s="1"/>
  <c r="H49" i="3" a="1"/>
  <c r="N48" i="3"/>
  <c r="I45" i="3" a="1"/>
  <c r="I45" i="3" s="1"/>
  <c r="H45" i="3" a="1"/>
  <c r="AH41" i="3"/>
  <c r="AF41" i="3"/>
  <c r="AE41" i="3"/>
  <c r="AD41" i="3"/>
  <c r="AC41" i="3"/>
  <c r="AB41" i="3"/>
  <c r="AA41" i="3"/>
  <c r="Z41" i="3"/>
  <c r="U41" i="3" a="1"/>
  <c r="U41" i="3" s="1"/>
  <c r="I41" i="3" a="1"/>
  <c r="I41" i="3" s="1"/>
  <c r="H41" i="3" a="1"/>
  <c r="H15" i="3" a="1"/>
  <c r="H15" i="3" s="1"/>
  <c r="I15" i="3" a="1"/>
  <c r="I15" i="3" s="1"/>
  <c r="H19" i="3" a="1"/>
  <c r="H19" i="3" s="1"/>
  <c r="I19" i="3" a="1"/>
  <c r="I19" i="3" s="1"/>
  <c r="O22" i="3"/>
  <c r="H23" i="3" a="1"/>
  <c r="H23" i="3" s="1"/>
  <c r="I23" i="3" a="1"/>
  <c r="I23" i="3" s="1"/>
  <c r="H27" i="3" a="1"/>
  <c r="H27" i="3" s="1"/>
  <c r="W27" i="3" s="1"/>
  <c r="I27" i="3" a="1"/>
  <c r="I27" i="3" s="1"/>
  <c r="N27" i="3"/>
  <c r="I35" i="3" a="1"/>
  <c r="I35" i="3" s="1"/>
  <c r="H35" i="3" a="1"/>
  <c r="H35" i="3" s="1"/>
  <c r="O35" i="3" s="1"/>
  <c r="N34" i="3"/>
  <c r="N33" i="3"/>
  <c r="I31" i="3" a="1"/>
  <c r="I31" i="3" s="1"/>
  <c r="H31" i="3" a="1"/>
  <c r="N30" i="3"/>
  <c r="N29" i="3"/>
  <c r="AH11" i="3"/>
  <c r="AF11" i="3"/>
  <c r="AE11" i="3"/>
  <c r="AD11" i="3"/>
  <c r="AC11" i="3"/>
  <c r="AB11" i="3"/>
  <c r="AA11" i="3"/>
  <c r="Z11" i="3"/>
  <c r="U11" i="3" a="1"/>
  <c r="U11" i="3" s="1"/>
  <c r="I11" i="3" a="1"/>
  <c r="I11" i="3" s="1"/>
  <c r="H11" i="3" a="1"/>
  <c r="H11" i="3" s="1"/>
  <c r="L127" i="2" a="1"/>
  <c r="L127" i="2" s="1"/>
  <c r="K127" i="2" a="1"/>
  <c r="L123" i="2" a="1"/>
  <c r="L123" i="2" s="1"/>
  <c r="K123" i="2" a="1"/>
  <c r="K123" i="2" s="1"/>
  <c r="L119" i="2" a="1"/>
  <c r="L119" i="2" s="1"/>
  <c r="K119" i="2" a="1"/>
  <c r="K119" i="2" s="1"/>
  <c r="L115" i="2" a="1"/>
  <c r="L115" i="2" s="1"/>
  <c r="K115" i="2" a="1"/>
  <c r="K115" i="2" s="1"/>
  <c r="L111" i="2" a="1"/>
  <c r="L111" i="2" s="1"/>
  <c r="K111" i="2" a="1"/>
  <c r="L107" i="2" a="1"/>
  <c r="L107" i="2" s="1"/>
  <c r="K107" i="2" a="1"/>
  <c r="L103" i="2" a="1"/>
  <c r="L103" i="2" s="1"/>
  <c r="K103" i="2" a="1"/>
  <c r="L99" i="2" a="1"/>
  <c r="L99" i="2" s="1"/>
  <c r="K99" i="2" a="1"/>
  <c r="K99" i="2" s="1"/>
  <c r="L95" i="2" a="1"/>
  <c r="L95" i="2" s="1"/>
  <c r="K95" i="2" a="1"/>
  <c r="K95" i="2" s="1"/>
  <c r="BG91" i="2"/>
  <c r="AY91" i="2"/>
  <c r="AX91" i="2"/>
  <c r="AW91" i="2"/>
  <c r="AV91" i="2"/>
  <c r="AU91" i="2"/>
  <c r="AT91" i="2"/>
  <c r="AS91" i="2"/>
  <c r="AJ91" i="2" a="1"/>
  <c r="AJ91" i="2" s="1"/>
  <c r="L91" i="2" a="1"/>
  <c r="L91" i="2" s="1"/>
  <c r="K91" i="2" a="1"/>
  <c r="Z177" i="2"/>
  <c r="Z175" i="2"/>
  <c r="Z171" i="2"/>
  <c r="Z172" i="2"/>
  <c r="Z165" i="2"/>
  <c r="L157" i="2" a="1"/>
  <c r="L157" i="2" s="1"/>
  <c r="Z155" i="2"/>
  <c r="Z156" i="2"/>
  <c r="Z152" i="2"/>
  <c r="Z150" i="2"/>
  <c r="Z149" i="2"/>
  <c r="Z147" i="2"/>
  <c r="BG141" i="2"/>
  <c r="AY141" i="2"/>
  <c r="AX141" i="2"/>
  <c r="AW141" i="2"/>
  <c r="AV141" i="2"/>
  <c r="AU141" i="2"/>
  <c r="AT141" i="2"/>
  <c r="AS141" i="2"/>
  <c r="Z143" i="2"/>
  <c r="Z144" i="2"/>
  <c r="L87" i="2" a="1"/>
  <c r="L87" i="2" s="1"/>
  <c r="K87" i="2" a="1"/>
  <c r="K87" i="2" s="1"/>
  <c r="L83" i="2" a="1"/>
  <c r="L83" i="2" s="1"/>
  <c r="K83" i="2" a="1"/>
  <c r="K83" i="2" s="1"/>
  <c r="L79" i="2" a="1"/>
  <c r="K79" i="2" a="1"/>
  <c r="L75" i="2" a="1"/>
  <c r="L75" i="2" s="1"/>
  <c r="K75" i="2" a="1"/>
  <c r="K75" i="2" s="1"/>
  <c r="L71" i="2" a="1"/>
  <c r="L71" i="2" s="1"/>
  <c r="K71" i="2" a="1"/>
  <c r="L67" i="2" a="1"/>
  <c r="L67" i="2" s="1"/>
  <c r="K67" i="2" a="1"/>
  <c r="L63" i="2" a="1"/>
  <c r="L63" i="2" s="1"/>
  <c r="K63" i="2" a="1"/>
  <c r="L59" i="2" a="1"/>
  <c r="L59" i="2" s="1"/>
  <c r="K59" i="2" a="1"/>
  <c r="K59" i="2" s="1"/>
  <c r="L55" i="2" a="1"/>
  <c r="L55" i="2" s="1"/>
  <c r="K55" i="2" a="1"/>
  <c r="K55" i="2" s="1"/>
  <c r="BG51" i="2"/>
  <c r="AY51" i="2"/>
  <c r="AX51" i="2"/>
  <c r="AW51" i="2"/>
  <c r="AV51" i="2"/>
  <c r="AU51" i="2"/>
  <c r="AT51" i="2"/>
  <c r="AS51" i="2"/>
  <c r="AJ51" i="2" a="1"/>
  <c r="AJ51" i="2" s="1"/>
  <c r="L51" i="2" a="1"/>
  <c r="L51" i="2" s="1"/>
  <c r="K51" i="2" a="1"/>
  <c r="BG11" i="2"/>
  <c r="AS11" i="2"/>
  <c r="AT11" i="2"/>
  <c r="AU11" i="2"/>
  <c r="AY11" i="2"/>
  <c r="AX11" i="2"/>
  <c r="AW11" i="2"/>
  <c r="AV11" i="2"/>
  <c r="N109" i="2" l="1"/>
  <c r="N95" i="2"/>
  <c r="N75" i="2"/>
  <c r="V28" i="2"/>
  <c r="N68" i="2"/>
  <c r="N128" i="2"/>
  <c r="N123" i="2"/>
  <c r="N104" i="2"/>
  <c r="N115" i="2"/>
  <c r="N119" i="2"/>
  <c r="V32" i="2"/>
  <c r="V27" i="2"/>
  <c r="V31" i="2"/>
  <c r="W50" i="2"/>
  <c r="W38" i="2"/>
  <c r="W26" i="2"/>
  <c r="W49" i="2"/>
  <c r="W37" i="2"/>
  <c r="W25" i="2"/>
  <c r="W48" i="2"/>
  <c r="W36" i="2"/>
  <c r="W24" i="2"/>
  <c r="W47" i="2"/>
  <c r="W35" i="2"/>
  <c r="W23" i="2"/>
  <c r="W46" i="2"/>
  <c r="W34" i="2"/>
  <c r="W22" i="2"/>
  <c r="W45" i="2"/>
  <c r="W33" i="2"/>
  <c r="W21" i="2"/>
  <c r="W44" i="2"/>
  <c r="W32" i="2"/>
  <c r="W20" i="2"/>
  <c r="W43" i="2"/>
  <c r="W31" i="2"/>
  <c r="W19" i="2"/>
  <c r="W11" i="2"/>
  <c r="W42" i="2"/>
  <c r="W30" i="2"/>
  <c r="W18" i="2"/>
  <c r="W12" i="2"/>
  <c r="W41" i="2"/>
  <c r="W29" i="2"/>
  <c r="W17" i="2"/>
  <c r="N53" i="2"/>
  <c r="W13" i="2"/>
  <c r="W40" i="2"/>
  <c r="W28" i="2"/>
  <c r="W16" i="2"/>
  <c r="N59" i="2"/>
  <c r="W14" i="2"/>
  <c r="W39" i="2"/>
  <c r="W27" i="2"/>
  <c r="N87" i="2"/>
  <c r="N99" i="2"/>
  <c r="N55" i="2"/>
  <c r="S69" i="2"/>
  <c r="Z69" i="2" s="1"/>
  <c r="AA69" i="2" s="1"/>
  <c r="AB69" i="2" s="1"/>
  <c r="N72" i="2"/>
  <c r="N112" i="2"/>
  <c r="N65" i="2"/>
  <c r="S107" i="2"/>
  <c r="S111" i="2"/>
  <c r="N80" i="2"/>
  <c r="S113" i="2"/>
  <c r="Z113" i="2" s="1"/>
  <c r="AA113" i="2" s="1"/>
  <c r="N92" i="2"/>
  <c r="Z83" i="2"/>
  <c r="AA83" i="2" s="1"/>
  <c r="AB83" i="2" s="1"/>
  <c r="AD83" i="2" s="1"/>
  <c r="N52" i="2"/>
  <c r="N88" i="2"/>
  <c r="N76" i="2"/>
  <c r="N64" i="2"/>
  <c r="N108" i="2"/>
  <c r="N96" i="2"/>
  <c r="N130" i="2"/>
  <c r="N62" i="2"/>
  <c r="N86" i="2"/>
  <c r="N74" i="2"/>
  <c r="N118" i="2"/>
  <c r="N106" i="2"/>
  <c r="N129" i="2"/>
  <c r="N61" i="2"/>
  <c r="N85" i="2"/>
  <c r="N73" i="2"/>
  <c r="N117" i="2"/>
  <c r="N105" i="2"/>
  <c r="S110" i="2"/>
  <c r="Z110" i="2" s="1"/>
  <c r="AA110" i="2" s="1"/>
  <c r="S74" i="2"/>
  <c r="Z74" i="2" s="1"/>
  <c r="AA74" i="2" s="1"/>
  <c r="AB74" i="2" s="1"/>
  <c r="N60" i="2"/>
  <c r="N84" i="2"/>
  <c r="N116" i="2"/>
  <c r="N83" i="2"/>
  <c r="N126" i="2"/>
  <c r="N58" i="2"/>
  <c r="N94" i="2"/>
  <c r="N82" i="2"/>
  <c r="N70" i="2"/>
  <c r="N114" i="2"/>
  <c r="N102" i="2"/>
  <c r="N125" i="2"/>
  <c r="N57" i="2"/>
  <c r="N93" i="2"/>
  <c r="N81" i="2"/>
  <c r="N69" i="2"/>
  <c r="N113" i="2"/>
  <c r="N101" i="2"/>
  <c r="N124" i="2"/>
  <c r="N56" i="2"/>
  <c r="N100" i="2"/>
  <c r="S68" i="2"/>
  <c r="Z68" i="2" s="1"/>
  <c r="AA68" i="2" s="1"/>
  <c r="AB68" i="2" s="1"/>
  <c r="N122" i="2"/>
  <c r="S67" i="2"/>
  <c r="N54" i="2"/>
  <c r="N90" i="2"/>
  <c r="N78" i="2"/>
  <c r="N66" i="2"/>
  <c r="N110" i="2"/>
  <c r="N98" i="2"/>
  <c r="N121" i="2"/>
  <c r="N89" i="2"/>
  <c r="N77" i="2"/>
  <c r="N97" i="2"/>
  <c r="N120" i="2"/>
  <c r="S72" i="2"/>
  <c r="Z72" i="2" s="1"/>
  <c r="AA72" i="2" s="1"/>
  <c r="AB72" i="2" s="1"/>
  <c r="S112" i="2"/>
  <c r="Z112" i="2" s="1"/>
  <c r="AA112" i="2" s="1"/>
  <c r="AA156" i="2"/>
  <c r="AC156" i="2" s="1"/>
  <c r="AE156" i="2" s="1"/>
  <c r="S70" i="2"/>
  <c r="Z70" i="2" s="1"/>
  <c r="AA70" i="2" s="1"/>
  <c r="AB70" i="2" s="1"/>
  <c r="Z65" i="2"/>
  <c r="AA65" i="2" s="1"/>
  <c r="AB65" i="2" s="1"/>
  <c r="AD65" i="2" s="1"/>
  <c r="Z95" i="2"/>
  <c r="AA95" i="2" s="1"/>
  <c r="AC95" i="2" s="1"/>
  <c r="AE95" i="2" s="1"/>
  <c r="S109" i="2"/>
  <c r="Z109" i="2" s="1"/>
  <c r="AA109" i="2" s="1"/>
  <c r="AB109" i="2" s="1"/>
  <c r="AD109" i="2" s="1"/>
  <c r="S71" i="2"/>
  <c r="S114" i="2"/>
  <c r="Z114" i="2" s="1"/>
  <c r="AA114" i="2" s="1"/>
  <c r="AC114" i="2" s="1"/>
  <c r="AE114" i="2" s="1"/>
  <c r="AA144" i="2"/>
  <c r="AC144" i="2" s="1"/>
  <c r="AE144" i="2" s="1"/>
  <c r="AA149" i="2"/>
  <c r="AC149" i="2" s="1"/>
  <c r="AE149" i="2" s="1"/>
  <c r="AA143" i="2"/>
  <c r="AC143" i="2" s="1"/>
  <c r="AE143" i="2" s="1"/>
  <c r="AA152" i="2"/>
  <c r="AC152" i="2" s="1"/>
  <c r="AE152" i="2" s="1"/>
  <c r="Z119" i="2"/>
  <c r="AA119" i="2" s="1"/>
  <c r="AC119" i="2" s="1"/>
  <c r="AE119" i="2" s="1"/>
  <c r="Z123" i="2"/>
  <c r="AA123" i="2" s="1"/>
  <c r="AC123" i="2" s="1"/>
  <c r="AE123" i="2" s="1"/>
  <c r="S73" i="2"/>
  <c r="Z73" i="2" s="1"/>
  <c r="AA73" i="2" s="1"/>
  <c r="AB73" i="2" s="1"/>
  <c r="AA165" i="2"/>
  <c r="AC165" i="2" s="1"/>
  <c r="AE165" i="2" s="1"/>
  <c r="S108" i="2"/>
  <c r="Z108" i="2" s="1"/>
  <c r="AA108" i="2" s="1"/>
  <c r="Z75" i="2"/>
  <c r="AA75" i="2" s="1"/>
  <c r="AB75" i="2" s="1"/>
  <c r="AD75" i="2" s="1"/>
  <c r="Z124" i="2"/>
  <c r="AA124" i="2" s="1"/>
  <c r="AC124" i="2" s="1"/>
  <c r="AE124" i="2" s="1"/>
  <c r="Z128" i="2"/>
  <c r="AA128" i="2" s="1"/>
  <c r="Z129" i="2"/>
  <c r="AA129" i="2" s="1"/>
  <c r="AB129" i="2" s="1"/>
  <c r="AD129" i="2" s="1"/>
  <c r="AA155" i="2"/>
  <c r="AC155" i="2" s="1"/>
  <c r="AE155" i="2" s="1"/>
  <c r="Z96" i="2"/>
  <c r="AA96" i="2" s="1"/>
  <c r="Z98" i="2"/>
  <c r="AA98" i="2" s="1"/>
  <c r="AB98" i="2" s="1"/>
  <c r="AD98" i="2" s="1"/>
  <c r="Z81" i="2"/>
  <c r="AA81" i="2" s="1"/>
  <c r="AB81" i="2" s="1"/>
  <c r="AD81" i="2" s="1"/>
  <c r="Z55" i="2"/>
  <c r="AA55" i="2" s="1"/>
  <c r="Z115" i="2"/>
  <c r="AA115" i="2" s="1"/>
  <c r="AC115" i="2" s="1"/>
  <c r="AE115" i="2" s="1"/>
  <c r="AA177" i="2"/>
  <c r="AC177" i="2" s="1"/>
  <c r="AE177" i="2" s="1"/>
  <c r="Z99" i="2"/>
  <c r="AA99" i="2" s="1"/>
  <c r="AC99" i="2" s="1"/>
  <c r="AE99" i="2" s="1"/>
  <c r="Z100" i="2"/>
  <c r="AA100" i="2" s="1"/>
  <c r="AC100" i="2" s="1"/>
  <c r="AE100" i="2" s="1"/>
  <c r="Z126" i="2"/>
  <c r="AA126" i="2" s="1"/>
  <c r="AB126" i="2" s="1"/>
  <c r="AD126" i="2" s="1"/>
  <c r="Z76" i="2"/>
  <c r="AA76" i="2" s="1"/>
  <c r="AB76" i="2" s="1"/>
  <c r="AD76" i="2" s="1"/>
  <c r="AA175" i="2"/>
  <c r="AC175" i="2" s="1"/>
  <c r="AE175" i="2" s="1"/>
  <c r="AA163" i="2"/>
  <c r="AC163" i="2" s="1"/>
  <c r="AE163" i="2" s="1"/>
  <c r="Z78" i="2"/>
  <c r="AA78" i="2" s="1"/>
  <c r="AB78" i="2" s="1"/>
  <c r="AD78" i="2" s="1"/>
  <c r="AA150" i="2"/>
  <c r="AC150" i="2" s="1"/>
  <c r="AE150" i="2" s="1"/>
  <c r="Z53" i="2"/>
  <c r="AA53" i="2" s="1"/>
  <c r="AB53" i="2" s="1"/>
  <c r="AD53" i="2" s="1"/>
  <c r="Z101" i="2"/>
  <c r="AA101" i="2" s="1"/>
  <c r="AC101" i="2" s="1"/>
  <c r="AE101" i="2" s="1"/>
  <c r="Z59" i="2"/>
  <c r="AA59" i="2" s="1"/>
  <c r="AB59" i="2" s="1"/>
  <c r="AD59" i="2" s="1"/>
  <c r="AA172" i="2"/>
  <c r="AC172" i="2" s="1"/>
  <c r="AE172" i="2" s="1"/>
  <c r="Z102" i="2"/>
  <c r="AA102" i="2" s="1"/>
  <c r="AC102" i="2" s="1"/>
  <c r="AE102" i="2" s="1"/>
  <c r="Z60" i="2"/>
  <c r="AA60" i="2" s="1"/>
  <c r="AB60" i="2" s="1"/>
  <c r="AD60" i="2" s="1"/>
  <c r="Z61" i="2"/>
  <c r="AA61" i="2" s="1"/>
  <c r="AB61" i="2" s="1"/>
  <c r="AD61" i="2" s="1"/>
  <c r="Z117" i="2"/>
  <c r="AA117" i="2" s="1"/>
  <c r="AC117" i="2" s="1"/>
  <c r="AE117" i="2" s="1"/>
  <c r="AA171" i="2"/>
  <c r="AC171" i="2" s="1"/>
  <c r="AE171" i="2" s="1"/>
  <c r="AA147" i="2"/>
  <c r="AC147" i="2" s="1"/>
  <c r="AE147" i="2" s="1"/>
  <c r="N58" i="3"/>
  <c r="N59" i="3"/>
  <c r="N47" i="3"/>
  <c r="N57" i="3"/>
  <c r="N51" i="3"/>
  <c r="N32" i="3"/>
  <c r="P22" i="3"/>
  <c r="O21" i="3"/>
  <c r="P21" i="3"/>
  <c r="R21" i="3" s="1"/>
  <c r="T21" i="3" s="1"/>
  <c r="R22" i="3"/>
  <c r="T22" i="3" s="1"/>
  <c r="Q22" i="3"/>
  <c r="S22" i="3" s="1"/>
  <c r="Q21" i="3"/>
  <c r="S21" i="3" s="1"/>
  <c r="O17" i="3"/>
  <c r="P17" i="3" s="1"/>
  <c r="Q17" i="3" s="1"/>
  <c r="O16" i="3"/>
  <c r="P16" i="3" s="1"/>
  <c r="O20" i="3"/>
  <c r="P20" i="3" s="1"/>
  <c r="X27" i="3"/>
  <c r="P35" i="3"/>
  <c r="Q35" i="3" s="1"/>
  <c r="S35" i="3" s="1"/>
  <c r="O43" i="3"/>
  <c r="P43" i="3" s="1"/>
  <c r="O26" i="3"/>
  <c r="P26" i="3" s="1"/>
  <c r="Q26" i="3" s="1"/>
  <c r="S26" i="3" s="1"/>
  <c r="O25" i="3"/>
  <c r="P25" i="3" s="1"/>
  <c r="Q25" i="3" s="1"/>
  <c r="S25" i="3" s="1"/>
  <c r="O51" i="3"/>
  <c r="P51" i="3" s="1"/>
  <c r="O24" i="3"/>
  <c r="P24" i="3" s="1"/>
  <c r="Q24" i="3" s="1"/>
  <c r="O18" i="3"/>
  <c r="P18" i="3" s="1"/>
  <c r="O59" i="3"/>
  <c r="P59" i="3" s="1"/>
  <c r="O42" i="3"/>
  <c r="P42" i="3" s="1"/>
  <c r="R42" i="3" s="1"/>
  <c r="T42" i="3" s="1"/>
  <c r="O44" i="3"/>
  <c r="P44" i="3" s="1"/>
  <c r="O55" i="3"/>
  <c r="P55" i="3" s="1"/>
  <c r="R55" i="3" s="1"/>
  <c r="T55" i="3" s="1"/>
  <c r="O61" i="3"/>
  <c r="P61" i="3" s="1"/>
  <c r="O63" i="3"/>
  <c r="P63" i="3" s="1"/>
  <c r="O62" i="3"/>
  <c r="P62" i="3" s="1"/>
  <c r="O64" i="3"/>
  <c r="P64" i="3" s="1"/>
  <c r="O47" i="3"/>
  <c r="O58" i="3"/>
  <c r="P58" i="3" s="1"/>
  <c r="O60" i="3"/>
  <c r="P60" i="3" s="1"/>
  <c r="H57" i="3"/>
  <c r="O57" i="3" s="1"/>
  <c r="P57" i="3" s="1"/>
  <c r="O54" i="3"/>
  <c r="P54" i="3" s="1"/>
  <c r="O56" i="3"/>
  <c r="P56" i="3" s="1"/>
  <c r="R56" i="3" s="1"/>
  <c r="H53" i="3"/>
  <c r="O53" i="3" s="1"/>
  <c r="P53" i="3" s="1"/>
  <c r="H49" i="3"/>
  <c r="O49" i="3" s="1"/>
  <c r="P49" i="3" s="1"/>
  <c r="O50" i="3"/>
  <c r="P50" i="3" s="1"/>
  <c r="O52" i="3"/>
  <c r="P52" i="3" s="1"/>
  <c r="O48" i="3"/>
  <c r="P48" i="3" s="1"/>
  <c r="H45" i="3"/>
  <c r="O46" i="3"/>
  <c r="P46" i="3" s="1"/>
  <c r="H41" i="3"/>
  <c r="O41" i="3" s="1"/>
  <c r="P41" i="3" s="1"/>
  <c r="O19" i="3"/>
  <c r="P19" i="3" s="1"/>
  <c r="Q19" i="3" s="1"/>
  <c r="O23" i="3"/>
  <c r="P23" i="3" s="1"/>
  <c r="Q23" i="3" s="1"/>
  <c r="S17" i="3"/>
  <c r="R17" i="3"/>
  <c r="T17" i="3" s="1"/>
  <c r="S24" i="3"/>
  <c r="R24" i="3"/>
  <c r="T24" i="3" s="1"/>
  <c r="O27" i="3"/>
  <c r="P27" i="3" s="1"/>
  <c r="Q27" i="3" s="1"/>
  <c r="O15" i="3"/>
  <c r="P15" i="3" s="1"/>
  <c r="Q15" i="3" s="1"/>
  <c r="O11" i="3"/>
  <c r="P11" i="3" s="1"/>
  <c r="Q11" i="3" s="1"/>
  <c r="O32" i="3"/>
  <c r="P32" i="3" s="1"/>
  <c r="Q32" i="3" s="1"/>
  <c r="H31" i="3"/>
  <c r="O31" i="3" s="1"/>
  <c r="P31" i="3" s="1"/>
  <c r="Q31" i="3" s="1"/>
  <c r="O28" i="3"/>
  <c r="P28" i="3" s="1"/>
  <c r="Q28" i="3" s="1"/>
  <c r="O37" i="3"/>
  <c r="P37" i="3" s="1"/>
  <c r="Q37" i="3" s="1"/>
  <c r="O13" i="3"/>
  <c r="P13" i="3" s="1"/>
  <c r="Q13" i="3" s="1"/>
  <c r="O34" i="3"/>
  <c r="P34" i="3" s="1"/>
  <c r="Q34" i="3" s="1"/>
  <c r="O30" i="3"/>
  <c r="P30" i="3" s="1"/>
  <c r="Q30" i="3" s="1"/>
  <c r="O12" i="3"/>
  <c r="P12" i="3" s="1"/>
  <c r="Q12" i="3" s="1"/>
  <c r="O14" i="3"/>
  <c r="P14" i="3" s="1"/>
  <c r="Q14" i="3" s="1"/>
  <c r="O33" i="3"/>
  <c r="P33" i="3" s="1"/>
  <c r="Q33" i="3" s="1"/>
  <c r="O36" i="3"/>
  <c r="P36" i="3" s="1"/>
  <c r="Q36" i="3" s="1"/>
  <c r="O38" i="3"/>
  <c r="P38" i="3" s="1"/>
  <c r="Q38" i="3" s="1"/>
  <c r="O29" i="3"/>
  <c r="P29" i="3" s="1"/>
  <c r="Q29" i="3" s="1"/>
  <c r="K111" i="2"/>
  <c r="Z94" i="2"/>
  <c r="AA94" i="2" s="1"/>
  <c r="Z92" i="2"/>
  <c r="AA92" i="2" s="1"/>
  <c r="Z93" i="2"/>
  <c r="AA93" i="2" s="1"/>
  <c r="Z106" i="2"/>
  <c r="AA106" i="2" s="1"/>
  <c r="Z104" i="2"/>
  <c r="AA104" i="2" s="1"/>
  <c r="Z105" i="2"/>
  <c r="AA105" i="2" s="1"/>
  <c r="K91" i="2"/>
  <c r="K103" i="2"/>
  <c r="Z122" i="2"/>
  <c r="AA122" i="2" s="1"/>
  <c r="Z120" i="2"/>
  <c r="AA120" i="2" s="1"/>
  <c r="Z121" i="2"/>
  <c r="AA121" i="2" s="1"/>
  <c r="Z116" i="2"/>
  <c r="AA116" i="2" s="1"/>
  <c r="Z130" i="2"/>
  <c r="AA130" i="2" s="1"/>
  <c r="Z118" i="2"/>
  <c r="AA118" i="2" s="1"/>
  <c r="Z97" i="2"/>
  <c r="AA97" i="2" s="1"/>
  <c r="Z125" i="2"/>
  <c r="AA125" i="2" s="1"/>
  <c r="K127" i="2"/>
  <c r="K107" i="2"/>
  <c r="Z88" i="2"/>
  <c r="AA88" i="2" s="1"/>
  <c r="AB88" i="2" s="1"/>
  <c r="AD88" i="2" s="1"/>
  <c r="Z77" i="2"/>
  <c r="AA77" i="2" s="1"/>
  <c r="AC77" i="2" s="1"/>
  <c r="AE77" i="2" s="1"/>
  <c r="Z89" i="2"/>
  <c r="AA89" i="2" s="1"/>
  <c r="AC89" i="2" s="1"/>
  <c r="AE89" i="2" s="1"/>
  <c r="Z90" i="2"/>
  <c r="AA90" i="2" s="1"/>
  <c r="L79" i="2"/>
  <c r="Z62" i="2"/>
  <c r="AA62" i="2" s="1"/>
  <c r="K51" i="2"/>
  <c r="Z87" i="2"/>
  <c r="AA87" i="2" s="1"/>
  <c r="Z159" i="2"/>
  <c r="AA159" i="2" s="1"/>
  <c r="AC159" i="2" s="1"/>
  <c r="AE159" i="2" s="1"/>
  <c r="Z151" i="2"/>
  <c r="AA151" i="2" s="1"/>
  <c r="AC151" i="2" s="1"/>
  <c r="Z162" i="2"/>
  <c r="AA162" i="2" s="1"/>
  <c r="AC162" i="2" s="1"/>
  <c r="Z167" i="2"/>
  <c r="AA167" i="2" s="1"/>
  <c r="Z179" i="2"/>
  <c r="AA179" i="2" s="1"/>
  <c r="Z141" i="2"/>
  <c r="AA141" i="2" s="1"/>
  <c r="AC141" i="2" s="1"/>
  <c r="Z153" i="2"/>
  <c r="AA153" i="2" s="1"/>
  <c r="AC153" i="2" s="1"/>
  <c r="Z161" i="2"/>
  <c r="AA161" i="2" s="1"/>
  <c r="AC161" i="2" s="1"/>
  <c r="Z169" i="2"/>
  <c r="AA169" i="2" s="1"/>
  <c r="Z146" i="2"/>
  <c r="AA146" i="2" s="1"/>
  <c r="AC146" i="2" s="1"/>
  <c r="Z148" i="2"/>
  <c r="AA148" i="2" s="1"/>
  <c r="AC148" i="2" s="1"/>
  <c r="Z164" i="2"/>
  <c r="AA164" i="2" s="1"/>
  <c r="AC164" i="2" s="1"/>
  <c r="Z174" i="2"/>
  <c r="AA174" i="2" s="1"/>
  <c r="AC174" i="2" s="1"/>
  <c r="Z176" i="2"/>
  <c r="AA176" i="2" s="1"/>
  <c r="AC176" i="2" s="1"/>
  <c r="Z145" i="2"/>
  <c r="AA145" i="2" s="1"/>
  <c r="AC145" i="2" s="1"/>
  <c r="Z157" i="2"/>
  <c r="AA157" i="2" s="1"/>
  <c r="Z173" i="2"/>
  <c r="AA173" i="2" s="1"/>
  <c r="AC173" i="2" s="1"/>
  <c r="Z178" i="2"/>
  <c r="AA178" i="2" s="1"/>
  <c r="AC178" i="2" s="1"/>
  <c r="Z180" i="2"/>
  <c r="AA180" i="2" s="1"/>
  <c r="AC180" i="2" s="1"/>
  <c r="Z160" i="2"/>
  <c r="AA160" i="2" s="1"/>
  <c r="AC160" i="2" s="1"/>
  <c r="Z166" i="2"/>
  <c r="AA166" i="2" s="1"/>
  <c r="Z168" i="2"/>
  <c r="AA168" i="2" s="1"/>
  <c r="AC168" i="2" s="1"/>
  <c r="Z158" i="2"/>
  <c r="AA158" i="2" s="1"/>
  <c r="AC158" i="2" s="1"/>
  <c r="Z142" i="2"/>
  <c r="AA142" i="2" s="1"/>
  <c r="AC142" i="2" s="1"/>
  <c r="Z154" i="2"/>
  <c r="AA154" i="2" s="1"/>
  <c r="AC154" i="2" s="1"/>
  <c r="Z170" i="2"/>
  <c r="AA170" i="2" s="1"/>
  <c r="AC170" i="2" s="1"/>
  <c r="K67" i="2"/>
  <c r="K71" i="2"/>
  <c r="N71" i="2" s="1"/>
  <c r="Z82" i="2"/>
  <c r="AA82" i="2" s="1"/>
  <c r="AB82" i="2" s="1"/>
  <c r="Z80" i="2"/>
  <c r="AA80" i="2" s="1"/>
  <c r="AB80" i="2" s="1"/>
  <c r="K79" i="2"/>
  <c r="N79" i="2" s="1"/>
  <c r="Z64" i="2"/>
  <c r="AA64" i="2" s="1"/>
  <c r="AB64" i="2" s="1"/>
  <c r="Z66" i="2"/>
  <c r="AA66" i="2" s="1"/>
  <c r="AB66" i="2" s="1"/>
  <c r="K63" i="2"/>
  <c r="Z54" i="2"/>
  <c r="AA54" i="2" s="1"/>
  <c r="AB54" i="2" s="1"/>
  <c r="Z52" i="2"/>
  <c r="AA52" i="2" s="1"/>
  <c r="AB52" i="2" s="1"/>
  <c r="Z57" i="2"/>
  <c r="AA57" i="2" s="1"/>
  <c r="AB57" i="2" s="1"/>
  <c r="Z58" i="2"/>
  <c r="AA58" i="2" s="1"/>
  <c r="AB58" i="2" s="1"/>
  <c r="Z56" i="2"/>
  <c r="AA56" i="2" s="1"/>
  <c r="AB56" i="2" s="1"/>
  <c r="Z85" i="2"/>
  <c r="AA85" i="2" s="1"/>
  <c r="AB85" i="2" s="1"/>
  <c r="Z86" i="2"/>
  <c r="AA86" i="2" s="1"/>
  <c r="AB86" i="2" s="1"/>
  <c r="Z84" i="2"/>
  <c r="AA84" i="2" s="1"/>
  <c r="AB84" i="2" s="1"/>
  <c r="AC83" i="2" l="1"/>
  <c r="AE83" i="2" s="1"/>
  <c r="AC53" i="2"/>
  <c r="AE53" i="2" s="1"/>
  <c r="AB117" i="2"/>
  <c r="AD117" i="2" s="1"/>
  <c r="AC75" i="2"/>
  <c r="AE75" i="2" s="1"/>
  <c r="AB143" i="2"/>
  <c r="AD143" i="2" s="1"/>
  <c r="Z111" i="2"/>
  <c r="AA111" i="2" s="1"/>
  <c r="N111" i="2"/>
  <c r="AB156" i="2"/>
  <c r="AD156" i="2" s="1"/>
  <c r="Z103" i="2"/>
  <c r="AA103" i="2" s="1"/>
  <c r="AB103" i="2" s="1"/>
  <c r="AD103" i="2" s="1"/>
  <c r="N103" i="2"/>
  <c r="Z91" i="2"/>
  <c r="AA91" i="2" s="1"/>
  <c r="AC91" i="2" s="1"/>
  <c r="AE91" i="2" s="1"/>
  <c r="N91" i="2"/>
  <c r="Z127" i="2"/>
  <c r="AA127" i="2" s="1"/>
  <c r="AC127" i="2" s="1"/>
  <c r="AE127" i="2" s="1"/>
  <c r="N127" i="2"/>
  <c r="Z67" i="2"/>
  <c r="AA67" i="2" s="1"/>
  <c r="AB67" i="2" s="1"/>
  <c r="AD67" i="2" s="1"/>
  <c r="N67" i="2"/>
  <c r="Z51" i="2"/>
  <c r="AA51" i="2" s="1"/>
  <c r="AB51" i="2" s="1"/>
  <c r="AD51" i="2" s="1"/>
  <c r="N51" i="2"/>
  <c r="Z63" i="2"/>
  <c r="AA63" i="2" s="1"/>
  <c r="AB63" i="2" s="1"/>
  <c r="AD63" i="2" s="1"/>
  <c r="N63" i="2"/>
  <c r="Z107" i="2"/>
  <c r="AA107" i="2" s="1"/>
  <c r="AB107" i="2" s="1"/>
  <c r="AD107" i="2" s="1"/>
  <c r="N107" i="2"/>
  <c r="AB144" i="2"/>
  <c r="AD144" i="2" s="1"/>
  <c r="AB177" i="2"/>
  <c r="AD177" i="2" s="1"/>
  <c r="Z71" i="2"/>
  <c r="AA71" i="2" s="1"/>
  <c r="AB71" i="2" s="1"/>
  <c r="AD71" i="2" s="1"/>
  <c r="AB101" i="2"/>
  <c r="AD101" i="2" s="1"/>
  <c r="AB149" i="2"/>
  <c r="AD149" i="2" s="1"/>
  <c r="AB124" i="2"/>
  <c r="AD124" i="2" s="1"/>
  <c r="AB150" i="2"/>
  <c r="AD150" i="2" s="1"/>
  <c r="Z79" i="2"/>
  <c r="AA79" i="2" s="1"/>
  <c r="AB79" i="2" s="1"/>
  <c r="AB151" i="2"/>
  <c r="AD151" i="2" s="1"/>
  <c r="AB152" i="2"/>
  <c r="AD152" i="2" s="1"/>
  <c r="AB155" i="2"/>
  <c r="AD155" i="2" s="1"/>
  <c r="AC129" i="2"/>
  <c r="AE129" i="2" s="1"/>
  <c r="AC128" i="2"/>
  <c r="AE128" i="2" s="1"/>
  <c r="AB128" i="2"/>
  <c r="AD128" i="2" s="1"/>
  <c r="AC113" i="2"/>
  <c r="AE113" i="2" s="1"/>
  <c r="AB113" i="2"/>
  <c r="AD113" i="2" s="1"/>
  <c r="AC78" i="2"/>
  <c r="AE78" i="2" s="1"/>
  <c r="AB147" i="2"/>
  <c r="AD147" i="2" s="1"/>
  <c r="AB173" i="2"/>
  <c r="AD173" i="2" s="1"/>
  <c r="AB171" i="2"/>
  <c r="AD171" i="2" s="1"/>
  <c r="AB119" i="2"/>
  <c r="AD119" i="2" s="1"/>
  <c r="AB153" i="2"/>
  <c r="AD153" i="2" s="1"/>
  <c r="AC65" i="2"/>
  <c r="AE65" i="2" s="1"/>
  <c r="AC88" i="2"/>
  <c r="AE88" i="2" s="1"/>
  <c r="AB175" i="2"/>
  <c r="AD175" i="2" s="1"/>
  <c r="AB165" i="2"/>
  <c r="AD165" i="2" s="1"/>
  <c r="AC60" i="2"/>
  <c r="AE60" i="2" s="1"/>
  <c r="AB163" i="2"/>
  <c r="AD163" i="2" s="1"/>
  <c r="AB96" i="2"/>
  <c r="AD96" i="2" s="1"/>
  <c r="AC96" i="2"/>
  <c r="AE96" i="2" s="1"/>
  <c r="AB55" i="2"/>
  <c r="AD55" i="2" s="1"/>
  <c r="AC55" i="2"/>
  <c r="AE55" i="2" s="1"/>
  <c r="AB114" i="2"/>
  <c r="AD114" i="2" s="1"/>
  <c r="AB170" i="2"/>
  <c r="AD170" i="2" s="1"/>
  <c r="AB154" i="2"/>
  <c r="AD154" i="2" s="1"/>
  <c r="AB148" i="2"/>
  <c r="AD148" i="2" s="1"/>
  <c r="AC61" i="2"/>
  <c r="AE61" i="2" s="1"/>
  <c r="AB162" i="2"/>
  <c r="AD162" i="2" s="1"/>
  <c r="AB176" i="2"/>
  <c r="AD176" i="2" s="1"/>
  <c r="AB102" i="2"/>
  <c r="AD102" i="2" s="1"/>
  <c r="AB158" i="2"/>
  <c r="AD158" i="2" s="1"/>
  <c r="AB142" i="2"/>
  <c r="AD142" i="2" s="1"/>
  <c r="AC166" i="2"/>
  <c r="AE166" i="2" s="1"/>
  <c r="AB166" i="2"/>
  <c r="AD166" i="2" s="1"/>
  <c r="AC169" i="2"/>
  <c r="AE169" i="2" s="1"/>
  <c r="AB169" i="2"/>
  <c r="AD169" i="2" s="1"/>
  <c r="AB100" i="2"/>
  <c r="AD100" i="2" s="1"/>
  <c r="AC167" i="2"/>
  <c r="AE167" i="2" s="1"/>
  <c r="AB167" i="2"/>
  <c r="AD167" i="2" s="1"/>
  <c r="AC62" i="2"/>
  <c r="AE62" i="2" s="1"/>
  <c r="AB62" i="2"/>
  <c r="AD62" i="2" s="1"/>
  <c r="AB159" i="2"/>
  <c r="AD159" i="2" s="1"/>
  <c r="AB178" i="2"/>
  <c r="AD178" i="2" s="1"/>
  <c r="AC126" i="2"/>
  <c r="AE126" i="2" s="1"/>
  <c r="AC179" i="2"/>
  <c r="AE179" i="2" s="1"/>
  <c r="AB179" i="2"/>
  <c r="AD179" i="2" s="1"/>
  <c r="AB95" i="2"/>
  <c r="AD95" i="2" s="1"/>
  <c r="AB99" i="2"/>
  <c r="AD99" i="2" s="1"/>
  <c r="AC157" i="2"/>
  <c r="AE157" i="2" s="1"/>
  <c r="AB157" i="2"/>
  <c r="AD157" i="2" s="1"/>
  <c r="AC90" i="2"/>
  <c r="AE90" i="2" s="1"/>
  <c r="AB90" i="2"/>
  <c r="AD90" i="2" s="1"/>
  <c r="AB160" i="2"/>
  <c r="AD160" i="2" s="1"/>
  <c r="AB89" i="2"/>
  <c r="AD89" i="2" s="1"/>
  <c r="AB174" i="2"/>
  <c r="AD174" i="2" s="1"/>
  <c r="AB172" i="2"/>
  <c r="AD172" i="2" s="1"/>
  <c r="AB123" i="2"/>
  <c r="AD123" i="2" s="1"/>
  <c r="AC98" i="2"/>
  <c r="AE98" i="2" s="1"/>
  <c r="AB115" i="2"/>
  <c r="AD115" i="2" s="1"/>
  <c r="AB146" i="2"/>
  <c r="AD146" i="2" s="1"/>
  <c r="AB180" i="2"/>
  <c r="AD180" i="2" s="1"/>
  <c r="AC87" i="2"/>
  <c r="AE87" i="2" s="1"/>
  <c r="AB87" i="2"/>
  <c r="AD87" i="2" s="1"/>
  <c r="AC76" i="2"/>
  <c r="AE76" i="2" s="1"/>
  <c r="AB77" i="2"/>
  <c r="AD77" i="2" s="1"/>
  <c r="AB145" i="2"/>
  <c r="AD145" i="2" s="1"/>
  <c r="AB168" i="2"/>
  <c r="AD168" i="2" s="1"/>
  <c r="AC81" i="2"/>
  <c r="AE81" i="2" s="1"/>
  <c r="AB161" i="2"/>
  <c r="AD161" i="2" s="1"/>
  <c r="AC109" i="2"/>
  <c r="AE109" i="2" s="1"/>
  <c r="AC59" i="2"/>
  <c r="AE59" i="2" s="1"/>
  <c r="AB164" i="2"/>
  <c r="AD164" i="2" s="1"/>
  <c r="AB141" i="2"/>
  <c r="AD141" i="2" s="1"/>
  <c r="Q56" i="3"/>
  <c r="R35" i="3"/>
  <c r="T35" i="3" s="1"/>
  <c r="R25" i="3"/>
  <c r="T25" i="3" s="1"/>
  <c r="Q46" i="3"/>
  <c r="S46" i="3" s="1"/>
  <c r="R46" i="3"/>
  <c r="Q57" i="3"/>
  <c r="S57" i="3" s="1"/>
  <c r="R57" i="3"/>
  <c r="T57" i="3" s="1"/>
  <c r="Q48" i="3"/>
  <c r="S48" i="3" s="1"/>
  <c r="R48" i="3"/>
  <c r="T48" i="3" s="1"/>
  <c r="O45" i="3"/>
  <c r="P45" i="3" s="1"/>
  <c r="W45" i="3"/>
  <c r="X45" i="3"/>
  <c r="Q60" i="3"/>
  <c r="S60" i="3" s="1"/>
  <c r="R60" i="3"/>
  <c r="T60" i="3" s="1"/>
  <c r="Q61" i="3"/>
  <c r="S61" i="3" s="1"/>
  <c r="R61" i="3"/>
  <c r="T61" i="3" s="1"/>
  <c r="Q52" i="3"/>
  <c r="S52" i="3" s="1"/>
  <c r="R52" i="3"/>
  <c r="T52" i="3" s="1"/>
  <c r="R64" i="3"/>
  <c r="T64" i="3" s="1"/>
  <c r="Q64" i="3"/>
  <c r="Q43" i="3"/>
  <c r="S43" i="3" s="1"/>
  <c r="R43" i="3"/>
  <c r="T43" i="3" s="1"/>
  <c r="R18" i="3"/>
  <c r="T18" i="3" s="1"/>
  <c r="Q18" i="3"/>
  <c r="S18" i="3" s="1"/>
  <c r="Q44" i="3"/>
  <c r="S44" i="3" s="1"/>
  <c r="R44" i="3"/>
  <c r="T44" i="3" s="1"/>
  <c r="Q58" i="3"/>
  <c r="S58" i="3" s="1"/>
  <c r="R58" i="3"/>
  <c r="R20" i="3"/>
  <c r="T20" i="3" s="1"/>
  <c r="Q20" i="3"/>
  <c r="S20" i="3" s="1"/>
  <c r="R41" i="3"/>
  <c r="T41" i="3" s="1"/>
  <c r="Q41" i="3"/>
  <c r="S41" i="3" s="1"/>
  <c r="Q42" i="3"/>
  <c r="S42" i="3" s="1"/>
  <c r="Q62" i="3"/>
  <c r="R62" i="3"/>
  <c r="T62" i="3" s="1"/>
  <c r="Q63" i="3"/>
  <c r="S63" i="3" s="1"/>
  <c r="R63" i="3"/>
  <c r="R50" i="3"/>
  <c r="T50" i="3" s="1"/>
  <c r="Q50" i="3"/>
  <c r="S50" i="3" s="1"/>
  <c r="Q59" i="3"/>
  <c r="S59" i="3" s="1"/>
  <c r="R59" i="3"/>
  <c r="T59" i="3" s="1"/>
  <c r="Q49" i="3"/>
  <c r="S49" i="3" s="1"/>
  <c r="R49" i="3"/>
  <c r="T49" i="3" s="1"/>
  <c r="R16" i="3"/>
  <c r="T16" i="3" s="1"/>
  <c r="Q16" i="3"/>
  <c r="S16" i="3" s="1"/>
  <c r="R26" i="3"/>
  <c r="T26" i="3" s="1"/>
  <c r="P47" i="3"/>
  <c r="Q55" i="3"/>
  <c r="S55" i="3" s="1"/>
  <c r="Q53" i="3"/>
  <c r="S53" i="3" s="1"/>
  <c r="R53" i="3"/>
  <c r="Q54" i="3"/>
  <c r="S54" i="3" s="1"/>
  <c r="R54" i="3"/>
  <c r="T54" i="3" s="1"/>
  <c r="R51" i="3"/>
  <c r="T51" i="3" s="1"/>
  <c r="Q51" i="3"/>
  <c r="S51" i="3" s="1"/>
  <c r="S64" i="3"/>
  <c r="S62" i="3"/>
  <c r="T63" i="3"/>
  <c r="T58" i="3"/>
  <c r="T53" i="3"/>
  <c r="T56" i="3"/>
  <c r="S56" i="3"/>
  <c r="T46" i="3"/>
  <c r="S23" i="3"/>
  <c r="R23" i="3"/>
  <c r="T23" i="3" s="1"/>
  <c r="S27" i="3"/>
  <c r="R27" i="3"/>
  <c r="T27" i="3" s="1"/>
  <c r="S15" i="3"/>
  <c r="R15" i="3"/>
  <c r="T15" i="3" s="1"/>
  <c r="S19" i="3"/>
  <c r="R19" i="3"/>
  <c r="T19" i="3" s="1"/>
  <c r="R11" i="3"/>
  <c r="T11" i="3" s="1"/>
  <c r="S11" i="3"/>
  <c r="R28" i="3"/>
  <c r="T28" i="3" s="1"/>
  <c r="S28" i="3"/>
  <c r="R30" i="3"/>
  <c r="T30" i="3" s="1"/>
  <c r="S30" i="3"/>
  <c r="R34" i="3"/>
  <c r="T34" i="3" s="1"/>
  <c r="S34" i="3"/>
  <c r="R31" i="3"/>
  <c r="T31" i="3" s="1"/>
  <c r="S31" i="3"/>
  <c r="R29" i="3"/>
  <c r="T29" i="3" s="1"/>
  <c r="S29" i="3"/>
  <c r="R38" i="3"/>
  <c r="T38" i="3" s="1"/>
  <c r="S38" i="3"/>
  <c r="R33" i="3"/>
  <c r="T33" i="3" s="1"/>
  <c r="S33" i="3"/>
  <c r="R13" i="3"/>
  <c r="T13" i="3" s="1"/>
  <c r="S13" i="3"/>
  <c r="R32" i="3"/>
  <c r="T32" i="3" s="1"/>
  <c r="S32" i="3"/>
  <c r="R36" i="3"/>
  <c r="T36" i="3" s="1"/>
  <c r="S36" i="3"/>
  <c r="R14" i="3"/>
  <c r="T14" i="3" s="1"/>
  <c r="S14" i="3"/>
  <c r="R12" i="3"/>
  <c r="T12" i="3" s="1"/>
  <c r="S12" i="3"/>
  <c r="R37" i="3"/>
  <c r="T37" i="3" s="1"/>
  <c r="S37" i="3"/>
  <c r="AC110" i="2"/>
  <c r="AE110" i="2" s="1"/>
  <c r="AB110" i="2"/>
  <c r="AD110" i="2" s="1"/>
  <c r="AB106" i="2"/>
  <c r="AD106" i="2" s="1"/>
  <c r="AC106" i="2"/>
  <c r="AE106" i="2" s="1"/>
  <c r="AC112" i="2"/>
  <c r="AE112" i="2" s="1"/>
  <c r="AB112" i="2"/>
  <c r="AD112" i="2" s="1"/>
  <c r="AB111" i="2"/>
  <c r="AD111" i="2" s="1"/>
  <c r="AC111" i="2"/>
  <c r="AE111" i="2" s="1"/>
  <c r="AC97" i="2"/>
  <c r="AE97" i="2" s="1"/>
  <c r="AB97" i="2"/>
  <c r="AD97" i="2" s="1"/>
  <c r="AC108" i="2"/>
  <c r="AE108" i="2" s="1"/>
  <c r="AB108" i="2"/>
  <c r="AD108" i="2" s="1"/>
  <c r="AC130" i="2"/>
  <c r="AE130" i="2" s="1"/>
  <c r="AB130" i="2"/>
  <c r="AD130" i="2" s="1"/>
  <c r="AB120" i="2"/>
  <c r="AD120" i="2" s="1"/>
  <c r="AC120" i="2"/>
  <c r="AE120" i="2" s="1"/>
  <c r="AC122" i="2"/>
  <c r="AE122" i="2" s="1"/>
  <c r="AB122" i="2"/>
  <c r="AD122" i="2" s="1"/>
  <c r="AC92" i="2"/>
  <c r="AE92" i="2" s="1"/>
  <c r="AB92" i="2"/>
  <c r="AD92" i="2" s="1"/>
  <c r="AC105" i="2"/>
  <c r="AE105" i="2" s="1"/>
  <c r="AB105" i="2"/>
  <c r="AD105" i="2" s="1"/>
  <c r="AC104" i="2"/>
  <c r="AE104" i="2" s="1"/>
  <c r="AB104" i="2"/>
  <c r="AD104" i="2" s="1"/>
  <c r="AC118" i="2"/>
  <c r="AE118" i="2" s="1"/>
  <c r="AB118" i="2"/>
  <c r="AD118" i="2" s="1"/>
  <c r="AC116" i="2"/>
  <c r="AE116" i="2" s="1"/>
  <c r="AB116" i="2"/>
  <c r="AD116" i="2" s="1"/>
  <c r="AC93" i="2"/>
  <c r="AE93" i="2" s="1"/>
  <c r="AB93" i="2"/>
  <c r="AD93" i="2" s="1"/>
  <c r="AC94" i="2"/>
  <c r="AE94" i="2" s="1"/>
  <c r="AB94" i="2"/>
  <c r="AD94" i="2" s="1"/>
  <c r="AC125" i="2"/>
  <c r="AE125" i="2" s="1"/>
  <c r="AB125" i="2"/>
  <c r="AD125" i="2" s="1"/>
  <c r="AC121" i="2"/>
  <c r="AE121" i="2" s="1"/>
  <c r="AB121" i="2"/>
  <c r="AD121" i="2" s="1"/>
  <c r="AE151" i="2"/>
  <c r="AE141" i="2"/>
  <c r="AE154" i="2"/>
  <c r="AE142" i="2"/>
  <c r="AE158" i="2"/>
  <c r="AE164" i="2"/>
  <c r="AE178" i="2"/>
  <c r="AE170" i="2"/>
  <c r="AE176" i="2"/>
  <c r="AE168" i="2"/>
  <c r="AE148" i="2"/>
  <c r="AE173" i="2"/>
  <c r="AE162" i="2"/>
  <c r="AE146" i="2"/>
  <c r="AE174" i="2"/>
  <c r="AE153" i="2"/>
  <c r="AE145" i="2"/>
  <c r="AE160" i="2"/>
  <c r="AE180" i="2"/>
  <c r="AE161" i="2"/>
  <c r="AD56" i="2"/>
  <c r="AC56" i="2"/>
  <c r="AE56" i="2" s="1"/>
  <c r="AC57" i="2"/>
  <c r="AE57" i="2" s="1"/>
  <c r="AD57" i="2"/>
  <c r="AC74" i="2"/>
  <c r="AE74" i="2" s="1"/>
  <c r="AD74" i="2"/>
  <c r="AC68" i="2"/>
  <c r="AE68" i="2" s="1"/>
  <c r="AD68" i="2"/>
  <c r="AC66" i="2"/>
  <c r="AE66" i="2" s="1"/>
  <c r="AD66" i="2"/>
  <c r="AC70" i="2"/>
  <c r="AE70" i="2" s="1"/>
  <c r="AD70" i="2"/>
  <c r="AC52" i="2"/>
  <c r="AE52" i="2" s="1"/>
  <c r="AD52" i="2"/>
  <c r="AC54" i="2"/>
  <c r="AE54" i="2" s="1"/>
  <c r="AD54" i="2"/>
  <c r="AD84" i="2"/>
  <c r="AC84" i="2"/>
  <c r="AE84" i="2" s="1"/>
  <c r="AC64" i="2"/>
  <c r="AE64" i="2" s="1"/>
  <c r="AD64" i="2"/>
  <c r="AC85" i="2"/>
  <c r="AE85" i="2" s="1"/>
  <c r="AD85" i="2"/>
  <c r="AD79" i="2"/>
  <c r="AC82" i="2"/>
  <c r="AE82" i="2" s="1"/>
  <c r="AD82" i="2"/>
  <c r="AC58" i="2"/>
  <c r="AE58" i="2" s="1"/>
  <c r="AD58" i="2"/>
  <c r="AC73" i="2"/>
  <c r="AE73" i="2" s="1"/>
  <c r="AD73" i="2"/>
  <c r="AC86" i="2"/>
  <c r="AE86" i="2" s="1"/>
  <c r="AD86" i="2"/>
  <c r="AD72" i="2"/>
  <c r="AC72" i="2"/>
  <c r="AE72" i="2" s="1"/>
  <c r="AC80" i="2"/>
  <c r="AE80" i="2" s="1"/>
  <c r="AD80" i="2"/>
  <c r="AC69" i="2"/>
  <c r="AE69" i="2" s="1"/>
  <c r="AD69" i="2"/>
  <c r="AC51" i="2" l="1"/>
  <c r="AE51" i="2" s="1"/>
  <c r="AC63" i="2"/>
  <c r="AE63" i="2" s="1"/>
  <c r="AB127" i="2"/>
  <c r="AD127" i="2" s="1"/>
  <c r="AC103" i="2"/>
  <c r="AE103" i="2" s="1"/>
  <c r="AC107" i="2"/>
  <c r="AE107" i="2" s="1"/>
  <c r="AB91" i="2"/>
  <c r="AD91" i="2" s="1"/>
  <c r="AZ91" i="2" s="1"/>
  <c r="BR91" i="2" s="1"/>
  <c r="AC67" i="2"/>
  <c r="AE67" i="2" s="1"/>
  <c r="AC71" i="2"/>
  <c r="AE71" i="2" s="1"/>
  <c r="AC79" i="2"/>
  <c r="AE79" i="2" s="1"/>
  <c r="AZ51" i="2"/>
  <c r="BR51" i="2" s="1"/>
  <c r="Q47" i="3"/>
  <c r="S47" i="3" s="1"/>
  <c r="R47" i="3"/>
  <c r="T47" i="3" s="1"/>
  <c r="Q45" i="3"/>
  <c r="S45" i="3" s="1"/>
  <c r="R45" i="3"/>
  <c r="T45" i="3" s="1"/>
  <c r="AI41" i="3"/>
  <c r="AI11" i="3"/>
  <c r="AZ141" i="2"/>
  <c r="BR141" i="2" s="1"/>
  <c r="S28" i="2" l="1"/>
  <c r="S29" i="2"/>
  <c r="S30" i="2"/>
  <c r="S31" i="2"/>
  <c r="S32" i="2"/>
  <c r="S33" i="2"/>
  <c r="S34" i="2"/>
  <c r="S27" i="2"/>
  <c r="L47" i="2" a="1"/>
  <c r="L47" i="2" s="1"/>
  <c r="L43" i="2" a="1"/>
  <c r="L43" i="2" s="1"/>
  <c r="L39" i="2" a="1"/>
  <c r="L39" i="2" s="1"/>
  <c r="L35" i="2" a="1"/>
  <c r="L35" i="2" s="1"/>
  <c r="L31" i="2" a="1"/>
  <c r="L31" i="2" s="1"/>
  <c r="L27" i="2" a="1"/>
  <c r="L27" i="2" s="1"/>
  <c r="L23" i="2" a="1"/>
  <c r="L23" i="2" s="1"/>
  <c r="L19" i="2" a="1"/>
  <c r="L19" i="2" s="1"/>
  <c r="L15" i="2" a="1"/>
  <c r="L15" i="2" s="1"/>
  <c r="L11" i="2" a="1"/>
  <c r="L11" i="2" s="1"/>
  <c r="K47" i="2" a="1"/>
  <c r="K43" i="2" a="1"/>
  <c r="K39" i="2" a="1"/>
  <c r="K35" i="2" a="1"/>
  <c r="K31" i="2" a="1"/>
  <c r="K27" i="2" a="1"/>
  <c r="K23" i="2" a="1"/>
  <c r="K19" i="2" a="1"/>
  <c r="K15" i="2" a="1"/>
  <c r="K11" i="2" a="1"/>
  <c r="Z32" i="2" l="1"/>
  <c r="AF32" i="2" s="1"/>
  <c r="AG32" i="2" s="1"/>
  <c r="K43" i="2"/>
  <c r="N43" i="2" s="1"/>
  <c r="N44" i="2"/>
  <c r="N45" i="2"/>
  <c r="N46" i="2"/>
  <c r="K31" i="2"/>
  <c r="N31" i="2" s="1"/>
  <c r="N32" i="2"/>
  <c r="N33" i="2"/>
  <c r="N34" i="2"/>
  <c r="K11" i="2"/>
  <c r="N11" i="2" s="1"/>
  <c r="N12" i="2"/>
  <c r="N13" i="2"/>
  <c r="N14" i="2"/>
  <c r="K39" i="2"/>
  <c r="N39" i="2" s="1"/>
  <c r="N41" i="2"/>
  <c r="N42" i="2"/>
  <c r="N40" i="2"/>
  <c r="K47" i="2"/>
  <c r="N47" i="2" s="1"/>
  <c r="N48" i="2"/>
  <c r="N49" i="2"/>
  <c r="N50" i="2"/>
  <c r="K15" i="2"/>
  <c r="N15" i="2" s="1"/>
  <c r="N17" i="2"/>
  <c r="N18" i="2"/>
  <c r="N16" i="2"/>
  <c r="K19" i="2"/>
  <c r="N19" i="2" s="1"/>
  <c r="N20" i="2"/>
  <c r="N21" i="2"/>
  <c r="N22" i="2"/>
  <c r="K35" i="2"/>
  <c r="N35" i="2" s="1"/>
  <c r="N36" i="2"/>
  <c r="N37" i="2"/>
  <c r="N38" i="2"/>
  <c r="K23" i="2"/>
  <c r="N23" i="2" s="1"/>
  <c r="N24" i="2"/>
  <c r="N25" i="2"/>
  <c r="N26" i="2"/>
  <c r="K27" i="2"/>
  <c r="N27" i="2" s="1"/>
  <c r="N29" i="2"/>
  <c r="N30" i="2"/>
  <c r="N28" i="2"/>
  <c r="Z27" i="2"/>
  <c r="Z47" i="2"/>
  <c r="Z43" i="2"/>
  <c r="Z30" i="2"/>
  <c r="Z13" i="2"/>
  <c r="Z12" i="2"/>
  <c r="Z42" i="2"/>
  <c r="Z18" i="2"/>
  <c r="Z41" i="2"/>
  <c r="Z29" i="2"/>
  <c r="Z17" i="2"/>
  <c r="Z40" i="2"/>
  <c r="Z28" i="2"/>
  <c r="Z16" i="2"/>
  <c r="Z50" i="2"/>
  <c r="Z38" i="2"/>
  <c r="Z26" i="2"/>
  <c r="Z14" i="2"/>
  <c r="Z49" i="2"/>
  <c r="Z37" i="2"/>
  <c r="Z25" i="2"/>
  <c r="Z48" i="2"/>
  <c r="Z36" i="2"/>
  <c r="Z24" i="2"/>
  <c r="Z46" i="2"/>
  <c r="Z34" i="2"/>
  <c r="Z22" i="2"/>
  <c r="Z45" i="2"/>
  <c r="Z33" i="2"/>
  <c r="Z21" i="2"/>
  <c r="Z44" i="2"/>
  <c r="Z20" i="2"/>
  <c r="AA32" i="2" l="1"/>
  <c r="Y32" i="2"/>
  <c r="Z11" i="2"/>
  <c r="AF11" i="2" s="1"/>
  <c r="AG11" i="2" s="1"/>
  <c r="AF46" i="2"/>
  <c r="AG46" i="2" s="1"/>
  <c r="AF44" i="2"/>
  <c r="AG44" i="2" s="1"/>
  <c r="AF16" i="2"/>
  <c r="AG16" i="2" s="1"/>
  <c r="AF24" i="2"/>
  <c r="AG24" i="2" s="1"/>
  <c r="AF41" i="2"/>
  <c r="AG41" i="2" s="1"/>
  <c r="AF37" i="2"/>
  <c r="AG37" i="2" s="1"/>
  <c r="AF21" i="2"/>
  <c r="AG21" i="2" s="1"/>
  <c r="AF14" i="2"/>
  <c r="AG14" i="2" s="1"/>
  <c r="AF12" i="2"/>
  <c r="AG12" i="2" s="1"/>
  <c r="AF34" i="2"/>
  <c r="AG34" i="2" s="1"/>
  <c r="AF43" i="2"/>
  <c r="AG43" i="2" s="1"/>
  <c r="AF27" i="2"/>
  <c r="AG27" i="2" s="1"/>
  <c r="AF48" i="2"/>
  <c r="AG48" i="2" s="1"/>
  <c r="AF20" i="2"/>
  <c r="AG20" i="2" s="1"/>
  <c r="AF33" i="2"/>
  <c r="AG33" i="2" s="1"/>
  <c r="AF26" i="2"/>
  <c r="AG26" i="2" s="1"/>
  <c r="AF13" i="2"/>
  <c r="AG13" i="2" s="1"/>
  <c r="AF30" i="2"/>
  <c r="AG30" i="2" s="1"/>
  <c r="AF28" i="2"/>
  <c r="AG28" i="2" s="1"/>
  <c r="AF47" i="2"/>
  <c r="AG47" i="2" s="1"/>
  <c r="AF36" i="2"/>
  <c r="AG36" i="2" s="1"/>
  <c r="AF29" i="2"/>
  <c r="AG29" i="2" s="1"/>
  <c r="AF49" i="2"/>
  <c r="AG49" i="2" s="1"/>
  <c r="AF38" i="2"/>
  <c r="AG38" i="2" s="1"/>
  <c r="AF40" i="2"/>
  <c r="AG40" i="2" s="1"/>
  <c r="AF17" i="2"/>
  <c r="AG17" i="2" s="1"/>
  <c r="AF25" i="2"/>
  <c r="AG25" i="2" s="1"/>
  <c r="AF18" i="2"/>
  <c r="AG18" i="2" s="1"/>
  <c r="AF42" i="2"/>
  <c r="AG42" i="2" s="1"/>
  <c r="AF45" i="2"/>
  <c r="AG45" i="2" s="1"/>
  <c r="Z39" i="2"/>
  <c r="AA39" i="2" s="1"/>
  <c r="AF22" i="2"/>
  <c r="AG22" i="2" s="1"/>
  <c r="AF50" i="2"/>
  <c r="AG50" i="2" s="1"/>
  <c r="X32" i="2"/>
  <c r="AH32" i="2" s="1"/>
  <c r="AI32" i="2" s="1"/>
  <c r="Z19" i="2"/>
  <c r="AA19" i="2" s="1"/>
  <c r="AC19" i="2" s="1"/>
  <c r="AE19" i="2" s="1"/>
  <c r="Z15" i="2"/>
  <c r="AA22" i="2"/>
  <c r="AC22" i="2" s="1"/>
  <c r="AE22" i="2" s="1"/>
  <c r="Y22" i="2"/>
  <c r="X22" i="2" s="1"/>
  <c r="AA46" i="2"/>
  <c r="AB46" i="2" s="1"/>
  <c r="AD46" i="2" s="1"/>
  <c r="Y46" i="2"/>
  <c r="X46" i="2" s="1"/>
  <c r="AH46" i="2" s="1"/>
  <c r="AI46" i="2" s="1"/>
  <c r="AA24" i="2"/>
  <c r="AB24" i="2" s="1"/>
  <c r="AD24" i="2" s="1"/>
  <c r="Y24" i="2"/>
  <c r="X24" i="2" s="1"/>
  <c r="AH24" i="2" s="1"/>
  <c r="AI24" i="2" s="1"/>
  <c r="AA17" i="2"/>
  <c r="AC17" i="2" s="1"/>
  <c r="AE17" i="2" s="1"/>
  <c r="Y17" i="2"/>
  <c r="X17" i="2" s="1"/>
  <c r="AH17" i="2" s="1"/>
  <c r="AI17" i="2" s="1"/>
  <c r="AA29" i="2"/>
  <c r="AC29" i="2" s="1"/>
  <c r="AE29" i="2" s="1"/>
  <c r="Y29" i="2"/>
  <c r="X29" i="2" s="1"/>
  <c r="AA25" i="2"/>
  <c r="AB25" i="2" s="1"/>
  <c r="AD25" i="2" s="1"/>
  <c r="Y25" i="2"/>
  <c r="X25" i="2" s="1"/>
  <c r="AA37" i="2"/>
  <c r="AC37" i="2" s="1"/>
  <c r="AE37" i="2" s="1"/>
  <c r="Y37" i="2"/>
  <c r="X37" i="2" s="1"/>
  <c r="AA42" i="2"/>
  <c r="AB42" i="2" s="1"/>
  <c r="AD42" i="2" s="1"/>
  <c r="Y42" i="2"/>
  <c r="X42" i="2" s="1"/>
  <c r="AA38" i="2"/>
  <c r="AC38" i="2" s="1"/>
  <c r="AE38" i="2" s="1"/>
  <c r="Y38" i="2"/>
  <c r="X38" i="2" s="1"/>
  <c r="AA16" i="2"/>
  <c r="AC16" i="2" s="1"/>
  <c r="AE16" i="2" s="1"/>
  <c r="Y16" i="2"/>
  <c r="X16" i="2" s="1"/>
  <c r="AH16" i="2" s="1"/>
  <c r="AI16" i="2" s="1"/>
  <c r="AA11" i="2"/>
  <c r="AB11" i="2" s="1"/>
  <c r="AD11" i="2" s="1"/>
  <c r="Y11" i="2"/>
  <c r="X11" i="2" s="1"/>
  <c r="AA30" i="2"/>
  <c r="AB30" i="2" s="1"/>
  <c r="AD30" i="2" s="1"/>
  <c r="Y30" i="2"/>
  <c r="X30" i="2" s="1"/>
  <c r="AA36" i="2"/>
  <c r="AC36" i="2" s="1"/>
  <c r="AE36" i="2" s="1"/>
  <c r="Y36" i="2"/>
  <c r="X36" i="2" s="1"/>
  <c r="AA47" i="2"/>
  <c r="AC47" i="2" s="1"/>
  <c r="AE47" i="2" s="1"/>
  <c r="Y47" i="2"/>
  <c r="X47" i="2" s="1"/>
  <c r="AA41" i="2"/>
  <c r="AB41" i="2" s="1"/>
  <c r="AD41" i="2" s="1"/>
  <c r="Y41" i="2"/>
  <c r="X41" i="2" s="1"/>
  <c r="AA49" i="2"/>
  <c r="AC49" i="2" s="1"/>
  <c r="AE49" i="2" s="1"/>
  <c r="Y49" i="2"/>
  <c r="X49" i="2" s="1"/>
  <c r="AA21" i="2"/>
  <c r="AB21" i="2" s="1"/>
  <c r="AD21" i="2" s="1"/>
  <c r="Y21" i="2"/>
  <c r="X21" i="2" s="1"/>
  <c r="AA14" i="2"/>
  <c r="AB14" i="2" s="1"/>
  <c r="AD14" i="2" s="1"/>
  <c r="Y14" i="2"/>
  <c r="X14" i="2" s="1"/>
  <c r="AA12" i="2"/>
  <c r="AB12" i="2" s="1"/>
  <c r="AD12" i="2" s="1"/>
  <c r="Y12" i="2"/>
  <c r="X12" i="2" s="1"/>
  <c r="AA45" i="2"/>
  <c r="AB45" i="2" s="1"/>
  <c r="AD45" i="2" s="1"/>
  <c r="Y45" i="2"/>
  <c r="X45" i="2" s="1"/>
  <c r="AA50" i="2"/>
  <c r="AC50" i="2" s="1"/>
  <c r="AE50" i="2" s="1"/>
  <c r="Y50" i="2"/>
  <c r="X50" i="2" s="1"/>
  <c r="AA34" i="2"/>
  <c r="AC34" i="2" s="1"/>
  <c r="AE34" i="2" s="1"/>
  <c r="Y34" i="2"/>
  <c r="X34" i="2" s="1"/>
  <c r="AA28" i="2"/>
  <c r="AC28" i="2" s="1"/>
  <c r="AE28" i="2" s="1"/>
  <c r="Y28" i="2"/>
  <c r="X28" i="2" s="1"/>
  <c r="AA40" i="2"/>
  <c r="AC40" i="2" s="1"/>
  <c r="AE40" i="2" s="1"/>
  <c r="Y40" i="2"/>
  <c r="X40" i="2" s="1"/>
  <c r="AA43" i="2"/>
  <c r="AB43" i="2" s="1"/>
  <c r="AD43" i="2" s="1"/>
  <c r="Y43" i="2"/>
  <c r="X43" i="2" s="1"/>
  <c r="AA48" i="2"/>
  <c r="AB48" i="2" s="1"/>
  <c r="AD48" i="2" s="1"/>
  <c r="Y48" i="2"/>
  <c r="X48" i="2" s="1"/>
  <c r="AH48" i="2" s="1"/>
  <c r="AI48" i="2" s="1"/>
  <c r="AA20" i="2"/>
  <c r="AB20" i="2" s="1"/>
  <c r="AD20" i="2" s="1"/>
  <c r="Y20" i="2"/>
  <c r="X20" i="2" s="1"/>
  <c r="AH20" i="2" s="1"/>
  <c r="AI20" i="2" s="1"/>
  <c r="AA27" i="2"/>
  <c r="AB27" i="2" s="1"/>
  <c r="AD27" i="2" s="1"/>
  <c r="Y27" i="2"/>
  <c r="X27" i="2" s="1"/>
  <c r="AA18" i="2"/>
  <c r="AB18" i="2" s="1"/>
  <c r="AD18" i="2" s="1"/>
  <c r="Y18" i="2"/>
  <c r="X18" i="2" s="1"/>
  <c r="AA44" i="2"/>
  <c r="AB44" i="2" s="1"/>
  <c r="AD44" i="2" s="1"/>
  <c r="Y44" i="2"/>
  <c r="X44" i="2" s="1"/>
  <c r="AA33" i="2"/>
  <c r="AC33" i="2" s="1"/>
  <c r="AE33" i="2" s="1"/>
  <c r="Y33" i="2"/>
  <c r="X33" i="2" s="1"/>
  <c r="AH33" i="2" s="1"/>
  <c r="AI33" i="2" s="1"/>
  <c r="AA26" i="2"/>
  <c r="AC26" i="2" s="1"/>
  <c r="AE26" i="2" s="1"/>
  <c r="Y26" i="2"/>
  <c r="X26" i="2" s="1"/>
  <c r="AH26" i="2" s="1"/>
  <c r="AI26" i="2" s="1"/>
  <c r="AA13" i="2"/>
  <c r="AC13" i="2" s="1"/>
  <c r="AE13" i="2" s="1"/>
  <c r="Y13" i="2"/>
  <c r="X13" i="2" s="1"/>
  <c r="Z23" i="2"/>
  <c r="Z35" i="2"/>
  <c r="Z31" i="2"/>
  <c r="AB32" i="2"/>
  <c r="AD32" i="2" s="1"/>
  <c r="AC32" i="2"/>
  <c r="AE32" i="2" s="1"/>
  <c r="AH40" i="2" l="1"/>
  <c r="AI40" i="2" s="1"/>
  <c r="AH44" i="2"/>
  <c r="AI44" i="2" s="1"/>
  <c r="AH50" i="2"/>
  <c r="AI50" i="2" s="1"/>
  <c r="AH37" i="2"/>
  <c r="AI37" i="2" s="1"/>
  <c r="AH49" i="2"/>
  <c r="AI49" i="2" s="1"/>
  <c r="AH38" i="2"/>
  <c r="AI38" i="2" s="1"/>
  <c r="AH42" i="2"/>
  <c r="AI42" i="2" s="1"/>
  <c r="AH30" i="2"/>
  <c r="AI30" i="2" s="1"/>
  <c r="AH12" i="2"/>
  <c r="AI12" i="2" s="1"/>
  <c r="AH36" i="2"/>
  <c r="AI36" i="2" s="1"/>
  <c r="Y39" i="2"/>
  <c r="X39" i="2" s="1"/>
  <c r="AH22" i="2"/>
  <c r="AI22" i="2" s="1"/>
  <c r="AH45" i="2"/>
  <c r="AI45" i="2" s="1"/>
  <c r="AB22" i="2"/>
  <c r="AD22" i="2" s="1"/>
  <c r="AC27" i="2"/>
  <c r="AE27" i="2" s="1"/>
  <c r="AH21" i="2"/>
  <c r="AI21" i="2" s="1"/>
  <c r="AH11" i="2"/>
  <c r="AI11" i="2" s="1"/>
  <c r="AH29" i="2"/>
  <c r="AI29" i="2" s="1"/>
  <c r="AH14" i="2"/>
  <c r="AI14" i="2" s="1"/>
  <c r="AC39" i="2"/>
  <c r="AE39" i="2" s="1"/>
  <c r="AB39" i="2"/>
  <c r="AD39" i="2" s="1"/>
  <c r="AH18" i="2"/>
  <c r="AI18" i="2" s="1"/>
  <c r="Y19" i="2"/>
  <c r="X19" i="2" s="1"/>
  <c r="AH25" i="2"/>
  <c r="AI25" i="2" s="1"/>
  <c r="AH34" i="2"/>
  <c r="AI34" i="2" s="1"/>
  <c r="AH13" i="2"/>
  <c r="AI13" i="2" s="1"/>
  <c r="AH41" i="2"/>
  <c r="AI41" i="2" s="1"/>
  <c r="AH28" i="2"/>
  <c r="AI28" i="2" s="1"/>
  <c r="AB16" i="2"/>
  <c r="AD16" i="2" s="1"/>
  <c r="AH47" i="2"/>
  <c r="AI47" i="2" s="1"/>
  <c r="AH27" i="2"/>
  <c r="AI27" i="2" s="1"/>
  <c r="AB34" i="2"/>
  <c r="AD34" i="2" s="1"/>
  <c r="AH43" i="2"/>
  <c r="AI43" i="2" s="1"/>
  <c r="AA15" i="2"/>
  <c r="AB15" i="2" s="1"/>
  <c r="AD15" i="2" s="1"/>
  <c r="AF15" i="2"/>
  <c r="AG15" i="2" s="1"/>
  <c r="AF19" i="2"/>
  <c r="AB19" i="2"/>
  <c r="AD19" i="2" s="1"/>
  <c r="AF35" i="2"/>
  <c r="AG35" i="2" s="1"/>
  <c r="AF23" i="2"/>
  <c r="AG23" i="2" s="1"/>
  <c r="AF31" i="2"/>
  <c r="AB49" i="2"/>
  <c r="AD49" i="2" s="1"/>
  <c r="AB28" i="2"/>
  <c r="AD28" i="2" s="1"/>
  <c r="AB29" i="2"/>
  <c r="AD29" i="2" s="1"/>
  <c r="AF39" i="2"/>
  <c r="AG39" i="2" s="1"/>
  <c r="AC18" i="2"/>
  <c r="AE18" i="2" s="1"/>
  <c r="AC44" i="2"/>
  <c r="AE44" i="2" s="1"/>
  <c r="AB47" i="2"/>
  <c r="AD47" i="2" s="1"/>
  <c r="AC14" i="2"/>
  <c r="AE14" i="2" s="1"/>
  <c r="AB50" i="2"/>
  <c r="AD50" i="2" s="1"/>
  <c r="AC25" i="2"/>
  <c r="AE25" i="2" s="1"/>
  <c r="AC20" i="2"/>
  <c r="AE20" i="2" s="1"/>
  <c r="AB13" i="2"/>
  <c r="AD13" i="2" s="1"/>
  <c r="Y15" i="2"/>
  <c r="X15" i="2" s="1"/>
  <c r="AB38" i="2"/>
  <c r="AD38" i="2" s="1"/>
  <c r="AC46" i="2"/>
  <c r="AE46" i="2" s="1"/>
  <c r="AB36" i="2"/>
  <c r="AD36" i="2" s="1"/>
  <c r="AC21" i="2"/>
  <c r="AE21" i="2" s="1"/>
  <c r="AC11" i="2"/>
  <c r="AE11" i="2" s="1"/>
  <c r="AB37" i="2"/>
  <c r="AD37" i="2" s="1"/>
  <c r="AB33" i="2"/>
  <c r="AD33" i="2" s="1"/>
  <c r="AB17" i="2"/>
  <c r="AD17" i="2" s="1"/>
  <c r="AC24" i="2"/>
  <c r="AE24" i="2" s="1"/>
  <c r="AB26" i="2"/>
  <c r="AD26" i="2" s="1"/>
  <c r="AB40" i="2"/>
  <c r="AD40" i="2" s="1"/>
  <c r="AA31" i="2"/>
  <c r="Y31" i="2"/>
  <c r="X31" i="2" s="1"/>
  <c r="AC12" i="2"/>
  <c r="AE12" i="2" s="1"/>
  <c r="AC43" i="2"/>
  <c r="AE43" i="2" s="1"/>
  <c r="AC30" i="2"/>
  <c r="AE30" i="2" s="1"/>
  <c r="AC42" i="2"/>
  <c r="AE42" i="2" s="1"/>
  <c r="AA23" i="2"/>
  <c r="Y23" i="2"/>
  <c r="X23" i="2" s="1"/>
  <c r="AC48" i="2"/>
  <c r="AE48" i="2" s="1"/>
  <c r="AC45" i="2"/>
  <c r="AE45" i="2" s="1"/>
  <c r="AC41" i="2"/>
  <c r="AE41" i="2" s="1"/>
  <c r="AA35" i="2"/>
  <c r="Y35" i="2"/>
  <c r="X35" i="2" s="1"/>
  <c r="AH35" i="2" l="1"/>
  <c r="AI35" i="2" s="1"/>
  <c r="AH19" i="2"/>
  <c r="AI19" i="2" s="1"/>
  <c r="AG19" i="2"/>
  <c r="AH31" i="2"/>
  <c r="AI31" i="2" s="1"/>
  <c r="AG31" i="2"/>
  <c r="AH15" i="2"/>
  <c r="AI15" i="2" s="1"/>
  <c r="AH23" i="2"/>
  <c r="AI23" i="2" s="1"/>
  <c r="AH39" i="2"/>
  <c r="AI39" i="2" s="1"/>
  <c r="AC15" i="2"/>
  <c r="AE15" i="2" s="1"/>
  <c r="AB31" i="2"/>
  <c r="AD31" i="2" s="1"/>
  <c r="AC31" i="2"/>
  <c r="AE31" i="2" s="1"/>
  <c r="AC23" i="2"/>
  <c r="AE23" i="2" s="1"/>
  <c r="AB23" i="2"/>
  <c r="AD23" i="2" s="1"/>
  <c r="AC35" i="2"/>
  <c r="AE35" i="2" s="1"/>
  <c r="AB35" i="2"/>
  <c r="AD35" i="2" s="1"/>
  <c r="BE11" i="2" l="1"/>
  <c r="BA11" i="2"/>
  <c r="AZ11" i="2"/>
  <c r="BR11" i="2" s="1"/>
  <c r="BO11" i="2" l="1"/>
  <c r="BP11" i="2" s="1"/>
  <c r="BF11" i="2"/>
  <c r="BI11" i="2"/>
  <c r="BK11" i="2" s="1"/>
  <c r="BQ1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Eddie Sholl</author>
  </authors>
  <commentList>
    <comment ref="AJ40" authorId="0" shapeId="0" xr:uid="{901C119E-FF66-2541-A252-B5A987A84031}">
      <text>
        <r>
          <rPr>
            <b/>
            <sz val="10"/>
            <color rgb="FF000000"/>
            <rFont val="Tahoma"/>
            <family val="2"/>
          </rPr>
          <t>Eddie Sholl:</t>
        </r>
        <r>
          <rPr>
            <sz val="10"/>
            <color rgb="FF000000"/>
            <rFont val="Tahoma"/>
            <family val="2"/>
          </rPr>
          <t xml:space="preserve">
</t>
        </r>
        <r>
          <rPr>
            <sz val="10"/>
            <color rgb="FF000000"/>
            <rFont val="Tahoma"/>
            <family val="2"/>
          </rPr>
          <t>The variation in these 2 results suggests that our approach for calculating FA and MA are not correct. The first test has calving split over 2 seasons, all combined in a single class ie 'Cows 2-3 years'. The guidelines for FA (ch3.2.2.3 line 166) says "</t>
        </r>
        <r>
          <rPr>
            <sz val="10"/>
            <color rgb="FF000000"/>
            <rFont val="Aptos Narrow"/>
            <scheme val="minor"/>
          </rPr>
          <t xml:space="preserve">For farms with multiple calving seasons, the feed adjustment value
</t>
        </r>
        <r>
          <rPr>
            <sz val="10"/>
            <color rgb="FF000000"/>
            <rFont val="Aptos Narrow"/>
            <scheme val="minor"/>
          </rPr>
          <t xml:space="preserve">should be applied to the cows calving in each season and
</t>
        </r>
        <r>
          <rPr>
            <sz val="10"/>
            <color rgb="FF000000"/>
            <rFont val="Aptos Narrow"/>
            <scheme val="minor"/>
          </rPr>
          <t>immediate season after calving as appropriate.</t>
        </r>
        <r>
          <rPr>
            <sz val="10"/>
            <color rgb="FF000000"/>
            <rFont val="Tahoma"/>
            <family val="2"/>
          </rPr>
          <t xml:space="preserve">"
</t>
        </r>
        <r>
          <rPr>
            <sz val="10"/>
            <color rgb="FF000000"/>
            <rFont val="Tahoma"/>
            <family val="2"/>
          </rPr>
          <t xml:space="preserve">
</t>
        </r>
        <r>
          <rPr>
            <sz val="10"/>
            <color rgb="FF000000"/>
            <rFont val="Tahoma"/>
            <family val="2"/>
          </rPr>
          <t>To achieve that I have created a formula in column M. The second scenario splits the same herd into multiple classes. The emissions should be replicated, but they aren't the same, suggesting there's something asymmetrical in the current approach</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<sst xmlns="http://schemas.openxmlformats.org/spreadsheetml/2006/main" count="1150" uniqueCount="203">
  <si>
    <t>(LCijkl=5 * FAijkl=5) + (1 - LCijkl=5 )</t>
  </si>
  <si>
    <t>(1.185 + 0.00454 * Wijkln - 0.0000026 * Wijkln^2 + 0.315 * LWGijkln)^2 * MAijkl=5</t>
  </si>
  <si>
    <t>(Iijkln * (1 - DMDijk) + (0.04 * Iijkln)) * ( 1 - A )</t>
  </si>
  <si>
    <t>VSijkln * BO * MMSm * MCFm * 𝜌</t>
  </si>
  <si>
    <t>SUM SUM SUM SUM SUM ( Nkln * Mmijklnm * 91.25)</t>
  </si>
  <si>
    <t>Mmm * GWPCH4 * 10^-3</t>
  </si>
  <si>
    <t>547</t>
  </si>
  <si>
    <t>569</t>
  </si>
  <si>
    <t>581</t>
  </si>
  <si>
    <t>578</t>
  </si>
  <si>
    <t>582</t>
  </si>
  <si>
    <t>3.2 162</t>
  </si>
  <si>
    <t>3.2 163</t>
  </si>
  <si>
    <t>3.2 152</t>
  </si>
  <si>
    <t>3.2 166</t>
  </si>
  <si>
    <t>3.2 143</t>
  </si>
  <si>
    <t>3.2 136</t>
  </si>
  <si>
    <t>551</t>
  </si>
  <si>
    <t>584</t>
  </si>
  <si>
    <t>425</t>
  </si>
  <si>
    <t>405</t>
  </si>
  <si>
    <t>396</t>
  </si>
  <si>
    <t>390</t>
  </si>
  <si>
    <t>input</t>
  </si>
  <si>
    <t>constant</t>
  </si>
  <si>
    <t>expression</t>
  </si>
  <si>
    <t>Nkln</t>
  </si>
  <si>
    <t>BO</t>
  </si>
  <si>
    <t>𝜌</t>
  </si>
  <si>
    <t>Wijkln</t>
  </si>
  <si>
    <t>LWGijkln</t>
  </si>
  <si>
    <t>LCijkl=5</t>
  </si>
  <si>
    <t>FAijkl=5</t>
  </si>
  <si>
    <t>MAijkl=5</t>
  </si>
  <si>
    <t>Iijkln</t>
  </si>
  <si>
    <t>DMDijk</t>
  </si>
  <si>
    <t>A</t>
  </si>
  <si>
    <t>VSijkln</t>
  </si>
  <si>
    <t>Mmm</t>
  </si>
  <si>
    <t>GWPCH4</t>
  </si>
  <si>
    <t>EMCH4</t>
  </si>
  <si>
    <t>Scenario</t>
  </si>
  <si>
    <t>Bulls &lt; 1 year</t>
  </si>
  <si>
    <t>Bulls &gt; 1 year</t>
  </si>
  <si>
    <t>Cows &lt; 1 year</t>
  </si>
  <si>
    <t>Cows 1-2 years</t>
  </si>
  <si>
    <t>Cows 2-3 years</t>
  </si>
  <si>
    <t>Cows &gt; 3 years</t>
  </si>
  <si>
    <t>Steers &lt; 1 year</t>
  </si>
  <si>
    <t>Steers 1-2 years</t>
  </si>
  <si>
    <t>Steers 2-3 years</t>
  </si>
  <si>
    <t>Steers &gt;3 years</t>
  </si>
  <si>
    <t>Baseline</t>
  </si>
  <si>
    <t>ACT/NSW</t>
  </si>
  <si>
    <t>Spring</t>
  </si>
  <si>
    <t>Summer</t>
  </si>
  <si>
    <t>Autumn</t>
  </si>
  <si>
    <t>Winter</t>
  </si>
  <si>
    <t>Region</t>
  </si>
  <si>
    <t>South Australia</t>
  </si>
  <si>
    <t>Liveweight gain</t>
  </si>
  <si>
    <t>DMD</t>
  </si>
  <si>
    <t>South West</t>
  </si>
  <si>
    <t>Pilbara</t>
  </si>
  <si>
    <t>State</t>
  </si>
  <si>
    <t>WA</t>
  </si>
  <si>
    <t>Bull</t>
  </si>
  <si>
    <t>Cow</t>
  </si>
  <si>
    <t>Steer</t>
  </si>
  <si>
    <t>Tasmania</t>
  </si>
  <si>
    <t>Victoria</t>
  </si>
  <si>
    <t>Kimberley</t>
  </si>
  <si>
    <t>NO</t>
  </si>
  <si>
    <t>NT</t>
  </si>
  <si>
    <t>Alice Springs</t>
  </si>
  <si>
    <t>Barkly</t>
  </si>
  <si>
    <t>Northern</t>
  </si>
  <si>
    <t>High</t>
  </si>
  <si>
    <t>Moderate/High</t>
  </si>
  <si>
    <t>Moderate/Low</t>
  </si>
  <si>
    <t>Low</t>
  </si>
  <si>
    <t>Queensland</t>
  </si>
  <si>
    <t>Mmijklnm=14</t>
  </si>
  <si>
    <t>Mmijklnm=1</t>
  </si>
  <si>
    <t>MMSm=1</t>
  </si>
  <si>
    <t>MMSm=14</t>
  </si>
  <si>
    <t>anaerobic lagoon</t>
  </si>
  <si>
    <t>pasture</t>
  </si>
  <si>
    <t>unfenced</t>
  </si>
  <si>
    <t>fenced</t>
  </si>
  <si>
    <t>Unfenced water?</t>
  </si>
  <si>
    <t>yes</t>
  </si>
  <si>
    <t>QLD</t>
  </si>
  <si>
    <t>SA</t>
  </si>
  <si>
    <t>TAS</t>
  </si>
  <si>
    <t>VIC</t>
  </si>
  <si>
    <t>MCFm=1</t>
  </si>
  <si>
    <t>MCFm=14</t>
  </si>
  <si>
    <t>Climate zone</t>
  </si>
  <si>
    <t>Warm temperate moist</t>
  </si>
  <si>
    <t>Boreal Moist</t>
  </si>
  <si>
    <t>Boreal Dry</t>
  </si>
  <si>
    <t>Tropical Montane</t>
  </si>
  <si>
    <t>Tropical Wet</t>
  </si>
  <si>
    <t>Tropical Moist</t>
  </si>
  <si>
    <t>Tropical Dry</t>
  </si>
  <si>
    <t>Cool Temperate Moist</t>
  </si>
  <si>
    <t>Cool Temperate Dry</t>
  </si>
  <si>
    <t>Warm Temperate Moist</t>
  </si>
  <si>
    <t>Warm Temperate Dry</t>
  </si>
  <si>
    <t>Bo</t>
  </si>
  <si>
    <t>p</t>
  </si>
  <si>
    <t>GWPch4</t>
  </si>
  <si>
    <t>Mmm=1</t>
  </si>
  <si>
    <t>Mmm=14</t>
  </si>
  <si>
    <t>no</t>
  </si>
  <si>
    <t>Missing classes</t>
  </si>
  <si>
    <t>Method 2 inputs</t>
  </si>
  <si>
    <t>Partial calving</t>
  </si>
  <si>
    <t>These scenarios are to check the logic used for calculating FA from LC with partial calving seasons</t>
  </si>
  <si>
    <t>Partial calving - integrated classes</t>
  </si>
  <si>
    <t>Partial calving - split cow classes</t>
  </si>
  <si>
    <t>LC calving</t>
  </si>
  <si>
    <t>LC post carving</t>
  </si>
  <si>
    <t>m=1 - A</t>
  </si>
  <si>
    <t>m=14 - A</t>
  </si>
  <si>
    <t>m=1 - B1</t>
  </si>
  <si>
    <t>m=14 - B1</t>
  </si>
  <si>
    <t>m=1 - B2</t>
  </si>
  <si>
    <t>m=14 - B2</t>
  </si>
  <si>
    <t>m=1 - B</t>
  </si>
  <si>
    <t>m=14 - B</t>
  </si>
  <si>
    <t>kg / head / day</t>
  </si>
  <si>
    <t>intake for milk</t>
  </si>
  <si>
    <t>kg DM / head / day</t>
  </si>
  <si>
    <t>feed intake</t>
  </si>
  <si>
    <t>Note on errors</t>
  </si>
  <si>
    <t>LC post calving</t>
  </si>
  <si>
    <t>WRil</t>
  </si>
  <si>
    <t>Reference weight</t>
  </si>
  <si>
    <t>NSW</t>
  </si>
  <si>
    <t>TODO: Need to switch the state and region</t>
  </si>
  <si>
    <t>Zijkln</t>
  </si>
  <si>
    <t>Wijkln / WRil</t>
  </si>
  <si>
    <t>MCijkl=236</t>
  </si>
  <si>
    <t>Milk intake</t>
  </si>
  <si>
    <t>MC</t>
  </si>
  <si>
    <t>Calving</t>
  </si>
  <si>
    <t>After calving</t>
  </si>
  <si>
    <t>Lijkln</t>
  </si>
  <si>
    <t>Iijkln / (1.185 + 0.00454 * Wijkln - 0.0000026 * Wijkln ^ 2 ) ^ 2 * MAijkl=5</t>
  </si>
  <si>
    <t>Milk production</t>
  </si>
  <si>
    <t>DMP</t>
  </si>
  <si>
    <t>DMPijkl=5</t>
  </si>
  <si>
    <t>MPijkl</t>
  </si>
  <si>
    <t>LCijkl=5 * DMPijkl=5</t>
  </si>
  <si>
    <t>MEijkl</t>
  </si>
  <si>
    <t>0.1604 * DMDijk- 1.037</t>
  </si>
  <si>
    <t>NRijkl</t>
  </si>
  <si>
    <t>(0.032 * MPijkl=5 /6.38) + {{0.212 - 0.008 * (Lijkln - 2) - [0.140 - 0.008 * (Lijkln - 2) / 1 + e  ^ (-6 * Zijkln - 0.4)]} * (LWGijkln * 0.92)} / 6.25</t>
  </si>
  <si>
    <t>CP</t>
  </si>
  <si>
    <t>Crude protein</t>
  </si>
  <si>
    <t>CPijk</t>
  </si>
  <si>
    <t>Fijkln</t>
  </si>
  <si>
    <t>Uijkln</t>
  </si>
  <si>
    <t>[{0.3 * Iijkln * CPijkln * (1 - (DMDijk + 0.1)) + (0.105 * MEijkl * Iijkln * 0.008) + (0.0152 * Iijkln)} / 6.25] + (0.08 * 0.032 * MCijkl=236 / 6.38)</t>
  </si>
  <si>
    <t>(Iijkln * CPijkln / 6.25) + (0.032 * MCijkl=236 / 6.38) - NRijkln - Fijkln - [(1.1 * 10 ^ -4 * Wijkln ^ 0.75) / 6.25]</t>
  </si>
  <si>
    <t>AFi</t>
  </si>
  <si>
    <t>AUi</t>
  </si>
  <si>
    <t>EFPRP</t>
  </si>
  <si>
    <t>wet</t>
  </si>
  <si>
    <t>dry</t>
  </si>
  <si>
    <t>wet / dry</t>
  </si>
  <si>
    <t>CgN2O</t>
  </si>
  <si>
    <t>GWPN2O</t>
  </si>
  <si>
    <t>EN2O,dir</t>
  </si>
  <si>
    <t>{(AFi * EFPRP * Cg,N2O) + (AUi * EFPRP * Cg,N2O)} * GWPN2O * 10^-3</t>
  </si>
  <si>
    <t>FracGASMSoil</t>
  </si>
  <si>
    <t>Mvol</t>
  </si>
  <si>
    <t>EFad</t>
  </si>
  <si>
    <t>Grazing system</t>
  </si>
  <si>
    <t>Irrigated crop</t>
  </si>
  <si>
    <t>Irrigated pasture</t>
  </si>
  <si>
    <t>Non-irrigated pasture</t>
  </si>
  <si>
    <t>Non-irrigated crop (low rainfall)</t>
  </si>
  <si>
    <t>Non-irrigated crop (high rainfall)</t>
  </si>
  <si>
    <t>EN2O,ad</t>
  </si>
  <si>
    <t>EFleach</t>
  </si>
  <si>
    <t>Mvol * EFad * Cg</t>
  </si>
  <si>
    <t>N2O * 10^-3</t>
  </si>
  <si>
    <t>FracWETsoilij</t>
  </si>
  <si>
    <t>ACT</t>
  </si>
  <si>
    <t>NT average</t>
  </si>
  <si>
    <t>QLD average</t>
  </si>
  <si>
    <t>average</t>
  </si>
  <si>
    <t>FracLEACH</t>
  </si>
  <si>
    <t>Mleach</t>
  </si>
  <si>
    <t>(AUi + AFi) * FracWET,soil,i,j * FracLEACH</t>
  </si>
  <si>
    <t>Mleach * EFleach * Cg,N2O * 10^-3</t>
  </si>
  <si>
    <t>EN2Oleach</t>
  </si>
  <si>
    <t>EN2O</t>
  </si>
  <si>
    <t>EN2O,dir + EN2O,ad + EN2O,leach</t>
  </si>
  <si>
    <t>Compact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</si>
</sst>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0.0"/>
    <numFmt numFmtId="171" formatCode="0.000000"/>
  </numFmts>
  <fonts count="8" x14ac:knownFonts="1">
    <font>
      <sz val="12"/>
      <color theme="1"/>
      <name val="Aptos Narrow"/>
      <family val="2"/>
      <scheme val="minor"/>
    </font>
    <font>
      <sz val="12"/>
      <color theme="1"/>
      <name val="Helvetica"/>
      <family val="2"/>
    </font>
    <font>
      <sz val="10"/>
      <color theme="1"/>
      <name val="Helvetica"/>
      <family val="2"/>
    </font>
    <font>
      <sz val="12"/>
      <color rgb="FFE394DC"/>
      <name val="Menlo"/>
      <family val="2"/>
    </font>
    <font>
      <sz val="12"/>
      <color rgb="FF000000"/>
      <name val="Aptos Narrow"/>
      <family val="2"/>
      <scheme val="minor"/>
    </font>
    <font>
      <sz val="10"/>
      <color rgb="FF000000"/>
      <name val="Tahoma"/>
      <family val="2"/>
    </font>
    <font>
      <b/>
      <sz val="10"/>
      <color rgb="FF000000"/>
      <name val="Tahoma"/>
      <family val="2"/>
    </font>
    <font>
      <sz val="10"/>
      <color rgb="FF000000"/>
      <name val="Aptos Narrow"/>
      <scheme val="minor"/>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6">
    <xf numFmtId="0" fontId="0" fillId="0" borderId="0" xfId="0"/>
    <xf numFmtId="0" fontId="0" fillId="2" borderId="0" xfId="0" applyFill="1"/>
    <xf numFmtId="0" fontId="1" fillId="0" borderId="0" xfId="0" applyFont="1"/>
    <xf numFmtId="0" fontId="1" fillId="0" borderId="0" xfId="0" applyFont="1" applyAlignment="1"/>
    <xf numFmtId="0" fontId="2" fillId="0" borderId="0" xfId="0" applyFont="1"/>
    <xf numFmtId="16" fontId="2" fillId="0" borderId="0" xfId="0" applyNumberFormat="1" applyFont="1"/>
    <xf numFmtId="2" fontId="0" fillId="0" borderId="0" xfId="0" applyNumberFormat="1"/>
    <xf numFmtId="169" fontId="0" fillId="0" borderId="0" xfId="0" applyNumberFormat="1"/>
    <xf numFmtId="0" fontId="0" fillId="0" borderId="0" xfId="0" applyAlignment="1">
      <alignment wrapText="1"/>
    </xf>
    <xf numFmtId="0" fontId="0" fillId="3" borderId="0" xfId="0" applyFill="1"/>
    <xf numFmtId="0" fontId="4" fillId="0" borderId="0" xfId="0" applyFont="1"/>
    <xf numFmtId="0" fontId="4" fillId="0" borderId="0" xfId="0" applyNumberFormat="1" applyFont="1"/>
    <xf numFmtId="171" fontId="4" fillId="0" borderId="0" xfId="0" applyNumberFormat="1" applyFont="1"/>
    <xf numFmtId="0" fontId="0" fillId="0" borderId="0" xfId="0" applyFill="1"/>
    <xf numFmtId="3" fontId="0" fillId="0" borderId="0" xfId="0" applyNumberFormat="1"/>
    <xf numFmtId="3" fontId="3" fillId="0" borderId="0" xfId="0" applyNumberFormat="1"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EB378-B254-8645-A19B-7F7E967AA90B}">
  <dimension ref="A4:CS180"/>
  <sheetViews>
    <sheetView tabSelected="1" workbookViewId="0">
      <pane xSplit="8" ySplit="10" topLeftCell="BA11" activePane="bottomRight" state="frozenSplit"/>
      <selection pane="topRight" activeCell="J1" sqref="J1:J1048576"/>
      <selection pane="bottomLeft" activeCell="A11" sqref="A11"/>
      <selection pane="bottomRight" activeCell="BQ10" sqref="BQ10"/>
    </sheetView>
  </sheetViews>
  <sheetFormatPr baseColWidth="10" defaultRowHeight="16" x14ac:dyDescent="0.2"/>
  <cols>
    <col min="1" max="1" width="17.5" customWidth="1"/>
    <col min="2" max="2" width="20.1640625" customWidth="1"/>
    <col min="3" max="3" width="8" bestFit="1" customWidth="1"/>
    <col min="4" max="4" width="13.83203125" customWidth="1"/>
    <col min="5" max="5" width="8.5" customWidth="1"/>
    <col min="6" max="6" width="9" bestFit="1" customWidth="1"/>
    <col min="7" max="7" width="9" customWidth="1"/>
    <col min="8" max="8" width="14" bestFit="1" customWidth="1"/>
    <col min="9" max="9" width="15.83203125" customWidth="1"/>
    <col min="11" max="11" width="11.5" customWidth="1"/>
    <col min="28" max="29" width="12.1640625" bestFit="1" customWidth="1"/>
    <col min="30" max="35" width="12.1640625" customWidth="1"/>
    <col min="44" max="44" width="15.33203125" customWidth="1"/>
    <col min="76" max="76" width="13.83203125" customWidth="1"/>
    <col min="77" max="77" width="14.5" customWidth="1"/>
    <col min="79" max="85" width="14" customWidth="1"/>
    <col min="86" max="86" width="13" bestFit="1" customWidth="1"/>
    <col min="87" max="87" width="14" bestFit="1" customWidth="1"/>
    <col min="88" max="88" width="13.33203125" bestFit="1" customWidth="1"/>
    <col min="89" max="89" width="21.6640625" customWidth="1"/>
    <col min="91" max="91" width="37.83203125" customWidth="1"/>
    <col min="93" max="93" width="14.6640625" bestFit="1" customWidth="1"/>
  </cols>
  <sheetData>
    <row r="4" spans="1:95" x14ac:dyDescent="0.2">
      <c r="CF4" t="s">
        <v>169</v>
      </c>
      <c r="CI4" t="s">
        <v>195</v>
      </c>
      <c r="CJ4">
        <v>0.24</v>
      </c>
    </row>
    <row r="5" spans="1:95" x14ac:dyDescent="0.2">
      <c r="N5" t="s">
        <v>143</v>
      </c>
      <c r="S5" t="s">
        <v>0</v>
      </c>
      <c r="V5" t="s">
        <v>155</v>
      </c>
      <c r="W5" t="s">
        <v>157</v>
      </c>
      <c r="X5" t="s">
        <v>159</v>
      </c>
      <c r="Y5" t="s">
        <v>150</v>
      </c>
      <c r="Z5" t="s">
        <v>1</v>
      </c>
      <c r="AA5" t="s">
        <v>2</v>
      </c>
      <c r="AB5" t="s">
        <v>3</v>
      </c>
      <c r="AD5" t="s">
        <v>4</v>
      </c>
      <c r="AF5" t="s">
        <v>165</v>
      </c>
      <c r="AH5" t="s">
        <v>166</v>
      </c>
      <c r="BF5" t="s">
        <v>176</v>
      </c>
      <c r="BK5" t="s">
        <v>188</v>
      </c>
      <c r="BL5" t="s">
        <v>189</v>
      </c>
      <c r="BO5" t="s">
        <v>197</v>
      </c>
      <c r="BP5" t="s">
        <v>198</v>
      </c>
      <c r="BQ5" t="s">
        <v>201</v>
      </c>
      <c r="BR5" t="s">
        <v>5</v>
      </c>
      <c r="BY5" t="s">
        <v>88</v>
      </c>
      <c r="BZ5" t="s">
        <v>89</v>
      </c>
      <c r="CC5" t="s">
        <v>110</v>
      </c>
      <c r="CD5">
        <v>0.19</v>
      </c>
      <c r="CF5" t="s">
        <v>170</v>
      </c>
      <c r="CG5">
        <v>6.0000000000000001E-3</v>
      </c>
    </row>
    <row r="6" spans="1:95" x14ac:dyDescent="0.2">
      <c r="J6" t="s">
        <v>6</v>
      </c>
      <c r="M6">
        <v>593</v>
      </c>
      <c r="N6">
        <v>521</v>
      </c>
      <c r="Q6" t="s">
        <v>13</v>
      </c>
      <c r="R6" t="s">
        <v>14</v>
      </c>
      <c r="S6" t="s">
        <v>15</v>
      </c>
      <c r="T6">
        <v>590</v>
      </c>
      <c r="V6">
        <v>503</v>
      </c>
      <c r="W6">
        <v>475</v>
      </c>
      <c r="X6">
        <v>492</v>
      </c>
      <c r="Y6">
        <v>514</v>
      </c>
      <c r="Z6" t="s">
        <v>16</v>
      </c>
      <c r="AA6" t="s">
        <v>19</v>
      </c>
      <c r="AB6" t="s">
        <v>20</v>
      </c>
      <c r="AD6" t="s">
        <v>21</v>
      </c>
      <c r="AF6">
        <v>464</v>
      </c>
      <c r="AG6">
        <v>454</v>
      </c>
      <c r="AH6">
        <v>486</v>
      </c>
      <c r="AI6">
        <v>478</v>
      </c>
      <c r="AJ6" t="s">
        <v>17</v>
      </c>
      <c r="AN6">
        <v>553</v>
      </c>
      <c r="AS6" t="s">
        <v>7</v>
      </c>
      <c r="AU6" t="s">
        <v>8</v>
      </c>
      <c r="AW6" t="s">
        <v>9</v>
      </c>
      <c r="AX6" t="s">
        <v>10</v>
      </c>
      <c r="AY6" t="s">
        <v>18</v>
      </c>
      <c r="BA6">
        <v>454</v>
      </c>
      <c r="BB6">
        <v>587</v>
      </c>
      <c r="BC6">
        <v>328</v>
      </c>
      <c r="BD6">
        <v>589</v>
      </c>
      <c r="BE6">
        <v>478</v>
      </c>
      <c r="BF6">
        <v>442</v>
      </c>
      <c r="BG6" t="s">
        <v>9</v>
      </c>
      <c r="BH6">
        <v>595</v>
      </c>
      <c r="BI6">
        <v>530</v>
      </c>
      <c r="BJ6">
        <v>575</v>
      </c>
      <c r="BK6">
        <v>524</v>
      </c>
      <c r="BL6">
        <v>597</v>
      </c>
      <c r="BM6">
        <v>570</v>
      </c>
      <c r="BN6">
        <v>596</v>
      </c>
      <c r="BO6">
        <v>540</v>
      </c>
      <c r="BP6">
        <v>535</v>
      </c>
      <c r="BQ6">
        <v>436</v>
      </c>
      <c r="BR6" t="s">
        <v>22</v>
      </c>
      <c r="BX6" t="s">
        <v>84</v>
      </c>
      <c r="BY6">
        <v>0.05</v>
      </c>
      <c r="BZ6">
        <v>0</v>
      </c>
      <c r="CC6" t="s">
        <v>111</v>
      </c>
      <c r="CD6">
        <v>0.6784</v>
      </c>
      <c r="CF6" t="s">
        <v>171</v>
      </c>
      <c r="CG6">
        <v>2E-3</v>
      </c>
    </row>
    <row r="7" spans="1:95" x14ac:dyDescent="0.2">
      <c r="J7" t="s">
        <v>23</v>
      </c>
      <c r="K7" t="s">
        <v>11</v>
      </c>
      <c r="L7" t="s">
        <v>12</v>
      </c>
      <c r="M7" t="s">
        <v>24</v>
      </c>
      <c r="N7" t="s">
        <v>24</v>
      </c>
      <c r="Q7" t="s">
        <v>23</v>
      </c>
      <c r="R7" t="s">
        <v>24</v>
      </c>
      <c r="S7" t="s">
        <v>25</v>
      </c>
      <c r="T7" t="s">
        <v>24</v>
      </c>
      <c r="V7" t="s">
        <v>25</v>
      </c>
      <c r="W7" t="s">
        <v>25</v>
      </c>
      <c r="X7" t="s">
        <v>25</v>
      </c>
      <c r="Y7" t="s">
        <v>25</v>
      </c>
      <c r="Z7" t="s">
        <v>25</v>
      </c>
      <c r="AA7" t="s">
        <v>25</v>
      </c>
      <c r="AB7" t="s">
        <v>25</v>
      </c>
      <c r="AD7" t="s">
        <v>25</v>
      </c>
      <c r="AF7" t="s">
        <v>25</v>
      </c>
      <c r="AG7" t="s">
        <v>25</v>
      </c>
      <c r="AH7" t="s">
        <v>25</v>
      </c>
      <c r="AI7" t="s">
        <v>25</v>
      </c>
      <c r="AJ7" t="s">
        <v>24</v>
      </c>
      <c r="AN7" t="s">
        <v>24</v>
      </c>
      <c r="AS7" t="s">
        <v>24</v>
      </c>
      <c r="AU7" t="s">
        <v>24</v>
      </c>
      <c r="AW7" t="s">
        <v>24</v>
      </c>
      <c r="AX7" t="s">
        <v>24</v>
      </c>
      <c r="AY7" t="s">
        <v>24</v>
      </c>
      <c r="BB7" t="s">
        <v>24</v>
      </c>
      <c r="BC7" t="s">
        <v>24</v>
      </c>
      <c r="BD7" t="s">
        <v>24</v>
      </c>
      <c r="BG7" t="s">
        <v>24</v>
      </c>
      <c r="BH7" t="s">
        <v>24</v>
      </c>
      <c r="BI7" t="s">
        <v>25</v>
      </c>
      <c r="BJ7" t="s">
        <v>24</v>
      </c>
      <c r="BK7" t="s">
        <v>25</v>
      </c>
      <c r="BL7" t="s">
        <v>24</v>
      </c>
      <c r="BM7" t="s">
        <v>24</v>
      </c>
      <c r="BN7" t="s">
        <v>24</v>
      </c>
      <c r="BO7" t="s">
        <v>25</v>
      </c>
      <c r="BP7" t="s">
        <v>25</v>
      </c>
      <c r="BR7" t="s">
        <v>25</v>
      </c>
      <c r="BX7" t="s">
        <v>85</v>
      </c>
      <c r="BY7">
        <v>0.95</v>
      </c>
      <c r="BZ7">
        <v>1</v>
      </c>
      <c r="CC7" t="s">
        <v>36</v>
      </c>
      <c r="CD7">
        <v>0.16</v>
      </c>
      <c r="CF7" t="s">
        <v>173</v>
      </c>
      <c r="CG7">
        <f>44/28</f>
        <v>1.5714285714285714</v>
      </c>
    </row>
    <row r="8" spans="1:95" x14ac:dyDescent="0.2">
      <c r="K8" t="s">
        <v>24</v>
      </c>
      <c r="L8" t="s">
        <v>24</v>
      </c>
      <c r="AJ8" t="s">
        <v>23</v>
      </c>
      <c r="AN8" t="s">
        <v>23</v>
      </c>
      <c r="AS8" t="s">
        <v>23</v>
      </c>
      <c r="BB8" t="s">
        <v>23</v>
      </c>
      <c r="BJ8" t="s">
        <v>23</v>
      </c>
      <c r="BM8" t="s">
        <v>23</v>
      </c>
      <c r="CC8" t="s">
        <v>112</v>
      </c>
      <c r="CD8">
        <v>28</v>
      </c>
      <c r="CF8" t="s">
        <v>174</v>
      </c>
      <c r="CG8">
        <v>265</v>
      </c>
    </row>
    <row r="9" spans="1:95" x14ac:dyDescent="0.2">
      <c r="K9" t="s">
        <v>23</v>
      </c>
      <c r="L9" t="s">
        <v>23</v>
      </c>
      <c r="AJ9" t="s">
        <v>35</v>
      </c>
      <c r="AN9" t="s">
        <v>162</v>
      </c>
      <c r="AS9" t="s">
        <v>86</v>
      </c>
      <c r="AT9" t="s">
        <v>87</v>
      </c>
      <c r="CC9" t="s">
        <v>187</v>
      </c>
      <c r="CD9">
        <v>1.0999999999999999E-2</v>
      </c>
      <c r="CF9" t="s">
        <v>177</v>
      </c>
      <c r="CG9">
        <v>0.21</v>
      </c>
    </row>
    <row r="10" spans="1:95" x14ac:dyDescent="0.2">
      <c r="A10" t="s">
        <v>41</v>
      </c>
      <c r="B10" s="9" t="s">
        <v>98</v>
      </c>
      <c r="C10" s="9" t="s">
        <v>172</v>
      </c>
      <c r="D10" s="9" t="s">
        <v>64</v>
      </c>
      <c r="E10" s="13" t="s">
        <v>202</v>
      </c>
      <c r="F10" s="9" t="s">
        <v>58</v>
      </c>
      <c r="G10" s="9" t="s">
        <v>180</v>
      </c>
      <c r="J10" s="9" t="s">
        <v>26</v>
      </c>
      <c r="K10" t="s">
        <v>29</v>
      </c>
      <c r="L10" t="s">
        <v>30</v>
      </c>
      <c r="M10" t="s">
        <v>138</v>
      </c>
      <c r="N10" t="s">
        <v>142</v>
      </c>
      <c r="O10" s="9" t="s">
        <v>122</v>
      </c>
      <c r="P10" s="9" t="s">
        <v>137</v>
      </c>
      <c r="Q10" s="13" t="s">
        <v>31</v>
      </c>
      <c r="R10" t="s">
        <v>32</v>
      </c>
      <c r="S10" t="s">
        <v>33</v>
      </c>
      <c r="T10" t="s">
        <v>144</v>
      </c>
      <c r="U10" t="s">
        <v>153</v>
      </c>
      <c r="V10" t="s">
        <v>154</v>
      </c>
      <c r="W10" t="s">
        <v>156</v>
      </c>
      <c r="X10" t="s">
        <v>158</v>
      </c>
      <c r="Y10" t="s">
        <v>149</v>
      </c>
      <c r="Z10" t="s">
        <v>34</v>
      </c>
      <c r="AA10" t="s">
        <v>37</v>
      </c>
      <c r="AB10" t="s">
        <v>83</v>
      </c>
      <c r="AC10" t="s">
        <v>82</v>
      </c>
      <c r="AD10" t="s">
        <v>113</v>
      </c>
      <c r="AE10" t="s">
        <v>114</v>
      </c>
      <c r="AF10" t="s">
        <v>163</v>
      </c>
      <c r="AG10" t="s">
        <v>167</v>
      </c>
      <c r="AH10" t="s">
        <v>164</v>
      </c>
      <c r="AI10" t="s">
        <v>168</v>
      </c>
      <c r="AJ10" t="s">
        <v>54</v>
      </c>
      <c r="AK10" t="s">
        <v>55</v>
      </c>
      <c r="AL10" t="s">
        <v>56</v>
      </c>
      <c r="AM10" t="s">
        <v>57</v>
      </c>
      <c r="AN10" t="s">
        <v>54</v>
      </c>
      <c r="AO10" t="s">
        <v>55</v>
      </c>
      <c r="AP10" t="s">
        <v>56</v>
      </c>
      <c r="AQ10" t="s">
        <v>57</v>
      </c>
      <c r="AR10" s="9" t="s">
        <v>90</v>
      </c>
      <c r="AS10" t="s">
        <v>84</v>
      </c>
      <c r="AT10" t="s">
        <v>85</v>
      </c>
      <c r="AU10" t="s">
        <v>96</v>
      </c>
      <c r="AV10" t="s">
        <v>97</v>
      </c>
      <c r="AW10" t="s">
        <v>27</v>
      </c>
      <c r="AX10" t="s">
        <v>28</v>
      </c>
      <c r="AY10" t="s">
        <v>36</v>
      </c>
      <c r="AZ10" t="s">
        <v>38</v>
      </c>
      <c r="BA10" t="s">
        <v>167</v>
      </c>
      <c r="BB10" t="s">
        <v>169</v>
      </c>
      <c r="BC10" t="s">
        <v>173</v>
      </c>
      <c r="BD10" t="s">
        <v>174</v>
      </c>
      <c r="BE10" t="s">
        <v>168</v>
      </c>
      <c r="BF10" t="s">
        <v>175</v>
      </c>
      <c r="BG10" t="s">
        <v>39</v>
      </c>
      <c r="BH10" t="s">
        <v>177</v>
      </c>
      <c r="BI10" t="s">
        <v>178</v>
      </c>
      <c r="BJ10" t="s">
        <v>179</v>
      </c>
      <c r="BK10" t="s">
        <v>186</v>
      </c>
      <c r="BL10" t="s">
        <v>187</v>
      </c>
      <c r="BM10" t="s">
        <v>190</v>
      </c>
      <c r="BN10" t="s">
        <v>195</v>
      </c>
      <c r="BO10" t="s">
        <v>196</v>
      </c>
      <c r="BP10" t="s">
        <v>199</v>
      </c>
      <c r="BQ10" s="1" t="s">
        <v>200</v>
      </c>
      <c r="BR10" s="1" t="s">
        <v>40</v>
      </c>
    </row>
    <row r="11" spans="1:95" x14ac:dyDescent="0.2">
      <c r="A11" t="s">
        <v>52</v>
      </c>
      <c r="B11" t="s">
        <v>99</v>
      </c>
      <c r="C11" t="s">
        <v>170</v>
      </c>
      <c r="D11" t="s">
        <v>191</v>
      </c>
      <c r="E11" t="str">
        <f>IF(OR(D11="ACT", D11="NSW"), "ACT/NSW", D11)</f>
        <v>ACT/NSW</v>
      </c>
      <c r="F11" t="s">
        <v>53</v>
      </c>
      <c r="G11" t="s">
        <v>181</v>
      </c>
      <c r="H11" t="s">
        <v>42</v>
      </c>
      <c r="I11" t="s">
        <v>54</v>
      </c>
      <c r="J11">
        <v>100</v>
      </c>
      <c r="K11" cm="1">
        <f t="array" ref="K11:K14">_xlfn.XLOOKUP(H11, $CA$46:$CJ$46, $CA$47:$CJ$50)</f>
        <v>80</v>
      </c>
      <c r="L11" cm="1">
        <f t="array" ref="L11:L14">_xlfn.XLOOKUP(H11, $CA$106:$CJ$106, $CA$107:$CJ$110)</f>
        <v>0.5</v>
      </c>
      <c r="M11" cm="1">
        <f t="array" ref="M11">_xlfn.XLOOKUP(H$11,$CA$169:$CJ$169,_xlfn.XLOOKUP($E$11,$BZ$170:$BZ$176,$CA$170:$CJ$176))</f>
        <v>700</v>
      </c>
      <c r="N11">
        <f>K11/M11</f>
        <v>0.11428571428571428</v>
      </c>
      <c r="Q11">
        <v>0</v>
      </c>
      <c r="S11">
        <v>1</v>
      </c>
      <c r="T11">
        <f>VLOOKUP($F$11, $CO$17:$CQ$25, 2, FALSE)</f>
        <v>6</v>
      </c>
      <c r="U11">
        <v>0</v>
      </c>
      <c r="V11">
        <f>Q11*U11</f>
        <v>0</v>
      </c>
      <c r="W11">
        <f>0.1604 * ($AJ$11*100) - 1.037</f>
        <v>7.785000000000001</v>
      </c>
      <c r="X11">
        <f>(0.032 * V11 /6.38) + ((0.212 - 0.008 * (Y11 - 2) - ((0.14 - 0.008 * (Y11 - 2)) / (1 + EXP(-6 * N11 - 0.4)))) * (L11 * 0.92)) / 6.25</f>
        <v>8.0166871160018294E-3</v>
      </c>
      <c r="Y11">
        <f>Z11 / (1.185 + 0.00454 * K11 - 0.0000026 * K11 ^ 2 ) ^ 2 * S11</f>
        <v>1.2162479569787423</v>
      </c>
      <c r="Z11">
        <f>(1.185 + 0.00454 * K11 - 0.0000026 * K11^2 + 0.315 * L11)^2 * S11</f>
        <v>2.8529236835999998</v>
      </c>
      <c r="AA11">
        <f>(Z11 * (1 -AJ11) + (0.04 * Z11)) * ( 1 - AY$11 )</f>
        <v>1.1742633881697597</v>
      </c>
      <c r="AB11">
        <f>AA11 * AW$11 * AS$11 * AU$11 * AX$11</f>
        <v>5.5245616593758213E-5</v>
      </c>
      <c r="AC11">
        <f>AA11 * AW$11 * AT$11 * AV$11 * AX$11</f>
        <v>6.6143382058828331E-4</v>
      </c>
      <c r="AD11">
        <f>J11*AB11*91.25</f>
        <v>0.50411625141804373</v>
      </c>
      <c r="AE11">
        <f>J11*AC11*91.25</f>
        <v>6.0355836128680851</v>
      </c>
      <c r="AF11">
        <f>((0.3 * Z11 * $AN$11 * (1 - ($AJ$11 + 0.1)) + (0.105 * $W11 * $Z11 * 0.008) + (0.0152 * $Z11)) / 6.25) + (0.08 * 0.032 * $T11 / 6.38)</f>
        <v>1.5685897623246001E-2</v>
      </c>
      <c r="AG11">
        <f>J11*AF11*91.25</f>
        <v>143.13381581211976</v>
      </c>
      <c r="AH11">
        <f>(Z11 * $AN$11 / 6.25) + (0.032 * T11 / 6.38) - X11 - AF11 - ((1.1 * (10 ^ -4) * (K11 ^ 0.75)) / 6.25)</f>
        <v>3.7873411229516103E-2</v>
      </c>
      <c r="AI11">
        <f>J11*AH11*91.25</f>
        <v>345.59487746933445</v>
      </c>
      <c r="AJ11" cm="1">
        <f t="array" ref="AJ11:AM11">_xlfn.XLOOKUP(F11,$CC$18:$CC$26,$CD$18:$CG$26)</f>
        <v>0.55000000000000004</v>
      </c>
      <c r="AK11">
        <v>0.65</v>
      </c>
      <c r="AL11">
        <v>0.6</v>
      </c>
      <c r="AM11">
        <v>0.5</v>
      </c>
      <c r="AN11" cm="1">
        <f t="array" ref="AN11:AQ11">_xlfn.XLOOKUP(F11,$CC$31:$CC$39,$CD$31:$CG$39)</f>
        <v>7.0000000000000007E-2</v>
      </c>
      <c r="AO11">
        <v>0.13</v>
      </c>
      <c r="AP11">
        <v>0.1</v>
      </c>
      <c r="AQ11">
        <v>0.06</v>
      </c>
      <c r="AR11" t="s">
        <v>91</v>
      </c>
      <c r="AS11">
        <f>IF(AR11="yes", $BY$6, $BZ$6)</f>
        <v>0.05</v>
      </c>
      <c r="AT11">
        <f>IF(AR11="yes", $BY$7, $BZ$7)</f>
        <v>0.95</v>
      </c>
      <c r="AU11">
        <f>VLOOKUP(B11, $CK$17:$CL$26, 2, FALSE)</f>
        <v>7.3000000000000001E-3</v>
      </c>
      <c r="AV11">
        <f>$CL$14</f>
        <v>4.5999999999999999E-3</v>
      </c>
      <c r="AW11">
        <f>$CD$5</f>
        <v>0.19</v>
      </c>
      <c r="AX11">
        <f>$CD$6</f>
        <v>0.6784</v>
      </c>
      <c r="AY11">
        <f>$CD$7</f>
        <v>0.16</v>
      </c>
      <c r="AZ11">
        <f>SUM(AD11:AE50)</f>
        <v>521.15043311056058</v>
      </c>
      <c r="BA11">
        <f>SUM(AG11:AG50)</f>
        <v>10808.156154347584</v>
      </c>
      <c r="BB11">
        <f>IF(C11="wet",CG5,CG6)</f>
        <v>6.0000000000000001E-3</v>
      </c>
      <c r="BC11">
        <f>$CG$7</f>
        <v>1.5714285714285714</v>
      </c>
      <c r="BD11">
        <f>$CG$8</f>
        <v>265</v>
      </c>
      <c r="BE11">
        <f>SUM(AI11:AI50)</f>
        <v>19635.552284915713</v>
      </c>
      <c r="BF11">
        <f>((BA11 * BB11 * BC11) + (BE11 * BB11 * BC11)) * BD11 * (10^-3)</f>
        <v>76.065780086102151</v>
      </c>
      <c r="BG11">
        <f>$CD$8</f>
        <v>28</v>
      </c>
      <c r="BH11">
        <f>$CG$9</f>
        <v>0.21</v>
      </c>
      <c r="BI11">
        <f>(BA11+BE11)*BH11</f>
        <v>6393.1787722452918</v>
      </c>
      <c r="BJ11">
        <f>VLOOKUP(G11, CK29:CL33,2,FALSE)</f>
        <v>7.0000000000000001E-3</v>
      </c>
      <c r="BK11">
        <f>BI11*BJ11*BC11*(10^-3)</f>
        <v>7.0324966494698216E-2</v>
      </c>
      <c r="BL11">
        <f>$CD$9</f>
        <v>1.0999999999999999E-2</v>
      </c>
      <c r="BM11">
        <f>VLOOKUP(D11, CO29:CP46, 2, FALSE)</f>
        <v>0.87</v>
      </c>
      <c r="BN11">
        <f>$CJ$4</f>
        <v>0.24</v>
      </c>
      <c r="BO11">
        <f>(BE11+BA11)*BM11*BN11</f>
        <v>6356.6463221181757</v>
      </c>
      <c r="BP11">
        <f>BO11*BL11*BC11*(10^-3)</f>
        <v>0.10987917213947132</v>
      </c>
      <c r="BQ11">
        <f>BF11+BK11+BP11</f>
        <v>76.245984224736318</v>
      </c>
      <c r="BR11">
        <f>AZ11 * BG11 * 10^-3</f>
        <v>14.592212127095696</v>
      </c>
    </row>
    <row r="12" spans="1:95" x14ac:dyDescent="0.2">
      <c r="I12" t="s">
        <v>55</v>
      </c>
      <c r="J12">
        <v>110</v>
      </c>
      <c r="K12">
        <v>170</v>
      </c>
      <c r="L12">
        <v>1</v>
      </c>
      <c r="M12" cm="1">
        <f t="array" ref="M12">_xlfn.XLOOKUP(H$11,$CA$169:$CJ$169,_xlfn.XLOOKUP($E$11,$BZ$170:$BZ$176,$CA$170:$CJ$176))</f>
        <v>700</v>
      </c>
      <c r="N12">
        <f t="shared" ref="N12:N75" si="0">K12/M12</f>
        <v>0.24285714285714285</v>
      </c>
      <c r="S12">
        <v>1</v>
      </c>
      <c r="T12">
        <f>VLOOKUP($F$11, $CO$17:$CQ$25, 3, FALSE)</f>
        <v>4</v>
      </c>
      <c r="U12">
        <v>0</v>
      </c>
      <c r="V12">
        <f t="shared" ref="V12:V50" si="1">Q12*U12</f>
        <v>0</v>
      </c>
      <c r="W12">
        <f>0.1604 * ($AK$11*100) - 1.037</f>
        <v>9.3889999999999993</v>
      </c>
      <c r="X12">
        <f t="shared" ref="X12:X50" si="2">(0.032 * V12 /6.38) + ((0.212 - 0.008 * (Y12 - 2) - ((0.14 - 0.008 * (Y12 - 2)) / (1 + EXP(-6 * N12 - 0.4)))) * (L12 * 0.92)) / 6.25</f>
        <v>1.3482551826042209E-2</v>
      </c>
      <c r="Y12">
        <f t="shared" ref="Y12:Y50" si="3">Z12 / (1.185 + 0.00454 * K12 - 0.0000026 * K12 ^ 2 ) ^ 2 * S12</f>
        <v>1.3628353121567047</v>
      </c>
      <c r="Z12">
        <f t="shared" ref="Z12:Z50" si="4">(1.185 + 0.00454 * K12 - 0.0000026 * K12^2 + 0.315 * L12)^2 * S12</f>
        <v>4.8253151556000002</v>
      </c>
      <c r="AA12">
        <f>(Z12 * (1 -AK$11) + (0.04 * Z12)) * ( 1 - AY$11 )</f>
        <v>1.58077324497456</v>
      </c>
      <c r="AB12">
        <f>AA12 * AW$11 * AS$11 * AU$11 * AX$11</f>
        <v>7.4370702087247912E-5</v>
      </c>
      <c r="AC12">
        <f>AA12 * AW$11 * AT$11 * AV$11 * AX$11</f>
        <v>8.9041087156513257E-4</v>
      </c>
      <c r="AD12">
        <f>J12*AB12*91.25</f>
        <v>0.74649592220075089</v>
      </c>
      <c r="AE12">
        <f>J12*AC12*91.25</f>
        <v>8.9374991233350194</v>
      </c>
      <c r="AF12">
        <f>((0.3 * Z12 * $AO$11 * (1 - ($AK$11 + 0.1)) + (0.105 * $W12 * $Z12 * 0.008) + (0.0152 * $Z12)) / 6.25) + (0.08 * 0.032 * $T12 / 6.38)</f>
        <v>2.6956650184189166E-2</v>
      </c>
      <c r="AG12">
        <f t="shared" ref="AG12:AG50" si="5">J12*AF12*91.25</f>
        <v>270.57737622379875</v>
      </c>
      <c r="AH12">
        <f>(Z12 * $AO$11 / 6.25) + (0.032 * T12 / 6.38) - X12 - AF12 - ((1.1 * (10 ^ -4) * (K12 ^ 0.75)) / 6.25)</f>
        <v>7.916144069909424E-2</v>
      </c>
      <c r="AI12">
        <f t="shared" ref="AI12:AI50" si="6">J12*AH12*91.25</f>
        <v>794.58296101715848</v>
      </c>
    </row>
    <row r="13" spans="1:95" x14ac:dyDescent="0.2">
      <c r="I13" t="s">
        <v>56</v>
      </c>
      <c r="J13">
        <v>120</v>
      </c>
      <c r="K13">
        <v>240</v>
      </c>
      <c r="L13">
        <v>0.8</v>
      </c>
      <c r="M13" cm="1">
        <f t="array" ref="M13">_xlfn.XLOOKUP(H$11,$CA$169:$CJ$169,_xlfn.XLOOKUP($E$11,$BZ$170:$BZ$176,$CA$170:$CJ$176))</f>
        <v>700</v>
      </c>
      <c r="N13">
        <f t="shared" si="0"/>
        <v>0.34285714285714286</v>
      </c>
      <c r="S13">
        <v>1</v>
      </c>
      <c r="T13">
        <v>0</v>
      </c>
      <c r="U13">
        <v>0</v>
      </c>
      <c r="V13">
        <f t="shared" si="1"/>
        <v>0</v>
      </c>
      <c r="W13">
        <f>0.1604 * ($AL$11*100) - 1.037</f>
        <v>8.5869999999999997</v>
      </c>
      <c r="X13">
        <f t="shared" si="2"/>
        <v>9.8354564570706758E-3</v>
      </c>
      <c r="Y13">
        <f t="shared" si="3"/>
        <v>1.2512596174632808</v>
      </c>
      <c r="Z13">
        <f t="shared" si="4"/>
        <v>5.6493683855999981</v>
      </c>
      <c r="AA13">
        <f>(Z13 * (1 -AL$11) + (0.04 * Z13)) * ( 1 - AY$11 )</f>
        <v>2.0880065553177594</v>
      </c>
      <c r="AB13">
        <f>AA13 * AW$11 * AS$11 * AU$11 * AX$11</f>
        <v>9.8234527928296858E-5</v>
      </c>
      <c r="AC13">
        <f>AA13 * AW$11 * AT$11 * AV$11 * AX$11</f>
        <v>1.1761229782100196E-3</v>
      </c>
      <c r="AD13">
        <f>J13*AB13*91.25</f>
        <v>1.0756680808148507</v>
      </c>
      <c r="AE13">
        <f>J13*AC13*91.25</f>
        <v>12.878546611399717</v>
      </c>
      <c r="AF13">
        <f>((0.3 * Z13 * $AP$11 * (1 - ($AL$11 + 0.1)) + (0.105 * $W13 * $Z13 * 0.008) + (0.0152 * $Z13)) / 6.25) + (0.08 * 0.032 * $T13 / 6.38)</f>
        <v>2.839424976741178E-2</v>
      </c>
      <c r="AG13">
        <f t="shared" si="5"/>
        <v>310.91703495315897</v>
      </c>
      <c r="AH13">
        <f>(Z13 * $AP$11 / 6.25) + (0.032 * T13 / 6.38) - X13 - AF13 - ((1.1 * (10 ^ -4) * (K13 ^ 0.75)) / 6.25)</f>
        <v>5.1087011581014974E-2</v>
      </c>
      <c r="AI13">
        <f t="shared" si="6"/>
        <v>559.40277681211398</v>
      </c>
    </row>
    <row r="14" spans="1:95" x14ac:dyDescent="0.2">
      <c r="I14" t="s">
        <v>57</v>
      </c>
      <c r="J14">
        <v>130</v>
      </c>
      <c r="K14">
        <v>280</v>
      </c>
      <c r="L14">
        <v>0.4</v>
      </c>
      <c r="M14" cm="1">
        <f t="array" ref="M14">_xlfn.XLOOKUP(H$11,$CA$169:$CJ$169,_xlfn.XLOOKUP($E$11,$BZ$170:$BZ$176,$CA$170:$CJ$176))</f>
        <v>700</v>
      </c>
      <c r="N14">
        <f t="shared" si="0"/>
        <v>0.4</v>
      </c>
      <c r="S14">
        <v>1</v>
      </c>
      <c r="T14">
        <v>0</v>
      </c>
      <c r="U14">
        <v>0</v>
      </c>
      <c r="V14">
        <f t="shared" si="1"/>
        <v>0</v>
      </c>
      <c r="W14">
        <f>0.1604 * ($AM$11*100) - 1.037</f>
        <v>6.9829999999999997</v>
      </c>
      <c r="X14">
        <f t="shared" si="2"/>
        <v>4.7357910727428183E-3</v>
      </c>
      <c r="Y14">
        <f t="shared" si="3"/>
        <v>1.1150120792389542</v>
      </c>
      <c r="Z14">
        <f t="shared" si="4"/>
        <v>5.6565962895999995</v>
      </c>
      <c r="AA14">
        <f>(Z14 * (1 -AM$11) + (0.04 * Z14)) * ( 1 - AY$11 )</f>
        <v>2.5658320769625598</v>
      </c>
      <c r="AB14">
        <f>AA14 * AW$11 * AS$11 * AU$11 * AX$11</f>
        <v>1.2071480435814064E-4</v>
      </c>
      <c r="AC14">
        <f>AA14 * AW$11 * AT$11 * AV$11 * AX$11</f>
        <v>1.4452703973837659E-3</v>
      </c>
      <c r="AD14">
        <f>J14*AB14*91.25</f>
        <v>1.4319793666984433</v>
      </c>
      <c r="AE14">
        <f>J14*AC14*91.25</f>
        <v>17.144520088964921</v>
      </c>
      <c r="AF14">
        <f>((0.3 * Z14 * $AQ$11 * (1 - ($AM$11 + 0.1)) + (0.105 * $W14 * $Z14 * 0.008) + (0.0152 * $Z14)) / 6.25) + (0.08 * 0.032 * $T14 / 6.38)</f>
        <v>2.5582042699979598E-2</v>
      </c>
      <c r="AG14">
        <f t="shared" si="5"/>
        <v>303.46698152850797</v>
      </c>
      <c r="AH14">
        <f>(Z14 * $AQ$11 / 6.25) + (0.032 * T14 / 6.38) - X14 - AF14 - ((1.1 * (10 ^ -4) * (K14 ^ 0.75)) / 6.25)</f>
        <v>2.2780784280157979E-2</v>
      </c>
      <c r="AI14">
        <f t="shared" si="6"/>
        <v>270.23705352337402</v>
      </c>
      <c r="CK14" t="s">
        <v>97</v>
      </c>
      <c r="CL14">
        <v>4.5999999999999999E-3</v>
      </c>
    </row>
    <row r="15" spans="1:95" x14ac:dyDescent="0.2">
      <c r="H15" t="s">
        <v>43</v>
      </c>
      <c r="I15" t="s">
        <v>54</v>
      </c>
      <c r="J15">
        <v>50</v>
      </c>
      <c r="K15" cm="1">
        <f t="array" ref="K15:K18">_xlfn.XLOOKUP(H15, $CA$46:$CJ$46, $CA$47:$CJ$50)</f>
        <v>480</v>
      </c>
      <c r="L15" cm="1">
        <f t="array" ref="L15:L18">_xlfn.XLOOKUP(H15, $CA$106:$CJ$106, $CA$107:$CJ$110)</f>
        <v>0.2</v>
      </c>
      <c r="M15" cm="1">
        <f t="array" ref="M15">_xlfn.XLOOKUP(H$11,$CA$169:$CJ$169,_xlfn.XLOOKUP($E$11,$BZ$170:$BZ$176,$CA$170:$CJ$176))</f>
        <v>700</v>
      </c>
      <c r="N15">
        <f t="shared" si="0"/>
        <v>0.68571428571428572</v>
      </c>
      <c r="S15">
        <v>1</v>
      </c>
      <c r="T15">
        <v>0</v>
      </c>
      <c r="U15">
        <v>0</v>
      </c>
      <c r="V15">
        <f t="shared" si="1"/>
        <v>0</v>
      </c>
      <c r="W15">
        <f t="shared" ref="W15:W50" si="7">0.1604 * ($AJ$11*100) - 1.037</f>
        <v>7.785000000000001</v>
      </c>
      <c r="X15">
        <f t="shared" si="2"/>
        <v>2.1667621860574828E-3</v>
      </c>
      <c r="Y15">
        <f t="shared" si="3"/>
        <v>1.0460860709612354</v>
      </c>
      <c r="Z15">
        <f t="shared" si="4"/>
        <v>7.9984889855999999</v>
      </c>
      <c r="AA15">
        <f>(Z15 * (1 -AJ$11) + (0.04 * Z15)) * ( 1 - AY$11 )</f>
        <v>3.2921780664729599</v>
      </c>
      <c r="AB15">
        <f>AA15 * AW$11 * AS$11 * AU$11 * AX$11</f>
        <v>1.5488723318047602E-4</v>
      </c>
      <c r="AC15">
        <f>AA15 * AW$11 * AT$11 * AV$11 * AX$11</f>
        <v>1.8544033123251509E-3</v>
      </c>
      <c r="AD15">
        <f>J15*AB15*91.25</f>
        <v>0.70667300138592182</v>
      </c>
      <c r="AE15">
        <f>J15*AC15*91.25</f>
        <v>8.4607151124835003</v>
      </c>
      <c r="AF15">
        <f>((0.3 * Z15 * $AN$11 * (1 - ($AJ$11 + 0.1)) + (0.105 * $W15 * $Z15 * 0.008) + (0.0152 * $Z15)) / 6.25) + (0.08 * 0.032 * $T15 / 6.38)</f>
        <v>3.7227399279634019E-2</v>
      </c>
      <c r="AG15">
        <f t="shared" si="5"/>
        <v>169.85000921333022</v>
      </c>
      <c r="AH15">
        <f>(Z15 * $AN$11 / 6.25) + (0.032 * T15 / 6.38) - X15 - AF15 - ((1.1 * (10 ^ -4) * (K15 ^ 0.75)) / 6.25)</f>
        <v>4.8384054858010818E-2</v>
      </c>
      <c r="AI15">
        <f t="shared" si="6"/>
        <v>220.75225028967435</v>
      </c>
      <c r="CN15" t="s">
        <v>151</v>
      </c>
      <c r="CO15" t="s">
        <v>152</v>
      </c>
    </row>
    <row r="16" spans="1:95" x14ac:dyDescent="0.2">
      <c r="I16" t="s">
        <v>55</v>
      </c>
      <c r="J16">
        <v>55</v>
      </c>
      <c r="K16">
        <v>520</v>
      </c>
      <c r="L16">
        <v>0.4</v>
      </c>
      <c r="M16" cm="1">
        <f t="array" ref="M16">_xlfn.XLOOKUP(H$11,$CA$169:$CJ$169,_xlfn.XLOOKUP($E$11,$BZ$170:$BZ$176,$CA$170:$CJ$176))</f>
        <v>700</v>
      </c>
      <c r="N16">
        <f t="shared" si="0"/>
        <v>0.74285714285714288</v>
      </c>
      <c r="S16">
        <v>1</v>
      </c>
      <c r="T16">
        <v>0</v>
      </c>
      <c r="U16">
        <v>0</v>
      </c>
      <c r="V16">
        <f t="shared" si="1"/>
        <v>0</v>
      </c>
      <c r="W16">
        <f t="shared" ref="W16:W50" si="8">0.1604 * ($AK$11*100) - 1.037</f>
        <v>9.3889999999999993</v>
      </c>
      <c r="X16">
        <f t="shared" si="2"/>
        <v>4.3062412305904449E-3</v>
      </c>
      <c r="Y16">
        <f t="shared" si="3"/>
        <v>1.0906107843952688</v>
      </c>
      <c r="Z16">
        <f t="shared" si="4"/>
        <v>8.8135359375999975</v>
      </c>
      <c r="AA16">
        <f>(Z16 * (1 -AK$11) + (0.04 * Z16)) * ( 1 - AY$11 )</f>
        <v>2.8873143731577593</v>
      </c>
      <c r="AB16">
        <f>AA16 * AW$11 * AS$11 * AU$11 * AX$11</f>
        <v>1.3583959480652805E-4</v>
      </c>
      <c r="AC16">
        <f>AA16 * AW$11 * AT$11 * AV$11 * AX$11</f>
        <v>1.626353504943911E-3</v>
      </c>
      <c r="AD16">
        <f>J16*AB16*91.25</f>
        <v>0.68174496643526261</v>
      </c>
      <c r="AE16">
        <f>J16*AC16*91.25</f>
        <v>8.1622616529372536</v>
      </c>
      <c r="AF16">
        <f>((0.3 * Z16 * $AO$11 * (1 - ($AK$11 + 0.1)) + (0.105 * $W16 * $Z16 * 0.008) + (0.0152 * $Z16)) / 6.25) + (0.08 * 0.032 * $T16 / 6.38)</f>
        <v>4.6305274293495381E-2</v>
      </c>
      <c r="AG16">
        <f t="shared" si="5"/>
        <v>232.39459536047994</v>
      </c>
      <c r="AH16">
        <f>(Z16 * $AO$11 / 6.25) + (0.032 * T16 / 6.38) - X16 - AF16 - ((1.1 * (10 ^ -4) * (K16 ^ 0.75)) / 6.25)</f>
        <v>0.13079350394724198</v>
      </c>
      <c r="AI16">
        <f t="shared" si="6"/>
        <v>656.41989793522077</v>
      </c>
      <c r="CB16" t="s">
        <v>61</v>
      </c>
      <c r="CK16" t="s">
        <v>96</v>
      </c>
      <c r="CN16" t="s">
        <v>145</v>
      </c>
      <c r="CO16" t="s">
        <v>146</v>
      </c>
      <c r="CP16" t="s">
        <v>147</v>
      </c>
      <c r="CQ16" t="s">
        <v>148</v>
      </c>
    </row>
    <row r="17" spans="8:95" x14ac:dyDescent="0.2">
      <c r="I17" t="s">
        <v>56</v>
      </c>
      <c r="J17">
        <v>60</v>
      </c>
      <c r="K17">
        <v>550</v>
      </c>
      <c r="L17">
        <v>0.3</v>
      </c>
      <c r="M17" cm="1">
        <f t="array" ref="M17">_xlfn.XLOOKUP(H$11,$CA$169:$CJ$169,_xlfn.XLOOKUP($E$11,$BZ$170:$BZ$176,$CA$170:$CJ$176))</f>
        <v>700</v>
      </c>
      <c r="N17">
        <f t="shared" si="0"/>
        <v>0.7857142857142857</v>
      </c>
      <c r="S17">
        <v>1</v>
      </c>
      <c r="T17">
        <v>0</v>
      </c>
      <c r="U17">
        <v>0</v>
      </c>
      <c r="V17">
        <f t="shared" si="1"/>
        <v>0</v>
      </c>
      <c r="W17">
        <f t="shared" ref="W17:W50" si="9">0.1604 * ($AL$11*100) - 1.037</f>
        <v>8.5869999999999997</v>
      </c>
      <c r="X17">
        <f t="shared" si="2"/>
        <v>3.2184265008042582E-3</v>
      </c>
      <c r="Y17">
        <f t="shared" si="3"/>
        <v>1.0663388645663703</v>
      </c>
      <c r="Z17">
        <f t="shared" si="4"/>
        <v>8.940100000000001</v>
      </c>
      <c r="AA17">
        <f>(Z17 * (1 -AL$11) + (0.04 * Z17)) * ( 1 - AY$11 )</f>
        <v>3.3042609600000006</v>
      </c>
      <c r="AB17">
        <f>AA17 * AW$11 * AS$11 * AU$11 * AX$11</f>
        <v>1.5545569755555841E-4</v>
      </c>
      <c r="AC17">
        <f>AA17 * AW$11 * AT$11 * AV$11 * AX$11</f>
        <v>1.8612093104596994E-3</v>
      </c>
      <c r="AD17">
        <f>J17*AB17*91.25</f>
        <v>0.85111994411668224</v>
      </c>
      <c r="AE17">
        <f>J17*AC17*91.25</f>
        <v>10.190120974766854</v>
      </c>
      <c r="AF17">
        <f>((0.3 * Z17 * $AP$11 * (1 - ($AL$11 + 0.1)) + (0.105 * $W17 * $Z17 * 0.008) + (0.0152 * $Z17)) / 6.25) + (0.08 * 0.032 * $T17 / 6.38)</f>
        <v>4.4933772241280007E-2</v>
      </c>
      <c r="AG17">
        <f t="shared" si="5"/>
        <v>246.01240302100803</v>
      </c>
      <c r="AH17">
        <f>(Z17 * $AP$11 / 6.25) + (0.032 * T17 / 6.38) - X17 - AF17 - ((1.1 * (10 ^ -4) * (K17 ^ 0.75)) / 6.25)</f>
        <v>9.2890530636577803E-2</v>
      </c>
      <c r="AI17">
        <f t="shared" si="6"/>
        <v>508.57565523526353</v>
      </c>
      <c r="CD17" s="2" t="s">
        <v>54</v>
      </c>
      <c r="CE17" s="2" t="s">
        <v>55</v>
      </c>
      <c r="CF17" t="s">
        <v>56</v>
      </c>
      <c r="CG17" t="s">
        <v>57</v>
      </c>
      <c r="CK17" t="s">
        <v>106</v>
      </c>
      <c r="CL17">
        <v>6.0000000000000001E-3</v>
      </c>
      <c r="CO17" t="s">
        <v>53</v>
      </c>
      <c r="CP17" s="2">
        <v>6</v>
      </c>
      <c r="CQ17" s="2">
        <v>4</v>
      </c>
    </row>
    <row r="18" spans="8:95" x14ac:dyDescent="0.2">
      <c r="I18" t="s">
        <v>57</v>
      </c>
      <c r="J18">
        <v>65</v>
      </c>
      <c r="K18">
        <v>560</v>
      </c>
      <c r="L18">
        <v>0.1</v>
      </c>
      <c r="M18" cm="1">
        <f t="array" ref="M18">_xlfn.XLOOKUP(H$11,$CA$169:$CJ$169,_xlfn.XLOOKUP($E$11,$BZ$170:$BZ$176,$CA$170:$CJ$176))</f>
        <v>700</v>
      </c>
      <c r="N18">
        <f t="shared" si="0"/>
        <v>0.8</v>
      </c>
      <c r="S18">
        <v>1</v>
      </c>
      <c r="T18">
        <v>0</v>
      </c>
      <c r="U18">
        <v>0</v>
      </c>
      <c r="V18">
        <f t="shared" si="1"/>
        <v>0</v>
      </c>
      <c r="W18">
        <f t="shared" ref="W18:W50" si="10">0.1604 * ($AM$11*100) - 1.037</f>
        <v>6.9829999999999997</v>
      </c>
      <c r="X18">
        <f t="shared" si="2"/>
        <v>1.071778178524028E-3</v>
      </c>
      <c r="Y18">
        <f t="shared" si="3"/>
        <v>1.0217513291410167</v>
      </c>
      <c r="Z18">
        <f t="shared" si="4"/>
        <v>8.6644277315999982</v>
      </c>
      <c r="AA18">
        <f>(Z18 * (1 -AM$11) + (0.04 * Z18)) * ( 1 - AY$11 )</f>
        <v>3.9301844190537589</v>
      </c>
      <c r="AB18">
        <f>AA18 * AW$11 * AS$11 * AU$11 * AX$11</f>
        <v>1.8490354357059897E-4</v>
      </c>
      <c r="AC18">
        <f>AA18 * AW$11 * AT$11 * AV$11 * AX$11</f>
        <v>2.2137766723384039E-3</v>
      </c>
      <c r="AD18">
        <f>J18*AB18*91.25</f>
        <v>1.096709142803115</v>
      </c>
      <c r="AE18">
        <f>J18*AC18*91.25</f>
        <v>13.130462887807159</v>
      </c>
      <c r="AF18">
        <f>((0.3 * Z18 * $AQ$11 * (1 - ($AM$11 + 0.1)) + (0.105 * $W18 * $Z18 * 0.008) + (0.0152 * $Z18)) / 6.25) + (0.08 * 0.032 * $T18 / 6.38)</f>
        <v>3.9185006115462516E-2</v>
      </c>
      <c r="AG18">
        <f t="shared" si="5"/>
        <v>232.41606752233704</v>
      </c>
      <c r="AH18">
        <f>(Z18 * $AQ$11 / 6.25) + (0.032 * T18 / 6.38) - X18 - AF18 - ((1.1 * (10 ^ -4) * (K18 ^ 0.75)) / 6.25)</f>
        <v>4.0895655465287679E-2</v>
      </c>
      <c r="AI18">
        <f t="shared" si="6"/>
        <v>242.56235647848754</v>
      </c>
      <c r="CC18" t="s">
        <v>53</v>
      </c>
      <c r="CD18" s="2">
        <v>0.55000000000000004</v>
      </c>
      <c r="CE18" s="2">
        <v>0.65</v>
      </c>
      <c r="CF18">
        <v>0.6</v>
      </c>
      <c r="CG18">
        <v>0.5</v>
      </c>
      <c r="CK18" t="s">
        <v>107</v>
      </c>
      <c r="CL18">
        <v>6.7000000000000002E-3</v>
      </c>
      <c r="CO18" t="s">
        <v>73</v>
      </c>
      <c r="CP18" s="2">
        <v>4</v>
      </c>
      <c r="CQ18" s="2">
        <v>3</v>
      </c>
    </row>
    <row r="19" spans="8:95" x14ac:dyDescent="0.2">
      <c r="H19" t="s">
        <v>44</v>
      </c>
      <c r="I19" t="s">
        <v>54</v>
      </c>
      <c r="J19">
        <v>200</v>
      </c>
      <c r="K19" cm="1">
        <f t="array" ref="K19:K22">_xlfn.XLOOKUP(H19, $CA$46:$CJ$46, $CA$47:$CJ$50)</f>
        <v>75</v>
      </c>
      <c r="L19" cm="1">
        <f t="array" ref="L19:L22">_xlfn.XLOOKUP(H19, $CA$106:$CJ$106, $CA$107:$CJ$110)</f>
        <v>0.5</v>
      </c>
      <c r="M19" cm="1">
        <f t="array" ref="M19">_xlfn.XLOOKUP(H$11,$CA$169:$CJ$169,_xlfn.XLOOKUP($E$11,$BZ$170:$BZ$176,$CA$170:$CJ$176))</f>
        <v>700</v>
      </c>
      <c r="N19">
        <f t="shared" si="0"/>
        <v>0.10714285714285714</v>
      </c>
      <c r="S19">
        <v>1</v>
      </c>
      <c r="T19">
        <f>VLOOKUP($F$11, $CO$17:$CQ$25, 2, FALSE)</f>
        <v>6</v>
      </c>
      <c r="U19">
        <v>0</v>
      </c>
      <c r="V19">
        <f t="shared" si="1"/>
        <v>0</v>
      </c>
      <c r="W19">
        <f t="shared" ref="W19:W50" si="11">0.1604 * ($AJ$11*100) - 1.037</f>
        <v>7.785000000000001</v>
      </c>
      <c r="X19">
        <f t="shared" si="2"/>
        <v>8.104195644730295E-3</v>
      </c>
      <c r="Y19">
        <f t="shared" si="3"/>
        <v>1.2193553180247376</v>
      </c>
      <c r="Z19">
        <f t="shared" si="4"/>
        <v>2.7834751406249998</v>
      </c>
      <c r="AA19">
        <f>(Z19 * (1 -AJ$11) + (0.04 * Z19)) * ( 1 - AY$11 )</f>
        <v>1.1456783678812499</v>
      </c>
      <c r="AB19">
        <f>AA19 * AW$11 * AS$11 * AU$11 * AX$11</f>
        <v>5.390077600084388E-5</v>
      </c>
      <c r="AC19">
        <f>AA19 * AW$11 * AT$11 * AV$11 * AX$11</f>
        <v>6.4533257842106233E-4</v>
      </c>
      <c r="AD19">
        <f>J19*AB19*91.25</f>
        <v>0.98368916201540069</v>
      </c>
      <c r="AE19">
        <f>J19*AC19*91.25</f>
        <v>11.777319556184386</v>
      </c>
      <c r="AF19">
        <f>((0.3 * Z19 * $AN$11 * (1 - ($AJ$11 + 0.1)) + (0.105 * $W19 * $Z19 * 0.008) + (0.0152 * $Z19)) / 6.25) + (0.08 * 0.032 * $T19 / 6.38)</f>
        <v>1.5362662991883286E-2</v>
      </c>
      <c r="AG19">
        <f t="shared" si="5"/>
        <v>280.36859960186996</v>
      </c>
      <c r="AH19">
        <f>(Z19 * $AN$11 / 6.25) + (0.032 * T19 / 6.38) - X19 - AF19 - ((1.1 * (10 ^ -4) * (K19 ^ 0.75)) / 6.25)</f>
        <v>3.7353559144894112E-2</v>
      </c>
      <c r="AI19">
        <f t="shared" si="6"/>
        <v>681.70245439431756</v>
      </c>
      <c r="CC19" t="s">
        <v>73</v>
      </c>
      <c r="CD19" s="2">
        <v>0.55000000000000004</v>
      </c>
      <c r="CE19" s="2">
        <v>0.61</v>
      </c>
      <c r="CF19" s="2">
        <v>0.56999999999999995</v>
      </c>
      <c r="CG19">
        <v>0.54</v>
      </c>
      <c r="CK19" t="s">
        <v>100</v>
      </c>
      <c r="CL19">
        <v>5.0000000000000001E-3</v>
      </c>
      <c r="CO19" t="s">
        <v>92</v>
      </c>
      <c r="CP19" s="2">
        <v>4</v>
      </c>
      <c r="CQ19" s="2">
        <v>3</v>
      </c>
    </row>
    <row r="20" spans="8:95" x14ac:dyDescent="0.2">
      <c r="I20" t="s">
        <v>55</v>
      </c>
      <c r="J20">
        <v>130</v>
      </c>
      <c r="K20">
        <v>160</v>
      </c>
      <c r="L20">
        <v>0.9</v>
      </c>
      <c r="M20" cm="1">
        <f t="array" ref="M20">_xlfn.XLOOKUP(H$11,$CA$169:$CJ$169,_xlfn.XLOOKUP($E$11,$BZ$170:$BZ$176,$CA$170:$CJ$176))</f>
        <v>700</v>
      </c>
      <c r="N20">
        <f t="shared" si="0"/>
        <v>0.22857142857142856</v>
      </c>
      <c r="S20">
        <v>1</v>
      </c>
      <c r="T20">
        <f>VLOOKUP($F$11, $CO$17:$CQ$25, 3, FALSE)</f>
        <v>4</v>
      </c>
      <c r="U20">
        <v>0</v>
      </c>
      <c r="V20">
        <f t="shared" si="1"/>
        <v>0</v>
      </c>
      <c r="W20">
        <f t="shared" ref="W20:W50" si="12">0.1604 * ($AK$11*100) - 1.037</f>
        <v>9.3889999999999993</v>
      </c>
      <c r="X20">
        <f t="shared" si="2"/>
        <v>1.2337744075200791E-2</v>
      </c>
      <c r="Y20">
        <f t="shared" si="3"/>
        <v>1.3309587678069252</v>
      </c>
      <c r="Z20">
        <f t="shared" si="4"/>
        <v>4.5298311556000002</v>
      </c>
      <c r="AA20">
        <f>(Z20 * (1 -AK$11) + (0.04 * Z20)) * ( 1 - AY$11 )</f>
        <v>1.4839726865745599</v>
      </c>
      <c r="AB20">
        <f>AA20 * AW$11 * AS$11 * AU$11 * AX$11</f>
        <v>6.9816522344180778E-5</v>
      </c>
      <c r="AC20">
        <f>AA20 * AW$11 * AT$11 * AV$11 * AX$11</f>
        <v>8.3588548669608228E-4</v>
      </c>
      <c r="AD20">
        <f>J20*AB20*91.25</f>
        <v>0.82819849630784437</v>
      </c>
      <c r="AE20">
        <f>J20*AC20*91.25</f>
        <v>9.9156915859322758</v>
      </c>
      <c r="AF20">
        <f>((0.3 * Z20 * $AO$11 * (1 - ($AK$11 + 0.1)) + (0.105 * $W20 * $Z20 * 0.008) + (0.0152 * $Z20)) / 6.25) + (0.08 * 0.032 * $T20 / 6.38)</f>
        <v>2.5404212233494764E-2</v>
      </c>
      <c r="AG20">
        <f t="shared" si="5"/>
        <v>301.35746761983165</v>
      </c>
      <c r="AH20">
        <f>(Z20 * $AO$11 / 6.25) + (0.032 * T20 / 6.38) - X20 - AF20 - ((1.1 * (10 ^ -4) * (K20 ^ 0.75)) / 6.25)</f>
        <v>7.5749451066681336E-2</v>
      </c>
      <c r="AI20">
        <f t="shared" si="6"/>
        <v>898.57786327850727</v>
      </c>
      <c r="CC20" t="s">
        <v>92</v>
      </c>
      <c r="CD20" s="2">
        <v>0.53</v>
      </c>
      <c r="CE20" s="2">
        <v>0.56999999999999995</v>
      </c>
      <c r="CF20" s="2">
        <v>0.55000000000000004</v>
      </c>
      <c r="CG20">
        <v>0.51</v>
      </c>
      <c r="CK20" t="s">
        <v>101</v>
      </c>
      <c r="CL20">
        <v>4.8999999999999998E-3</v>
      </c>
      <c r="CO20" t="s">
        <v>93</v>
      </c>
      <c r="CP20" s="2">
        <v>6</v>
      </c>
      <c r="CQ20" s="2">
        <v>4</v>
      </c>
    </row>
    <row r="21" spans="8:95" x14ac:dyDescent="0.2">
      <c r="I21" t="s">
        <v>56</v>
      </c>
      <c r="J21">
        <v>250</v>
      </c>
      <c r="K21">
        <v>220</v>
      </c>
      <c r="L21">
        <v>0.7</v>
      </c>
      <c r="M21" cm="1">
        <f t="array" ref="M21">_xlfn.XLOOKUP(H$11,$CA$169:$CJ$169,_xlfn.XLOOKUP($E$11,$BZ$170:$BZ$176,$CA$170:$CJ$176))</f>
        <v>700</v>
      </c>
      <c r="N21">
        <f t="shared" si="0"/>
        <v>0.31428571428571428</v>
      </c>
      <c r="S21">
        <v>1</v>
      </c>
      <c r="T21">
        <v>0</v>
      </c>
      <c r="U21">
        <v>0</v>
      </c>
      <c r="V21">
        <f t="shared" si="1"/>
        <v>0</v>
      </c>
      <c r="W21">
        <f t="shared" ref="W21:W50" si="13">0.1604 * ($AL$11*100) - 1.037</f>
        <v>8.5869999999999997</v>
      </c>
      <c r="X21">
        <f t="shared" si="2"/>
        <v>8.8094662341313065E-3</v>
      </c>
      <c r="Y21">
        <f t="shared" si="3"/>
        <v>1.2257699173903274</v>
      </c>
      <c r="Z21">
        <f t="shared" si="4"/>
        <v>5.1913799715999973</v>
      </c>
      <c r="AA21">
        <f>(Z21 * (1 -AL$11) + (0.04 * Z21)) * ( 1 - AY$11 )</f>
        <v>1.918734037503359</v>
      </c>
      <c r="AB21">
        <f>AA21 * AW$11 * AS$11 * AU$11 * AX$11</f>
        <v>9.0270757011782037E-5</v>
      </c>
      <c r="AC21">
        <f>AA21 * AW$11 * AT$11 * AV$11 * AX$11</f>
        <v>1.0807759127164039E-3</v>
      </c>
      <c r="AD21">
        <f>J21*AB21*91.25</f>
        <v>2.0593016443312777</v>
      </c>
      <c r="AE21">
        <f>J21*AC21*91.25</f>
        <v>24.655200508842963</v>
      </c>
      <c r="AF21">
        <f>((0.3 * Z21 * $AP$11 * (1 - ($AL$11 + 0.1)) + (0.105 * $W21 * $Z21 * 0.008) + (0.0152 * $Z21)) / 6.25) + (0.08 * 0.032 * $T21 / 6.38)</f>
        <v>2.609235749732295E-2</v>
      </c>
      <c r="AG21">
        <f t="shared" si="5"/>
        <v>595.23190540767985</v>
      </c>
      <c r="AH21">
        <f>(Z21 * $AP$11 / 6.25) + (0.032 * T21 / 6.38) - X21 - AF21 - ((1.1 * (10 ^ -4) * (K21 ^ 0.75)) / 6.25)</f>
        <v>4.715487711779312E-2</v>
      </c>
      <c r="AI21">
        <f t="shared" si="6"/>
        <v>1075.7206342496556</v>
      </c>
      <c r="CC21" t="s">
        <v>93</v>
      </c>
      <c r="CD21" s="2">
        <v>0.7</v>
      </c>
      <c r="CE21" s="2">
        <v>0.55000000000000004</v>
      </c>
      <c r="CF21" s="2">
        <v>0.55000000000000004</v>
      </c>
      <c r="CG21">
        <v>0.75</v>
      </c>
      <c r="CK21" t="s">
        <v>108</v>
      </c>
      <c r="CL21">
        <v>7.3000000000000001E-3</v>
      </c>
      <c r="CO21" t="s">
        <v>94</v>
      </c>
      <c r="CP21" s="2">
        <v>6</v>
      </c>
      <c r="CQ21" s="2">
        <v>4</v>
      </c>
    </row>
    <row r="22" spans="8:95" x14ac:dyDescent="0.2">
      <c r="I22" t="s">
        <v>57</v>
      </c>
      <c r="J22">
        <v>150</v>
      </c>
      <c r="K22">
        <v>260</v>
      </c>
      <c r="L22">
        <v>0.4</v>
      </c>
      <c r="M22" cm="1">
        <f t="array" ref="M22">_xlfn.XLOOKUP(H$11,$CA$169:$CJ$169,_xlfn.XLOOKUP($E$11,$BZ$170:$BZ$176,$CA$170:$CJ$176))</f>
        <v>700</v>
      </c>
      <c r="N22">
        <f t="shared" si="0"/>
        <v>0.37142857142857144</v>
      </c>
      <c r="S22">
        <v>1</v>
      </c>
      <c r="T22">
        <v>0</v>
      </c>
      <c r="U22">
        <v>0</v>
      </c>
      <c r="V22">
        <f t="shared" si="1"/>
        <v>0</v>
      </c>
      <c r="W22">
        <f t="shared" ref="W22:W50" si="14">0.1604 * ($AM$11*100) - 1.037</f>
        <v>6.9829999999999997</v>
      </c>
      <c r="X22">
        <f t="shared" si="2"/>
        <v>4.8222663042772011E-3</v>
      </c>
      <c r="Y22">
        <f t="shared" si="3"/>
        <v>1.1183986897081921</v>
      </c>
      <c r="Z22">
        <f t="shared" si="4"/>
        <v>5.3621886096000004</v>
      </c>
      <c r="AA22">
        <f>(Z22 * (1 -AM$11) + (0.04 * Z22)) * ( 1 - AY$11 )</f>
        <v>2.4322887533145603</v>
      </c>
      <c r="AB22">
        <f>AA22 * AW$11 * AS$11 * AU$11 * AX$11</f>
        <v>1.1443198626874025E-4</v>
      </c>
      <c r="AC22">
        <f>AA22 * AW$11 * AT$11 * AV$11 * AX$11</f>
        <v>1.3700487123134107E-3</v>
      </c>
      <c r="AD22">
        <f>J22*AB22*91.25</f>
        <v>1.5662878120533821</v>
      </c>
      <c r="AE22">
        <f>J22*AC22*91.25</f>
        <v>18.75254174978981</v>
      </c>
      <c r="AF22">
        <f>((0.3 * Z22 * $AQ$11 * (1 - ($AM$11 + 0.1)) + (0.105 * $W22 * $Z22 * 0.008) + (0.0152 * $Z22)) / 6.25) + (0.08 * 0.032 * $T22 / 6.38)</f>
        <v>2.4250579492182869E-2</v>
      </c>
      <c r="AG22">
        <f t="shared" si="5"/>
        <v>331.92980679925302</v>
      </c>
      <c r="AH22">
        <f>(Z22 * $AQ$11 / 6.25) + (0.032 * T22 / 6.38) - X22 - AF22 - ((1.1 * (10 ^ -4) * (K22 ^ 0.75)) / 6.25)</f>
        <v>2.126459047056365E-2</v>
      </c>
      <c r="AI22">
        <f t="shared" si="6"/>
        <v>291.05908206583996</v>
      </c>
      <c r="CC22" t="s">
        <v>94</v>
      </c>
      <c r="CD22" s="2">
        <v>0.75</v>
      </c>
      <c r="CE22" s="2">
        <v>0.6</v>
      </c>
      <c r="CF22" s="2">
        <v>0.7</v>
      </c>
      <c r="CG22">
        <v>0.75</v>
      </c>
      <c r="CK22" t="s">
        <v>109</v>
      </c>
      <c r="CL22">
        <v>7.6E-3</v>
      </c>
      <c r="CO22" t="s">
        <v>95</v>
      </c>
      <c r="CP22" s="2">
        <v>6</v>
      </c>
      <c r="CQ22" s="2">
        <v>4</v>
      </c>
    </row>
    <row r="23" spans="8:95" x14ac:dyDescent="0.2">
      <c r="H23" t="s">
        <v>45</v>
      </c>
      <c r="I23" t="s">
        <v>54</v>
      </c>
      <c r="J23">
        <v>20</v>
      </c>
      <c r="K23" cm="1">
        <f t="array" ref="K23:K26">_xlfn.XLOOKUP(H23, $CA$46:$CJ$46, $CA$47:$CJ$50)</f>
        <v>300</v>
      </c>
      <c r="L23" cm="1">
        <f t="array" ref="L23:L26">_xlfn.XLOOKUP(H23, $CA$106:$CJ$106, $CA$107:$CJ$110)</f>
        <v>0.4</v>
      </c>
      <c r="M23" cm="1">
        <f t="array" ref="M23">_xlfn.XLOOKUP(H$11,$CA$169:$CJ$169,_xlfn.XLOOKUP($E$11,$BZ$170:$BZ$176,$CA$170:$CJ$176))</f>
        <v>700</v>
      </c>
      <c r="N23">
        <f t="shared" si="0"/>
        <v>0.42857142857142855</v>
      </c>
      <c r="S23">
        <v>1</v>
      </c>
      <c r="T23">
        <v>0</v>
      </c>
      <c r="U23">
        <v>0</v>
      </c>
      <c r="V23">
        <f t="shared" si="1"/>
        <v>0</v>
      </c>
      <c r="W23">
        <f t="shared" ref="W23:W50" si="15">0.1604 * ($AJ$11*100) - 1.037</f>
        <v>7.785000000000001</v>
      </c>
      <c r="X23">
        <f t="shared" si="2"/>
        <v>4.6614659147882417E-3</v>
      </c>
      <c r="Y23">
        <f t="shared" si="3"/>
        <v>1.1119169101727504</v>
      </c>
      <c r="Z23">
        <f t="shared" si="4"/>
        <v>5.9487209999999981</v>
      </c>
      <c r="AA23">
        <f>(Z23 * (1 -AJ$11) + (0.04 * Z23)) * ( 1 - AY$11 )</f>
        <v>2.4484935635999991</v>
      </c>
      <c r="AB23">
        <f>AA23 * AW$11 * AS$11 * AU$11 * AX$11</f>
        <v>1.1519437462643171E-4</v>
      </c>
      <c r="AC23">
        <f>AA23 * AW$11 * AT$11 * AV$11 * AX$11</f>
        <v>1.3791764852534424E-3</v>
      </c>
      <c r="AD23">
        <f>J23*AB23*91.25</f>
        <v>0.21022973369323789</v>
      </c>
      <c r="AE23">
        <f>J23*AC23*91.25</f>
        <v>2.5169970855875325</v>
      </c>
      <c r="AF23">
        <f>((0.3 * Z23 * $AN$11 * (1 - ($AJ$11 + 0.1)) + (0.105 * $W23 * $Z23 * 0.008) + (0.0152 * $Z23)) / 6.25) + (0.08 * 0.032 * $T23 / 6.38)</f>
        <v>2.7687155945183992E-2</v>
      </c>
      <c r="AG23">
        <f t="shared" si="5"/>
        <v>50.529059599960789</v>
      </c>
      <c r="AH23">
        <f>(Z23 * $AN$11 / 6.25) + (0.032 * T23 / 6.38) - X23 - AF23 - ((1.1 * (10 ^ -4) * (K23 ^ 0.75)) / 6.25)</f>
        <v>3.3008368913364602E-2</v>
      </c>
      <c r="AI23">
        <f t="shared" si="6"/>
        <v>60.240273266890405</v>
      </c>
      <c r="CC23" t="s">
        <v>95</v>
      </c>
      <c r="CD23" s="2">
        <v>0.8</v>
      </c>
      <c r="CE23" s="2">
        <v>0.55000000000000004</v>
      </c>
      <c r="CF23" s="2">
        <v>0.6</v>
      </c>
      <c r="CG23">
        <v>0.76</v>
      </c>
      <c r="CK23" t="s">
        <v>102</v>
      </c>
      <c r="CL23">
        <v>7.6E-3</v>
      </c>
      <c r="CN23" t="s">
        <v>65</v>
      </c>
      <c r="CO23" t="s">
        <v>62</v>
      </c>
      <c r="CP23" s="2">
        <v>6</v>
      </c>
      <c r="CQ23" s="2">
        <v>4</v>
      </c>
    </row>
    <row r="24" spans="8:95" x14ac:dyDescent="0.2">
      <c r="I24" t="s">
        <v>55</v>
      </c>
      <c r="J24">
        <v>30</v>
      </c>
      <c r="K24">
        <v>360</v>
      </c>
      <c r="L24">
        <v>0.7</v>
      </c>
      <c r="M24" cm="1">
        <f t="array" ref="M24">_xlfn.XLOOKUP(H$11,$CA$169:$CJ$169,_xlfn.XLOOKUP($E$11,$BZ$170:$BZ$176,$CA$170:$CJ$176))</f>
        <v>700</v>
      </c>
      <c r="N24">
        <f t="shared" si="0"/>
        <v>0.51428571428571423</v>
      </c>
      <c r="S24">
        <v>1</v>
      </c>
      <c r="T24">
        <v>0</v>
      </c>
      <c r="U24">
        <v>0</v>
      </c>
      <c r="V24">
        <f t="shared" si="1"/>
        <v>0</v>
      </c>
      <c r="W24">
        <f t="shared" ref="W24:W50" si="16">0.1604 * ($AK$11*100) - 1.037</f>
        <v>9.3889999999999993</v>
      </c>
      <c r="X24">
        <f t="shared" si="2"/>
        <v>7.867584026506837E-3</v>
      </c>
      <c r="Y24">
        <f t="shared" si="3"/>
        <v>1.1855374831795669</v>
      </c>
      <c r="Z24">
        <f t="shared" si="4"/>
        <v>7.3058846435999998</v>
      </c>
      <c r="AA24">
        <f>(Z24 * (1 -AK$11) + (0.04 * Z24)) * ( 1 - AY$11 )</f>
        <v>2.3934078092433602</v>
      </c>
      <c r="AB24">
        <f>AA24 * AW$11 * AS$11 * AU$11 * AX$11</f>
        <v>1.1260275293778476E-4</v>
      </c>
      <c r="AC24">
        <f>AA24 * AW$11 * AT$11 * AV$11 * AX$11</f>
        <v>1.3481480283236143E-3</v>
      </c>
      <c r="AD24">
        <f>J24*AB24*91.25</f>
        <v>0.30825003616718577</v>
      </c>
      <c r="AE24">
        <f>J24*AC24*91.25</f>
        <v>3.6905552275358939</v>
      </c>
      <c r="AF24">
        <f>((0.3 * Z24 * $AO$11 * (1 - ($AK$11 + 0.1)) + (0.105 * $W24 * $Z24 * 0.008) + (0.0152 * $Z24)) / 6.25) + (0.08 * 0.032 * $T24 / 6.38)</f>
        <v>3.8384252900732593E-2</v>
      </c>
      <c r="AG24">
        <f t="shared" si="5"/>
        <v>105.07689231575549</v>
      </c>
      <c r="AH24">
        <f>(Z24 * $AO$11 / 6.25) + (0.032 * T24 / 6.38) - X24 - AF24 - ((1.1 * (10 ^ -4) * (K24 ^ 0.75)) / 6.25)</f>
        <v>0.10425597719039588</v>
      </c>
      <c r="AI24">
        <f t="shared" si="6"/>
        <v>285.40073755870873</v>
      </c>
      <c r="CB24" t="s">
        <v>65</v>
      </c>
      <c r="CC24" t="s">
        <v>62</v>
      </c>
      <c r="CD24" s="2">
        <v>0.8</v>
      </c>
      <c r="CE24" s="2">
        <v>0.57999999999999996</v>
      </c>
      <c r="CF24" s="2">
        <v>0.5</v>
      </c>
      <c r="CG24">
        <v>0.75</v>
      </c>
      <c r="CK24" t="s">
        <v>103</v>
      </c>
      <c r="CL24">
        <v>8.0000000000000002E-3</v>
      </c>
      <c r="CN24" t="s">
        <v>65</v>
      </c>
      <c r="CO24" t="s">
        <v>63</v>
      </c>
      <c r="CP24" s="2">
        <v>4</v>
      </c>
      <c r="CQ24" s="2">
        <v>3</v>
      </c>
    </row>
    <row r="25" spans="8:95" x14ac:dyDescent="0.2">
      <c r="I25" t="s">
        <v>56</v>
      </c>
      <c r="J25">
        <v>60</v>
      </c>
      <c r="K25">
        <v>390</v>
      </c>
      <c r="L25">
        <v>0.3</v>
      </c>
      <c r="M25" cm="1">
        <f t="array" ref="M25">_xlfn.XLOOKUP(H$11,$CA$169:$CJ$169,_xlfn.XLOOKUP($E$11,$BZ$170:$BZ$176,$CA$170:$CJ$176))</f>
        <v>700</v>
      </c>
      <c r="N25">
        <f t="shared" si="0"/>
        <v>0.55714285714285716</v>
      </c>
      <c r="S25">
        <v>1</v>
      </c>
      <c r="T25">
        <v>0</v>
      </c>
      <c r="U25">
        <v>0</v>
      </c>
      <c r="V25">
        <f t="shared" si="1"/>
        <v>0</v>
      </c>
      <c r="W25">
        <f t="shared" ref="W25:W50" si="17">0.1604 * ($AL$11*100) - 1.037</f>
        <v>8.5869999999999997</v>
      </c>
      <c r="X25">
        <f t="shared" si="2"/>
        <v>3.330129734223719E-3</v>
      </c>
      <c r="Y25">
        <f t="shared" si="3"/>
        <v>1.0751865867280543</v>
      </c>
      <c r="Z25">
        <f t="shared" si="4"/>
        <v>7.0471135296000007</v>
      </c>
      <c r="AA25">
        <f>(Z25 * (1 -AL$11) + (0.04 * Z25)) * ( 1 - AY$11 )</f>
        <v>2.6046131605401603</v>
      </c>
      <c r="AB25">
        <f>AA25 * AW$11 * AS$11 * AU$11 * AX$11</f>
        <v>1.2253933954845938E-4</v>
      </c>
      <c r="AC25">
        <f>AA25 * AW$11 * AT$11 * AV$11 * AX$11</f>
        <v>1.4671148324021022E-3</v>
      </c>
      <c r="AD25">
        <f>J25*AB25*91.25</f>
        <v>0.67090288402781517</v>
      </c>
      <c r="AE25">
        <f>J25*AC25*91.25</f>
        <v>8.0324537074015101</v>
      </c>
      <c r="AF25">
        <f>((0.3 * Z25 * $AP$11 * (1 - ($AL$11 + 0.1)) + (0.105 * $W25 * $Z25 * 0.008) + (0.0152 * $Z25)) / 6.25) + (0.08 * 0.032 * $T25 / 6.38)</f>
        <v>3.5419446571905155E-2</v>
      </c>
      <c r="AG25">
        <f t="shared" si="5"/>
        <v>193.92146998118073</v>
      </c>
      <c r="AH25">
        <f>(Z25 * $AP$11 / 6.25) + (0.032 * T25 / 6.38) - X25 - AF25 - ((1.1 * (10 ^ -4) * (K25 ^ 0.75)) / 6.25)</f>
        <v>7.2459657620963736E-2</v>
      </c>
      <c r="AI25">
        <f t="shared" si="6"/>
        <v>396.71662547477644</v>
      </c>
      <c r="CB25" t="s">
        <v>65</v>
      </c>
      <c r="CC25" t="s">
        <v>63</v>
      </c>
      <c r="CD25" s="2">
        <v>0.4</v>
      </c>
      <c r="CE25" s="2">
        <v>0.65</v>
      </c>
      <c r="CF25">
        <v>0.55000000000000004</v>
      </c>
      <c r="CG25">
        <v>0.45</v>
      </c>
      <c r="CK25" t="s">
        <v>104</v>
      </c>
      <c r="CL25">
        <v>8.0000000000000002E-3</v>
      </c>
      <c r="CN25" t="s">
        <v>65</v>
      </c>
      <c r="CO25" t="s">
        <v>71</v>
      </c>
      <c r="CP25" s="2">
        <v>4</v>
      </c>
      <c r="CQ25" s="2">
        <v>3</v>
      </c>
    </row>
    <row r="26" spans="8:95" x14ac:dyDescent="0.2">
      <c r="I26" t="s">
        <v>57</v>
      </c>
      <c r="J26">
        <v>30</v>
      </c>
      <c r="K26">
        <v>410</v>
      </c>
      <c r="L26">
        <v>0.2</v>
      </c>
      <c r="M26" cm="1">
        <f t="array" ref="M26">_xlfn.XLOOKUP(H$11,$CA$169:$CJ$169,_xlfn.XLOOKUP($E$11,$BZ$170:$BZ$176,$CA$170:$CJ$176))</f>
        <v>700</v>
      </c>
      <c r="N26">
        <f t="shared" si="0"/>
        <v>0.58571428571428574</v>
      </c>
      <c r="S26">
        <v>1</v>
      </c>
      <c r="T26">
        <v>0</v>
      </c>
      <c r="U26">
        <v>0</v>
      </c>
      <c r="V26">
        <f t="shared" si="1"/>
        <v>0</v>
      </c>
      <c r="W26">
        <f t="shared" ref="W26:W50" si="18">0.1604 * ($AM$11*100) - 1.037</f>
        <v>6.9829999999999997</v>
      </c>
      <c r="X26">
        <f t="shared" si="2"/>
        <v>2.2046992220129142E-3</v>
      </c>
      <c r="Y26">
        <f t="shared" si="3"/>
        <v>1.0488710073408023</v>
      </c>
      <c r="Z26">
        <f t="shared" si="4"/>
        <v>7.1414010756000028</v>
      </c>
      <c r="AA26">
        <f>(Z26 * (1 -AM$11) + (0.04 * Z26)) * ( 1 - AY$11 )</f>
        <v>3.2393395278921613</v>
      </c>
      <c r="AB26">
        <f>AA26 * AW$11 * AS$11 * AU$11 * AX$11</f>
        <v>1.5240133634232363E-4</v>
      </c>
      <c r="AC26">
        <f>AA26 * AW$11 * AT$11 * AV$11 * AX$11</f>
        <v>1.8246406570300113E-3</v>
      </c>
      <c r="AD26">
        <f>J26*AB26*91.25</f>
        <v>0.41719865823711094</v>
      </c>
      <c r="AE26">
        <f>J26*AC26*91.25</f>
        <v>4.9949537986196555</v>
      </c>
      <c r="AF26">
        <f>((0.3 * Z26 * $AQ$11 * (1 - ($AM$11 + 0.1)) + (0.105 * $W26 * $Z26 * 0.008) + (0.0152 * $Z26)) / 6.25) + (0.08 * 0.032 * $T26 / 6.38)</f>
        <v>3.2297094913697359E-2</v>
      </c>
      <c r="AG26">
        <f t="shared" si="5"/>
        <v>88.413297326246521</v>
      </c>
      <c r="AH26">
        <f>(Z26 * $AQ$11 / 6.25) + (0.032 * T26 / 6.38) - X26 - AF26 - ((1.1 * (10 ^ -4) * (K26 ^ 0.75)) / 6.25)</f>
        <v>3.2452039526876163E-2</v>
      </c>
      <c r="AI26">
        <f t="shared" si="6"/>
        <v>88.837458204823506</v>
      </c>
      <c r="CB26" t="s">
        <v>65</v>
      </c>
      <c r="CC26" t="s">
        <v>71</v>
      </c>
      <c r="CD26" s="2">
        <v>0.4</v>
      </c>
      <c r="CE26" s="2">
        <v>0.65</v>
      </c>
      <c r="CF26" s="2">
        <v>0.55000000000000004</v>
      </c>
      <c r="CG26">
        <v>0.45</v>
      </c>
      <c r="CK26" t="s">
        <v>105</v>
      </c>
      <c r="CL26">
        <v>8.0000000000000002E-3</v>
      </c>
    </row>
    <row r="27" spans="8:95" x14ac:dyDescent="0.2">
      <c r="H27" t="s">
        <v>46</v>
      </c>
      <c r="I27" t="s">
        <v>54</v>
      </c>
      <c r="J27">
        <v>100</v>
      </c>
      <c r="K27" cm="1">
        <f t="array" ref="K27:K30">_xlfn.XLOOKUP(H27, $CA$46:$CJ$46, $CA$47:$CJ$50)</f>
        <v>440</v>
      </c>
      <c r="L27" cm="1">
        <f t="array" ref="L27:L30">_xlfn.XLOOKUP(H27, $CA$106:$CJ$106, $CA$107:$CJ$110)</f>
        <v>0.3</v>
      </c>
      <c r="M27" cm="1">
        <f t="array" ref="M27">_xlfn.XLOOKUP(H$11,$CA$169:$CJ$169,_xlfn.XLOOKUP($E$11,$BZ$170:$BZ$176,$CA$170:$CJ$176))</f>
        <v>700</v>
      </c>
      <c r="N27">
        <f t="shared" si="0"/>
        <v>0.62857142857142856</v>
      </c>
      <c r="O27">
        <v>1</v>
      </c>
      <c r="Q27">
        <f>O27+P27</f>
        <v>1</v>
      </c>
      <c r="R27">
        <f>1+(0.3*O27)+(0.1*P27)</f>
        <v>1.3</v>
      </c>
      <c r="S27">
        <f>(Q27*R27)+(1 - Q27)</f>
        <v>1.3</v>
      </c>
      <c r="T27">
        <v>0</v>
      </c>
      <c r="U27">
        <f>VLOOKUP($F$11, $CO$17:$CQ$25, 2, FALSE)</f>
        <v>6</v>
      </c>
      <c r="V27">
        <f t="shared" si="1"/>
        <v>6</v>
      </c>
      <c r="W27">
        <f t="shared" ref="W27:W50" si="19">0.1604 * ($AJ$11*100) - 1.037</f>
        <v>7.785000000000001</v>
      </c>
      <c r="X27">
        <f t="shared" si="2"/>
        <v>3.3368522860964582E-2</v>
      </c>
      <c r="Y27">
        <f t="shared" si="3"/>
        <v>1.8113191003443492</v>
      </c>
      <c r="Z27">
        <f>(1.185 + 0.00454 * K27 - 0.0000026 * K27^2 + 0.315 * L27)^2 * S27</f>
        <v>10.001723663880002</v>
      </c>
      <c r="AA27">
        <f>(Z27 * (1 -AJ$11) + (0.04 * Z27)) * ( 1 - AY$11 )</f>
        <v>4.1167094600530074</v>
      </c>
      <c r="AB27">
        <f>AA27 * AW$11 * AS$11 * AU$11 * AX$11</f>
        <v>1.9367899463549227E-4</v>
      </c>
      <c r="AC27">
        <f>AA27 * AW$11 * AT$11 * AV$11 * AX$11</f>
        <v>2.3188416618002772E-3</v>
      </c>
      <c r="AD27">
        <f>J27*AB27*91.25</f>
        <v>1.7673208260488671</v>
      </c>
      <c r="AE27">
        <f>J27*AC27*91.25</f>
        <v>21.159430163927528</v>
      </c>
      <c r="AF27">
        <f>((0.3 * Z27 * $AN$11 * (1 - ($AJ$11 + 0.1)) + (0.105 * $W27 * $Z27 * 0.008) + (0.0152 * $Z27)) / 6.25) + (0.08 * 0.032 * $T27 / 6.38)</f>
        <v>4.655106245569135E-2</v>
      </c>
      <c r="AG27">
        <f t="shared" si="5"/>
        <v>424.77844490818353</v>
      </c>
      <c r="AH27">
        <f>(Z27 * $AN$11 / 6.25) + (0.032 * T27 / 6.38) - X27 - AF27 - ((1.1 * (10 ^ -4) * (K27 ^ 0.75)) / 6.25)</f>
        <v>3.0408881035329429E-2</v>
      </c>
      <c r="AI27">
        <f t="shared" si="6"/>
        <v>277.48103944738102</v>
      </c>
      <c r="CM27" s="2"/>
      <c r="CN27" s="2"/>
      <c r="CO27" s="2"/>
      <c r="CP27" s="2"/>
      <c r="CQ27" s="2"/>
    </row>
    <row r="28" spans="8:95" x14ac:dyDescent="0.2">
      <c r="I28" t="s">
        <v>55</v>
      </c>
      <c r="J28">
        <v>110</v>
      </c>
      <c r="K28">
        <v>470</v>
      </c>
      <c r="L28">
        <v>0.3</v>
      </c>
      <c r="M28" cm="1">
        <f t="array" ref="M28">_xlfn.XLOOKUP(H$11,$CA$169:$CJ$169,_xlfn.XLOOKUP($E$11,$BZ$170:$BZ$176,$CA$170:$CJ$176))</f>
        <v>700</v>
      </c>
      <c r="N28">
        <f t="shared" si="0"/>
        <v>0.67142857142857137</v>
      </c>
      <c r="O28">
        <v>0</v>
      </c>
      <c r="P28">
        <v>1</v>
      </c>
      <c r="Q28">
        <f t="shared" ref="Q28:Q91" si="20">O28+P28</f>
        <v>1</v>
      </c>
      <c r="R28">
        <f t="shared" ref="R28:R34" si="21">1+(0.3*O28)+(0.1*P28)</f>
        <v>1.1000000000000001</v>
      </c>
      <c r="S28">
        <f t="shared" ref="S28:S34" si="22">(Q28*R28)+(1 - Q28)</f>
        <v>1.1000000000000001</v>
      </c>
      <c r="T28">
        <v>0</v>
      </c>
      <c r="U28">
        <f>VLOOKUP($F$11, $CO$17:$CQ$25, 3, FALSE)</f>
        <v>4</v>
      </c>
      <c r="V28">
        <f t="shared" si="1"/>
        <v>4</v>
      </c>
      <c r="W28">
        <f t="shared" ref="W28:W50" si="23">0.1604 * ($AK$11*100) - 1.037</f>
        <v>9.3889999999999993</v>
      </c>
      <c r="X28">
        <f t="shared" si="2"/>
        <v>2.3318049257388916E-2</v>
      </c>
      <c r="Y28">
        <f t="shared" si="3"/>
        <v>1.2947624821467527</v>
      </c>
      <c r="Z28">
        <f t="shared" si="4"/>
        <v>8.8656632697600024</v>
      </c>
      <c r="AA28">
        <f>(Z28 * (1 -AK$11) + (0.04 * Z28)) * ( 1 - AY$11 )</f>
        <v>2.9043912871733766</v>
      </c>
      <c r="AB28">
        <f>AA28 * AW$11 * AS$11 * AU$11 * AX$11</f>
        <v>1.3664301306329734E-4</v>
      </c>
      <c r="AC28">
        <f>AA28 * AW$11 * AT$11 * AV$11 * AX$11</f>
        <v>1.6359725125660528E-3</v>
      </c>
      <c r="AD28">
        <f>J28*AB28*91.25</f>
        <v>1.3715542436228472</v>
      </c>
      <c r="AE28">
        <f>J28*AC28*91.25</f>
        <v>16.421074094881757</v>
      </c>
      <c r="AF28">
        <f>((0.3 * Z28 * $AO$11 * (1 - ($AK$11 + 0.1)) + (0.105 * $W28 * $Z28 * 0.008) + (0.0152 * $Z28)) / 6.25) + (0.08 * 0.032 * $T28 / 6.38)</f>
        <v>4.6579145124787912E-2</v>
      </c>
      <c r="AG28">
        <f t="shared" si="5"/>
        <v>467.53816919005868</v>
      </c>
      <c r="AH28">
        <f>(Z28 * $AO$11 / 6.25) + (0.032 * T28 / 6.38) - X28 - AF28 - ((1.1 * (10 ^ -4) * (K28 ^ 0.75)) / 6.25)</f>
        <v>0.11273201634126287</v>
      </c>
      <c r="AI28">
        <f t="shared" si="6"/>
        <v>1131.5476140254261</v>
      </c>
      <c r="CM28" s="2"/>
      <c r="CN28" s="2" t="s">
        <v>190</v>
      </c>
      <c r="CO28" s="2"/>
      <c r="CP28" s="2"/>
      <c r="CQ28" s="2"/>
    </row>
    <row r="29" spans="8:95" x14ac:dyDescent="0.2">
      <c r="I29" t="s">
        <v>56</v>
      </c>
      <c r="J29">
        <v>120</v>
      </c>
      <c r="K29">
        <v>490</v>
      </c>
      <c r="L29">
        <v>0.2</v>
      </c>
      <c r="M29" cm="1">
        <f t="array" ref="M29">_xlfn.XLOOKUP(H$11,$CA$169:$CJ$169,_xlfn.XLOOKUP($E$11,$BZ$170:$BZ$176,$CA$170:$CJ$176))</f>
        <v>700</v>
      </c>
      <c r="N29">
        <f t="shared" si="0"/>
        <v>0.7</v>
      </c>
      <c r="O29">
        <v>0</v>
      </c>
      <c r="P29">
        <v>0</v>
      </c>
      <c r="Q29">
        <f t="shared" si="20"/>
        <v>0</v>
      </c>
      <c r="R29">
        <f t="shared" si="21"/>
        <v>1</v>
      </c>
      <c r="S29">
        <f t="shared" si="22"/>
        <v>1</v>
      </c>
      <c r="T29">
        <v>0</v>
      </c>
      <c r="U29">
        <v>0</v>
      </c>
      <c r="V29">
        <f t="shared" si="1"/>
        <v>0</v>
      </c>
      <c r="W29">
        <f t="shared" ref="W29:W50" si="24">0.1604 * ($AL$11*100) - 1.037</f>
        <v>8.5869999999999997</v>
      </c>
      <c r="X29">
        <f t="shared" si="2"/>
        <v>2.1629339675428537E-3</v>
      </c>
      <c r="Y29">
        <f t="shared" si="3"/>
        <v>1.0457484402934745</v>
      </c>
      <c r="Z29">
        <f t="shared" si="4"/>
        <v>8.1130407556000002</v>
      </c>
      <c r="AA29">
        <f>(Z29 * (1 -AL$11) + (0.04 * Z29)) * ( 1 - AY$11 )</f>
        <v>2.99857986326976</v>
      </c>
      <c r="AB29">
        <f>AA29 * AW$11 * AS$11 * AU$11 * AX$11</f>
        <v>1.4107430677044692E-4</v>
      </c>
      <c r="AC29">
        <f>AA29 * AW$11 * AT$11 * AV$11 * AX$11</f>
        <v>1.6890266317448027E-3</v>
      </c>
      <c r="AD29">
        <f>J29*AB29*91.25</f>
        <v>1.5447636591363938</v>
      </c>
      <c r="AE29">
        <f>J29*AC29*91.25</f>
        <v>18.494841617605591</v>
      </c>
      <c r="AF29">
        <f>((0.3 * Z29 * $AP$11 * (1 - ($AL$11 + 0.1)) + (0.105 * $W29 * $Z29 * 0.008) + (0.0152 * $Z29)) / 6.25) + (0.08 * 0.032 * $T29 / 6.38)</f>
        <v>4.0776895727827715E-2</v>
      </c>
      <c r="AG29">
        <f t="shared" si="5"/>
        <v>446.5070082197135</v>
      </c>
      <c r="AH29">
        <f>(Z29 * $AP$11 / 6.25) + (0.032 * T29 / 6.38) - X29 - AF29 - ((1.1 * (10 ^ -4) * (K29 ^ 0.75)) / 6.25)</f>
        <v>8.5035833946615222E-2</v>
      </c>
      <c r="AI29">
        <f t="shared" si="6"/>
        <v>931.14238171543661</v>
      </c>
      <c r="CC29" t="s">
        <v>160</v>
      </c>
      <c r="CD29" t="s">
        <v>161</v>
      </c>
      <c r="CK29" t="s">
        <v>182</v>
      </c>
      <c r="CL29">
        <v>5.8999999999999999E-3</v>
      </c>
      <c r="CM29" s="2"/>
      <c r="CN29" s="2"/>
      <c r="CO29" s="2" t="s">
        <v>191</v>
      </c>
      <c r="CP29" s="2">
        <v>0.87</v>
      </c>
      <c r="CQ29" s="2"/>
    </row>
    <row r="30" spans="8:95" x14ac:dyDescent="0.2">
      <c r="I30" t="s">
        <v>57</v>
      </c>
      <c r="J30">
        <v>130</v>
      </c>
      <c r="K30">
        <v>500</v>
      </c>
      <c r="L30">
        <v>0.1</v>
      </c>
      <c r="M30" cm="1">
        <f t="array" ref="M30">_xlfn.XLOOKUP(H$11,$CA$169:$CJ$169,_xlfn.XLOOKUP($E$11,$BZ$170:$BZ$176,$CA$170:$CJ$176))</f>
        <v>700</v>
      </c>
      <c r="N30">
        <f t="shared" si="0"/>
        <v>0.7142857142857143</v>
      </c>
      <c r="O30">
        <v>0</v>
      </c>
      <c r="P30">
        <v>0</v>
      </c>
      <c r="Q30">
        <f t="shared" si="20"/>
        <v>0</v>
      </c>
      <c r="R30">
        <f t="shared" si="21"/>
        <v>1</v>
      </c>
      <c r="S30">
        <f t="shared" si="22"/>
        <v>1</v>
      </c>
      <c r="T30">
        <v>0</v>
      </c>
      <c r="U30">
        <v>0</v>
      </c>
      <c r="V30">
        <f t="shared" si="1"/>
        <v>0</v>
      </c>
      <c r="W30">
        <f t="shared" ref="W30:W50" si="25">0.1604 * ($AM$11*100) - 1.037</f>
        <v>6.9829999999999997</v>
      </c>
      <c r="X30">
        <f t="shared" si="2"/>
        <v>1.0797316421107951E-3</v>
      </c>
      <c r="Y30">
        <f t="shared" si="3"/>
        <v>1.0225860047470616</v>
      </c>
      <c r="Z30">
        <f t="shared" si="4"/>
        <v>8.0457322500000004</v>
      </c>
      <c r="AA30">
        <f>(Z30 * (1 -AM$11) + (0.04 * Z30)) * ( 1 - AY$11 )</f>
        <v>3.6495441486</v>
      </c>
      <c r="AB30">
        <f>AA30 * AW$11 * AS$11 * AU$11 * AX$11</f>
        <v>1.7170024954095013E-4</v>
      </c>
      <c r="AC30">
        <f>AA30 * AW$11 * AT$11 * AV$11 * AX$11</f>
        <v>2.0556988780656223E-3</v>
      </c>
      <c r="AD30">
        <f>J30*AB30*91.25</f>
        <v>2.0367942101795209</v>
      </c>
      <c r="AE30">
        <f>J30*AC30*91.25</f>
        <v>24.385727941053442</v>
      </c>
      <c r="AF30">
        <f>((0.3 * Z30 * $AQ$11 * (1 - ($AM$11 + 0.1)) + (0.105 * $W30 * $Z30 * 0.008) + (0.0152 * $Z30)) / 6.25) + (0.08 * 0.032 * $T30 / 6.38)</f>
        <v>3.6386946395755196E-2</v>
      </c>
      <c r="AG30">
        <f t="shared" si="5"/>
        <v>431.64015161964602</v>
      </c>
      <c r="AH30">
        <f>(Z30 * $AQ$11 / 6.25) + (0.032 * T30 / 6.38) - X30 - AF30 - ((1.1 * (10 ^ -4) * (K30 ^ 0.75)) / 6.25)</f>
        <v>3.7911378138478627E-2</v>
      </c>
      <c r="AI30">
        <f t="shared" si="6"/>
        <v>449.7237231677027</v>
      </c>
      <c r="CD30" s="2" t="s">
        <v>54</v>
      </c>
      <c r="CE30" s="2" t="s">
        <v>55</v>
      </c>
      <c r="CF30" t="s">
        <v>56</v>
      </c>
      <c r="CG30" t="s">
        <v>57</v>
      </c>
      <c r="CK30" t="s">
        <v>181</v>
      </c>
      <c r="CL30">
        <v>7.0000000000000001E-3</v>
      </c>
      <c r="CM30" s="2"/>
      <c r="CN30" s="2"/>
      <c r="CO30" s="2" t="s">
        <v>140</v>
      </c>
      <c r="CP30" s="2">
        <v>0.54</v>
      </c>
      <c r="CQ30" s="2"/>
    </row>
    <row r="31" spans="8:95" x14ac:dyDescent="0.2">
      <c r="H31" t="s">
        <v>47</v>
      </c>
      <c r="I31" t="s">
        <v>54</v>
      </c>
      <c r="J31">
        <v>50</v>
      </c>
      <c r="K31" cm="1">
        <f t="array" ref="K31:K34">_xlfn.XLOOKUP(H31, $CA$46:$CJ$46, $CA$47:$CJ$50)</f>
        <v>440</v>
      </c>
      <c r="L31" cm="1">
        <f t="array" ref="L31:L34">_xlfn.XLOOKUP(H31, $CA$106:$CJ$106, $CA$107:$CJ$110)</f>
        <v>0.3</v>
      </c>
      <c r="M31" cm="1">
        <f t="array" ref="M31">_xlfn.XLOOKUP(H$11,$CA$169:$CJ$169,_xlfn.XLOOKUP($E$11,$BZ$170:$BZ$176,$CA$170:$CJ$176))</f>
        <v>700</v>
      </c>
      <c r="N31">
        <f t="shared" si="0"/>
        <v>0.62857142857142856</v>
      </c>
      <c r="O31">
        <v>1</v>
      </c>
      <c r="P31">
        <v>0</v>
      </c>
      <c r="Q31">
        <f t="shared" si="20"/>
        <v>1</v>
      </c>
      <c r="R31">
        <f t="shared" si="21"/>
        <v>1.3</v>
      </c>
      <c r="S31">
        <f t="shared" si="22"/>
        <v>1.3</v>
      </c>
      <c r="T31">
        <v>0</v>
      </c>
      <c r="U31">
        <f>VLOOKUP($F$11, $CO$17:$CQ$25, 2, FALSE)</f>
        <v>6</v>
      </c>
      <c r="V31">
        <f t="shared" si="1"/>
        <v>6</v>
      </c>
      <c r="W31">
        <f t="shared" ref="W31:W50" si="26">0.1604 * ($AJ$11*100) - 1.037</f>
        <v>7.785000000000001</v>
      </c>
      <c r="X31">
        <f t="shared" si="2"/>
        <v>3.3368522860964582E-2</v>
      </c>
      <c r="Y31">
        <f t="shared" si="3"/>
        <v>1.8113191003443492</v>
      </c>
      <c r="Z31">
        <f t="shared" si="4"/>
        <v>10.001723663880002</v>
      </c>
      <c r="AA31">
        <f>(Z31 * (1 -AJ$11) + (0.04 * Z31)) * ( 1 - AY$11 )</f>
        <v>4.1167094600530074</v>
      </c>
      <c r="AB31">
        <f>AA31 * AW$11 * AS$11 * AU$11 * AX$11</f>
        <v>1.9367899463549227E-4</v>
      </c>
      <c r="AC31">
        <f>AA31 * AW$11 * AT$11 * AV$11 * AX$11</f>
        <v>2.3188416618002772E-3</v>
      </c>
      <c r="AD31">
        <f>J31*AB31*91.25</f>
        <v>0.88366041302443354</v>
      </c>
      <c r="AE31">
        <f>J31*AC31*91.25</f>
        <v>10.579715081963764</v>
      </c>
      <c r="AF31">
        <f>((0.3 * Z31 * $AN$11 * (1 - ($AJ$11 + 0.1)) + (0.105 * $W31 * $Z31 * 0.008) + (0.0152 * $Z31)) / 6.25) + (0.08 * 0.032 * $T31 / 6.38)</f>
        <v>4.655106245569135E-2</v>
      </c>
      <c r="AG31">
        <f t="shared" si="5"/>
        <v>212.38922245409177</v>
      </c>
      <c r="AH31">
        <f>(Z31 * $AN$11 / 6.25) + (0.032 * T31 / 6.38) - X31 - AF31 - ((1.1 * (10 ^ -4) * (K31 ^ 0.75)) / 6.25)</f>
        <v>3.0408881035329429E-2</v>
      </c>
      <c r="AI31">
        <f t="shared" si="6"/>
        <v>138.74051972369051</v>
      </c>
      <c r="CC31" t="s">
        <v>53</v>
      </c>
      <c r="CD31">
        <v>7.0000000000000007E-2</v>
      </c>
      <c r="CE31">
        <v>0.13</v>
      </c>
      <c r="CF31">
        <v>0.1</v>
      </c>
      <c r="CG31">
        <v>0.06</v>
      </c>
      <c r="CK31" t="s">
        <v>183</v>
      </c>
      <c r="CL31">
        <v>1.8E-3</v>
      </c>
      <c r="CM31" s="2"/>
      <c r="CN31" s="2" t="s">
        <v>73</v>
      </c>
      <c r="CO31" s="2" t="s">
        <v>192</v>
      </c>
      <c r="CP31" s="2">
        <v>0.51</v>
      </c>
      <c r="CQ31" s="2"/>
    </row>
    <row r="32" spans="8:95" x14ac:dyDescent="0.2">
      <c r="I32" t="s">
        <v>55</v>
      </c>
      <c r="J32">
        <v>55</v>
      </c>
      <c r="K32">
        <v>470</v>
      </c>
      <c r="L32">
        <v>0.3</v>
      </c>
      <c r="M32" cm="1">
        <f t="array" ref="M32">_xlfn.XLOOKUP(H$11,$CA$169:$CJ$169,_xlfn.XLOOKUP($E$11,$BZ$170:$BZ$176,$CA$170:$CJ$176))</f>
        <v>700</v>
      </c>
      <c r="N32">
        <f t="shared" si="0"/>
        <v>0.67142857142857137</v>
      </c>
      <c r="O32">
        <v>0</v>
      </c>
      <c r="P32">
        <v>1</v>
      </c>
      <c r="Q32">
        <f t="shared" si="20"/>
        <v>1</v>
      </c>
      <c r="R32">
        <f t="shared" si="21"/>
        <v>1.1000000000000001</v>
      </c>
      <c r="S32">
        <f t="shared" si="22"/>
        <v>1.1000000000000001</v>
      </c>
      <c r="T32">
        <v>0</v>
      </c>
      <c r="U32">
        <f>VLOOKUP($F$11, $CO$17:$CQ$25, 3, FALSE)</f>
        <v>4</v>
      </c>
      <c r="V32">
        <f t="shared" si="1"/>
        <v>4</v>
      </c>
      <c r="W32">
        <f t="shared" ref="W32:W50" si="27">0.1604 * ($AK$11*100) - 1.037</f>
        <v>9.3889999999999993</v>
      </c>
      <c r="X32">
        <f t="shared" si="2"/>
        <v>2.3318049257388916E-2</v>
      </c>
      <c r="Y32">
        <f t="shared" si="3"/>
        <v>1.2947624821467527</v>
      </c>
      <c r="Z32">
        <f t="shared" si="4"/>
        <v>8.8656632697600024</v>
      </c>
      <c r="AA32">
        <f>(Z32 * (1 -AK$11) + (0.04 * Z32)) * ( 1 - AY$11 )</f>
        <v>2.9043912871733766</v>
      </c>
      <c r="AB32">
        <f>AA32 * AW$11 * AS$11 * AU$11 * AX$11</f>
        <v>1.3664301306329734E-4</v>
      </c>
      <c r="AC32">
        <f>AA32 * AW$11 * AT$11 * AV$11 * AX$11</f>
        <v>1.6359725125660528E-3</v>
      </c>
      <c r="AD32">
        <f>J32*AB32*91.25</f>
        <v>0.68577712181142358</v>
      </c>
      <c r="AE32">
        <f>J32*AC32*91.25</f>
        <v>8.2105370474408783</v>
      </c>
      <c r="AF32">
        <f>((0.3 * Z32 * $AO$11 * (1 - ($AK$11 + 0.1)) + (0.105 * $W32 * $Z32 * 0.008) + (0.0152 * $Z32)) / 6.25) + (0.08 * 0.032 * $T32 / 6.38)</f>
        <v>4.6579145124787912E-2</v>
      </c>
      <c r="AG32">
        <f t="shared" si="5"/>
        <v>233.76908459502934</v>
      </c>
      <c r="AH32">
        <f>(Z32 * $AO$11 / 6.25) + (0.032 * T32 / 6.38) - X32 - AF32 - ((1.1 * (10 ^ -4) * (K32 ^ 0.75)) / 6.25)</f>
        <v>0.11273201634126287</v>
      </c>
      <c r="AI32">
        <f t="shared" si="6"/>
        <v>565.77380701271306</v>
      </c>
      <c r="CC32" t="s">
        <v>73</v>
      </c>
      <c r="CD32">
        <v>5.8000000000000003E-2</v>
      </c>
      <c r="CE32">
        <v>9.1999999999999998E-2</v>
      </c>
      <c r="CF32">
        <v>7.4999999999999997E-2</v>
      </c>
      <c r="CG32">
        <v>5.2999999999999999E-2</v>
      </c>
      <c r="CK32" t="s">
        <v>184</v>
      </c>
      <c r="CL32">
        <v>2.8999999999999998E-3</v>
      </c>
      <c r="CM32" s="2"/>
      <c r="CN32" s="3"/>
      <c r="CO32" s="3" t="s">
        <v>74</v>
      </c>
      <c r="CP32" s="3">
        <v>0.03</v>
      </c>
      <c r="CQ32" s="3"/>
    </row>
    <row r="33" spans="8:95" x14ac:dyDescent="0.2">
      <c r="I33" t="s">
        <v>56</v>
      </c>
      <c r="J33">
        <v>60</v>
      </c>
      <c r="K33">
        <v>490</v>
      </c>
      <c r="L33">
        <v>0.2</v>
      </c>
      <c r="M33" cm="1">
        <f t="array" ref="M33">_xlfn.XLOOKUP(H$11,$CA$169:$CJ$169,_xlfn.XLOOKUP($E$11,$BZ$170:$BZ$176,$CA$170:$CJ$176))</f>
        <v>700</v>
      </c>
      <c r="N33">
        <f t="shared" si="0"/>
        <v>0.7</v>
      </c>
      <c r="O33">
        <v>0</v>
      </c>
      <c r="P33">
        <v>0</v>
      </c>
      <c r="Q33">
        <f t="shared" si="20"/>
        <v>0</v>
      </c>
      <c r="R33">
        <f t="shared" si="21"/>
        <v>1</v>
      </c>
      <c r="S33">
        <f t="shared" si="22"/>
        <v>1</v>
      </c>
      <c r="T33">
        <v>0</v>
      </c>
      <c r="U33">
        <v>0</v>
      </c>
      <c r="V33">
        <f t="shared" si="1"/>
        <v>0</v>
      </c>
      <c r="W33">
        <f t="shared" ref="W33:W50" si="28">0.1604 * ($AL$11*100) - 1.037</f>
        <v>8.5869999999999997</v>
      </c>
      <c r="X33">
        <f t="shared" si="2"/>
        <v>2.1629339675428537E-3</v>
      </c>
      <c r="Y33">
        <f t="shared" si="3"/>
        <v>1.0457484402934745</v>
      </c>
      <c r="Z33">
        <f t="shared" si="4"/>
        <v>8.1130407556000002</v>
      </c>
      <c r="AA33">
        <f>(Z33 * (1 -AL$11) + (0.04 * Z33)) * ( 1 - AY$11 )</f>
        <v>2.99857986326976</v>
      </c>
      <c r="AB33">
        <f>AA33 * AW$11 * AS$11 * AU$11 * AX$11</f>
        <v>1.4107430677044692E-4</v>
      </c>
      <c r="AC33">
        <f>AA33 * AW$11 * AT$11 * AV$11 * AX$11</f>
        <v>1.6890266317448027E-3</v>
      </c>
      <c r="AD33">
        <f>J33*AB33*91.25</f>
        <v>0.7723818295681969</v>
      </c>
      <c r="AE33">
        <f>J33*AC33*91.25</f>
        <v>9.2474208088027954</v>
      </c>
      <c r="AF33">
        <f>((0.3 * Z33 * $AP$11 * (1 - ($AL$11 + 0.1)) + (0.105 * $W33 * $Z33 * 0.008) + (0.0152 * $Z33)) / 6.25) + (0.08 * 0.032 * $T33 / 6.38)</f>
        <v>4.0776895727827715E-2</v>
      </c>
      <c r="AG33">
        <f t="shared" si="5"/>
        <v>223.25350410985675</v>
      </c>
      <c r="AH33">
        <f>(Z33 * $AP$11 / 6.25) + (0.032 * T33 / 6.38) - X33 - AF33 - ((1.1 * (10 ^ -4) * (K33 ^ 0.75)) / 6.25)</f>
        <v>8.5035833946615222E-2</v>
      </c>
      <c r="AI33">
        <f t="shared" si="6"/>
        <v>465.57119085771831</v>
      </c>
      <c r="CC33" t="s">
        <v>92</v>
      </c>
      <c r="CD33">
        <v>7.1999999999999995E-2</v>
      </c>
      <c r="CE33">
        <v>9.9000000000000005E-2</v>
      </c>
      <c r="CF33">
        <v>7.8E-2</v>
      </c>
      <c r="CG33">
        <v>5.8999999999999997E-2</v>
      </c>
      <c r="CK33" t="s">
        <v>185</v>
      </c>
      <c r="CL33">
        <v>8.0000000000000002E-3</v>
      </c>
      <c r="CM33" s="2"/>
      <c r="CN33" s="2"/>
      <c r="CO33" s="2" t="s">
        <v>75</v>
      </c>
      <c r="CP33" s="2">
        <v>7.0000000000000007E-2</v>
      </c>
      <c r="CQ33" s="2"/>
    </row>
    <row r="34" spans="8:95" x14ac:dyDescent="0.2">
      <c r="I34" t="s">
        <v>57</v>
      </c>
      <c r="J34">
        <v>65</v>
      </c>
      <c r="K34">
        <v>500</v>
      </c>
      <c r="L34">
        <v>0.1</v>
      </c>
      <c r="M34" cm="1">
        <f t="array" ref="M34">_xlfn.XLOOKUP(H$11,$CA$169:$CJ$169,_xlfn.XLOOKUP($E$11,$BZ$170:$BZ$176,$CA$170:$CJ$176))</f>
        <v>700</v>
      </c>
      <c r="N34">
        <f t="shared" si="0"/>
        <v>0.7142857142857143</v>
      </c>
      <c r="O34">
        <v>0</v>
      </c>
      <c r="P34">
        <v>0</v>
      </c>
      <c r="Q34">
        <f t="shared" si="20"/>
        <v>0</v>
      </c>
      <c r="R34">
        <f t="shared" si="21"/>
        <v>1</v>
      </c>
      <c r="S34">
        <f t="shared" si="22"/>
        <v>1</v>
      </c>
      <c r="T34">
        <v>0</v>
      </c>
      <c r="U34">
        <v>0</v>
      </c>
      <c r="V34">
        <f t="shared" si="1"/>
        <v>0</v>
      </c>
      <c r="W34">
        <f t="shared" ref="W34:W50" si="29">0.1604 * ($AM$11*100) - 1.037</f>
        <v>6.9829999999999997</v>
      </c>
      <c r="X34">
        <f t="shared" si="2"/>
        <v>1.0797316421107951E-3</v>
      </c>
      <c r="Y34">
        <f t="shared" si="3"/>
        <v>1.0225860047470616</v>
      </c>
      <c r="Z34">
        <f t="shared" si="4"/>
        <v>8.0457322500000004</v>
      </c>
      <c r="AA34">
        <f>(Z34 * (1 -AM$11) + (0.04 * Z34)) * ( 1 - AY$11 )</f>
        <v>3.6495441486</v>
      </c>
      <c r="AB34">
        <f>AA34 * AW$11 * AS$11 * AU$11 * AX$11</f>
        <v>1.7170024954095013E-4</v>
      </c>
      <c r="AC34">
        <f>AA34 * AW$11 * AT$11 * AV$11 * AX$11</f>
        <v>2.0556988780656223E-3</v>
      </c>
      <c r="AD34">
        <f>J34*AB34*91.25</f>
        <v>1.0183971050897604</v>
      </c>
      <c r="AE34">
        <f>J34*AC34*91.25</f>
        <v>12.192863970526721</v>
      </c>
      <c r="AF34">
        <f>((0.3 * Z34 * $AQ$11 * (1 - ($AM$11 + 0.1)) + (0.105 * $W34 * $Z34 * 0.008) + (0.0152 * $Z34)) / 6.25) + (0.08 * 0.032 * $T34 / 6.38)</f>
        <v>3.6386946395755196E-2</v>
      </c>
      <c r="AG34">
        <f t="shared" si="5"/>
        <v>215.82007580982301</v>
      </c>
      <c r="AH34">
        <f>(Z34 * $AQ$11 / 6.25) + (0.032 * T34 / 6.38) - X34 - AF34 - ((1.1 * (10 ^ -4) * (K34 ^ 0.75)) / 6.25)</f>
        <v>3.7911378138478627E-2</v>
      </c>
      <c r="AI34">
        <f t="shared" si="6"/>
        <v>224.86186158385135</v>
      </c>
      <c r="CC34" t="s">
        <v>93</v>
      </c>
      <c r="CD34">
        <v>0.16</v>
      </c>
      <c r="CE34">
        <v>7.0000000000000007E-2</v>
      </c>
      <c r="CF34">
        <v>0.09</v>
      </c>
      <c r="CG34">
        <v>0.2</v>
      </c>
      <c r="CM34" s="2"/>
      <c r="CN34" s="2"/>
      <c r="CO34" s="2" t="s">
        <v>76</v>
      </c>
      <c r="CP34" s="2">
        <v>0.92</v>
      </c>
      <c r="CQ34" s="2"/>
    </row>
    <row r="35" spans="8:95" x14ac:dyDescent="0.2">
      <c r="H35" t="s">
        <v>48</v>
      </c>
      <c r="I35" t="s">
        <v>54</v>
      </c>
      <c r="J35">
        <v>200</v>
      </c>
      <c r="K35" cm="1">
        <f t="array" ref="K35:K38">_xlfn.XLOOKUP(H35, $CA$46:$CJ$46, $CA$47:$CJ$50)</f>
        <v>75</v>
      </c>
      <c r="L35" cm="1">
        <f t="array" ref="L35:L38">_xlfn.XLOOKUP(H35, $CA$106:$CJ$106, $CA$107:$CJ$110)</f>
        <v>0.5</v>
      </c>
      <c r="M35" cm="1">
        <f t="array" ref="M35">_xlfn.XLOOKUP(H$11,$CA$169:$CJ$169,_xlfn.XLOOKUP($E$11,$BZ$170:$BZ$176,$CA$170:$CJ$176))</f>
        <v>700</v>
      </c>
      <c r="N35">
        <f t="shared" si="0"/>
        <v>0.10714285714285714</v>
      </c>
      <c r="P35">
        <v>0</v>
      </c>
      <c r="Q35">
        <f t="shared" si="20"/>
        <v>0</v>
      </c>
      <c r="S35">
        <v>1</v>
      </c>
      <c r="T35">
        <f>VLOOKUP($F$11, $CO$17:$CQ$25, 2, FALSE)</f>
        <v>6</v>
      </c>
      <c r="U35">
        <v>0</v>
      </c>
      <c r="V35">
        <f t="shared" si="1"/>
        <v>0</v>
      </c>
      <c r="W35">
        <f t="shared" ref="W35:W50" si="30">0.1604 * ($AJ$11*100) - 1.037</f>
        <v>7.785000000000001</v>
      </c>
      <c r="X35">
        <f t="shared" si="2"/>
        <v>8.104195644730295E-3</v>
      </c>
      <c r="Y35">
        <f t="shared" si="3"/>
        <v>1.2193553180247376</v>
      </c>
      <c r="Z35">
        <f t="shared" si="4"/>
        <v>2.7834751406249998</v>
      </c>
      <c r="AA35">
        <f>(Z35 * (1 -AJ$11) + (0.04 * Z35)) * ( 1 - AY$11 )</f>
        <v>1.1456783678812499</v>
      </c>
      <c r="AB35">
        <f>AA35 * AW$11 * AS$11 * AU$11 * AX$11</f>
        <v>5.390077600084388E-5</v>
      </c>
      <c r="AC35">
        <f>AA35 * AW$11 * AT$11 * AV$11 * AX$11</f>
        <v>6.4533257842106233E-4</v>
      </c>
      <c r="AD35">
        <f>J35*AB35*91.25</f>
        <v>0.98368916201540069</v>
      </c>
      <c r="AE35">
        <f>J35*AC35*91.25</f>
        <v>11.777319556184386</v>
      </c>
      <c r="AF35">
        <f>((0.3 * Z35 * $AN$11 * (1 - ($AJ$11 + 0.1)) + (0.105 * $W35 * $Z35 * 0.008) + (0.0152 * $Z35)) / 6.25) + (0.08 * 0.032 * $T35 / 6.38)</f>
        <v>1.5362662991883286E-2</v>
      </c>
      <c r="AG35">
        <f t="shared" si="5"/>
        <v>280.36859960186996</v>
      </c>
      <c r="AH35">
        <f>(Z35 * $AN$11 / 6.25) + (0.032 * T35 / 6.38) - X35 - AF35 - ((1.1 * (10 ^ -4) * (K35 ^ 0.75)) / 6.25)</f>
        <v>3.7353559144894112E-2</v>
      </c>
      <c r="AI35">
        <f t="shared" si="6"/>
        <v>681.70245439431756</v>
      </c>
      <c r="CC35" t="s">
        <v>94</v>
      </c>
      <c r="CD35">
        <v>0.2</v>
      </c>
      <c r="CE35">
        <v>0.1</v>
      </c>
      <c r="CF35">
        <v>0.16</v>
      </c>
      <c r="CG35">
        <v>0.2</v>
      </c>
      <c r="CM35" s="2"/>
      <c r="CN35" t="s">
        <v>92</v>
      </c>
      <c r="CO35" s="2" t="s">
        <v>193</v>
      </c>
      <c r="CP35" s="2">
        <v>0.22</v>
      </c>
    </row>
    <row r="36" spans="8:95" x14ac:dyDescent="0.2">
      <c r="I36" t="s">
        <v>55</v>
      </c>
      <c r="J36">
        <v>130</v>
      </c>
      <c r="K36">
        <v>160</v>
      </c>
      <c r="L36">
        <v>0.9</v>
      </c>
      <c r="M36" cm="1">
        <f t="array" ref="M36">_xlfn.XLOOKUP(H$11,$CA$169:$CJ$169,_xlfn.XLOOKUP($E$11,$BZ$170:$BZ$176,$CA$170:$CJ$176))</f>
        <v>700</v>
      </c>
      <c r="N36">
        <f t="shared" si="0"/>
        <v>0.22857142857142856</v>
      </c>
      <c r="Q36">
        <f t="shared" si="20"/>
        <v>0</v>
      </c>
      <c r="S36">
        <v>1</v>
      </c>
      <c r="T36">
        <f>VLOOKUP($F$11, $CO$17:$CQ$25, 3, FALSE)</f>
        <v>4</v>
      </c>
      <c r="U36">
        <v>0</v>
      </c>
      <c r="V36">
        <f t="shared" si="1"/>
        <v>0</v>
      </c>
      <c r="W36">
        <f t="shared" ref="W36:W50" si="31">0.1604 * ($AK$11*100) - 1.037</f>
        <v>9.3889999999999993</v>
      </c>
      <c r="X36">
        <f t="shared" si="2"/>
        <v>1.2337744075200791E-2</v>
      </c>
      <c r="Y36">
        <f t="shared" si="3"/>
        <v>1.3309587678069252</v>
      </c>
      <c r="Z36">
        <f t="shared" si="4"/>
        <v>4.5298311556000002</v>
      </c>
      <c r="AA36">
        <f>(Z36 * (1 -AK$11) + (0.04 * Z36)) * ( 1 - AY$11 )</f>
        <v>1.4839726865745599</v>
      </c>
      <c r="AB36">
        <f>AA36 * AW$11 * AS$11 * AU$11 * AX$11</f>
        <v>6.9816522344180778E-5</v>
      </c>
      <c r="AC36">
        <f>AA36 * AW$11 * AT$11 * AV$11 * AX$11</f>
        <v>8.3588548669608228E-4</v>
      </c>
      <c r="AD36">
        <f>J36*AB36*91.25</f>
        <v>0.82819849630784437</v>
      </c>
      <c r="AE36">
        <f>J36*AC36*91.25</f>
        <v>9.9156915859322758</v>
      </c>
      <c r="AF36">
        <f>((0.3 * Z36 * $AO$11 * (1 - ($AK$11 + 0.1)) + (0.105 * $W36 * $Z36 * 0.008) + (0.0152 * $Z36)) / 6.25) + (0.08 * 0.032 * $T36 / 6.38)</f>
        <v>2.5404212233494764E-2</v>
      </c>
      <c r="AG36">
        <f t="shared" si="5"/>
        <v>301.35746761983165</v>
      </c>
      <c r="AH36">
        <f>(Z36 * $AO$11 / 6.25) + (0.032 * T36 / 6.38) - X36 - AF36 - ((1.1 * (10 ^ -4) * (K36 ^ 0.75)) / 6.25)</f>
        <v>7.5749451066681336E-2</v>
      </c>
      <c r="AI36">
        <f t="shared" si="6"/>
        <v>898.57786327850727</v>
      </c>
      <c r="CC36" t="s">
        <v>95</v>
      </c>
      <c r="CD36">
        <v>0.25</v>
      </c>
      <c r="CE36">
        <v>7.0000000000000007E-2</v>
      </c>
      <c r="CF36">
        <v>0.1</v>
      </c>
      <c r="CG36">
        <v>0.21</v>
      </c>
      <c r="CO36" s="2" t="s">
        <v>77</v>
      </c>
      <c r="CP36" s="2">
        <v>0.18</v>
      </c>
    </row>
    <row r="37" spans="8:95" x14ac:dyDescent="0.2">
      <c r="I37" t="s">
        <v>56</v>
      </c>
      <c r="J37">
        <v>250</v>
      </c>
      <c r="K37">
        <v>220</v>
      </c>
      <c r="L37">
        <v>0.7</v>
      </c>
      <c r="M37" cm="1">
        <f t="array" ref="M37">_xlfn.XLOOKUP(H$11,$CA$169:$CJ$169,_xlfn.XLOOKUP($E$11,$BZ$170:$BZ$176,$CA$170:$CJ$176))</f>
        <v>700</v>
      </c>
      <c r="N37">
        <f t="shared" si="0"/>
        <v>0.31428571428571428</v>
      </c>
      <c r="Q37">
        <f t="shared" si="20"/>
        <v>0</v>
      </c>
      <c r="S37">
        <v>1</v>
      </c>
      <c r="T37">
        <v>0</v>
      </c>
      <c r="U37">
        <v>0</v>
      </c>
      <c r="V37">
        <f t="shared" si="1"/>
        <v>0</v>
      </c>
      <c r="W37">
        <f t="shared" ref="W37:W50" si="32">0.1604 * ($AL$11*100) - 1.037</f>
        <v>8.5869999999999997</v>
      </c>
      <c r="X37">
        <f t="shared" si="2"/>
        <v>8.8094662341313065E-3</v>
      </c>
      <c r="Y37">
        <f t="shared" si="3"/>
        <v>1.2257699173903274</v>
      </c>
      <c r="Z37">
        <f t="shared" si="4"/>
        <v>5.1913799715999973</v>
      </c>
      <c r="AA37">
        <f>(Z37 * (1 -AL$11) + (0.04 * Z37)) * ( 1 - AY$11 )</f>
        <v>1.918734037503359</v>
      </c>
      <c r="AB37">
        <f>AA37 * AW$11 * AS$11 * AU$11 * AX$11</f>
        <v>9.0270757011782037E-5</v>
      </c>
      <c r="AC37">
        <f>AA37 * AW$11 * AT$11 * AV$11 * AX$11</f>
        <v>1.0807759127164039E-3</v>
      </c>
      <c r="AD37">
        <f>J37*AB37*91.25</f>
        <v>2.0593016443312777</v>
      </c>
      <c r="AE37">
        <f>J37*AC37*91.25</f>
        <v>24.655200508842963</v>
      </c>
      <c r="AF37">
        <f>((0.3 * Z37 * $AP$11 * (1 - ($AL$11 + 0.1)) + (0.105 * $W37 * $Z37 * 0.008) + (0.0152 * $Z37)) / 6.25) + (0.08 * 0.032 * $T37 / 6.38)</f>
        <v>2.609235749732295E-2</v>
      </c>
      <c r="AG37">
        <f t="shared" si="5"/>
        <v>595.23190540767985</v>
      </c>
      <c r="AH37">
        <f>(Z37 * $AP$11 / 6.25) + (0.032 * T37 / 6.38) - X37 - AF37 - ((1.1 * (10 ^ -4) * (K37 ^ 0.75)) / 6.25)</f>
        <v>4.715487711779312E-2</v>
      </c>
      <c r="AI37">
        <f t="shared" si="6"/>
        <v>1075.7206342496556</v>
      </c>
      <c r="CB37" t="s">
        <v>65</v>
      </c>
      <c r="CC37" t="s">
        <v>62</v>
      </c>
      <c r="CD37">
        <v>0.2</v>
      </c>
      <c r="CE37">
        <v>0.09</v>
      </c>
      <c r="CF37">
        <v>0.06</v>
      </c>
      <c r="CG37">
        <v>0.2</v>
      </c>
      <c r="CO37" s="2" t="s">
        <v>78</v>
      </c>
      <c r="CP37" s="2">
        <v>0.64</v>
      </c>
    </row>
    <row r="38" spans="8:95" x14ac:dyDescent="0.2">
      <c r="I38" t="s">
        <v>57</v>
      </c>
      <c r="J38">
        <v>150</v>
      </c>
      <c r="K38">
        <v>260</v>
      </c>
      <c r="L38">
        <v>0.4</v>
      </c>
      <c r="M38" cm="1">
        <f t="array" ref="M38">_xlfn.XLOOKUP(H$11,$CA$169:$CJ$169,_xlfn.XLOOKUP($E$11,$BZ$170:$BZ$176,$CA$170:$CJ$176))</f>
        <v>700</v>
      </c>
      <c r="N38">
        <f t="shared" si="0"/>
        <v>0.37142857142857144</v>
      </c>
      <c r="Q38">
        <f t="shared" si="20"/>
        <v>0</v>
      </c>
      <c r="S38">
        <v>1</v>
      </c>
      <c r="T38">
        <v>0</v>
      </c>
      <c r="U38">
        <v>0</v>
      </c>
      <c r="V38">
        <f t="shared" si="1"/>
        <v>0</v>
      </c>
      <c r="W38">
        <f t="shared" ref="W38:W50" si="33">0.1604 * ($AM$11*100) - 1.037</f>
        <v>6.9829999999999997</v>
      </c>
      <c r="X38">
        <f t="shared" si="2"/>
        <v>4.8222663042772011E-3</v>
      </c>
      <c r="Y38">
        <f t="shared" si="3"/>
        <v>1.1183986897081921</v>
      </c>
      <c r="Z38">
        <f t="shared" si="4"/>
        <v>5.3621886096000004</v>
      </c>
      <c r="AA38">
        <f>(Z38 * (1 -AM$11) + (0.04 * Z38)) * ( 1 - AY$11 )</f>
        <v>2.4322887533145603</v>
      </c>
      <c r="AB38">
        <f>AA38 * AW$11 * AS$11 * AU$11 * AX$11</f>
        <v>1.1443198626874025E-4</v>
      </c>
      <c r="AC38">
        <f>AA38 * AW$11 * AT$11 * AV$11 * AX$11</f>
        <v>1.3700487123134107E-3</v>
      </c>
      <c r="AD38">
        <f>J38*AB38*91.25</f>
        <v>1.5662878120533821</v>
      </c>
      <c r="AE38">
        <f>J38*AC38*91.25</f>
        <v>18.75254174978981</v>
      </c>
      <c r="AF38">
        <f>((0.3 * Z38 * $AQ$11 * (1 - ($AM$11 + 0.1)) + (0.105 * $W38 * $Z38 * 0.008) + (0.0152 * $Z38)) / 6.25) + (0.08 * 0.032 * $T38 / 6.38)</f>
        <v>2.4250579492182869E-2</v>
      </c>
      <c r="AG38">
        <f t="shared" si="5"/>
        <v>331.92980679925302</v>
      </c>
      <c r="AH38">
        <f>(Z38 * $AQ$11 / 6.25) + (0.032 * T38 / 6.38) - X38 - AF38 - ((1.1 * (10 ^ -4) * (K38 ^ 0.75)) / 6.25)</f>
        <v>2.126459047056365E-2</v>
      </c>
      <c r="AI38">
        <f t="shared" si="6"/>
        <v>291.05908206583996</v>
      </c>
      <c r="CB38" t="s">
        <v>65</v>
      </c>
      <c r="CC38" t="s">
        <v>63</v>
      </c>
      <c r="CD38">
        <v>0.04</v>
      </c>
      <c r="CE38">
        <v>0.12</v>
      </c>
      <c r="CF38">
        <v>0.09</v>
      </c>
      <c r="CG38">
        <v>0.06</v>
      </c>
      <c r="CO38" s="2" t="s">
        <v>79</v>
      </c>
      <c r="CP38" s="2">
        <v>7.0000000000000007E-2</v>
      </c>
    </row>
    <row r="39" spans="8:95" x14ac:dyDescent="0.2">
      <c r="H39" t="s">
        <v>49</v>
      </c>
      <c r="I39" t="s">
        <v>54</v>
      </c>
      <c r="J39">
        <v>20</v>
      </c>
      <c r="K39" cm="1">
        <f t="array" ref="K39:K42">_xlfn.XLOOKUP(H39, $CA$46:$CJ$46, $CA$47:$CJ$50)</f>
        <v>380</v>
      </c>
      <c r="L39" cm="1">
        <f t="array" ref="L39:L42">_xlfn.XLOOKUP(H39, $CA$106:$CJ$106, $CA$107:$CJ$110)</f>
        <v>0.4</v>
      </c>
      <c r="M39" cm="1">
        <f t="array" ref="M39">_xlfn.XLOOKUP(H$11,$CA$169:$CJ$169,_xlfn.XLOOKUP($E$11,$BZ$170:$BZ$176,$CA$170:$CJ$176))</f>
        <v>700</v>
      </c>
      <c r="N39">
        <f t="shared" si="0"/>
        <v>0.54285714285714282</v>
      </c>
      <c r="Q39">
        <f t="shared" si="20"/>
        <v>0</v>
      </c>
      <c r="S39">
        <v>1</v>
      </c>
      <c r="T39">
        <v>0</v>
      </c>
      <c r="U39">
        <v>0</v>
      </c>
      <c r="V39">
        <f t="shared" si="1"/>
        <v>0</v>
      </c>
      <c r="W39">
        <f t="shared" ref="W39:W50" si="34">0.1604 * ($AJ$11*100) - 1.037</f>
        <v>7.785000000000001</v>
      </c>
      <c r="X39">
        <f t="shared" si="2"/>
        <v>4.4573762044900758E-3</v>
      </c>
      <c r="Y39">
        <f t="shared" si="3"/>
        <v>1.101888665936833</v>
      </c>
      <c r="Z39">
        <f t="shared" si="4"/>
        <v>7.0796437775999967</v>
      </c>
      <c r="AA39">
        <f>(Z39 * (1 -AJ$11) + (0.04 * Z39)) * ( 1 - AY$11 )</f>
        <v>2.9139813788601581</v>
      </c>
      <c r="AB39">
        <f>AA39 * AW$11 * AS$11 * AU$11 * AX$11</f>
        <v>1.37094198490489E-4</v>
      </c>
      <c r="AC39">
        <f>AA39 * AW$11 * AT$11 * AV$11 * AX$11</f>
        <v>1.6413743764477724E-3</v>
      </c>
      <c r="AD39">
        <f>J39*AB39*91.25</f>
        <v>0.2501969122451424</v>
      </c>
      <c r="AE39">
        <f>J39*AC39*91.25</f>
        <v>2.995508237017185</v>
      </c>
      <c r="AF39">
        <f>((0.3 * Z39 * $AN$11 * (1 - ($AJ$11 + 0.1)) + (0.105 * $W39 * $Z39 * 0.008) + (0.0152 * $Z39)) / 6.25) + (0.08 * 0.032 * $T39 / 6.38)</f>
        <v>3.2950814352658779E-2</v>
      </c>
      <c r="AG39">
        <f t="shared" si="5"/>
        <v>60.135236193602275</v>
      </c>
      <c r="AH39">
        <f>(Z39 * $AN$11 / 6.25) + (0.032 * T39 / 6.38) - X39 - AF39 - ((1.1 * (10 ^ -4) * (K39 ^ 0.75)) / 6.25)</f>
        <v>4.0369036951584052E-2</v>
      </c>
      <c r="AI39">
        <f t="shared" si="6"/>
        <v>73.673492436640899</v>
      </c>
      <c r="CB39" t="s">
        <v>65</v>
      </c>
      <c r="CC39" t="s">
        <v>71</v>
      </c>
      <c r="CD39">
        <v>0.04</v>
      </c>
      <c r="CE39">
        <v>0.12</v>
      </c>
      <c r="CF39">
        <v>0.09</v>
      </c>
      <c r="CG39">
        <v>0.06</v>
      </c>
      <c r="CO39" s="2" t="s">
        <v>80</v>
      </c>
      <c r="CP39" s="2">
        <v>0.18</v>
      </c>
    </row>
    <row r="40" spans="8:95" x14ac:dyDescent="0.2">
      <c r="I40" t="s">
        <v>55</v>
      </c>
      <c r="J40">
        <v>30</v>
      </c>
      <c r="K40">
        <v>420</v>
      </c>
      <c r="L40">
        <v>0.4</v>
      </c>
      <c r="M40" cm="1">
        <f t="array" ref="M40">_xlfn.XLOOKUP(H$11,$CA$169:$CJ$169,_xlfn.XLOOKUP($E$11,$BZ$170:$BZ$176,$CA$170:$CJ$176))</f>
        <v>700</v>
      </c>
      <c r="N40">
        <f t="shared" si="0"/>
        <v>0.6</v>
      </c>
      <c r="Q40">
        <f t="shared" si="20"/>
        <v>0</v>
      </c>
      <c r="S40">
        <v>1</v>
      </c>
      <c r="T40">
        <v>0</v>
      </c>
      <c r="U40">
        <v>0</v>
      </c>
      <c r="V40">
        <f t="shared" si="1"/>
        <v>0</v>
      </c>
      <c r="W40">
        <f t="shared" ref="W40:W50" si="35">0.1604 * ($AK$11*100) - 1.037</f>
        <v>9.3889999999999993</v>
      </c>
      <c r="X40">
        <f t="shared" si="2"/>
        <v>4.3952659380239326E-3</v>
      </c>
      <c r="Y40">
        <f t="shared" si="3"/>
        <v>1.0979922441560788</v>
      </c>
      <c r="Z40">
        <f t="shared" si="4"/>
        <v>7.6129639056</v>
      </c>
      <c r="AA40">
        <f>(Z40 * (1 -AK$11) + (0.04 * Z40)) * ( 1 - AY$11 )</f>
        <v>2.49400697547456</v>
      </c>
      <c r="AB40">
        <f>AA40 * AW$11 * AS$11 * AU$11 * AX$11</f>
        <v>1.1733564593543065E-4</v>
      </c>
      <c r="AC40">
        <f>AA40 * AW$11 * AT$11 * AV$11 * AX$11</f>
        <v>1.4048130759940598E-3</v>
      </c>
      <c r="AD40">
        <f>J40*AB40*91.25</f>
        <v>0.3212063307482414</v>
      </c>
      <c r="AE40">
        <f>J40*AC40*91.25</f>
        <v>3.8456757955337388</v>
      </c>
      <c r="AF40">
        <f>((0.3 * Z40 * $AO$11 * (1 - ($AK$11 + 0.1)) + (0.105 * $W40 * $Z40 * 0.008) + (0.0152 * $Z40)) / 6.25) + (0.08 * 0.032 * $T40 / 6.38)</f>
        <v>3.9997610985095973E-2</v>
      </c>
      <c r="AG40">
        <f t="shared" si="5"/>
        <v>109.49346007170021</v>
      </c>
      <c r="AH40">
        <f>(Z40 * $AO$11 / 6.25) + (0.032 * T40 / 6.38) - X40 - AF40 - ((1.1 * (10 ^ -4) * (K40 ^ 0.75)) / 6.25)</f>
        <v>0.11232390973672315</v>
      </c>
      <c r="AI40">
        <f t="shared" si="6"/>
        <v>307.48670290427964</v>
      </c>
      <c r="CO40" s="2" t="s">
        <v>93</v>
      </c>
      <c r="CP40" s="2">
        <v>0.22</v>
      </c>
    </row>
    <row r="41" spans="8:95" x14ac:dyDescent="0.2">
      <c r="I41" t="s">
        <v>56</v>
      </c>
      <c r="J41">
        <v>60</v>
      </c>
      <c r="K41">
        <v>450</v>
      </c>
      <c r="L41">
        <v>0.3</v>
      </c>
      <c r="M41" cm="1">
        <f t="array" ref="M41">_xlfn.XLOOKUP(H$11,$CA$169:$CJ$169,_xlfn.XLOOKUP($E$11,$BZ$170:$BZ$176,$CA$170:$CJ$176))</f>
        <v>700</v>
      </c>
      <c r="N41">
        <f t="shared" si="0"/>
        <v>0.6428571428571429</v>
      </c>
      <c r="Q41">
        <f t="shared" si="20"/>
        <v>0</v>
      </c>
      <c r="S41">
        <v>1</v>
      </c>
      <c r="T41">
        <v>0</v>
      </c>
      <c r="U41">
        <v>0</v>
      </c>
      <c r="V41">
        <f t="shared" si="1"/>
        <v>0</v>
      </c>
      <c r="W41">
        <f t="shared" ref="W41:W50" si="36">0.1604 * ($AL$11*100) - 1.037</f>
        <v>8.5869999999999997</v>
      </c>
      <c r="X41">
        <f t="shared" si="2"/>
        <v>3.2704391105132001E-3</v>
      </c>
      <c r="Y41">
        <f t="shared" si="3"/>
        <v>1.0711847727263619</v>
      </c>
      <c r="Z41">
        <f t="shared" si="4"/>
        <v>7.8176159999999992</v>
      </c>
      <c r="AA41">
        <f>(Z41 * (1 -AL$11) + (0.04 * Z41)) * ( 1 - AY$11 )</f>
        <v>2.8893908736</v>
      </c>
      <c r="AB41">
        <f>AA41 * AW$11 * AS$11 * AU$11 * AX$11</f>
        <v>1.3593728800589413E-4</v>
      </c>
      <c r="AC41">
        <f>AA41 * AW$11 * AT$11 * AV$11 * AX$11</f>
        <v>1.627523146810294E-3</v>
      </c>
      <c r="AD41">
        <f>J41*AB41*91.25</f>
        <v>0.7442566518322703</v>
      </c>
      <c r="AE41">
        <f>J41*AC41*91.25</f>
        <v>8.9106892287863602</v>
      </c>
      <c r="AF41">
        <f>((0.3 * Z41 * $AP$11 * (1 - ($AL$11 + 0.1)) + (0.105 * $W41 * $Z41 * 0.008) + (0.0152 * $Z41)) / 6.25) + (0.08 * 0.032 * $T41 / 6.38)</f>
        <v>3.9292063490764792E-2</v>
      </c>
      <c r="AG41">
        <f t="shared" si="5"/>
        <v>215.12404761193724</v>
      </c>
      <c r="AH41">
        <f>(Z41 * $AP$11 / 6.25) + (0.032 * T41 / 6.38) - X41 - AF41 - ((1.1 * (10 ^ -4) * (K41 ^ 0.75)) / 6.25)</f>
        <v>8.0799774713899861E-2</v>
      </c>
      <c r="AI41">
        <f t="shared" si="6"/>
        <v>442.3787665586018</v>
      </c>
      <c r="CO41" s="2" t="s">
        <v>94</v>
      </c>
      <c r="CP41" s="2">
        <v>0.71</v>
      </c>
    </row>
    <row r="42" spans="8:95" x14ac:dyDescent="0.2">
      <c r="I42" t="s">
        <v>57</v>
      </c>
      <c r="J42">
        <v>30</v>
      </c>
      <c r="K42">
        <v>460</v>
      </c>
      <c r="L42">
        <v>0.1</v>
      </c>
      <c r="M42" cm="1">
        <f t="array" ref="M42">_xlfn.XLOOKUP(H$11,$CA$169:$CJ$169,_xlfn.XLOOKUP($E$11,$BZ$170:$BZ$176,$CA$170:$CJ$176))</f>
        <v>700</v>
      </c>
      <c r="N42">
        <f t="shared" si="0"/>
        <v>0.65714285714285714</v>
      </c>
      <c r="Q42">
        <f t="shared" si="20"/>
        <v>0</v>
      </c>
      <c r="S42">
        <v>1</v>
      </c>
      <c r="T42">
        <v>0</v>
      </c>
      <c r="U42">
        <v>0</v>
      </c>
      <c r="V42">
        <f t="shared" si="1"/>
        <v>0</v>
      </c>
      <c r="W42">
        <f t="shared" ref="W42:W50" si="37">0.1604 * ($AM$11*100) - 1.037</f>
        <v>6.9829999999999997</v>
      </c>
      <c r="X42">
        <f t="shared" si="2"/>
        <v>1.0877612529861292E-3</v>
      </c>
      <c r="Y42">
        <f t="shared" si="3"/>
        <v>1.0232680056743308</v>
      </c>
      <c r="Z42">
        <f t="shared" si="4"/>
        <v>7.5885924675999998</v>
      </c>
      <c r="AA42">
        <f>(Z42 * (1 -AM$11) + (0.04 * Z42)) * ( 1 - AY$11 )</f>
        <v>3.4421855433033599</v>
      </c>
      <c r="AB42">
        <f>AA42 * AW$11 * AS$11 * AU$11 * AX$11</f>
        <v>1.6194464094321492E-4</v>
      </c>
      <c r="AC42">
        <f>AA42 * AW$11 * AT$11 * AV$11 * AX$11</f>
        <v>1.9388988518406825E-3</v>
      </c>
      <c r="AD42">
        <f>J42*AB42*91.25</f>
        <v>0.4433234545820508</v>
      </c>
      <c r="AE42">
        <f>J42*AC42*91.25</f>
        <v>5.3077356069138686</v>
      </c>
      <c r="AF42">
        <f>((0.3 * Z42 * $AQ$11 * (1 - ($AM$11 + 0.1)) + (0.105 * $W42 * $Z42 * 0.008) + (0.0152 * $Z42)) / 6.25) + (0.08 * 0.032 * $T42 / 6.38)</f>
        <v>3.4319524781326508E-2</v>
      </c>
      <c r="AG42">
        <f t="shared" si="5"/>
        <v>93.949699088881317</v>
      </c>
      <c r="AH42">
        <f>(Z42 * $AQ$11 / 6.25) + (0.032 * T42 / 6.38) - X42 - AF42 - ((1.1 * (10 ^ -4) * (K42 ^ 0.75)) / 6.25)</f>
        <v>3.569504220715481E-2</v>
      </c>
      <c r="AI42">
        <f t="shared" si="6"/>
        <v>97.715178042086293</v>
      </c>
      <c r="CO42" s="2" t="s">
        <v>95</v>
      </c>
      <c r="CP42" s="2">
        <v>0.56000000000000005</v>
      </c>
    </row>
    <row r="43" spans="8:95" x14ac:dyDescent="0.2">
      <c r="H43" t="s">
        <v>50</v>
      </c>
      <c r="I43" t="s">
        <v>54</v>
      </c>
      <c r="J43">
        <v>100</v>
      </c>
      <c r="K43" cm="1">
        <f t="array" ref="K43:K46">_xlfn.XLOOKUP(H43, $CA$46:$CJ$46, $CA$47:$CJ$50)</f>
        <v>380</v>
      </c>
      <c r="L43" cm="1">
        <f t="array" ref="L43:L46">_xlfn.XLOOKUP(H43, $CA$106:$CJ$106, $CA$107:$CJ$110)</f>
        <v>0.4</v>
      </c>
      <c r="M43" cm="1">
        <f t="array" ref="M43">_xlfn.XLOOKUP(H$11,$CA$169:$CJ$169,_xlfn.XLOOKUP($E$11,$BZ$170:$BZ$176,$CA$170:$CJ$176))</f>
        <v>700</v>
      </c>
      <c r="N43">
        <f t="shared" si="0"/>
        <v>0.54285714285714282</v>
      </c>
      <c r="Q43">
        <f t="shared" si="20"/>
        <v>0</v>
      </c>
      <c r="S43">
        <v>1</v>
      </c>
      <c r="T43">
        <v>0</v>
      </c>
      <c r="U43">
        <v>0</v>
      </c>
      <c r="V43">
        <f t="shared" si="1"/>
        <v>0</v>
      </c>
      <c r="W43">
        <f t="shared" ref="W43:W50" si="38">0.1604 * ($AJ$11*100) - 1.037</f>
        <v>7.785000000000001</v>
      </c>
      <c r="X43">
        <f t="shared" si="2"/>
        <v>4.4573762044900758E-3</v>
      </c>
      <c r="Y43">
        <f t="shared" si="3"/>
        <v>1.101888665936833</v>
      </c>
      <c r="Z43">
        <f t="shared" si="4"/>
        <v>7.0796437775999967</v>
      </c>
      <c r="AA43">
        <f>(Z43 * (1 -AJ$11) + (0.04 * Z43)) * ( 1 - AY$11 )</f>
        <v>2.9139813788601581</v>
      </c>
      <c r="AB43">
        <f>AA43 * AW$11 * AS$11 * AU$11 * AX$11</f>
        <v>1.37094198490489E-4</v>
      </c>
      <c r="AC43">
        <f>AA43 * AW$11 * AT$11 * AV$11 * AX$11</f>
        <v>1.6413743764477724E-3</v>
      </c>
      <c r="AD43">
        <f>J43*AB43*91.25</f>
        <v>1.2509845612257122</v>
      </c>
      <c r="AE43">
        <f>J43*AC43*91.25</f>
        <v>14.977541185085922</v>
      </c>
      <c r="AF43">
        <f>((0.3 * Z43 * $AN$11 * (1 - ($AJ$11 + 0.1)) + (0.105 * $W43 * $Z43 * 0.008) + (0.0152 * $Z43)) / 6.25) + (0.08 * 0.032 * $T43 / 6.38)</f>
        <v>3.2950814352658779E-2</v>
      </c>
      <c r="AG43">
        <f t="shared" si="5"/>
        <v>300.67618096801135</v>
      </c>
      <c r="AH43">
        <f>(Z43 * $AN$11 / 6.25) + (0.032 * T43 / 6.38) - X43 - AF43 - ((1.1 * (10 ^ -4) * (K43 ^ 0.75)) / 6.25)</f>
        <v>4.0369036951584052E-2</v>
      </c>
      <c r="AI43">
        <f t="shared" si="6"/>
        <v>368.36746218320445</v>
      </c>
      <c r="CN43" t="s">
        <v>65</v>
      </c>
      <c r="CO43" s="2" t="s">
        <v>194</v>
      </c>
      <c r="CP43" s="2">
        <v>0.51</v>
      </c>
    </row>
    <row r="44" spans="8:95" x14ac:dyDescent="0.2">
      <c r="I44" t="s">
        <v>55</v>
      </c>
      <c r="J44">
        <v>110</v>
      </c>
      <c r="K44">
        <v>420</v>
      </c>
      <c r="L44">
        <v>0.4</v>
      </c>
      <c r="M44" cm="1">
        <f t="array" ref="M44">_xlfn.XLOOKUP(H$11,$CA$169:$CJ$169,_xlfn.XLOOKUP($E$11,$BZ$170:$BZ$176,$CA$170:$CJ$176))</f>
        <v>700</v>
      </c>
      <c r="N44">
        <f t="shared" si="0"/>
        <v>0.6</v>
      </c>
      <c r="Q44">
        <f t="shared" si="20"/>
        <v>0</v>
      </c>
      <c r="S44">
        <v>1</v>
      </c>
      <c r="T44">
        <v>0</v>
      </c>
      <c r="U44">
        <v>0</v>
      </c>
      <c r="V44">
        <f t="shared" si="1"/>
        <v>0</v>
      </c>
      <c r="W44">
        <f t="shared" ref="W44:W50" si="39">0.1604 * ($AK$11*100) - 1.037</f>
        <v>9.3889999999999993</v>
      </c>
      <c r="X44">
        <f t="shared" si="2"/>
        <v>4.3952659380239326E-3</v>
      </c>
      <c r="Y44">
        <f t="shared" si="3"/>
        <v>1.0979922441560788</v>
      </c>
      <c r="Z44">
        <f t="shared" si="4"/>
        <v>7.6129639056</v>
      </c>
      <c r="AA44">
        <f>(Z44 * (1 -AK$11) + (0.04 * Z44)) * ( 1 - AY$11 )</f>
        <v>2.49400697547456</v>
      </c>
      <c r="AB44">
        <f>AA44 * AW$11 * AS$11 * AU$11 * AX$11</f>
        <v>1.1733564593543065E-4</v>
      </c>
      <c r="AC44">
        <f>AA44 * AW$11 * AT$11 * AV$11 * AX$11</f>
        <v>1.4048130759940598E-3</v>
      </c>
      <c r="AD44">
        <f>J44*AB44*91.25</f>
        <v>1.1777565460768851</v>
      </c>
      <c r="AE44">
        <f>J44*AC44*91.25</f>
        <v>14.100811250290375</v>
      </c>
      <c r="AF44">
        <f>((0.3 * Z44 * $AO$11 * (1 - ($AK$11 + 0.1)) + (0.105 * $W44 * $Z44 * 0.008) + (0.0152 * $Z44)) / 6.25) + (0.08 * 0.032 * $T44 / 6.38)</f>
        <v>3.9997610985095973E-2</v>
      </c>
      <c r="AG44">
        <f t="shared" si="5"/>
        <v>401.47602026290087</v>
      </c>
      <c r="AH44">
        <f>(Z44 * $AO$11 / 6.25) + (0.032 * T44 / 6.38) - X44 - AF44 - ((1.1 * (10 ^ -4) * (K44 ^ 0.75)) / 6.25)</f>
        <v>0.11232390973672315</v>
      </c>
      <c r="AI44">
        <f t="shared" si="6"/>
        <v>1127.4512439823586</v>
      </c>
      <c r="CN44" t="s">
        <v>65</v>
      </c>
      <c r="CO44" s="2" t="s">
        <v>62</v>
      </c>
      <c r="CP44" s="2">
        <v>0.89</v>
      </c>
    </row>
    <row r="45" spans="8:95" x14ac:dyDescent="0.2">
      <c r="I45" t="s">
        <v>56</v>
      </c>
      <c r="J45">
        <v>120</v>
      </c>
      <c r="K45">
        <v>450</v>
      </c>
      <c r="L45">
        <v>0.3</v>
      </c>
      <c r="M45" cm="1">
        <f t="array" ref="M45">_xlfn.XLOOKUP(H$11,$CA$169:$CJ$169,_xlfn.XLOOKUP($E$11,$BZ$170:$BZ$176,$CA$170:$CJ$176))</f>
        <v>700</v>
      </c>
      <c r="N45">
        <f t="shared" si="0"/>
        <v>0.6428571428571429</v>
      </c>
      <c r="Q45">
        <f t="shared" si="20"/>
        <v>0</v>
      </c>
      <c r="S45">
        <v>1</v>
      </c>
      <c r="T45">
        <v>0</v>
      </c>
      <c r="U45">
        <v>0</v>
      </c>
      <c r="V45">
        <f t="shared" si="1"/>
        <v>0</v>
      </c>
      <c r="W45">
        <f t="shared" ref="W45:W50" si="40">0.1604 * ($AL$11*100) - 1.037</f>
        <v>8.5869999999999997</v>
      </c>
      <c r="X45">
        <f t="shared" si="2"/>
        <v>3.2704391105132001E-3</v>
      </c>
      <c r="Y45">
        <f t="shared" si="3"/>
        <v>1.0711847727263619</v>
      </c>
      <c r="Z45">
        <f t="shared" si="4"/>
        <v>7.8176159999999992</v>
      </c>
      <c r="AA45">
        <f>(Z45 * (1 -AL$11) + (0.04 * Z45)) * ( 1 - AY$11 )</f>
        <v>2.8893908736</v>
      </c>
      <c r="AB45">
        <f>AA45 * AW$11 * AS$11 * AU$11 * AX$11</f>
        <v>1.3593728800589413E-4</v>
      </c>
      <c r="AC45">
        <f>AA45 * AW$11 * AT$11 * AV$11 * AX$11</f>
        <v>1.627523146810294E-3</v>
      </c>
      <c r="AD45">
        <f>J45*AB45*91.25</f>
        <v>1.4885133036645406</v>
      </c>
      <c r="AE45">
        <f>J45*AC45*91.25</f>
        <v>17.82137845757272</v>
      </c>
      <c r="AF45">
        <f>((0.3 * Z45 * $AP$11 * (1 - ($AL$11 + 0.1)) + (0.105 * $W45 * $Z45 * 0.008) + (0.0152 * $Z45)) / 6.25) + (0.08 * 0.032 * $T45 / 6.38)</f>
        <v>3.9292063490764792E-2</v>
      </c>
      <c r="AG45">
        <f t="shared" si="5"/>
        <v>430.24809522387449</v>
      </c>
      <c r="AH45">
        <f>(Z45 * $AP$11 / 6.25) + (0.032 * T45 / 6.38) - X45 - AF45 - ((1.1 * (10 ^ -4) * (K45 ^ 0.75)) / 6.25)</f>
        <v>8.0799774713899861E-2</v>
      </c>
      <c r="AI45">
        <f t="shared" si="6"/>
        <v>884.75753311720359</v>
      </c>
      <c r="CA45" s="4" t="s">
        <v>66</v>
      </c>
      <c r="CB45" s="4" t="s">
        <v>66</v>
      </c>
      <c r="CC45" s="4" t="s">
        <v>67</v>
      </c>
      <c r="CD45" s="4" t="s">
        <v>67</v>
      </c>
      <c r="CE45" s="4" t="s">
        <v>67</v>
      </c>
      <c r="CF45" s="4" t="s">
        <v>67</v>
      </c>
      <c r="CG45" s="4" t="s">
        <v>68</v>
      </c>
      <c r="CH45" s="4" t="s">
        <v>68</v>
      </c>
      <c r="CI45" s="4" t="s">
        <v>68</v>
      </c>
      <c r="CJ45" s="4" t="s">
        <v>68</v>
      </c>
      <c r="CN45" t="s">
        <v>65</v>
      </c>
      <c r="CO45" s="2" t="s">
        <v>63</v>
      </c>
      <c r="CP45" s="2">
        <v>0.28000000000000003</v>
      </c>
    </row>
    <row r="46" spans="8:95" x14ac:dyDescent="0.2">
      <c r="I46" t="s">
        <v>57</v>
      </c>
      <c r="J46">
        <v>130</v>
      </c>
      <c r="K46">
        <v>460</v>
      </c>
      <c r="L46">
        <v>0.1</v>
      </c>
      <c r="M46" cm="1">
        <f t="array" ref="M46">_xlfn.XLOOKUP(H$11,$CA$169:$CJ$169,_xlfn.XLOOKUP($E$11,$BZ$170:$BZ$176,$CA$170:$CJ$176))</f>
        <v>700</v>
      </c>
      <c r="N46">
        <f t="shared" si="0"/>
        <v>0.65714285714285714</v>
      </c>
      <c r="Q46">
        <f t="shared" si="20"/>
        <v>0</v>
      </c>
      <c r="S46">
        <v>1</v>
      </c>
      <c r="T46">
        <v>0</v>
      </c>
      <c r="U46">
        <v>0</v>
      </c>
      <c r="V46">
        <f t="shared" si="1"/>
        <v>0</v>
      </c>
      <c r="W46">
        <f t="shared" ref="W46:W50" si="41">0.1604 * ($AM$11*100) - 1.037</f>
        <v>6.9829999999999997</v>
      </c>
      <c r="X46">
        <f t="shared" si="2"/>
        <v>1.0877612529861292E-3</v>
      </c>
      <c r="Y46">
        <f t="shared" si="3"/>
        <v>1.0232680056743308</v>
      </c>
      <c r="Z46">
        <f t="shared" si="4"/>
        <v>7.5885924675999998</v>
      </c>
      <c r="AA46">
        <f>(Z46 * (1 -AM$11) + (0.04 * Z46)) * ( 1 - AY$11 )</f>
        <v>3.4421855433033599</v>
      </c>
      <c r="AB46">
        <f>AA46 * AW$11 * AS$11 * AU$11 * AX$11</f>
        <v>1.6194464094321492E-4</v>
      </c>
      <c r="AC46">
        <f>AA46 * AW$11 * AT$11 * AV$11 * AX$11</f>
        <v>1.9388988518406825E-3</v>
      </c>
      <c r="AD46">
        <f>J46*AB46*91.25</f>
        <v>1.9210683031888869</v>
      </c>
      <c r="AE46">
        <f>J46*AC46*91.25</f>
        <v>23.000187629960099</v>
      </c>
      <c r="AF46">
        <f>((0.3 * Z46 * $AQ$11 * (1 - ($AM$11 + 0.1)) + (0.105 * $W46 * $Z46 * 0.008) + (0.0152 * $Z46)) / 6.25) + (0.08 * 0.032 * $T46 / 6.38)</f>
        <v>3.4319524781326508E-2</v>
      </c>
      <c r="AG46">
        <f t="shared" si="5"/>
        <v>407.1153627184857</v>
      </c>
      <c r="AH46">
        <f>(Z46 * $AQ$11 / 6.25) + (0.032 * T46 / 6.38) - X46 - AF46 - ((1.1 * (10 ^ -4) * (K46 ^ 0.75)) / 6.25)</f>
        <v>3.569504220715481E-2</v>
      </c>
      <c r="AI46">
        <f t="shared" si="6"/>
        <v>423.43243818237391</v>
      </c>
      <c r="CA46" s="4" t="s">
        <v>42</v>
      </c>
      <c r="CB46" s="4" t="s">
        <v>43</v>
      </c>
      <c r="CC46" s="4" t="s">
        <v>44</v>
      </c>
      <c r="CD46" s="5" t="s">
        <v>45</v>
      </c>
      <c r="CE46" s="4" t="s">
        <v>46</v>
      </c>
      <c r="CF46" s="4" t="s">
        <v>47</v>
      </c>
      <c r="CG46" s="4" t="s">
        <v>48</v>
      </c>
      <c r="CH46" s="4" t="s">
        <v>49</v>
      </c>
      <c r="CI46" s="4" t="s">
        <v>50</v>
      </c>
      <c r="CJ46" s="4" t="s">
        <v>51</v>
      </c>
      <c r="CN46" t="s">
        <v>65</v>
      </c>
      <c r="CO46" s="2" t="s">
        <v>71</v>
      </c>
      <c r="CP46" s="2">
        <v>0.3</v>
      </c>
    </row>
    <row r="47" spans="8:95" x14ac:dyDescent="0.2">
      <c r="H47" t="s">
        <v>51</v>
      </c>
      <c r="I47" t="s">
        <v>54</v>
      </c>
      <c r="J47">
        <v>50</v>
      </c>
      <c r="K47" cm="1">
        <f t="array" ref="K47:K50">_xlfn.XLOOKUP(H47, $CA$46:$CJ$46, $CA$47:$CJ$50)</f>
        <v>380</v>
      </c>
      <c r="L47" cm="1">
        <f t="array" ref="L47:L50">_xlfn.XLOOKUP(H47, $CA$106:$CJ$106, $CA$107:$CJ$110)</f>
        <v>0.4</v>
      </c>
      <c r="M47" cm="1">
        <f t="array" ref="M47">_xlfn.XLOOKUP(H$11,$CA$169:$CJ$169,_xlfn.XLOOKUP($E$11,$BZ$170:$BZ$176,$CA$170:$CJ$176))</f>
        <v>700</v>
      </c>
      <c r="N47">
        <f t="shared" si="0"/>
        <v>0.54285714285714282</v>
      </c>
      <c r="Q47">
        <f t="shared" si="20"/>
        <v>0</v>
      </c>
      <c r="S47">
        <v>1</v>
      </c>
      <c r="T47">
        <v>0</v>
      </c>
      <c r="U47">
        <v>0</v>
      </c>
      <c r="V47">
        <f t="shared" si="1"/>
        <v>0</v>
      </c>
      <c r="W47">
        <f t="shared" ref="W47:W50" si="42">0.1604 * ($AJ$11*100) - 1.037</f>
        <v>7.785000000000001</v>
      </c>
      <c r="X47">
        <f t="shared" si="2"/>
        <v>4.4573762044900758E-3</v>
      </c>
      <c r="Y47">
        <f t="shared" si="3"/>
        <v>1.101888665936833</v>
      </c>
      <c r="Z47">
        <f t="shared" si="4"/>
        <v>7.0796437775999967</v>
      </c>
      <c r="AA47">
        <f>(Z47 * (1 -AJ$11) + (0.04 * Z47)) * ( 1 - AY$11 )</f>
        <v>2.9139813788601581</v>
      </c>
      <c r="AB47">
        <f>AA47 * AW$11 * AS$11 * AU$11 * AX$11</f>
        <v>1.37094198490489E-4</v>
      </c>
      <c r="AC47">
        <f>AA47 * AW$11 * AT$11 * AV$11 * AX$11</f>
        <v>1.6413743764477724E-3</v>
      </c>
      <c r="AD47">
        <f>J47*AB47*91.25</f>
        <v>0.62549228061285611</v>
      </c>
      <c r="AE47">
        <f>J47*AC47*91.25</f>
        <v>7.4887705925429611</v>
      </c>
      <c r="AF47">
        <f>((0.3 * Z47 * $AN$11 * (1 - ($AJ$11 + 0.1)) + (0.105 * $W47 * $Z47 * 0.008) + (0.0152 * $Z47)) / 6.25) + (0.08 * 0.032 * $T47 / 6.38)</f>
        <v>3.2950814352658779E-2</v>
      </c>
      <c r="AG47">
        <f t="shared" si="5"/>
        <v>150.33809048400568</v>
      </c>
      <c r="AH47">
        <f>(Z47 * $AN$11 / 6.25) + (0.032 * T47 / 6.38) - X47 - AF47 - ((1.1 * (10 ^ -4) * (K47 ^ 0.75)) / 6.25)</f>
        <v>4.0369036951584052E-2</v>
      </c>
      <c r="AI47">
        <f t="shared" si="6"/>
        <v>184.18373109160223</v>
      </c>
      <c r="BX47" t="s">
        <v>53</v>
      </c>
      <c r="BZ47" s="2" t="s">
        <v>54</v>
      </c>
      <c r="CA47" s="2">
        <v>80</v>
      </c>
      <c r="CB47" s="2">
        <v>480</v>
      </c>
      <c r="CC47" s="2">
        <v>75</v>
      </c>
      <c r="CD47" s="2">
        <v>300</v>
      </c>
      <c r="CE47" s="2">
        <v>440</v>
      </c>
      <c r="CF47" s="2">
        <v>440</v>
      </c>
      <c r="CG47" s="2">
        <v>75</v>
      </c>
      <c r="CH47">
        <v>380</v>
      </c>
      <c r="CI47">
        <v>380</v>
      </c>
      <c r="CJ47">
        <v>380</v>
      </c>
    </row>
    <row r="48" spans="8:95" x14ac:dyDescent="0.2">
      <c r="I48" t="s">
        <v>55</v>
      </c>
      <c r="J48">
        <v>55</v>
      </c>
      <c r="K48">
        <v>420</v>
      </c>
      <c r="L48">
        <v>0.4</v>
      </c>
      <c r="M48" cm="1">
        <f t="array" ref="M48">_xlfn.XLOOKUP(H$11,$CA$169:$CJ$169,_xlfn.XLOOKUP($E$11,$BZ$170:$BZ$176,$CA$170:$CJ$176))</f>
        <v>700</v>
      </c>
      <c r="N48">
        <f t="shared" si="0"/>
        <v>0.6</v>
      </c>
      <c r="Q48">
        <f t="shared" si="20"/>
        <v>0</v>
      </c>
      <c r="S48">
        <v>1</v>
      </c>
      <c r="T48">
        <v>0</v>
      </c>
      <c r="U48">
        <v>0</v>
      </c>
      <c r="V48">
        <f t="shared" si="1"/>
        <v>0</v>
      </c>
      <c r="W48">
        <f t="shared" ref="W48:W50" si="43">0.1604 * ($AK$11*100) - 1.037</f>
        <v>9.3889999999999993</v>
      </c>
      <c r="X48">
        <f t="shared" si="2"/>
        <v>4.3952659380239326E-3</v>
      </c>
      <c r="Y48">
        <f t="shared" si="3"/>
        <v>1.0979922441560788</v>
      </c>
      <c r="Z48">
        <f t="shared" si="4"/>
        <v>7.6129639056</v>
      </c>
      <c r="AA48">
        <f>(Z48 * (1 -AK$11) + (0.04 * Z48)) * ( 1 - AY$11 )</f>
        <v>2.49400697547456</v>
      </c>
      <c r="AB48">
        <f>AA48 * AW$11 * AS$11 * AU$11 * AX$11</f>
        <v>1.1733564593543065E-4</v>
      </c>
      <c r="AC48">
        <f>AA48 * AW$11 * AT$11 * AV$11 * AX$11</f>
        <v>1.4048130759940598E-3</v>
      </c>
      <c r="AD48">
        <f>J48*AB48*91.25</f>
        <v>0.58887827303844253</v>
      </c>
      <c r="AE48">
        <f>J48*AC48*91.25</f>
        <v>7.0504056251451876</v>
      </c>
      <c r="AF48">
        <f>((0.3 * Z48 * $AO$11 * (1 - ($AK$11 + 0.1)) + (0.105 * $W48 * $Z48 * 0.008) + (0.0152 * $Z48)) / 6.25) + (0.08 * 0.032 * $T48 / 6.38)</f>
        <v>3.9997610985095973E-2</v>
      </c>
      <c r="AG48">
        <f t="shared" si="5"/>
        <v>200.73801013145044</v>
      </c>
      <c r="AH48">
        <f>(Z48 * $AO$11 / 6.25) + (0.032 * T48 / 6.38) - X48 - AF48 - ((1.1 * (10 ^ -4) * (K48 ^ 0.75)) / 6.25)</f>
        <v>0.11232390973672315</v>
      </c>
      <c r="AI48">
        <f t="shared" si="6"/>
        <v>563.72562199117931</v>
      </c>
      <c r="BZ48" s="2" t="s">
        <v>55</v>
      </c>
      <c r="CA48" s="2">
        <v>170</v>
      </c>
      <c r="CB48" s="2">
        <v>520</v>
      </c>
      <c r="CC48" s="2">
        <v>160</v>
      </c>
      <c r="CD48" s="2">
        <v>360</v>
      </c>
      <c r="CE48">
        <v>470</v>
      </c>
      <c r="CF48">
        <v>470</v>
      </c>
      <c r="CG48">
        <v>160</v>
      </c>
      <c r="CH48">
        <v>420</v>
      </c>
      <c r="CI48">
        <v>420</v>
      </c>
      <c r="CJ48">
        <v>420</v>
      </c>
    </row>
    <row r="49" spans="1:88" x14ac:dyDescent="0.2">
      <c r="I49" t="s">
        <v>56</v>
      </c>
      <c r="J49">
        <v>60</v>
      </c>
      <c r="K49">
        <v>450</v>
      </c>
      <c r="L49">
        <v>0.3</v>
      </c>
      <c r="M49" cm="1">
        <f t="array" ref="M49">_xlfn.XLOOKUP(H$11,$CA$169:$CJ$169,_xlfn.XLOOKUP($E$11,$BZ$170:$BZ$176,$CA$170:$CJ$176))</f>
        <v>700</v>
      </c>
      <c r="N49">
        <f t="shared" si="0"/>
        <v>0.6428571428571429</v>
      </c>
      <c r="Q49">
        <f t="shared" si="20"/>
        <v>0</v>
      </c>
      <c r="S49">
        <v>1</v>
      </c>
      <c r="T49">
        <v>0</v>
      </c>
      <c r="U49">
        <v>0</v>
      </c>
      <c r="V49">
        <f t="shared" si="1"/>
        <v>0</v>
      </c>
      <c r="W49">
        <f t="shared" ref="W49:W50" si="44">0.1604 * ($AL$11*100) - 1.037</f>
        <v>8.5869999999999997</v>
      </c>
      <c r="X49">
        <f t="shared" si="2"/>
        <v>3.2704391105132001E-3</v>
      </c>
      <c r="Y49">
        <f t="shared" si="3"/>
        <v>1.0711847727263619</v>
      </c>
      <c r="Z49">
        <f t="shared" si="4"/>
        <v>7.8176159999999992</v>
      </c>
      <c r="AA49">
        <f>(Z49 * (1 -AL$11) + (0.04 * Z49)) * ( 1 - AY$11 )</f>
        <v>2.8893908736</v>
      </c>
      <c r="AB49">
        <f>AA49 * AW$11 * AS$11 * AU$11 * AX$11</f>
        <v>1.3593728800589413E-4</v>
      </c>
      <c r="AC49">
        <f>AA49 * AW$11 * AT$11 * AV$11 * AX$11</f>
        <v>1.627523146810294E-3</v>
      </c>
      <c r="AD49">
        <f>J49*AB49*91.25</f>
        <v>0.7442566518322703</v>
      </c>
      <c r="AE49">
        <f>J49*AC49*91.25</f>
        <v>8.9106892287863602</v>
      </c>
      <c r="AF49">
        <f>((0.3 * Z49 * $AP$11 * (1 - ($AL$11 + 0.1)) + (0.105 * $W49 * $Z49 * 0.008) + (0.0152 * $Z49)) / 6.25) + (0.08 * 0.032 * $T49 / 6.38)</f>
        <v>3.9292063490764792E-2</v>
      </c>
      <c r="AG49">
        <f t="shared" si="5"/>
        <v>215.12404761193724</v>
      </c>
      <c r="AH49">
        <f>(Z49 * $AP$11 / 6.25) + (0.032 * T49 / 6.38) - X49 - AF49 - ((1.1 * (10 ^ -4) * (K49 ^ 0.75)) / 6.25)</f>
        <v>8.0799774713899861E-2</v>
      </c>
      <c r="AI49">
        <f t="shared" si="6"/>
        <v>442.3787665586018</v>
      </c>
      <c r="BZ49" s="2" t="s">
        <v>56</v>
      </c>
      <c r="CA49" s="2">
        <v>240</v>
      </c>
      <c r="CB49" s="2">
        <v>550</v>
      </c>
      <c r="CC49" s="2">
        <v>220</v>
      </c>
      <c r="CD49" s="2">
        <v>390</v>
      </c>
      <c r="CE49">
        <v>490</v>
      </c>
      <c r="CF49">
        <v>490</v>
      </c>
      <c r="CG49">
        <v>220</v>
      </c>
      <c r="CH49">
        <v>450</v>
      </c>
      <c r="CI49">
        <v>450</v>
      </c>
      <c r="CJ49">
        <v>450</v>
      </c>
    </row>
    <row r="50" spans="1:88" x14ac:dyDescent="0.2">
      <c r="I50" t="s">
        <v>57</v>
      </c>
      <c r="J50">
        <v>65</v>
      </c>
      <c r="K50">
        <v>460</v>
      </c>
      <c r="L50">
        <v>0.1</v>
      </c>
      <c r="M50" cm="1">
        <f t="array" ref="M50">_xlfn.XLOOKUP(H$11,$CA$169:$CJ$169,_xlfn.XLOOKUP($E$11,$BZ$170:$BZ$176,$CA$170:$CJ$176))</f>
        <v>700</v>
      </c>
      <c r="N50">
        <f t="shared" si="0"/>
        <v>0.65714285714285714</v>
      </c>
      <c r="Q50">
        <f t="shared" si="20"/>
        <v>0</v>
      </c>
      <c r="S50">
        <v>1</v>
      </c>
      <c r="T50">
        <v>0</v>
      </c>
      <c r="U50">
        <v>0</v>
      </c>
      <c r="V50">
        <f t="shared" si="1"/>
        <v>0</v>
      </c>
      <c r="W50">
        <f t="shared" ref="W50" si="45">0.1604 * ($AM$11*100) - 1.037</f>
        <v>6.9829999999999997</v>
      </c>
      <c r="X50">
        <f t="shared" si="2"/>
        <v>1.0877612529861292E-3</v>
      </c>
      <c r="Y50">
        <f t="shared" si="3"/>
        <v>1.0232680056743308</v>
      </c>
      <c r="Z50">
        <f t="shared" si="4"/>
        <v>7.5885924675999998</v>
      </c>
      <c r="AA50">
        <f>(Z50 * (1 -AM$11) + (0.04 * Z50)) * ( 1 - AY$11 )</f>
        <v>3.4421855433033599</v>
      </c>
      <c r="AB50">
        <f>AA50 * AW$11 * AS$11 * AU$11 * AX$11</f>
        <v>1.6194464094321492E-4</v>
      </c>
      <c r="AC50">
        <f>AA50 * AW$11 * AT$11 * AV$11 * AX$11</f>
        <v>1.9388988518406825E-3</v>
      </c>
      <c r="AD50">
        <f>J50*AB50*91.25</f>
        <v>0.96053415159444344</v>
      </c>
      <c r="AE50">
        <f>J50*AC50*91.25</f>
        <v>11.500093814980049</v>
      </c>
      <c r="AF50">
        <f>((0.3 * Z50 * $AQ$11 * (1 - ($AM$11 + 0.1)) + (0.105 * $W50 * $Z50 * 0.008) + (0.0152 * $Z50)) / 6.25) + (0.08 * 0.032 * $T50 / 6.38)</f>
        <v>3.4319524781326508E-2</v>
      </c>
      <c r="AG50">
        <f t="shared" si="5"/>
        <v>203.55768135924285</v>
      </c>
      <c r="AH50">
        <f>(Z50 * $AQ$11 / 6.25) + (0.032 * T50 / 6.38) - X50 - AF50 - ((1.1 * (10 ^ -4) * (K50 ^ 0.75)) / 6.25)</f>
        <v>3.569504220715481E-2</v>
      </c>
      <c r="AI50">
        <f t="shared" si="6"/>
        <v>211.71621909118696</v>
      </c>
      <c r="BZ50" s="2" t="s">
        <v>57</v>
      </c>
      <c r="CA50" s="2">
        <v>280</v>
      </c>
      <c r="CB50" s="2">
        <v>560</v>
      </c>
      <c r="CC50" s="2">
        <v>260</v>
      </c>
      <c r="CD50" s="2">
        <v>410</v>
      </c>
      <c r="CE50">
        <v>500</v>
      </c>
      <c r="CF50">
        <v>500</v>
      </c>
      <c r="CG50">
        <v>260</v>
      </c>
      <c r="CH50">
        <v>460</v>
      </c>
      <c r="CI50">
        <v>460</v>
      </c>
      <c r="CJ50">
        <v>460</v>
      </c>
    </row>
    <row r="51" spans="1:88" x14ac:dyDescent="0.2">
      <c r="A51" t="s">
        <v>116</v>
      </c>
      <c r="B51" t="s">
        <v>99</v>
      </c>
      <c r="D51" t="s">
        <v>53</v>
      </c>
      <c r="F51" t="s">
        <v>53</v>
      </c>
      <c r="H51" t="s">
        <v>42</v>
      </c>
      <c r="I51" t="s">
        <v>54</v>
      </c>
      <c r="J51">
        <v>100</v>
      </c>
      <c r="K51" cm="1">
        <f t="array" ref="K51:K54">_xlfn.XLOOKUP(H51, $CA$46:$CJ$46, $CA$47:$CJ$50)</f>
        <v>80</v>
      </c>
      <c r="L51" cm="1">
        <f t="array" ref="L51:L54">_xlfn.XLOOKUP(H51, $CA$106:$CJ$106, $CA$107:$CJ$110)</f>
        <v>0.5</v>
      </c>
      <c r="M51" t="e" cm="1">
        <f t="array" ref="M51">_xlfn.XLOOKUP(H$11,$CA$169:$CJ$169,_xlfn.XLOOKUP($D$11,$BZ$170:$BZ$176,$CA$170:$CJ$176))</f>
        <v>#N/A</v>
      </c>
      <c r="N51" t="e">
        <f t="shared" si="0"/>
        <v>#N/A</v>
      </c>
      <c r="O51">
        <v>0</v>
      </c>
      <c r="Q51">
        <f t="shared" si="20"/>
        <v>0</v>
      </c>
      <c r="S51">
        <v>1</v>
      </c>
      <c r="Z51">
        <f>(1.185 + 0.00454 * K51 - 0.0000026 * K51^2 + 0.315 * L51)^2 * S51</f>
        <v>2.8529236835999998</v>
      </c>
      <c r="AA51">
        <f>(Z51 * (1 -AJ51) + (0.04 * Z51)) * ( 1 - AY$11 )</f>
        <v>1.1742633881697597</v>
      </c>
      <c r="AB51">
        <f>AA51 * AW$51 * AS$51 * AU$51 * AX$51</f>
        <v>5.5245616593758213E-5</v>
      </c>
      <c r="AC51">
        <f>AA51 * AW$11 * AT$11 * AV$11 * AX$11</f>
        <v>6.6143382058828331E-4</v>
      </c>
      <c r="AD51">
        <f>J51*AB51*91.25</f>
        <v>0.50411625141804373</v>
      </c>
      <c r="AE51">
        <f>J51*AC51*91.25</f>
        <v>6.0355836128680851</v>
      </c>
      <c r="AJ51" cm="1">
        <f t="array" ref="AJ51:AM51">_xlfn.XLOOKUP(D51,$CC$18:$CC$26,$CD$18:$CG$26)</f>
        <v>0.55000000000000004</v>
      </c>
      <c r="AK51">
        <v>0.65</v>
      </c>
      <c r="AL51">
        <v>0.6</v>
      </c>
      <c r="AM51">
        <v>0.5</v>
      </c>
      <c r="AR51" t="s">
        <v>91</v>
      </c>
      <c r="AS51">
        <f>IF(AR51="yes", $BY$6, $BZ$6)</f>
        <v>0.05</v>
      </c>
      <c r="AT51">
        <f>IF(AR51="yes", $BY$7, $BZ$7)</f>
        <v>0.95</v>
      </c>
      <c r="AU51">
        <f>VLOOKUP(B51, $CK$17:$CL$26, 2, FALSE)</f>
        <v>7.3000000000000001E-3</v>
      </c>
      <c r="AV51">
        <f>$CL$14</f>
        <v>4.5999999999999999E-3</v>
      </c>
      <c r="AW51">
        <f>$CD$5</f>
        <v>0.19</v>
      </c>
      <c r="AX51">
        <f>$CD$6</f>
        <v>0.6784</v>
      </c>
      <c r="AY51">
        <f>$CD$7</f>
        <v>0.16</v>
      </c>
      <c r="AZ51">
        <f>SUM(AD51:AE90)</f>
        <v>206.47414632961309</v>
      </c>
      <c r="BG51">
        <f>$CD$8</f>
        <v>28</v>
      </c>
      <c r="BR51">
        <f>AZ51 * BG51 * 10^-3</f>
        <v>5.7812760972291661</v>
      </c>
      <c r="BX51" t="s">
        <v>59</v>
      </c>
      <c r="BZ51" s="2" t="s">
        <v>54</v>
      </c>
      <c r="CA51" s="2">
        <v>250</v>
      </c>
      <c r="CB51" s="2">
        <v>800</v>
      </c>
      <c r="CC51" s="2">
        <v>220</v>
      </c>
      <c r="CD51" s="2">
        <v>400</v>
      </c>
      <c r="CE51">
        <v>500</v>
      </c>
      <c r="CF51">
        <v>500</v>
      </c>
      <c r="CG51">
        <v>230</v>
      </c>
      <c r="CH51">
        <v>420</v>
      </c>
      <c r="CI51">
        <v>420</v>
      </c>
      <c r="CJ51">
        <v>420</v>
      </c>
    </row>
    <row r="52" spans="1:88" x14ac:dyDescent="0.2">
      <c r="I52" t="s">
        <v>55</v>
      </c>
      <c r="J52">
        <v>110</v>
      </c>
      <c r="K52">
        <v>170</v>
      </c>
      <c r="L52">
        <v>1</v>
      </c>
      <c r="M52" t="e" cm="1">
        <f t="array" ref="M52">_xlfn.XLOOKUP(H$11,$CA$169:$CJ$169,_xlfn.XLOOKUP($D$11,$BZ$170:$BZ$176,$CA$170:$CJ$176))</f>
        <v>#N/A</v>
      </c>
      <c r="N52" t="e">
        <f t="shared" si="0"/>
        <v>#N/A</v>
      </c>
      <c r="P52">
        <v>0</v>
      </c>
      <c r="Q52">
        <f t="shared" si="20"/>
        <v>0</v>
      </c>
      <c r="S52">
        <v>1</v>
      </c>
      <c r="Z52">
        <f t="shared" ref="Z52:Z66" si="46">(1.185 + 0.00454 * K52 - 0.0000026 * K52^2 + 0.315 * L52)^2 * S52</f>
        <v>4.8253151556000002</v>
      </c>
      <c r="AA52">
        <f>(Z52 * (1 -AK$11) + (0.04 * Z52)) * ( 1 - AY$11 )</f>
        <v>1.58077324497456</v>
      </c>
      <c r="AB52">
        <f>AA52 * AW$51 * AS$51 * AU$51 * AX$51</f>
        <v>7.4370702087247912E-5</v>
      </c>
      <c r="AC52">
        <f>AA52 * AW$11 * AT$11 * AV$11 * AX$11</f>
        <v>8.9041087156513257E-4</v>
      </c>
      <c r="AD52">
        <f>J52*AB52*91.25</f>
        <v>0.74649592220075089</v>
      </c>
      <c r="AE52">
        <f>J52*AC52*91.25</f>
        <v>8.9374991233350194</v>
      </c>
      <c r="BZ52" s="2" t="s">
        <v>55</v>
      </c>
      <c r="CA52" s="2">
        <v>320</v>
      </c>
      <c r="CB52" s="2">
        <v>800</v>
      </c>
      <c r="CC52" s="2">
        <v>280</v>
      </c>
      <c r="CD52" s="2">
        <v>420</v>
      </c>
      <c r="CE52">
        <v>500</v>
      </c>
      <c r="CF52">
        <v>500</v>
      </c>
      <c r="CG52">
        <v>290</v>
      </c>
      <c r="CH52">
        <v>420</v>
      </c>
      <c r="CI52">
        <v>420</v>
      </c>
      <c r="CJ52">
        <v>420</v>
      </c>
    </row>
    <row r="53" spans="1:88" x14ac:dyDescent="0.2">
      <c r="I53" t="s">
        <v>56</v>
      </c>
      <c r="J53">
        <v>120</v>
      </c>
      <c r="K53">
        <v>240</v>
      </c>
      <c r="L53">
        <v>0.8</v>
      </c>
      <c r="M53" t="e" cm="1">
        <f t="array" ref="M53">_xlfn.XLOOKUP(H$11,$CA$169:$CJ$169,_xlfn.XLOOKUP($D$11,$BZ$170:$BZ$176,$CA$170:$CJ$176))</f>
        <v>#N/A</v>
      </c>
      <c r="N53" t="e">
        <f t="shared" si="0"/>
        <v>#N/A</v>
      </c>
      <c r="Q53">
        <f t="shared" si="20"/>
        <v>0</v>
      </c>
      <c r="S53">
        <v>1</v>
      </c>
      <c r="Z53">
        <f t="shared" si="46"/>
        <v>5.6493683855999981</v>
      </c>
      <c r="AA53">
        <f>(Z53 * (1 -AL$11) + (0.04 * Z53)) * ( 1 - AY$11 )</f>
        <v>2.0880065553177594</v>
      </c>
      <c r="AB53">
        <f>AA53 * AW$51 * AS$51 * AU$51 * AX$51</f>
        <v>9.8234527928296858E-5</v>
      </c>
      <c r="AC53">
        <f>AA53 * AW$11 * AT$11 * AV$11 * AX$11</f>
        <v>1.1761229782100196E-3</v>
      </c>
      <c r="AD53">
        <f>J53*AB53*91.25</f>
        <v>1.0756680808148507</v>
      </c>
      <c r="AE53">
        <f>J53*AC53*91.25</f>
        <v>12.878546611399717</v>
      </c>
      <c r="BZ53" s="2" t="s">
        <v>56</v>
      </c>
      <c r="CA53" s="2">
        <v>80</v>
      </c>
      <c r="CB53" s="2">
        <v>700</v>
      </c>
      <c r="CC53" s="2">
        <v>70</v>
      </c>
      <c r="CD53" s="2">
        <v>300</v>
      </c>
      <c r="CE53">
        <v>450</v>
      </c>
      <c r="CF53">
        <v>450</v>
      </c>
      <c r="CG53">
        <v>75</v>
      </c>
      <c r="CH53">
        <v>400</v>
      </c>
      <c r="CI53">
        <v>400</v>
      </c>
      <c r="CJ53">
        <v>400</v>
      </c>
    </row>
    <row r="54" spans="1:88" x14ac:dyDescent="0.2">
      <c r="I54" t="s">
        <v>57</v>
      </c>
      <c r="J54">
        <v>130</v>
      </c>
      <c r="K54">
        <v>280</v>
      </c>
      <c r="L54">
        <v>0.4</v>
      </c>
      <c r="M54" t="e" cm="1">
        <f t="array" ref="M54">_xlfn.XLOOKUP(H$11,$CA$169:$CJ$169,_xlfn.XLOOKUP($D$11,$BZ$170:$BZ$176,$CA$170:$CJ$176))</f>
        <v>#N/A</v>
      </c>
      <c r="N54" t="e">
        <f t="shared" si="0"/>
        <v>#N/A</v>
      </c>
      <c r="Q54">
        <f t="shared" si="20"/>
        <v>0</v>
      </c>
      <c r="S54">
        <v>1</v>
      </c>
      <c r="Z54">
        <f t="shared" si="46"/>
        <v>5.6565962895999995</v>
      </c>
      <c r="AA54">
        <f>(Z54 * (1 -AM$11) + (0.04 * Z54)) * ( 1 - AY$11 )</f>
        <v>2.5658320769625598</v>
      </c>
      <c r="AB54">
        <f>AA54 * AW$51 * AS$51 * AU$51 * AX$51</f>
        <v>1.2071480435814064E-4</v>
      </c>
      <c r="AC54">
        <f>AA54 * AW$11 * AT$11 * AV$11 * AX$11</f>
        <v>1.4452703973837659E-3</v>
      </c>
      <c r="AD54">
        <f>J54*AB54*91.25</f>
        <v>1.4319793666984433</v>
      </c>
      <c r="AE54">
        <f>J54*AC54*91.25</f>
        <v>17.144520088964921</v>
      </c>
      <c r="BZ54" s="2" t="s">
        <v>57</v>
      </c>
      <c r="CA54" s="2">
        <v>160</v>
      </c>
      <c r="CB54" s="2">
        <v>700</v>
      </c>
      <c r="CC54" s="2">
        <v>140</v>
      </c>
      <c r="CD54" s="2">
        <v>350</v>
      </c>
      <c r="CE54" s="2">
        <v>450</v>
      </c>
      <c r="CF54" s="2">
        <v>450</v>
      </c>
      <c r="CG54" s="2">
        <v>150</v>
      </c>
      <c r="CH54">
        <v>400</v>
      </c>
      <c r="CI54">
        <v>400</v>
      </c>
      <c r="CJ54">
        <v>400</v>
      </c>
    </row>
    <row r="55" spans="1:88" x14ac:dyDescent="0.2">
      <c r="H55" t="s">
        <v>43</v>
      </c>
      <c r="I55" t="s">
        <v>54</v>
      </c>
      <c r="K55" cm="1">
        <f t="array" ref="K55:K58">_xlfn.XLOOKUP(H55, $CA$46:$CJ$46, $CA$47:$CJ$50)</f>
        <v>480</v>
      </c>
      <c r="L55" cm="1">
        <f t="array" ref="L55:L58">_xlfn.XLOOKUP(H55, $CA$106:$CJ$106, $CA$107:$CJ$110)</f>
        <v>0.2</v>
      </c>
      <c r="M55" t="e" cm="1">
        <f t="array" ref="M55">_xlfn.XLOOKUP(H$15,$CA$169:$CJ$169,_xlfn.XLOOKUP($D$11,$BZ$170:$BZ$176,$CA$170:$CJ$176))</f>
        <v>#N/A</v>
      </c>
      <c r="N55" t="e">
        <f t="shared" si="0"/>
        <v>#N/A</v>
      </c>
      <c r="Q55">
        <f t="shared" si="20"/>
        <v>0</v>
      </c>
      <c r="S55">
        <v>1</v>
      </c>
      <c r="Z55">
        <f t="shared" si="46"/>
        <v>7.9984889855999999</v>
      </c>
      <c r="AA55">
        <f>(Z55 * (1 -AJ$11) + (0.04 * Z55)) * ( 1 - AY$11 )</f>
        <v>3.2921780664729599</v>
      </c>
      <c r="AB55">
        <f>AA55 * AW$51 * AS$51 * AU$51 * AX$51</f>
        <v>1.5488723318047602E-4</v>
      </c>
      <c r="AC55">
        <f>AA55 * AW$11 * AT$11 * AV$11 * AX$11</f>
        <v>1.8544033123251509E-3</v>
      </c>
      <c r="AD55">
        <f>J55*AB55*91.25</f>
        <v>0</v>
      </c>
      <c r="AE55">
        <f>J55*AC55*91.25</f>
        <v>0</v>
      </c>
      <c r="BX55" t="s">
        <v>69</v>
      </c>
      <c r="BZ55" s="2" t="s">
        <v>54</v>
      </c>
      <c r="CA55" s="2">
        <v>105</v>
      </c>
      <c r="CB55" s="2">
        <v>700</v>
      </c>
      <c r="CC55" s="2">
        <v>85</v>
      </c>
      <c r="CD55" s="2">
        <v>300</v>
      </c>
      <c r="CE55">
        <v>490</v>
      </c>
      <c r="CF55">
        <v>490</v>
      </c>
      <c r="CG55">
        <v>90</v>
      </c>
      <c r="CH55">
        <v>480</v>
      </c>
      <c r="CI55">
        <v>480</v>
      </c>
      <c r="CJ55">
        <v>480</v>
      </c>
    </row>
    <row r="56" spans="1:88" x14ac:dyDescent="0.2">
      <c r="I56" t="s">
        <v>55</v>
      </c>
      <c r="K56">
        <v>520</v>
      </c>
      <c r="L56">
        <v>0.4</v>
      </c>
      <c r="M56" t="e" cm="1">
        <f t="array" ref="M56">_xlfn.XLOOKUP(H$15,$CA$169:$CJ$169,_xlfn.XLOOKUP($D$11,$BZ$170:$BZ$176,$CA$170:$CJ$176))</f>
        <v>#N/A</v>
      </c>
      <c r="N56" t="e">
        <f t="shared" si="0"/>
        <v>#N/A</v>
      </c>
      <c r="Q56">
        <f t="shared" si="20"/>
        <v>0</v>
      </c>
      <c r="S56">
        <v>1</v>
      </c>
      <c r="Z56">
        <f t="shared" si="46"/>
        <v>8.8135359375999975</v>
      </c>
      <c r="AA56">
        <f>(Z56 * (1 -AK$11) + (0.04 * Z56)) * ( 1 - AY$11 )</f>
        <v>2.8873143731577593</v>
      </c>
      <c r="AB56">
        <f>AA56 * AW$51 * AS$51 * AU$51 * AX$51</f>
        <v>1.3583959480652805E-4</v>
      </c>
      <c r="AC56">
        <f>AA56 * AW$11 * AT$11 * AV$11 * AX$11</f>
        <v>1.626353504943911E-3</v>
      </c>
      <c r="AD56">
        <f>J56*AB56*91.25</f>
        <v>0</v>
      </c>
      <c r="AE56">
        <f>J56*AC56*91.25</f>
        <v>0</v>
      </c>
      <c r="BZ56" s="2" t="s">
        <v>55</v>
      </c>
      <c r="CA56" s="2">
        <v>480</v>
      </c>
      <c r="CB56" s="2">
        <v>750</v>
      </c>
      <c r="CC56" s="2">
        <v>150</v>
      </c>
      <c r="CD56" s="2">
        <v>350</v>
      </c>
      <c r="CE56">
        <v>530</v>
      </c>
      <c r="CF56">
        <v>530</v>
      </c>
      <c r="CG56">
        <v>160</v>
      </c>
      <c r="CH56">
        <v>460</v>
      </c>
      <c r="CI56">
        <v>460</v>
      </c>
      <c r="CJ56">
        <v>460</v>
      </c>
    </row>
    <row r="57" spans="1:88" x14ac:dyDescent="0.2">
      <c r="I57" t="s">
        <v>56</v>
      </c>
      <c r="K57">
        <v>550</v>
      </c>
      <c r="L57">
        <v>0.3</v>
      </c>
      <c r="M57" t="e" cm="1">
        <f t="array" ref="M57">_xlfn.XLOOKUP(H$15,$CA$169:$CJ$169,_xlfn.XLOOKUP($D$11,$BZ$170:$BZ$176,$CA$170:$CJ$176))</f>
        <v>#N/A</v>
      </c>
      <c r="N57" t="e">
        <f t="shared" si="0"/>
        <v>#N/A</v>
      </c>
      <c r="Q57">
        <f t="shared" si="20"/>
        <v>0</v>
      </c>
      <c r="S57">
        <v>1</v>
      </c>
      <c r="Z57">
        <f t="shared" si="46"/>
        <v>8.940100000000001</v>
      </c>
      <c r="AA57">
        <f>(Z57 * (1 -AL$11) + (0.04 * Z57)) * ( 1 - AY$11 )</f>
        <v>3.3042609600000006</v>
      </c>
      <c r="AB57">
        <f>AA57 * AW$51 * AS$51 * AU$51 * AX$51</f>
        <v>1.5545569755555841E-4</v>
      </c>
      <c r="AC57">
        <f>AA57 * AW$11 * AT$11 * AV$11 * AX$11</f>
        <v>1.8612093104596994E-3</v>
      </c>
      <c r="AD57">
        <f>J57*AB57*91.25</f>
        <v>0</v>
      </c>
      <c r="AE57">
        <f>J57*AC57*91.25</f>
        <v>0</v>
      </c>
      <c r="BZ57" s="2" t="s">
        <v>56</v>
      </c>
      <c r="CA57" s="2">
        <v>250</v>
      </c>
      <c r="CB57" s="2">
        <v>725</v>
      </c>
      <c r="CC57" s="2">
        <v>200</v>
      </c>
      <c r="CD57" s="2">
        <v>360</v>
      </c>
      <c r="CE57" s="2">
        <v>500</v>
      </c>
      <c r="CF57" s="2">
        <v>500</v>
      </c>
      <c r="CG57">
        <v>215</v>
      </c>
      <c r="CH57">
        <v>490</v>
      </c>
      <c r="CI57">
        <v>490</v>
      </c>
      <c r="CJ57">
        <v>490</v>
      </c>
    </row>
    <row r="58" spans="1:88" x14ac:dyDescent="0.2">
      <c r="I58" t="s">
        <v>57</v>
      </c>
      <c r="K58">
        <v>560</v>
      </c>
      <c r="L58">
        <v>0.1</v>
      </c>
      <c r="M58" t="e" cm="1">
        <f t="array" ref="M58">_xlfn.XLOOKUP(H$15,$CA$169:$CJ$169,_xlfn.XLOOKUP($D$11,$BZ$170:$BZ$176,$CA$170:$CJ$176))</f>
        <v>#N/A</v>
      </c>
      <c r="N58" t="e">
        <f t="shared" si="0"/>
        <v>#N/A</v>
      </c>
      <c r="Q58">
        <f t="shared" si="20"/>
        <v>0</v>
      </c>
      <c r="S58">
        <v>1</v>
      </c>
      <c r="Z58">
        <f t="shared" si="46"/>
        <v>8.6644277315999982</v>
      </c>
      <c r="AA58">
        <f>(Z58 * (1 -AM$11) + (0.04 * Z58)) * ( 1 - AY$11 )</f>
        <v>3.9301844190537589</v>
      </c>
      <c r="AB58">
        <f>AA58 * AW$51 * AS$51 * AU$51 * AX$51</f>
        <v>1.8490354357059897E-4</v>
      </c>
      <c r="AC58">
        <f>AA58 * AW$11 * AT$11 * AV$11 * AX$11</f>
        <v>2.2137766723384039E-3</v>
      </c>
      <c r="AD58">
        <f>J58*AB58*91.25</f>
        <v>0</v>
      </c>
      <c r="AE58">
        <f>J58*AC58*91.25</f>
        <v>0</v>
      </c>
      <c r="BZ58" s="2" t="s">
        <v>57</v>
      </c>
      <c r="CA58" s="2">
        <v>260</v>
      </c>
      <c r="CB58" s="2">
        <v>700</v>
      </c>
      <c r="CC58" s="2">
        <v>210</v>
      </c>
      <c r="CD58" s="2">
        <v>380</v>
      </c>
      <c r="CE58" s="2">
        <v>460</v>
      </c>
      <c r="CF58" s="2">
        <v>460</v>
      </c>
      <c r="CG58" s="2">
        <v>230</v>
      </c>
      <c r="CH58">
        <v>470</v>
      </c>
      <c r="CI58">
        <v>470</v>
      </c>
      <c r="CJ58">
        <v>470</v>
      </c>
    </row>
    <row r="59" spans="1:88" x14ac:dyDescent="0.2">
      <c r="H59" t="s">
        <v>44</v>
      </c>
      <c r="I59" t="s">
        <v>54</v>
      </c>
      <c r="K59" cm="1">
        <f t="array" ref="K59:K62">_xlfn.XLOOKUP(H59, $CA$46:$CJ$46, $CA$47:$CJ$50)</f>
        <v>75</v>
      </c>
      <c r="L59" cm="1">
        <f t="array" ref="L59:L62">_xlfn.XLOOKUP(H59, $CA$106:$CJ$106, $CA$107:$CJ$110)</f>
        <v>0.5</v>
      </c>
      <c r="M59" t="e" cm="1">
        <f t="array" ref="M59">_xlfn.XLOOKUP(H$19,$CA$169:$CJ$169,_xlfn.XLOOKUP($D$11,$BZ$170:$BZ$176,$CA$170:$CJ$176))</f>
        <v>#N/A</v>
      </c>
      <c r="N59" t="e">
        <f t="shared" si="0"/>
        <v>#N/A</v>
      </c>
      <c r="Q59">
        <f t="shared" si="20"/>
        <v>0</v>
      </c>
      <c r="S59">
        <v>1</v>
      </c>
      <c r="Z59">
        <f t="shared" si="46"/>
        <v>2.7834751406249998</v>
      </c>
      <c r="AA59">
        <f>(Z59 * (1 -AJ$11) + (0.04 * Z59)) * ( 1 - AY$11 )</f>
        <v>1.1456783678812499</v>
      </c>
      <c r="AB59">
        <f>AA59 * AW$51 * AS$51 * AU$51 * AX$51</f>
        <v>5.390077600084388E-5</v>
      </c>
      <c r="AC59">
        <f>AA59 * AW$11 * AT$11 * AV$11 * AX$11</f>
        <v>6.4533257842106233E-4</v>
      </c>
      <c r="AD59">
        <f>J59*AB59*91.25</f>
        <v>0</v>
      </c>
      <c r="AE59">
        <f>J59*AC59*91.25</f>
        <v>0</v>
      </c>
      <c r="BX59" t="s">
        <v>70</v>
      </c>
      <c r="BZ59" s="2" t="s">
        <v>54</v>
      </c>
      <c r="CA59" s="2">
        <v>250</v>
      </c>
      <c r="CB59" s="2">
        <v>820</v>
      </c>
      <c r="CC59" s="2">
        <v>240</v>
      </c>
      <c r="CD59" s="2">
        <v>410</v>
      </c>
      <c r="CE59">
        <v>560</v>
      </c>
      <c r="CF59">
        <v>560</v>
      </c>
      <c r="CG59">
        <v>240</v>
      </c>
      <c r="CH59">
        <v>510</v>
      </c>
      <c r="CI59">
        <v>510</v>
      </c>
      <c r="CJ59">
        <v>510</v>
      </c>
    </row>
    <row r="60" spans="1:88" x14ac:dyDescent="0.2">
      <c r="I60" t="s">
        <v>55</v>
      </c>
      <c r="K60">
        <v>160</v>
      </c>
      <c r="L60">
        <v>0.9</v>
      </c>
      <c r="M60" t="e" cm="1">
        <f t="array" ref="M60">_xlfn.XLOOKUP(H$19,$CA$169:$CJ$169,_xlfn.XLOOKUP($D$11,$BZ$170:$BZ$176,$CA$170:$CJ$176))</f>
        <v>#N/A</v>
      </c>
      <c r="N60" t="e">
        <f t="shared" si="0"/>
        <v>#N/A</v>
      </c>
      <c r="Q60">
        <f t="shared" si="20"/>
        <v>0</v>
      </c>
      <c r="S60">
        <v>1</v>
      </c>
      <c r="Z60">
        <f t="shared" si="46"/>
        <v>4.5298311556000002</v>
      </c>
      <c r="AA60">
        <f>(Z60 * (1 -AK$11) + (0.04 * Z60)) * ( 1 - AY$11 )</f>
        <v>1.4839726865745599</v>
      </c>
      <c r="AB60">
        <f>AA60 * AW$51 * AS$51 * AU$51 * AX$51</f>
        <v>6.9816522344180778E-5</v>
      </c>
      <c r="AC60">
        <f>AA60 * AW$11 * AT$11 * AV$11 * AX$11</f>
        <v>8.3588548669608228E-4</v>
      </c>
      <c r="AD60">
        <f>J60*AB60*91.25</f>
        <v>0</v>
      </c>
      <c r="AE60">
        <f>J60*AC60*91.25</f>
        <v>0</v>
      </c>
      <c r="BZ60" s="2" t="s">
        <v>55</v>
      </c>
      <c r="CA60" s="2">
        <v>280</v>
      </c>
      <c r="CB60" s="2">
        <v>850</v>
      </c>
      <c r="CC60" s="2">
        <v>260</v>
      </c>
      <c r="CD60" s="2">
        <v>440</v>
      </c>
      <c r="CE60">
        <v>550</v>
      </c>
      <c r="CF60">
        <v>550</v>
      </c>
      <c r="CG60">
        <v>270</v>
      </c>
      <c r="CH60">
        <v>520</v>
      </c>
      <c r="CI60">
        <v>520</v>
      </c>
      <c r="CJ60">
        <v>520</v>
      </c>
    </row>
    <row r="61" spans="1:88" x14ac:dyDescent="0.2">
      <c r="I61" t="s">
        <v>56</v>
      </c>
      <c r="K61">
        <v>220</v>
      </c>
      <c r="L61">
        <v>0.7</v>
      </c>
      <c r="M61" t="e" cm="1">
        <f t="array" ref="M61">_xlfn.XLOOKUP(H$19,$CA$169:$CJ$169,_xlfn.XLOOKUP($D$11,$BZ$170:$BZ$176,$CA$170:$CJ$176))</f>
        <v>#N/A</v>
      </c>
      <c r="N61" t="e">
        <f t="shared" si="0"/>
        <v>#N/A</v>
      </c>
      <c r="Q61">
        <f t="shared" si="20"/>
        <v>0</v>
      </c>
      <c r="S61">
        <v>1</v>
      </c>
      <c r="Z61">
        <f t="shared" si="46"/>
        <v>5.1913799715999973</v>
      </c>
      <c r="AA61">
        <f>(Z61 * (1 -AL$11) + (0.04 * Z61)) * ( 1 - AY$11 )</f>
        <v>1.918734037503359</v>
      </c>
      <c r="AB61">
        <f>AA61 * AW$51 * AS$51 * AU$51 * AX$51</f>
        <v>9.0270757011782037E-5</v>
      </c>
      <c r="AC61">
        <f>AA61 * AW$11 * AT$11 * AV$11 * AX$11</f>
        <v>1.0807759127164039E-3</v>
      </c>
      <c r="AD61">
        <f>J61*AB61*91.25</f>
        <v>0</v>
      </c>
      <c r="AE61">
        <f>J61*AC61*91.25</f>
        <v>0</v>
      </c>
      <c r="BZ61" s="2" t="s">
        <v>56</v>
      </c>
      <c r="CA61" s="2">
        <v>100</v>
      </c>
      <c r="CB61" s="2">
        <v>700</v>
      </c>
      <c r="CC61" s="2">
        <v>95</v>
      </c>
      <c r="CD61" s="2">
        <v>300</v>
      </c>
      <c r="CE61">
        <v>450</v>
      </c>
      <c r="CF61">
        <v>450</v>
      </c>
      <c r="CG61">
        <v>95</v>
      </c>
      <c r="CH61">
        <v>410</v>
      </c>
      <c r="CI61">
        <v>410</v>
      </c>
      <c r="CJ61">
        <v>410</v>
      </c>
    </row>
    <row r="62" spans="1:88" x14ac:dyDescent="0.2">
      <c r="I62" t="s">
        <v>57</v>
      </c>
      <c r="K62">
        <v>260</v>
      </c>
      <c r="L62">
        <v>0.4</v>
      </c>
      <c r="M62" t="e" cm="1">
        <f t="array" ref="M62">_xlfn.XLOOKUP(H$19,$CA$169:$CJ$169,_xlfn.XLOOKUP($D$11,$BZ$170:$BZ$176,$CA$170:$CJ$176))</f>
        <v>#N/A</v>
      </c>
      <c r="N62" t="e">
        <f t="shared" si="0"/>
        <v>#N/A</v>
      </c>
      <c r="Q62">
        <f t="shared" si="20"/>
        <v>0</v>
      </c>
      <c r="S62">
        <v>1</v>
      </c>
      <c r="Z62">
        <f t="shared" si="46"/>
        <v>5.3621886096000004</v>
      </c>
      <c r="AA62">
        <f>(Z62 * (1 -AM$11) + (0.04 * Z62)) * ( 1 - AY$11 )</f>
        <v>2.4322887533145603</v>
      </c>
      <c r="AB62">
        <f>AA62 * AW$51 * AS$51 * AU$51 * AX$51</f>
        <v>1.1443198626874025E-4</v>
      </c>
      <c r="AC62">
        <f>AA62 * AW$11 * AT$11 * AV$11 * AX$11</f>
        <v>1.3700487123134107E-3</v>
      </c>
      <c r="AD62">
        <f>J62*AB62*91.25</f>
        <v>0</v>
      </c>
      <c r="AE62">
        <f>J62*AC62*91.25</f>
        <v>0</v>
      </c>
      <c r="BZ62" s="2" t="s">
        <v>57</v>
      </c>
      <c r="CA62" s="2">
        <v>150</v>
      </c>
      <c r="CB62" s="2">
        <v>720</v>
      </c>
      <c r="CC62" s="2">
        <v>140</v>
      </c>
      <c r="CD62" s="2">
        <v>320</v>
      </c>
      <c r="CE62" s="2">
        <v>470</v>
      </c>
      <c r="CF62" s="2">
        <v>470</v>
      </c>
      <c r="CG62">
        <v>140</v>
      </c>
      <c r="CH62">
        <v>440</v>
      </c>
      <c r="CI62">
        <v>440</v>
      </c>
      <c r="CJ62">
        <v>440</v>
      </c>
    </row>
    <row r="63" spans="1:88" x14ac:dyDescent="0.2">
      <c r="H63" t="s">
        <v>45</v>
      </c>
      <c r="I63" t="s">
        <v>54</v>
      </c>
      <c r="K63" cm="1">
        <f t="array" ref="K63:K66">_xlfn.XLOOKUP(H63, $CA$46:$CJ$46, $CA$47:$CJ$50)</f>
        <v>300</v>
      </c>
      <c r="L63" cm="1">
        <f t="array" ref="L63:L66">_xlfn.XLOOKUP(H63, $CA$106:$CJ$106, $CA$107:$CJ$110)</f>
        <v>0.4</v>
      </c>
      <c r="M63" t="e" cm="1">
        <f t="array" ref="M63">_xlfn.XLOOKUP(H$23,$CA$169:$CJ$169,_xlfn.XLOOKUP($D$11,$BZ$170:$BZ$176,$CA$170:$CJ$176))</f>
        <v>#N/A</v>
      </c>
      <c r="N63" t="e">
        <f t="shared" si="0"/>
        <v>#N/A</v>
      </c>
      <c r="Q63">
        <f t="shared" si="20"/>
        <v>0</v>
      </c>
      <c r="S63">
        <v>1</v>
      </c>
      <c r="Z63">
        <f t="shared" si="46"/>
        <v>5.9487209999999981</v>
      </c>
      <c r="AA63">
        <f>(Z63 * (1 -AJ$11) + (0.04 * Z63)) * ( 1 - AY$11 )</f>
        <v>2.4484935635999991</v>
      </c>
      <c r="AB63">
        <f>AA63 * AW$51 * AS$51 * AU$51 * AX$51</f>
        <v>1.1519437462643171E-4</v>
      </c>
      <c r="AC63">
        <f>AA63 * AW$11 * AT$11 * AV$11 * AX$11</f>
        <v>1.3791764852534424E-3</v>
      </c>
      <c r="AD63">
        <f>J63*AB63*91.25</f>
        <v>0</v>
      </c>
      <c r="AE63">
        <f>J63*AC63*91.25</f>
        <v>0</v>
      </c>
      <c r="BX63" t="s">
        <v>65</v>
      </c>
      <c r="BY63" t="s">
        <v>62</v>
      </c>
      <c r="BZ63" s="2" t="s">
        <v>54</v>
      </c>
      <c r="CA63" s="2">
        <v>340</v>
      </c>
      <c r="CB63" s="2">
        <v>800</v>
      </c>
      <c r="CC63" s="2">
        <v>260</v>
      </c>
      <c r="CD63" s="2">
        <v>420</v>
      </c>
      <c r="CE63" s="2">
        <v>550</v>
      </c>
      <c r="CF63" s="2">
        <v>550</v>
      </c>
      <c r="CG63">
        <v>300</v>
      </c>
      <c r="CH63">
        <v>480</v>
      </c>
      <c r="CI63">
        <v>480</v>
      </c>
      <c r="CJ63">
        <v>480</v>
      </c>
    </row>
    <row r="64" spans="1:88" x14ac:dyDescent="0.2">
      <c r="I64" t="s">
        <v>55</v>
      </c>
      <c r="K64">
        <v>360</v>
      </c>
      <c r="L64">
        <v>0.7</v>
      </c>
      <c r="M64" t="e" cm="1">
        <f t="array" ref="M64">_xlfn.XLOOKUP(H$23,$CA$169:$CJ$169,_xlfn.XLOOKUP($D$11,$BZ$170:$BZ$176,$CA$170:$CJ$176))</f>
        <v>#N/A</v>
      </c>
      <c r="N64" t="e">
        <f>K64/M64</f>
        <v>#N/A</v>
      </c>
      <c r="Q64">
        <f t="shared" si="20"/>
        <v>0</v>
      </c>
      <c r="S64">
        <v>1</v>
      </c>
      <c r="Z64">
        <f t="shared" si="46"/>
        <v>7.3058846435999998</v>
      </c>
      <c r="AA64">
        <f>(Z64 * (1 -AK$11) + (0.04 * Z64)) * ( 1 - AY$11 )</f>
        <v>2.3934078092433602</v>
      </c>
      <c r="AB64">
        <f>AA64 * AW$51 * AS$51 * AU$51 * AX$51</f>
        <v>1.1260275293778476E-4</v>
      </c>
      <c r="AC64">
        <f>AA64 * AW$11 * AT$11 * AV$11 * AX$11</f>
        <v>1.3481480283236143E-3</v>
      </c>
      <c r="AD64">
        <f>J64*AB64*91.25</f>
        <v>0</v>
      </c>
      <c r="AE64">
        <f>J64*AC64*91.25</f>
        <v>0</v>
      </c>
      <c r="BZ64" s="2" t="s">
        <v>55</v>
      </c>
      <c r="CA64" s="2">
        <v>380</v>
      </c>
      <c r="CB64" s="2">
        <v>780</v>
      </c>
      <c r="CC64" s="2">
        <v>300</v>
      </c>
      <c r="CD64" s="2">
        <v>450</v>
      </c>
      <c r="CE64" s="2">
        <v>530</v>
      </c>
      <c r="CF64" s="2">
        <v>530</v>
      </c>
      <c r="CG64" s="2">
        <v>340</v>
      </c>
      <c r="CH64">
        <v>470</v>
      </c>
      <c r="CI64">
        <v>470</v>
      </c>
      <c r="CJ64">
        <v>470</v>
      </c>
    </row>
    <row r="65" spans="8:88" x14ac:dyDescent="0.2">
      <c r="I65" t="s">
        <v>56</v>
      </c>
      <c r="K65">
        <v>390</v>
      </c>
      <c r="L65">
        <v>0.3</v>
      </c>
      <c r="M65" t="e" cm="1">
        <f t="array" ref="M65">_xlfn.XLOOKUP(H$23,$CA$169:$CJ$169,_xlfn.XLOOKUP($D$11,$BZ$170:$BZ$176,$CA$170:$CJ$176))</f>
        <v>#N/A</v>
      </c>
      <c r="N65" t="e">
        <f t="shared" si="0"/>
        <v>#N/A</v>
      </c>
      <c r="Q65">
        <f t="shared" si="20"/>
        <v>0</v>
      </c>
      <c r="S65">
        <v>1</v>
      </c>
      <c r="Z65">
        <f t="shared" si="46"/>
        <v>7.0471135296000007</v>
      </c>
      <c r="AA65">
        <f>(Z65 * (1 -AL$11) + (0.04 * Z65)) * ( 1 - AY$11 )</f>
        <v>2.6046131605401603</v>
      </c>
      <c r="AB65">
        <f>AA65 * AW$51 * AS$51 * AU$51 * AX$51</f>
        <v>1.2253933954845938E-4</v>
      </c>
      <c r="AC65">
        <f>AA65 * AW$11 * AT$11 * AV$11 * AX$11</f>
        <v>1.4671148324021022E-3</v>
      </c>
      <c r="AD65">
        <f>J65*AB65*91.25</f>
        <v>0</v>
      </c>
      <c r="AE65">
        <f>J65*AC65*91.25</f>
        <v>0</v>
      </c>
      <c r="BZ65" s="2" t="s">
        <v>56</v>
      </c>
      <c r="CA65" s="2">
        <v>100</v>
      </c>
      <c r="CB65" s="2">
        <v>680</v>
      </c>
      <c r="CC65" s="2">
        <v>80</v>
      </c>
      <c r="CD65" s="2">
        <v>320</v>
      </c>
      <c r="CE65" s="2">
        <v>480</v>
      </c>
      <c r="CF65" s="2">
        <v>480</v>
      </c>
      <c r="CG65">
        <v>100</v>
      </c>
      <c r="CH65">
        <v>340</v>
      </c>
      <c r="CI65">
        <v>340</v>
      </c>
      <c r="CJ65">
        <v>340</v>
      </c>
    </row>
    <row r="66" spans="8:88" x14ac:dyDescent="0.2">
      <c r="I66" t="s">
        <v>57</v>
      </c>
      <c r="K66">
        <v>410</v>
      </c>
      <c r="L66">
        <v>0.2</v>
      </c>
      <c r="M66" t="e" cm="1">
        <f t="array" ref="M66">_xlfn.XLOOKUP(H$23,$CA$169:$CJ$169,_xlfn.XLOOKUP($D$11,$BZ$170:$BZ$176,$CA$170:$CJ$176))</f>
        <v>#N/A</v>
      </c>
      <c r="N66" t="e">
        <f t="shared" si="0"/>
        <v>#N/A</v>
      </c>
      <c r="Q66">
        <f t="shared" si="20"/>
        <v>0</v>
      </c>
      <c r="S66">
        <v>1</v>
      </c>
      <c r="Z66">
        <f t="shared" si="46"/>
        <v>7.1414010756000028</v>
      </c>
      <c r="AA66">
        <f>(Z66 * (1 -AM$11) + (0.04 * Z66)) * ( 1 - AY$11 )</f>
        <v>3.2393395278921613</v>
      </c>
      <c r="AB66">
        <f>AA66 * AW$51 * AS$51 * AU$51 * AX$51</f>
        <v>1.5240133634232363E-4</v>
      </c>
      <c r="AC66">
        <f>AA66 * AW$11 * AT$11 * AV$11 * AX$11</f>
        <v>1.8246406570300113E-3</v>
      </c>
      <c r="AD66">
        <f>J66*AB66*91.25</f>
        <v>0</v>
      </c>
      <c r="AE66">
        <f>J66*AC66*91.25</f>
        <v>0</v>
      </c>
      <c r="BZ66" s="2" t="s">
        <v>57</v>
      </c>
      <c r="CA66" s="2">
        <v>190</v>
      </c>
      <c r="CB66" s="2">
        <v>700</v>
      </c>
      <c r="CC66" s="2">
        <v>150</v>
      </c>
      <c r="CD66" s="2">
        <v>330</v>
      </c>
      <c r="CE66" s="2">
        <v>490</v>
      </c>
      <c r="CF66" s="2">
        <v>490</v>
      </c>
      <c r="CG66">
        <v>170</v>
      </c>
      <c r="CH66">
        <v>360</v>
      </c>
      <c r="CI66">
        <v>360</v>
      </c>
      <c r="CJ66">
        <v>360</v>
      </c>
    </row>
    <row r="67" spans="8:88" x14ac:dyDescent="0.2">
      <c r="H67" t="s">
        <v>46</v>
      </c>
      <c r="I67" t="s">
        <v>54</v>
      </c>
      <c r="J67">
        <v>100</v>
      </c>
      <c r="K67" cm="1">
        <f t="array" ref="K67:K70">_xlfn.XLOOKUP(H67, $CA$46:$CJ$46, $CA$47:$CJ$50)</f>
        <v>440</v>
      </c>
      <c r="L67" cm="1">
        <f t="array" ref="L67:L70">_xlfn.XLOOKUP(H67, $CA$106:$CJ$106, $CA$107:$CJ$110)</f>
        <v>0.3</v>
      </c>
      <c r="M67" t="e" cm="1">
        <f t="array" ref="M67">_xlfn.XLOOKUP(H$27,$CA$169:$CJ$169,_xlfn.XLOOKUP($D$11,$BZ$170:$BZ$176,$CA$170:$CJ$176))</f>
        <v>#N/A</v>
      </c>
      <c r="N67" t="e">
        <f t="shared" si="0"/>
        <v>#N/A</v>
      </c>
      <c r="O67">
        <v>1</v>
      </c>
      <c r="Q67">
        <f t="shared" si="20"/>
        <v>1</v>
      </c>
      <c r="R67">
        <f>1+(0.3*O67)+(0.1*P67)</f>
        <v>1.3</v>
      </c>
      <c r="S67">
        <f>(Q67*R67)+(1 - Q67)</f>
        <v>1.3</v>
      </c>
      <c r="Z67">
        <f>(1.185 + 0.00454 * K67 - 0.0000026 * K67^2 + 0.315 * L67)^2 * S67</f>
        <v>10.001723663880002</v>
      </c>
      <c r="AA67">
        <f>(Z67 * (1 -AJ$11) + (0.04 * Z67)) * ( 1 - AY$11 )</f>
        <v>4.1167094600530074</v>
      </c>
      <c r="AB67">
        <f>AA67 * AW$51 * AS$51 * AU$51 * AX$51</f>
        <v>1.9367899463549227E-4</v>
      </c>
      <c r="AC67">
        <f>AA67 * AW$11 * AT$11 * AV$11 * AX$11</f>
        <v>2.3188416618002772E-3</v>
      </c>
      <c r="AD67">
        <f>J67*AB67*91.25</f>
        <v>1.7673208260488671</v>
      </c>
      <c r="AE67">
        <f>J67*AC67*91.25</f>
        <v>21.159430163927528</v>
      </c>
      <c r="BX67" t="s">
        <v>65</v>
      </c>
      <c r="BY67" t="s">
        <v>63</v>
      </c>
      <c r="BZ67" s="2" t="s">
        <v>54</v>
      </c>
      <c r="CA67" s="2">
        <v>80</v>
      </c>
      <c r="CB67" s="2">
        <v>450</v>
      </c>
      <c r="CC67" s="2">
        <v>70</v>
      </c>
      <c r="CD67" s="2">
        <v>260</v>
      </c>
      <c r="CE67" s="2">
        <v>340</v>
      </c>
      <c r="CF67" s="2">
        <v>340</v>
      </c>
      <c r="CG67" s="2">
        <v>80</v>
      </c>
      <c r="CH67">
        <v>370</v>
      </c>
      <c r="CI67">
        <v>370</v>
      </c>
      <c r="CJ67">
        <v>370</v>
      </c>
    </row>
    <row r="68" spans="8:88" x14ac:dyDescent="0.2">
      <c r="I68" t="s">
        <v>55</v>
      </c>
      <c r="J68">
        <v>110</v>
      </c>
      <c r="K68">
        <v>470</v>
      </c>
      <c r="L68">
        <v>0.3</v>
      </c>
      <c r="M68" t="e" cm="1">
        <f t="array" ref="M68">_xlfn.XLOOKUP(H$27,$CA$169:$CJ$169,_xlfn.XLOOKUP($D$11,$BZ$170:$BZ$176,$CA$170:$CJ$176))</f>
        <v>#N/A</v>
      </c>
      <c r="N68" t="e">
        <f t="shared" si="0"/>
        <v>#N/A</v>
      </c>
      <c r="O68">
        <v>0</v>
      </c>
      <c r="P68">
        <v>1</v>
      </c>
      <c r="Q68">
        <f t="shared" si="20"/>
        <v>1</v>
      </c>
      <c r="R68">
        <f t="shared" ref="R68:R74" si="47">1+(0.3*O68)+(0.1*P68)</f>
        <v>1.1000000000000001</v>
      </c>
      <c r="S68">
        <f t="shared" ref="S68:S74" si="48">(Q68*R68)+(1 - Q68)</f>
        <v>1.1000000000000001</v>
      </c>
      <c r="Z68">
        <f t="shared" ref="Z68:Z90" si="49">(1.185 + 0.00454 * K68 - 0.0000026 * K68^2 + 0.315 * L68)^2 * S68</f>
        <v>8.8656632697600024</v>
      </c>
      <c r="AA68">
        <f>(Z68 * (1 -AK$11) + (0.04 * Z68)) * ( 1 - AY$11 )</f>
        <v>2.9043912871733766</v>
      </c>
      <c r="AB68">
        <f>AA68 * AW$51 * AS$51 * AU$51 * AX$51</f>
        <v>1.3664301306329734E-4</v>
      </c>
      <c r="AC68">
        <f>AA68 * AW$11 * AT$11 * AV$11 * AX$11</f>
        <v>1.6359725125660528E-3</v>
      </c>
      <c r="AD68">
        <f>J68*AB68*91.25</f>
        <v>1.3715542436228472</v>
      </c>
      <c r="AE68">
        <f>J68*AC68*91.25</f>
        <v>16.421074094881757</v>
      </c>
      <c r="BZ68" s="2" t="s">
        <v>55</v>
      </c>
      <c r="CA68" s="2">
        <v>150</v>
      </c>
      <c r="CB68" s="2">
        <v>500</v>
      </c>
      <c r="CC68" s="2">
        <v>140</v>
      </c>
      <c r="CD68" s="2">
        <v>310</v>
      </c>
      <c r="CE68" s="2">
        <v>360</v>
      </c>
      <c r="CF68" s="2">
        <v>360</v>
      </c>
      <c r="CG68" s="2">
        <v>150</v>
      </c>
      <c r="CH68">
        <v>400</v>
      </c>
      <c r="CI68">
        <v>400</v>
      </c>
      <c r="CJ68">
        <v>400</v>
      </c>
    </row>
    <row r="69" spans="8:88" x14ac:dyDescent="0.2">
      <c r="I69" t="s">
        <v>56</v>
      </c>
      <c r="J69">
        <v>120</v>
      </c>
      <c r="K69">
        <v>490</v>
      </c>
      <c r="L69">
        <v>0.2</v>
      </c>
      <c r="M69" t="e" cm="1">
        <f t="array" ref="M69">_xlfn.XLOOKUP(H$27,$CA$169:$CJ$169,_xlfn.XLOOKUP($D$11,$BZ$170:$BZ$176,$CA$170:$CJ$176))</f>
        <v>#N/A</v>
      </c>
      <c r="N69" t="e">
        <f t="shared" si="0"/>
        <v>#N/A</v>
      </c>
      <c r="O69">
        <v>0</v>
      </c>
      <c r="P69">
        <v>0</v>
      </c>
      <c r="Q69">
        <f t="shared" si="20"/>
        <v>0</v>
      </c>
      <c r="R69">
        <f t="shared" si="47"/>
        <v>1</v>
      </c>
      <c r="S69">
        <f t="shared" si="48"/>
        <v>1</v>
      </c>
      <c r="Z69">
        <f t="shared" si="49"/>
        <v>8.1130407556000002</v>
      </c>
      <c r="AA69">
        <f>(Z69 * (1 -AL$11) + (0.04 * Z69)) * ( 1 - AY$11 )</f>
        <v>2.99857986326976</v>
      </c>
      <c r="AB69">
        <f>AA69 * AW$51 * AS$51 * AU$51 * AX$51</f>
        <v>1.4107430677044692E-4</v>
      </c>
      <c r="AC69">
        <f>AA69 * AW$11 * AT$11 * AV$11 * AX$11</f>
        <v>1.6890266317448027E-3</v>
      </c>
      <c r="AD69">
        <f>J69*AB69*91.25</f>
        <v>1.5447636591363938</v>
      </c>
      <c r="AE69">
        <f>J69*AC69*91.25</f>
        <v>18.494841617605591</v>
      </c>
      <c r="BZ69" s="2" t="s">
        <v>56</v>
      </c>
      <c r="CA69" s="2">
        <v>230</v>
      </c>
      <c r="CB69" s="2">
        <v>550</v>
      </c>
      <c r="CC69" s="2">
        <v>220</v>
      </c>
      <c r="CD69" s="2">
        <v>330</v>
      </c>
      <c r="CE69" s="2">
        <v>380</v>
      </c>
      <c r="CF69" s="2">
        <v>380</v>
      </c>
      <c r="CG69" s="2">
        <v>230</v>
      </c>
      <c r="CH69">
        <v>420</v>
      </c>
      <c r="CI69">
        <v>420</v>
      </c>
      <c r="CJ69">
        <v>420</v>
      </c>
    </row>
    <row r="70" spans="8:88" x14ac:dyDescent="0.2">
      <c r="I70" t="s">
        <v>57</v>
      </c>
      <c r="J70">
        <v>130</v>
      </c>
      <c r="K70">
        <v>500</v>
      </c>
      <c r="L70">
        <v>0.1</v>
      </c>
      <c r="M70" t="e" cm="1">
        <f t="array" ref="M70">_xlfn.XLOOKUP(H$27,$CA$169:$CJ$169,_xlfn.XLOOKUP($D$11,$BZ$170:$BZ$176,$CA$170:$CJ$176))</f>
        <v>#N/A</v>
      </c>
      <c r="N70" t="e">
        <f t="shared" si="0"/>
        <v>#N/A</v>
      </c>
      <c r="O70">
        <v>0</v>
      </c>
      <c r="P70">
        <v>0</v>
      </c>
      <c r="Q70">
        <f t="shared" si="20"/>
        <v>0</v>
      </c>
      <c r="R70">
        <f t="shared" si="47"/>
        <v>1</v>
      </c>
      <c r="S70">
        <f t="shared" si="48"/>
        <v>1</v>
      </c>
      <c r="Z70">
        <f t="shared" si="49"/>
        <v>8.0457322500000004</v>
      </c>
      <c r="AA70">
        <f>(Z70 * (1 -AM$11) + (0.04 * Z70)) * ( 1 - AY$11 )</f>
        <v>3.6495441486</v>
      </c>
      <c r="AB70">
        <f>AA70 * AW$51 * AS$51 * AU$51 * AX$51</f>
        <v>1.7170024954095013E-4</v>
      </c>
      <c r="AC70">
        <f>AA70 * AW$11 * AT$11 * AV$11 * AX$11</f>
        <v>2.0556988780656223E-3</v>
      </c>
      <c r="AD70">
        <f>J70*AB70*91.25</f>
        <v>2.0367942101795209</v>
      </c>
      <c r="AE70">
        <f>J70*AC70*91.25</f>
        <v>24.385727941053442</v>
      </c>
      <c r="BZ70" s="2" t="s">
        <v>57</v>
      </c>
      <c r="CA70" s="2">
        <v>250</v>
      </c>
      <c r="CB70" s="2">
        <v>500</v>
      </c>
      <c r="CC70" s="2">
        <v>240</v>
      </c>
      <c r="CD70" s="2">
        <v>340</v>
      </c>
      <c r="CE70" s="2">
        <v>360</v>
      </c>
      <c r="CF70" s="2">
        <v>360</v>
      </c>
      <c r="CG70" s="2">
        <v>250</v>
      </c>
      <c r="CH70">
        <v>390</v>
      </c>
      <c r="CI70">
        <v>390</v>
      </c>
      <c r="CJ70">
        <v>390</v>
      </c>
    </row>
    <row r="71" spans="8:88" x14ac:dyDescent="0.2">
      <c r="H71" t="s">
        <v>47</v>
      </c>
      <c r="I71" t="s">
        <v>54</v>
      </c>
      <c r="K71" cm="1">
        <f t="array" ref="K71:K74">_xlfn.XLOOKUP(H71, $CA$46:$CJ$46, $CA$47:$CJ$50)</f>
        <v>440</v>
      </c>
      <c r="L71" cm="1">
        <f t="array" ref="L71:L74">_xlfn.XLOOKUP(H71, $CA$106:$CJ$106, $CA$107:$CJ$110)</f>
        <v>0.3</v>
      </c>
      <c r="M71" t="e" cm="1">
        <f t="array" ref="M71">_xlfn.XLOOKUP(H$31,$CA$169:$CJ$169,_xlfn.XLOOKUP($D$11,$BZ$170:$BZ$176,$CA$170:$CJ$176))</f>
        <v>#N/A</v>
      </c>
      <c r="N71" t="e">
        <f t="shared" si="0"/>
        <v>#N/A</v>
      </c>
      <c r="O71">
        <v>1</v>
      </c>
      <c r="P71">
        <v>0</v>
      </c>
      <c r="Q71">
        <f t="shared" si="20"/>
        <v>1</v>
      </c>
      <c r="R71">
        <f t="shared" si="47"/>
        <v>1.3</v>
      </c>
      <c r="S71">
        <f t="shared" si="48"/>
        <v>1.3</v>
      </c>
      <c r="Z71">
        <f t="shared" si="49"/>
        <v>10.001723663880002</v>
      </c>
      <c r="AA71">
        <f>(Z71 * (1 -AJ$11) + (0.04 * Z71)) * ( 1 - AY$11 )</f>
        <v>4.1167094600530074</v>
      </c>
      <c r="AB71">
        <f>AA71 * AW$51 * AS$51 * AU$51 * AX$51</f>
        <v>1.9367899463549227E-4</v>
      </c>
      <c r="AC71">
        <f>AA71 * AW$11 * AT$11 * AV$11 * AX$11</f>
        <v>2.3188416618002772E-3</v>
      </c>
      <c r="AD71">
        <f>J71*AB71*91.25</f>
        <v>0</v>
      </c>
      <c r="AE71">
        <f>J71*AC71*91.25</f>
        <v>0</v>
      </c>
      <c r="BX71" t="s">
        <v>65</v>
      </c>
      <c r="BY71" t="s">
        <v>71</v>
      </c>
      <c r="BZ71" s="2" t="s">
        <v>54</v>
      </c>
      <c r="CA71" s="2">
        <v>220</v>
      </c>
      <c r="CB71" s="2">
        <v>500</v>
      </c>
      <c r="CC71" s="2">
        <v>180</v>
      </c>
      <c r="CD71" s="2">
        <v>300</v>
      </c>
      <c r="CE71" s="2">
        <v>320</v>
      </c>
      <c r="CF71" s="2">
        <v>320</v>
      </c>
      <c r="CG71" s="2">
        <v>210</v>
      </c>
      <c r="CH71" s="2">
        <v>340</v>
      </c>
      <c r="CI71" s="2">
        <v>340</v>
      </c>
      <c r="CJ71" s="2">
        <v>340</v>
      </c>
    </row>
    <row r="72" spans="8:88" x14ac:dyDescent="0.2">
      <c r="I72" t="s">
        <v>55</v>
      </c>
      <c r="K72">
        <v>470</v>
      </c>
      <c r="L72">
        <v>0.3</v>
      </c>
      <c r="M72" t="e" cm="1">
        <f t="array" ref="M72">_xlfn.XLOOKUP(H$31,$CA$169:$CJ$169,_xlfn.XLOOKUP($D$11,$BZ$170:$BZ$176,$CA$170:$CJ$176))</f>
        <v>#N/A</v>
      </c>
      <c r="N72" t="e">
        <f t="shared" si="0"/>
        <v>#N/A</v>
      </c>
      <c r="O72">
        <v>0</v>
      </c>
      <c r="P72">
        <v>1</v>
      </c>
      <c r="Q72">
        <f t="shared" si="20"/>
        <v>1</v>
      </c>
      <c r="R72">
        <f t="shared" si="47"/>
        <v>1.1000000000000001</v>
      </c>
      <c r="S72">
        <f t="shared" si="48"/>
        <v>1.1000000000000001</v>
      </c>
      <c r="Z72">
        <f t="shared" si="49"/>
        <v>8.8656632697600024</v>
      </c>
      <c r="AA72">
        <f>(Z72 * (1 -AK$11) + (0.04 * Z72)) * ( 1 - AY$11 )</f>
        <v>2.9043912871733766</v>
      </c>
      <c r="AB72">
        <f>AA72 * AW$51 * AS$51 * AU$51 * AX$51</f>
        <v>1.3664301306329734E-4</v>
      </c>
      <c r="AC72">
        <f>AA72 * AW$11 * AT$11 * AV$11 * AX$11</f>
        <v>1.6359725125660528E-3</v>
      </c>
      <c r="AD72">
        <f>J72*AB72*91.25</f>
        <v>0</v>
      </c>
      <c r="AE72">
        <f>J72*AC72*91.25</f>
        <v>0</v>
      </c>
      <c r="BZ72" s="2" t="s">
        <v>55</v>
      </c>
      <c r="CA72" s="2">
        <v>110</v>
      </c>
      <c r="CB72" s="2">
        <v>550</v>
      </c>
      <c r="CC72" s="2">
        <v>90</v>
      </c>
      <c r="CD72" s="2">
        <v>220</v>
      </c>
      <c r="CE72" s="2">
        <v>380</v>
      </c>
      <c r="CF72" s="2">
        <v>380</v>
      </c>
      <c r="CG72" s="2">
        <v>100</v>
      </c>
      <c r="CH72" s="2">
        <v>390</v>
      </c>
      <c r="CI72" s="2">
        <v>390</v>
      </c>
      <c r="CJ72" s="2">
        <v>390</v>
      </c>
    </row>
    <row r="73" spans="8:88" x14ac:dyDescent="0.2">
      <c r="I73" t="s">
        <v>56</v>
      </c>
      <c r="K73">
        <v>490</v>
      </c>
      <c r="L73">
        <v>0.2</v>
      </c>
      <c r="M73" t="e" cm="1">
        <f t="array" ref="M73">_xlfn.XLOOKUP(H$31,$CA$169:$CJ$169,_xlfn.XLOOKUP($D$11,$BZ$170:$BZ$176,$CA$170:$CJ$176))</f>
        <v>#N/A</v>
      </c>
      <c r="N73" t="e">
        <f t="shared" si="0"/>
        <v>#N/A</v>
      </c>
      <c r="O73">
        <v>0</v>
      </c>
      <c r="P73">
        <v>0</v>
      </c>
      <c r="Q73">
        <f t="shared" si="20"/>
        <v>0</v>
      </c>
      <c r="R73">
        <f t="shared" si="47"/>
        <v>1</v>
      </c>
      <c r="S73">
        <f t="shared" si="48"/>
        <v>1</v>
      </c>
      <c r="Z73">
        <f t="shared" si="49"/>
        <v>8.1130407556000002</v>
      </c>
      <c r="AA73">
        <f>(Z73 * (1 -AL$11) + (0.04 * Z73)) * ( 1 - AY$11 )</f>
        <v>2.99857986326976</v>
      </c>
      <c r="AB73">
        <f>AA73 * AW$51 * AS$51 * AU$51 * AX$51</f>
        <v>1.4107430677044692E-4</v>
      </c>
      <c r="AC73">
        <f>AA73 * AW$11 * AT$11 * AV$11 * AX$11</f>
        <v>1.6890266317448027E-3</v>
      </c>
      <c r="AD73">
        <f>J73*AB73*91.25</f>
        <v>0</v>
      </c>
      <c r="AE73">
        <f>J73*AC73*91.25</f>
        <v>0</v>
      </c>
      <c r="BZ73" s="2" t="s">
        <v>56</v>
      </c>
      <c r="CA73" s="2">
        <v>170</v>
      </c>
      <c r="CB73" s="2">
        <v>600</v>
      </c>
      <c r="CC73" s="2">
        <v>140</v>
      </c>
      <c r="CD73" s="2">
        <v>270</v>
      </c>
      <c r="CE73" s="2">
        <v>390</v>
      </c>
      <c r="CF73" s="2">
        <v>390</v>
      </c>
      <c r="CG73" s="2">
        <v>160</v>
      </c>
      <c r="CH73" s="2">
        <v>430</v>
      </c>
      <c r="CI73" s="2">
        <v>430</v>
      </c>
      <c r="CJ73" s="2">
        <v>430</v>
      </c>
    </row>
    <row r="74" spans="8:88" x14ac:dyDescent="0.2">
      <c r="I74" t="s">
        <v>57</v>
      </c>
      <c r="K74">
        <v>500</v>
      </c>
      <c r="L74">
        <v>0.1</v>
      </c>
      <c r="M74" t="e" cm="1">
        <f t="array" ref="M74">_xlfn.XLOOKUP(H$31,$CA$169:$CJ$169,_xlfn.XLOOKUP($D$11,$BZ$170:$BZ$176,$CA$170:$CJ$176))</f>
        <v>#N/A</v>
      </c>
      <c r="N74" t="e">
        <f t="shared" si="0"/>
        <v>#N/A</v>
      </c>
      <c r="O74">
        <v>0</v>
      </c>
      <c r="P74">
        <v>0</v>
      </c>
      <c r="Q74">
        <f t="shared" si="20"/>
        <v>0</v>
      </c>
      <c r="R74">
        <f t="shared" si="47"/>
        <v>1</v>
      </c>
      <c r="S74">
        <f t="shared" si="48"/>
        <v>1</v>
      </c>
      <c r="Z74">
        <f t="shared" si="49"/>
        <v>8.0457322500000004</v>
      </c>
      <c r="AA74">
        <f>(Z74 * (1 -AM$11) + (0.04 * Z74)) * ( 1 - AY$11 )</f>
        <v>3.6495441486</v>
      </c>
      <c r="AB74">
        <f>AA74 * AW$51 * AS$51 * AU$51 * AX$51</f>
        <v>1.7170024954095013E-4</v>
      </c>
      <c r="AC74">
        <f>AA74 * AW$11 * AT$11 * AV$11 * AX$11</f>
        <v>2.0556988780656223E-3</v>
      </c>
      <c r="AD74">
        <f>J74*AB74*91.25</f>
        <v>0</v>
      </c>
      <c r="AE74">
        <f>J74*AC74*91.25</f>
        <v>0</v>
      </c>
      <c r="BZ74" s="2" t="s">
        <v>57</v>
      </c>
      <c r="CA74" s="2">
        <v>200</v>
      </c>
      <c r="CB74" s="2">
        <v>550</v>
      </c>
      <c r="CC74" s="2">
        <v>150</v>
      </c>
      <c r="CD74" s="2">
        <v>280</v>
      </c>
      <c r="CE74" s="2">
        <v>350</v>
      </c>
      <c r="CF74" s="2">
        <v>350</v>
      </c>
      <c r="CG74" s="2">
        <v>190</v>
      </c>
      <c r="CH74" s="2">
        <v>400</v>
      </c>
      <c r="CI74" s="2">
        <v>400</v>
      </c>
      <c r="CJ74" s="2">
        <v>400</v>
      </c>
    </row>
    <row r="75" spans="8:88" x14ac:dyDescent="0.2">
      <c r="H75" t="s">
        <v>48</v>
      </c>
      <c r="I75" t="s">
        <v>54</v>
      </c>
      <c r="J75">
        <v>200</v>
      </c>
      <c r="K75" cm="1">
        <f t="array" ref="K75:K78">_xlfn.XLOOKUP(H75, $CA$46:$CJ$46, $CA$47:$CJ$50)</f>
        <v>75</v>
      </c>
      <c r="L75" cm="1">
        <f t="array" ref="L75:L78">_xlfn.XLOOKUP(H75, $CA$106:$CJ$106, $CA$107:$CJ$110)</f>
        <v>0.5</v>
      </c>
      <c r="M75" t="e" cm="1">
        <f t="array" ref="M75">_xlfn.XLOOKUP(H$35,$CA$169:$CJ$169,_xlfn.XLOOKUP($D$11,$BZ$170:$BZ$176,$CA$170:$CJ$176))</f>
        <v>#N/A</v>
      </c>
      <c r="N75" t="e">
        <f t="shared" si="0"/>
        <v>#N/A</v>
      </c>
      <c r="P75">
        <v>0</v>
      </c>
      <c r="Q75">
        <f t="shared" si="20"/>
        <v>0</v>
      </c>
      <c r="S75">
        <v>1</v>
      </c>
      <c r="Z75">
        <f t="shared" si="49"/>
        <v>2.7834751406249998</v>
      </c>
      <c r="AA75">
        <f>(Z75 * (1 -AJ$11) + (0.04 * Z75)) * ( 1 - AY$11 )</f>
        <v>1.1456783678812499</v>
      </c>
      <c r="AB75">
        <f>AA75 * AW$51 * AS$51 * AU$51 * AX$51</f>
        <v>5.390077600084388E-5</v>
      </c>
      <c r="AC75">
        <f>AA75 * AW$11 * AT$11 * AV$11 * AX$11</f>
        <v>6.4533257842106233E-4</v>
      </c>
      <c r="AD75">
        <f>J75*AB75*91.25</f>
        <v>0.98368916201540069</v>
      </c>
      <c r="AE75">
        <f>J75*AC75*91.25</f>
        <v>11.777319556184386</v>
      </c>
      <c r="BX75" t="s">
        <v>73</v>
      </c>
      <c r="BY75" t="s">
        <v>74</v>
      </c>
      <c r="BZ75" s="2" t="s">
        <v>54</v>
      </c>
      <c r="CA75">
        <v>220</v>
      </c>
      <c r="CB75">
        <v>706</v>
      </c>
      <c r="CC75">
        <v>208</v>
      </c>
      <c r="CD75">
        <v>323</v>
      </c>
      <c r="CE75">
        <v>415</v>
      </c>
      <c r="CF75">
        <v>467</v>
      </c>
      <c r="CG75">
        <v>223</v>
      </c>
      <c r="CH75">
        <v>371</v>
      </c>
      <c r="CI75">
        <v>493</v>
      </c>
      <c r="CJ75">
        <v>585</v>
      </c>
    </row>
    <row r="76" spans="8:88" x14ac:dyDescent="0.2">
      <c r="I76" t="s">
        <v>55</v>
      </c>
      <c r="J76">
        <v>130</v>
      </c>
      <c r="K76">
        <v>160</v>
      </c>
      <c r="L76">
        <v>0.9</v>
      </c>
      <c r="M76" t="e" cm="1">
        <f t="array" ref="M76">_xlfn.XLOOKUP(H$35,$CA$169:$CJ$169,_xlfn.XLOOKUP($D$11,$BZ$170:$BZ$176,$CA$170:$CJ$176))</f>
        <v>#N/A</v>
      </c>
      <c r="N76" t="e">
        <f t="shared" ref="N76:N95" si="50">K76/M76</f>
        <v>#N/A</v>
      </c>
      <c r="Q76">
        <f t="shared" si="20"/>
        <v>0</v>
      </c>
      <c r="S76">
        <v>1</v>
      </c>
      <c r="Z76">
        <f t="shared" si="49"/>
        <v>4.5298311556000002</v>
      </c>
      <c r="AA76">
        <f>(Z76 * (1 -AK$11) + (0.04 * Z76)) * ( 1 - AY$11 )</f>
        <v>1.4839726865745599</v>
      </c>
      <c r="AB76">
        <f>AA76 * AW$51 * AS$51 * AU$51 * AX$51</f>
        <v>6.9816522344180778E-5</v>
      </c>
      <c r="AC76">
        <f>AA76 * AW$11 * AT$11 * AV$11 * AX$11</f>
        <v>8.3588548669608228E-4</v>
      </c>
      <c r="AD76">
        <f>J76*AB76*91.25</f>
        <v>0.82819849630784437</v>
      </c>
      <c r="AE76">
        <f>J76*AC76*91.25</f>
        <v>9.9156915859322758</v>
      </c>
      <c r="BZ76" s="2" t="s">
        <v>55</v>
      </c>
      <c r="CA76">
        <v>110</v>
      </c>
      <c r="CB76">
        <v>703</v>
      </c>
      <c r="CC76">
        <v>112</v>
      </c>
      <c r="CD76">
        <v>256</v>
      </c>
      <c r="CE76">
        <v>368</v>
      </c>
      <c r="CF76">
        <v>465</v>
      </c>
      <c r="CG76">
        <v>108</v>
      </c>
      <c r="CH76">
        <v>280</v>
      </c>
      <c r="CI76">
        <v>421</v>
      </c>
      <c r="CJ76">
        <v>543</v>
      </c>
    </row>
    <row r="77" spans="8:88" x14ac:dyDescent="0.2">
      <c r="I77" t="s">
        <v>56</v>
      </c>
      <c r="J77">
        <v>250</v>
      </c>
      <c r="K77">
        <v>220</v>
      </c>
      <c r="L77">
        <v>0.7</v>
      </c>
      <c r="M77" t="e" cm="1">
        <f t="array" ref="M77">_xlfn.XLOOKUP(H$35,$CA$169:$CJ$169,_xlfn.XLOOKUP($D$11,$BZ$170:$BZ$176,$CA$170:$CJ$176))</f>
        <v>#N/A</v>
      </c>
      <c r="N77" t="e">
        <f t="shared" si="50"/>
        <v>#N/A</v>
      </c>
      <c r="Q77">
        <f t="shared" si="20"/>
        <v>0</v>
      </c>
      <c r="S77">
        <v>1</v>
      </c>
      <c r="Z77">
        <f t="shared" si="49"/>
        <v>5.1913799715999973</v>
      </c>
      <c r="AA77">
        <f>(Z77 * (1 -AL$11) + (0.04 * Z77)) * ( 1 - AY$11 )</f>
        <v>1.918734037503359</v>
      </c>
      <c r="AB77">
        <f>AA77 * AW$51 * AS$51 * AU$51 * AX$51</f>
        <v>9.0270757011782037E-5</v>
      </c>
      <c r="AC77">
        <f>AA77 * AW$11 * AT$11 * AV$11 * AX$11</f>
        <v>1.0807759127164039E-3</v>
      </c>
      <c r="AD77">
        <f>J77*AB77*91.25</f>
        <v>2.0593016443312777</v>
      </c>
      <c r="AE77">
        <f>J77*AC77*91.25</f>
        <v>24.655200508842963</v>
      </c>
      <c r="BZ77" s="2" t="s">
        <v>56</v>
      </c>
      <c r="CA77">
        <v>170</v>
      </c>
      <c r="CB77">
        <v>721</v>
      </c>
      <c r="CC77">
        <v>169</v>
      </c>
      <c r="CD77">
        <v>306</v>
      </c>
      <c r="CE77">
        <v>392</v>
      </c>
      <c r="CF77">
        <v>464</v>
      </c>
      <c r="CG77">
        <v>176</v>
      </c>
      <c r="CH77">
        <v>339</v>
      </c>
      <c r="CI77">
        <v>470</v>
      </c>
      <c r="CJ77">
        <v>580</v>
      </c>
    </row>
    <row r="78" spans="8:88" x14ac:dyDescent="0.2">
      <c r="I78" t="s">
        <v>57</v>
      </c>
      <c r="J78">
        <v>150</v>
      </c>
      <c r="K78">
        <v>260</v>
      </c>
      <c r="L78">
        <v>0.4</v>
      </c>
      <c r="M78" t="e" cm="1">
        <f t="array" ref="M78">_xlfn.XLOOKUP(H$35,$CA$169:$CJ$169,_xlfn.XLOOKUP($D$11,$BZ$170:$BZ$176,$CA$170:$CJ$176))</f>
        <v>#N/A</v>
      </c>
      <c r="N78" t="e">
        <f t="shared" si="50"/>
        <v>#N/A</v>
      </c>
      <c r="Q78">
        <f t="shared" si="20"/>
        <v>0</v>
      </c>
      <c r="S78">
        <v>1</v>
      </c>
      <c r="Z78">
        <f t="shared" si="49"/>
        <v>5.3621886096000004</v>
      </c>
      <c r="AA78">
        <f>(Z78 * (1 -AM$11) + (0.04 * Z78)) * ( 1 - AY$11 )</f>
        <v>2.4322887533145603</v>
      </c>
      <c r="AB78">
        <f>AA78 * AW$51 * AS$51 * AU$51 * AX$51</f>
        <v>1.1443198626874025E-4</v>
      </c>
      <c r="AC78">
        <f>AA78 * AW$11 * AT$11 * AV$11 * AX$11</f>
        <v>1.3700487123134107E-3</v>
      </c>
      <c r="AD78">
        <f>J78*AB78*91.25</f>
        <v>1.5662878120533821</v>
      </c>
      <c r="AE78">
        <f>J78*AC78*91.25</f>
        <v>18.75254174978981</v>
      </c>
      <c r="BZ78" s="2" t="s">
        <v>57</v>
      </c>
      <c r="CA78">
        <v>200</v>
      </c>
      <c r="CB78">
        <v>727</v>
      </c>
      <c r="CC78">
        <v>211</v>
      </c>
      <c r="CD78">
        <v>338</v>
      </c>
      <c r="CE78">
        <v>432</v>
      </c>
      <c r="CF78">
        <v>492</v>
      </c>
      <c r="CG78">
        <v>222</v>
      </c>
      <c r="CH78">
        <v>377</v>
      </c>
      <c r="CI78">
        <v>498</v>
      </c>
      <c r="CJ78">
        <v>590</v>
      </c>
    </row>
    <row r="79" spans="8:88" x14ac:dyDescent="0.2">
      <c r="H79" t="s">
        <v>49</v>
      </c>
      <c r="I79" t="s">
        <v>54</v>
      </c>
      <c r="K79" cm="1">
        <f t="array" ref="K79:K82">_xlfn.XLOOKUP(H79, $CA$46:$CJ$46, $CA$47:$CJ$50)</f>
        <v>380</v>
      </c>
      <c r="L79" cm="1">
        <f t="array" ref="L79:L82">_xlfn.XLOOKUP(H79, $CA$106:$CJ$106, $CA$107:$CJ$110)</f>
        <v>0.4</v>
      </c>
      <c r="M79" t="e" cm="1">
        <f t="array" ref="M79">_xlfn.XLOOKUP(H$39,$CA$169:$CJ$169,_xlfn.XLOOKUP($D$11,$BZ$170:$BZ$176,$CA$170:$CJ$176))</f>
        <v>#N/A</v>
      </c>
      <c r="N79" t="e">
        <f t="shared" si="50"/>
        <v>#N/A</v>
      </c>
      <c r="Q79">
        <f t="shared" si="20"/>
        <v>0</v>
      </c>
      <c r="S79">
        <v>1</v>
      </c>
      <c r="Z79">
        <f t="shared" si="49"/>
        <v>7.0796437775999967</v>
      </c>
      <c r="AA79">
        <f>(Z79 * (1 -AJ$11) + (0.04 * Z79)) * ( 1 - AY$11 )</f>
        <v>2.9139813788601581</v>
      </c>
      <c r="AB79">
        <f>AA79 * AW$51 * AS$51 * AU$51 * AX$51</f>
        <v>1.37094198490489E-4</v>
      </c>
      <c r="AC79">
        <f>AA79 * AW$11 * AT$11 * AV$11 * AX$11</f>
        <v>1.6413743764477724E-3</v>
      </c>
      <c r="AD79">
        <f>J79*AB79*91.25</f>
        <v>0</v>
      </c>
      <c r="AE79">
        <f>J79*AC79*91.25</f>
        <v>0</v>
      </c>
      <c r="BX79" t="s">
        <v>73</v>
      </c>
      <c r="BY79" t="s">
        <v>75</v>
      </c>
      <c r="BZ79" s="2" t="s">
        <v>54</v>
      </c>
      <c r="CA79">
        <v>220</v>
      </c>
      <c r="CB79">
        <v>620</v>
      </c>
      <c r="CC79">
        <v>227</v>
      </c>
      <c r="CD79">
        <v>319</v>
      </c>
      <c r="CE79">
        <v>398</v>
      </c>
      <c r="CF79">
        <v>452</v>
      </c>
      <c r="CG79">
        <v>216</v>
      </c>
      <c r="CH79">
        <v>334</v>
      </c>
      <c r="CI79" t="s">
        <v>72</v>
      </c>
      <c r="CJ79" t="s">
        <v>72</v>
      </c>
    </row>
    <row r="80" spans="8:88" x14ac:dyDescent="0.2">
      <c r="I80" t="s">
        <v>55</v>
      </c>
      <c r="K80">
        <v>420</v>
      </c>
      <c r="L80">
        <v>0.4</v>
      </c>
      <c r="M80" t="e" cm="1">
        <f t="array" ref="M80">_xlfn.XLOOKUP(H$39,$CA$169:$CJ$169,_xlfn.XLOOKUP($D$11,$BZ$170:$BZ$176,$CA$170:$CJ$176))</f>
        <v>#N/A</v>
      </c>
      <c r="N80" t="e">
        <f t="shared" si="50"/>
        <v>#N/A</v>
      </c>
      <c r="Q80">
        <f t="shared" si="20"/>
        <v>0</v>
      </c>
      <c r="S80">
        <v>1</v>
      </c>
      <c r="Z80">
        <f t="shared" si="49"/>
        <v>7.6129639056</v>
      </c>
      <c r="AA80">
        <f>(Z80 * (1 -AK$11) + (0.04 * Z80)) * ( 1 - AY$11 )</f>
        <v>2.49400697547456</v>
      </c>
      <c r="AB80">
        <f>AA80 * AW$51 * AS$51 * AU$51 * AX$51</f>
        <v>1.1733564593543065E-4</v>
      </c>
      <c r="AC80">
        <f>AA80 * AW$11 * AT$11 * AV$11 * AX$11</f>
        <v>1.4048130759940598E-3</v>
      </c>
      <c r="AD80">
        <f>J80*AB80*91.25</f>
        <v>0</v>
      </c>
      <c r="AE80">
        <f>J80*AC80*91.25</f>
        <v>0</v>
      </c>
      <c r="BZ80" s="2" t="s">
        <v>55</v>
      </c>
      <c r="CA80">
        <v>110</v>
      </c>
      <c r="CB80">
        <v>650</v>
      </c>
      <c r="CC80">
        <v>108</v>
      </c>
      <c r="CD80">
        <v>262</v>
      </c>
      <c r="CE80">
        <v>346</v>
      </c>
      <c r="CF80">
        <v>430</v>
      </c>
      <c r="CG80">
        <v>111</v>
      </c>
      <c r="CH80">
        <v>236</v>
      </c>
      <c r="CI80" t="s">
        <v>72</v>
      </c>
      <c r="CJ80" t="s">
        <v>72</v>
      </c>
    </row>
    <row r="81" spans="1:88" x14ac:dyDescent="0.2">
      <c r="I81" t="s">
        <v>56</v>
      </c>
      <c r="K81">
        <v>450</v>
      </c>
      <c r="L81">
        <v>0.3</v>
      </c>
      <c r="M81" t="e" cm="1">
        <f t="array" ref="M81">_xlfn.XLOOKUP(H$39,$CA$169:$CJ$169,_xlfn.XLOOKUP($D$11,$BZ$170:$BZ$176,$CA$170:$CJ$176))</f>
        <v>#N/A</v>
      </c>
      <c r="N81" t="e">
        <f t="shared" si="50"/>
        <v>#N/A</v>
      </c>
      <c r="Q81">
        <f t="shared" si="20"/>
        <v>0</v>
      </c>
      <c r="S81">
        <v>1</v>
      </c>
      <c r="Z81">
        <f t="shared" si="49"/>
        <v>7.8176159999999992</v>
      </c>
      <c r="AA81">
        <f>(Z81 * (1 -AL$11) + (0.04 * Z81)) * ( 1 - AY$11 )</f>
        <v>2.8893908736</v>
      </c>
      <c r="AB81">
        <f>AA81 * AW$51 * AS$51 * AU$51 * AX$51</f>
        <v>1.3593728800589413E-4</v>
      </c>
      <c r="AC81">
        <f>AA81 * AW$11 * AT$11 * AV$11 * AX$11</f>
        <v>1.627523146810294E-3</v>
      </c>
      <c r="AD81">
        <f>J81*AB81*91.25</f>
        <v>0</v>
      </c>
      <c r="AE81">
        <f>J81*AC81*91.25</f>
        <v>0</v>
      </c>
      <c r="BZ81" s="2" t="s">
        <v>56</v>
      </c>
      <c r="CA81">
        <v>170</v>
      </c>
      <c r="CB81">
        <v>670</v>
      </c>
      <c r="CC81">
        <v>170</v>
      </c>
      <c r="CD81">
        <v>266</v>
      </c>
      <c r="CE81">
        <v>363</v>
      </c>
      <c r="CF81">
        <v>444</v>
      </c>
      <c r="CG81">
        <v>169</v>
      </c>
      <c r="CH81">
        <v>282</v>
      </c>
      <c r="CI81" t="s">
        <v>72</v>
      </c>
      <c r="CJ81" t="s">
        <v>72</v>
      </c>
    </row>
    <row r="82" spans="1:88" x14ac:dyDescent="0.2">
      <c r="I82" t="s">
        <v>57</v>
      </c>
      <c r="K82">
        <v>460</v>
      </c>
      <c r="L82">
        <v>0.1</v>
      </c>
      <c r="M82" t="e" cm="1">
        <f t="array" ref="M82">_xlfn.XLOOKUP(H$39,$CA$169:$CJ$169,_xlfn.XLOOKUP($D$11,$BZ$170:$BZ$176,$CA$170:$CJ$176))</f>
        <v>#N/A</v>
      </c>
      <c r="N82" t="e">
        <f t="shared" si="50"/>
        <v>#N/A</v>
      </c>
      <c r="Q82">
        <f t="shared" si="20"/>
        <v>0</v>
      </c>
      <c r="S82">
        <v>1</v>
      </c>
      <c r="Z82">
        <f t="shared" si="49"/>
        <v>7.5885924675999998</v>
      </c>
      <c r="AA82">
        <f>(Z82 * (1 -AM$11) + (0.04 * Z82)) * ( 1 - AY$11 )</f>
        <v>3.4421855433033599</v>
      </c>
      <c r="AB82">
        <f>AA82 * AW$51 * AS$51 * AU$51 * AX$51</f>
        <v>1.6194464094321492E-4</v>
      </c>
      <c r="AC82">
        <f>AA82 * AW$11 * AT$11 * AV$11 * AX$11</f>
        <v>1.9388988518406825E-3</v>
      </c>
      <c r="AD82">
        <f>J82*AB82*91.25</f>
        <v>0</v>
      </c>
      <c r="AE82">
        <f>J82*AC82*91.25</f>
        <v>0</v>
      </c>
      <c r="BZ82" s="2" t="s">
        <v>57</v>
      </c>
      <c r="CA82">
        <v>200</v>
      </c>
      <c r="CB82">
        <v>660</v>
      </c>
      <c r="CC82">
        <v>225</v>
      </c>
      <c r="CD82">
        <v>307</v>
      </c>
      <c r="CE82">
        <v>398</v>
      </c>
      <c r="CF82">
        <v>452</v>
      </c>
      <c r="CG82">
        <v>214</v>
      </c>
      <c r="CH82">
        <v>326</v>
      </c>
      <c r="CI82" t="s">
        <v>72</v>
      </c>
      <c r="CJ82" t="s">
        <v>72</v>
      </c>
    </row>
    <row r="83" spans="1:88" x14ac:dyDescent="0.2">
      <c r="H83" t="s">
        <v>50</v>
      </c>
      <c r="I83" t="s">
        <v>54</v>
      </c>
      <c r="K83" cm="1">
        <f t="array" ref="K83:K86">_xlfn.XLOOKUP(H83, $CA$46:$CJ$46, $CA$47:$CJ$50)</f>
        <v>380</v>
      </c>
      <c r="L83" cm="1">
        <f t="array" ref="L83:L86">_xlfn.XLOOKUP(H83, $CA$106:$CJ$106, $CA$107:$CJ$110)</f>
        <v>0.4</v>
      </c>
      <c r="M83" t="e" cm="1">
        <f t="array" ref="M83">_xlfn.XLOOKUP(H$43,$CA$169:$CJ$169,_xlfn.XLOOKUP($D$11,$BZ$170:$BZ$176,$CA$170:$CJ$176))</f>
        <v>#N/A</v>
      </c>
      <c r="N83" t="e">
        <f t="shared" si="50"/>
        <v>#N/A</v>
      </c>
      <c r="Q83">
        <f t="shared" si="20"/>
        <v>0</v>
      </c>
      <c r="S83">
        <v>1</v>
      </c>
      <c r="Z83">
        <f t="shared" si="49"/>
        <v>7.0796437775999967</v>
      </c>
      <c r="AA83">
        <f>(Z83 * (1 -AJ$11) + (0.04 * Z83)) * ( 1 - AY$11 )</f>
        <v>2.9139813788601581</v>
      </c>
      <c r="AB83">
        <f>AA83 * AW$51 * AS$51 * AU$51 * AX$51</f>
        <v>1.37094198490489E-4</v>
      </c>
      <c r="AC83">
        <f>AA83 * AW$11 * AT$11 * AV$11 * AX$11</f>
        <v>1.6413743764477724E-3</v>
      </c>
      <c r="AD83">
        <f>J83*AB83*91.25</f>
        <v>0</v>
      </c>
      <c r="AE83">
        <f>J83*AC83*91.25</f>
        <v>0</v>
      </c>
      <c r="BX83" t="s">
        <v>73</v>
      </c>
      <c r="BY83" t="s">
        <v>76</v>
      </c>
      <c r="BZ83" s="2" t="s">
        <v>54</v>
      </c>
      <c r="CA83">
        <v>220</v>
      </c>
      <c r="CB83">
        <v>620</v>
      </c>
      <c r="CC83">
        <v>177</v>
      </c>
      <c r="CD83">
        <v>267</v>
      </c>
      <c r="CE83">
        <v>365</v>
      </c>
      <c r="CF83">
        <v>406</v>
      </c>
      <c r="CG83">
        <v>231</v>
      </c>
      <c r="CH83">
        <v>249</v>
      </c>
      <c r="CI83">
        <v>324</v>
      </c>
      <c r="CJ83" t="s">
        <v>72</v>
      </c>
    </row>
    <row r="84" spans="1:88" x14ac:dyDescent="0.2">
      <c r="I84" t="s">
        <v>55</v>
      </c>
      <c r="K84">
        <v>420</v>
      </c>
      <c r="L84">
        <v>0.4</v>
      </c>
      <c r="M84" t="e" cm="1">
        <f t="array" ref="M84">_xlfn.XLOOKUP(H$43,$CA$169:$CJ$169,_xlfn.XLOOKUP($D$11,$BZ$170:$BZ$176,$CA$170:$CJ$176))</f>
        <v>#N/A</v>
      </c>
      <c r="N84" t="e">
        <f t="shared" si="50"/>
        <v>#N/A</v>
      </c>
      <c r="Q84">
        <f t="shared" si="20"/>
        <v>0</v>
      </c>
      <c r="S84">
        <v>1</v>
      </c>
      <c r="Z84">
        <f t="shared" si="49"/>
        <v>7.6129639056</v>
      </c>
      <c r="AA84">
        <f>(Z84 * (1 -AK$11) + (0.04 * Z84)) * ( 1 - AY$11 )</f>
        <v>2.49400697547456</v>
      </c>
      <c r="AB84">
        <f>AA84 * AW$51 * AS$51 * AU$51 * AX$51</f>
        <v>1.1733564593543065E-4</v>
      </c>
      <c r="AC84">
        <f>AA84 * AW$11 * AT$11 * AV$11 * AX$11</f>
        <v>1.4048130759940598E-3</v>
      </c>
      <c r="AD84">
        <f>J84*AB84*91.25</f>
        <v>0</v>
      </c>
      <c r="AE84">
        <f>J84*AC84*91.25</f>
        <v>0</v>
      </c>
      <c r="BZ84" s="2" t="s">
        <v>55</v>
      </c>
      <c r="CA84">
        <v>110</v>
      </c>
      <c r="CB84">
        <v>650</v>
      </c>
      <c r="CC84">
        <v>102</v>
      </c>
      <c r="CD84">
        <v>203</v>
      </c>
      <c r="CE84">
        <v>299</v>
      </c>
      <c r="CF84">
        <v>380</v>
      </c>
      <c r="CG84">
        <v>102</v>
      </c>
      <c r="CH84">
        <v>218</v>
      </c>
      <c r="CI84">
        <v>263</v>
      </c>
      <c r="CJ84" t="s">
        <v>72</v>
      </c>
    </row>
    <row r="85" spans="1:88" x14ac:dyDescent="0.2">
      <c r="I85" t="s">
        <v>56</v>
      </c>
      <c r="K85">
        <v>450</v>
      </c>
      <c r="L85">
        <v>0.3</v>
      </c>
      <c r="M85" t="e" cm="1">
        <f t="array" ref="M85">_xlfn.XLOOKUP(H$43,$CA$169:$CJ$169,_xlfn.XLOOKUP($D$11,$BZ$170:$BZ$176,$CA$170:$CJ$176))</f>
        <v>#N/A</v>
      </c>
      <c r="N85" t="e">
        <f t="shared" si="50"/>
        <v>#N/A</v>
      </c>
      <c r="Q85">
        <f t="shared" si="20"/>
        <v>0</v>
      </c>
      <c r="S85">
        <v>1</v>
      </c>
      <c r="Z85">
        <f t="shared" si="49"/>
        <v>7.8176159999999992</v>
      </c>
      <c r="AA85">
        <f>(Z85 * (1 -AL$11) + (0.04 * Z85)) * ( 1 - AY$11 )</f>
        <v>2.8893908736</v>
      </c>
      <c r="AB85">
        <f>AA85 * AW$51 * AS$51 * AU$51 * AX$51</f>
        <v>1.3593728800589413E-4</v>
      </c>
      <c r="AC85">
        <f>AA85 * AW$11 * AT$11 * AV$11 * AX$11</f>
        <v>1.627523146810294E-3</v>
      </c>
      <c r="AD85">
        <f>J85*AB85*91.25</f>
        <v>0</v>
      </c>
      <c r="AE85">
        <f>J85*AC85*91.25</f>
        <v>0</v>
      </c>
      <c r="BZ85" s="2" t="s">
        <v>56</v>
      </c>
      <c r="CA85">
        <v>170</v>
      </c>
      <c r="CB85">
        <v>670</v>
      </c>
      <c r="CC85">
        <v>173</v>
      </c>
      <c r="CD85">
        <v>250</v>
      </c>
      <c r="CE85">
        <v>336</v>
      </c>
      <c r="CF85">
        <v>414</v>
      </c>
      <c r="CG85">
        <v>175</v>
      </c>
      <c r="CH85">
        <v>243</v>
      </c>
      <c r="CI85">
        <v>304</v>
      </c>
      <c r="CJ85" t="s">
        <v>72</v>
      </c>
    </row>
    <row r="86" spans="1:88" x14ac:dyDescent="0.2">
      <c r="I86" t="s">
        <v>57</v>
      </c>
      <c r="K86">
        <v>460</v>
      </c>
      <c r="L86">
        <v>0.1</v>
      </c>
      <c r="M86" t="e" cm="1">
        <f t="array" ref="M86">_xlfn.XLOOKUP(H$43,$CA$169:$CJ$169,_xlfn.XLOOKUP($D$11,$BZ$170:$BZ$176,$CA$170:$CJ$176))</f>
        <v>#N/A</v>
      </c>
      <c r="N86" t="e">
        <f t="shared" si="50"/>
        <v>#N/A</v>
      </c>
      <c r="Q86">
        <f t="shared" si="20"/>
        <v>0</v>
      </c>
      <c r="S86">
        <v>1</v>
      </c>
      <c r="Z86">
        <f t="shared" si="49"/>
        <v>7.5885924675999998</v>
      </c>
      <c r="AA86">
        <f>(Z86 * (1 -AM$11) + (0.04 * Z86)) * ( 1 - AY$11 )</f>
        <v>3.4421855433033599</v>
      </c>
      <c r="AB86">
        <f>AA86 * AW$51 * AS$51 * AU$51 * AX$51</f>
        <v>1.6194464094321492E-4</v>
      </c>
      <c r="AC86">
        <f>AA86 * AW$11 * AT$11 * AV$11 * AX$11</f>
        <v>1.9388988518406825E-3</v>
      </c>
      <c r="AD86">
        <f>J86*AB86*91.25</f>
        <v>0</v>
      </c>
      <c r="AE86">
        <f>J86*AC86*91.25</f>
        <v>0</v>
      </c>
      <c r="BZ86" s="2" t="s">
        <v>57</v>
      </c>
      <c r="CA86">
        <v>200</v>
      </c>
      <c r="CB86">
        <v>660</v>
      </c>
      <c r="CC86">
        <v>202</v>
      </c>
      <c r="CD86">
        <v>272</v>
      </c>
      <c r="CE86">
        <v>365</v>
      </c>
      <c r="CF86">
        <v>390</v>
      </c>
      <c r="CG86">
        <v>208</v>
      </c>
      <c r="CH86">
        <v>260</v>
      </c>
      <c r="CI86">
        <v>337</v>
      </c>
      <c r="CJ86" t="s">
        <v>72</v>
      </c>
    </row>
    <row r="87" spans="1:88" x14ac:dyDescent="0.2">
      <c r="H87" t="s">
        <v>51</v>
      </c>
      <c r="I87" t="s">
        <v>54</v>
      </c>
      <c r="K87" cm="1">
        <f t="array" ref="K87:K90">_xlfn.XLOOKUP(H87, $CA$46:$CJ$46, $CA$47:$CJ$50)</f>
        <v>380</v>
      </c>
      <c r="L87" cm="1">
        <f t="array" ref="L87:L90">_xlfn.XLOOKUP(H87, $CA$106:$CJ$106, $CA$107:$CJ$110)</f>
        <v>0.4</v>
      </c>
      <c r="M87" t="e" cm="1">
        <f t="array" ref="M87">_xlfn.XLOOKUP(H$47,$CA$169:$CJ$169,_xlfn.XLOOKUP($D$11,$BZ$170:$BZ$176,$CA$170:$CJ$176))</f>
        <v>#N/A</v>
      </c>
      <c r="N87" t="e">
        <f t="shared" si="50"/>
        <v>#N/A</v>
      </c>
      <c r="Q87">
        <f t="shared" si="20"/>
        <v>0</v>
      </c>
      <c r="S87">
        <v>1</v>
      </c>
      <c r="Z87">
        <f t="shared" si="49"/>
        <v>7.0796437775999967</v>
      </c>
      <c r="AA87">
        <f>(Z87 * (1 -AJ$11) + (0.04 * Z87)) * ( 1 - AY$11 )</f>
        <v>2.9139813788601581</v>
      </c>
      <c r="AB87">
        <f>AA87 * AW$51 * AS$51 * AU$51 * AX$51</f>
        <v>1.37094198490489E-4</v>
      </c>
      <c r="AC87">
        <f>AA87 * AW$11 * AT$11 * AV$11 * AX$11</f>
        <v>1.6413743764477724E-3</v>
      </c>
      <c r="AD87">
        <f>J87*AB87*91.25</f>
        <v>0</v>
      </c>
      <c r="AE87">
        <f>J87*AC87*91.25</f>
        <v>0</v>
      </c>
      <c r="BX87" t="s">
        <v>81</v>
      </c>
      <c r="BY87" t="s">
        <v>77</v>
      </c>
      <c r="BZ87" s="2" t="s">
        <v>54</v>
      </c>
      <c r="CA87">
        <v>260</v>
      </c>
      <c r="CB87" s="2">
        <v>705</v>
      </c>
      <c r="CC87" s="2">
        <v>215</v>
      </c>
      <c r="CD87">
        <v>302</v>
      </c>
      <c r="CE87">
        <v>416</v>
      </c>
      <c r="CF87">
        <v>519</v>
      </c>
      <c r="CG87">
        <v>234</v>
      </c>
      <c r="CH87">
        <v>455</v>
      </c>
      <c r="CI87">
        <v>551</v>
      </c>
      <c r="CJ87" s="2">
        <v>660</v>
      </c>
    </row>
    <row r="88" spans="1:88" x14ac:dyDescent="0.2">
      <c r="I88" t="s">
        <v>55</v>
      </c>
      <c r="K88">
        <v>420</v>
      </c>
      <c r="L88">
        <v>0.4</v>
      </c>
      <c r="M88" t="e" cm="1">
        <f t="array" ref="M88">_xlfn.XLOOKUP(H$47,$CA$169:$CJ$169,_xlfn.XLOOKUP($D$11,$BZ$170:$BZ$176,$CA$170:$CJ$176))</f>
        <v>#N/A</v>
      </c>
      <c r="N88" t="e">
        <f t="shared" si="50"/>
        <v>#N/A</v>
      </c>
      <c r="Q88">
        <f t="shared" si="20"/>
        <v>0</v>
      </c>
      <c r="S88">
        <v>1</v>
      </c>
      <c r="Z88">
        <f t="shared" si="49"/>
        <v>7.6129639056</v>
      </c>
      <c r="AA88">
        <f>(Z88 * (1 -AK$11) + (0.04 * Z88)) * ( 1 - AY$11 )</f>
        <v>2.49400697547456</v>
      </c>
      <c r="AB88">
        <f>AA88 * AW$51 * AS$51 * AU$51 * AX$51</f>
        <v>1.1733564593543065E-4</v>
      </c>
      <c r="AC88">
        <f>AA88 * AW$11 * AT$11 * AV$11 * AX$11</f>
        <v>1.4048130759940598E-3</v>
      </c>
      <c r="AD88">
        <f>J88*AB88*91.25</f>
        <v>0</v>
      </c>
      <c r="AE88">
        <f>J88*AC88*91.25</f>
        <v>0</v>
      </c>
      <c r="BZ88" s="2" t="s">
        <v>55</v>
      </c>
      <c r="CA88">
        <v>153</v>
      </c>
      <c r="CB88">
        <v>703</v>
      </c>
      <c r="CC88" s="2">
        <v>118</v>
      </c>
      <c r="CD88">
        <v>277</v>
      </c>
      <c r="CE88">
        <v>397</v>
      </c>
      <c r="CF88">
        <v>483</v>
      </c>
      <c r="CG88">
        <v>111</v>
      </c>
      <c r="CH88">
        <v>304</v>
      </c>
      <c r="CI88">
        <v>521</v>
      </c>
      <c r="CJ88" s="2">
        <v>547</v>
      </c>
    </row>
    <row r="89" spans="1:88" x14ac:dyDescent="0.2">
      <c r="I89" t="s">
        <v>56</v>
      </c>
      <c r="K89">
        <v>450</v>
      </c>
      <c r="L89">
        <v>0.3</v>
      </c>
      <c r="M89" t="e" cm="1">
        <f t="array" ref="M89">_xlfn.XLOOKUP(H$47,$CA$169:$CJ$169,_xlfn.XLOOKUP($D$11,$BZ$170:$BZ$176,$CA$170:$CJ$176))</f>
        <v>#N/A</v>
      </c>
      <c r="N89" t="e">
        <f t="shared" si="50"/>
        <v>#N/A</v>
      </c>
      <c r="Q89">
        <f t="shared" si="20"/>
        <v>0</v>
      </c>
      <c r="S89">
        <v>1</v>
      </c>
      <c r="Z89">
        <f t="shared" si="49"/>
        <v>7.8176159999999992</v>
      </c>
      <c r="AA89">
        <f>(Z89 * (1 -AL$11) + (0.04 * Z89)) * ( 1 - AY$11 )</f>
        <v>2.8893908736</v>
      </c>
      <c r="AB89">
        <f>AA89 * AW$51 * AS$51 * AU$51 * AX$51</f>
        <v>1.3593728800589413E-4</v>
      </c>
      <c r="AC89">
        <f>AA89 * AW$11 * AT$11 * AV$11 * AX$11</f>
        <v>1.627523146810294E-3</v>
      </c>
      <c r="AD89">
        <f>J89*AB89*91.25</f>
        <v>0</v>
      </c>
      <c r="AE89">
        <f>J89*AC89*91.25</f>
        <v>0</v>
      </c>
      <c r="BZ89" s="2" t="s">
        <v>56</v>
      </c>
      <c r="CA89">
        <v>168</v>
      </c>
      <c r="CB89">
        <v>718</v>
      </c>
      <c r="CC89" s="2">
        <v>191</v>
      </c>
      <c r="CD89">
        <v>319</v>
      </c>
      <c r="CE89">
        <v>440</v>
      </c>
      <c r="CF89">
        <v>506</v>
      </c>
      <c r="CG89">
        <v>188</v>
      </c>
      <c r="CH89">
        <v>326</v>
      </c>
      <c r="CI89">
        <v>520</v>
      </c>
      <c r="CJ89" s="2">
        <v>582</v>
      </c>
    </row>
    <row r="90" spans="1:88" x14ac:dyDescent="0.2">
      <c r="I90" t="s">
        <v>57</v>
      </c>
      <c r="K90">
        <v>460</v>
      </c>
      <c r="L90">
        <v>0.1</v>
      </c>
      <c r="M90" t="e" cm="1">
        <f t="array" ref="M90">_xlfn.XLOOKUP(H$47,$CA$169:$CJ$169,_xlfn.XLOOKUP($D$11,$BZ$170:$BZ$176,$CA$170:$CJ$176))</f>
        <v>#N/A</v>
      </c>
      <c r="N90" t="e">
        <f t="shared" si="50"/>
        <v>#N/A</v>
      </c>
      <c r="Q90">
        <f t="shared" si="20"/>
        <v>0</v>
      </c>
      <c r="S90">
        <v>1</v>
      </c>
      <c r="Z90">
        <f t="shared" si="49"/>
        <v>7.5885924675999998</v>
      </c>
      <c r="AA90">
        <f>(Z90 * (1 -AM$11) + (0.04 * Z90)) * ( 1 - AY$11 )</f>
        <v>3.4421855433033599</v>
      </c>
      <c r="AB90">
        <f>AA90 * AW$51 * AS$51 * AU$51 * AX$51</f>
        <v>1.6194464094321492E-4</v>
      </c>
      <c r="AC90">
        <f>AA90 * AW$11 * AT$11 * AV$11 * AX$11</f>
        <v>1.9388988518406825E-3</v>
      </c>
      <c r="AD90">
        <f>J90*AB90*91.25</f>
        <v>0</v>
      </c>
      <c r="AE90">
        <f>J90*AC90*91.25</f>
        <v>0</v>
      </c>
      <c r="BZ90" s="2" t="s">
        <v>57</v>
      </c>
      <c r="CA90">
        <v>235</v>
      </c>
      <c r="CB90">
        <v>722</v>
      </c>
      <c r="CC90" s="2">
        <v>207</v>
      </c>
      <c r="CD90">
        <v>352</v>
      </c>
      <c r="CE90">
        <v>470</v>
      </c>
      <c r="CF90">
        <v>514</v>
      </c>
      <c r="CG90">
        <v>209</v>
      </c>
      <c r="CH90">
        <v>421</v>
      </c>
      <c r="CI90">
        <v>512</v>
      </c>
      <c r="CJ90" s="2">
        <v>605</v>
      </c>
    </row>
    <row r="91" spans="1:88" x14ac:dyDescent="0.2">
      <c r="A91" t="s">
        <v>118</v>
      </c>
      <c r="B91" t="s">
        <v>99</v>
      </c>
      <c r="D91" t="s">
        <v>53</v>
      </c>
      <c r="F91" t="s">
        <v>53</v>
      </c>
      <c r="H91" t="s">
        <v>42</v>
      </c>
      <c r="I91" t="s">
        <v>54</v>
      </c>
      <c r="J91">
        <v>100</v>
      </c>
      <c r="K91" cm="1">
        <f t="array" ref="K91:K94">_xlfn.XLOOKUP(H91, $CA$46:$CJ$46, $CA$47:$CJ$50)</f>
        <v>80</v>
      </c>
      <c r="L91" cm="1">
        <f t="array" ref="L91:L94">_xlfn.XLOOKUP(H91, $CA$106:$CJ$106, $CA$107:$CJ$110)</f>
        <v>0.5</v>
      </c>
      <c r="M91" t="e" cm="1">
        <f t="array" ref="M91">_xlfn.XLOOKUP(H$11,$CA$169:$CJ$169,_xlfn.XLOOKUP($D$11,$BZ$170:$BZ$176,$CA$170:$CJ$176))</f>
        <v>#N/A</v>
      </c>
      <c r="N91" t="e">
        <f t="shared" si="50"/>
        <v>#N/A</v>
      </c>
      <c r="O91">
        <v>0</v>
      </c>
      <c r="Q91">
        <f t="shared" si="20"/>
        <v>0</v>
      </c>
      <c r="S91">
        <v>1</v>
      </c>
      <c r="Z91">
        <f>(1.185 + 0.00454 * K91 - 0.0000026 * K91^2 + 0.315 * L91)^2 * S91</f>
        <v>2.8529236835999998</v>
      </c>
      <c r="AA91">
        <f>(Z91 * (1 -AJ91) + (0.04 * Z91)) * ( 1 - AY$11 )</f>
        <v>1.1742633881697597</v>
      </c>
      <c r="AB91">
        <f>AA91 * AW$51 * AS$51 * AU$51 * AX$51</f>
        <v>5.5245616593758213E-5</v>
      </c>
      <c r="AC91">
        <f>AA91 * AW$11 * AT$11 * AV$11 * AX$11</f>
        <v>6.6143382058828331E-4</v>
      </c>
      <c r="AD91">
        <f>J91*AB91*91.25</f>
        <v>0.50411625141804373</v>
      </c>
      <c r="AE91">
        <f>J91*AC91*91.25</f>
        <v>6.0355836128680851</v>
      </c>
      <c r="AJ91" cm="1">
        <f t="array" ref="AJ91:AM91">_xlfn.XLOOKUP(D91,$CC$18:$CC$26,$CD$18:$CG$26)</f>
        <v>0.55000000000000004</v>
      </c>
      <c r="AK91">
        <v>0.65</v>
      </c>
      <c r="AL91">
        <v>0.6</v>
      </c>
      <c r="AM91">
        <v>0.5</v>
      </c>
      <c r="AR91" t="s">
        <v>91</v>
      </c>
      <c r="AS91">
        <f>IF(AR91="yes", $BY$6, $BZ$6)</f>
        <v>0.05</v>
      </c>
      <c r="AT91">
        <f>IF(AR91="yes", $BY$7, $BZ$7)</f>
        <v>0.95</v>
      </c>
      <c r="AU91">
        <f>VLOOKUP(B91, $CK$17:$CL$26, 2, FALSE)</f>
        <v>7.3000000000000001E-3</v>
      </c>
      <c r="AV91">
        <f>$CL$14</f>
        <v>4.5999999999999999E-3</v>
      </c>
      <c r="AW91">
        <f>$CD$5</f>
        <v>0.19</v>
      </c>
      <c r="AX91">
        <f>$CD$6</f>
        <v>0.6784</v>
      </c>
      <c r="AY91">
        <f>$CD$7</f>
        <v>0.16</v>
      </c>
      <c r="AZ91">
        <f>SUM(AD91:AE130)</f>
        <v>253.55531996355981</v>
      </c>
      <c r="BG91">
        <f>$CD$8</f>
        <v>28</v>
      </c>
      <c r="BR91">
        <f>AZ91 * BG91 * 10^-3</f>
        <v>7.0995489589796748</v>
      </c>
      <c r="BX91" t="s">
        <v>81</v>
      </c>
      <c r="BY91" t="s">
        <v>78</v>
      </c>
      <c r="BZ91" s="2" t="s">
        <v>54</v>
      </c>
      <c r="CA91">
        <v>230</v>
      </c>
      <c r="CB91" s="2">
        <v>674</v>
      </c>
      <c r="CC91" s="2">
        <v>217</v>
      </c>
      <c r="CD91">
        <v>344</v>
      </c>
      <c r="CE91">
        <v>357</v>
      </c>
      <c r="CF91">
        <v>467</v>
      </c>
      <c r="CG91">
        <v>242</v>
      </c>
      <c r="CH91">
        <v>370</v>
      </c>
      <c r="CI91">
        <v>550</v>
      </c>
      <c r="CJ91" s="2">
        <v>620</v>
      </c>
    </row>
    <row r="92" spans="1:88" x14ac:dyDescent="0.2">
      <c r="I92" t="s">
        <v>55</v>
      </c>
      <c r="J92">
        <v>110</v>
      </c>
      <c r="K92">
        <v>170</v>
      </c>
      <c r="L92">
        <v>1</v>
      </c>
      <c r="M92" t="e" cm="1">
        <f t="array" ref="M92">_xlfn.XLOOKUP(H$11,$CA$169:$CJ$169,_xlfn.XLOOKUP($D$11,$BZ$170:$BZ$176,$CA$170:$CJ$176))</f>
        <v>#N/A</v>
      </c>
      <c r="N92" t="e">
        <f t="shared" si="50"/>
        <v>#N/A</v>
      </c>
      <c r="P92">
        <v>0</v>
      </c>
      <c r="Q92">
        <f t="shared" ref="Q92:Q117" si="51">O92+P92</f>
        <v>0</v>
      </c>
      <c r="S92">
        <v>1</v>
      </c>
      <c r="Z92">
        <f t="shared" ref="Z92:Z106" si="52">(1.185 + 0.00454 * K92 - 0.0000026 * K92^2 + 0.315 * L92)^2 * S92</f>
        <v>4.8253151556000002</v>
      </c>
      <c r="AA92">
        <f>(Z92 * (1 -AK$11) + (0.04 * Z92)) * ( 1 - AY$11 )</f>
        <v>1.58077324497456</v>
      </c>
      <c r="AB92">
        <f>AA92 * AW$51 * AS$51 * AU$51 * AX$51</f>
        <v>7.4370702087247912E-5</v>
      </c>
      <c r="AC92">
        <f>AA92 * AW$11 * AT$11 * AV$11 * AX$11</f>
        <v>8.9041087156513257E-4</v>
      </c>
      <c r="AD92">
        <f>J92*AB92*91.25</f>
        <v>0.74649592220075089</v>
      </c>
      <c r="AE92">
        <f>J92*AC92*91.25</f>
        <v>8.9374991233350194</v>
      </c>
      <c r="BZ92" s="2" t="s">
        <v>55</v>
      </c>
      <c r="CA92">
        <v>113</v>
      </c>
      <c r="CB92" s="2">
        <v>669</v>
      </c>
      <c r="CC92" s="2">
        <v>113</v>
      </c>
      <c r="CD92">
        <v>283</v>
      </c>
      <c r="CE92">
        <v>361</v>
      </c>
      <c r="CF92">
        <v>477</v>
      </c>
      <c r="CG92">
        <v>120</v>
      </c>
      <c r="CH92">
        <v>273</v>
      </c>
      <c r="CI92">
        <v>545</v>
      </c>
      <c r="CJ92" s="2">
        <v>553</v>
      </c>
    </row>
    <row r="93" spans="1:88" x14ac:dyDescent="0.2">
      <c r="I93" t="s">
        <v>56</v>
      </c>
      <c r="J93">
        <v>120</v>
      </c>
      <c r="K93">
        <v>240</v>
      </c>
      <c r="L93">
        <v>0.8</v>
      </c>
      <c r="M93" t="e" cm="1">
        <f t="array" ref="M93">_xlfn.XLOOKUP(H$11,$CA$169:$CJ$169,_xlfn.XLOOKUP($D$11,$BZ$170:$BZ$176,$CA$170:$CJ$176))</f>
        <v>#N/A</v>
      </c>
      <c r="N93" t="e">
        <f t="shared" si="50"/>
        <v>#N/A</v>
      </c>
      <c r="Q93">
        <f t="shared" si="51"/>
        <v>0</v>
      </c>
      <c r="S93">
        <v>1</v>
      </c>
      <c r="Z93">
        <f t="shared" si="52"/>
        <v>5.6493683855999981</v>
      </c>
      <c r="AA93">
        <f>(Z93 * (1 -AL$11) + (0.04 * Z93)) * ( 1 - AY$11 )</f>
        <v>2.0880065553177594</v>
      </c>
      <c r="AB93">
        <f>AA93 * AW$51 * AS$51 * AU$51 * AX$51</f>
        <v>9.8234527928296858E-5</v>
      </c>
      <c r="AC93">
        <f>AA93 * AW$11 * AT$11 * AV$11 * AX$11</f>
        <v>1.1761229782100196E-3</v>
      </c>
      <c r="AD93">
        <f>J93*AB93*91.25</f>
        <v>1.0756680808148507</v>
      </c>
      <c r="AE93">
        <f>J93*AC93*91.25</f>
        <v>12.878546611399717</v>
      </c>
      <c r="BZ93" s="2" t="s">
        <v>56</v>
      </c>
      <c r="CA93">
        <v>172</v>
      </c>
      <c r="CB93" s="2">
        <v>685</v>
      </c>
      <c r="CC93" s="2">
        <v>172</v>
      </c>
      <c r="CD93">
        <v>309</v>
      </c>
      <c r="CE93">
        <v>376</v>
      </c>
      <c r="CF93">
        <v>471</v>
      </c>
      <c r="CG93">
        <v>238</v>
      </c>
      <c r="CH93">
        <v>329</v>
      </c>
      <c r="CI93">
        <v>573</v>
      </c>
      <c r="CJ93" s="2">
        <v>620</v>
      </c>
    </row>
    <row r="94" spans="1:88" x14ac:dyDescent="0.2">
      <c r="I94" t="s">
        <v>57</v>
      </c>
      <c r="J94">
        <v>130</v>
      </c>
      <c r="K94">
        <v>280</v>
      </c>
      <c r="L94">
        <v>0.4</v>
      </c>
      <c r="M94" t="e" cm="1">
        <f t="array" ref="M94">_xlfn.XLOOKUP(H$11,$CA$169:$CJ$169,_xlfn.XLOOKUP($D$11,$BZ$170:$BZ$176,$CA$170:$CJ$176))</f>
        <v>#N/A</v>
      </c>
      <c r="N94" t="e">
        <f t="shared" si="50"/>
        <v>#N/A</v>
      </c>
      <c r="Q94">
        <f t="shared" si="51"/>
        <v>0</v>
      </c>
      <c r="S94">
        <v>1</v>
      </c>
      <c r="Z94">
        <f t="shared" si="52"/>
        <v>5.6565962895999995</v>
      </c>
      <c r="AA94">
        <f>(Z94 * (1 -AM$11) + (0.04 * Z94)) * ( 1 - AY$11 )</f>
        <v>2.5658320769625598</v>
      </c>
      <c r="AB94">
        <f>AA94 * AW$51 * AS$51 * AU$51 * AX$51</f>
        <v>1.2071480435814064E-4</v>
      </c>
      <c r="AC94">
        <f>AA94 * AW$11 * AT$11 * AV$11 * AX$11</f>
        <v>1.4452703973837659E-3</v>
      </c>
      <c r="AD94">
        <f>J94*AB94*91.25</f>
        <v>1.4319793666984433</v>
      </c>
      <c r="AE94">
        <f>J94*AC94*91.25</f>
        <v>17.144520088964921</v>
      </c>
      <c r="BZ94" s="2" t="s">
        <v>57</v>
      </c>
      <c r="CA94">
        <v>241</v>
      </c>
      <c r="CB94" s="2">
        <v>692</v>
      </c>
      <c r="CC94" s="2">
        <v>208</v>
      </c>
      <c r="CD94">
        <v>344</v>
      </c>
      <c r="CE94">
        <v>364</v>
      </c>
      <c r="CF94">
        <v>484</v>
      </c>
      <c r="CG94">
        <v>260</v>
      </c>
      <c r="CH94">
        <v>350</v>
      </c>
      <c r="CI94">
        <v>567</v>
      </c>
      <c r="CJ94" s="2">
        <v>620</v>
      </c>
    </row>
    <row r="95" spans="1:88" x14ac:dyDescent="0.2">
      <c r="H95" t="s">
        <v>43</v>
      </c>
      <c r="I95" t="s">
        <v>54</v>
      </c>
      <c r="K95" cm="1">
        <f t="array" ref="K95:K98">_xlfn.XLOOKUP(H95, $CA$46:$CJ$46, $CA$47:$CJ$50)</f>
        <v>480</v>
      </c>
      <c r="L95" cm="1">
        <f t="array" ref="L95:L98">_xlfn.XLOOKUP(H95, $CA$106:$CJ$106, $CA$107:$CJ$110)</f>
        <v>0.2</v>
      </c>
      <c r="M95" t="e" cm="1">
        <f t="array" ref="M95">_xlfn.XLOOKUP(H$15,$CA$169:$CJ$169,_xlfn.XLOOKUP($D$11,$BZ$170:$BZ$176,$CA$170:$CJ$176))</f>
        <v>#N/A</v>
      </c>
      <c r="N95" t="e">
        <f t="shared" si="50"/>
        <v>#N/A</v>
      </c>
      <c r="Q95">
        <f t="shared" si="51"/>
        <v>0</v>
      </c>
      <c r="S95">
        <v>1</v>
      </c>
      <c r="Z95">
        <f t="shared" si="52"/>
        <v>7.9984889855999999</v>
      </c>
      <c r="AA95">
        <f>(Z95 * (1 -AJ$11) + (0.04 * Z95)) * ( 1 - AY$11 )</f>
        <v>3.2921780664729599</v>
      </c>
      <c r="AB95">
        <f>AA95 * AW$51 * AS$51 * AU$51 * AX$51</f>
        <v>1.5488723318047602E-4</v>
      </c>
      <c r="AC95">
        <f>AA95 * AW$11 * AT$11 * AV$11 * AX$11</f>
        <v>1.8544033123251509E-3</v>
      </c>
      <c r="AD95">
        <f>J95*AB95*91.25</f>
        <v>0</v>
      </c>
      <c r="AE95">
        <f>J95*AC95*91.25</f>
        <v>0</v>
      </c>
      <c r="BX95" t="s">
        <v>81</v>
      </c>
      <c r="BY95" t="s">
        <v>79</v>
      </c>
      <c r="BZ95" s="2" t="s">
        <v>54</v>
      </c>
      <c r="CA95">
        <v>236</v>
      </c>
      <c r="CB95" s="2">
        <v>674</v>
      </c>
      <c r="CC95" s="2">
        <v>178</v>
      </c>
      <c r="CD95">
        <v>310</v>
      </c>
      <c r="CE95">
        <v>428</v>
      </c>
      <c r="CF95">
        <v>466</v>
      </c>
      <c r="CG95">
        <v>193</v>
      </c>
      <c r="CH95">
        <v>370</v>
      </c>
      <c r="CI95">
        <v>519</v>
      </c>
      <c r="CJ95" s="2">
        <v>565</v>
      </c>
    </row>
    <row r="96" spans="1:88" x14ac:dyDescent="0.2">
      <c r="I96" t="s">
        <v>55</v>
      </c>
      <c r="K96">
        <v>520</v>
      </c>
      <c r="L96">
        <v>0.4</v>
      </c>
      <c r="M96" t="e" cm="1">
        <f t="array" ref="M96">_xlfn.XLOOKUP(H$15,$CA$169:$CJ$169,_xlfn.XLOOKUP($D$11,$BZ$170:$BZ$176,$CA$170:$CJ$176))</f>
        <v>#N/A</v>
      </c>
      <c r="N96" t="e">
        <f>K96/M96</f>
        <v>#N/A</v>
      </c>
      <c r="Q96">
        <f t="shared" si="51"/>
        <v>0</v>
      </c>
      <c r="S96">
        <v>1</v>
      </c>
      <c r="Z96">
        <f t="shared" si="52"/>
        <v>8.8135359375999975</v>
      </c>
      <c r="AA96">
        <f>(Z96 * (1 -AK$11) + (0.04 * Z96)) * ( 1 - AY$11 )</f>
        <v>2.8873143731577593</v>
      </c>
      <c r="AB96">
        <f>AA96 * AW$51 * AS$51 * AU$51 * AX$51</f>
        <v>1.3583959480652805E-4</v>
      </c>
      <c r="AC96">
        <f>AA96 * AW$11 * AT$11 * AV$11 * AX$11</f>
        <v>1.626353504943911E-3</v>
      </c>
      <c r="AD96">
        <f>J96*AB96*91.25</f>
        <v>0</v>
      </c>
      <c r="AE96">
        <f>J96*AC96*91.25</f>
        <v>0</v>
      </c>
      <c r="BZ96" s="2" t="s">
        <v>55</v>
      </c>
      <c r="CA96">
        <v>120</v>
      </c>
      <c r="CB96" s="2">
        <v>669</v>
      </c>
      <c r="CC96" s="2">
        <v>112</v>
      </c>
      <c r="CD96">
        <v>250</v>
      </c>
      <c r="CE96">
        <v>390</v>
      </c>
      <c r="CF96">
        <v>448</v>
      </c>
      <c r="CG96">
        <v>115</v>
      </c>
      <c r="CH96">
        <v>273</v>
      </c>
      <c r="CI96">
        <v>433</v>
      </c>
      <c r="CJ96" s="2">
        <v>556</v>
      </c>
    </row>
    <row r="97" spans="8:88" x14ac:dyDescent="0.2">
      <c r="I97" t="s">
        <v>56</v>
      </c>
      <c r="K97">
        <v>550</v>
      </c>
      <c r="L97">
        <v>0.3</v>
      </c>
      <c r="M97" t="e" cm="1">
        <f t="array" ref="M97">_xlfn.XLOOKUP(H$15,$CA$169:$CJ$169,_xlfn.XLOOKUP($D$11,$BZ$170:$BZ$176,$CA$170:$CJ$176))</f>
        <v>#N/A</v>
      </c>
      <c r="N97" t="e">
        <f t="shared" ref="N97:N119" si="53">K97/M97</f>
        <v>#N/A</v>
      </c>
      <c r="Q97">
        <f t="shared" si="51"/>
        <v>0</v>
      </c>
      <c r="S97">
        <v>1</v>
      </c>
      <c r="Z97">
        <f t="shared" si="52"/>
        <v>8.940100000000001</v>
      </c>
      <c r="AA97">
        <f>(Z97 * (1 -AL$11) + (0.04 * Z97)) * ( 1 - AY$11 )</f>
        <v>3.3042609600000006</v>
      </c>
      <c r="AB97">
        <f>AA97 * AW$51 * AS$51 * AU$51 * AX$51</f>
        <v>1.5545569755555841E-4</v>
      </c>
      <c r="AC97">
        <f>AA97 * AW$11 * AT$11 * AV$11 * AX$11</f>
        <v>1.8612093104596994E-3</v>
      </c>
      <c r="AD97">
        <f>J97*AB97*91.25</f>
        <v>0</v>
      </c>
      <c r="AE97">
        <f>J97*AC97*91.25</f>
        <v>0</v>
      </c>
      <c r="BZ97" s="2" t="s">
        <v>56</v>
      </c>
      <c r="CA97">
        <v>125</v>
      </c>
      <c r="CB97" s="2">
        <v>685</v>
      </c>
      <c r="CC97" s="2">
        <v>140</v>
      </c>
      <c r="CD97">
        <v>277</v>
      </c>
      <c r="CE97">
        <v>407</v>
      </c>
      <c r="CF97">
        <v>455</v>
      </c>
      <c r="CG97">
        <v>141</v>
      </c>
      <c r="CH97">
        <v>296</v>
      </c>
      <c r="CI97">
        <v>445</v>
      </c>
      <c r="CJ97" s="2">
        <v>593</v>
      </c>
    </row>
    <row r="98" spans="8:88" x14ac:dyDescent="0.2">
      <c r="I98" t="s">
        <v>57</v>
      </c>
      <c r="K98">
        <v>560</v>
      </c>
      <c r="L98">
        <v>0.1</v>
      </c>
      <c r="M98" t="e" cm="1">
        <f t="array" ref="M98">_xlfn.XLOOKUP(H$15,$CA$169:$CJ$169,_xlfn.XLOOKUP($D$11,$BZ$170:$BZ$176,$CA$170:$CJ$176))</f>
        <v>#N/A</v>
      </c>
      <c r="N98" t="e">
        <f t="shared" si="53"/>
        <v>#N/A</v>
      </c>
      <c r="Q98">
        <f t="shared" si="51"/>
        <v>0</v>
      </c>
      <c r="S98">
        <v>1</v>
      </c>
      <c r="Z98">
        <f t="shared" si="52"/>
        <v>8.6644277315999982</v>
      </c>
      <c r="AA98">
        <f>(Z98 * (1 -AM$11) + (0.04 * Z98)) * ( 1 - AY$11 )</f>
        <v>3.9301844190537589</v>
      </c>
      <c r="AB98">
        <f>AA98 * AW$51 * AS$51 * AU$51 * AX$51</f>
        <v>1.8490354357059897E-4</v>
      </c>
      <c r="AC98">
        <f>AA98 * AW$11 * AT$11 * AV$11 * AX$11</f>
        <v>2.2137766723384039E-3</v>
      </c>
      <c r="AD98">
        <f>J98*AB98*91.25</f>
        <v>0</v>
      </c>
      <c r="AE98">
        <f>J98*AC98*91.25</f>
        <v>0</v>
      </c>
      <c r="BZ98" s="2" t="s">
        <v>57</v>
      </c>
      <c r="CA98" s="2">
        <v>180</v>
      </c>
      <c r="CB98" s="2">
        <v>692</v>
      </c>
      <c r="CC98" s="2">
        <v>183</v>
      </c>
      <c r="CD98">
        <v>316</v>
      </c>
      <c r="CE98">
        <v>438</v>
      </c>
      <c r="CF98">
        <v>468</v>
      </c>
      <c r="CG98">
        <v>189</v>
      </c>
      <c r="CH98">
        <v>354</v>
      </c>
      <c r="CI98">
        <v>500</v>
      </c>
      <c r="CJ98" s="2">
        <v>553</v>
      </c>
    </row>
    <row r="99" spans="8:88" x14ac:dyDescent="0.2">
      <c r="H99" t="s">
        <v>44</v>
      </c>
      <c r="I99" t="s">
        <v>54</v>
      </c>
      <c r="K99" cm="1">
        <f t="array" ref="K99:K102">_xlfn.XLOOKUP(H99, $CA$46:$CJ$46, $CA$47:$CJ$50)</f>
        <v>75</v>
      </c>
      <c r="L99" cm="1">
        <f t="array" ref="L99:L102">_xlfn.XLOOKUP(H99, $CA$106:$CJ$106, $CA$107:$CJ$110)</f>
        <v>0.5</v>
      </c>
      <c r="M99" t="e" cm="1">
        <f t="array" ref="M99">_xlfn.XLOOKUP(H$19,$CA$169:$CJ$169,_xlfn.XLOOKUP($D$11,$BZ$170:$BZ$176,$CA$170:$CJ$176))</f>
        <v>#N/A</v>
      </c>
      <c r="N99" t="e">
        <f t="shared" si="53"/>
        <v>#N/A</v>
      </c>
      <c r="Q99">
        <f t="shared" si="51"/>
        <v>0</v>
      </c>
      <c r="S99">
        <v>1</v>
      </c>
      <c r="Z99">
        <f t="shared" si="52"/>
        <v>2.7834751406249998</v>
      </c>
      <c r="AA99">
        <f>(Z99 * (1 -AJ$11) + (0.04 * Z99)) * ( 1 - AY$11 )</f>
        <v>1.1456783678812499</v>
      </c>
      <c r="AB99">
        <f>AA99 * AW$51 * AS$51 * AU$51 * AX$51</f>
        <v>5.390077600084388E-5</v>
      </c>
      <c r="AC99">
        <f>AA99 * AW$11 * AT$11 * AV$11 * AX$11</f>
        <v>6.4533257842106233E-4</v>
      </c>
      <c r="AD99">
        <f>J99*AB99*91.25</f>
        <v>0</v>
      </c>
      <c r="AE99">
        <f>J99*AC99*91.25</f>
        <v>0</v>
      </c>
      <c r="BX99" t="s">
        <v>81</v>
      </c>
      <c r="BY99" t="s">
        <v>80</v>
      </c>
      <c r="BZ99" s="2" t="s">
        <v>54</v>
      </c>
      <c r="CA99" s="2">
        <v>190</v>
      </c>
      <c r="CB99" s="2">
        <v>617</v>
      </c>
      <c r="CC99" s="2">
        <v>174</v>
      </c>
      <c r="CD99">
        <v>265</v>
      </c>
      <c r="CE99">
        <v>371</v>
      </c>
      <c r="CF99">
        <v>415</v>
      </c>
      <c r="CG99">
        <v>170</v>
      </c>
      <c r="CH99">
        <v>272</v>
      </c>
      <c r="CI99">
        <v>392</v>
      </c>
      <c r="CJ99" s="2">
        <v>531</v>
      </c>
    </row>
    <row r="100" spans="8:88" x14ac:dyDescent="0.2">
      <c r="I100" t="s">
        <v>55</v>
      </c>
      <c r="K100">
        <v>160</v>
      </c>
      <c r="L100">
        <v>0.9</v>
      </c>
      <c r="M100" t="e" cm="1">
        <f t="array" ref="M100">_xlfn.XLOOKUP(H$19,$CA$169:$CJ$169,_xlfn.XLOOKUP($D$11,$BZ$170:$BZ$176,$CA$170:$CJ$176))</f>
        <v>#N/A</v>
      </c>
      <c r="N100" t="e">
        <f t="shared" si="53"/>
        <v>#N/A</v>
      </c>
      <c r="Q100">
        <f t="shared" si="51"/>
        <v>0</v>
      </c>
      <c r="S100">
        <v>1</v>
      </c>
      <c r="Z100">
        <f t="shared" si="52"/>
        <v>4.5298311556000002</v>
      </c>
      <c r="AA100">
        <f>(Z100 * (1 -AK$11) + (0.04 * Z100)) * ( 1 - AY$11 )</f>
        <v>1.4839726865745599</v>
      </c>
      <c r="AB100">
        <f>AA100 * AW$51 * AS$51 * AU$51 * AX$51</f>
        <v>6.9816522344180778E-5</v>
      </c>
      <c r="AC100">
        <f>AA100 * AW$11 * AT$11 * AV$11 * AX$11</f>
        <v>8.3588548669608228E-4</v>
      </c>
      <c r="AD100">
        <f>J100*AB100*91.25</f>
        <v>0</v>
      </c>
      <c r="AE100">
        <f>J100*AC100*91.25</f>
        <v>0</v>
      </c>
      <c r="BZ100" s="2" t="s">
        <v>55</v>
      </c>
      <c r="CA100">
        <v>119</v>
      </c>
      <c r="CB100" s="2">
        <v>591</v>
      </c>
      <c r="CC100" s="2">
        <v>140</v>
      </c>
      <c r="CD100">
        <v>205</v>
      </c>
      <c r="CE100">
        <v>310</v>
      </c>
      <c r="CF100">
        <v>405</v>
      </c>
      <c r="CG100">
        <v>133</v>
      </c>
      <c r="CH100">
        <v>218</v>
      </c>
      <c r="CI100">
        <v>315</v>
      </c>
      <c r="CJ100" s="2">
        <v>445</v>
      </c>
    </row>
    <row r="101" spans="8:88" x14ac:dyDescent="0.2">
      <c r="I101" t="s">
        <v>56</v>
      </c>
      <c r="K101">
        <v>220</v>
      </c>
      <c r="L101">
        <v>0.7</v>
      </c>
      <c r="M101" t="e" cm="1">
        <f t="array" ref="M101">_xlfn.XLOOKUP(H$19,$CA$169:$CJ$169,_xlfn.XLOOKUP($D$11,$BZ$170:$BZ$176,$CA$170:$CJ$176))</f>
        <v>#N/A</v>
      </c>
      <c r="N101" t="e">
        <f t="shared" si="53"/>
        <v>#N/A</v>
      </c>
      <c r="Q101">
        <f t="shared" si="51"/>
        <v>0</v>
      </c>
      <c r="S101">
        <v>1</v>
      </c>
      <c r="Z101">
        <f t="shared" si="52"/>
        <v>5.1913799715999973</v>
      </c>
      <c r="AA101">
        <f>(Z101 * (1 -AL$11) + (0.04 * Z101)) * ( 1 - AY$11 )</f>
        <v>1.918734037503359</v>
      </c>
      <c r="AB101">
        <f>AA101 * AW$51 * AS$51 * AU$51 * AX$51</f>
        <v>9.0270757011782037E-5</v>
      </c>
      <c r="AC101">
        <f>AA101 * AW$11 * AT$11 * AV$11 * AX$11</f>
        <v>1.0807759127164039E-3</v>
      </c>
      <c r="AD101">
        <f>J101*AB101*91.25</f>
        <v>0</v>
      </c>
      <c r="AE101">
        <f>J101*AC101*91.25</f>
        <v>0</v>
      </c>
      <c r="BZ101" s="2" t="s">
        <v>56</v>
      </c>
      <c r="CA101">
        <v>175</v>
      </c>
      <c r="CB101" s="2">
        <v>610</v>
      </c>
      <c r="CC101" s="2">
        <v>163</v>
      </c>
      <c r="CD101">
        <v>232</v>
      </c>
      <c r="CE101">
        <v>351</v>
      </c>
      <c r="CF101">
        <v>427</v>
      </c>
      <c r="CG101">
        <v>146</v>
      </c>
      <c r="CH101">
        <v>242</v>
      </c>
      <c r="CI101">
        <v>320</v>
      </c>
      <c r="CJ101" s="2">
        <v>471</v>
      </c>
    </row>
    <row r="102" spans="8:88" x14ac:dyDescent="0.2">
      <c r="I102" t="s">
        <v>57</v>
      </c>
      <c r="K102">
        <v>260</v>
      </c>
      <c r="L102">
        <v>0.4</v>
      </c>
      <c r="M102" t="e" cm="1">
        <f t="array" ref="M102">_xlfn.XLOOKUP(H$19,$CA$169:$CJ$169,_xlfn.XLOOKUP($D$11,$BZ$170:$BZ$176,$CA$170:$CJ$176))</f>
        <v>#N/A</v>
      </c>
      <c r="N102" t="e">
        <f t="shared" si="53"/>
        <v>#N/A</v>
      </c>
      <c r="Q102">
        <f t="shared" si="51"/>
        <v>0</v>
      </c>
      <c r="S102">
        <v>1</v>
      </c>
      <c r="Z102">
        <f t="shared" si="52"/>
        <v>5.3621886096000004</v>
      </c>
      <c r="AA102">
        <f>(Z102 * (1 -AM$11) + (0.04 * Z102)) * ( 1 - AY$11 )</f>
        <v>2.4322887533145603</v>
      </c>
      <c r="AB102">
        <f>AA102 * AW$51 * AS$51 * AU$51 * AX$51</f>
        <v>1.1443198626874025E-4</v>
      </c>
      <c r="AC102">
        <f>AA102 * AW$11 * AT$11 * AV$11 * AX$11</f>
        <v>1.3700487123134107E-3</v>
      </c>
      <c r="AD102">
        <f>J102*AB102*91.25</f>
        <v>0</v>
      </c>
      <c r="AE102">
        <f>J102*AC102*91.25</f>
        <v>0</v>
      </c>
      <c r="BZ102" s="2" t="s">
        <v>57</v>
      </c>
      <c r="CA102">
        <v>192</v>
      </c>
      <c r="CB102" s="2">
        <v>615</v>
      </c>
      <c r="CC102" s="2">
        <v>162</v>
      </c>
      <c r="CD102">
        <v>255</v>
      </c>
      <c r="CE102">
        <v>364</v>
      </c>
      <c r="CF102">
        <v>420</v>
      </c>
      <c r="CG102">
        <v>157</v>
      </c>
      <c r="CH102">
        <v>261</v>
      </c>
      <c r="CI102">
        <v>342</v>
      </c>
      <c r="CJ102" s="2">
        <v>484</v>
      </c>
    </row>
    <row r="103" spans="8:88" x14ac:dyDescent="0.2">
      <c r="H103" t="s">
        <v>45</v>
      </c>
      <c r="I103" t="s">
        <v>54</v>
      </c>
      <c r="K103" cm="1">
        <f t="array" ref="K103:K106">_xlfn.XLOOKUP(H103, $CA$46:$CJ$46, $CA$47:$CJ$50)</f>
        <v>300</v>
      </c>
      <c r="L103" cm="1">
        <f t="array" ref="L103:L106">_xlfn.XLOOKUP(H103, $CA$106:$CJ$106, $CA$107:$CJ$110)</f>
        <v>0.4</v>
      </c>
      <c r="M103" t="e" cm="1">
        <f t="array" ref="M103">_xlfn.XLOOKUP(H$23,$CA$169:$CJ$169,_xlfn.XLOOKUP($D$11,$BZ$170:$BZ$176,$CA$170:$CJ$176))</f>
        <v>#N/A</v>
      </c>
      <c r="N103" t="e">
        <f t="shared" si="53"/>
        <v>#N/A</v>
      </c>
      <c r="Q103">
        <f t="shared" si="51"/>
        <v>0</v>
      </c>
      <c r="S103">
        <v>1</v>
      </c>
      <c r="Z103">
        <f t="shared" si="52"/>
        <v>5.9487209999999981</v>
      </c>
      <c r="AA103">
        <f>(Z103 * (1 -AJ$11) + (0.04 * Z103)) * ( 1 - AY$11 )</f>
        <v>2.4484935635999991</v>
      </c>
      <c r="AB103">
        <f>AA103 * AW$51 * AS$51 * AU$51 * AX$51</f>
        <v>1.1519437462643171E-4</v>
      </c>
      <c r="AC103">
        <f>AA103 * AW$11 * AT$11 * AV$11 * AX$11</f>
        <v>1.3791764852534424E-3</v>
      </c>
      <c r="AD103">
        <f>J103*AB103*91.25</f>
        <v>0</v>
      </c>
      <c r="AE103">
        <f>J103*AC103*91.25</f>
        <v>0</v>
      </c>
    </row>
    <row r="104" spans="8:88" x14ac:dyDescent="0.2">
      <c r="I104" t="s">
        <v>55</v>
      </c>
      <c r="K104">
        <v>360</v>
      </c>
      <c r="L104">
        <v>0.7</v>
      </c>
      <c r="M104" t="e" cm="1">
        <f t="array" ref="M104">_xlfn.XLOOKUP(H$23,$CA$169:$CJ$169,_xlfn.XLOOKUP($D$11,$BZ$170:$BZ$176,$CA$170:$CJ$176))</f>
        <v>#N/A</v>
      </c>
      <c r="N104" t="e">
        <f t="shared" si="53"/>
        <v>#N/A</v>
      </c>
      <c r="Q104">
        <f t="shared" si="51"/>
        <v>0</v>
      </c>
      <c r="S104">
        <v>1</v>
      </c>
      <c r="Z104">
        <f t="shared" si="52"/>
        <v>7.3058846435999998</v>
      </c>
      <c r="AA104">
        <f>(Z104 * (1 -AK$11) + (0.04 * Z104)) * ( 1 - AY$11 )</f>
        <v>2.3934078092433602</v>
      </c>
      <c r="AB104">
        <f>AA104 * AW$51 * AS$51 * AU$51 * AX$51</f>
        <v>1.1260275293778476E-4</v>
      </c>
      <c r="AC104">
        <f>AA104 * AW$11 * AT$11 * AV$11 * AX$11</f>
        <v>1.3481480283236143E-3</v>
      </c>
      <c r="AD104">
        <f>J104*AB104*91.25</f>
        <v>0</v>
      </c>
      <c r="AE104">
        <f>J104*AC104*91.25</f>
        <v>0</v>
      </c>
    </row>
    <row r="105" spans="8:88" x14ac:dyDescent="0.2">
      <c r="I105" t="s">
        <v>56</v>
      </c>
      <c r="K105">
        <v>390</v>
      </c>
      <c r="L105">
        <v>0.3</v>
      </c>
      <c r="M105" t="e" cm="1">
        <f t="array" ref="M105">_xlfn.XLOOKUP(H$23,$CA$169:$CJ$169,_xlfn.XLOOKUP($D$11,$BZ$170:$BZ$176,$CA$170:$CJ$176))</f>
        <v>#N/A</v>
      </c>
      <c r="N105" t="e">
        <f t="shared" si="53"/>
        <v>#N/A</v>
      </c>
      <c r="Q105">
        <f t="shared" si="51"/>
        <v>0</v>
      </c>
      <c r="S105">
        <v>1</v>
      </c>
      <c r="Z105">
        <f t="shared" si="52"/>
        <v>7.0471135296000007</v>
      </c>
      <c r="AA105">
        <f>(Z105 * (1 -AL$11) + (0.04 * Z105)) * ( 1 - AY$11 )</f>
        <v>2.6046131605401603</v>
      </c>
      <c r="AB105">
        <f>AA105 * AW$51 * AS$51 * AU$51 * AX$51</f>
        <v>1.2253933954845938E-4</v>
      </c>
      <c r="AC105">
        <f>AA105 * AW$11 * AT$11 * AV$11 * AX$11</f>
        <v>1.4671148324021022E-3</v>
      </c>
      <c r="AD105">
        <f>J105*AB105*91.25</f>
        <v>0</v>
      </c>
      <c r="AE105">
        <f>J105*AC105*91.25</f>
        <v>0</v>
      </c>
    </row>
    <row r="106" spans="8:88" x14ac:dyDescent="0.2">
      <c r="I106" t="s">
        <v>57</v>
      </c>
      <c r="K106">
        <v>410</v>
      </c>
      <c r="L106">
        <v>0.2</v>
      </c>
      <c r="M106" t="e" cm="1">
        <f t="array" ref="M106">_xlfn.XLOOKUP(H$23,$CA$169:$CJ$169,_xlfn.XLOOKUP($D$11,$BZ$170:$BZ$176,$CA$170:$CJ$176))</f>
        <v>#N/A</v>
      </c>
      <c r="N106" t="e">
        <f t="shared" si="53"/>
        <v>#N/A</v>
      </c>
      <c r="Q106">
        <f t="shared" si="51"/>
        <v>0</v>
      </c>
      <c r="S106">
        <v>1</v>
      </c>
      <c r="Z106">
        <f t="shared" si="52"/>
        <v>7.1414010756000028</v>
      </c>
      <c r="AA106">
        <f>(Z106 * (1 -AM$11) + (0.04 * Z106)) * ( 1 - AY$11 )</f>
        <v>3.2393395278921613</v>
      </c>
      <c r="AB106">
        <f>AA106 * AW$51 * AS$51 * AU$51 * AX$51</f>
        <v>1.5240133634232363E-4</v>
      </c>
      <c r="AC106">
        <f>AA106 * AW$11 * AT$11 * AV$11 * AX$11</f>
        <v>1.8246406570300113E-3</v>
      </c>
      <c r="AD106">
        <f>J106*AB106*91.25</f>
        <v>0</v>
      </c>
      <c r="AE106">
        <f>J106*AC106*91.25</f>
        <v>0</v>
      </c>
      <c r="BX106" t="s">
        <v>60</v>
      </c>
      <c r="CA106" s="4" t="s">
        <v>42</v>
      </c>
      <c r="CB106" s="4" t="s">
        <v>43</v>
      </c>
      <c r="CC106" s="4" t="s">
        <v>44</v>
      </c>
      <c r="CD106" s="5" t="s">
        <v>45</v>
      </c>
      <c r="CE106" s="4" t="s">
        <v>46</v>
      </c>
      <c r="CF106" s="4" t="s">
        <v>47</v>
      </c>
      <c r="CG106" s="4" t="s">
        <v>48</v>
      </c>
      <c r="CH106" s="4" t="s">
        <v>49</v>
      </c>
      <c r="CI106" s="4" t="s">
        <v>50</v>
      </c>
      <c r="CJ106" s="4" t="s">
        <v>51</v>
      </c>
    </row>
    <row r="107" spans="8:88" x14ac:dyDescent="0.2">
      <c r="H107" t="s">
        <v>46</v>
      </c>
      <c r="I107" t="s">
        <v>54</v>
      </c>
      <c r="J107">
        <v>100</v>
      </c>
      <c r="K107" cm="1">
        <f t="array" ref="K107:K110">_xlfn.XLOOKUP(H107, $CA$46:$CJ$46, $CA$47:$CJ$50)</f>
        <v>440</v>
      </c>
      <c r="L107" cm="1">
        <f t="array" ref="L107:L110">_xlfn.XLOOKUP(H107, $CA$106:$CJ$106, $CA$107:$CJ$110)</f>
        <v>0.3</v>
      </c>
      <c r="M107" t="e" cm="1">
        <f t="array" ref="M107">_xlfn.XLOOKUP(H$27,$CA$169:$CJ$169,_xlfn.XLOOKUP($D$11,$BZ$170:$BZ$176,$CA$170:$CJ$176))</f>
        <v>#N/A</v>
      </c>
      <c r="N107" t="e">
        <f t="shared" si="53"/>
        <v>#N/A</v>
      </c>
      <c r="O107">
        <v>0.7</v>
      </c>
      <c r="Q107">
        <f t="shared" si="51"/>
        <v>0.7</v>
      </c>
      <c r="R107">
        <f>1+(0.3*O107)+(0.1*P107)</f>
        <v>1.21</v>
      </c>
      <c r="S107">
        <f>(Q107*R107)+(1 - Q107)</f>
        <v>1.147</v>
      </c>
      <c r="Z107">
        <f>(1.185 + 0.00454 * K107 - 0.0000026 * K107^2 + 0.315 * L107)^2 * S107</f>
        <v>8.8245977249772007</v>
      </c>
      <c r="AA107">
        <f>(Z107 * (1 -AJ$11) + (0.04 * Z107)) * ( 1 - AY$11 )</f>
        <v>3.6322044236006152</v>
      </c>
      <c r="AB107">
        <f>AA107 * AW$51 * AS$51 * AU$51 * AX$51</f>
        <v>1.7088446680531508E-4</v>
      </c>
      <c r="AC107">
        <f>AA107 * AW$11 * AT$11 * AV$11 * AX$11</f>
        <v>2.0459318354499366E-3</v>
      </c>
      <c r="AD107">
        <f>J107*AB107*91.25</f>
        <v>1.5593207595984999</v>
      </c>
      <c r="AE107">
        <f>J107*AC107*91.25</f>
        <v>18.669127998480672</v>
      </c>
      <c r="BX107" t="s">
        <v>53</v>
      </c>
      <c r="BZ107" t="s">
        <v>54</v>
      </c>
      <c r="CA107">
        <v>0.5</v>
      </c>
      <c r="CB107">
        <v>0.2</v>
      </c>
      <c r="CC107">
        <v>0.5</v>
      </c>
      <c r="CD107">
        <v>0.4</v>
      </c>
      <c r="CE107">
        <v>0.3</v>
      </c>
      <c r="CF107">
        <v>0.3</v>
      </c>
      <c r="CG107">
        <v>0.5</v>
      </c>
      <c r="CH107">
        <v>0.4</v>
      </c>
      <c r="CI107">
        <v>0.4</v>
      </c>
      <c r="CJ107">
        <v>0.4</v>
      </c>
    </row>
    <row r="108" spans="8:88" x14ac:dyDescent="0.2">
      <c r="I108" t="s">
        <v>55</v>
      </c>
      <c r="J108">
        <v>110</v>
      </c>
      <c r="K108">
        <v>470</v>
      </c>
      <c r="L108">
        <v>0.3</v>
      </c>
      <c r="M108" t="e" cm="1">
        <f t="array" ref="M108">_xlfn.XLOOKUP(H$27,$CA$169:$CJ$169,_xlfn.XLOOKUP($D$11,$BZ$170:$BZ$176,$CA$170:$CJ$176))</f>
        <v>#N/A</v>
      </c>
      <c r="N108" t="e">
        <f t="shared" si="53"/>
        <v>#N/A</v>
      </c>
      <c r="O108">
        <v>0.3</v>
      </c>
      <c r="P108">
        <v>0.7</v>
      </c>
      <c r="Q108">
        <f t="shared" si="51"/>
        <v>1</v>
      </c>
      <c r="R108">
        <f t="shared" ref="R108:R114" si="54">1+(0.3*O108)+(0.1*P108)</f>
        <v>1.1600000000000001</v>
      </c>
      <c r="S108">
        <f t="shared" ref="S108:S114" si="55">(Q108*R108)+(1 - Q108)</f>
        <v>1.1600000000000001</v>
      </c>
      <c r="Z108">
        <f t="shared" ref="Z108:Z130" si="56">(1.185 + 0.00454 * K108 - 0.0000026 * K108^2 + 0.315 * L108)^2 * S108</f>
        <v>9.3492449026560021</v>
      </c>
      <c r="AA108">
        <f>(Z108 * (1 -AK$11) + (0.04 * Z108)) * ( 1 - AY$11 )</f>
        <v>3.0628126301101064</v>
      </c>
      <c r="AB108">
        <f>AA108 * AW$51 * AS$51 * AU$51 * AX$51</f>
        <v>1.4409626832129538E-4</v>
      </c>
      <c r="AC108">
        <f>AA108 * AW$11 * AT$11 * AV$11 * AX$11</f>
        <v>1.7252073768878379E-3</v>
      </c>
      <c r="AD108">
        <f>J108*AB108*91.25</f>
        <v>1.4463662932750025</v>
      </c>
      <c r="AE108">
        <f>J108*AC108*91.25</f>
        <v>17.316769045511673</v>
      </c>
      <c r="BZ108" t="s">
        <v>55</v>
      </c>
      <c r="CA108">
        <v>1</v>
      </c>
      <c r="CB108">
        <v>0.4</v>
      </c>
      <c r="CC108">
        <v>0.9</v>
      </c>
      <c r="CD108">
        <v>0.7</v>
      </c>
      <c r="CE108">
        <v>0.3</v>
      </c>
      <c r="CF108">
        <v>0.3</v>
      </c>
      <c r="CG108">
        <v>0.9</v>
      </c>
      <c r="CH108">
        <v>0.4</v>
      </c>
      <c r="CI108">
        <v>0.4</v>
      </c>
      <c r="CJ108">
        <v>0.4</v>
      </c>
    </row>
    <row r="109" spans="8:88" x14ac:dyDescent="0.2">
      <c r="I109" t="s">
        <v>56</v>
      </c>
      <c r="J109">
        <v>120</v>
      </c>
      <c r="K109">
        <v>490</v>
      </c>
      <c r="L109">
        <v>0.2</v>
      </c>
      <c r="M109" t="e" cm="1">
        <f t="array" ref="M109">_xlfn.XLOOKUP(H$27,$CA$169:$CJ$169,_xlfn.XLOOKUP($D$11,$BZ$170:$BZ$176,$CA$170:$CJ$176))</f>
        <v>#N/A</v>
      </c>
      <c r="N109" t="e">
        <f t="shared" si="53"/>
        <v>#N/A</v>
      </c>
      <c r="O109">
        <v>0</v>
      </c>
      <c r="P109">
        <v>0.3</v>
      </c>
      <c r="Q109">
        <f t="shared" si="51"/>
        <v>0.3</v>
      </c>
      <c r="R109">
        <f t="shared" si="54"/>
        <v>1.03</v>
      </c>
      <c r="S109">
        <f t="shared" si="55"/>
        <v>1.0089999999999999</v>
      </c>
      <c r="Z109">
        <f t="shared" si="56"/>
        <v>8.1860581224004001</v>
      </c>
      <c r="AA109">
        <f>(Z109 * (1 -AL$11) + (0.04 * Z109)) * ( 1 - AY$11 )</f>
        <v>3.0255670820391876</v>
      </c>
      <c r="AB109">
        <f>AA109 * AW$51 * AS$51 * AU$51 * AX$51</f>
        <v>1.4234397553138095E-4</v>
      </c>
      <c r="AC109">
        <f>AA109 * AW$11 * AT$11 * AV$11 * AX$11</f>
        <v>1.7042278714305059E-3</v>
      </c>
      <c r="AD109">
        <f>J109*AB109*91.25</f>
        <v>1.5586665320686215</v>
      </c>
      <c r="AE109">
        <f>J109*AC109*91.25</f>
        <v>18.66129519216404</v>
      </c>
      <c r="BZ109" t="s">
        <v>56</v>
      </c>
      <c r="CA109">
        <v>0.8</v>
      </c>
      <c r="CB109">
        <v>0.3</v>
      </c>
      <c r="CC109">
        <v>0.7</v>
      </c>
      <c r="CD109">
        <v>0.3</v>
      </c>
      <c r="CE109">
        <v>0.2</v>
      </c>
      <c r="CF109">
        <v>0.2</v>
      </c>
      <c r="CG109">
        <v>0.7</v>
      </c>
      <c r="CH109">
        <v>0.3</v>
      </c>
      <c r="CI109">
        <v>0.3</v>
      </c>
      <c r="CJ109">
        <v>0.3</v>
      </c>
    </row>
    <row r="110" spans="8:88" x14ac:dyDescent="0.2">
      <c r="I110" t="s">
        <v>57</v>
      </c>
      <c r="J110">
        <v>130</v>
      </c>
      <c r="K110">
        <v>500</v>
      </c>
      <c r="L110">
        <v>0.1</v>
      </c>
      <c r="M110" t="e" cm="1">
        <f t="array" ref="M110">_xlfn.XLOOKUP(H$27,$CA$169:$CJ$169,_xlfn.XLOOKUP($D$11,$BZ$170:$BZ$176,$CA$170:$CJ$176))</f>
        <v>#N/A</v>
      </c>
      <c r="N110" t="e">
        <f t="shared" si="53"/>
        <v>#N/A</v>
      </c>
      <c r="O110">
        <v>0</v>
      </c>
      <c r="P110">
        <v>0</v>
      </c>
      <c r="Q110">
        <f t="shared" si="51"/>
        <v>0</v>
      </c>
      <c r="R110">
        <f t="shared" si="54"/>
        <v>1</v>
      </c>
      <c r="S110">
        <f t="shared" si="55"/>
        <v>1</v>
      </c>
      <c r="Z110">
        <f t="shared" si="56"/>
        <v>8.0457322500000004</v>
      </c>
      <c r="AA110">
        <f>(Z110 * (1 -AM$11) + (0.04 * Z110)) * ( 1 - AY$11 )</f>
        <v>3.6495441486</v>
      </c>
      <c r="AB110">
        <f>AA110 * AW$51 * AS$51 * AU$51 * AX$51</f>
        <v>1.7170024954095013E-4</v>
      </c>
      <c r="AC110">
        <f>AA110 * AW$11 * AT$11 * AV$11 * AX$11</f>
        <v>2.0556988780656223E-3</v>
      </c>
      <c r="AD110">
        <f>J110*AB110*91.25</f>
        <v>2.0367942101795209</v>
      </c>
      <c r="AE110">
        <f>J110*AC110*91.25</f>
        <v>24.385727941053442</v>
      </c>
      <c r="BZ110" t="s">
        <v>57</v>
      </c>
      <c r="CA110">
        <v>0.4</v>
      </c>
      <c r="CB110">
        <v>0.1</v>
      </c>
      <c r="CC110">
        <v>0.4</v>
      </c>
      <c r="CD110">
        <v>0.2</v>
      </c>
      <c r="CE110">
        <v>0.1</v>
      </c>
      <c r="CF110">
        <v>0.1</v>
      </c>
      <c r="CG110">
        <v>0.4</v>
      </c>
      <c r="CH110">
        <v>0.1</v>
      </c>
      <c r="CI110">
        <v>0.1</v>
      </c>
      <c r="CJ110">
        <v>0.1</v>
      </c>
    </row>
    <row r="111" spans="8:88" x14ac:dyDescent="0.2">
      <c r="H111" t="s">
        <v>47</v>
      </c>
      <c r="I111" t="s">
        <v>54</v>
      </c>
      <c r="J111" s="10">
        <v>50</v>
      </c>
      <c r="K111" cm="1">
        <f t="array" ref="K111:K114">_xlfn.XLOOKUP(H111, $CA$46:$CJ$46, $CA$47:$CJ$50)</f>
        <v>440</v>
      </c>
      <c r="L111" cm="1">
        <f t="array" ref="L111:L114">_xlfn.XLOOKUP(H111, $CA$106:$CJ$106, $CA$107:$CJ$110)</f>
        <v>0.3</v>
      </c>
      <c r="M111" t="e" cm="1">
        <f t="array" ref="M111">_xlfn.XLOOKUP(H$31,$CA$169:$CJ$169,_xlfn.XLOOKUP($D$11,$BZ$170:$BZ$176,$CA$170:$CJ$176))</f>
        <v>#N/A</v>
      </c>
      <c r="N111" t="e">
        <f t="shared" si="53"/>
        <v>#N/A</v>
      </c>
      <c r="O111">
        <v>0.6</v>
      </c>
      <c r="P111">
        <v>0.4</v>
      </c>
      <c r="Q111">
        <f t="shared" si="51"/>
        <v>1</v>
      </c>
      <c r="R111">
        <f t="shared" si="54"/>
        <v>1.22</v>
      </c>
      <c r="S111">
        <f t="shared" si="55"/>
        <v>1.22</v>
      </c>
      <c r="Z111">
        <f t="shared" si="56"/>
        <v>9.3862329768720016</v>
      </c>
      <c r="AA111">
        <f>(Z111 * (1 -AJ$11) + (0.04 * Z111)) * ( 1 - AY$11 )</f>
        <v>3.8633734932805153</v>
      </c>
      <c r="AB111">
        <f>AA111 * AW$51 * AS$51 * AU$51 * AX$51</f>
        <v>1.8176028727330814E-4</v>
      </c>
      <c r="AC111">
        <f>AA111 * AW$11 * AT$11 * AV$11 * AX$11</f>
        <v>2.1761437133817987E-3</v>
      </c>
      <c r="AD111">
        <f>J111*AB111*91.25</f>
        <v>0.82928131068446842</v>
      </c>
      <c r="AE111">
        <f>J111*AC111*91.25</f>
        <v>9.9286556923044564</v>
      </c>
      <c r="BX111" t="s">
        <v>59</v>
      </c>
      <c r="BZ111" t="s">
        <v>54</v>
      </c>
      <c r="CA111">
        <v>0.99</v>
      </c>
      <c r="CB111">
        <v>1.1000000000000001</v>
      </c>
      <c r="CC111">
        <v>0.88</v>
      </c>
      <c r="CD111">
        <v>0.55000000000000004</v>
      </c>
      <c r="CE111">
        <v>0.55000000000000004</v>
      </c>
      <c r="CF111">
        <v>0.55000000000000004</v>
      </c>
      <c r="CG111">
        <v>0.88</v>
      </c>
      <c r="CH111">
        <v>0.22</v>
      </c>
      <c r="CI111">
        <v>0.22</v>
      </c>
      <c r="CJ111">
        <v>0.22</v>
      </c>
    </row>
    <row r="112" spans="8:88" x14ac:dyDescent="0.2">
      <c r="I112" t="s">
        <v>55</v>
      </c>
      <c r="J112" s="10">
        <v>60</v>
      </c>
      <c r="K112">
        <v>470</v>
      </c>
      <c r="L112">
        <v>0.3</v>
      </c>
      <c r="M112" t="e" cm="1">
        <f t="array" ref="M112">_xlfn.XLOOKUP(H$31,$CA$169:$CJ$169,_xlfn.XLOOKUP($D$11,$BZ$170:$BZ$176,$CA$170:$CJ$176))</f>
        <v>#N/A</v>
      </c>
      <c r="N112" t="e">
        <f t="shared" si="53"/>
        <v>#N/A</v>
      </c>
      <c r="O112">
        <v>0</v>
      </c>
      <c r="P112">
        <v>0.6</v>
      </c>
      <c r="Q112">
        <f t="shared" si="51"/>
        <v>0.6</v>
      </c>
      <c r="R112">
        <f t="shared" si="54"/>
        <v>1.06</v>
      </c>
      <c r="S112">
        <f t="shared" si="55"/>
        <v>1.036</v>
      </c>
      <c r="Z112">
        <f t="shared" si="56"/>
        <v>8.349842861337601</v>
      </c>
      <c r="AA112">
        <f>(Z112 * (1 -AK$11) + (0.04 * Z112)) * ( 1 - AY$11 )</f>
        <v>2.7354085213741977</v>
      </c>
      <c r="AB112">
        <f>AA112 * AW$51 * AS$51 * AU$51 * AX$51</f>
        <v>1.2869287412143273E-4</v>
      </c>
      <c r="AC112">
        <f>AA112 * AW$11 * AT$11 * AV$11 * AX$11</f>
        <v>1.5407886572894824E-3</v>
      </c>
      <c r="AD112">
        <f>J112*AB112*91.25</f>
        <v>0.70459348581484416</v>
      </c>
      <c r="AE112">
        <f>J112*AC112*91.25</f>
        <v>8.4358178986599164</v>
      </c>
      <c r="BZ112" t="s">
        <v>55</v>
      </c>
      <c r="CA112">
        <v>0.77</v>
      </c>
      <c r="CB112">
        <v>0</v>
      </c>
      <c r="CC112">
        <v>0.66</v>
      </c>
      <c r="CD112">
        <v>0.22</v>
      </c>
      <c r="CE112">
        <v>0</v>
      </c>
      <c r="CF112">
        <v>0</v>
      </c>
      <c r="CG112">
        <v>0.66</v>
      </c>
      <c r="CH112">
        <v>0</v>
      </c>
      <c r="CI112">
        <v>0</v>
      </c>
      <c r="CJ112">
        <v>0</v>
      </c>
    </row>
    <row r="113" spans="8:88" x14ac:dyDescent="0.2">
      <c r="I113" t="s">
        <v>56</v>
      </c>
      <c r="J113" s="10">
        <v>70</v>
      </c>
      <c r="K113">
        <v>490</v>
      </c>
      <c r="L113">
        <v>0.2</v>
      </c>
      <c r="M113" t="e" cm="1">
        <f t="array" ref="M113">_xlfn.XLOOKUP(H$31,$CA$169:$CJ$169,_xlfn.XLOOKUP($D$11,$BZ$170:$BZ$176,$CA$170:$CJ$176))</f>
        <v>#N/A</v>
      </c>
      <c r="N113" t="e">
        <f t="shared" si="53"/>
        <v>#N/A</v>
      </c>
      <c r="O113">
        <v>0</v>
      </c>
      <c r="P113">
        <v>0</v>
      </c>
      <c r="Q113">
        <f t="shared" si="51"/>
        <v>0</v>
      </c>
      <c r="R113">
        <f t="shared" si="54"/>
        <v>1</v>
      </c>
      <c r="S113">
        <f t="shared" si="55"/>
        <v>1</v>
      </c>
      <c r="Z113">
        <f t="shared" si="56"/>
        <v>8.1130407556000002</v>
      </c>
      <c r="AA113">
        <f>(Z113 * (1 -AL$11) + (0.04 * Z113)) * ( 1 - AY$11 )</f>
        <v>2.99857986326976</v>
      </c>
      <c r="AB113">
        <f>AA113 * AW$51 * AS$51 * AU$51 * AX$51</f>
        <v>1.4107430677044692E-4</v>
      </c>
      <c r="AC113">
        <f>AA113 * AW$11 * AT$11 * AV$11 * AX$11</f>
        <v>1.6890266317448027E-3</v>
      </c>
      <c r="AD113">
        <f>J113*AB113*91.25</f>
        <v>0.90111213449622973</v>
      </c>
      <c r="AE113">
        <f>J113*AC113*91.25</f>
        <v>10.788657610269928</v>
      </c>
      <c r="BZ113" t="s">
        <v>56</v>
      </c>
      <c r="CA113">
        <v>0.9</v>
      </c>
      <c r="CB113">
        <v>-1.1000000000000001</v>
      </c>
      <c r="CC113">
        <v>0.7</v>
      </c>
      <c r="CD113">
        <v>0.22</v>
      </c>
      <c r="CE113">
        <v>-0.55000000000000004</v>
      </c>
      <c r="CF113">
        <v>-0.55000000000000004</v>
      </c>
      <c r="CG113">
        <v>0.8</v>
      </c>
      <c r="CH113">
        <v>-0.22</v>
      </c>
      <c r="CI113">
        <v>-0.22</v>
      </c>
      <c r="CJ113">
        <v>-0.22</v>
      </c>
    </row>
    <row r="114" spans="8:88" x14ac:dyDescent="0.2">
      <c r="I114" t="s">
        <v>57</v>
      </c>
      <c r="J114" s="10">
        <v>80</v>
      </c>
      <c r="K114">
        <v>500</v>
      </c>
      <c r="L114">
        <v>0.1</v>
      </c>
      <c r="M114" t="e" cm="1">
        <f t="array" ref="M114">_xlfn.XLOOKUP(H$31,$CA$169:$CJ$169,_xlfn.XLOOKUP($D$11,$BZ$170:$BZ$176,$CA$170:$CJ$176))</f>
        <v>#N/A</v>
      </c>
      <c r="N114" t="e">
        <f t="shared" si="53"/>
        <v>#N/A</v>
      </c>
      <c r="O114">
        <v>0.4</v>
      </c>
      <c r="P114">
        <v>0</v>
      </c>
      <c r="Q114">
        <f t="shared" si="51"/>
        <v>0.4</v>
      </c>
      <c r="R114">
        <f t="shared" si="54"/>
        <v>1.1200000000000001</v>
      </c>
      <c r="S114">
        <f t="shared" si="55"/>
        <v>1.048</v>
      </c>
      <c r="Z114">
        <f t="shared" si="56"/>
        <v>8.4319273980000009</v>
      </c>
      <c r="AA114">
        <f>(Z114 * (1 -AM$11) + (0.04 * Z114)) * ( 1 - AY$11 )</f>
        <v>3.8247222677328003</v>
      </c>
      <c r="AB114">
        <f>AA114 * AW$51 * AS$51 * AU$51 * AX$51</f>
        <v>1.7994186151891575E-4</v>
      </c>
      <c r="AC114">
        <f>AA114 * AW$11 * AT$11 * AV$11 * AX$11</f>
        <v>2.154372424212772E-3</v>
      </c>
      <c r="AD114">
        <f>J114*AB114*91.25</f>
        <v>1.3135755890880849</v>
      </c>
      <c r="AE114">
        <f>J114*AC114*91.25</f>
        <v>15.726918696753236</v>
      </c>
      <c r="BZ114" t="s">
        <v>57</v>
      </c>
      <c r="CA114">
        <v>0.88</v>
      </c>
      <c r="CB114">
        <v>0</v>
      </c>
      <c r="CC114">
        <v>0.77</v>
      </c>
      <c r="CD114" s="2">
        <v>0.55000000000000004</v>
      </c>
      <c r="CE114" s="2">
        <v>0</v>
      </c>
      <c r="CF114" s="2">
        <v>0</v>
      </c>
      <c r="CG114" s="2">
        <v>0.82</v>
      </c>
      <c r="CH114" s="2">
        <v>0</v>
      </c>
      <c r="CI114" s="2">
        <v>0</v>
      </c>
      <c r="CJ114" s="2">
        <v>0</v>
      </c>
    </row>
    <row r="115" spans="8:88" x14ac:dyDescent="0.2">
      <c r="H115" t="s">
        <v>48</v>
      </c>
      <c r="I115" t="s">
        <v>54</v>
      </c>
      <c r="J115">
        <v>200</v>
      </c>
      <c r="K115" cm="1">
        <f t="array" ref="K115:K118">_xlfn.XLOOKUP(H115, $CA$46:$CJ$46, $CA$47:$CJ$50)</f>
        <v>75</v>
      </c>
      <c r="L115" cm="1">
        <f t="array" ref="L115:L118">_xlfn.XLOOKUP(H115, $CA$106:$CJ$106, $CA$107:$CJ$110)</f>
        <v>0.5</v>
      </c>
      <c r="M115" t="e" cm="1">
        <f t="array" ref="M115">_xlfn.XLOOKUP(H$35,$CA$169:$CJ$169,_xlfn.XLOOKUP($D$11,$BZ$170:$BZ$176,$CA$170:$CJ$176))</f>
        <v>#N/A</v>
      </c>
      <c r="N115" t="e">
        <f t="shared" si="53"/>
        <v>#N/A</v>
      </c>
      <c r="Q115">
        <f t="shared" si="51"/>
        <v>0</v>
      </c>
      <c r="S115">
        <v>1</v>
      </c>
      <c r="Z115">
        <f t="shared" si="56"/>
        <v>2.7834751406249998</v>
      </c>
      <c r="AA115">
        <f>(Z115 * (1 -AJ$11) + (0.04 * Z115)) * ( 1 - AY$11 )</f>
        <v>1.1456783678812499</v>
      </c>
      <c r="AB115">
        <f>AA115 * AW$51 * AS$51 * AU$51 * AX$51</f>
        <v>5.390077600084388E-5</v>
      </c>
      <c r="AC115">
        <f>AA115 * AW$11 * AT$11 * AV$11 * AX$11</f>
        <v>6.4533257842106233E-4</v>
      </c>
      <c r="AD115">
        <f>J115*AB115*91.25</f>
        <v>0.98368916201540069</v>
      </c>
      <c r="AE115">
        <f>J115*AC115*91.25</f>
        <v>11.777319556184386</v>
      </c>
      <c r="BX115" t="s">
        <v>69</v>
      </c>
      <c r="BZ115" t="s">
        <v>54</v>
      </c>
      <c r="CA115">
        <v>1</v>
      </c>
      <c r="CB115">
        <v>0.5</v>
      </c>
      <c r="CC115">
        <v>1</v>
      </c>
      <c r="CD115" s="2">
        <v>1</v>
      </c>
      <c r="CE115" s="2">
        <v>-0.44</v>
      </c>
      <c r="CF115" s="2">
        <v>-0.44</v>
      </c>
      <c r="CG115" s="2">
        <v>1</v>
      </c>
      <c r="CH115" s="2">
        <v>0.5</v>
      </c>
      <c r="CI115" s="2">
        <v>0.5</v>
      </c>
      <c r="CJ115" s="2">
        <v>0.5</v>
      </c>
    </row>
    <row r="116" spans="8:88" x14ac:dyDescent="0.2">
      <c r="I116" t="s">
        <v>55</v>
      </c>
      <c r="J116">
        <v>130</v>
      </c>
      <c r="K116">
        <v>160</v>
      </c>
      <c r="L116">
        <v>0.9</v>
      </c>
      <c r="M116" t="e" cm="1">
        <f t="array" ref="M116">_xlfn.XLOOKUP(H$35,$CA$169:$CJ$169,_xlfn.XLOOKUP($D$11,$BZ$170:$BZ$176,$CA$170:$CJ$176))</f>
        <v>#N/A</v>
      </c>
      <c r="N116" t="e">
        <f t="shared" si="53"/>
        <v>#N/A</v>
      </c>
      <c r="Q116">
        <f t="shared" si="51"/>
        <v>0</v>
      </c>
      <c r="S116">
        <v>1</v>
      </c>
      <c r="Z116">
        <f t="shared" si="56"/>
        <v>4.5298311556000002</v>
      </c>
      <c r="AA116">
        <f>(Z116 * (1 -AK$11) + (0.04 * Z116)) * ( 1 - AY$11 )</f>
        <v>1.4839726865745599</v>
      </c>
      <c r="AB116">
        <f>AA116 * AW$51 * AS$51 * AU$51 * AX$51</f>
        <v>6.9816522344180778E-5</v>
      </c>
      <c r="AC116">
        <f>AA116 * AW$11 * AT$11 * AV$11 * AX$11</f>
        <v>8.3588548669608228E-4</v>
      </c>
      <c r="AD116">
        <f>J116*AB116*91.25</f>
        <v>0.82819849630784437</v>
      </c>
      <c r="AE116">
        <f>J116*AC116*91.25</f>
        <v>9.9156915859322758</v>
      </c>
      <c r="BZ116" t="s">
        <v>55</v>
      </c>
      <c r="CA116">
        <v>0.82</v>
      </c>
      <c r="CB116">
        <v>0.55000000000000004</v>
      </c>
      <c r="CC116">
        <v>0.71</v>
      </c>
      <c r="CD116" s="2">
        <v>0.55000000000000004</v>
      </c>
      <c r="CE116" s="2">
        <v>0.99</v>
      </c>
      <c r="CF116" s="2">
        <v>0.99</v>
      </c>
      <c r="CG116" s="2">
        <v>0.77</v>
      </c>
      <c r="CH116" s="2">
        <v>0.5</v>
      </c>
      <c r="CI116" s="2">
        <v>0.5</v>
      </c>
      <c r="CJ116" s="2">
        <v>0.5</v>
      </c>
    </row>
    <row r="117" spans="8:88" x14ac:dyDescent="0.2">
      <c r="I117" t="s">
        <v>56</v>
      </c>
      <c r="J117">
        <v>250</v>
      </c>
      <c r="K117">
        <v>220</v>
      </c>
      <c r="L117">
        <v>0.7</v>
      </c>
      <c r="M117" t="e" cm="1">
        <f t="array" ref="M117">_xlfn.XLOOKUP(H$35,$CA$169:$CJ$169,_xlfn.XLOOKUP($D$11,$BZ$170:$BZ$176,$CA$170:$CJ$176))</f>
        <v>#N/A</v>
      </c>
      <c r="N117" t="e">
        <f t="shared" si="53"/>
        <v>#N/A</v>
      </c>
      <c r="Q117">
        <f t="shared" si="51"/>
        <v>0</v>
      </c>
      <c r="S117">
        <v>1</v>
      </c>
      <c r="Z117">
        <f t="shared" si="56"/>
        <v>5.1913799715999973</v>
      </c>
      <c r="AA117">
        <f>(Z117 * (1 -AL$11) + (0.04 * Z117)) * ( 1 - AY$11 )</f>
        <v>1.918734037503359</v>
      </c>
      <c r="AB117">
        <f>AA117 * AW$51 * AS$51 * AU$51 * AX$51</f>
        <v>9.0270757011782037E-5</v>
      </c>
      <c r="AC117">
        <f>AA117 * AW$11 * AT$11 * AV$11 * AX$11</f>
        <v>1.0807759127164039E-3</v>
      </c>
      <c r="AD117">
        <f>J117*AB117*91.25</f>
        <v>2.0593016443312777</v>
      </c>
      <c r="AE117">
        <f>J117*AC117*91.25</f>
        <v>24.655200508842963</v>
      </c>
      <c r="BZ117" t="s">
        <v>56</v>
      </c>
      <c r="CA117">
        <v>0.77</v>
      </c>
      <c r="CB117">
        <v>0.5</v>
      </c>
      <c r="CC117">
        <v>0.55000000000000004</v>
      </c>
      <c r="CD117" s="2">
        <v>0.11</v>
      </c>
      <c r="CE117" s="2">
        <v>-0.33</v>
      </c>
      <c r="CF117" s="2">
        <v>-0.33</v>
      </c>
      <c r="CG117" s="2">
        <v>0.6</v>
      </c>
      <c r="CH117" s="2">
        <v>0.33</v>
      </c>
      <c r="CI117" s="2">
        <v>0.33</v>
      </c>
      <c r="CJ117" s="2">
        <v>0.33</v>
      </c>
    </row>
    <row r="118" spans="8:88" x14ac:dyDescent="0.2">
      <c r="I118" t="s">
        <v>57</v>
      </c>
      <c r="J118">
        <v>150</v>
      </c>
      <c r="K118">
        <v>260</v>
      </c>
      <c r="L118">
        <v>0.4</v>
      </c>
      <c r="M118" t="e" cm="1">
        <f t="array" ref="M118">_xlfn.XLOOKUP(H$35,$CA$169:$CJ$169,_xlfn.XLOOKUP($D$11,$BZ$170:$BZ$176,$CA$170:$CJ$176))</f>
        <v>#N/A</v>
      </c>
      <c r="N118" t="e">
        <f t="shared" si="53"/>
        <v>#N/A</v>
      </c>
      <c r="S118">
        <v>1</v>
      </c>
      <c r="Z118">
        <f t="shared" si="56"/>
        <v>5.3621886096000004</v>
      </c>
      <c r="AA118">
        <f>(Z118 * (1 -AM$11) + (0.04 * Z118)) * ( 1 - AY$11 )</f>
        <v>2.4322887533145603</v>
      </c>
      <c r="AB118">
        <f>AA118 * AW$51 * AS$51 * AU$51 * AX$51</f>
        <v>1.1443198626874025E-4</v>
      </c>
      <c r="AC118">
        <f>AA118 * AW$11 * AT$11 * AV$11 * AX$11</f>
        <v>1.3700487123134107E-3</v>
      </c>
      <c r="AD118">
        <f>J118*AB118*91.25</f>
        <v>1.5662878120533821</v>
      </c>
      <c r="AE118">
        <f>J118*AC118*91.25</f>
        <v>18.75254174978981</v>
      </c>
      <c r="BZ118" t="s">
        <v>57</v>
      </c>
      <c r="CA118">
        <v>0.11</v>
      </c>
      <c r="CB118">
        <v>-0.27</v>
      </c>
      <c r="CC118">
        <v>0.11</v>
      </c>
      <c r="CD118" s="2">
        <v>0.22</v>
      </c>
      <c r="CE118" s="2">
        <v>-0.44</v>
      </c>
      <c r="CF118" s="2">
        <v>-0.44</v>
      </c>
      <c r="CG118" s="2">
        <v>0.16</v>
      </c>
      <c r="CH118" s="2">
        <v>-0.22</v>
      </c>
      <c r="CI118" s="2">
        <v>-0.22</v>
      </c>
      <c r="CJ118" s="2">
        <v>-0.22</v>
      </c>
    </row>
    <row r="119" spans="8:88" x14ac:dyDescent="0.2">
      <c r="H119" t="s">
        <v>49</v>
      </c>
      <c r="I119" t="s">
        <v>54</v>
      </c>
      <c r="K119" cm="1">
        <f t="array" ref="K119:K122">_xlfn.XLOOKUP(H119, $CA$46:$CJ$46, $CA$47:$CJ$50)</f>
        <v>380</v>
      </c>
      <c r="L119" cm="1">
        <f t="array" ref="L119:L122">_xlfn.XLOOKUP(H119, $CA$106:$CJ$106, $CA$107:$CJ$110)</f>
        <v>0.4</v>
      </c>
      <c r="M119" t="e" cm="1">
        <f t="array" ref="M119">_xlfn.XLOOKUP(H$39,$CA$169:$CJ$169,_xlfn.XLOOKUP($D$11,$BZ$170:$BZ$176,$CA$170:$CJ$176))</f>
        <v>#N/A</v>
      </c>
      <c r="N119" t="e">
        <f t="shared" si="53"/>
        <v>#N/A</v>
      </c>
      <c r="S119">
        <v>1</v>
      </c>
      <c r="Z119">
        <f t="shared" si="56"/>
        <v>7.0796437775999967</v>
      </c>
      <c r="AA119">
        <f>(Z119 * (1 -AJ$11) + (0.04 * Z119)) * ( 1 - AY$11 )</f>
        <v>2.9139813788601581</v>
      </c>
      <c r="AB119">
        <f>AA119 * AW$51 * AS$51 * AU$51 * AX$51</f>
        <v>1.37094198490489E-4</v>
      </c>
      <c r="AC119">
        <f>AA119 * AW$11 * AT$11 * AV$11 * AX$11</f>
        <v>1.6413743764477724E-3</v>
      </c>
      <c r="AD119">
        <f>J119*AB119*91.25</f>
        <v>0</v>
      </c>
      <c r="AE119">
        <f>J119*AC119*91.25</f>
        <v>0</v>
      </c>
      <c r="BX119" t="s">
        <v>70</v>
      </c>
      <c r="BZ119" t="s">
        <v>54</v>
      </c>
      <c r="CA119">
        <v>1.1000000000000001</v>
      </c>
      <c r="CB119">
        <v>1.1000000000000001</v>
      </c>
      <c r="CC119">
        <v>1.1000000000000001</v>
      </c>
      <c r="CD119" s="2">
        <v>0.99</v>
      </c>
      <c r="CE119" s="2">
        <v>0.99</v>
      </c>
      <c r="CF119" s="2">
        <v>0.99</v>
      </c>
      <c r="CG119" s="2">
        <v>1.1000000000000001</v>
      </c>
      <c r="CH119" s="2">
        <v>0.77</v>
      </c>
      <c r="CI119" s="2">
        <v>0.77</v>
      </c>
      <c r="CJ119" s="2">
        <v>0.77</v>
      </c>
    </row>
    <row r="120" spans="8:88" x14ac:dyDescent="0.2">
      <c r="I120" t="s">
        <v>55</v>
      </c>
      <c r="K120">
        <v>420</v>
      </c>
      <c r="L120">
        <v>0.4</v>
      </c>
      <c r="M120" t="e" cm="1">
        <f t="array" ref="M120">_xlfn.XLOOKUP(H$39,$CA$169:$CJ$169,_xlfn.XLOOKUP($D$11,$BZ$170:$BZ$176,$CA$170:$CJ$176))</f>
        <v>#N/A</v>
      </c>
      <c r="N120" t="e">
        <f>K120/M120</f>
        <v>#N/A</v>
      </c>
      <c r="S120">
        <v>1</v>
      </c>
      <c r="Z120">
        <f t="shared" si="56"/>
        <v>7.6129639056</v>
      </c>
      <c r="AA120">
        <f>(Z120 * (1 -AK$11) + (0.04 * Z120)) * ( 1 - AY$11 )</f>
        <v>2.49400697547456</v>
      </c>
      <c r="AB120">
        <f>AA120 * AW$51 * AS$51 * AU$51 * AX$51</f>
        <v>1.1733564593543065E-4</v>
      </c>
      <c r="AC120">
        <f>AA120 * AW$11 * AT$11 * AV$11 * AX$11</f>
        <v>1.4048130759940598E-3</v>
      </c>
      <c r="AD120">
        <f>J120*AB120*91.25</f>
        <v>0</v>
      </c>
      <c r="AE120">
        <f>J120*AC120*91.25</f>
        <v>0</v>
      </c>
      <c r="BZ120" t="s">
        <v>55</v>
      </c>
      <c r="CA120">
        <v>0.33</v>
      </c>
      <c r="CB120">
        <v>0.33</v>
      </c>
      <c r="CC120">
        <v>0.22</v>
      </c>
      <c r="CD120" s="2">
        <v>0.33</v>
      </c>
      <c r="CE120" s="2">
        <v>-0.1</v>
      </c>
      <c r="CF120" s="2">
        <v>-0.1</v>
      </c>
      <c r="CG120" s="2">
        <v>0.33</v>
      </c>
      <c r="CH120" s="2">
        <v>0.11</v>
      </c>
      <c r="CI120" s="2">
        <v>0.11</v>
      </c>
      <c r="CJ120" s="2">
        <v>0.11</v>
      </c>
    </row>
    <row r="121" spans="8:88" x14ac:dyDescent="0.2">
      <c r="I121" t="s">
        <v>56</v>
      </c>
      <c r="K121">
        <v>450</v>
      </c>
      <c r="L121">
        <v>0.3</v>
      </c>
      <c r="M121" t="e" cm="1">
        <f t="array" ref="M121">_xlfn.XLOOKUP(H$39,$CA$169:$CJ$169,_xlfn.XLOOKUP($D$11,$BZ$170:$BZ$176,$CA$170:$CJ$176))</f>
        <v>#N/A</v>
      </c>
      <c r="N121" t="e">
        <f t="shared" ref="N121:N130" si="57">K121/M121</f>
        <v>#N/A</v>
      </c>
      <c r="S121">
        <v>1</v>
      </c>
      <c r="Z121">
        <f t="shared" si="56"/>
        <v>7.8176159999999992</v>
      </c>
      <c r="AA121">
        <f>(Z121 * (1 -AL$11) + (0.04 * Z121)) * ( 1 - AY$11 )</f>
        <v>2.8893908736</v>
      </c>
      <c r="AB121">
        <f>AA121 * AW$51 * AS$51 * AU$51 * AX$51</f>
        <v>1.3593728800589413E-4</v>
      </c>
      <c r="AC121">
        <f>AA121 * AW$11 * AT$11 * AV$11 * AX$11</f>
        <v>1.627523146810294E-3</v>
      </c>
      <c r="AD121">
        <f>J121*AB121*91.25</f>
        <v>0</v>
      </c>
      <c r="AE121">
        <f>J121*AC121*91.25</f>
        <v>0</v>
      </c>
      <c r="BZ121" t="s">
        <v>56</v>
      </c>
      <c r="CA121">
        <v>0.5</v>
      </c>
      <c r="CB121">
        <v>0.2</v>
      </c>
      <c r="CC121">
        <v>0.55000000000000004</v>
      </c>
      <c r="CD121" s="2">
        <v>0.44</v>
      </c>
      <c r="CE121" s="2">
        <v>0.2</v>
      </c>
      <c r="CF121" s="2">
        <v>0.2</v>
      </c>
      <c r="CG121" s="2">
        <v>0.55000000000000004</v>
      </c>
      <c r="CH121" s="2">
        <v>0.2</v>
      </c>
      <c r="CI121" s="2">
        <v>0.2</v>
      </c>
      <c r="CJ121" s="2">
        <v>0.2</v>
      </c>
    </row>
    <row r="122" spans="8:88" x14ac:dyDescent="0.2">
      <c r="I122" t="s">
        <v>57</v>
      </c>
      <c r="K122">
        <v>460</v>
      </c>
      <c r="L122">
        <v>0.1</v>
      </c>
      <c r="M122" t="e" cm="1">
        <f t="array" ref="M122">_xlfn.XLOOKUP(H$39,$CA$169:$CJ$169,_xlfn.XLOOKUP($D$11,$BZ$170:$BZ$176,$CA$170:$CJ$176))</f>
        <v>#N/A</v>
      </c>
      <c r="N122" t="e">
        <f t="shared" si="57"/>
        <v>#N/A</v>
      </c>
      <c r="S122">
        <v>1</v>
      </c>
      <c r="Z122">
        <f t="shared" si="56"/>
        <v>7.5885924675999998</v>
      </c>
      <c r="AA122">
        <f>(Z122 * (1 -AM$11) + (0.04 * Z122)) * ( 1 - AY$11 )</f>
        <v>3.4421855433033599</v>
      </c>
      <c r="AB122">
        <f>AA122 * AW$51 * AS$51 * AU$51 * AX$51</f>
        <v>1.6194464094321492E-4</v>
      </c>
      <c r="AC122">
        <f>AA122 * AW$11 * AT$11 * AV$11 * AX$11</f>
        <v>1.9388988518406825E-3</v>
      </c>
      <c r="AD122">
        <f>J122*AB122*91.25</f>
        <v>0</v>
      </c>
      <c r="AE122">
        <f>J122*AC122*91.25</f>
        <v>0</v>
      </c>
      <c r="BZ122" t="s">
        <v>57</v>
      </c>
      <c r="CA122">
        <v>0.55000000000000004</v>
      </c>
      <c r="CB122">
        <v>0.22</v>
      </c>
      <c r="CC122">
        <v>0.49</v>
      </c>
      <c r="CD122" s="2">
        <v>0.22</v>
      </c>
      <c r="CE122" s="2">
        <v>0.22</v>
      </c>
      <c r="CF122" s="2">
        <v>0.22</v>
      </c>
      <c r="CG122" s="2">
        <v>0.49</v>
      </c>
      <c r="CH122" s="2">
        <v>0.33</v>
      </c>
      <c r="CI122" s="2">
        <v>0.33</v>
      </c>
      <c r="CJ122" s="2">
        <v>0.33</v>
      </c>
    </row>
    <row r="123" spans="8:88" x14ac:dyDescent="0.2">
      <c r="H123" t="s">
        <v>50</v>
      </c>
      <c r="I123" t="s">
        <v>54</v>
      </c>
      <c r="K123" cm="1">
        <f t="array" ref="K123:K126">_xlfn.XLOOKUP(H123, $CA$46:$CJ$46, $CA$47:$CJ$50)</f>
        <v>380</v>
      </c>
      <c r="L123" cm="1">
        <f t="array" ref="L123:L126">_xlfn.XLOOKUP(H123, $CA$106:$CJ$106, $CA$107:$CJ$110)</f>
        <v>0.4</v>
      </c>
      <c r="M123" t="e" cm="1">
        <f t="array" ref="M123">_xlfn.XLOOKUP(H$43,$CA$169:$CJ$169,_xlfn.XLOOKUP($D$11,$BZ$170:$BZ$176,$CA$170:$CJ$176))</f>
        <v>#N/A</v>
      </c>
      <c r="N123" t="e">
        <f t="shared" si="57"/>
        <v>#N/A</v>
      </c>
      <c r="S123">
        <v>1</v>
      </c>
      <c r="Z123">
        <f t="shared" si="56"/>
        <v>7.0796437775999967</v>
      </c>
      <c r="AA123">
        <f>(Z123 * (1 -AJ$11) + (0.04 * Z123)) * ( 1 - AY$11 )</f>
        <v>2.9139813788601581</v>
      </c>
      <c r="AB123">
        <f>AA123 * AW$51 * AS$51 * AU$51 * AX$51</f>
        <v>1.37094198490489E-4</v>
      </c>
      <c r="AC123">
        <f>AA123 * AW$11 * AT$11 * AV$11 * AX$11</f>
        <v>1.6413743764477724E-3</v>
      </c>
      <c r="AD123">
        <f>J123*AB123*91.25</f>
        <v>0</v>
      </c>
      <c r="AE123">
        <f>J123*AC123*91.25</f>
        <v>0</v>
      </c>
      <c r="BX123" t="s">
        <v>65</v>
      </c>
      <c r="BY123" t="s">
        <v>62</v>
      </c>
      <c r="BZ123" t="s">
        <v>54</v>
      </c>
      <c r="CA123">
        <v>1.64</v>
      </c>
      <c r="CB123">
        <v>1.1000000000000001</v>
      </c>
      <c r="CC123">
        <v>1.21</v>
      </c>
      <c r="CD123" s="2">
        <v>0.99</v>
      </c>
      <c r="CE123" s="2">
        <v>0.66</v>
      </c>
      <c r="CF123" s="2">
        <v>0.66</v>
      </c>
      <c r="CG123" s="2">
        <v>1.42</v>
      </c>
      <c r="CH123" s="2">
        <v>1.1000000000000001</v>
      </c>
      <c r="CI123" s="2">
        <v>1.1000000000000001</v>
      </c>
      <c r="CJ123" s="2">
        <v>1.1000000000000001</v>
      </c>
    </row>
    <row r="124" spans="8:88" x14ac:dyDescent="0.2">
      <c r="I124" t="s">
        <v>55</v>
      </c>
      <c r="K124">
        <v>420</v>
      </c>
      <c r="L124">
        <v>0.4</v>
      </c>
      <c r="M124" t="e" cm="1">
        <f t="array" ref="M124">_xlfn.XLOOKUP(H$43,$CA$169:$CJ$169,_xlfn.XLOOKUP($D$11,$BZ$170:$BZ$176,$CA$170:$CJ$176))</f>
        <v>#N/A</v>
      </c>
      <c r="N124" t="e">
        <f t="shared" si="57"/>
        <v>#N/A</v>
      </c>
      <c r="S124">
        <v>1</v>
      </c>
      <c r="Z124">
        <f t="shared" si="56"/>
        <v>7.6129639056</v>
      </c>
      <c r="AA124">
        <f>(Z124 * (1 -AK$11) + (0.04 * Z124)) * ( 1 - AY$11 )</f>
        <v>2.49400697547456</v>
      </c>
      <c r="AB124">
        <f>AA124 * AW$51 * AS$51 * AU$51 * AX$51</f>
        <v>1.1733564593543065E-4</v>
      </c>
      <c r="AC124">
        <f>AA124 * AW$11 * AT$11 * AV$11 * AX$11</f>
        <v>1.4048130759940598E-3</v>
      </c>
      <c r="AD124">
        <f>J124*AB124*91.25</f>
        <v>0</v>
      </c>
      <c r="AE124">
        <f>J124*AC124*91.25</f>
        <v>0</v>
      </c>
      <c r="BZ124" t="s">
        <v>55</v>
      </c>
      <c r="CA124">
        <v>0.44</v>
      </c>
      <c r="CB124">
        <v>-0.22</v>
      </c>
      <c r="CC124">
        <v>0.44</v>
      </c>
      <c r="CD124" s="2">
        <v>0.33</v>
      </c>
      <c r="CE124" s="2">
        <v>-0.22</v>
      </c>
      <c r="CF124" s="2">
        <v>-0.22</v>
      </c>
      <c r="CG124" s="2">
        <v>0.44</v>
      </c>
      <c r="CH124" s="2">
        <v>-0.11</v>
      </c>
      <c r="CI124" s="2">
        <v>-0.11</v>
      </c>
      <c r="CJ124" s="2">
        <v>-0.11</v>
      </c>
    </row>
    <row r="125" spans="8:88" x14ac:dyDescent="0.2">
      <c r="I125" t="s">
        <v>56</v>
      </c>
      <c r="K125">
        <v>450</v>
      </c>
      <c r="L125">
        <v>0.3</v>
      </c>
      <c r="M125" t="e" cm="1">
        <f t="array" ref="M125">_xlfn.XLOOKUP(H$43,$CA$169:$CJ$169,_xlfn.XLOOKUP($D$11,$BZ$170:$BZ$176,$CA$170:$CJ$176))</f>
        <v>#N/A</v>
      </c>
      <c r="N125" t="e">
        <f t="shared" si="57"/>
        <v>#N/A</v>
      </c>
      <c r="S125">
        <v>1</v>
      </c>
      <c r="Z125">
        <f t="shared" si="56"/>
        <v>7.8176159999999992</v>
      </c>
      <c r="AA125">
        <f>(Z125 * (1 -AL$11) + (0.04 * Z125)) * ( 1 - AY$11 )</f>
        <v>2.8893908736</v>
      </c>
      <c r="AB125">
        <f>AA125 * AW$51 * AS$51 * AU$51 * AX$51</f>
        <v>1.3593728800589413E-4</v>
      </c>
      <c r="AC125">
        <f>AA125 * AW$11 * AT$11 * AV$11 * AX$11</f>
        <v>1.627523146810294E-3</v>
      </c>
      <c r="AD125">
        <f>J125*AB125*91.25</f>
        <v>0</v>
      </c>
      <c r="AE125">
        <f>J125*AC125*91.25</f>
        <v>0</v>
      </c>
      <c r="BZ125" t="s">
        <v>56</v>
      </c>
      <c r="CA125">
        <v>0.6</v>
      </c>
      <c r="CB125">
        <v>0</v>
      </c>
      <c r="CC125">
        <v>0.6</v>
      </c>
      <c r="CD125" s="2">
        <v>0.22</v>
      </c>
      <c r="CE125" s="2">
        <v>-0.55000000000000004</v>
      </c>
      <c r="CF125" s="2">
        <v>-0.55000000000000004</v>
      </c>
      <c r="CG125" s="2">
        <v>0.6</v>
      </c>
      <c r="CH125" s="2">
        <v>0</v>
      </c>
      <c r="CI125" s="2">
        <v>0</v>
      </c>
      <c r="CJ125" s="2">
        <v>0</v>
      </c>
    </row>
    <row r="126" spans="8:88" x14ac:dyDescent="0.2">
      <c r="I126" t="s">
        <v>57</v>
      </c>
      <c r="K126">
        <v>460</v>
      </c>
      <c r="L126">
        <v>0.1</v>
      </c>
      <c r="M126" t="e" cm="1">
        <f t="array" ref="M126">_xlfn.XLOOKUP(H$43,$CA$169:$CJ$169,_xlfn.XLOOKUP($D$11,$BZ$170:$BZ$176,$CA$170:$CJ$176))</f>
        <v>#N/A</v>
      </c>
      <c r="N126" t="e">
        <f t="shared" si="57"/>
        <v>#N/A</v>
      </c>
      <c r="S126">
        <v>1</v>
      </c>
      <c r="Z126">
        <f t="shared" si="56"/>
        <v>7.5885924675999998</v>
      </c>
      <c r="AA126">
        <f>(Z126 * (1 -AM$11) + (0.04 * Z126)) * ( 1 - AY$11 )</f>
        <v>3.4421855433033599</v>
      </c>
      <c r="AB126">
        <f>AA126 * AW$51 * AS$51 * AU$51 * AX$51</f>
        <v>1.6194464094321492E-4</v>
      </c>
      <c r="AC126">
        <f>AA126 * AW$11 * AT$11 * AV$11 * AX$11</f>
        <v>1.9388988518406825E-3</v>
      </c>
      <c r="AD126">
        <f>J126*AB126*91.25</f>
        <v>0</v>
      </c>
      <c r="AE126">
        <f>J126*AC126*91.25</f>
        <v>0</v>
      </c>
      <c r="BZ126" t="s">
        <v>57</v>
      </c>
      <c r="CA126">
        <v>0.99</v>
      </c>
      <c r="CB126">
        <v>0.22</v>
      </c>
      <c r="CC126">
        <v>0.77</v>
      </c>
      <c r="CD126" s="2">
        <v>0.11</v>
      </c>
      <c r="CE126" s="2">
        <v>0.11</v>
      </c>
      <c r="CF126" s="2">
        <v>0.11</v>
      </c>
      <c r="CG126" s="2">
        <v>0.77</v>
      </c>
      <c r="CH126" s="2">
        <v>0.44</v>
      </c>
      <c r="CI126" s="2">
        <v>0.44</v>
      </c>
      <c r="CJ126" s="2">
        <v>0.44</v>
      </c>
    </row>
    <row r="127" spans="8:88" x14ac:dyDescent="0.2">
      <c r="H127" t="s">
        <v>51</v>
      </c>
      <c r="I127" t="s">
        <v>54</v>
      </c>
      <c r="K127" cm="1">
        <f t="array" ref="K127:K130">_xlfn.XLOOKUP(H127, $CA$46:$CJ$46, $CA$47:$CJ$50)</f>
        <v>380</v>
      </c>
      <c r="L127" cm="1">
        <f t="array" ref="L127:L130">_xlfn.XLOOKUP(H127, $CA$106:$CJ$106, $CA$107:$CJ$110)</f>
        <v>0.4</v>
      </c>
      <c r="M127" t="e" cm="1">
        <f t="array" ref="M127">_xlfn.XLOOKUP(H$47,$CA$169:$CJ$169,_xlfn.XLOOKUP($D$11,$BZ$170:$BZ$176,$CA$170:$CJ$176))</f>
        <v>#N/A</v>
      </c>
      <c r="N127" t="e">
        <f t="shared" si="57"/>
        <v>#N/A</v>
      </c>
      <c r="S127">
        <v>1</v>
      </c>
      <c r="Z127">
        <f t="shared" si="56"/>
        <v>7.0796437775999967</v>
      </c>
      <c r="AA127">
        <f>(Z127 * (1 -AJ$11) + (0.04 * Z127)) * ( 1 - AY$11 )</f>
        <v>2.9139813788601581</v>
      </c>
      <c r="AB127">
        <f>AA127 * AW$51 * AS$51 * AU$51 * AX$51</f>
        <v>1.37094198490489E-4</v>
      </c>
      <c r="AC127">
        <f>AA127 * AW$11 * AT$11 * AV$11 * AX$11</f>
        <v>1.6413743764477724E-3</v>
      </c>
      <c r="AD127">
        <f>J127*AB127*91.25</f>
        <v>0</v>
      </c>
      <c r="AE127">
        <f>J127*AC127*91.25</f>
        <v>0</v>
      </c>
      <c r="BX127" t="s">
        <v>65</v>
      </c>
      <c r="BY127" t="s">
        <v>63</v>
      </c>
      <c r="BZ127" t="s">
        <v>54</v>
      </c>
      <c r="CA127">
        <v>0.7</v>
      </c>
      <c r="CB127">
        <v>-0.55000000000000004</v>
      </c>
      <c r="CC127">
        <v>0.7</v>
      </c>
      <c r="CD127" s="2">
        <v>0.22</v>
      </c>
      <c r="CE127" s="2">
        <v>-0.22</v>
      </c>
      <c r="CF127" s="2">
        <v>-0.22</v>
      </c>
      <c r="CG127" s="2">
        <v>0.7</v>
      </c>
      <c r="CH127" s="2">
        <v>-0.22</v>
      </c>
      <c r="CI127" s="2">
        <v>-0.22</v>
      </c>
      <c r="CJ127" s="2">
        <v>-0.22</v>
      </c>
    </row>
    <row r="128" spans="8:88" x14ac:dyDescent="0.2">
      <c r="I128" t="s">
        <v>55</v>
      </c>
      <c r="K128">
        <v>420</v>
      </c>
      <c r="L128">
        <v>0.4</v>
      </c>
      <c r="M128" t="e" cm="1">
        <f t="array" ref="M128">_xlfn.XLOOKUP(H$47,$CA$169:$CJ$169,_xlfn.XLOOKUP($D$11,$BZ$170:$BZ$176,$CA$170:$CJ$176))</f>
        <v>#N/A</v>
      </c>
      <c r="N128" t="e">
        <f t="shared" si="57"/>
        <v>#N/A</v>
      </c>
      <c r="S128">
        <v>1</v>
      </c>
      <c r="Z128">
        <f t="shared" si="56"/>
        <v>7.6129639056</v>
      </c>
      <c r="AA128">
        <f>(Z128 * (1 -AK$11) + (0.04 * Z128)) * ( 1 - AY$11 )</f>
        <v>2.49400697547456</v>
      </c>
      <c r="AB128">
        <f>AA128 * AW$51 * AS$51 * AU$51 * AX$51</f>
        <v>1.1733564593543065E-4</v>
      </c>
      <c r="AC128">
        <f>AA128 * AW$11 * AT$11 * AV$11 * AX$11</f>
        <v>1.4048130759940598E-3</v>
      </c>
      <c r="AD128">
        <f>J128*AB128*91.25</f>
        <v>0</v>
      </c>
      <c r="AE128">
        <f>J128*AC128*91.25</f>
        <v>0</v>
      </c>
      <c r="BZ128" t="s">
        <v>55</v>
      </c>
      <c r="CA128">
        <v>0.77</v>
      </c>
      <c r="CB128">
        <v>0.55000000000000004</v>
      </c>
      <c r="CC128">
        <v>0.77</v>
      </c>
      <c r="CD128" s="2">
        <v>0.66</v>
      </c>
      <c r="CE128" s="2">
        <v>0.55000000000000004</v>
      </c>
      <c r="CF128" s="2">
        <v>0.55000000000000004</v>
      </c>
      <c r="CG128" s="2">
        <v>0.77</v>
      </c>
      <c r="CH128" s="2">
        <v>0.33</v>
      </c>
      <c r="CI128" s="2">
        <v>0.33</v>
      </c>
      <c r="CJ128" s="2">
        <v>0.33</v>
      </c>
    </row>
    <row r="129" spans="1:88" x14ac:dyDescent="0.2">
      <c r="I129" t="s">
        <v>56</v>
      </c>
      <c r="K129">
        <v>450</v>
      </c>
      <c r="L129">
        <v>0.3</v>
      </c>
      <c r="M129" t="e" cm="1">
        <f t="array" ref="M129">_xlfn.XLOOKUP(H$47,$CA$169:$CJ$169,_xlfn.XLOOKUP($D$11,$BZ$170:$BZ$176,$CA$170:$CJ$176))</f>
        <v>#N/A</v>
      </c>
      <c r="N129" t="e">
        <f t="shared" si="57"/>
        <v>#N/A</v>
      </c>
      <c r="S129">
        <v>1</v>
      </c>
      <c r="Z129">
        <f t="shared" si="56"/>
        <v>7.8176159999999992</v>
      </c>
      <c r="AA129">
        <f>(Z129 * (1 -AL$11) + (0.04 * Z129)) * ( 1 - AY$11 )</f>
        <v>2.8893908736</v>
      </c>
      <c r="AB129">
        <f>AA129 * AW$51 * AS$51 * AU$51 * AX$51</f>
        <v>1.3593728800589413E-4</v>
      </c>
      <c r="AC129">
        <f>AA129 * AW$11 * AT$11 * AV$11 * AX$11</f>
        <v>1.627523146810294E-3</v>
      </c>
      <c r="AD129">
        <f>J129*AB129*91.25</f>
        <v>0</v>
      </c>
      <c r="AE129">
        <f>J129*AC129*91.25</f>
        <v>0</v>
      </c>
      <c r="BZ129" t="s">
        <v>56</v>
      </c>
      <c r="CA129">
        <v>0.88</v>
      </c>
      <c r="CB129">
        <v>0.55000000000000004</v>
      </c>
      <c r="CC129">
        <v>0.88</v>
      </c>
      <c r="CD129" s="2">
        <v>0.22</v>
      </c>
      <c r="CE129" s="2">
        <v>0.22</v>
      </c>
      <c r="CF129" s="2">
        <v>0.22</v>
      </c>
      <c r="CG129" s="2">
        <v>0.88</v>
      </c>
      <c r="CH129" s="2">
        <v>0.22</v>
      </c>
      <c r="CI129" s="2">
        <v>0.22</v>
      </c>
      <c r="CJ129" s="2">
        <v>0.22</v>
      </c>
    </row>
    <row r="130" spans="1:88" x14ac:dyDescent="0.2">
      <c r="I130" t="s">
        <v>57</v>
      </c>
      <c r="K130">
        <v>460</v>
      </c>
      <c r="L130">
        <v>0.1</v>
      </c>
      <c r="M130" t="e" cm="1">
        <f t="array" ref="M130">_xlfn.XLOOKUP(H$47,$CA$169:$CJ$169,_xlfn.XLOOKUP($D$11,$BZ$170:$BZ$176,$CA$170:$CJ$176))</f>
        <v>#N/A</v>
      </c>
      <c r="N130" t="e">
        <f t="shared" si="57"/>
        <v>#N/A</v>
      </c>
      <c r="S130">
        <v>1</v>
      </c>
      <c r="Z130">
        <f t="shared" si="56"/>
        <v>7.5885924675999998</v>
      </c>
      <c r="AA130">
        <f>(Z130 * (1 -AM$11) + (0.04 * Z130)) * ( 1 - AY$11 )</f>
        <v>3.4421855433033599</v>
      </c>
      <c r="AB130">
        <f>AA130 * AW$51 * AS$51 * AU$51 * AX$51</f>
        <v>1.6194464094321492E-4</v>
      </c>
      <c r="AC130">
        <f>AA130 * AW$11 * AT$11 * AV$11 * AX$11</f>
        <v>1.9388988518406825E-3</v>
      </c>
      <c r="AD130">
        <f>J130*AB130*91.25</f>
        <v>0</v>
      </c>
      <c r="AE130">
        <f>J130*AC130*91.25</f>
        <v>0</v>
      </c>
      <c r="BZ130" t="s">
        <v>57</v>
      </c>
      <c r="CA130">
        <v>0.22</v>
      </c>
      <c r="CB130">
        <v>-0.55000000000000004</v>
      </c>
      <c r="CC130">
        <v>0.22</v>
      </c>
      <c r="CD130" s="6">
        <v>0.11</v>
      </c>
      <c r="CE130" s="6">
        <v>-0.22</v>
      </c>
      <c r="CF130" s="6">
        <v>-0.22</v>
      </c>
      <c r="CG130" s="6">
        <v>0.22</v>
      </c>
      <c r="CH130" s="6">
        <v>-0.33</v>
      </c>
      <c r="CI130" s="6">
        <v>-0.33</v>
      </c>
      <c r="CJ130" s="6">
        <v>-0.33</v>
      </c>
    </row>
    <row r="131" spans="1:88" x14ac:dyDescent="0.2">
      <c r="BX131" t="s">
        <v>65</v>
      </c>
      <c r="BY131" t="s">
        <v>71</v>
      </c>
      <c r="BZ131" t="s">
        <v>54</v>
      </c>
      <c r="CA131">
        <v>0.22</v>
      </c>
      <c r="CB131">
        <v>-0.55000000000000004</v>
      </c>
      <c r="CC131">
        <v>0.33</v>
      </c>
      <c r="CD131" s="6">
        <v>0.22</v>
      </c>
      <c r="CE131" s="6">
        <v>-0.33</v>
      </c>
      <c r="CF131" s="6">
        <v>-0.33</v>
      </c>
      <c r="CG131" s="6">
        <v>0.22</v>
      </c>
      <c r="CH131" s="6">
        <v>-0.55000000000000004</v>
      </c>
      <c r="CI131" s="6">
        <v>-0.55000000000000004</v>
      </c>
      <c r="CJ131" s="6">
        <v>-0.55000000000000004</v>
      </c>
    </row>
    <row r="132" spans="1:88" x14ac:dyDescent="0.2">
      <c r="BZ132" t="s">
        <v>55</v>
      </c>
      <c r="CA132">
        <v>0.8</v>
      </c>
      <c r="CB132">
        <v>0.55000000000000004</v>
      </c>
      <c r="CC132">
        <v>0.7</v>
      </c>
      <c r="CD132" s="6">
        <v>0.44</v>
      </c>
      <c r="CE132" s="6">
        <v>0.66</v>
      </c>
      <c r="CF132" s="6">
        <v>0.66</v>
      </c>
      <c r="CG132" s="6">
        <v>0.8</v>
      </c>
      <c r="CH132" s="6">
        <v>0.55000000000000004</v>
      </c>
      <c r="CI132" s="6">
        <v>0.55000000000000004</v>
      </c>
      <c r="CJ132" s="6">
        <v>0.55000000000000004</v>
      </c>
    </row>
    <row r="133" spans="1:88" x14ac:dyDescent="0.2">
      <c r="D133" t="s">
        <v>141</v>
      </c>
      <c r="BZ133" t="s">
        <v>56</v>
      </c>
      <c r="CA133">
        <v>0.66</v>
      </c>
      <c r="CB133">
        <v>0.55000000000000004</v>
      </c>
      <c r="CC133">
        <v>0.55000000000000004</v>
      </c>
      <c r="CD133" s="6">
        <v>0.55000000000000004</v>
      </c>
      <c r="CE133" s="6">
        <v>0.11</v>
      </c>
      <c r="CF133" s="6">
        <v>0.11</v>
      </c>
      <c r="CG133" s="6">
        <v>0.66</v>
      </c>
      <c r="CH133" s="6">
        <v>0.55000000000000004</v>
      </c>
      <c r="CI133" s="6">
        <v>0.55000000000000004</v>
      </c>
      <c r="CJ133" s="6">
        <v>0.55000000000000004</v>
      </c>
    </row>
    <row r="134" spans="1:88" x14ac:dyDescent="0.2">
      <c r="BZ134" t="s">
        <v>57</v>
      </c>
      <c r="CA134">
        <v>0.33</v>
      </c>
      <c r="CB134">
        <v>-0.55000000000000004</v>
      </c>
      <c r="CC134">
        <v>0.11</v>
      </c>
      <c r="CD134" s="6">
        <v>0.11</v>
      </c>
      <c r="CE134" s="6">
        <v>-0.44</v>
      </c>
      <c r="CF134" s="6">
        <v>-0.44</v>
      </c>
      <c r="CG134" s="6">
        <v>0.33</v>
      </c>
      <c r="CH134" s="6">
        <v>-0.55000000000000004</v>
      </c>
      <c r="CI134" s="6">
        <v>-0.55000000000000004</v>
      </c>
      <c r="CJ134" s="6">
        <v>-0.55000000000000004</v>
      </c>
    </row>
    <row r="135" spans="1:88" x14ac:dyDescent="0.2">
      <c r="BX135" t="s">
        <v>73</v>
      </c>
      <c r="BY135" t="s">
        <v>74</v>
      </c>
      <c r="BZ135" t="s">
        <v>54</v>
      </c>
      <c r="CA135">
        <v>0.22</v>
      </c>
      <c r="CB135">
        <v>-0.23</v>
      </c>
      <c r="CC135">
        <v>0.25</v>
      </c>
      <c r="CD135" s="6">
        <v>0.17</v>
      </c>
      <c r="CE135" s="6">
        <v>0.18</v>
      </c>
      <c r="CF135" s="6">
        <v>-0.28000000000000003</v>
      </c>
      <c r="CG135" s="6">
        <v>0.32</v>
      </c>
      <c r="CH135" s="6">
        <v>0.24</v>
      </c>
      <c r="CI135" s="6">
        <v>0.25</v>
      </c>
      <c r="CJ135">
        <v>-0.05</v>
      </c>
    </row>
    <row r="136" spans="1:88" x14ac:dyDescent="0.2">
      <c r="BZ136" t="s">
        <v>55</v>
      </c>
      <c r="CA136">
        <v>0.66</v>
      </c>
      <c r="CB136">
        <v>0.2</v>
      </c>
      <c r="CC136">
        <v>0.62</v>
      </c>
      <c r="CD136" s="6">
        <v>0.54</v>
      </c>
      <c r="CE136" s="6">
        <v>0.38</v>
      </c>
      <c r="CF136" s="6">
        <v>0.27</v>
      </c>
      <c r="CG136" s="6">
        <v>0.75</v>
      </c>
      <c r="CH136" s="6">
        <v>0.64</v>
      </c>
      <c r="CI136" s="6">
        <v>0.55000000000000004</v>
      </c>
      <c r="CJ136">
        <v>0.48</v>
      </c>
    </row>
    <row r="137" spans="1:88" x14ac:dyDescent="0.2">
      <c r="BZ137" t="s">
        <v>56</v>
      </c>
      <c r="CA137">
        <v>0.49</v>
      </c>
      <c r="CB137">
        <v>0.13</v>
      </c>
      <c r="CC137">
        <v>0.54</v>
      </c>
      <c r="CD137" s="6">
        <v>0.45</v>
      </c>
      <c r="CE137" s="6">
        <v>0.35</v>
      </c>
      <c r="CF137" s="6">
        <v>0.15</v>
      </c>
      <c r="CG137" s="6">
        <v>0.63</v>
      </c>
      <c r="CH137" s="6">
        <v>0.54</v>
      </c>
      <c r="CI137" s="6">
        <v>0.42</v>
      </c>
      <c r="CJ137">
        <v>0.26</v>
      </c>
    </row>
    <row r="138" spans="1:88" x14ac:dyDescent="0.2">
      <c r="BZ138" t="s">
        <v>57</v>
      </c>
      <c r="CA138">
        <v>0.27</v>
      </c>
      <c r="CB138">
        <v>-0.8</v>
      </c>
      <c r="CC138">
        <v>0.22</v>
      </c>
      <c r="CD138" s="6">
        <v>0.09</v>
      </c>
      <c r="CE138" s="6">
        <v>0.12</v>
      </c>
      <c r="CF138" s="6">
        <v>0.02</v>
      </c>
      <c r="CG138" s="6">
        <v>0.25</v>
      </c>
      <c r="CH138" s="6">
        <v>0.18</v>
      </c>
      <c r="CI138" s="6">
        <v>0.12</v>
      </c>
      <c r="CJ138">
        <v>0.03</v>
      </c>
    </row>
    <row r="139" spans="1:88" x14ac:dyDescent="0.2">
      <c r="BX139" t="s">
        <v>73</v>
      </c>
      <c r="BY139" t="s">
        <v>75</v>
      </c>
      <c r="BZ139" t="s">
        <v>54</v>
      </c>
      <c r="CA139">
        <v>0.22</v>
      </c>
      <c r="CB139">
        <v>-0.44</v>
      </c>
      <c r="CC139">
        <v>0.2</v>
      </c>
      <c r="CD139" s="6">
        <v>0.21</v>
      </c>
      <c r="CE139" s="6">
        <v>0.18</v>
      </c>
      <c r="CF139" s="6">
        <v>0.01</v>
      </c>
      <c r="CG139" s="6">
        <v>0.12</v>
      </c>
      <c r="CH139" s="6">
        <v>0.09</v>
      </c>
      <c r="CI139" s="6" t="s">
        <v>72</v>
      </c>
      <c r="CJ139" t="s">
        <v>72</v>
      </c>
    </row>
    <row r="140" spans="1:88" x14ac:dyDescent="0.2">
      <c r="BZ140" t="s">
        <v>55</v>
      </c>
      <c r="CA140">
        <v>0.66</v>
      </c>
      <c r="CB140">
        <v>0.22</v>
      </c>
      <c r="CC140">
        <v>0.68</v>
      </c>
      <c r="CD140" s="6">
        <v>0.22</v>
      </c>
      <c r="CE140" s="6">
        <v>0.24</v>
      </c>
      <c r="CF140" s="6">
        <v>0.25</v>
      </c>
      <c r="CG140" s="6">
        <v>0.64</v>
      </c>
      <c r="CH140" s="6">
        <v>0.37</v>
      </c>
      <c r="CI140" s="6" t="s">
        <v>72</v>
      </c>
      <c r="CJ140" t="s">
        <v>72</v>
      </c>
    </row>
    <row r="141" spans="1:88" x14ac:dyDescent="0.2">
      <c r="A141" t="s">
        <v>117</v>
      </c>
      <c r="B141" t="s">
        <v>99</v>
      </c>
      <c r="D141" t="s">
        <v>53</v>
      </c>
      <c r="F141" t="s">
        <v>53</v>
      </c>
      <c r="H141" t="s">
        <v>42</v>
      </c>
      <c r="I141" t="s">
        <v>54</v>
      </c>
      <c r="J141">
        <v>100</v>
      </c>
      <c r="K141" s="9">
        <v>80</v>
      </c>
      <c r="L141" s="9">
        <v>0.4</v>
      </c>
      <c r="M141" s="13"/>
      <c r="N141" s="13"/>
      <c r="O141" s="13"/>
      <c r="P141" s="13"/>
      <c r="Q141">
        <v>0</v>
      </c>
      <c r="S141">
        <v>1</v>
      </c>
      <c r="Z141">
        <f>(1.185 + 0.00454 * K141 - 0.0000026 * K141^2 + 0.315 * L141)^2 * S141</f>
        <v>2.7475051536000006</v>
      </c>
      <c r="AA141">
        <f>(Z141 * (1 -AJ$141) + (0.04 * Z141)) * ( 1 - AY$141 )</f>
        <v>1.0154779047705602</v>
      </c>
      <c r="AB141">
        <f>AA141 * AW$141 * AS$141 * AU$141 * AX$141</f>
        <v>0</v>
      </c>
      <c r="AC141">
        <f>AA141 * AW$141 * AT$141 * AV$141 * AX$141</f>
        <v>6.0209878406120823E-4</v>
      </c>
      <c r="AD141">
        <f>J141*AB141*91.25</f>
        <v>0</v>
      </c>
      <c r="AE141">
        <f>J141*AC141*91.25</f>
        <v>5.4941514045585258</v>
      </c>
      <c r="AJ141" s="9">
        <v>0.6</v>
      </c>
      <c r="AK141" s="9">
        <v>0.7</v>
      </c>
      <c r="AL141" s="9">
        <v>0.5</v>
      </c>
      <c r="AM141" s="9">
        <v>0.4</v>
      </c>
      <c r="AN141" s="9"/>
      <c r="AO141" s="9"/>
      <c r="AP141" s="9"/>
      <c r="AQ141" s="9"/>
      <c r="AR141" s="9" t="s">
        <v>115</v>
      </c>
      <c r="AS141">
        <f>IF(AR141="yes", $BY$6, $BZ$6)</f>
        <v>0</v>
      </c>
      <c r="AT141">
        <f>IF(AR141="yes", $BY$7, $BZ$7)</f>
        <v>1</v>
      </c>
      <c r="AU141">
        <f>VLOOKUP(B141, $CK$17:$CL$26, 2, FALSE)</f>
        <v>7.3000000000000001E-3</v>
      </c>
      <c r="AV141">
        <f>$CL$14</f>
        <v>4.5999999999999999E-3</v>
      </c>
      <c r="AW141">
        <f>$CD$5</f>
        <v>0.19</v>
      </c>
      <c r="AX141">
        <f>$CD$6</f>
        <v>0.6784</v>
      </c>
      <c r="AY141">
        <f>$CD$7</f>
        <v>0.16</v>
      </c>
      <c r="AZ141">
        <f>SUM(AD141:AE180)</f>
        <v>489.76813220845611</v>
      </c>
      <c r="BG141">
        <f>$CD$8</f>
        <v>28</v>
      </c>
      <c r="BR141">
        <f>AZ141 * BG141 * 10^-3</f>
        <v>13.71350770183677</v>
      </c>
      <c r="BZ141" t="s">
        <v>56</v>
      </c>
      <c r="CA141">
        <v>0.49</v>
      </c>
      <c r="CB141">
        <v>0.05</v>
      </c>
      <c r="CC141">
        <v>0.64</v>
      </c>
      <c r="CD141" s="6">
        <v>0.25</v>
      </c>
      <c r="CE141" s="6">
        <v>0.28999999999999998</v>
      </c>
      <c r="CF141" s="6">
        <v>0.12</v>
      </c>
      <c r="CG141" s="6">
        <v>0.56999999999999995</v>
      </c>
      <c r="CH141" s="6">
        <v>0.49</v>
      </c>
      <c r="CI141" s="6" t="s">
        <v>72</v>
      </c>
      <c r="CJ141" t="s">
        <v>72</v>
      </c>
    </row>
    <row r="142" spans="1:88" x14ac:dyDescent="0.2">
      <c r="I142" t="s">
        <v>55</v>
      </c>
      <c r="J142">
        <v>110</v>
      </c>
      <c r="K142" s="9">
        <v>90</v>
      </c>
      <c r="L142" s="9">
        <v>0.4</v>
      </c>
      <c r="M142" s="13"/>
      <c r="N142" s="13"/>
      <c r="O142" s="13"/>
      <c r="P142" s="13"/>
      <c r="S142">
        <v>1</v>
      </c>
      <c r="Z142">
        <f t="shared" ref="Z142:Z156" si="58">(1.185 + 0.00454 * K142 - 0.0000026 * K142^2 + 0.315 * L142)^2 * S142</f>
        <v>2.8850381316</v>
      </c>
      <c r="AA142">
        <f>(Z142 * (1 -AK$141) + (0.04 * Z142)) * ( 1 - AY$141 )</f>
        <v>0.82396689038496007</v>
      </c>
      <c r="AB142">
        <f>AA142 * AW$141 * AS$141 * AU$141 * AX$141</f>
        <v>0</v>
      </c>
      <c r="AC142">
        <f>AA142 * AW$141 * AT$141 * AV$141 * AX$141</f>
        <v>4.8854776699407511E-4</v>
      </c>
      <c r="AD142">
        <f>J142*AB142*91.25</f>
        <v>0</v>
      </c>
      <c r="AE142">
        <f>J142*AC142*91.25</f>
        <v>4.9037982112030285</v>
      </c>
      <c r="BZ142" t="s">
        <v>57</v>
      </c>
      <c r="CA142">
        <v>0.27</v>
      </c>
      <c r="CB142">
        <v>-0.27</v>
      </c>
      <c r="CC142">
        <v>0.31</v>
      </c>
      <c r="CD142" s="6">
        <v>0.28999999999999998</v>
      </c>
      <c r="CE142" s="6">
        <v>0.19</v>
      </c>
      <c r="CF142" s="6">
        <v>0.04</v>
      </c>
      <c r="CG142" s="6">
        <v>0.26</v>
      </c>
      <c r="CH142" s="6">
        <v>0.28000000000000003</v>
      </c>
      <c r="CI142" s="6" t="s">
        <v>72</v>
      </c>
      <c r="CJ142" t="s">
        <v>72</v>
      </c>
    </row>
    <row r="143" spans="1:88" x14ac:dyDescent="0.2">
      <c r="I143" t="s">
        <v>56</v>
      </c>
      <c r="J143">
        <v>120</v>
      </c>
      <c r="K143" s="9">
        <v>100</v>
      </c>
      <c r="L143" s="9">
        <v>0.5</v>
      </c>
      <c r="M143" s="13"/>
      <c r="N143" s="13"/>
      <c r="O143" s="13"/>
      <c r="P143" s="13"/>
      <c r="S143">
        <v>1</v>
      </c>
      <c r="Z143">
        <f t="shared" si="58"/>
        <v>3.1346702499999997</v>
      </c>
      <c r="AA143">
        <f>(Z143 * (1 -AL$141) + (0.04 * Z143)) * ( 1 - AY$141 )</f>
        <v>1.4218864253999999</v>
      </c>
      <c r="AB143">
        <f>AA143 * AW$141 * AS$141 * AU$141 * AX$141</f>
        <v>0</v>
      </c>
      <c r="AC143">
        <f>AA143 * AW$141 * AT$141 * AV$141 * AX$141</f>
        <v>8.4306717436644866E-4</v>
      </c>
      <c r="AD143">
        <f>J143*AB143*91.25</f>
        <v>0</v>
      </c>
      <c r="AE143">
        <f>J143*AC143*91.25</f>
        <v>9.231585559312613</v>
      </c>
      <c r="BX143" t="s">
        <v>73</v>
      </c>
      <c r="BY143" t="s">
        <v>76</v>
      </c>
      <c r="BZ143" t="s">
        <v>54</v>
      </c>
      <c r="CA143">
        <v>0.22</v>
      </c>
      <c r="CB143">
        <v>-0.44</v>
      </c>
      <c r="CC143">
        <v>0</v>
      </c>
      <c r="CD143" s="6">
        <v>0.15</v>
      </c>
      <c r="CE143" s="6">
        <v>0.08</v>
      </c>
      <c r="CF143" s="6">
        <v>0.17</v>
      </c>
      <c r="CG143" s="6">
        <v>0.06</v>
      </c>
      <c r="CH143" s="6">
        <v>0.02</v>
      </c>
      <c r="CI143" s="6">
        <v>-0.14000000000000001</v>
      </c>
      <c r="CJ143" t="s">
        <v>72</v>
      </c>
    </row>
    <row r="144" spans="1:88" x14ac:dyDescent="0.2">
      <c r="I144" t="s">
        <v>57</v>
      </c>
      <c r="J144">
        <v>130</v>
      </c>
      <c r="K144" s="9">
        <v>110</v>
      </c>
      <c r="L144" s="9">
        <v>0.8</v>
      </c>
      <c r="M144" s="13"/>
      <c r="N144" s="13"/>
      <c r="O144" s="13"/>
      <c r="P144" s="13"/>
      <c r="S144">
        <v>1</v>
      </c>
      <c r="Z144">
        <f t="shared" si="58"/>
        <v>3.6287964036000004</v>
      </c>
      <c r="AA144">
        <f>(Z144 * (1 -AM$141) + (0.04 * Z144)) * ( 1 - AY$141 )</f>
        <v>1.95084094657536</v>
      </c>
      <c r="AB144">
        <f>AA144 * AW$141 * AS$141 * AU$141 * AX$141</f>
        <v>0</v>
      </c>
      <c r="AC144">
        <f>AA144 * AW$141 * AT$141 * AV$141 * AX$141</f>
        <v>1.156695735388977E-3</v>
      </c>
      <c r="AD144">
        <f>J144*AB144*91.25</f>
        <v>0</v>
      </c>
      <c r="AE144">
        <f>J144*AC144*91.25</f>
        <v>13.72130316105174</v>
      </c>
      <c r="BZ144" t="s">
        <v>55</v>
      </c>
      <c r="CA144">
        <v>0.66</v>
      </c>
      <c r="CB144">
        <v>0.22</v>
      </c>
      <c r="CC144">
        <v>0.79</v>
      </c>
      <c r="CD144" s="6">
        <v>0.4</v>
      </c>
      <c r="CE144" s="6">
        <v>0.38</v>
      </c>
      <c r="CF144" s="6">
        <v>0.27</v>
      </c>
      <c r="CG144" s="6">
        <v>0.8</v>
      </c>
      <c r="CH144" s="6">
        <v>0.16</v>
      </c>
      <c r="CI144" s="6">
        <v>0.3</v>
      </c>
      <c r="CJ144" t="s">
        <v>72</v>
      </c>
    </row>
    <row r="145" spans="8:97" x14ac:dyDescent="0.2">
      <c r="H145" t="s">
        <v>43</v>
      </c>
      <c r="I145" t="s">
        <v>54</v>
      </c>
      <c r="J145">
        <v>50</v>
      </c>
      <c r="K145" s="9">
        <v>470</v>
      </c>
      <c r="L145" s="9">
        <v>0.1</v>
      </c>
      <c r="M145" s="13"/>
      <c r="N145" s="13"/>
      <c r="O145" s="13"/>
      <c r="P145" s="13"/>
      <c r="S145">
        <v>1</v>
      </c>
      <c r="Z145">
        <f t="shared" si="58"/>
        <v>7.7059539215999999</v>
      </c>
      <c r="AA145">
        <f>(Z145 * (1 -AJ$141) + (0.04 * Z145)) * ( 1 - AY$141 )</f>
        <v>2.8481205694233598</v>
      </c>
      <c r="AB145">
        <f>AA145 * AW$141 * AS$141 * AU$141 * AX$141</f>
        <v>0</v>
      </c>
      <c r="AC145">
        <f>AA145 * AW$141 * AT$141 * AV$141 * AX$141</f>
        <v>1.6887122050154094E-3</v>
      </c>
      <c r="AD145">
        <f>J145*AB145*91.25</f>
        <v>0</v>
      </c>
      <c r="AE145">
        <f>J145*AC145*91.25</f>
        <v>7.704749435382805</v>
      </c>
      <c r="BZ145" t="s">
        <v>56</v>
      </c>
      <c r="CA145">
        <v>0.49</v>
      </c>
      <c r="CB145">
        <v>0.05</v>
      </c>
      <c r="CC145">
        <v>0.55000000000000004</v>
      </c>
      <c r="CD145" s="6">
        <v>0.38</v>
      </c>
      <c r="CE145" s="6">
        <v>0.36</v>
      </c>
      <c r="CF145" s="6">
        <v>0.06</v>
      </c>
      <c r="CG145" s="6">
        <v>0.57999999999999996</v>
      </c>
      <c r="CH145" s="6">
        <v>0.23</v>
      </c>
      <c r="CI145" s="6">
        <v>0.4</v>
      </c>
      <c r="CJ145" t="s">
        <v>72</v>
      </c>
    </row>
    <row r="146" spans="8:97" x14ac:dyDescent="0.2">
      <c r="I146" t="s">
        <v>55</v>
      </c>
      <c r="J146">
        <v>55</v>
      </c>
      <c r="K146" s="9">
        <v>480</v>
      </c>
      <c r="L146" s="9">
        <v>0.2</v>
      </c>
      <c r="M146" s="13"/>
      <c r="N146" s="13"/>
      <c r="O146" s="13"/>
      <c r="P146" s="13"/>
      <c r="S146">
        <v>1</v>
      </c>
      <c r="Z146">
        <f t="shared" si="58"/>
        <v>7.9984889855999999</v>
      </c>
      <c r="AA146">
        <f>(Z146 * (1 -AK$141) + (0.04 * Z146)) * ( 1 - AY$141 )</f>
        <v>2.2843684542873599</v>
      </c>
      <c r="AB146">
        <f>AA146 * AW$141 * AS$141 * AU$141 * AX$141</f>
        <v>0</v>
      </c>
      <c r="AC146">
        <f>AA146 * AW$141 * AT$141 * AV$141 * AX$141</f>
        <v>1.3544513989055885E-3</v>
      </c>
      <c r="AD146">
        <f>J146*AB146*91.25</f>
        <v>0</v>
      </c>
      <c r="AE146">
        <f>J146*AC146*91.25</f>
        <v>6.797652958257423</v>
      </c>
      <c r="BZ146" t="s">
        <v>57</v>
      </c>
      <c r="CA146">
        <v>0.27</v>
      </c>
      <c r="CB146">
        <v>-0.27</v>
      </c>
      <c r="CC146">
        <v>0.02</v>
      </c>
      <c r="CD146">
        <v>0.09</v>
      </c>
      <c r="CE146">
        <v>0.16</v>
      </c>
      <c r="CF146">
        <v>-0.04</v>
      </c>
      <c r="CG146">
        <v>0.21</v>
      </c>
      <c r="CH146">
        <v>0.03</v>
      </c>
      <c r="CI146">
        <v>0.11</v>
      </c>
      <c r="CJ146" t="s">
        <v>72</v>
      </c>
      <c r="CM146" s="14">
        <v>700</v>
      </c>
      <c r="CN146">
        <v>700</v>
      </c>
      <c r="CO146">
        <v>600</v>
      </c>
      <c r="CP146">
        <v>500</v>
      </c>
      <c r="CQ146">
        <v>500</v>
      </c>
      <c r="CR146">
        <v>500</v>
      </c>
      <c r="CS146">
        <v>500</v>
      </c>
    </row>
    <row r="147" spans="8:97" x14ac:dyDescent="0.2">
      <c r="I147" t="s">
        <v>56</v>
      </c>
      <c r="J147">
        <v>60</v>
      </c>
      <c r="K147" s="9">
        <v>490</v>
      </c>
      <c r="L147" s="9">
        <v>1.5</v>
      </c>
      <c r="M147" s="13"/>
      <c r="N147" s="13"/>
      <c r="O147" s="13"/>
      <c r="P147" s="13"/>
      <c r="S147">
        <v>1</v>
      </c>
      <c r="Z147">
        <f t="shared" si="58"/>
        <v>10.6135214656</v>
      </c>
      <c r="AA147">
        <f>(Z147 * (1 -AL$141) + (0.04 * Z147)) * ( 1 - AY$141 )</f>
        <v>4.81429333679616</v>
      </c>
      <c r="AB147">
        <f>AA147 * AW$141 * AS$141 * AU$141 * AX$141</f>
        <v>0</v>
      </c>
      <c r="AC147">
        <f>AA147 * AW$141 * AT$141 * AV$141 * AX$141</f>
        <v>2.8544985081225176E-3</v>
      </c>
      <c r="AD147">
        <f>J147*AB147*91.25</f>
        <v>0</v>
      </c>
      <c r="AE147">
        <f>J147*AC147*91.25</f>
        <v>15.628379331970782</v>
      </c>
      <c r="BX147" t="s">
        <v>81</v>
      </c>
      <c r="BY147" t="s">
        <v>77</v>
      </c>
      <c r="BZ147" t="s">
        <v>54</v>
      </c>
      <c r="CA147">
        <v>0.27</v>
      </c>
      <c r="CB147">
        <v>-0.19</v>
      </c>
      <c r="CC147">
        <v>0.38</v>
      </c>
      <c r="CD147" s="7">
        <v>0.25</v>
      </c>
      <c r="CE147">
        <v>7.0000000000000007E-2</v>
      </c>
      <c r="CF147">
        <v>0.05</v>
      </c>
      <c r="CG147">
        <v>0.52</v>
      </c>
      <c r="CH147">
        <v>0.55000000000000004</v>
      </c>
      <c r="CI147">
        <v>0.19</v>
      </c>
      <c r="CJ147">
        <v>0.6</v>
      </c>
      <c r="CM147" s="14">
        <v>770</v>
      </c>
      <c r="CN147">
        <v>770</v>
      </c>
      <c r="CO147">
        <v>660</v>
      </c>
      <c r="CP147">
        <v>550</v>
      </c>
      <c r="CQ147">
        <v>550</v>
      </c>
      <c r="CR147">
        <v>550</v>
      </c>
      <c r="CS147">
        <v>550</v>
      </c>
    </row>
    <row r="148" spans="8:97" x14ac:dyDescent="0.2">
      <c r="I148" t="s">
        <v>57</v>
      </c>
      <c r="J148">
        <v>65</v>
      </c>
      <c r="K148" s="9">
        <v>500</v>
      </c>
      <c r="L148" s="9">
        <v>1.3</v>
      </c>
      <c r="M148" s="13"/>
      <c r="N148" s="13"/>
      <c r="O148" s="13"/>
      <c r="P148" s="13"/>
      <c r="S148">
        <v>1</v>
      </c>
      <c r="Z148">
        <f t="shared" si="58"/>
        <v>10.333010250000001</v>
      </c>
      <c r="AA148">
        <f>(Z148 * (1 -AM$141) + (0.04 * Z148)) * ( 1 - AY$141 )</f>
        <v>5.5550263103999997</v>
      </c>
      <c r="AB148">
        <f>AA148 * AW$141 * AS$141 * AU$141 * AX$141</f>
        <v>0</v>
      </c>
      <c r="AC148">
        <f>AA148 * AW$141 * AT$141 * AV$141 * AX$141</f>
        <v>3.2936950880044645E-3</v>
      </c>
      <c r="AD148">
        <f>J148*AB148*91.25</f>
        <v>0</v>
      </c>
      <c r="AE148">
        <f>J148*AC148*91.25</f>
        <v>19.535728990726483</v>
      </c>
      <c r="BZ148" t="s">
        <v>55</v>
      </c>
      <c r="CA148">
        <v>0.16</v>
      </c>
      <c r="CB148">
        <v>0.16</v>
      </c>
      <c r="CC148">
        <v>0.8</v>
      </c>
      <c r="CD148">
        <v>0.56999999999999995</v>
      </c>
      <c r="CE148">
        <v>0.76</v>
      </c>
      <c r="CF148">
        <v>0.49</v>
      </c>
      <c r="CG148">
        <v>0.84</v>
      </c>
      <c r="CH148">
        <v>0.51</v>
      </c>
      <c r="CI148">
        <v>0.36</v>
      </c>
      <c r="CJ148">
        <v>0.17</v>
      </c>
      <c r="CM148" s="14">
        <v>770</v>
      </c>
      <c r="CN148">
        <v>770</v>
      </c>
      <c r="CO148">
        <v>660</v>
      </c>
      <c r="CP148">
        <v>550</v>
      </c>
      <c r="CQ148">
        <v>550</v>
      </c>
      <c r="CR148">
        <v>550</v>
      </c>
      <c r="CS148">
        <v>550</v>
      </c>
    </row>
    <row r="149" spans="8:97" x14ac:dyDescent="0.2">
      <c r="H149" t="s">
        <v>44</v>
      </c>
      <c r="I149" t="s">
        <v>54</v>
      </c>
      <c r="J149">
        <v>200</v>
      </c>
      <c r="K149" s="9">
        <v>70</v>
      </c>
      <c r="L149" s="9">
        <v>0.4</v>
      </c>
      <c r="M149" s="13"/>
      <c r="N149" s="13"/>
      <c r="O149" s="13"/>
      <c r="P149" s="13"/>
      <c r="S149">
        <v>1</v>
      </c>
      <c r="Z149">
        <f t="shared" si="58"/>
        <v>2.6116499236000004</v>
      </c>
      <c r="AA149">
        <f>(Z149 * (1 -AJ$141) + (0.04 * Z149)) * ( 1 - AY$141 )</f>
        <v>0.96526581176256021</v>
      </c>
      <c r="AB149">
        <f>AA149 * AW$141 * AS$141 * AU$141 * AX$141</f>
        <v>0</v>
      </c>
      <c r="AC149">
        <f>AA149 * AW$141 * AT$141 * AV$141 * AX$141</f>
        <v>5.7232694953555604E-4</v>
      </c>
      <c r="AD149">
        <f>J149*AB149*91.25</f>
        <v>0</v>
      </c>
      <c r="AE149">
        <f>J149*AC149*91.25</f>
        <v>10.444966829023898</v>
      </c>
      <c r="BZ149" t="s">
        <v>56</v>
      </c>
      <c r="CA149">
        <v>0.45</v>
      </c>
      <c r="CB149">
        <v>0.1</v>
      </c>
      <c r="CC149">
        <v>0.49</v>
      </c>
      <c r="CD149" s="6">
        <v>0.41</v>
      </c>
      <c r="CE149">
        <v>0.4</v>
      </c>
      <c r="CF149">
        <v>0.17</v>
      </c>
      <c r="CG149">
        <v>0.54</v>
      </c>
      <c r="CH149">
        <v>0.64</v>
      </c>
      <c r="CI149">
        <v>-0.05</v>
      </c>
      <c r="CJ149">
        <v>0.32</v>
      </c>
      <c r="CM149" s="14">
        <v>770</v>
      </c>
      <c r="CN149">
        <v>770</v>
      </c>
      <c r="CO149">
        <v>660</v>
      </c>
      <c r="CP149">
        <v>550</v>
      </c>
      <c r="CQ149">
        <v>550</v>
      </c>
      <c r="CR149">
        <v>550</v>
      </c>
      <c r="CS149">
        <v>550</v>
      </c>
    </row>
    <row r="150" spans="8:97" x14ac:dyDescent="0.2">
      <c r="I150" t="s">
        <v>55</v>
      </c>
      <c r="J150">
        <v>130</v>
      </c>
      <c r="K150" s="9">
        <v>75</v>
      </c>
      <c r="L150" s="9">
        <v>0.5</v>
      </c>
      <c r="M150" s="13"/>
      <c r="N150" s="13"/>
      <c r="O150" s="13"/>
      <c r="P150" s="13"/>
      <c r="S150">
        <v>1</v>
      </c>
      <c r="Z150">
        <f t="shared" si="58"/>
        <v>2.7834751406249998</v>
      </c>
      <c r="AA150">
        <f>(Z150 * (1 -AK$141) + (0.04 * Z150)) * ( 1 - AY$141 )</f>
        <v>0.79496050016249997</v>
      </c>
      <c r="AB150">
        <f>AA150 * AW$141 * AS$141 * AU$141 * AX$141</f>
        <v>0</v>
      </c>
      <c r="AC150">
        <f>AA150 * AW$141 * AT$141 * AV$141 * AX$141</f>
        <v>4.7134925169314975E-4</v>
      </c>
      <c r="AD150">
        <f>J150*AB150*91.25</f>
        <v>0</v>
      </c>
      <c r="AE150">
        <f>J150*AC150*91.25</f>
        <v>5.5913804982099888</v>
      </c>
      <c r="BZ150" t="s">
        <v>57</v>
      </c>
      <c r="CA150">
        <v>0.51</v>
      </c>
      <c r="CB150">
        <v>-7.0000000000000007E-2</v>
      </c>
      <c r="CC150">
        <v>0.13</v>
      </c>
      <c r="CD150" s="6">
        <v>-0.09</v>
      </c>
      <c r="CE150">
        <v>-0.13</v>
      </c>
      <c r="CF150">
        <v>7.0000000000000007E-2</v>
      </c>
      <c r="CG150">
        <v>0.25</v>
      </c>
      <c r="CH150">
        <v>0.71</v>
      </c>
      <c r="CI150">
        <v>0.17</v>
      </c>
      <c r="CJ150">
        <v>0.43</v>
      </c>
      <c r="CM150" s="14">
        <v>770</v>
      </c>
      <c r="CN150">
        <v>770</v>
      </c>
      <c r="CO150">
        <v>660</v>
      </c>
      <c r="CP150">
        <v>550</v>
      </c>
      <c r="CQ150">
        <v>550</v>
      </c>
      <c r="CR150">
        <v>550</v>
      </c>
      <c r="CS150">
        <v>550</v>
      </c>
    </row>
    <row r="151" spans="8:97" x14ac:dyDescent="0.2">
      <c r="I151" t="s">
        <v>56</v>
      </c>
      <c r="J151">
        <v>250</v>
      </c>
      <c r="K151" s="9">
        <v>80</v>
      </c>
      <c r="L151" s="9">
        <v>0.6</v>
      </c>
      <c r="M151" s="13"/>
      <c r="N151" s="13"/>
      <c r="O151" s="13"/>
      <c r="P151" s="13"/>
      <c r="S151">
        <v>1</v>
      </c>
      <c r="Z151">
        <f t="shared" si="58"/>
        <v>2.9603267136000002</v>
      </c>
      <c r="AA151">
        <f>(Z151 * (1 -AL$141) + (0.04 * Z151)) * ( 1 - AY$141 )</f>
        <v>1.3428041972889599</v>
      </c>
      <c r="AB151">
        <f>AA151 * AW$141 * AS$141 * AU$141 * AX$141</f>
        <v>0</v>
      </c>
      <c r="AC151">
        <f>AA151 * AW$141 * AT$141 * AV$141 * AX$141</f>
        <v>7.9617761314328584E-4</v>
      </c>
      <c r="AD151">
        <f>J151*AB151*91.25</f>
        <v>0</v>
      </c>
      <c r="AE151">
        <f>J151*AC151*91.25</f>
        <v>18.162801799831207</v>
      </c>
      <c r="BX151" t="s">
        <v>81</v>
      </c>
      <c r="BY151" t="s">
        <v>78</v>
      </c>
      <c r="BZ151" t="s">
        <v>54</v>
      </c>
      <c r="CA151">
        <v>-0.12</v>
      </c>
      <c r="CB151">
        <v>-0.19</v>
      </c>
      <c r="CC151">
        <v>0.41</v>
      </c>
      <c r="CD151">
        <v>0.09</v>
      </c>
      <c r="CE151">
        <v>0.41</v>
      </c>
      <c r="CF151">
        <v>-0.19</v>
      </c>
      <c r="CG151">
        <v>7.0000000000000007E-2</v>
      </c>
      <c r="CH151">
        <v>1.07</v>
      </c>
      <c r="CI151">
        <v>-0.08</v>
      </c>
      <c r="CJ151">
        <v>0</v>
      </c>
      <c r="CM151" s="14">
        <v>770</v>
      </c>
      <c r="CN151">
        <v>770</v>
      </c>
      <c r="CO151">
        <v>660</v>
      </c>
      <c r="CP151">
        <v>550</v>
      </c>
      <c r="CQ151">
        <v>550</v>
      </c>
      <c r="CR151">
        <v>550</v>
      </c>
      <c r="CS151">
        <v>550</v>
      </c>
    </row>
    <row r="152" spans="8:97" x14ac:dyDescent="0.2">
      <c r="I152" t="s">
        <v>57</v>
      </c>
      <c r="J152">
        <v>150</v>
      </c>
      <c r="K152" s="9">
        <v>85</v>
      </c>
      <c r="L152" s="9">
        <v>0.7</v>
      </c>
      <c r="M152" s="13"/>
      <c r="N152" s="13"/>
      <c r="O152" s="13"/>
      <c r="P152" s="13"/>
      <c r="S152">
        <v>1</v>
      </c>
      <c r="Z152">
        <f t="shared" si="58"/>
        <v>3.1421639382249995</v>
      </c>
      <c r="AA152">
        <f>(Z152 * (1 -AM$141) + (0.04 * Z152)) * ( 1 - AY$141 )</f>
        <v>1.6892273331897594</v>
      </c>
      <c r="AB152">
        <f>AA152 * AW$141 * AS$141 * AU$141 * AX$141</f>
        <v>0</v>
      </c>
      <c r="AC152">
        <f>AA152 * AW$141 * AT$141 * AV$141 * AX$141</f>
        <v>1.0015793731586052E-3</v>
      </c>
      <c r="AD152">
        <f>J152*AB152*91.25</f>
        <v>0</v>
      </c>
      <c r="AE152">
        <f>J152*AC152*91.25</f>
        <v>13.709117670108409</v>
      </c>
      <c r="BZ152" t="s">
        <v>55</v>
      </c>
      <c r="CA152">
        <v>0.65</v>
      </c>
      <c r="CB152">
        <v>0.19</v>
      </c>
      <c r="CC152">
        <v>0.65</v>
      </c>
      <c r="CD152">
        <v>0.51</v>
      </c>
      <c r="CE152">
        <v>0.18</v>
      </c>
      <c r="CF152">
        <v>0.63</v>
      </c>
      <c r="CG152">
        <v>1.3</v>
      </c>
      <c r="CH152">
        <v>0.48</v>
      </c>
      <c r="CI152">
        <v>1.1200000000000001</v>
      </c>
      <c r="CJ152">
        <v>0.38</v>
      </c>
      <c r="CM152" s="14">
        <v>770</v>
      </c>
      <c r="CN152">
        <v>770</v>
      </c>
      <c r="CO152">
        <v>660</v>
      </c>
      <c r="CP152">
        <v>550</v>
      </c>
      <c r="CQ152">
        <v>550</v>
      </c>
      <c r="CR152">
        <v>550</v>
      </c>
      <c r="CS152">
        <v>550</v>
      </c>
    </row>
    <row r="153" spans="8:97" x14ac:dyDescent="0.2">
      <c r="H153" t="s">
        <v>45</v>
      </c>
      <c r="I153" t="s">
        <v>54</v>
      </c>
      <c r="J153">
        <v>20</v>
      </c>
      <c r="K153" s="9">
        <v>310</v>
      </c>
      <c r="L153" s="9">
        <v>0.5</v>
      </c>
      <c r="M153" s="13"/>
      <c r="N153" s="13"/>
      <c r="O153" s="13"/>
      <c r="P153" s="13"/>
      <c r="S153">
        <v>1</v>
      </c>
      <c r="Z153">
        <f t="shared" si="58"/>
        <v>6.2502000016000014</v>
      </c>
      <c r="AA153">
        <f>(Z153 * (1 -AJ$141) + (0.04 * Z153)) * ( 1 - AY$141 )</f>
        <v>2.3100739205913605</v>
      </c>
      <c r="AB153">
        <f>AA153 * AW$141 * AS$141 * AU$141 * AX$141</f>
        <v>0</v>
      </c>
      <c r="AC153">
        <f>AA153 * AW$141 * AT$141 * AV$141 * AX$141</f>
        <v>1.3696927251153025E-3</v>
      </c>
      <c r="AD153">
        <f>J153*AB153*91.25</f>
        <v>0</v>
      </c>
      <c r="AE153">
        <f>J153*AC153*91.25</f>
        <v>2.4996892233354271</v>
      </c>
      <c r="BZ153" t="s">
        <v>56</v>
      </c>
      <c r="CA153">
        <v>0.7</v>
      </c>
      <c r="CB153">
        <v>0.13</v>
      </c>
      <c r="CC153">
        <v>0.52</v>
      </c>
      <c r="CD153">
        <v>0.34</v>
      </c>
      <c r="CE153">
        <v>0.02</v>
      </c>
      <c r="CF153">
        <v>0.04</v>
      </c>
      <c r="CG153">
        <v>0.77</v>
      </c>
      <c r="CH153">
        <v>0.42</v>
      </c>
      <c r="CI153">
        <v>0.12</v>
      </c>
      <c r="CJ153">
        <v>0.74</v>
      </c>
      <c r="CM153" s="15"/>
    </row>
    <row r="154" spans="8:97" x14ac:dyDescent="0.2">
      <c r="I154" t="s">
        <v>55</v>
      </c>
      <c r="J154">
        <v>30</v>
      </c>
      <c r="K154" s="9">
        <v>320</v>
      </c>
      <c r="L154" s="9">
        <v>0.4</v>
      </c>
      <c r="M154" s="13"/>
      <c r="N154" s="13"/>
      <c r="O154" s="13"/>
      <c r="P154" s="13"/>
      <c r="S154">
        <v>1</v>
      </c>
      <c r="Z154">
        <f t="shared" si="58"/>
        <v>6.2378059535999979</v>
      </c>
      <c r="AA154">
        <f>(Z154 * (1 -AK$141) + (0.04 * Z154)) * ( 1 - AY$141 )</f>
        <v>1.7815173803481597</v>
      </c>
      <c r="AB154">
        <f>AA154 * AW$141 * AS$141 * AU$141 * AX$141</f>
        <v>0</v>
      </c>
      <c r="AC154">
        <f>AA154 * AW$141 * AT$141 * AV$141 * AX$141</f>
        <v>1.0563001355838395E-3</v>
      </c>
      <c r="AD154">
        <f>J154*AB154*91.25</f>
        <v>0</v>
      </c>
      <c r="AE154">
        <f>J154*AC154*91.25</f>
        <v>2.8916216211607608</v>
      </c>
      <c r="BZ154" t="s">
        <v>57</v>
      </c>
      <c r="CA154">
        <v>0.32</v>
      </c>
      <c r="CB154">
        <v>-0.06</v>
      </c>
      <c r="CC154">
        <v>0.25</v>
      </c>
      <c r="CD154">
        <v>0.19</v>
      </c>
      <c r="CE154">
        <v>-0.1</v>
      </c>
      <c r="CF154">
        <v>-0.02</v>
      </c>
      <c r="CG154">
        <v>0.02</v>
      </c>
      <c r="CH154">
        <v>0.23</v>
      </c>
      <c r="CI154">
        <v>-0.13</v>
      </c>
      <c r="CJ154">
        <v>0</v>
      </c>
      <c r="CM154" s="15"/>
    </row>
    <row r="155" spans="8:97" x14ac:dyDescent="0.2">
      <c r="I155" t="s">
        <v>56</v>
      </c>
      <c r="J155">
        <v>60</v>
      </c>
      <c r="K155" s="9">
        <v>330</v>
      </c>
      <c r="L155" s="9">
        <v>0.3</v>
      </c>
      <c r="M155" s="13"/>
      <c r="N155" s="13"/>
      <c r="O155" s="13"/>
      <c r="P155" s="13"/>
      <c r="S155">
        <v>1</v>
      </c>
      <c r="Z155">
        <f t="shared" si="58"/>
        <v>6.222829593600002</v>
      </c>
      <c r="AA155">
        <f>(Z155 * (1 -AL$141) + (0.04 * Z155)) * ( 1 - AY$141 )</f>
        <v>2.8226755036569608</v>
      </c>
      <c r="AB155">
        <f>AA155 * AW$141 * AS$141 * AU$141 * AX$141</f>
        <v>0</v>
      </c>
      <c r="AC155">
        <f>AA155 * AW$141 * AT$141 * AV$141 * AX$141</f>
        <v>1.6736252759090909E-3</v>
      </c>
      <c r="AD155">
        <f>J155*AB155*91.25</f>
        <v>0</v>
      </c>
      <c r="AE155">
        <f>J155*AC155*91.25</f>
        <v>9.1630983856022716</v>
      </c>
      <c r="BX155" t="s">
        <v>81</v>
      </c>
      <c r="BY155" t="s">
        <v>79</v>
      </c>
      <c r="BZ155" t="s">
        <v>54</v>
      </c>
      <c r="CA155">
        <v>0.62</v>
      </c>
      <c r="CB155">
        <v>-0.19</v>
      </c>
      <c r="CC155">
        <v>0.37</v>
      </c>
      <c r="CD155">
        <v>0.41</v>
      </c>
      <c r="CE155">
        <v>0.06</v>
      </c>
      <c r="CF155">
        <v>-0.02</v>
      </c>
      <c r="CG155">
        <v>0.47</v>
      </c>
      <c r="CH155">
        <v>0.44</v>
      </c>
      <c r="CI155">
        <v>0.3</v>
      </c>
      <c r="CJ155">
        <v>0.13</v>
      </c>
      <c r="CM155" s="15"/>
    </row>
    <row r="156" spans="8:97" x14ac:dyDescent="0.2">
      <c r="I156" t="s">
        <v>57</v>
      </c>
      <c r="J156">
        <v>30</v>
      </c>
      <c r="K156" s="9">
        <v>340</v>
      </c>
      <c r="L156" s="9">
        <v>0.2</v>
      </c>
      <c r="M156" s="13"/>
      <c r="N156" s="13"/>
      <c r="O156" s="13"/>
      <c r="P156" s="13"/>
      <c r="S156">
        <v>1</v>
      </c>
      <c r="Z156">
        <f t="shared" si="58"/>
        <v>6.2052802816000021</v>
      </c>
      <c r="AA156">
        <f>(Z156 * (1 -AM$141) + (0.04 * Z156)) * ( 1 - AY$141 )</f>
        <v>3.3359586793881606</v>
      </c>
      <c r="AB156">
        <f>AA156 * AW$141 * AS$141 * AU$141 * AX$141</f>
        <v>0</v>
      </c>
      <c r="AC156">
        <f>AA156 * AW$141 * AT$141 * AV$141 * AX$141</f>
        <v>1.9779619577167153E-3</v>
      </c>
      <c r="AD156">
        <f>J156*AB156*91.25</f>
        <v>0</v>
      </c>
      <c r="AE156">
        <f>J156*AC156*91.25</f>
        <v>5.4146708592495081</v>
      </c>
      <c r="BZ156" t="s">
        <v>55</v>
      </c>
      <c r="CA156">
        <v>0.05</v>
      </c>
      <c r="CB156">
        <v>0.19</v>
      </c>
      <c r="CC156">
        <v>0.31</v>
      </c>
      <c r="CD156">
        <v>0.54</v>
      </c>
      <c r="CE156">
        <v>0.53</v>
      </c>
      <c r="CF156">
        <v>0.15</v>
      </c>
      <c r="CG156">
        <v>0.28000000000000003</v>
      </c>
      <c r="CH156">
        <v>0.56999999999999995</v>
      </c>
      <c r="CI156">
        <v>0.42</v>
      </c>
      <c r="CJ156">
        <v>0.4</v>
      </c>
      <c r="CM156" s="15"/>
    </row>
    <row r="157" spans="8:97" x14ac:dyDescent="0.2">
      <c r="H157" t="s">
        <v>46</v>
      </c>
      <c r="I157" t="s">
        <v>54</v>
      </c>
      <c r="J157">
        <v>100</v>
      </c>
      <c r="K157" s="9">
        <v>450</v>
      </c>
      <c r="L157" s="9" cm="1">
        <f t="array" ref="L157:L160">_xlfn.XLOOKUP(H157, $CA$106:$CJ$106, $CA$107:$CJ$110)</f>
        <v>0.3</v>
      </c>
      <c r="M157" s="13"/>
      <c r="N157" s="13"/>
      <c r="O157">
        <v>1</v>
      </c>
      <c r="P157" s="13"/>
      <c r="Q157">
        <f>O157+P157</f>
        <v>1</v>
      </c>
      <c r="R157">
        <v>1.3</v>
      </c>
      <c r="S157">
        <f>(Q157*R157)+(1 - Q157)</f>
        <v>1.3</v>
      </c>
      <c r="Z157">
        <f>(1.185 + 0.00454 * K157 - 0.0000026 * K157^2 + 0.315 * L157)^2 * S157</f>
        <v>10.162900799999999</v>
      </c>
      <c r="AA157">
        <f>(Z157 * (1 -AJ$141) + (0.04 * Z157)) * ( 1 - AY$141 )</f>
        <v>3.7562081356799992</v>
      </c>
      <c r="AB157">
        <f>AA157 * AW$141 * AS$141 * AU$141 * AX$141</f>
        <v>0</v>
      </c>
      <c r="AC157">
        <f>AA157 * AW$141 * AT$141 * AV$141 * AX$141</f>
        <v>2.2271369377404025E-3</v>
      </c>
      <c r="AD157">
        <f>J157*AB157*91.25</f>
        <v>0</v>
      </c>
      <c r="AE157">
        <f>J157*AC157*91.25</f>
        <v>20.322624556881173</v>
      </c>
      <c r="BZ157" t="s">
        <v>56</v>
      </c>
      <c r="CA157">
        <v>0.33</v>
      </c>
      <c r="CB157">
        <v>0.13</v>
      </c>
      <c r="CC157">
        <v>0.39</v>
      </c>
      <c r="CD157">
        <v>0.36</v>
      </c>
      <c r="CE157">
        <v>0.26</v>
      </c>
      <c r="CF157">
        <v>0.11</v>
      </c>
      <c r="CG157">
        <v>0.4</v>
      </c>
      <c r="CH157">
        <v>0.44</v>
      </c>
      <c r="CI157">
        <v>0.37</v>
      </c>
      <c r="CJ157">
        <v>-0.01</v>
      </c>
      <c r="CM157" s="15"/>
    </row>
    <row r="158" spans="8:97" x14ac:dyDescent="0.2">
      <c r="I158" t="s">
        <v>55</v>
      </c>
      <c r="J158">
        <v>110</v>
      </c>
      <c r="K158" s="9">
        <v>460</v>
      </c>
      <c r="L158" s="9">
        <v>0.3</v>
      </c>
      <c r="M158" s="13"/>
      <c r="N158" s="13"/>
      <c r="O158">
        <v>0</v>
      </c>
      <c r="P158">
        <v>1</v>
      </c>
      <c r="Q158">
        <f t="shared" ref="Q158:Q164" si="59">O158+P158</f>
        <v>1</v>
      </c>
      <c r="R158">
        <v>1.1000000000000001</v>
      </c>
      <c r="S158">
        <f t="shared" ref="S158:S164" si="60">(Q158*R158)+(1 - Q158)</f>
        <v>1.1000000000000001</v>
      </c>
      <c r="Z158">
        <f t="shared" ref="Z158:Z180" si="61">(1.185 + 0.00454 * K158 - 0.0000026 * K158^2 + 0.315 * L158)^2 * S158</f>
        <v>8.7336245783600006</v>
      </c>
      <c r="AA158">
        <f>(Z158 * (1 -AK$141) + (0.04 * Z158)) * ( 1 - AY$141 )</f>
        <v>2.4943231795796161</v>
      </c>
      <c r="AB158">
        <f>AA158 * AW$141 * AS$141 * AU$141 * AX$141</f>
        <v>0</v>
      </c>
      <c r="AC158">
        <f>AA158 * AW$141 * AT$141 * AV$141 * AX$141</f>
        <v>1.4789380905534332E-3</v>
      </c>
      <c r="AD158">
        <f>J158*AB158*91.25</f>
        <v>0</v>
      </c>
      <c r="AE158">
        <f>J158*AC158*91.25</f>
        <v>14.844841083930087</v>
      </c>
      <c r="BZ158" t="s">
        <v>57</v>
      </c>
      <c r="CA158">
        <v>0.61</v>
      </c>
      <c r="CB158">
        <v>-0.06</v>
      </c>
      <c r="CC158">
        <v>0.21</v>
      </c>
      <c r="CD158">
        <v>0.18</v>
      </c>
      <c r="CE158">
        <v>0.12</v>
      </c>
      <c r="CF158">
        <v>0.06</v>
      </c>
      <c r="CG158">
        <v>0.28999999999999998</v>
      </c>
      <c r="CH158">
        <v>0.41</v>
      </c>
      <c r="CI158">
        <v>0.41</v>
      </c>
      <c r="CJ158">
        <v>-0.15</v>
      </c>
      <c r="CM158" s="15"/>
    </row>
    <row r="159" spans="8:97" x14ac:dyDescent="0.2">
      <c r="I159" t="s">
        <v>56</v>
      </c>
      <c r="J159">
        <v>120</v>
      </c>
      <c r="K159" s="9">
        <v>470</v>
      </c>
      <c r="L159" s="9">
        <v>0.2</v>
      </c>
      <c r="M159" s="13"/>
      <c r="N159" s="13"/>
      <c r="O159">
        <v>0</v>
      </c>
      <c r="P159">
        <v>0</v>
      </c>
      <c r="Q159">
        <f t="shared" si="59"/>
        <v>0</v>
      </c>
      <c r="R159">
        <v>1</v>
      </c>
      <c r="S159">
        <f t="shared" si="60"/>
        <v>1</v>
      </c>
      <c r="Z159">
        <f t="shared" si="61"/>
        <v>7.8818316516000015</v>
      </c>
      <c r="AA159">
        <f>(Z159 * (1 -AL$141) + (0.04 * Z159)) * ( 1 - AY$141 )</f>
        <v>3.5751988371657606</v>
      </c>
      <c r="AB159">
        <f>AA159 * AW$141 * AS$141 * AU$141 * AX$141</f>
        <v>0</v>
      </c>
      <c r="AC159">
        <f>AA159 * AW$141 * AT$141 * AV$141 * AX$141</f>
        <v>2.1198126148504622E-3</v>
      </c>
      <c r="AD159">
        <f>J159*AB159*91.25</f>
        <v>0</v>
      </c>
      <c r="AE159">
        <f>J159*AC159*91.25</f>
        <v>23.211948132612562</v>
      </c>
      <c r="BX159" t="s">
        <v>81</v>
      </c>
      <c r="BY159" t="s">
        <v>80</v>
      </c>
      <c r="BZ159" t="s">
        <v>54</v>
      </c>
      <c r="CA159">
        <v>-0.2</v>
      </c>
      <c r="CB159">
        <v>0.02</v>
      </c>
      <c r="CC159">
        <v>0.24</v>
      </c>
      <c r="CD159">
        <v>0.3</v>
      </c>
      <c r="CE159">
        <v>0.23</v>
      </c>
      <c r="CF159">
        <v>-0.05</v>
      </c>
      <c r="CG159">
        <v>0.34</v>
      </c>
      <c r="CH159">
        <v>0.3</v>
      </c>
      <c r="CI159">
        <v>0.56999999999999995</v>
      </c>
      <c r="CJ159">
        <v>0.52</v>
      </c>
      <c r="CM159" s="15"/>
    </row>
    <row r="160" spans="8:97" x14ac:dyDescent="0.2">
      <c r="I160" t="s">
        <v>57</v>
      </c>
      <c r="J160">
        <v>130</v>
      </c>
      <c r="K160" s="9">
        <v>480</v>
      </c>
      <c r="L160" s="9">
        <v>0.1</v>
      </c>
      <c r="M160" s="13"/>
      <c r="N160" s="13"/>
      <c r="O160">
        <v>0</v>
      </c>
      <c r="P160">
        <v>0</v>
      </c>
      <c r="Q160">
        <f t="shared" si="59"/>
        <v>0</v>
      </c>
      <c r="R160">
        <v>1</v>
      </c>
      <c r="S160">
        <f t="shared" si="60"/>
        <v>1</v>
      </c>
      <c r="Z160">
        <f t="shared" si="61"/>
        <v>7.8213071555999987</v>
      </c>
      <c r="AA160">
        <f>(Z160 * (1 -AM$141) + (0.04 * Z160)) * ( 1 - AY$141 )</f>
        <v>4.2047347268505595</v>
      </c>
      <c r="AB160">
        <f>AA160 * AW$141 * AS$141 * AU$141 * AX$141</f>
        <v>0</v>
      </c>
      <c r="AC160">
        <f>AA160 * AW$141 * AT$141 * AV$141 * AX$141</f>
        <v>2.4930780418197965E-3</v>
      </c>
      <c r="AD160">
        <f>J160*AB160*91.25</f>
        <v>0</v>
      </c>
      <c r="AE160">
        <f>J160*AC160*91.25</f>
        <v>29.574138271087339</v>
      </c>
      <c r="BZ160" t="s">
        <v>55</v>
      </c>
      <c r="CA160">
        <v>0.62</v>
      </c>
      <c r="CB160">
        <v>0.21</v>
      </c>
      <c r="CC160">
        <v>0.25</v>
      </c>
      <c r="CD160">
        <v>0.32</v>
      </c>
      <c r="CE160">
        <v>0.47</v>
      </c>
      <c r="CF160">
        <v>0.31</v>
      </c>
      <c r="CG160">
        <v>0.14000000000000001</v>
      </c>
      <c r="CH160">
        <v>0.4</v>
      </c>
      <c r="CI160">
        <v>0.26</v>
      </c>
      <c r="CJ160">
        <v>0.43</v>
      </c>
    </row>
    <row r="161" spans="8:91" x14ac:dyDescent="0.2">
      <c r="H161" t="s">
        <v>47</v>
      </c>
      <c r="I161" t="s">
        <v>54</v>
      </c>
      <c r="J161">
        <v>50</v>
      </c>
      <c r="K161" s="9">
        <v>470</v>
      </c>
      <c r="L161" s="9">
        <v>0.3</v>
      </c>
      <c r="M161" s="13"/>
      <c r="N161" s="13"/>
      <c r="O161">
        <v>1</v>
      </c>
      <c r="P161">
        <v>0</v>
      </c>
      <c r="Q161">
        <f t="shared" si="59"/>
        <v>1</v>
      </c>
      <c r="R161">
        <v>1.3</v>
      </c>
      <c r="S161">
        <f t="shared" si="60"/>
        <v>1.3</v>
      </c>
      <c r="Z161">
        <f t="shared" si="61"/>
        <v>10.477602046080001</v>
      </c>
      <c r="AA161">
        <f>(Z161 * (1 -AJ$141) + (0.04 * Z161)) * ( 1 - AY$141 )</f>
        <v>3.872521716231168</v>
      </c>
      <c r="AB161">
        <f>AA161 * AW$141 * AS$141 * AU$141 * AX$141</f>
        <v>0</v>
      </c>
      <c r="AC161">
        <f>AA161 * AW$141 * AT$141 * AV$141 * AX$141</f>
        <v>2.2961017720225302E-3</v>
      </c>
      <c r="AD161">
        <f>J161*AB161*91.25</f>
        <v>0</v>
      </c>
      <c r="AE161">
        <f>J161*AC161*91.25</f>
        <v>10.475964334852794</v>
      </c>
      <c r="BZ161" t="s">
        <v>56</v>
      </c>
      <c r="CA161">
        <v>0.4</v>
      </c>
      <c r="CB161">
        <v>0.13</v>
      </c>
      <c r="CC161">
        <v>0.12</v>
      </c>
      <c r="CD161">
        <v>0.27</v>
      </c>
      <c r="CE161">
        <v>0.3</v>
      </c>
      <c r="CF161">
        <v>0.08</v>
      </c>
      <c r="CG161">
        <v>0.13</v>
      </c>
      <c r="CH161">
        <v>0.24</v>
      </c>
      <c r="CI161">
        <v>0.15</v>
      </c>
      <c r="CJ161">
        <v>0.21</v>
      </c>
    </row>
    <row r="162" spans="8:91" x14ac:dyDescent="0.2">
      <c r="I162" t="s">
        <v>55</v>
      </c>
      <c r="J162">
        <v>55</v>
      </c>
      <c r="K162" s="9">
        <v>480</v>
      </c>
      <c r="L162" s="9">
        <v>0.4</v>
      </c>
      <c r="M162" s="13"/>
      <c r="N162" s="13"/>
      <c r="O162">
        <v>0</v>
      </c>
      <c r="P162">
        <v>1</v>
      </c>
      <c r="Q162">
        <f t="shared" si="59"/>
        <v>1</v>
      </c>
      <c r="R162">
        <v>1.1000000000000001</v>
      </c>
      <c r="S162">
        <f t="shared" si="60"/>
        <v>1.1000000000000001</v>
      </c>
      <c r="Z162">
        <f t="shared" si="61"/>
        <v>9.1946867601599997</v>
      </c>
      <c r="AA162">
        <f>(Z162 * (1 -AK$141) + (0.04 * Z162)) * ( 1 - AY$141 )</f>
        <v>2.6260025387016959</v>
      </c>
      <c r="AB162">
        <f>AA162 * AW$141 * AS$141 * AU$141 * AX$141</f>
        <v>0</v>
      </c>
      <c r="AC162">
        <f>AA162 * AW$141 * AT$141 * AV$141 * AX$141</f>
        <v>1.5570136268510716E-3</v>
      </c>
      <c r="AD162">
        <f>J162*AB162*91.25</f>
        <v>0</v>
      </c>
      <c r="AE162">
        <f>J162*AC162*91.25</f>
        <v>7.8142621397588155</v>
      </c>
      <c r="BZ162" t="s">
        <v>57</v>
      </c>
      <c r="CA162">
        <v>0.08</v>
      </c>
      <c r="CB162">
        <v>0.04</v>
      </c>
      <c r="CC162">
        <v>0.06</v>
      </c>
      <c r="CD162">
        <v>0.18</v>
      </c>
      <c r="CE162">
        <v>0.11</v>
      </c>
      <c r="CF162">
        <v>-7.0000000000000007E-2</v>
      </c>
      <c r="CG162">
        <v>0.13</v>
      </c>
      <c r="CH162">
        <v>0.16</v>
      </c>
      <c r="CI162">
        <v>0.4</v>
      </c>
      <c r="CJ162">
        <v>0.33</v>
      </c>
    </row>
    <row r="163" spans="8:91" x14ac:dyDescent="0.2">
      <c r="I163" t="s">
        <v>56</v>
      </c>
      <c r="J163">
        <v>60</v>
      </c>
      <c r="K163" s="9">
        <v>490</v>
      </c>
      <c r="L163" s="9">
        <v>0.5</v>
      </c>
      <c r="M163" s="13"/>
      <c r="N163" s="13"/>
      <c r="O163">
        <v>0</v>
      </c>
      <c r="P163">
        <v>0</v>
      </c>
      <c r="Q163">
        <f t="shared" si="59"/>
        <v>0</v>
      </c>
      <c r="R163">
        <v>1</v>
      </c>
      <c r="S163">
        <f t="shared" si="60"/>
        <v>1</v>
      </c>
      <c r="Z163">
        <f t="shared" si="61"/>
        <v>8.6603072656000002</v>
      </c>
      <c r="AA163">
        <f>(Z163 * (1 -AL$141) + (0.04 * Z163)) * ( 1 - AY$141 )</f>
        <v>3.9283153756761604</v>
      </c>
      <c r="AB163">
        <f>AA163 * AW$141 * AS$141 * AU$141 * AX$141</f>
        <v>0</v>
      </c>
      <c r="AC163">
        <f>AA163 * AW$141 * AT$141 * AV$141 * AX$141</f>
        <v>2.3291830378505103E-3</v>
      </c>
      <c r="AD163">
        <f>J163*AB163*91.25</f>
        <v>0</v>
      </c>
      <c r="AE163">
        <f>J163*AC163*91.25</f>
        <v>12.752277132231542</v>
      </c>
    </row>
    <row r="164" spans="8:91" x14ac:dyDescent="0.2">
      <c r="I164" t="s">
        <v>57</v>
      </c>
      <c r="J164">
        <v>65</v>
      </c>
      <c r="K164" s="9">
        <v>500</v>
      </c>
      <c r="L164" s="9">
        <v>0.6</v>
      </c>
      <c r="M164" s="13"/>
      <c r="N164" s="13"/>
      <c r="O164">
        <v>0</v>
      </c>
      <c r="P164">
        <v>0</v>
      </c>
      <c r="Q164">
        <f t="shared" si="59"/>
        <v>0</v>
      </c>
      <c r="R164">
        <v>1</v>
      </c>
      <c r="S164">
        <f t="shared" si="60"/>
        <v>1</v>
      </c>
      <c r="Z164">
        <f t="shared" si="61"/>
        <v>8.9640360000000019</v>
      </c>
      <c r="AA164">
        <f>(Z164 * (1 -AM$141) + (0.04 * Z164)) * ( 1 - AY$141 )</f>
        <v>4.8190657536000003</v>
      </c>
      <c r="AB164">
        <f>AA164 * AW$141 * AS$141 * AU$141 * AX$141</f>
        <v>0</v>
      </c>
      <c r="AC164">
        <f>AA164 * AW$141 * AT$141 * AV$141 * AX$141</f>
        <v>2.8573281771297177E-3</v>
      </c>
      <c r="AD164">
        <f>J164*AB164*91.25</f>
        <v>0</v>
      </c>
      <c r="AE164">
        <f>J164*AC164*91.25</f>
        <v>16.947527750600639</v>
      </c>
    </row>
    <row r="165" spans="8:91" x14ac:dyDescent="0.2">
      <c r="H165" t="s">
        <v>48</v>
      </c>
      <c r="I165" t="s">
        <v>54</v>
      </c>
      <c r="J165">
        <v>200</v>
      </c>
      <c r="K165" s="9">
        <v>70</v>
      </c>
      <c r="L165" s="9">
        <v>0.7</v>
      </c>
      <c r="M165" s="13"/>
      <c r="N165" s="13"/>
      <c r="O165" s="13"/>
      <c r="P165">
        <v>0</v>
      </c>
      <c r="S165">
        <v>1</v>
      </c>
      <c r="Z165">
        <f t="shared" si="61"/>
        <v>2.9260155136000003</v>
      </c>
      <c r="AA165">
        <f>(Z165 * (1 -AJ$141) + (0.04 * Z165)) * ( 1 - AY$141 )</f>
        <v>1.08145533382656</v>
      </c>
      <c r="AB165">
        <f>AA165 * AW$141 * AS$141 * AU$141 * AX$141</f>
        <v>0</v>
      </c>
      <c r="AC165">
        <f>AA165 * AW$141 * AT$141 * AV$141 * AX$141</f>
        <v>6.4121822686097807E-4</v>
      </c>
      <c r="AD165">
        <f>J165*AB165*91.25</f>
        <v>0</v>
      </c>
      <c r="AE165">
        <f>J165*AC165*91.25</f>
        <v>11.70223264021285</v>
      </c>
    </row>
    <row r="166" spans="8:91" x14ac:dyDescent="0.2">
      <c r="I166" t="s">
        <v>55</v>
      </c>
      <c r="J166">
        <v>130</v>
      </c>
      <c r="K166" s="9">
        <v>75</v>
      </c>
      <c r="L166" s="9">
        <v>0.8</v>
      </c>
      <c r="M166" s="13"/>
      <c r="N166" s="13"/>
      <c r="O166" s="13"/>
      <c r="P166" s="13"/>
      <c r="S166">
        <v>1</v>
      </c>
      <c r="Z166">
        <f t="shared" si="61"/>
        <v>3.107728265625</v>
      </c>
      <c r="AA166">
        <f>(Z166 * (1 -AK$141) + (0.04 * Z166)) * ( 1 - AY$141 )</f>
        <v>0.88756719266250006</v>
      </c>
      <c r="AB166">
        <f>AA166 * AW$141 * AS$141 * AU$141 * AX$141</f>
        <v>0</v>
      </c>
      <c r="AC166">
        <f>AA166 * AW$141 * AT$141 * AV$141 * AX$141</f>
        <v>5.2625775998095775E-4</v>
      </c>
      <c r="AD166">
        <f>J166*AB166*91.25</f>
        <v>0</v>
      </c>
      <c r="AE166">
        <f>J166*AC166*91.25</f>
        <v>6.2427326777741108</v>
      </c>
      <c r="BX166" t="s">
        <v>139</v>
      </c>
    </row>
    <row r="167" spans="8:91" x14ac:dyDescent="0.2">
      <c r="I167" t="s">
        <v>56</v>
      </c>
      <c r="J167">
        <v>250</v>
      </c>
      <c r="K167" s="9">
        <v>100</v>
      </c>
      <c r="L167" s="9">
        <v>0.9</v>
      </c>
      <c r="M167" s="13"/>
      <c r="N167" s="13"/>
      <c r="O167" s="13"/>
      <c r="P167" s="13"/>
      <c r="S167">
        <v>1</v>
      </c>
      <c r="Z167">
        <f t="shared" si="61"/>
        <v>3.5967122500000004</v>
      </c>
      <c r="AA167">
        <f>(Z167 * (1 -AL$141) + (0.04 * Z167)) * ( 1 - AY$141 )</f>
        <v>1.6314686766000002</v>
      </c>
      <c r="AB167">
        <f>AA167 * AW$141 * AS$141 * AU$141 * AX$141</f>
        <v>0</v>
      </c>
      <c r="AC167">
        <f>AA167 * AW$141 * AT$141 * AV$141 * AX$141</f>
        <v>9.6733301807955458E-4</v>
      </c>
      <c r="AD167">
        <f>J167*AB167*91.25</f>
        <v>0</v>
      </c>
      <c r="AE167">
        <f>J167*AC167*91.25</f>
        <v>22.067284474939839</v>
      </c>
      <c r="BX167" t="s">
        <v>138</v>
      </c>
    </row>
    <row r="168" spans="8:91" x14ac:dyDescent="0.2">
      <c r="I168" t="s">
        <v>57</v>
      </c>
      <c r="J168">
        <v>150</v>
      </c>
      <c r="K168" s="9">
        <v>105</v>
      </c>
      <c r="L168" s="9">
        <v>1</v>
      </c>
      <c r="M168" s="13"/>
      <c r="N168" s="13"/>
      <c r="O168" s="13"/>
      <c r="P168" s="13"/>
      <c r="S168">
        <v>1</v>
      </c>
      <c r="Z168">
        <f t="shared" si="61"/>
        <v>3.7948403612249999</v>
      </c>
      <c r="AA168">
        <f>(Z168 * (1 -AM$141) + (0.04 * Z168)) * ( 1 - AY$141 )</f>
        <v>2.0401061781945597</v>
      </c>
      <c r="AB168">
        <f>AA168 * AW$141 * AS$141 * AU$141 * AX$141</f>
        <v>0</v>
      </c>
      <c r="AC168">
        <f>AA168 * AW$141 * AT$141 * AV$141 * AX$141</f>
        <v>1.2096230193450034E-3</v>
      </c>
      <c r="AD168">
        <f>J168*AB168*91.25</f>
        <v>0</v>
      </c>
      <c r="AE168">
        <f>J168*AC168*91.25</f>
        <v>16.556715077284736</v>
      </c>
    </row>
    <row r="169" spans="8:91" x14ac:dyDescent="0.2">
      <c r="H169" t="s">
        <v>49</v>
      </c>
      <c r="I169" t="s">
        <v>54</v>
      </c>
      <c r="J169">
        <v>20</v>
      </c>
      <c r="K169" s="9">
        <v>350</v>
      </c>
      <c r="L169" s="9">
        <v>1.1000000000000001</v>
      </c>
      <c r="M169" s="13"/>
      <c r="N169" s="13"/>
      <c r="O169" s="13"/>
      <c r="P169" s="13"/>
      <c r="S169">
        <v>1</v>
      </c>
      <c r="Z169">
        <f t="shared" si="61"/>
        <v>7.8512039999999974</v>
      </c>
      <c r="AA169">
        <f>(Z169 * (1 -AJ$141) + (0.04 * Z169)) * ( 1 - AY$141 )</f>
        <v>2.9018049983999994</v>
      </c>
      <c r="AB169">
        <f>AA169 * AW$141 * AS$141 * AU$141 * AX$141</f>
        <v>0</v>
      </c>
      <c r="AC169">
        <f>AA169 * AW$141 * AT$141 * AV$141 * AX$141</f>
        <v>1.7205428625393249E-3</v>
      </c>
      <c r="AD169">
        <f>J169*AB169*91.25</f>
        <v>0</v>
      </c>
      <c r="AE169">
        <f>J169*AC169*91.25</f>
        <v>3.1399907241342682</v>
      </c>
      <c r="BZ169" s="2"/>
      <c r="CA169" s="4" t="s">
        <v>42</v>
      </c>
      <c r="CB169" s="4" t="s">
        <v>43</v>
      </c>
      <c r="CC169" s="4" t="s">
        <v>44</v>
      </c>
      <c r="CD169" s="5" t="s">
        <v>45</v>
      </c>
      <c r="CE169" s="4" t="s">
        <v>46</v>
      </c>
      <c r="CF169" s="4" t="s">
        <v>47</v>
      </c>
      <c r="CG169" s="4" t="s">
        <v>48</v>
      </c>
      <c r="CH169" s="4" t="s">
        <v>49</v>
      </c>
      <c r="CI169" s="4" t="s">
        <v>50</v>
      </c>
      <c r="CJ169" s="4" t="s">
        <v>51</v>
      </c>
    </row>
    <row r="170" spans="8:91" x14ac:dyDescent="0.2">
      <c r="I170" t="s">
        <v>55</v>
      </c>
      <c r="J170">
        <v>30</v>
      </c>
      <c r="K170" s="9">
        <v>360</v>
      </c>
      <c r="L170" s="9">
        <v>1.2</v>
      </c>
      <c r="M170" s="13"/>
      <c r="N170" s="13"/>
      <c r="O170" s="13"/>
      <c r="P170" s="13"/>
      <c r="S170">
        <v>1</v>
      </c>
      <c r="Z170">
        <f t="shared" si="61"/>
        <v>8.1821169936000011</v>
      </c>
      <c r="AA170">
        <f>(Z170 * (1 -AK$141) + (0.04 * Z170)) * ( 1 - AY$141 )</f>
        <v>2.3368126133721603</v>
      </c>
      <c r="AB170">
        <f>AA170 * AW$141 * AS$141 * AU$141 * AX$141</f>
        <v>0</v>
      </c>
      <c r="AC170">
        <f>AA170 * AW$141 * AT$141 * AV$141 * AX$141</f>
        <v>1.3855466736208025E-3</v>
      </c>
      <c r="AD170">
        <f>J170*AB170*91.25</f>
        <v>0</v>
      </c>
      <c r="AE170">
        <f>J170*AC170*91.25</f>
        <v>3.7929340190369465</v>
      </c>
      <c r="BZ170" s="2" t="s">
        <v>53</v>
      </c>
      <c r="CA170" s="14">
        <v>700</v>
      </c>
      <c r="CB170">
        <v>700</v>
      </c>
      <c r="CC170">
        <v>600</v>
      </c>
      <c r="CD170">
        <v>500</v>
      </c>
      <c r="CE170">
        <v>500</v>
      </c>
      <c r="CF170">
        <v>500</v>
      </c>
      <c r="CG170">
        <v>500</v>
      </c>
      <c r="CH170" s="2">
        <v>600</v>
      </c>
      <c r="CI170" s="2">
        <v>600</v>
      </c>
      <c r="CJ170" s="2">
        <v>600</v>
      </c>
    </row>
    <row r="171" spans="8:91" x14ac:dyDescent="0.2">
      <c r="I171" t="s">
        <v>56</v>
      </c>
      <c r="J171">
        <v>60</v>
      </c>
      <c r="K171" s="9">
        <v>350</v>
      </c>
      <c r="L171" s="9">
        <v>1.3</v>
      </c>
      <c r="M171" s="13"/>
      <c r="N171" s="13"/>
      <c r="O171" s="13"/>
      <c r="P171" s="13"/>
      <c r="S171">
        <v>1</v>
      </c>
      <c r="Z171">
        <f t="shared" si="61"/>
        <v>8.2082249999999988</v>
      </c>
      <c r="AA171">
        <f>(Z171 * (1 -AL$141) + (0.04 * Z171)) * ( 1 - AY$141 )</f>
        <v>3.7232508599999994</v>
      </c>
      <c r="AB171">
        <f>AA171 * AW$141 * AS$141 * AU$141 * AX$141</f>
        <v>0</v>
      </c>
      <c r="AC171">
        <f>AA171 * AW$141 * AT$141 * AV$141 * AX$141</f>
        <v>2.2075958571125759E-3</v>
      </c>
      <c r="AD171">
        <f>J171*AB171*91.25</f>
        <v>0</v>
      </c>
      <c r="AE171">
        <f>J171*AC171*91.25</f>
        <v>12.086587317691354</v>
      </c>
      <c r="BZ171" s="2" t="s">
        <v>73</v>
      </c>
      <c r="CA171" s="14">
        <v>770</v>
      </c>
      <c r="CB171">
        <v>770</v>
      </c>
      <c r="CC171">
        <v>660</v>
      </c>
      <c r="CD171">
        <v>550</v>
      </c>
      <c r="CE171">
        <v>550</v>
      </c>
      <c r="CF171">
        <v>550</v>
      </c>
      <c r="CG171">
        <v>550</v>
      </c>
      <c r="CH171" s="2">
        <v>660</v>
      </c>
      <c r="CI171" s="2">
        <v>660</v>
      </c>
      <c r="CJ171" s="2">
        <v>660</v>
      </c>
    </row>
    <row r="172" spans="8:91" x14ac:dyDescent="0.2">
      <c r="I172" t="s">
        <v>57</v>
      </c>
      <c r="J172">
        <v>30</v>
      </c>
      <c r="K172" s="9">
        <v>340</v>
      </c>
      <c r="L172" s="9">
        <v>1.4</v>
      </c>
      <c r="M172" s="13"/>
      <c r="N172" s="13"/>
      <c r="O172" s="13"/>
      <c r="P172" s="13"/>
      <c r="S172">
        <v>1</v>
      </c>
      <c r="Z172">
        <f t="shared" si="61"/>
        <v>8.2313905215999998</v>
      </c>
      <c r="AA172">
        <f>(Z172 * (1 -AM$141) + (0.04 * Z172)) * ( 1 - AY$141 )</f>
        <v>4.4251955444121602</v>
      </c>
      <c r="AB172">
        <f>AA172 * AW$141 * AS$141 * AU$141 * AX$141</f>
        <v>0</v>
      </c>
      <c r="AC172">
        <f>AA172 * AW$141 * AT$141 * AV$141 * AX$141</f>
        <v>2.6237940225057291E-3</v>
      </c>
      <c r="AD172">
        <f>J172*AB172*91.25</f>
        <v>0</v>
      </c>
      <c r="AE172">
        <f>J172*AC172*91.25</f>
        <v>7.1826361366094327</v>
      </c>
      <c r="BZ172" s="2" t="s">
        <v>92</v>
      </c>
      <c r="CA172" s="14">
        <v>770</v>
      </c>
      <c r="CB172">
        <v>770</v>
      </c>
      <c r="CC172">
        <v>660</v>
      </c>
      <c r="CD172">
        <v>550</v>
      </c>
      <c r="CE172">
        <v>550</v>
      </c>
      <c r="CF172">
        <v>550</v>
      </c>
      <c r="CG172">
        <v>550</v>
      </c>
      <c r="CH172" s="2">
        <v>660</v>
      </c>
      <c r="CI172" s="2">
        <v>660</v>
      </c>
      <c r="CJ172" s="2">
        <v>660</v>
      </c>
      <c r="CM172" s="14">
        <v>7.0070060050050004E+20</v>
      </c>
    </row>
    <row r="173" spans="8:91" x14ac:dyDescent="0.2">
      <c r="H173" t="s">
        <v>50</v>
      </c>
      <c r="I173" t="s">
        <v>54</v>
      </c>
      <c r="J173">
        <v>100</v>
      </c>
      <c r="K173" s="9">
        <v>400</v>
      </c>
      <c r="L173" s="9">
        <v>0.4</v>
      </c>
      <c r="M173" s="13"/>
      <c r="N173" s="13"/>
      <c r="O173" s="13"/>
      <c r="P173" s="13"/>
      <c r="S173">
        <v>1</v>
      </c>
      <c r="Z173">
        <f t="shared" si="61"/>
        <v>7.3495209999999993</v>
      </c>
      <c r="AA173">
        <f>(Z173 * (1 -AJ$141) + (0.04 * Z173)) * ( 1 - AY$141 )</f>
        <v>2.7163829615999999</v>
      </c>
      <c r="AB173">
        <f>AA173 * AW$141 * AS$141 * AU$141 * AX$141</f>
        <v>0</v>
      </c>
      <c r="AC173">
        <f>AA173 * AW$141 * AT$141 * AV$141 * AX$141</f>
        <v>1.6106021318046105E-3</v>
      </c>
      <c r="AD173">
        <f>J173*AB173*91.25</f>
        <v>0</v>
      </c>
      <c r="AE173">
        <f>J173*AC173*91.25</f>
        <v>14.69674445271707</v>
      </c>
      <c r="BZ173" s="2" t="s">
        <v>93</v>
      </c>
      <c r="CA173" s="14">
        <v>770</v>
      </c>
      <c r="CB173">
        <v>770</v>
      </c>
      <c r="CC173">
        <v>660</v>
      </c>
      <c r="CD173">
        <v>550</v>
      </c>
      <c r="CE173">
        <v>550</v>
      </c>
      <c r="CF173">
        <v>550</v>
      </c>
      <c r="CG173">
        <v>550</v>
      </c>
      <c r="CH173" s="2">
        <v>660</v>
      </c>
      <c r="CI173" s="2">
        <v>660</v>
      </c>
      <c r="CJ173" s="2">
        <v>660</v>
      </c>
      <c r="CM173" s="14">
        <v>7.7077066055054996E+20</v>
      </c>
    </row>
    <row r="174" spans="8:91" x14ac:dyDescent="0.2">
      <c r="I174" t="s">
        <v>55</v>
      </c>
      <c r="J174">
        <v>110</v>
      </c>
      <c r="K174" s="9">
        <v>410</v>
      </c>
      <c r="L174" s="9">
        <v>0.3</v>
      </c>
      <c r="M174" s="13"/>
      <c r="N174" s="13"/>
      <c r="O174" s="13"/>
      <c r="P174" s="13"/>
      <c r="S174">
        <v>1</v>
      </c>
      <c r="Z174">
        <f t="shared" si="61"/>
        <v>7.3107507456000027</v>
      </c>
      <c r="AA174">
        <f>(Z174 * (1 -AK$141) + (0.04 * Z174)) * ( 1 - AY$141 )</f>
        <v>2.087950412943361</v>
      </c>
      <c r="AB174">
        <f>AA174 * AW$141 * AS$141 * AU$141 * AX$141</f>
        <v>0</v>
      </c>
      <c r="AC174">
        <f>AA174 * AW$141 * AT$141 * AV$141 * AX$141</f>
        <v>1.2379908995630384E-3</v>
      </c>
      <c r="AD174">
        <f>J174*AB174*91.25</f>
        <v>0</v>
      </c>
      <c r="AE174">
        <f>J174*AC174*91.25</f>
        <v>12.426333654363997</v>
      </c>
      <c r="BZ174" s="2" t="s">
        <v>94</v>
      </c>
      <c r="CA174" s="14">
        <v>770</v>
      </c>
      <c r="CB174">
        <v>770</v>
      </c>
      <c r="CC174">
        <v>660</v>
      </c>
      <c r="CD174">
        <v>550</v>
      </c>
      <c r="CE174">
        <v>550</v>
      </c>
      <c r="CF174">
        <v>550</v>
      </c>
      <c r="CG174">
        <v>550</v>
      </c>
      <c r="CH174" s="2">
        <v>660</v>
      </c>
      <c r="CI174" s="2">
        <v>660</v>
      </c>
      <c r="CJ174" s="2">
        <v>660</v>
      </c>
      <c r="CM174" s="14">
        <v>7.7077066055054996E+20</v>
      </c>
    </row>
    <row r="175" spans="8:91" x14ac:dyDescent="0.2">
      <c r="I175" t="s">
        <v>56</v>
      </c>
      <c r="J175">
        <v>120</v>
      </c>
      <c r="K175" s="9">
        <v>420</v>
      </c>
      <c r="L175" s="9">
        <v>0.2</v>
      </c>
      <c r="M175" s="13"/>
      <c r="N175" s="13"/>
      <c r="O175" s="13"/>
      <c r="P175" s="13"/>
      <c r="S175">
        <v>1</v>
      </c>
      <c r="Z175">
        <f t="shared" si="61"/>
        <v>7.2692787456000021</v>
      </c>
      <c r="AA175">
        <f>(Z175 * (1 -AL$141) + (0.04 * Z175)) * ( 1 - AY$141 )</f>
        <v>3.2973448390041611</v>
      </c>
      <c r="AB175">
        <f>AA175 * AW$141 * AS$141 * AU$141 * AX$141</f>
        <v>0</v>
      </c>
      <c r="AC175">
        <f>AA175 * AW$141 * AT$141 * AV$141 * AX$141</f>
        <v>1.9550669776940898E-3</v>
      </c>
      <c r="AD175">
        <f>J175*AB175*91.25</f>
        <v>0</v>
      </c>
      <c r="AE175">
        <f>J175*AC175*91.25</f>
        <v>21.407983405750283</v>
      </c>
      <c r="BZ175" s="2" t="s">
        <v>95</v>
      </c>
      <c r="CA175" s="14">
        <v>770</v>
      </c>
      <c r="CB175">
        <v>770</v>
      </c>
      <c r="CC175">
        <v>660</v>
      </c>
      <c r="CD175">
        <v>550</v>
      </c>
      <c r="CE175">
        <v>550</v>
      </c>
      <c r="CF175">
        <v>550</v>
      </c>
      <c r="CG175">
        <v>550</v>
      </c>
      <c r="CH175" s="2">
        <v>660</v>
      </c>
      <c r="CI175" s="2">
        <v>660</v>
      </c>
      <c r="CJ175" s="2">
        <v>660</v>
      </c>
      <c r="CM175" s="14">
        <v>7.7077066055054996E+20</v>
      </c>
    </row>
    <row r="176" spans="8:91" x14ac:dyDescent="0.2">
      <c r="I176" t="s">
        <v>57</v>
      </c>
      <c r="J176">
        <v>130</v>
      </c>
      <c r="K176" s="9">
        <v>430</v>
      </c>
      <c r="L176" s="9">
        <v>0.6</v>
      </c>
      <c r="M176" s="13"/>
      <c r="N176" s="13"/>
      <c r="O176" s="13"/>
      <c r="P176" s="13"/>
      <c r="S176">
        <v>1</v>
      </c>
      <c r="Z176">
        <f t="shared" si="61"/>
        <v>8.0966426116000001</v>
      </c>
      <c r="AA176">
        <f>(Z176 * (1 -AM$141) + (0.04 * Z176)) * ( 1 - AY$141 )</f>
        <v>4.35275506799616</v>
      </c>
      <c r="AB176">
        <f>AA176 * AW$141 * AS$141 * AU$141 * AX$141</f>
        <v>0</v>
      </c>
      <c r="AC176">
        <f>AA176 * AW$141 * AT$141 * AV$141 * AX$141</f>
        <v>2.580842499324392E-3</v>
      </c>
      <c r="AD176">
        <f>J176*AB176*91.25</f>
        <v>0</v>
      </c>
      <c r="AE176">
        <f>J176*AC176*91.25</f>
        <v>30.6152441482356</v>
      </c>
      <c r="BZ176" s="2" t="s">
        <v>65</v>
      </c>
      <c r="CA176" s="14">
        <v>770</v>
      </c>
      <c r="CB176">
        <v>770</v>
      </c>
      <c r="CC176">
        <v>660</v>
      </c>
      <c r="CD176">
        <v>550</v>
      </c>
      <c r="CE176">
        <v>550</v>
      </c>
      <c r="CF176">
        <v>550</v>
      </c>
      <c r="CG176">
        <v>550</v>
      </c>
      <c r="CH176" s="2">
        <v>660</v>
      </c>
      <c r="CI176" s="2">
        <v>660</v>
      </c>
      <c r="CJ176" s="2">
        <v>660</v>
      </c>
      <c r="CM176" s="14">
        <v>7.7077066055054996E+20</v>
      </c>
    </row>
    <row r="177" spans="8:91" x14ac:dyDescent="0.2">
      <c r="H177" t="s">
        <v>51</v>
      </c>
      <c r="I177" t="s">
        <v>54</v>
      </c>
      <c r="J177">
        <v>50</v>
      </c>
      <c r="K177" s="9">
        <v>400</v>
      </c>
      <c r="L177" s="9">
        <v>0.5</v>
      </c>
      <c r="M177" s="13"/>
      <c r="N177" s="13"/>
      <c r="O177" s="13"/>
      <c r="P177" s="13"/>
      <c r="S177">
        <v>1</v>
      </c>
      <c r="Z177">
        <f t="shared" si="61"/>
        <v>7.5213062500000012</v>
      </c>
      <c r="AA177">
        <f>(Z177 * (1 -AJ$141) + (0.04 * Z177)) * ( 1 - AY$141 )</f>
        <v>2.7798747900000005</v>
      </c>
      <c r="AB177">
        <f>AA177 * AW$141 * AS$141 * AU$141 * AX$141</f>
        <v>0</v>
      </c>
      <c r="AC177">
        <f>AA177 * AW$141 * AT$141 * AV$141 * AX$141</f>
        <v>1.6482478082864641E-3</v>
      </c>
      <c r="AD177">
        <f>J177*AB177*91.25</f>
        <v>0</v>
      </c>
      <c r="AE177">
        <f>J177*AC177*91.25</f>
        <v>7.5201306253069919</v>
      </c>
      <c r="CM177" s="14">
        <v>7.7077066055054996E+20</v>
      </c>
    </row>
    <row r="178" spans="8:91" x14ac:dyDescent="0.2">
      <c r="I178" t="s">
        <v>55</v>
      </c>
      <c r="J178">
        <v>55</v>
      </c>
      <c r="K178" s="9">
        <v>420</v>
      </c>
      <c r="L178" s="9">
        <v>0.5</v>
      </c>
      <c r="M178" s="13"/>
      <c r="N178" s="13"/>
      <c r="O178" s="13"/>
      <c r="P178" s="13"/>
      <c r="S178">
        <v>1</v>
      </c>
      <c r="Z178">
        <f t="shared" si="61"/>
        <v>7.7877832356000019</v>
      </c>
      <c r="AA178">
        <f>(Z178 * (1 -AK$141) + (0.04 * Z178)) * ( 1 - AY$141 )</f>
        <v>2.2241908920873605</v>
      </c>
      <c r="AB178">
        <f>AA178 * AW$141 * AS$141 * AU$141 * AX$141</f>
        <v>0</v>
      </c>
      <c r="AC178">
        <f>AA178 * AW$141 * AT$141 * AV$141 * AX$141</f>
        <v>1.3187708224418652E-3</v>
      </c>
      <c r="AD178">
        <f>J178*AB178*91.25</f>
        <v>0</v>
      </c>
      <c r="AE178">
        <f>J178*AC178*91.25</f>
        <v>6.6185810651301118</v>
      </c>
      <c r="CM178" s="14">
        <v>7.7077066055054996E+20</v>
      </c>
    </row>
    <row r="179" spans="8:91" x14ac:dyDescent="0.2">
      <c r="I179" t="s">
        <v>56</v>
      </c>
      <c r="J179">
        <v>60</v>
      </c>
      <c r="K179" s="9">
        <v>430</v>
      </c>
      <c r="L179" s="9">
        <v>0.5</v>
      </c>
      <c r="M179" s="13"/>
      <c r="N179" s="13"/>
      <c r="O179" s="13"/>
      <c r="P179" s="13"/>
      <c r="S179">
        <v>1</v>
      </c>
      <c r="Z179">
        <f t="shared" si="61"/>
        <v>7.9183708816000014</v>
      </c>
      <c r="AA179">
        <f>(Z179 * (1 -AL$141) + (0.04 * Z179)) * ( 1 - AY$141 )</f>
        <v>3.5917730318937608</v>
      </c>
      <c r="AB179">
        <f>AA179 * AW$141 * AS$141 * AU$141 * AX$141</f>
        <v>0</v>
      </c>
      <c r="AC179">
        <f>AA179 * AW$141 * AT$141 * AV$141 * AX$141</f>
        <v>2.1296398129073001E-3</v>
      </c>
      <c r="AD179">
        <f>J179*AB179*91.25</f>
        <v>0</v>
      </c>
      <c r="AE179">
        <f>J179*AC179*91.25</f>
        <v>11.659777975667469</v>
      </c>
    </row>
    <row r="180" spans="8:91" x14ac:dyDescent="0.2">
      <c r="I180" t="s">
        <v>57</v>
      </c>
      <c r="J180">
        <v>65</v>
      </c>
      <c r="K180" s="9">
        <v>440</v>
      </c>
      <c r="L180" s="9">
        <v>0.5</v>
      </c>
      <c r="M180" s="13"/>
      <c r="N180" s="13"/>
      <c r="O180" s="13"/>
      <c r="P180" s="13"/>
      <c r="S180">
        <v>1</v>
      </c>
      <c r="Z180">
        <f t="shared" si="61"/>
        <v>8.0470938276000012</v>
      </c>
      <c r="AA180">
        <f>(Z180 * (1 -AM$141) + (0.04 * Z180)) * ( 1 - AY$141 )</f>
        <v>4.3261176417177598</v>
      </c>
      <c r="AB180">
        <f>AA180 * AW$141 * AS$141 * AU$141 * AX$141</f>
        <v>0</v>
      </c>
      <c r="AC180">
        <f>AA180 * AW$141 * AT$141 * AV$141 * AX$141</f>
        <v>2.5650485939155208E-3</v>
      </c>
      <c r="AD180">
        <f>J180*AB180*91.25</f>
        <v>0</v>
      </c>
      <c r="AE180">
        <f>J180*AC180*91.25</f>
        <v>15.213944472661431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A19E-DAFF-6F4D-A2EC-7D0A804FFFA7}">
  <dimension ref="A5:BC162"/>
  <sheetViews>
    <sheetView topLeftCell="D6" workbookViewId="0">
      <pane xSplit="4720" ySplit="3080" topLeftCell="D8" activePane="bottomRight"/>
      <selection activeCell="W64" sqref="V63:W64"/>
      <selection pane="topRight" activeCell="O10" sqref="O10"/>
      <selection pane="bottomLeft" activeCell="D52" sqref="D52"/>
      <selection pane="bottomRight" activeCell="M27" sqref="M27"/>
    </sheetView>
  </sheetViews>
  <sheetFormatPr baseColWidth="10" defaultRowHeight="16" x14ac:dyDescent="0.2"/>
  <cols>
    <col min="1" max="1" width="27.33203125" customWidth="1"/>
    <col min="5" max="5" width="13.83203125" customWidth="1"/>
    <col min="14" max="14" width="14" customWidth="1"/>
    <col min="15" max="15" width="15" customWidth="1"/>
    <col min="17" max="17" width="12.1640625" bestFit="1" customWidth="1"/>
    <col min="36" max="36" width="18" customWidth="1"/>
  </cols>
  <sheetData>
    <row r="5" spans="1:55" x14ac:dyDescent="0.2">
      <c r="N5" t="s">
        <v>0</v>
      </c>
      <c r="O5" t="s">
        <v>1</v>
      </c>
      <c r="P5" t="s">
        <v>2</v>
      </c>
      <c r="Q5" t="s">
        <v>3</v>
      </c>
      <c r="S5" t="s">
        <v>4</v>
      </c>
      <c r="AI5" t="s">
        <v>5</v>
      </c>
      <c r="AP5" t="s">
        <v>88</v>
      </c>
      <c r="AQ5" t="s">
        <v>89</v>
      </c>
      <c r="AT5" t="s">
        <v>110</v>
      </c>
      <c r="AU5">
        <v>0.19</v>
      </c>
    </row>
    <row r="6" spans="1:55" ht="68" x14ac:dyDescent="0.2">
      <c r="A6" s="8" t="s">
        <v>119</v>
      </c>
      <c r="G6" t="s">
        <v>6</v>
      </c>
      <c r="L6" t="s">
        <v>13</v>
      </c>
      <c r="M6" t="s">
        <v>14</v>
      </c>
      <c r="N6" t="s">
        <v>15</v>
      </c>
      <c r="O6" t="s">
        <v>16</v>
      </c>
      <c r="P6" t="s">
        <v>19</v>
      </c>
      <c r="Q6" t="s">
        <v>20</v>
      </c>
      <c r="S6" t="s">
        <v>21</v>
      </c>
      <c r="U6" t="s">
        <v>17</v>
      </c>
      <c r="Z6" t="s">
        <v>7</v>
      </c>
      <c r="AB6" t="s">
        <v>8</v>
      </c>
      <c r="AD6" t="s">
        <v>9</v>
      </c>
      <c r="AE6" t="s">
        <v>10</v>
      </c>
      <c r="AF6" t="s">
        <v>18</v>
      </c>
      <c r="AH6" t="s">
        <v>9</v>
      </c>
      <c r="AI6" t="s">
        <v>22</v>
      </c>
      <c r="AO6" t="s">
        <v>84</v>
      </c>
      <c r="AP6">
        <v>0.05</v>
      </c>
      <c r="AQ6">
        <v>0</v>
      </c>
      <c r="AT6" t="s">
        <v>111</v>
      </c>
      <c r="AU6">
        <v>0.6784</v>
      </c>
    </row>
    <row r="7" spans="1:55" x14ac:dyDescent="0.2">
      <c r="G7" t="s">
        <v>23</v>
      </c>
      <c r="H7" t="s">
        <v>11</v>
      </c>
      <c r="I7" t="s">
        <v>12</v>
      </c>
      <c r="L7" t="s">
        <v>23</v>
      </c>
      <c r="M7" t="s">
        <v>24</v>
      </c>
      <c r="N7" t="s">
        <v>25</v>
      </c>
      <c r="O7" t="s">
        <v>25</v>
      </c>
      <c r="P7" t="s">
        <v>25</v>
      </c>
      <c r="Q7" t="s">
        <v>25</v>
      </c>
      <c r="S7" t="s">
        <v>25</v>
      </c>
      <c r="U7" t="s">
        <v>24</v>
      </c>
      <c r="Z7" t="s">
        <v>24</v>
      </c>
      <c r="AB7" t="s">
        <v>24</v>
      </c>
      <c r="AD7" t="s">
        <v>24</v>
      </c>
      <c r="AE7" t="s">
        <v>24</v>
      </c>
      <c r="AF7" t="s">
        <v>24</v>
      </c>
      <c r="AH7" t="s">
        <v>24</v>
      </c>
      <c r="AI7" t="s">
        <v>25</v>
      </c>
      <c r="AO7" t="s">
        <v>85</v>
      </c>
      <c r="AP7">
        <v>0.95</v>
      </c>
      <c r="AQ7">
        <v>1</v>
      </c>
      <c r="AT7" t="s">
        <v>36</v>
      </c>
      <c r="AU7">
        <v>0.16</v>
      </c>
    </row>
    <row r="8" spans="1:55" x14ac:dyDescent="0.2">
      <c r="H8" t="s">
        <v>24</v>
      </c>
      <c r="I8" t="s">
        <v>24</v>
      </c>
      <c r="N8" t="s">
        <v>132</v>
      </c>
      <c r="O8" t="s">
        <v>134</v>
      </c>
      <c r="U8" t="s">
        <v>23</v>
      </c>
      <c r="Z8" t="s">
        <v>23</v>
      </c>
      <c r="AT8" t="s">
        <v>112</v>
      </c>
      <c r="AU8">
        <v>28</v>
      </c>
    </row>
    <row r="9" spans="1:55" x14ac:dyDescent="0.2">
      <c r="H9" t="s">
        <v>23</v>
      </c>
      <c r="I9" t="s">
        <v>23</v>
      </c>
      <c r="N9" t="s">
        <v>133</v>
      </c>
      <c r="O9" t="s">
        <v>135</v>
      </c>
      <c r="U9" t="s">
        <v>35</v>
      </c>
      <c r="Z9" t="s">
        <v>86</v>
      </c>
      <c r="AA9" t="s">
        <v>87</v>
      </c>
    </row>
    <row r="10" spans="1:55" x14ac:dyDescent="0.2">
      <c r="A10" t="s">
        <v>41</v>
      </c>
      <c r="B10" s="9" t="s">
        <v>98</v>
      </c>
      <c r="C10" s="9" t="s">
        <v>64</v>
      </c>
      <c r="D10" s="9" t="s">
        <v>58</v>
      </c>
      <c r="G10" s="9" t="s">
        <v>26</v>
      </c>
      <c r="H10" t="s">
        <v>29</v>
      </c>
      <c r="I10" t="s">
        <v>30</v>
      </c>
      <c r="J10" s="9" t="s">
        <v>122</v>
      </c>
      <c r="K10" s="9" t="s">
        <v>123</v>
      </c>
      <c r="L10" s="13" t="s">
        <v>31</v>
      </c>
      <c r="M10" t="s">
        <v>32</v>
      </c>
      <c r="N10" t="s">
        <v>33</v>
      </c>
      <c r="O10" t="s">
        <v>34</v>
      </c>
      <c r="P10" t="s">
        <v>37</v>
      </c>
      <c r="Q10" t="s">
        <v>83</v>
      </c>
      <c r="R10" t="s">
        <v>82</v>
      </c>
      <c r="S10" t="s">
        <v>113</v>
      </c>
      <c r="T10" t="s">
        <v>114</v>
      </c>
      <c r="U10" t="s">
        <v>54</v>
      </c>
      <c r="V10" t="s">
        <v>55</v>
      </c>
      <c r="W10" t="s">
        <v>56</v>
      </c>
      <c r="X10" t="s">
        <v>57</v>
      </c>
      <c r="Y10" s="9" t="s">
        <v>90</v>
      </c>
      <c r="Z10" t="s">
        <v>84</v>
      </c>
      <c r="AA10" t="s">
        <v>85</v>
      </c>
      <c r="AB10" t="s">
        <v>96</v>
      </c>
      <c r="AC10" t="s">
        <v>97</v>
      </c>
      <c r="AD10" t="s">
        <v>27</v>
      </c>
      <c r="AE10" t="s">
        <v>28</v>
      </c>
      <c r="AF10" t="s">
        <v>36</v>
      </c>
      <c r="AG10" t="s">
        <v>38</v>
      </c>
      <c r="AH10" t="s">
        <v>39</v>
      </c>
      <c r="AI10" s="1" t="s">
        <v>40</v>
      </c>
    </row>
    <row r="11" spans="1:55" x14ac:dyDescent="0.2">
      <c r="A11" s="10" t="s">
        <v>120</v>
      </c>
      <c r="B11" s="10" t="s">
        <v>99</v>
      </c>
      <c r="C11" s="10" t="s">
        <v>53</v>
      </c>
      <c r="D11" s="10" t="s">
        <v>53</v>
      </c>
      <c r="E11" s="10" t="s">
        <v>42</v>
      </c>
      <c r="F11" s="10" t="s">
        <v>54</v>
      </c>
      <c r="G11" s="10">
        <v>100</v>
      </c>
      <c r="H11" s="10" cm="1">
        <f t="array" ref="H11:H14">_xlfn.XLOOKUP(E11, $AR$46:$BA$46, $AR$47:$BA$50)</f>
        <v>80</v>
      </c>
      <c r="I11" s="10" cm="1">
        <f t="array" ref="I11:I14">_xlfn.XLOOKUP(E11, $AR$106:$BA$106, $AR$107:$BA$110)</f>
        <v>0.5</v>
      </c>
      <c r="J11" s="10"/>
      <c r="K11" s="10"/>
      <c r="L11" s="10">
        <v>0</v>
      </c>
      <c r="M11" s="10"/>
      <c r="N11" s="10">
        <v>1</v>
      </c>
      <c r="O11" s="10">
        <f>(1.185 + 0.00454 * H11 - 0.0000026 * H11^2 + 0.315 * I11)^2 * N11</f>
        <v>2.8529236835999998</v>
      </c>
      <c r="P11" s="10">
        <f>(O11 * (1 -U11) + (0.04 * O11)) * ( 1 - AF$11 )</f>
        <v>1.1742633881697597</v>
      </c>
      <c r="Q11" s="11">
        <f>P11 * AD$11 * Z$11 * AB$11 * AE$11</f>
        <v>5.5245616593758213E-5</v>
      </c>
      <c r="R11" s="10">
        <f>P11 * AD$11 * AA$11 * AC$11 * AE$11</f>
        <v>6.6143382058828331E-4</v>
      </c>
      <c r="S11" s="10">
        <f>G11*Q11*91.25</f>
        <v>0.50411625141804373</v>
      </c>
      <c r="T11" s="10">
        <f>G11*R11*91.25</f>
        <v>6.0355836128680851</v>
      </c>
      <c r="U11" s="10" cm="1">
        <f t="array" ref="U11:X11">_xlfn.XLOOKUP(C11,$AT$18:$AT$26,$AU$18:$AX$26)</f>
        <v>0.55000000000000004</v>
      </c>
      <c r="V11" s="10">
        <v>0.65</v>
      </c>
      <c r="W11" s="10">
        <v>0.6</v>
      </c>
      <c r="X11" s="10">
        <v>0.5</v>
      </c>
      <c r="Y11" s="10" t="s">
        <v>91</v>
      </c>
      <c r="Z11" s="10">
        <f>IF(Y11="yes", $AP$6, $AQ$6)</f>
        <v>0.05</v>
      </c>
      <c r="AA11" s="10">
        <f>IF(Y11="yes", $AP$7, $AQ$7)</f>
        <v>0.95</v>
      </c>
      <c r="AB11" s="10">
        <f>VLOOKUP(B11, $BB$17:$BC$26, 2, FALSE)</f>
        <v>7.3000000000000001E-3</v>
      </c>
      <c r="AC11" s="10">
        <f>$BC$14</f>
        <v>4.5999999999999999E-3</v>
      </c>
      <c r="AD11" s="10">
        <f>$AU$5</f>
        <v>0.19</v>
      </c>
      <c r="AE11" s="10">
        <f>$AU$6</f>
        <v>0.6784</v>
      </c>
      <c r="AF11" s="10">
        <f>$AU$7</f>
        <v>0.16</v>
      </c>
      <c r="AG11" s="10">
        <f>SUM(S11:T38)</f>
        <v>253.55531996355981</v>
      </c>
      <c r="AH11" s="10">
        <f>$AU$8</f>
        <v>28</v>
      </c>
      <c r="AI11" s="10">
        <f>AG11 * AH11 * 10^-3</f>
        <v>7.0995489589796748</v>
      </c>
    </row>
    <row r="12" spans="1:55" x14ac:dyDescent="0.2">
      <c r="A12" s="10"/>
      <c r="B12" s="10"/>
      <c r="C12" s="10"/>
      <c r="D12" s="10"/>
      <c r="E12" s="10"/>
      <c r="F12" s="10" t="s">
        <v>55</v>
      </c>
      <c r="G12" s="10">
        <v>110</v>
      </c>
      <c r="H12" s="10">
        <v>170</v>
      </c>
      <c r="I12" s="10">
        <v>1</v>
      </c>
      <c r="J12" s="10"/>
      <c r="K12" s="10"/>
      <c r="L12" s="10"/>
      <c r="M12" s="10"/>
      <c r="N12" s="10">
        <v>1</v>
      </c>
      <c r="O12" s="10">
        <f t="shared" ref="O12:O26" si="0">(1.185 + 0.00454 * H12 - 0.0000026 * H12^2 + 0.315 * I12)^2 * N12</f>
        <v>4.8253151556000002</v>
      </c>
      <c r="P12" s="10">
        <f>(O12 * (1 -V$11) + (0.04 * O12)) * ( 1 - AF$11 )</f>
        <v>1.58077324497456</v>
      </c>
      <c r="Q12" s="11">
        <f t="shared" ref="Q12:Q38" si="1">P12 * AD$11 * Z$11 * AB$11 * AE$11</f>
        <v>7.4370702087247912E-5</v>
      </c>
      <c r="R12" s="10">
        <f>P12 * AD$11 * AA$11 * AC$11 * AE$11</f>
        <v>8.9041087156513257E-4</v>
      </c>
      <c r="S12" s="10">
        <f t="shared" ref="S12:S50" si="2">G12*Q12*91.25</f>
        <v>0.74649592220075089</v>
      </c>
      <c r="T12" s="10">
        <f t="shared" ref="T12:T50" si="3">G12*R12*91.25</f>
        <v>8.9374991233350194</v>
      </c>
      <c r="U12" s="10"/>
      <c r="V12" s="10"/>
      <c r="W12" s="10"/>
      <c r="X12" s="10"/>
      <c r="Y12" s="10"/>
      <c r="Z12" s="10"/>
      <c r="AA12" s="10"/>
      <c r="AB12" s="10"/>
      <c r="AC12" s="10"/>
      <c r="AD12" s="10"/>
      <c r="AE12" s="10"/>
      <c r="AF12" s="10"/>
      <c r="AG12" s="10"/>
      <c r="AH12" s="10"/>
      <c r="AI12" s="10"/>
    </row>
    <row r="13" spans="1:55" x14ac:dyDescent="0.2">
      <c r="A13" s="10"/>
      <c r="B13" s="10"/>
      <c r="C13" s="10"/>
      <c r="D13" s="10"/>
      <c r="E13" s="10"/>
      <c r="F13" s="10" t="s">
        <v>56</v>
      </c>
      <c r="G13" s="10">
        <v>120</v>
      </c>
      <c r="H13" s="10">
        <v>240</v>
      </c>
      <c r="I13" s="10">
        <v>0.8</v>
      </c>
      <c r="J13" s="10"/>
      <c r="K13" s="10"/>
      <c r="L13" s="10"/>
      <c r="M13" s="10"/>
      <c r="N13" s="10">
        <v>1</v>
      </c>
      <c r="O13" s="10">
        <f t="shared" si="0"/>
        <v>5.6493683855999981</v>
      </c>
      <c r="P13" s="10">
        <f>(O13 * (1 -W$11) + (0.04 * O13)) * ( 1 - AF$11 )</f>
        <v>2.0880065553177594</v>
      </c>
      <c r="Q13" s="11">
        <f t="shared" si="1"/>
        <v>9.8234527928296858E-5</v>
      </c>
      <c r="R13" s="10">
        <f>P13 * AD$11 * AA$11 * AC$11 * AE$11</f>
        <v>1.1761229782100196E-3</v>
      </c>
      <c r="S13" s="10">
        <f t="shared" si="2"/>
        <v>1.0756680808148507</v>
      </c>
      <c r="T13" s="10">
        <f t="shared" si="3"/>
        <v>12.878546611399717</v>
      </c>
      <c r="U13" s="10"/>
      <c r="V13" s="10"/>
      <c r="W13" s="10"/>
      <c r="X13" s="10"/>
      <c r="Y13" s="10"/>
      <c r="Z13" s="10"/>
      <c r="AA13" s="10"/>
      <c r="AB13" s="10"/>
      <c r="AC13" s="10"/>
      <c r="AD13" s="10"/>
      <c r="AE13" s="10"/>
      <c r="AF13" s="10"/>
      <c r="AG13" s="10"/>
      <c r="AH13" s="10"/>
      <c r="AI13" s="10"/>
    </row>
    <row r="14" spans="1:55" x14ac:dyDescent="0.2">
      <c r="A14" s="10"/>
      <c r="B14" s="10"/>
      <c r="C14" s="10"/>
      <c r="D14" s="10"/>
      <c r="E14" s="10"/>
      <c r="F14" s="10" t="s">
        <v>57</v>
      </c>
      <c r="G14" s="10">
        <v>130</v>
      </c>
      <c r="H14" s="10">
        <v>280</v>
      </c>
      <c r="I14" s="10">
        <v>0.4</v>
      </c>
      <c r="J14" s="10"/>
      <c r="K14" s="10"/>
      <c r="L14" s="10"/>
      <c r="M14" s="10"/>
      <c r="N14" s="10">
        <v>1</v>
      </c>
      <c r="O14" s="10">
        <f t="shared" si="0"/>
        <v>5.6565962895999995</v>
      </c>
      <c r="P14" s="10">
        <f>(O14 * (1 -X$11) + (0.04 * O14)) * ( 1 - AF$11 )</f>
        <v>2.5658320769625598</v>
      </c>
      <c r="Q14" s="11">
        <f t="shared" si="1"/>
        <v>1.2071480435814064E-4</v>
      </c>
      <c r="R14" s="10">
        <f>P14 * AD$11 * AA$11 * AC$11 * AE$11</f>
        <v>1.4452703973837659E-3</v>
      </c>
      <c r="S14" s="10">
        <f t="shared" si="2"/>
        <v>1.4319793666984433</v>
      </c>
      <c r="T14" s="10">
        <f t="shared" si="3"/>
        <v>17.144520088964921</v>
      </c>
      <c r="U14" s="10"/>
      <c r="V14" s="10"/>
      <c r="W14" s="10"/>
      <c r="X14" s="10"/>
      <c r="Y14" s="10"/>
      <c r="Z14" s="10"/>
      <c r="AA14" s="10"/>
      <c r="AB14" s="10"/>
      <c r="AC14" s="10"/>
      <c r="AD14" s="10"/>
      <c r="AE14" s="10"/>
      <c r="AF14" s="10"/>
      <c r="AG14" s="10"/>
      <c r="AH14" s="10"/>
      <c r="AI14" s="10"/>
      <c r="BB14" t="s">
        <v>97</v>
      </c>
      <c r="BC14">
        <v>4.5999999999999999E-3</v>
      </c>
    </row>
    <row r="15" spans="1:55" x14ac:dyDescent="0.2">
      <c r="A15" s="10"/>
      <c r="B15" s="10"/>
      <c r="C15" s="10"/>
      <c r="D15" s="10"/>
      <c r="E15" s="10" t="s">
        <v>43</v>
      </c>
      <c r="F15" s="10" t="s">
        <v>54</v>
      </c>
      <c r="G15" s="10"/>
      <c r="H15" s="10" cm="1">
        <f t="array" ref="H15:H18">_xlfn.XLOOKUP(E15, $AR$46:$BA$46, $AR$47:$BA$50)</f>
        <v>480</v>
      </c>
      <c r="I15" s="10" cm="1">
        <f t="array" ref="I15:I18">_xlfn.XLOOKUP(E15, $AR$106:$BA$106, $AR$107:$BA$110)</f>
        <v>0.2</v>
      </c>
      <c r="J15" s="10"/>
      <c r="K15" s="10"/>
      <c r="L15" s="10"/>
      <c r="M15" s="10"/>
      <c r="N15" s="10">
        <v>1</v>
      </c>
      <c r="O15" s="10">
        <f t="shared" si="0"/>
        <v>7.9984889855999999</v>
      </c>
      <c r="P15" s="10">
        <f>(O15 * (1 -U$11) + (0.04 * O15)) * ( 1 - AF$11 )</f>
        <v>3.2921780664729599</v>
      </c>
      <c r="Q15" s="11">
        <f t="shared" si="1"/>
        <v>1.5488723318047602E-4</v>
      </c>
      <c r="R15" s="10">
        <f>P15 * AD$11 * AA$11 * AC$11 * AE$11</f>
        <v>1.8544033123251509E-3</v>
      </c>
      <c r="S15" s="10">
        <f t="shared" si="2"/>
        <v>0</v>
      </c>
      <c r="T15" s="10">
        <f t="shared" si="3"/>
        <v>0</v>
      </c>
      <c r="U15" s="10"/>
      <c r="V15" s="10"/>
      <c r="W15" s="10"/>
      <c r="X15" s="10"/>
      <c r="Y15" s="10"/>
      <c r="Z15" s="10"/>
      <c r="AA15" s="10"/>
      <c r="AB15" s="10"/>
      <c r="AC15" s="10"/>
      <c r="AD15" s="10"/>
      <c r="AE15" s="10"/>
      <c r="AF15" s="10"/>
      <c r="AG15" s="10"/>
      <c r="AH15" s="10"/>
      <c r="AI15" s="10"/>
    </row>
    <row r="16" spans="1:55" x14ac:dyDescent="0.2">
      <c r="A16" s="10"/>
      <c r="B16" s="10"/>
      <c r="C16" s="10"/>
      <c r="D16" s="10"/>
      <c r="E16" s="10"/>
      <c r="F16" s="10" t="s">
        <v>55</v>
      </c>
      <c r="G16" s="10"/>
      <c r="H16" s="10">
        <v>520</v>
      </c>
      <c r="I16" s="10">
        <v>0.4</v>
      </c>
      <c r="J16" s="10"/>
      <c r="K16" s="10"/>
      <c r="L16" s="10"/>
      <c r="M16" s="10"/>
      <c r="N16" s="10">
        <v>1</v>
      </c>
      <c r="O16" s="10">
        <f t="shared" si="0"/>
        <v>8.8135359375999975</v>
      </c>
      <c r="P16" s="10">
        <f>(O16 * (1 -V$11) + (0.04 * O16)) * ( 1 - AF$11 )</f>
        <v>2.8873143731577593</v>
      </c>
      <c r="Q16" s="11">
        <f t="shared" si="1"/>
        <v>1.3583959480652805E-4</v>
      </c>
      <c r="R16" s="10">
        <f>P16 * AD$11 * AA$11 * AC$11 * AE$11</f>
        <v>1.626353504943911E-3</v>
      </c>
      <c r="S16" s="10">
        <f t="shared" si="2"/>
        <v>0</v>
      </c>
      <c r="T16" s="10">
        <f t="shared" si="3"/>
        <v>0</v>
      </c>
      <c r="U16" s="10"/>
      <c r="V16" s="10"/>
      <c r="W16" s="10"/>
      <c r="X16" s="10"/>
      <c r="Y16" s="10"/>
      <c r="Z16" s="10"/>
      <c r="AA16" s="10"/>
      <c r="AB16" s="10"/>
      <c r="AC16" s="10"/>
      <c r="AD16" s="10"/>
      <c r="AE16" s="10"/>
      <c r="AF16" s="10"/>
      <c r="AG16" s="10"/>
      <c r="AH16" s="10"/>
      <c r="AI16" s="10"/>
      <c r="AS16" t="s">
        <v>61</v>
      </c>
      <c r="BB16" t="s">
        <v>96</v>
      </c>
    </row>
    <row r="17" spans="1:55" x14ac:dyDescent="0.2">
      <c r="A17" s="10"/>
      <c r="B17" s="10"/>
      <c r="C17" s="10"/>
      <c r="D17" s="10"/>
      <c r="E17" s="10"/>
      <c r="F17" s="10" t="s">
        <v>56</v>
      </c>
      <c r="G17" s="10"/>
      <c r="H17" s="10">
        <v>550</v>
      </c>
      <c r="I17" s="10">
        <v>0.3</v>
      </c>
      <c r="J17" s="10"/>
      <c r="K17" s="10"/>
      <c r="L17" s="10"/>
      <c r="M17" s="10"/>
      <c r="N17" s="10">
        <v>1</v>
      </c>
      <c r="O17" s="10">
        <f t="shared" si="0"/>
        <v>8.940100000000001</v>
      </c>
      <c r="P17" s="10">
        <f>(O17 * (1 -W$11) + (0.04 * O17)) * ( 1 - AF$11 )</f>
        <v>3.3042609600000006</v>
      </c>
      <c r="Q17" s="11">
        <f t="shared" si="1"/>
        <v>1.5545569755555841E-4</v>
      </c>
      <c r="R17" s="10">
        <f>P17 * AD$11 * AA$11 * AC$11 * AE$11</f>
        <v>1.8612093104596994E-3</v>
      </c>
      <c r="S17" s="10">
        <f t="shared" si="2"/>
        <v>0</v>
      </c>
      <c r="T17" s="10">
        <f t="shared" si="3"/>
        <v>0</v>
      </c>
      <c r="U17" s="10"/>
      <c r="V17" s="10"/>
      <c r="W17" s="10"/>
      <c r="X17" s="10"/>
      <c r="Y17" s="10"/>
      <c r="Z17" s="10"/>
      <c r="AA17" s="10"/>
      <c r="AB17" s="10"/>
      <c r="AC17" s="10"/>
      <c r="AD17" s="10"/>
      <c r="AE17" s="10"/>
      <c r="AF17" s="10"/>
      <c r="AG17" s="10"/>
      <c r="AH17" s="10"/>
      <c r="AI17" s="10"/>
      <c r="AU17" s="2" t="s">
        <v>54</v>
      </c>
      <c r="AV17" s="2" t="s">
        <v>55</v>
      </c>
      <c r="AW17" t="s">
        <v>56</v>
      </c>
      <c r="AX17" t="s">
        <v>57</v>
      </c>
      <c r="BB17" t="s">
        <v>106</v>
      </c>
      <c r="BC17">
        <v>6.0000000000000001E-3</v>
      </c>
    </row>
    <row r="18" spans="1:55" x14ac:dyDescent="0.2">
      <c r="A18" s="10"/>
      <c r="B18" s="10"/>
      <c r="C18" s="10"/>
      <c r="D18" s="10"/>
      <c r="E18" s="10"/>
      <c r="F18" s="10" t="s">
        <v>57</v>
      </c>
      <c r="G18" s="10"/>
      <c r="H18" s="10">
        <v>560</v>
      </c>
      <c r="I18" s="10">
        <v>0.1</v>
      </c>
      <c r="J18" s="10"/>
      <c r="K18" s="10"/>
      <c r="L18" s="10"/>
      <c r="M18" s="10"/>
      <c r="N18" s="10">
        <v>1</v>
      </c>
      <c r="O18" s="10">
        <f t="shared" si="0"/>
        <v>8.6644277315999982</v>
      </c>
      <c r="P18" s="10">
        <f>(O18 * (1 -X$11) + (0.04 * O18)) * ( 1 - AF$11 )</f>
        <v>3.9301844190537589</v>
      </c>
      <c r="Q18" s="11">
        <f t="shared" si="1"/>
        <v>1.8490354357059897E-4</v>
      </c>
      <c r="R18" s="10">
        <f>P18 * AD$11 * AA$11 * AC$11 * AE$11</f>
        <v>2.2137766723384039E-3</v>
      </c>
      <c r="S18" s="10">
        <f t="shared" si="2"/>
        <v>0</v>
      </c>
      <c r="T18" s="10">
        <f t="shared" si="3"/>
        <v>0</v>
      </c>
      <c r="U18" s="10"/>
      <c r="V18" s="10"/>
      <c r="W18" s="10"/>
      <c r="X18" s="10"/>
      <c r="Y18" s="10"/>
      <c r="Z18" s="10"/>
      <c r="AA18" s="10"/>
      <c r="AB18" s="10"/>
      <c r="AC18" s="10"/>
      <c r="AD18" s="10"/>
      <c r="AE18" s="10"/>
      <c r="AF18" s="10"/>
      <c r="AG18" s="10"/>
      <c r="AH18" s="10"/>
      <c r="AI18" s="10"/>
      <c r="AT18" t="s">
        <v>53</v>
      </c>
      <c r="AU18" s="2">
        <v>0.55000000000000004</v>
      </c>
      <c r="AV18" s="2">
        <v>0.65</v>
      </c>
      <c r="AW18">
        <v>0.6</v>
      </c>
      <c r="AX18">
        <v>0.5</v>
      </c>
      <c r="BB18" t="s">
        <v>107</v>
      </c>
      <c r="BC18">
        <v>6.7000000000000002E-3</v>
      </c>
    </row>
    <row r="19" spans="1:55" x14ac:dyDescent="0.2">
      <c r="A19" s="10"/>
      <c r="B19" s="10"/>
      <c r="C19" s="10"/>
      <c r="D19" s="10"/>
      <c r="E19" s="10" t="s">
        <v>44</v>
      </c>
      <c r="F19" s="10" t="s">
        <v>54</v>
      </c>
      <c r="G19" s="10"/>
      <c r="H19" s="10" cm="1">
        <f t="array" ref="H19:H22">_xlfn.XLOOKUP(E19, $AR$46:$BA$46, $AR$47:$BA$50)</f>
        <v>75</v>
      </c>
      <c r="I19" s="10" cm="1">
        <f t="array" ref="I19:I22">_xlfn.XLOOKUP(E19, $AR$106:$BA$106, $AR$107:$BA$110)</f>
        <v>0.5</v>
      </c>
      <c r="J19" s="10"/>
      <c r="K19" s="10"/>
      <c r="L19" s="10"/>
      <c r="M19" s="10"/>
      <c r="N19" s="10">
        <v>1</v>
      </c>
      <c r="O19" s="10">
        <f t="shared" si="0"/>
        <v>2.7834751406249998</v>
      </c>
      <c r="P19" s="10">
        <f>(O19 * (1 -U$11) + (0.04 * O19)) * ( 1 - AF$11 )</f>
        <v>1.1456783678812499</v>
      </c>
      <c r="Q19" s="11">
        <f t="shared" si="1"/>
        <v>5.390077600084388E-5</v>
      </c>
      <c r="R19" s="10">
        <f>P19 * AD$11 * AA$11 * AC$11 * AE$11</f>
        <v>6.4533257842106233E-4</v>
      </c>
      <c r="S19" s="10">
        <f t="shared" si="2"/>
        <v>0</v>
      </c>
      <c r="T19" s="10">
        <f t="shared" si="3"/>
        <v>0</v>
      </c>
      <c r="U19" s="10"/>
      <c r="V19" s="10"/>
      <c r="W19" s="10"/>
      <c r="X19" s="10"/>
      <c r="Y19" s="10"/>
      <c r="Z19" s="10"/>
      <c r="AA19" s="10"/>
      <c r="AB19" s="10"/>
      <c r="AC19" s="10"/>
      <c r="AD19" s="10"/>
      <c r="AE19" s="10"/>
      <c r="AF19" s="10"/>
      <c r="AG19" s="10"/>
      <c r="AH19" s="10"/>
      <c r="AI19" s="10"/>
      <c r="AT19" t="s">
        <v>73</v>
      </c>
      <c r="AU19" s="2">
        <v>0.55000000000000004</v>
      </c>
      <c r="AV19" s="2">
        <v>0.61</v>
      </c>
      <c r="AW19" s="2">
        <v>0.56999999999999995</v>
      </c>
      <c r="AX19">
        <v>0.54</v>
      </c>
      <c r="BB19" t="s">
        <v>100</v>
      </c>
      <c r="BC19">
        <v>5.0000000000000001E-3</v>
      </c>
    </row>
    <row r="20" spans="1:55" x14ac:dyDescent="0.2">
      <c r="A20" s="10"/>
      <c r="B20" s="10"/>
      <c r="C20" s="10"/>
      <c r="D20" s="10"/>
      <c r="E20" s="10"/>
      <c r="F20" s="10" t="s">
        <v>55</v>
      </c>
      <c r="G20" s="10"/>
      <c r="H20" s="10">
        <v>160</v>
      </c>
      <c r="I20" s="10">
        <v>0.9</v>
      </c>
      <c r="J20" s="10"/>
      <c r="K20" s="10"/>
      <c r="L20" s="10"/>
      <c r="M20" s="10"/>
      <c r="N20" s="10">
        <v>1</v>
      </c>
      <c r="O20" s="10">
        <f t="shared" si="0"/>
        <v>4.5298311556000002</v>
      </c>
      <c r="P20" s="10">
        <f>(O20 * (1 -V$11) + (0.04 * O20)) * ( 1 - AF$11 )</f>
        <v>1.4839726865745599</v>
      </c>
      <c r="Q20" s="11">
        <f t="shared" si="1"/>
        <v>6.9816522344180778E-5</v>
      </c>
      <c r="R20" s="10">
        <f>P20 * AD$11 * AA$11 * AC$11 * AE$11</f>
        <v>8.3588548669608228E-4</v>
      </c>
      <c r="S20" s="10">
        <f t="shared" si="2"/>
        <v>0</v>
      </c>
      <c r="T20" s="10">
        <f t="shared" si="3"/>
        <v>0</v>
      </c>
      <c r="U20" s="10"/>
      <c r="V20" s="10"/>
      <c r="W20" s="10"/>
      <c r="X20" s="10"/>
      <c r="Y20" s="10"/>
      <c r="Z20" s="10"/>
      <c r="AA20" s="10"/>
      <c r="AB20" s="10"/>
      <c r="AC20" s="10"/>
      <c r="AD20" s="10"/>
      <c r="AE20" s="10"/>
      <c r="AF20" s="10"/>
      <c r="AG20" s="10"/>
      <c r="AH20" s="10"/>
      <c r="AI20" s="10"/>
      <c r="AT20" t="s">
        <v>92</v>
      </c>
      <c r="AU20" s="2">
        <v>0.53</v>
      </c>
      <c r="AV20" s="2">
        <v>0.56999999999999995</v>
      </c>
      <c r="AW20" s="2">
        <v>0.55000000000000004</v>
      </c>
      <c r="AX20">
        <v>0.51</v>
      </c>
      <c r="BB20" t="s">
        <v>101</v>
      </c>
      <c r="BC20">
        <v>4.8999999999999998E-3</v>
      </c>
    </row>
    <row r="21" spans="1:55" x14ac:dyDescent="0.2">
      <c r="A21" s="10"/>
      <c r="B21" s="10"/>
      <c r="C21" s="10"/>
      <c r="D21" s="10"/>
      <c r="E21" s="10"/>
      <c r="F21" s="10" t="s">
        <v>56</v>
      </c>
      <c r="G21" s="10"/>
      <c r="H21" s="10">
        <v>220</v>
      </c>
      <c r="I21" s="10">
        <v>0.7</v>
      </c>
      <c r="J21" s="10"/>
      <c r="K21" s="10"/>
      <c r="L21" s="10"/>
      <c r="M21" s="10"/>
      <c r="N21" s="10">
        <v>1</v>
      </c>
      <c r="O21" s="10">
        <f t="shared" si="0"/>
        <v>5.1913799715999973</v>
      </c>
      <c r="P21" s="10">
        <f>(O21 * (1 -W$11) + (0.04 * O21)) * ( 1 - AF$11 )</f>
        <v>1.918734037503359</v>
      </c>
      <c r="Q21" s="11">
        <f t="shared" si="1"/>
        <v>9.0270757011782037E-5</v>
      </c>
      <c r="R21" s="10">
        <f>P21 * AD$11 * AA$11 * AC$11 * AE$11</f>
        <v>1.0807759127164039E-3</v>
      </c>
      <c r="S21" s="10">
        <f t="shared" si="2"/>
        <v>0</v>
      </c>
      <c r="T21" s="10">
        <f t="shared" si="3"/>
        <v>0</v>
      </c>
      <c r="U21" s="10"/>
      <c r="V21" s="10"/>
      <c r="W21" s="10"/>
      <c r="X21" s="10"/>
      <c r="Y21" s="10"/>
      <c r="Z21" s="10"/>
      <c r="AA21" s="10"/>
      <c r="AB21" s="10"/>
      <c r="AC21" s="10"/>
      <c r="AD21" s="10"/>
      <c r="AE21" s="10"/>
      <c r="AF21" s="10"/>
      <c r="AG21" s="10"/>
      <c r="AH21" s="10"/>
      <c r="AI21" s="10"/>
      <c r="AT21" t="s">
        <v>93</v>
      </c>
      <c r="AU21" s="2">
        <v>0.7</v>
      </c>
      <c r="AV21" s="2">
        <v>0.55000000000000004</v>
      </c>
      <c r="AW21" s="2">
        <v>0.55000000000000004</v>
      </c>
      <c r="AX21">
        <v>0.75</v>
      </c>
      <c r="BB21" t="s">
        <v>108</v>
      </c>
      <c r="BC21">
        <v>7.3000000000000001E-3</v>
      </c>
    </row>
    <row r="22" spans="1:55" x14ac:dyDescent="0.2">
      <c r="A22" s="10"/>
      <c r="B22" s="10"/>
      <c r="C22" s="10"/>
      <c r="D22" s="10"/>
      <c r="E22" s="10"/>
      <c r="F22" s="10" t="s">
        <v>57</v>
      </c>
      <c r="G22" s="10"/>
      <c r="H22" s="10">
        <v>260</v>
      </c>
      <c r="I22" s="10">
        <v>0.4</v>
      </c>
      <c r="J22" s="10"/>
      <c r="K22" s="10"/>
      <c r="L22" s="10"/>
      <c r="M22" s="10"/>
      <c r="N22" s="10">
        <v>1</v>
      </c>
      <c r="O22" s="10">
        <f t="shared" si="0"/>
        <v>5.3621886096000004</v>
      </c>
      <c r="P22" s="10">
        <f>(O22 * (1 -X$11) + (0.04 * O22)) * ( 1 - AF$11 )</f>
        <v>2.4322887533145603</v>
      </c>
      <c r="Q22" s="11">
        <f t="shared" si="1"/>
        <v>1.1443198626874025E-4</v>
      </c>
      <c r="R22" s="10">
        <f>P22 * AD$11 * AA$11 * AC$11 * AE$11</f>
        <v>1.3700487123134107E-3</v>
      </c>
      <c r="S22" s="10">
        <f t="shared" si="2"/>
        <v>0</v>
      </c>
      <c r="T22" s="10">
        <f t="shared" si="3"/>
        <v>0</v>
      </c>
      <c r="U22" s="10"/>
      <c r="V22" s="10"/>
      <c r="W22" s="10"/>
      <c r="X22" s="10"/>
      <c r="Y22" s="10"/>
      <c r="Z22" s="10"/>
      <c r="AA22" s="10"/>
      <c r="AB22" s="10"/>
      <c r="AC22" s="10"/>
      <c r="AD22" s="10"/>
      <c r="AE22" s="10"/>
      <c r="AF22" s="10"/>
      <c r="AG22" s="10"/>
      <c r="AH22" s="10"/>
      <c r="AI22" s="10"/>
      <c r="AT22" t="s">
        <v>94</v>
      </c>
      <c r="AU22" s="2">
        <v>0.75</v>
      </c>
      <c r="AV22" s="2">
        <v>0.6</v>
      </c>
      <c r="AW22" s="2">
        <v>0.7</v>
      </c>
      <c r="AX22">
        <v>0.75</v>
      </c>
      <c r="BB22" t="s">
        <v>109</v>
      </c>
      <c r="BC22">
        <v>7.6E-3</v>
      </c>
    </row>
    <row r="23" spans="1:55" x14ac:dyDescent="0.2">
      <c r="A23" s="10"/>
      <c r="B23" s="10"/>
      <c r="C23" s="10"/>
      <c r="D23" s="10"/>
      <c r="E23" s="10" t="s">
        <v>45</v>
      </c>
      <c r="F23" s="10" t="s">
        <v>54</v>
      </c>
      <c r="G23" s="10"/>
      <c r="H23" s="10" cm="1">
        <f t="array" ref="H23:H26">_xlfn.XLOOKUP(E23, $AR$46:$BA$46, $AR$47:$BA$50)</f>
        <v>300</v>
      </c>
      <c r="I23" s="10" cm="1">
        <f t="array" ref="I23:I26">_xlfn.XLOOKUP(E23, $AR$106:$BA$106, $AR$107:$BA$110)</f>
        <v>0.4</v>
      </c>
      <c r="J23" s="10"/>
      <c r="K23" s="10"/>
      <c r="L23" s="10"/>
      <c r="M23" s="10"/>
      <c r="N23" s="10">
        <v>1</v>
      </c>
      <c r="O23" s="10">
        <f t="shared" si="0"/>
        <v>5.9487209999999981</v>
      </c>
      <c r="P23" s="10">
        <f>(O23 * (1 -U$11) + (0.04 * O23)) * ( 1 - AF$11 )</f>
        <v>2.4484935635999991</v>
      </c>
      <c r="Q23" s="11">
        <f t="shared" si="1"/>
        <v>1.1519437462643171E-4</v>
      </c>
      <c r="R23" s="10">
        <f>P23 * AD$11 * AA$11 * AC$11 * AE$11</f>
        <v>1.3791764852534424E-3</v>
      </c>
      <c r="S23" s="10">
        <f t="shared" si="2"/>
        <v>0</v>
      </c>
      <c r="T23" s="10">
        <f t="shared" si="3"/>
        <v>0</v>
      </c>
      <c r="U23" s="10"/>
      <c r="V23" s="10"/>
      <c r="W23" s="10"/>
      <c r="X23" s="10"/>
      <c r="Y23" s="10"/>
      <c r="Z23" s="10"/>
      <c r="AA23" s="10"/>
      <c r="AB23" s="10"/>
      <c r="AC23" s="10"/>
      <c r="AD23" s="10"/>
      <c r="AE23" s="10"/>
      <c r="AF23" s="10"/>
      <c r="AG23" s="10"/>
      <c r="AH23" s="10"/>
      <c r="AI23" s="10"/>
      <c r="AT23" t="s">
        <v>95</v>
      </c>
      <c r="AU23" s="2">
        <v>0.8</v>
      </c>
      <c r="AV23" s="2">
        <v>0.55000000000000004</v>
      </c>
      <c r="AW23" s="2">
        <v>0.6</v>
      </c>
      <c r="AX23">
        <v>0.76</v>
      </c>
      <c r="BB23" t="s">
        <v>102</v>
      </c>
      <c r="BC23">
        <v>7.6E-3</v>
      </c>
    </row>
    <row r="24" spans="1:55" x14ac:dyDescent="0.2">
      <c r="A24" s="10"/>
      <c r="B24" s="10"/>
      <c r="C24" s="10"/>
      <c r="D24" s="10"/>
      <c r="E24" s="10"/>
      <c r="F24" s="10" t="s">
        <v>55</v>
      </c>
      <c r="G24" s="10"/>
      <c r="H24" s="10">
        <v>360</v>
      </c>
      <c r="I24" s="10">
        <v>0.7</v>
      </c>
      <c r="J24" s="10"/>
      <c r="K24" s="10"/>
      <c r="L24" s="10"/>
      <c r="M24" s="10"/>
      <c r="N24" s="10">
        <v>1</v>
      </c>
      <c r="O24" s="10">
        <f t="shared" si="0"/>
        <v>7.3058846435999998</v>
      </c>
      <c r="P24" s="10">
        <f>(O24 * (1 -V$11) + (0.04 * O24)) * ( 1 - AF$11 )</f>
        <v>2.3934078092433602</v>
      </c>
      <c r="Q24" s="11">
        <f t="shared" si="1"/>
        <v>1.1260275293778476E-4</v>
      </c>
      <c r="R24" s="10">
        <f>P24 * AD$11 * AA$11 * AC$11 * AE$11</f>
        <v>1.3481480283236143E-3</v>
      </c>
      <c r="S24" s="10">
        <f t="shared" si="2"/>
        <v>0</v>
      </c>
      <c r="T24" s="10">
        <f t="shared" si="3"/>
        <v>0</v>
      </c>
      <c r="U24" s="10"/>
      <c r="V24" s="10"/>
      <c r="W24" s="10"/>
      <c r="X24" s="10"/>
      <c r="Y24" s="10"/>
      <c r="Z24" s="10"/>
      <c r="AA24" s="10"/>
      <c r="AB24" s="10"/>
      <c r="AC24" s="10"/>
      <c r="AD24" s="10"/>
      <c r="AE24" s="10"/>
      <c r="AF24" s="10"/>
      <c r="AG24" s="10"/>
      <c r="AH24" s="10"/>
      <c r="AI24" s="10"/>
      <c r="AS24" t="s">
        <v>65</v>
      </c>
      <c r="AT24" t="s">
        <v>62</v>
      </c>
      <c r="AU24" s="2">
        <v>0.8</v>
      </c>
      <c r="AV24" s="2">
        <v>0.57999999999999996</v>
      </c>
      <c r="AW24" s="2">
        <v>0.5</v>
      </c>
      <c r="AX24">
        <v>0.75</v>
      </c>
      <c r="BB24" t="s">
        <v>103</v>
      </c>
      <c r="BC24">
        <v>8.0000000000000002E-3</v>
      </c>
    </row>
    <row r="25" spans="1:55" x14ac:dyDescent="0.2">
      <c r="A25" s="10"/>
      <c r="B25" s="10"/>
      <c r="C25" s="10"/>
      <c r="D25" s="10"/>
      <c r="E25" s="10"/>
      <c r="F25" s="10" t="s">
        <v>56</v>
      </c>
      <c r="G25" s="10"/>
      <c r="H25" s="10">
        <v>390</v>
      </c>
      <c r="I25" s="10">
        <v>0.3</v>
      </c>
      <c r="J25" s="10"/>
      <c r="K25" s="10"/>
      <c r="L25" s="10"/>
      <c r="M25" s="10"/>
      <c r="N25" s="10">
        <v>1</v>
      </c>
      <c r="O25" s="10">
        <f t="shared" si="0"/>
        <v>7.0471135296000007</v>
      </c>
      <c r="P25" s="10">
        <f>(O25 * (1 -W$11) + (0.04 * O25)) * ( 1 - AF$11 )</f>
        <v>2.6046131605401603</v>
      </c>
      <c r="Q25" s="11">
        <f t="shared" si="1"/>
        <v>1.2253933954845938E-4</v>
      </c>
      <c r="R25" s="10">
        <f>P25 * AD$11 * AA$11 * AC$11 * AE$11</f>
        <v>1.4671148324021022E-3</v>
      </c>
      <c r="S25" s="10">
        <f t="shared" si="2"/>
        <v>0</v>
      </c>
      <c r="T25" s="10">
        <f t="shared" si="3"/>
        <v>0</v>
      </c>
      <c r="U25" s="10"/>
      <c r="V25" s="10"/>
      <c r="W25" s="10"/>
      <c r="X25" s="10"/>
      <c r="Y25" s="10"/>
      <c r="Z25" s="10"/>
      <c r="AA25" s="10"/>
      <c r="AB25" s="10"/>
      <c r="AC25" s="10"/>
      <c r="AD25" s="10"/>
      <c r="AE25" s="10"/>
      <c r="AF25" s="10"/>
      <c r="AG25" s="10"/>
      <c r="AH25" s="10"/>
      <c r="AI25" s="10"/>
      <c r="AS25" t="s">
        <v>65</v>
      </c>
      <c r="AT25" t="s">
        <v>63</v>
      </c>
      <c r="AU25" s="2">
        <v>0.4</v>
      </c>
      <c r="AV25" s="2">
        <v>0.65</v>
      </c>
      <c r="AW25">
        <v>0.55000000000000004</v>
      </c>
      <c r="AX25">
        <v>0.45</v>
      </c>
      <c r="BB25" t="s">
        <v>104</v>
      </c>
      <c r="BC25">
        <v>8.0000000000000002E-3</v>
      </c>
    </row>
    <row r="26" spans="1:55" x14ac:dyDescent="0.2">
      <c r="A26" s="10"/>
      <c r="B26" s="10"/>
      <c r="C26" s="10"/>
      <c r="D26" s="10"/>
      <c r="E26" s="10"/>
      <c r="F26" s="10" t="s">
        <v>57</v>
      </c>
      <c r="G26" s="10"/>
      <c r="H26" s="10">
        <v>410</v>
      </c>
      <c r="I26" s="10">
        <v>0.2</v>
      </c>
      <c r="J26" s="10"/>
      <c r="K26" s="10"/>
      <c r="L26" s="10"/>
      <c r="M26" s="10"/>
      <c r="N26" s="10">
        <v>1</v>
      </c>
      <c r="O26" s="10">
        <f t="shared" si="0"/>
        <v>7.1414010756000028</v>
      </c>
      <c r="P26" s="10">
        <f>(O26 * (1 -X$11) + (0.04 * O26)) * ( 1 - AF$11 )</f>
        <v>3.2393395278921613</v>
      </c>
      <c r="Q26" s="11">
        <f t="shared" si="1"/>
        <v>1.5240133634232363E-4</v>
      </c>
      <c r="R26" s="10">
        <f>P26 * AD$11 * AA$11 * AC$11 * AE$11</f>
        <v>1.8246406570300113E-3</v>
      </c>
      <c r="S26" s="10">
        <f t="shared" si="2"/>
        <v>0</v>
      </c>
      <c r="T26" s="10">
        <f t="shared" si="3"/>
        <v>0</v>
      </c>
      <c r="U26" s="10"/>
      <c r="V26" s="10"/>
      <c r="W26" s="10"/>
      <c r="X26" s="10"/>
      <c r="Y26" s="10"/>
      <c r="Z26" s="10"/>
      <c r="AA26" s="10"/>
      <c r="AB26" s="10"/>
      <c r="AC26" s="10"/>
      <c r="AD26" s="10"/>
      <c r="AE26" s="10"/>
      <c r="AF26" s="10"/>
      <c r="AG26" s="10"/>
      <c r="AH26" s="10"/>
      <c r="AI26" s="10"/>
      <c r="AS26" t="s">
        <v>65</v>
      </c>
      <c r="AT26" t="s">
        <v>71</v>
      </c>
      <c r="AU26" s="2">
        <v>0.4</v>
      </c>
      <c r="AV26" s="2">
        <v>0.65</v>
      </c>
      <c r="AW26" s="2">
        <v>0.55000000000000004</v>
      </c>
      <c r="AX26">
        <v>0.45</v>
      </c>
      <c r="BB26" t="s">
        <v>105</v>
      </c>
      <c r="BC26">
        <v>8.0000000000000002E-3</v>
      </c>
    </row>
    <row r="27" spans="1:55" x14ac:dyDescent="0.2">
      <c r="A27" s="10"/>
      <c r="B27" s="10"/>
      <c r="C27" s="10"/>
      <c r="D27" s="10"/>
      <c r="E27" s="10" t="s">
        <v>46</v>
      </c>
      <c r="F27" s="10" t="s">
        <v>54</v>
      </c>
      <c r="G27" s="10">
        <v>100</v>
      </c>
      <c r="H27" s="10" cm="1">
        <f t="array" ref="H27:H30">_xlfn.XLOOKUP(E27, $AR$46:$BA$46, $AR$47:$BA$50)</f>
        <v>440</v>
      </c>
      <c r="I27" s="10" cm="1">
        <f t="array" ref="I27:I30">_xlfn.XLOOKUP(E27, $AR$106:$BA$106, $AR$107:$BA$110)</f>
        <v>0.3</v>
      </c>
      <c r="J27" s="10">
        <v>0.7</v>
      </c>
      <c r="K27" s="10">
        <v>0</v>
      </c>
      <c r="L27" s="10">
        <f>J27+K27</f>
        <v>0.7</v>
      </c>
      <c r="M27" s="10">
        <f>1+(0.3*J27) + (0.1*K27)</f>
        <v>1.21</v>
      </c>
      <c r="N27" s="10">
        <f>(L27*M27)+(1 - L27)</f>
        <v>1.147</v>
      </c>
      <c r="O27" s="10">
        <f>(1.185 + 0.00454 * H27 - 0.0000026 * H27^2 + 0.315 * I27)^2 * N27</f>
        <v>8.8245977249772007</v>
      </c>
      <c r="P27" s="10">
        <f>(O27 * (1 -U$11) + (0.04 * O27)) * ( 1 - AF$11 )</f>
        <v>3.6322044236006152</v>
      </c>
      <c r="Q27" s="11">
        <f t="shared" si="1"/>
        <v>1.7088446680531508E-4</v>
      </c>
      <c r="R27" s="10">
        <f>P27 * AD$11 * AA$11 * AC$11 * AE$11</f>
        <v>2.0459318354499366E-3</v>
      </c>
      <c r="S27" s="10">
        <f t="shared" si="2"/>
        <v>1.5593207595984999</v>
      </c>
      <c r="T27" s="10">
        <f>G27*R27*91.25</f>
        <v>18.669127998480672</v>
      </c>
      <c r="U27" s="10"/>
      <c r="V27" s="10"/>
      <c r="W27" s="10">
        <f>(1.185 + 0.00454 * H27 - 0.0000026 * H27^2 + 0.315 * I27)^2</f>
        <v>7.6936335876000008</v>
      </c>
      <c r="X27" s="10">
        <f>(1.185 + 0.00454 * H27 - 0.0000026 * H27^2 + 0.315 * I27)^2 * N27</f>
        <v>8.8245977249772007</v>
      </c>
    </row>
    <row r="28" spans="1:55" x14ac:dyDescent="0.2">
      <c r="A28" s="10"/>
      <c r="B28" s="10"/>
      <c r="C28" s="10"/>
      <c r="D28" s="10"/>
      <c r="E28" s="10"/>
      <c r="F28" s="10" t="s">
        <v>55</v>
      </c>
      <c r="G28" s="10">
        <v>110</v>
      </c>
      <c r="H28" s="10">
        <v>470</v>
      </c>
      <c r="I28" s="10">
        <v>0.3</v>
      </c>
      <c r="J28" s="10">
        <v>0.3</v>
      </c>
      <c r="K28" s="10">
        <v>0.7</v>
      </c>
      <c r="L28" s="10">
        <f t="shared" ref="L28:L60" si="4">J28+K28</f>
        <v>1</v>
      </c>
      <c r="M28" s="10">
        <f>1+(0.3*J28) + (0.1*K28)</f>
        <v>1.1600000000000001</v>
      </c>
      <c r="N28" s="10">
        <f t="shared" ref="N28:N34" si="5">(L28*M28)+(1 - L28)</f>
        <v>1.1600000000000001</v>
      </c>
      <c r="O28" s="10">
        <f t="shared" ref="O28:O50" si="6">(1.185 + 0.00454 * H28 - 0.0000026 * H28^2 + 0.315 * I28)^2 * N28</f>
        <v>9.3492449026560021</v>
      </c>
      <c r="P28" s="10">
        <f>(O28 * (1 -V$11) + (0.04 * O28)) * ( 1 - AF$11 )</f>
        <v>3.0628126301101064</v>
      </c>
      <c r="Q28" s="11">
        <f t="shared" si="1"/>
        <v>1.4409626832129538E-4</v>
      </c>
      <c r="R28" s="10">
        <f>P28 * AD$11 * AA$11 * AC$11 * AE$11</f>
        <v>1.7252073768878379E-3</v>
      </c>
      <c r="S28" s="10">
        <f t="shared" si="2"/>
        <v>1.4463662932750025</v>
      </c>
      <c r="T28" s="10">
        <f t="shared" si="3"/>
        <v>17.316769045511673</v>
      </c>
      <c r="U28" s="10"/>
      <c r="V28" s="10"/>
      <c r="W28" s="10"/>
      <c r="X28" s="10"/>
      <c r="Y28" s="10"/>
      <c r="Z28" s="10"/>
      <c r="AA28" s="10"/>
      <c r="AB28" s="10"/>
      <c r="AC28" s="10"/>
      <c r="AD28" s="10"/>
      <c r="AE28" s="10"/>
      <c r="AF28" s="10"/>
      <c r="AG28" s="10"/>
      <c r="AH28" s="10"/>
      <c r="AI28" s="10"/>
    </row>
    <row r="29" spans="1:55" x14ac:dyDescent="0.2">
      <c r="A29" s="10"/>
      <c r="B29" s="10"/>
      <c r="C29" s="10"/>
      <c r="D29" s="10"/>
      <c r="E29" s="10"/>
      <c r="F29" s="10" t="s">
        <v>56</v>
      </c>
      <c r="G29" s="10">
        <v>120</v>
      </c>
      <c r="H29" s="10">
        <v>490</v>
      </c>
      <c r="I29" s="10">
        <v>0.2</v>
      </c>
      <c r="J29" s="10">
        <v>0</v>
      </c>
      <c r="K29" s="10">
        <v>0.3</v>
      </c>
      <c r="L29" s="10">
        <f t="shared" si="4"/>
        <v>0.3</v>
      </c>
      <c r="M29" s="10">
        <f t="shared" ref="M29:M64" si="7">1+(0.3*J29) + (0.1*K29)</f>
        <v>1.03</v>
      </c>
      <c r="N29" s="10">
        <f t="shared" si="5"/>
        <v>1.0089999999999999</v>
      </c>
      <c r="O29" s="10">
        <f t="shared" si="6"/>
        <v>8.1860581224004001</v>
      </c>
      <c r="P29" s="10">
        <f>(O29 * (1 -W$11) + (0.04 * O29)) * ( 1 - AF$11 )</f>
        <v>3.0255670820391876</v>
      </c>
      <c r="Q29" s="11">
        <f t="shared" si="1"/>
        <v>1.4234397553138095E-4</v>
      </c>
      <c r="R29" s="10">
        <f>P29 * AD$11 * AA$11 * AC$11 * AE$11</f>
        <v>1.7042278714305059E-3</v>
      </c>
      <c r="S29" s="10">
        <f t="shared" si="2"/>
        <v>1.5586665320686215</v>
      </c>
      <c r="T29" s="10">
        <f t="shared" si="3"/>
        <v>18.66129519216404</v>
      </c>
      <c r="U29" s="10"/>
      <c r="V29" s="10"/>
      <c r="W29" s="10"/>
      <c r="X29" s="10"/>
      <c r="Y29" s="10"/>
      <c r="Z29" s="10"/>
      <c r="AA29" s="10"/>
      <c r="AB29" s="10"/>
      <c r="AC29" s="10"/>
      <c r="AD29" s="10"/>
      <c r="AE29" s="10"/>
      <c r="AF29" s="10"/>
      <c r="AG29" s="10"/>
      <c r="AH29" s="10"/>
      <c r="AI29" s="10"/>
    </row>
    <row r="30" spans="1:55" x14ac:dyDescent="0.2">
      <c r="A30" s="10"/>
      <c r="B30" s="10"/>
      <c r="C30" s="10"/>
      <c r="D30" s="10"/>
      <c r="E30" s="10"/>
      <c r="F30" s="10" t="s">
        <v>57</v>
      </c>
      <c r="G30" s="10">
        <v>130</v>
      </c>
      <c r="H30" s="10">
        <v>500</v>
      </c>
      <c r="I30" s="10">
        <v>0.1</v>
      </c>
      <c r="J30" s="10">
        <v>0</v>
      </c>
      <c r="K30" s="10">
        <v>0</v>
      </c>
      <c r="L30" s="10">
        <f t="shared" si="4"/>
        <v>0</v>
      </c>
      <c r="M30" s="10">
        <f t="shared" si="7"/>
        <v>1</v>
      </c>
      <c r="N30" s="10">
        <f t="shared" si="5"/>
        <v>1</v>
      </c>
      <c r="O30" s="10">
        <f t="shared" si="6"/>
        <v>8.0457322500000004</v>
      </c>
      <c r="P30" s="10">
        <f>(O30 * (1 -X$11) + (0.04 * O30)) * ( 1 - AF$11 )</f>
        <v>3.6495441486</v>
      </c>
      <c r="Q30" s="11">
        <f t="shared" si="1"/>
        <v>1.7170024954095013E-4</v>
      </c>
      <c r="R30" s="10">
        <f>P30 * AD$11 * AA$11 * AC$11 * AE$11</f>
        <v>2.0556988780656223E-3</v>
      </c>
      <c r="S30" s="10">
        <f t="shared" si="2"/>
        <v>2.0367942101795209</v>
      </c>
      <c r="T30" s="10">
        <f t="shared" si="3"/>
        <v>24.385727941053442</v>
      </c>
      <c r="U30" s="10"/>
      <c r="V30" s="10"/>
      <c r="W30" s="10"/>
      <c r="X30" s="10"/>
      <c r="Y30" s="10"/>
      <c r="Z30" s="10"/>
      <c r="AA30" s="10"/>
      <c r="AB30" s="10"/>
      <c r="AC30" s="10"/>
      <c r="AD30" s="10"/>
      <c r="AE30" s="10"/>
      <c r="AF30" s="10"/>
      <c r="AG30" s="10"/>
      <c r="AH30" s="10"/>
      <c r="AI30" s="10"/>
    </row>
    <row r="31" spans="1:55" x14ac:dyDescent="0.2">
      <c r="A31" s="10"/>
      <c r="B31" s="10"/>
      <c r="C31" s="10"/>
      <c r="D31" s="10"/>
      <c r="E31" s="10" t="s">
        <v>47</v>
      </c>
      <c r="F31" s="10" t="s">
        <v>54</v>
      </c>
      <c r="G31" s="10">
        <v>50</v>
      </c>
      <c r="H31" s="10" cm="1">
        <f t="array" ref="H31:H34">_xlfn.XLOOKUP(E31, $AR$46:$BA$46, $AR$47:$BA$50)</f>
        <v>440</v>
      </c>
      <c r="I31" s="10" cm="1">
        <f t="array" ref="I31:I34">_xlfn.XLOOKUP(E31, $AR$106:$BA$106, $AR$107:$BA$110)</f>
        <v>0.3</v>
      </c>
      <c r="J31" s="10">
        <v>0.6</v>
      </c>
      <c r="K31" s="10">
        <v>0.4</v>
      </c>
      <c r="L31" s="10">
        <f t="shared" si="4"/>
        <v>1</v>
      </c>
      <c r="M31" s="10">
        <f t="shared" si="7"/>
        <v>1.22</v>
      </c>
      <c r="N31" s="10">
        <f t="shared" si="5"/>
        <v>1.22</v>
      </c>
      <c r="O31" s="10">
        <f t="shared" si="6"/>
        <v>9.3862329768720016</v>
      </c>
      <c r="P31" s="10">
        <f>(O31 * (1 -U$11) + (0.04 * O31)) * ( 1 - AF$11 )</f>
        <v>3.8633734932805153</v>
      </c>
      <c r="Q31" s="11">
        <f t="shared" si="1"/>
        <v>1.8176028727330814E-4</v>
      </c>
      <c r="R31" s="10">
        <f>P31 * AD$11 * AA$11 * AC$11 * AE$11</f>
        <v>2.1761437133817987E-3</v>
      </c>
      <c r="S31" s="10">
        <f t="shared" si="2"/>
        <v>0.82928131068446842</v>
      </c>
      <c r="T31" s="10">
        <f t="shared" si="3"/>
        <v>9.9286556923044564</v>
      </c>
      <c r="U31" s="10"/>
      <c r="V31" s="10"/>
      <c r="W31" s="10"/>
      <c r="X31" s="10"/>
      <c r="Y31" s="10"/>
      <c r="Z31" s="10"/>
      <c r="AA31" s="10"/>
      <c r="AB31" s="10"/>
      <c r="AC31" s="10"/>
      <c r="AD31" s="10"/>
      <c r="AE31" s="10"/>
      <c r="AF31" s="10"/>
      <c r="AG31" s="10"/>
      <c r="AH31" s="10"/>
      <c r="AI31" s="10"/>
    </row>
    <row r="32" spans="1:55" x14ac:dyDescent="0.2">
      <c r="A32" s="10"/>
      <c r="B32" s="10"/>
      <c r="C32" s="10"/>
      <c r="D32" s="10"/>
      <c r="E32" s="10"/>
      <c r="F32" s="10" t="s">
        <v>55</v>
      </c>
      <c r="G32" s="10">
        <v>60</v>
      </c>
      <c r="H32" s="10">
        <v>470</v>
      </c>
      <c r="I32" s="10">
        <v>0.3</v>
      </c>
      <c r="J32" s="10">
        <v>0</v>
      </c>
      <c r="K32" s="10">
        <v>0.6</v>
      </c>
      <c r="L32" s="10">
        <f t="shared" si="4"/>
        <v>0.6</v>
      </c>
      <c r="M32" s="10">
        <f t="shared" si="7"/>
        <v>1.06</v>
      </c>
      <c r="N32" s="10">
        <f t="shared" si="5"/>
        <v>1.036</v>
      </c>
      <c r="O32" s="10">
        <f t="shared" si="6"/>
        <v>8.349842861337601</v>
      </c>
      <c r="P32" s="10">
        <f>(O32 * (1 -V$11) + (0.04 * O32)) * ( 1 - AF$11 )</f>
        <v>2.7354085213741977</v>
      </c>
      <c r="Q32" s="11">
        <f t="shared" si="1"/>
        <v>1.2869287412143273E-4</v>
      </c>
      <c r="R32" s="10">
        <f>P32 * AD$11 * AA$11 * AC$11 * AE$11</f>
        <v>1.5407886572894824E-3</v>
      </c>
      <c r="S32" s="10">
        <f t="shared" si="2"/>
        <v>0.70459348581484416</v>
      </c>
      <c r="T32" s="10">
        <f t="shared" si="3"/>
        <v>8.4358178986599164</v>
      </c>
      <c r="U32" s="10"/>
      <c r="V32" s="10"/>
      <c r="W32" s="10"/>
      <c r="X32" s="10"/>
      <c r="Y32" s="10"/>
      <c r="Z32" s="10"/>
      <c r="AA32" s="10"/>
      <c r="AB32" s="10"/>
      <c r="AC32" s="10"/>
      <c r="AD32" s="10"/>
      <c r="AE32" s="10"/>
      <c r="AF32" s="10"/>
      <c r="AG32" s="10"/>
      <c r="AH32" s="10"/>
      <c r="AI32" s="10"/>
    </row>
    <row r="33" spans="1:53" x14ac:dyDescent="0.2">
      <c r="A33" s="10"/>
      <c r="B33" s="10"/>
      <c r="C33" s="10"/>
      <c r="D33" s="10"/>
      <c r="E33" s="10"/>
      <c r="F33" s="10" t="s">
        <v>56</v>
      </c>
      <c r="G33" s="10">
        <v>70</v>
      </c>
      <c r="H33" s="10">
        <v>490</v>
      </c>
      <c r="I33" s="10">
        <v>0.2</v>
      </c>
      <c r="J33" s="10">
        <v>0</v>
      </c>
      <c r="K33" s="10">
        <v>0</v>
      </c>
      <c r="L33" s="10">
        <f t="shared" si="4"/>
        <v>0</v>
      </c>
      <c r="M33" s="10">
        <f t="shared" si="7"/>
        <v>1</v>
      </c>
      <c r="N33" s="10">
        <f t="shared" si="5"/>
        <v>1</v>
      </c>
      <c r="O33" s="10">
        <f t="shared" si="6"/>
        <v>8.1130407556000002</v>
      </c>
      <c r="P33" s="10">
        <f>(O33 * (1 -W$11) + (0.04 * O33)) * ( 1 - AF$11 )</f>
        <v>2.99857986326976</v>
      </c>
      <c r="Q33" s="11">
        <f t="shared" si="1"/>
        <v>1.4107430677044692E-4</v>
      </c>
      <c r="R33" s="10">
        <f>P33 * AD$11 * AA$11 * AC$11 * AE$11</f>
        <v>1.6890266317448027E-3</v>
      </c>
      <c r="S33" s="10">
        <f t="shared" si="2"/>
        <v>0.90111213449622973</v>
      </c>
      <c r="T33" s="10">
        <f t="shared" si="3"/>
        <v>10.788657610269928</v>
      </c>
      <c r="U33" s="10"/>
      <c r="V33" s="10"/>
      <c r="W33" s="10"/>
      <c r="X33" s="10"/>
      <c r="Y33" s="10"/>
      <c r="Z33" s="10"/>
      <c r="AA33" s="10"/>
      <c r="AB33" s="10"/>
      <c r="AC33" s="10"/>
      <c r="AD33" s="10"/>
      <c r="AE33" s="10"/>
      <c r="AF33" s="10"/>
      <c r="AG33" s="10"/>
      <c r="AH33" s="10"/>
      <c r="AI33" s="10"/>
    </row>
    <row r="34" spans="1:53" x14ac:dyDescent="0.2">
      <c r="A34" s="10"/>
      <c r="B34" s="10"/>
      <c r="C34" s="10"/>
      <c r="D34" s="10"/>
      <c r="E34" s="10"/>
      <c r="F34" s="10" t="s">
        <v>57</v>
      </c>
      <c r="G34" s="10">
        <v>80</v>
      </c>
      <c r="H34" s="10">
        <v>500</v>
      </c>
      <c r="I34" s="10">
        <v>0.1</v>
      </c>
      <c r="J34" s="10">
        <v>0.4</v>
      </c>
      <c r="K34" s="10">
        <v>0</v>
      </c>
      <c r="L34" s="10">
        <f t="shared" si="4"/>
        <v>0.4</v>
      </c>
      <c r="M34" s="10">
        <f t="shared" si="7"/>
        <v>1.1200000000000001</v>
      </c>
      <c r="N34" s="10">
        <f t="shared" si="5"/>
        <v>1.048</v>
      </c>
      <c r="O34" s="10">
        <f t="shared" si="6"/>
        <v>8.4319273980000009</v>
      </c>
      <c r="P34" s="10">
        <f>(O34 * (1 -X$11) + (0.04 * O34)) * ( 1 - AF$11 )</f>
        <v>3.8247222677328003</v>
      </c>
      <c r="Q34" s="11">
        <f t="shared" si="1"/>
        <v>1.7994186151891575E-4</v>
      </c>
      <c r="R34" s="10">
        <f>P34 * AD$11 * AA$11 * AC$11 * AE$11</f>
        <v>2.154372424212772E-3</v>
      </c>
      <c r="S34" s="10">
        <f t="shared" si="2"/>
        <v>1.3135755890880849</v>
      </c>
      <c r="T34" s="10">
        <f t="shared" si="3"/>
        <v>15.726918696753236</v>
      </c>
      <c r="U34" s="10"/>
      <c r="V34" s="10"/>
      <c r="W34" s="10"/>
      <c r="X34" s="10"/>
      <c r="Y34" s="10"/>
      <c r="Z34" s="10"/>
      <c r="AA34" s="10"/>
      <c r="AB34" s="10"/>
      <c r="AC34" s="10"/>
      <c r="AD34" s="10"/>
      <c r="AE34" s="10"/>
      <c r="AF34" s="10"/>
      <c r="AG34" s="10"/>
      <c r="AH34" s="10"/>
      <c r="AI34" s="10"/>
    </row>
    <row r="35" spans="1:53" x14ac:dyDescent="0.2">
      <c r="A35" s="10"/>
      <c r="B35" s="10"/>
      <c r="C35" s="10"/>
      <c r="D35" s="10"/>
      <c r="E35" s="10" t="s">
        <v>48</v>
      </c>
      <c r="F35" s="10" t="s">
        <v>54</v>
      </c>
      <c r="G35" s="10">
        <v>200</v>
      </c>
      <c r="H35" s="10" cm="1">
        <f t="array" ref="H35:H38">_xlfn.XLOOKUP(E35, $AR$46:$BA$46, $AR$47:$BA$50)</f>
        <v>75</v>
      </c>
      <c r="I35" s="10" cm="1">
        <f t="array" ref="I35:I38">_xlfn.XLOOKUP(E35, $AR$106:$BA$106, $AR$107:$BA$110)</f>
        <v>0.5</v>
      </c>
      <c r="J35" s="10"/>
      <c r="K35" s="10"/>
      <c r="L35" s="10">
        <f t="shared" si="4"/>
        <v>0</v>
      </c>
      <c r="M35" s="10">
        <f t="shared" si="7"/>
        <v>1</v>
      </c>
      <c r="N35" s="10">
        <v>1</v>
      </c>
      <c r="O35" s="10">
        <f t="shared" si="6"/>
        <v>2.7834751406249998</v>
      </c>
      <c r="P35" s="10">
        <f>(O35 * (1 -U$11) + (0.04 * O35)) * ( 1 - AF$11 )</f>
        <v>1.1456783678812499</v>
      </c>
      <c r="Q35" s="11">
        <f t="shared" si="1"/>
        <v>5.390077600084388E-5</v>
      </c>
      <c r="R35" s="10">
        <f>P35 * AD$11 * AA$11 * AC$11 * AE$11</f>
        <v>6.4533257842106233E-4</v>
      </c>
      <c r="S35" s="10">
        <f t="shared" si="2"/>
        <v>0.98368916201540069</v>
      </c>
      <c r="T35" s="10">
        <f t="shared" si="3"/>
        <v>11.777319556184386</v>
      </c>
      <c r="U35" s="10"/>
      <c r="V35" s="10"/>
      <c r="W35" s="10"/>
      <c r="X35" s="10"/>
      <c r="Y35" s="10"/>
      <c r="Z35" s="10"/>
      <c r="AA35" s="10"/>
      <c r="AB35" s="10"/>
      <c r="AC35" s="10"/>
      <c r="AD35" s="10"/>
      <c r="AE35" s="10"/>
      <c r="AF35" s="10"/>
      <c r="AG35" s="10"/>
      <c r="AH35" s="10"/>
      <c r="AI35" s="10"/>
    </row>
    <row r="36" spans="1:53" x14ac:dyDescent="0.2">
      <c r="A36" s="10"/>
      <c r="B36" s="10"/>
      <c r="C36" s="10"/>
      <c r="D36" s="10"/>
      <c r="E36" s="10"/>
      <c r="F36" s="10" t="s">
        <v>55</v>
      </c>
      <c r="G36" s="10">
        <v>130</v>
      </c>
      <c r="H36" s="10">
        <v>160</v>
      </c>
      <c r="I36" s="10">
        <v>0.9</v>
      </c>
      <c r="J36" s="10"/>
      <c r="K36" s="10"/>
      <c r="L36" s="10">
        <f t="shared" si="4"/>
        <v>0</v>
      </c>
      <c r="M36" s="10">
        <f t="shared" si="7"/>
        <v>1</v>
      </c>
      <c r="N36" s="10">
        <v>1</v>
      </c>
      <c r="O36" s="10">
        <f t="shared" si="6"/>
        <v>4.5298311556000002</v>
      </c>
      <c r="P36" s="10">
        <f>(O36 * (1 -V$11) + (0.04 * O36)) * ( 1 - AF$11 )</f>
        <v>1.4839726865745599</v>
      </c>
      <c r="Q36" s="11">
        <f t="shared" si="1"/>
        <v>6.9816522344180778E-5</v>
      </c>
      <c r="R36" s="10">
        <f>P36 * AD$11 * AA$11 * AC$11 * AE$11</f>
        <v>8.3588548669608228E-4</v>
      </c>
      <c r="S36" s="10">
        <f t="shared" si="2"/>
        <v>0.82819849630784437</v>
      </c>
      <c r="T36" s="10">
        <f t="shared" si="3"/>
        <v>9.9156915859322758</v>
      </c>
      <c r="U36" s="10"/>
      <c r="V36" s="10"/>
      <c r="W36" s="10"/>
      <c r="X36" s="10"/>
      <c r="Y36" s="10"/>
      <c r="Z36" s="10"/>
      <c r="AA36" s="10"/>
      <c r="AB36" s="10"/>
      <c r="AC36" s="10"/>
      <c r="AD36" s="10"/>
      <c r="AE36" s="10"/>
      <c r="AF36" s="10"/>
      <c r="AG36" s="10"/>
      <c r="AH36" s="10"/>
      <c r="AI36" s="10"/>
    </row>
    <row r="37" spans="1:53" x14ac:dyDescent="0.2">
      <c r="A37" s="10"/>
      <c r="B37" s="10"/>
      <c r="C37" s="10"/>
      <c r="D37" s="10"/>
      <c r="E37" s="10"/>
      <c r="F37" s="10" t="s">
        <v>56</v>
      </c>
      <c r="G37" s="10">
        <v>250</v>
      </c>
      <c r="H37" s="10">
        <v>220</v>
      </c>
      <c r="I37" s="10">
        <v>0.7</v>
      </c>
      <c r="J37" s="10"/>
      <c r="K37" s="10"/>
      <c r="L37" s="10">
        <f t="shared" si="4"/>
        <v>0</v>
      </c>
      <c r="M37" s="10">
        <f t="shared" si="7"/>
        <v>1</v>
      </c>
      <c r="N37" s="10">
        <v>1</v>
      </c>
      <c r="O37" s="10">
        <f t="shared" si="6"/>
        <v>5.1913799715999973</v>
      </c>
      <c r="P37" s="10">
        <f>(O37 * (1 -W$11) + (0.04 * O37)) * ( 1 - AF$11 )</f>
        <v>1.918734037503359</v>
      </c>
      <c r="Q37" s="11">
        <f t="shared" si="1"/>
        <v>9.0270757011782037E-5</v>
      </c>
      <c r="R37" s="10">
        <f>P37 * AD$11 * AA$11 * AC$11 * AE$11</f>
        <v>1.0807759127164039E-3</v>
      </c>
      <c r="S37" s="10">
        <f t="shared" si="2"/>
        <v>2.0593016443312777</v>
      </c>
      <c r="T37" s="10">
        <f t="shared" si="3"/>
        <v>24.655200508842963</v>
      </c>
      <c r="U37" s="10"/>
      <c r="V37" s="10"/>
      <c r="W37" s="10"/>
      <c r="X37" s="10"/>
      <c r="Y37" s="10"/>
      <c r="Z37" s="10"/>
      <c r="AA37" s="10"/>
      <c r="AB37" s="10"/>
      <c r="AC37" s="10"/>
      <c r="AD37" s="10"/>
      <c r="AE37" s="10"/>
      <c r="AF37" s="10"/>
      <c r="AG37" s="10"/>
      <c r="AH37" s="10"/>
      <c r="AI37" s="10"/>
    </row>
    <row r="38" spans="1:53" x14ac:dyDescent="0.2">
      <c r="A38" s="10"/>
      <c r="B38" s="10"/>
      <c r="C38" s="10"/>
      <c r="D38" s="10"/>
      <c r="E38" s="10"/>
      <c r="F38" s="10" t="s">
        <v>57</v>
      </c>
      <c r="G38" s="10">
        <v>150</v>
      </c>
      <c r="H38" s="10">
        <v>260</v>
      </c>
      <c r="I38" s="10">
        <v>0.4</v>
      </c>
      <c r="J38" s="10"/>
      <c r="K38" s="10"/>
      <c r="L38" s="10">
        <f t="shared" si="4"/>
        <v>0</v>
      </c>
      <c r="M38" s="10">
        <f t="shared" si="7"/>
        <v>1</v>
      </c>
      <c r="N38" s="10">
        <v>1</v>
      </c>
      <c r="O38" s="10">
        <f t="shared" si="6"/>
        <v>5.3621886096000004</v>
      </c>
      <c r="P38" s="10">
        <f>(O38 * (1 -X$11) + (0.04 * O38)) * ( 1 - AF$11 )</f>
        <v>2.4322887533145603</v>
      </c>
      <c r="Q38" s="11">
        <f t="shared" si="1"/>
        <v>1.1443198626874025E-4</v>
      </c>
      <c r="R38" s="10">
        <f>P38 * AD$11 * AA$11 * AC$11 * AE$11</f>
        <v>1.3700487123134107E-3</v>
      </c>
      <c r="S38" s="10">
        <f t="shared" si="2"/>
        <v>1.5662878120533821</v>
      </c>
      <c r="T38" s="10">
        <f t="shared" si="3"/>
        <v>18.75254174978981</v>
      </c>
      <c r="U38" s="10"/>
      <c r="V38" s="10"/>
      <c r="W38" s="10"/>
      <c r="X38" s="10"/>
      <c r="Y38" s="10"/>
      <c r="Z38" s="10"/>
      <c r="AA38" s="10"/>
      <c r="AB38" s="10"/>
      <c r="AC38" s="10"/>
      <c r="AD38" s="10"/>
      <c r="AE38" s="10"/>
      <c r="AF38" s="10"/>
      <c r="AG38" s="10"/>
      <c r="AH38" s="10"/>
      <c r="AI38" s="10"/>
    </row>
    <row r="39" spans="1:53" x14ac:dyDescent="0.2">
      <c r="L39" s="10">
        <f t="shared" si="4"/>
        <v>0</v>
      </c>
      <c r="M39" s="10">
        <f t="shared" si="7"/>
        <v>1</v>
      </c>
    </row>
    <row r="40" spans="1:53" x14ac:dyDescent="0.2">
      <c r="L40" s="10">
        <f t="shared" si="4"/>
        <v>0</v>
      </c>
      <c r="M40" s="10">
        <f t="shared" si="7"/>
        <v>1</v>
      </c>
      <c r="AJ40" s="10" t="s">
        <v>136</v>
      </c>
    </row>
    <row r="41" spans="1:53" x14ac:dyDescent="0.2">
      <c r="A41" s="10" t="s">
        <v>121</v>
      </c>
      <c r="B41" s="10" t="s">
        <v>99</v>
      </c>
      <c r="C41" s="10" t="s">
        <v>53</v>
      </c>
      <c r="D41" s="10" t="s">
        <v>53</v>
      </c>
      <c r="E41" s="10" t="s">
        <v>42</v>
      </c>
      <c r="F41" s="10" t="s">
        <v>54</v>
      </c>
      <c r="G41" s="10">
        <v>100</v>
      </c>
      <c r="H41" s="10" cm="1">
        <f t="array" ref="H41:H44">_xlfn.XLOOKUP(E41, $AR$46:$BA$46, $AR$47:$BA$50)</f>
        <v>80</v>
      </c>
      <c r="I41" s="10" cm="1">
        <f t="array" ref="I41:I44">_xlfn.XLOOKUP(E41, $AR$106:$BA$106, $AR$107:$BA$110)</f>
        <v>0.5</v>
      </c>
      <c r="J41" s="10"/>
      <c r="K41" s="10"/>
      <c r="L41" s="10">
        <f t="shared" si="4"/>
        <v>0</v>
      </c>
      <c r="M41" s="10">
        <f t="shared" si="7"/>
        <v>1</v>
      </c>
      <c r="N41" s="10">
        <v>1</v>
      </c>
      <c r="O41" s="10">
        <f>(1.185 + 0.00454 * H41 - 0.0000026 * H41^2 + 0.315 * I41)^2 * N41</f>
        <v>2.8529236835999998</v>
      </c>
      <c r="P41" s="10">
        <f>(O41 * (1 -U$41) + (0.04 * O41)) * ( 1 - AF$41 )</f>
        <v>1.1742633881697597</v>
      </c>
      <c r="Q41" s="12">
        <f>P41 * AD$41 * Z$41 * AB$41 * AE$41</f>
        <v>5.5245616593758213E-5</v>
      </c>
      <c r="R41" s="10">
        <f>P41 * AD$41 * AA$41 * AC$41 * AE$41</f>
        <v>6.6143382058828331E-4</v>
      </c>
      <c r="S41" s="10">
        <f>G41*Q41*91.25</f>
        <v>0.50411625141804373</v>
      </c>
      <c r="T41" s="10">
        <f>G41*R41*91.25</f>
        <v>6.0355836128680851</v>
      </c>
      <c r="U41" s="10" cm="1">
        <f t="array" ref="U41:X41">_xlfn.XLOOKUP(C41,$AT$18:$AT$26,$AU$18:$AX$26)</f>
        <v>0.55000000000000004</v>
      </c>
      <c r="V41" s="10">
        <v>0.65</v>
      </c>
      <c r="W41" s="10">
        <v>0.6</v>
      </c>
      <c r="X41" s="10">
        <v>0.5</v>
      </c>
      <c r="Y41" s="10" t="s">
        <v>91</v>
      </c>
      <c r="Z41" s="10">
        <f>IF(Y41="yes", $AP$6, $AQ$6)</f>
        <v>0.05</v>
      </c>
      <c r="AA41" s="10">
        <f>IF(Y41="yes", $AP$7, $AQ$7)</f>
        <v>0.95</v>
      </c>
      <c r="AB41" s="10">
        <f>VLOOKUP(B41, $BB$17:$BC$26, 2, FALSE)</f>
        <v>7.3000000000000001E-3</v>
      </c>
      <c r="AC41" s="10">
        <f>$BC$14</f>
        <v>4.5999999999999999E-3</v>
      </c>
      <c r="AD41" s="10">
        <f>$AU$5</f>
        <v>0.19</v>
      </c>
      <c r="AE41" s="10">
        <f>$AU$6</f>
        <v>0.6784</v>
      </c>
      <c r="AF41" s="10">
        <f>$AU$7</f>
        <v>0.16</v>
      </c>
      <c r="AG41" s="10">
        <f>SUM(S41:T64)</f>
        <v>256.46968526261992</v>
      </c>
      <c r="AH41" s="10">
        <f>$AU$8</f>
        <v>28</v>
      </c>
      <c r="AI41" s="10">
        <f>AG41 * AH41 * 10^-3</f>
        <v>7.1811511873533584</v>
      </c>
    </row>
    <row r="42" spans="1:53" x14ac:dyDescent="0.2">
      <c r="A42" s="10"/>
      <c r="B42" s="10"/>
      <c r="C42" s="10"/>
      <c r="D42" s="10"/>
      <c r="E42" s="10"/>
      <c r="F42" s="10" t="s">
        <v>55</v>
      </c>
      <c r="G42" s="10">
        <v>110</v>
      </c>
      <c r="H42" s="10">
        <v>170</v>
      </c>
      <c r="I42" s="10">
        <v>1</v>
      </c>
      <c r="J42" s="10"/>
      <c r="K42" s="10"/>
      <c r="L42" s="10">
        <f t="shared" si="4"/>
        <v>0</v>
      </c>
      <c r="M42" s="10">
        <f t="shared" si="7"/>
        <v>1</v>
      </c>
      <c r="N42" s="10">
        <v>1</v>
      </c>
      <c r="O42" s="10">
        <f t="shared" ref="O42:O56" si="8">(1.185 + 0.00454 * H42 - 0.0000026 * H42^2 + 0.315 * I42)^2 * N42</f>
        <v>4.8253151556000002</v>
      </c>
      <c r="P42" s="10">
        <f>(O42 * (1 -V$41) + (0.04 * O42)) * ( 1 - AF$41 )</f>
        <v>1.58077324497456</v>
      </c>
      <c r="Q42" s="12">
        <f t="shared" ref="Q42:Q64" si="9">P42 * AD$41 * Z$41 * AB$41 * AE$41</f>
        <v>7.4370702087247912E-5</v>
      </c>
      <c r="R42" s="10">
        <f t="shared" ref="R42:R64" si="10">P42 * AD$41 * AA$41 * AC$41 * AE$41</f>
        <v>8.9041087156513257E-4</v>
      </c>
      <c r="S42" s="10">
        <f>G42*Q42*91.25</f>
        <v>0.74649592220075089</v>
      </c>
      <c r="T42" s="10">
        <f>G42*R42*91.25</f>
        <v>8.9374991233350194</v>
      </c>
      <c r="U42" s="10"/>
      <c r="V42" s="10"/>
      <c r="W42" s="10"/>
      <c r="X42" s="10"/>
      <c r="Y42" s="10"/>
      <c r="Z42" s="10"/>
      <c r="AA42" s="10"/>
      <c r="AB42" s="10"/>
      <c r="AC42" s="10"/>
      <c r="AD42" s="10"/>
      <c r="AE42" s="10"/>
      <c r="AF42" s="10"/>
      <c r="AG42" s="10"/>
      <c r="AH42" s="10"/>
      <c r="AI42" s="10"/>
    </row>
    <row r="43" spans="1:53" x14ac:dyDescent="0.2">
      <c r="A43" s="10"/>
      <c r="B43" s="10"/>
      <c r="C43" s="10"/>
      <c r="D43" s="10"/>
      <c r="E43" s="10"/>
      <c r="F43" s="10" t="s">
        <v>56</v>
      </c>
      <c r="G43" s="10">
        <v>120</v>
      </c>
      <c r="H43" s="10">
        <v>240</v>
      </c>
      <c r="I43" s="10">
        <v>0.8</v>
      </c>
      <c r="J43" s="10"/>
      <c r="K43" s="10"/>
      <c r="L43" s="10">
        <f t="shared" si="4"/>
        <v>0</v>
      </c>
      <c r="M43" s="10">
        <f t="shared" si="7"/>
        <v>1</v>
      </c>
      <c r="N43" s="10">
        <v>1</v>
      </c>
      <c r="O43" s="10">
        <f t="shared" si="8"/>
        <v>5.6493683855999981</v>
      </c>
      <c r="P43" s="10">
        <f>(O43 * (1 -W$41) + (0.04 * O43)) * ( 1 - AF$41 )</f>
        <v>2.0880065553177594</v>
      </c>
      <c r="Q43" s="12">
        <f t="shared" si="9"/>
        <v>9.8234527928296858E-5</v>
      </c>
      <c r="R43" s="10">
        <f t="shared" si="10"/>
        <v>1.1761229782100196E-3</v>
      </c>
      <c r="S43" s="10">
        <f>G43*Q43*91.25</f>
        <v>1.0756680808148507</v>
      </c>
      <c r="T43" s="10">
        <f>G43*R43*91.25</f>
        <v>12.878546611399717</v>
      </c>
      <c r="U43" s="10"/>
      <c r="V43" s="10"/>
      <c r="W43" s="10"/>
      <c r="X43" s="10"/>
      <c r="Y43" s="10"/>
      <c r="Z43" s="10"/>
      <c r="AA43" s="10"/>
      <c r="AB43" s="10"/>
      <c r="AC43" s="10"/>
      <c r="AD43" s="10"/>
      <c r="AE43" s="10"/>
      <c r="AF43" s="10"/>
      <c r="AG43" s="10"/>
      <c r="AH43" s="10"/>
      <c r="AI43" s="10"/>
    </row>
    <row r="44" spans="1:53" x14ac:dyDescent="0.2">
      <c r="A44" s="10"/>
      <c r="B44" s="10"/>
      <c r="C44" s="10"/>
      <c r="D44" s="10"/>
      <c r="E44" s="10"/>
      <c r="F44" s="10" t="s">
        <v>57</v>
      </c>
      <c r="G44" s="10">
        <v>130</v>
      </c>
      <c r="H44" s="10">
        <v>280</v>
      </c>
      <c r="I44" s="10">
        <v>0.4</v>
      </c>
      <c r="J44" s="10"/>
      <c r="K44" s="10"/>
      <c r="L44" s="10">
        <f t="shared" si="4"/>
        <v>0</v>
      </c>
      <c r="M44" s="10">
        <f t="shared" si="7"/>
        <v>1</v>
      </c>
      <c r="N44" s="10">
        <v>1</v>
      </c>
      <c r="O44" s="10">
        <f t="shared" si="8"/>
        <v>5.6565962895999995</v>
      </c>
      <c r="P44" s="10">
        <f>(O44 * (1 -X$41) + (0.04 * O44)) * ( 1 - AF$41 )</f>
        <v>2.5658320769625598</v>
      </c>
      <c r="Q44" s="12">
        <f t="shared" si="9"/>
        <v>1.2071480435814064E-4</v>
      </c>
      <c r="R44" s="10">
        <f t="shared" si="10"/>
        <v>1.4452703973837659E-3</v>
      </c>
      <c r="S44" s="10">
        <f>G44*Q44*91.25</f>
        <v>1.4319793666984433</v>
      </c>
      <c r="T44" s="10">
        <f>G44*R44*91.25</f>
        <v>17.144520088964921</v>
      </c>
      <c r="U44" s="10"/>
      <c r="V44" s="10"/>
      <c r="W44" s="10"/>
      <c r="X44" s="10"/>
      <c r="Y44" s="10"/>
      <c r="Z44" s="10"/>
      <c r="AA44" s="10"/>
      <c r="AB44" s="10"/>
      <c r="AC44" s="10"/>
      <c r="AD44" s="10"/>
      <c r="AE44" s="10"/>
      <c r="AF44" s="10"/>
      <c r="AG44" s="10"/>
      <c r="AH44" s="10"/>
    </row>
    <row r="45" spans="1:53" x14ac:dyDescent="0.2">
      <c r="A45" s="10"/>
      <c r="B45" s="10"/>
      <c r="C45" s="10"/>
      <c r="D45" s="10"/>
      <c r="E45" s="10" t="s">
        <v>46</v>
      </c>
      <c r="F45" s="10" t="s">
        <v>54</v>
      </c>
      <c r="G45" s="10">
        <v>70</v>
      </c>
      <c r="H45" s="10" cm="1">
        <f t="array" ref="H45:H48">_xlfn.XLOOKUP(E45, $AR$46:$BA$46, $AR$47:$BA$50)</f>
        <v>440</v>
      </c>
      <c r="I45" s="10" cm="1">
        <f t="array" ref="I45:I48">_xlfn.XLOOKUP(E45, $AR$106:$BA$106, $AR$107:$BA$110)</f>
        <v>0.3</v>
      </c>
      <c r="J45" s="10">
        <v>1</v>
      </c>
      <c r="K45" s="10">
        <v>0</v>
      </c>
      <c r="L45" s="10">
        <f t="shared" si="4"/>
        <v>1</v>
      </c>
      <c r="M45" s="10">
        <f t="shared" si="7"/>
        <v>1.3</v>
      </c>
      <c r="N45" s="10">
        <f>(L45*M45)+(1 - L45)</f>
        <v>1.3</v>
      </c>
      <c r="O45" s="10">
        <f>(1.185 + 0.00454 * H45 - 0.0000026 * H45^2 + 0.315 * I45)^2 * N45</f>
        <v>10.001723663880002</v>
      </c>
      <c r="P45" s="10">
        <f t="shared" ref="P45" si="11">(O45 * (1 -U$41) + (0.04 * O45)) * ( 1 - AF$41 )</f>
        <v>4.1167094600530074</v>
      </c>
      <c r="Q45" s="12">
        <f t="shared" si="9"/>
        <v>1.9367899463549227E-4</v>
      </c>
      <c r="R45" s="10">
        <f t="shared" si="10"/>
        <v>2.3188416618002772E-3</v>
      </c>
      <c r="S45" s="10">
        <f t="shared" ref="S45:S64" si="12">G45*Q45*91.25</f>
        <v>1.2371245782342069</v>
      </c>
      <c r="T45" s="10">
        <f t="shared" ref="T45:T64" si="13">G45*R45*91.25</f>
        <v>14.811601114749271</v>
      </c>
      <c r="U45" s="10"/>
      <c r="V45" s="10"/>
      <c r="W45" s="10">
        <f>(1.185 + 0.00454 * H45 - 0.0000026 * H45^2 + 0.315 * I45)^2</f>
        <v>7.6936335876000008</v>
      </c>
      <c r="X45" s="10">
        <f>(1.185 + 0.00454 * H45 - 0.0000026 * H45^2 + 0.315 * I45)^2 * N45</f>
        <v>10.001723663880002</v>
      </c>
      <c r="Y45" s="10"/>
      <c r="Z45" s="10"/>
      <c r="AA45" s="10"/>
      <c r="AB45" s="10"/>
      <c r="AC45" s="10"/>
      <c r="AD45" s="10"/>
      <c r="AE45" s="10"/>
      <c r="AF45" s="10"/>
      <c r="AG45" s="10"/>
      <c r="AH45" s="10"/>
      <c r="AI45" s="10"/>
      <c r="AR45" s="4" t="s">
        <v>66</v>
      </c>
      <c r="AS45" s="4" t="s">
        <v>66</v>
      </c>
      <c r="AT45" s="4" t="s">
        <v>67</v>
      </c>
      <c r="AU45" s="4" t="s">
        <v>67</v>
      </c>
      <c r="AV45" s="4" t="s">
        <v>67</v>
      </c>
      <c r="AW45" s="4" t="s">
        <v>67</v>
      </c>
      <c r="AX45" s="4" t="s">
        <v>68</v>
      </c>
      <c r="AY45" s="4" t="s">
        <v>68</v>
      </c>
      <c r="AZ45" s="4" t="s">
        <v>68</v>
      </c>
      <c r="BA45" s="4" t="s">
        <v>68</v>
      </c>
    </row>
    <row r="46" spans="1:53" x14ac:dyDescent="0.2">
      <c r="A46" s="10"/>
      <c r="B46" s="10"/>
      <c r="C46" s="10"/>
      <c r="D46" s="10"/>
      <c r="E46" s="10"/>
      <c r="F46" s="10" t="s">
        <v>55</v>
      </c>
      <c r="G46" s="10">
        <v>77</v>
      </c>
      <c r="H46" s="10">
        <v>470</v>
      </c>
      <c r="I46" s="10">
        <v>0.3</v>
      </c>
      <c r="J46" s="10">
        <v>0</v>
      </c>
      <c r="K46" s="10">
        <v>1</v>
      </c>
      <c r="L46" s="10">
        <f t="shared" si="4"/>
        <v>1</v>
      </c>
      <c r="M46" s="10">
        <f t="shared" si="7"/>
        <v>1.1000000000000001</v>
      </c>
      <c r="N46" s="10">
        <f t="shared" ref="N46:N48" si="14">(L46*M46)+(1 - L46)</f>
        <v>1.1000000000000001</v>
      </c>
      <c r="O46" s="10">
        <f t="shared" ref="O46:O48" si="15">(1.185 + 0.00454 * H46 - 0.0000026 * H46^2 + 0.315 * I46)^2 * N46</f>
        <v>8.8656632697600024</v>
      </c>
      <c r="P46" s="10">
        <f t="shared" ref="P46" si="16">(O46 * (1 -V$41) + (0.04 * O46)) * ( 1 - AF$41 )</f>
        <v>2.9043912871733766</v>
      </c>
      <c r="Q46" s="12">
        <f t="shared" si="9"/>
        <v>1.3664301306329734E-4</v>
      </c>
      <c r="R46" s="10">
        <f t="shared" si="10"/>
        <v>1.6359725125660528E-3</v>
      </c>
      <c r="S46" s="10">
        <f t="shared" si="12"/>
        <v>0.96008797053599293</v>
      </c>
      <c r="T46" s="10">
        <f t="shared" si="13"/>
        <v>11.494751866417229</v>
      </c>
      <c r="U46" s="10"/>
      <c r="V46" s="10"/>
      <c r="W46" s="10"/>
      <c r="X46" s="10"/>
      <c r="Y46" s="10"/>
      <c r="Z46" s="10"/>
      <c r="AA46" s="10"/>
      <c r="AB46" s="10"/>
      <c r="AC46" s="10"/>
      <c r="AD46" s="10"/>
      <c r="AE46" s="10"/>
      <c r="AF46" s="10"/>
      <c r="AG46" s="10"/>
      <c r="AH46" s="10"/>
      <c r="AR46" s="4" t="s">
        <v>42</v>
      </c>
      <c r="AS46" s="4" t="s">
        <v>43</v>
      </c>
      <c r="AT46" s="4" t="s">
        <v>44</v>
      </c>
      <c r="AU46" s="5" t="s">
        <v>45</v>
      </c>
      <c r="AV46" s="4" t="s">
        <v>46</v>
      </c>
      <c r="AW46" s="4" t="s">
        <v>47</v>
      </c>
      <c r="AX46" s="4" t="s">
        <v>48</v>
      </c>
      <c r="AY46" s="4" t="s">
        <v>49</v>
      </c>
      <c r="AZ46" s="4" t="s">
        <v>50</v>
      </c>
      <c r="BA46" s="4" t="s">
        <v>51</v>
      </c>
    </row>
    <row r="47" spans="1:53" x14ac:dyDescent="0.2">
      <c r="A47" s="10"/>
      <c r="B47" s="10"/>
      <c r="C47" s="10"/>
      <c r="D47" s="10"/>
      <c r="E47" s="10"/>
      <c r="F47" s="10" t="s">
        <v>56</v>
      </c>
      <c r="G47" s="10">
        <v>84</v>
      </c>
      <c r="H47" s="10">
        <v>490</v>
      </c>
      <c r="I47" s="10">
        <v>0.2</v>
      </c>
      <c r="J47" s="10">
        <v>0</v>
      </c>
      <c r="K47" s="10">
        <v>0</v>
      </c>
      <c r="L47" s="10">
        <f t="shared" si="4"/>
        <v>0</v>
      </c>
      <c r="M47" s="10">
        <f t="shared" si="7"/>
        <v>1</v>
      </c>
      <c r="N47" s="10">
        <f t="shared" si="14"/>
        <v>1</v>
      </c>
      <c r="O47" s="10">
        <f t="shared" si="15"/>
        <v>8.1130407556000002</v>
      </c>
      <c r="P47" s="10">
        <f t="shared" ref="P47" si="17">(O47 * (1 -W$41) + (0.04 * O47)) * ( 1 - AF$41 )</f>
        <v>2.99857986326976</v>
      </c>
      <c r="Q47" s="12">
        <f t="shared" si="9"/>
        <v>1.4107430677044692E-4</v>
      </c>
      <c r="R47" s="10">
        <f t="shared" si="10"/>
        <v>1.6890266317448027E-3</v>
      </c>
      <c r="S47" s="10">
        <f t="shared" si="12"/>
        <v>1.0813345613954757</v>
      </c>
      <c r="T47" s="10">
        <f t="shared" si="13"/>
        <v>12.946389132323912</v>
      </c>
      <c r="U47" s="10"/>
      <c r="V47" s="10"/>
      <c r="W47" s="10"/>
      <c r="X47" s="10"/>
      <c r="Y47" s="10"/>
      <c r="Z47" s="10"/>
      <c r="AA47" s="10"/>
      <c r="AB47" s="10"/>
      <c r="AC47" s="10"/>
      <c r="AD47" s="10"/>
      <c r="AE47" s="10"/>
      <c r="AF47" s="10"/>
      <c r="AG47" s="10"/>
      <c r="AH47" s="10"/>
      <c r="AI47" s="10"/>
      <c r="AO47" t="s">
        <v>53</v>
      </c>
      <c r="AQ47" s="2" t="s">
        <v>54</v>
      </c>
      <c r="AR47" s="2">
        <v>80</v>
      </c>
      <c r="AS47" s="2">
        <v>480</v>
      </c>
      <c r="AT47" s="2">
        <v>75</v>
      </c>
      <c r="AU47" s="2">
        <v>300</v>
      </c>
      <c r="AV47" s="2">
        <v>440</v>
      </c>
      <c r="AW47" s="2">
        <v>440</v>
      </c>
      <c r="AX47" s="2">
        <v>75</v>
      </c>
      <c r="AY47">
        <v>380</v>
      </c>
      <c r="AZ47">
        <v>380</v>
      </c>
      <c r="BA47">
        <v>380</v>
      </c>
    </row>
    <row r="48" spans="1:53" x14ac:dyDescent="0.2">
      <c r="A48" s="10"/>
      <c r="B48" s="10"/>
      <c r="C48" s="10"/>
      <c r="D48" s="10"/>
      <c r="E48" s="10"/>
      <c r="F48" s="10" t="s">
        <v>57</v>
      </c>
      <c r="G48" s="10">
        <v>91</v>
      </c>
      <c r="H48" s="10">
        <v>500</v>
      </c>
      <c r="I48" s="10">
        <v>0.1</v>
      </c>
      <c r="J48" s="10">
        <v>0</v>
      </c>
      <c r="K48" s="10">
        <v>0</v>
      </c>
      <c r="L48" s="10">
        <f t="shared" si="4"/>
        <v>0</v>
      </c>
      <c r="M48" s="10">
        <f t="shared" si="7"/>
        <v>1</v>
      </c>
      <c r="N48" s="10">
        <f t="shared" si="14"/>
        <v>1</v>
      </c>
      <c r="O48" s="10">
        <f t="shared" si="15"/>
        <v>8.0457322500000004</v>
      </c>
      <c r="P48" s="10">
        <f t="shared" ref="P48" si="18">(O48 * (1 -X$41) + (0.04 * O48)) * ( 1 - AF$41 )</f>
        <v>3.6495441486</v>
      </c>
      <c r="Q48" s="12">
        <f t="shared" si="9"/>
        <v>1.7170024954095013E-4</v>
      </c>
      <c r="R48" s="10">
        <f t="shared" si="10"/>
        <v>2.0556988780656223E-3</v>
      </c>
      <c r="S48" s="10">
        <f t="shared" si="12"/>
        <v>1.4257559471256647</v>
      </c>
      <c r="T48" s="10">
        <f t="shared" si="13"/>
        <v>17.070009558737411</v>
      </c>
      <c r="U48" s="10"/>
      <c r="V48" s="10"/>
      <c r="W48" s="10"/>
      <c r="X48" s="10"/>
      <c r="Y48" s="10"/>
      <c r="Z48" s="10"/>
      <c r="AA48" s="10"/>
      <c r="AB48" s="10"/>
      <c r="AC48" s="10"/>
      <c r="AD48" s="10"/>
      <c r="AE48" s="10"/>
      <c r="AF48" s="10"/>
      <c r="AG48" s="10"/>
      <c r="AH48" s="10"/>
      <c r="AI48" s="10"/>
      <c r="AQ48" s="2" t="s">
        <v>55</v>
      </c>
      <c r="AR48" s="2">
        <v>170</v>
      </c>
      <c r="AS48" s="2">
        <v>520</v>
      </c>
      <c r="AT48" s="2">
        <v>160</v>
      </c>
      <c r="AU48" s="2">
        <v>360</v>
      </c>
      <c r="AV48">
        <v>470</v>
      </c>
      <c r="AW48">
        <v>470</v>
      </c>
      <c r="AX48">
        <v>160</v>
      </c>
      <c r="AY48">
        <v>420</v>
      </c>
      <c r="AZ48">
        <v>420</v>
      </c>
      <c r="BA48">
        <v>420</v>
      </c>
    </row>
    <row r="49" spans="1:53" x14ac:dyDescent="0.2">
      <c r="A49" s="10"/>
      <c r="B49" s="10"/>
      <c r="C49" s="10"/>
      <c r="D49" s="10"/>
      <c r="E49" s="10" t="s">
        <v>46</v>
      </c>
      <c r="F49" s="10" t="s">
        <v>54</v>
      </c>
      <c r="G49" s="10">
        <v>30</v>
      </c>
      <c r="H49" s="10" cm="1">
        <f t="array" ref="H49:H52">_xlfn.XLOOKUP(E49, $AR$46:$BA$46, $AR$47:$BA$50)</f>
        <v>440</v>
      </c>
      <c r="I49" s="10" cm="1">
        <f t="array" ref="I49:I52">_xlfn.XLOOKUP(E49, $AR$106:$BA$106, $AR$107:$BA$110)</f>
        <v>0.3</v>
      </c>
      <c r="J49" s="10">
        <v>0</v>
      </c>
      <c r="K49" s="10">
        <v>0</v>
      </c>
      <c r="L49" s="10">
        <f t="shared" si="4"/>
        <v>0</v>
      </c>
      <c r="M49" s="10">
        <f t="shared" si="7"/>
        <v>1</v>
      </c>
      <c r="N49" s="10">
        <f>(L49*M49)+(1 - L49)</f>
        <v>1</v>
      </c>
      <c r="O49" s="10">
        <f>(1.185 + 0.00454 * H49 - 0.0000026 * H49^2 + 0.315 * I49)^2 * N49</f>
        <v>7.6936335876000008</v>
      </c>
      <c r="P49" s="10">
        <f t="shared" ref="P49" si="19">(O49 * (1 -U$41) + (0.04 * O49)) * ( 1 - AF$41 )</f>
        <v>3.1666995846561599</v>
      </c>
      <c r="Q49" s="12">
        <f t="shared" si="9"/>
        <v>1.4898384202730175E-4</v>
      </c>
      <c r="R49" s="10">
        <f t="shared" si="10"/>
        <v>1.7837243552309826E-3</v>
      </c>
      <c r="S49" s="10">
        <f t="shared" si="12"/>
        <v>0.40784326754973854</v>
      </c>
      <c r="T49" s="10">
        <f t="shared" si="13"/>
        <v>4.8829454224448146</v>
      </c>
      <c r="U49" s="10"/>
      <c r="V49" s="10"/>
      <c r="W49" s="10"/>
      <c r="X49" s="10"/>
      <c r="Y49" s="10"/>
      <c r="Z49" s="10"/>
      <c r="AA49" s="10"/>
      <c r="AB49" s="10"/>
      <c r="AC49" s="10"/>
      <c r="AD49" s="10"/>
      <c r="AE49" s="10"/>
      <c r="AF49" s="10"/>
      <c r="AG49" s="10"/>
      <c r="AH49" s="10"/>
      <c r="AI49" s="10"/>
      <c r="AQ49" s="2" t="s">
        <v>56</v>
      </c>
      <c r="AR49" s="2">
        <v>240</v>
      </c>
      <c r="AS49" s="2">
        <v>550</v>
      </c>
      <c r="AT49" s="2">
        <v>220</v>
      </c>
      <c r="AU49" s="2">
        <v>390</v>
      </c>
      <c r="AV49">
        <v>490</v>
      </c>
      <c r="AW49">
        <v>490</v>
      </c>
      <c r="AX49">
        <v>220</v>
      </c>
      <c r="AY49">
        <v>450</v>
      </c>
      <c r="AZ49">
        <v>450</v>
      </c>
      <c r="BA49">
        <v>450</v>
      </c>
    </row>
    <row r="50" spans="1:53" x14ac:dyDescent="0.2">
      <c r="A50" s="10"/>
      <c r="B50" s="10"/>
      <c r="C50" s="10"/>
      <c r="D50" s="10"/>
      <c r="E50" s="10"/>
      <c r="F50" s="10" t="s">
        <v>55</v>
      </c>
      <c r="G50" s="10">
        <v>33</v>
      </c>
      <c r="H50" s="10">
        <v>470</v>
      </c>
      <c r="I50" s="10">
        <v>0.3</v>
      </c>
      <c r="J50" s="10">
        <v>1</v>
      </c>
      <c r="K50" s="10">
        <v>0</v>
      </c>
      <c r="L50" s="10">
        <f t="shared" si="4"/>
        <v>1</v>
      </c>
      <c r="M50" s="10">
        <f t="shared" si="7"/>
        <v>1.3</v>
      </c>
      <c r="N50" s="10">
        <f t="shared" ref="N50:N60" si="20">(L50*M50)+(1 - L50)</f>
        <v>1.3</v>
      </c>
      <c r="O50" s="10">
        <f t="shared" ref="O50:O64" si="21">(1.185 + 0.00454 * H50 - 0.0000026 * H50^2 + 0.315 * I50)^2 * N50</f>
        <v>10.477602046080001</v>
      </c>
      <c r="P50" s="10">
        <f t="shared" ref="P50" si="22">(O50 * (1 -V$41) + (0.04 * O50)) * ( 1 - AF$41 )</f>
        <v>3.432462430295808</v>
      </c>
      <c r="Q50" s="12">
        <f t="shared" si="9"/>
        <v>1.6148719725662413E-4</v>
      </c>
      <c r="R50" s="10">
        <f t="shared" si="10"/>
        <v>1.9334220603053353E-3</v>
      </c>
      <c r="S50" s="10">
        <f t="shared" si="12"/>
        <v>0.48627832273900945</v>
      </c>
      <c r="T50" s="10">
        <f t="shared" si="13"/>
        <v>5.8220171790944413</v>
      </c>
      <c r="U50" s="10"/>
      <c r="V50" s="10"/>
      <c r="W50" s="10"/>
      <c r="X50" s="10"/>
      <c r="Y50" s="10"/>
      <c r="Z50" s="10"/>
      <c r="AA50" s="10"/>
      <c r="AB50" s="10"/>
      <c r="AC50" s="10"/>
      <c r="AD50" s="10"/>
      <c r="AE50" s="10"/>
      <c r="AF50" s="10"/>
      <c r="AG50" s="10"/>
      <c r="AH50" s="10"/>
      <c r="AI50" s="10"/>
      <c r="AQ50" s="2" t="s">
        <v>57</v>
      </c>
      <c r="AR50" s="2">
        <v>280</v>
      </c>
      <c r="AS50" s="2">
        <v>560</v>
      </c>
      <c r="AT50" s="2">
        <v>260</v>
      </c>
      <c r="AU50" s="2">
        <v>410</v>
      </c>
      <c r="AV50">
        <v>500</v>
      </c>
      <c r="AW50">
        <v>500</v>
      </c>
      <c r="AX50">
        <v>260</v>
      </c>
      <c r="AY50">
        <v>460</v>
      </c>
      <c r="AZ50">
        <v>460</v>
      </c>
      <c r="BA50">
        <v>460</v>
      </c>
    </row>
    <row r="51" spans="1:53" x14ac:dyDescent="0.2">
      <c r="A51" s="10"/>
      <c r="B51" s="10"/>
      <c r="C51" s="10"/>
      <c r="D51" s="10"/>
      <c r="E51" s="10"/>
      <c r="F51" s="10" t="s">
        <v>56</v>
      </c>
      <c r="G51" s="10">
        <v>36</v>
      </c>
      <c r="H51" s="10">
        <v>490</v>
      </c>
      <c r="I51" s="10">
        <v>0.2</v>
      </c>
      <c r="J51" s="10">
        <v>0</v>
      </c>
      <c r="K51" s="10">
        <v>1</v>
      </c>
      <c r="L51" s="10">
        <f t="shared" si="4"/>
        <v>1</v>
      </c>
      <c r="M51" s="10">
        <f t="shared" si="7"/>
        <v>1.1000000000000001</v>
      </c>
      <c r="N51" s="10">
        <f t="shared" si="20"/>
        <v>1.1000000000000001</v>
      </c>
      <c r="O51" s="10">
        <f t="shared" si="21"/>
        <v>8.9243448311600009</v>
      </c>
      <c r="P51" s="10">
        <f t="shared" ref="P51" si="23">(O51 * (1 -W$41) + (0.04 * O51)) * ( 1 - AF$41 )</f>
        <v>3.2984378495967364</v>
      </c>
      <c r="Q51" s="12">
        <f t="shared" si="9"/>
        <v>1.5518173744749164E-4</v>
      </c>
      <c r="R51" s="10">
        <f t="shared" si="10"/>
        <v>1.8579292949192834E-3</v>
      </c>
      <c r="S51" s="10">
        <f t="shared" si="12"/>
        <v>0.50977200751501006</v>
      </c>
      <c r="T51" s="10">
        <f t="shared" si="13"/>
        <v>6.1032977338098462</v>
      </c>
      <c r="U51" s="10"/>
      <c r="V51" s="10"/>
      <c r="W51" s="10"/>
      <c r="X51" s="10" t="s">
        <v>126</v>
      </c>
      <c r="Y51" s="10" t="s">
        <v>127</v>
      </c>
      <c r="Z51" s="10" t="s">
        <v>128</v>
      </c>
      <c r="AA51" s="10" t="s">
        <v>129</v>
      </c>
      <c r="AB51" s="10" t="s">
        <v>130</v>
      </c>
      <c r="AC51" s="10" t="s">
        <v>131</v>
      </c>
      <c r="AD51" s="10" t="s">
        <v>124</v>
      </c>
      <c r="AE51" s="10" t="s">
        <v>125</v>
      </c>
      <c r="AF51" s="10"/>
      <c r="AG51" s="10"/>
      <c r="AH51" s="10"/>
      <c r="AI51" s="10"/>
      <c r="AO51" t="s">
        <v>59</v>
      </c>
      <c r="AQ51" s="2" t="s">
        <v>54</v>
      </c>
      <c r="AR51" s="2">
        <v>250</v>
      </c>
      <c r="AS51" s="2">
        <v>800</v>
      </c>
      <c r="AT51" s="2">
        <v>220</v>
      </c>
      <c r="AU51" s="2">
        <v>400</v>
      </c>
      <c r="AV51">
        <v>500</v>
      </c>
      <c r="AW51">
        <v>500</v>
      </c>
      <c r="AX51">
        <v>230</v>
      </c>
      <c r="AY51">
        <v>420</v>
      </c>
      <c r="AZ51">
        <v>420</v>
      </c>
      <c r="BA51">
        <v>420</v>
      </c>
    </row>
    <row r="52" spans="1:53" x14ac:dyDescent="0.2">
      <c r="A52" s="10"/>
      <c r="B52" s="10"/>
      <c r="C52" s="10"/>
      <c r="D52" s="10"/>
      <c r="E52" s="10"/>
      <c r="F52" s="10" t="s">
        <v>57</v>
      </c>
      <c r="G52" s="10">
        <v>39</v>
      </c>
      <c r="H52" s="10">
        <v>500</v>
      </c>
      <c r="I52" s="10">
        <v>0.1</v>
      </c>
      <c r="J52" s="10">
        <v>0</v>
      </c>
      <c r="K52" s="10">
        <v>0</v>
      </c>
      <c r="L52" s="10">
        <f t="shared" si="4"/>
        <v>0</v>
      </c>
      <c r="M52" s="10">
        <f t="shared" si="7"/>
        <v>1</v>
      </c>
      <c r="N52" s="10">
        <f t="shared" si="20"/>
        <v>1</v>
      </c>
      <c r="O52" s="10">
        <f t="shared" si="21"/>
        <v>8.0457322500000004</v>
      </c>
      <c r="P52" s="10">
        <f t="shared" ref="P52" si="24">(O52 * (1 -X$41) + (0.04 * O52)) * ( 1 - AF$41 )</f>
        <v>3.6495441486</v>
      </c>
      <c r="Q52" s="12">
        <f t="shared" si="9"/>
        <v>1.7170024954095013E-4</v>
      </c>
      <c r="R52" s="10">
        <f t="shared" si="10"/>
        <v>2.0556988780656223E-3</v>
      </c>
      <c r="S52" s="10">
        <f t="shared" si="12"/>
        <v>0.61103826305385622</v>
      </c>
      <c r="T52" s="10">
        <f t="shared" si="13"/>
        <v>7.3157183823160334</v>
      </c>
      <c r="U52" s="10"/>
      <c r="V52" s="10"/>
      <c r="W52" s="10"/>
      <c r="X52" s="10">
        <f>G45*Q45*91.25</f>
        <v>1.2371245782342069</v>
      </c>
      <c r="Y52" s="10">
        <f>G45*R45*91.25</f>
        <v>14.811601114749271</v>
      </c>
      <c r="Z52" s="10">
        <f>G49*Q49*91.25</f>
        <v>0.40784326754973854</v>
      </c>
      <c r="AA52" s="10">
        <f>G49*R49*91.25</f>
        <v>4.8829454224448146</v>
      </c>
      <c r="AB52">
        <f>X52+Z52</f>
        <v>1.6449678457839454</v>
      </c>
      <c r="AC52">
        <f>Y52+AA52</f>
        <v>19.694546537194086</v>
      </c>
      <c r="AD52" s="10">
        <f>G27*Q27*91.25</f>
        <v>1.5593207595984999</v>
      </c>
      <c r="AE52" s="10">
        <f>G27*R27*91.25</f>
        <v>18.669127998480672</v>
      </c>
      <c r="AF52" s="10"/>
      <c r="AG52" s="10"/>
      <c r="AH52" s="10"/>
      <c r="AI52" s="10"/>
      <c r="AQ52" s="2" t="s">
        <v>55</v>
      </c>
      <c r="AR52" s="2">
        <v>320</v>
      </c>
      <c r="AS52" s="2">
        <v>800</v>
      </c>
      <c r="AT52" s="2">
        <v>280</v>
      </c>
      <c r="AU52" s="2">
        <v>420</v>
      </c>
      <c r="AV52">
        <v>500</v>
      </c>
      <c r="AW52">
        <v>500</v>
      </c>
      <c r="AX52">
        <v>290</v>
      </c>
      <c r="AY52">
        <v>420</v>
      </c>
      <c r="AZ52">
        <v>420</v>
      </c>
      <c r="BA52">
        <v>420</v>
      </c>
    </row>
    <row r="53" spans="1:53" x14ac:dyDescent="0.2">
      <c r="A53" s="10"/>
      <c r="B53" s="10"/>
      <c r="C53" s="10"/>
      <c r="D53" s="10"/>
      <c r="E53" s="10" t="s">
        <v>47</v>
      </c>
      <c r="F53" s="10" t="s">
        <v>54</v>
      </c>
      <c r="G53" s="10">
        <v>30</v>
      </c>
      <c r="H53" s="10" cm="1">
        <f t="array" ref="H53:H56">_xlfn.XLOOKUP(E53, $AR$46:$BA$46, $AR$47:$BA$50)</f>
        <v>440</v>
      </c>
      <c r="I53" s="10" cm="1">
        <f t="array" ref="I53:I56">_xlfn.XLOOKUP(E53, $AR$106:$BA$106, $AR$107:$BA$110)</f>
        <v>0.3</v>
      </c>
      <c r="J53" s="10">
        <v>1</v>
      </c>
      <c r="K53" s="10">
        <v>0</v>
      </c>
      <c r="L53" s="10">
        <f t="shared" si="4"/>
        <v>1</v>
      </c>
      <c r="M53" s="10">
        <f t="shared" si="7"/>
        <v>1.3</v>
      </c>
      <c r="N53" s="10">
        <f t="shared" si="20"/>
        <v>1.3</v>
      </c>
      <c r="O53" s="10">
        <f t="shared" si="21"/>
        <v>10.001723663880002</v>
      </c>
      <c r="P53" s="10">
        <f t="shared" ref="P53" si="25">(O53 * (1 -U$41) + (0.04 * O53)) * ( 1 - AF$41 )</f>
        <v>4.1167094600530074</v>
      </c>
      <c r="Q53" s="12">
        <f t="shared" si="9"/>
        <v>1.9367899463549227E-4</v>
      </c>
      <c r="R53" s="10">
        <f t="shared" si="10"/>
        <v>2.3188416618002772E-3</v>
      </c>
      <c r="S53" s="10">
        <f t="shared" si="12"/>
        <v>0.53019624781466013</v>
      </c>
      <c r="T53" s="10">
        <f t="shared" si="13"/>
        <v>6.3478290491782587</v>
      </c>
      <c r="U53" s="10"/>
      <c r="V53" s="10"/>
      <c r="W53" s="10"/>
      <c r="X53" s="10">
        <f t="shared" ref="X53:X55" si="26">G46*Q46*91.25</f>
        <v>0.96008797053599293</v>
      </c>
      <c r="Y53" s="10">
        <f t="shared" ref="Y53:Y55" si="27">G46*R46*91.25</f>
        <v>11.494751866417229</v>
      </c>
      <c r="Z53" s="10">
        <f t="shared" ref="Z53:Z55" si="28">G50*Q50*91.25</f>
        <v>0.48627832273900945</v>
      </c>
      <c r="AA53" s="10">
        <f t="shared" ref="AA53:AA55" si="29">G50*R50*91.25</f>
        <v>5.8220171790944413</v>
      </c>
      <c r="AB53">
        <f t="shared" ref="AB53:AC55" si="30">X53+Z53</f>
        <v>1.4463662932750023</v>
      </c>
      <c r="AC53">
        <f t="shared" si="30"/>
        <v>17.31676904551167</v>
      </c>
      <c r="AD53" s="10">
        <f>G28*Q28*91.25</f>
        <v>1.4463662932750025</v>
      </c>
      <c r="AE53" s="10">
        <f>G28*R28*91.25</f>
        <v>17.316769045511673</v>
      </c>
      <c r="AF53" s="10"/>
      <c r="AG53" s="10"/>
      <c r="AH53" s="10"/>
      <c r="AI53" s="10"/>
      <c r="AQ53" s="2" t="s">
        <v>56</v>
      </c>
      <c r="AR53" s="2">
        <v>80</v>
      </c>
      <c r="AS53" s="2">
        <v>700</v>
      </c>
      <c r="AT53" s="2">
        <v>70</v>
      </c>
      <c r="AU53" s="2">
        <v>300</v>
      </c>
      <c r="AV53">
        <v>450</v>
      </c>
      <c r="AW53">
        <v>450</v>
      </c>
      <c r="AX53">
        <v>75</v>
      </c>
      <c r="AY53">
        <v>400</v>
      </c>
      <c r="AZ53">
        <v>400</v>
      </c>
      <c r="BA53">
        <v>400</v>
      </c>
    </row>
    <row r="54" spans="1:53" x14ac:dyDescent="0.2">
      <c r="A54" s="10"/>
      <c r="B54" s="10"/>
      <c r="C54" s="10"/>
      <c r="D54" s="10"/>
      <c r="E54" s="10"/>
      <c r="F54" s="10" t="s">
        <v>55</v>
      </c>
      <c r="G54" s="10">
        <v>36</v>
      </c>
      <c r="H54" s="10">
        <v>470</v>
      </c>
      <c r="I54" s="10">
        <v>0.3</v>
      </c>
      <c r="J54" s="10">
        <v>0</v>
      </c>
      <c r="K54" s="10">
        <v>1</v>
      </c>
      <c r="L54" s="10">
        <f t="shared" si="4"/>
        <v>1</v>
      </c>
      <c r="M54" s="10">
        <f t="shared" si="7"/>
        <v>1.1000000000000001</v>
      </c>
      <c r="N54" s="10">
        <f t="shared" si="20"/>
        <v>1.1000000000000001</v>
      </c>
      <c r="O54" s="10">
        <f t="shared" si="21"/>
        <v>8.8656632697600024</v>
      </c>
      <c r="P54" s="10">
        <f t="shared" ref="P54" si="31">(O54 * (1 -V$41) + (0.04 * O54)) * ( 1 - AF$41 )</f>
        <v>2.9043912871733766</v>
      </c>
      <c r="Q54" s="12">
        <f t="shared" si="9"/>
        <v>1.3664301306329734E-4</v>
      </c>
      <c r="R54" s="10">
        <f t="shared" si="10"/>
        <v>1.6359725125660528E-3</v>
      </c>
      <c r="S54" s="10">
        <f t="shared" si="12"/>
        <v>0.44887229791293171</v>
      </c>
      <c r="T54" s="10">
        <f t="shared" si="13"/>
        <v>5.3741697037794838</v>
      </c>
      <c r="U54" s="10"/>
      <c r="V54" s="10"/>
      <c r="W54" s="10"/>
      <c r="X54" s="10">
        <f t="shared" si="26"/>
        <v>1.0813345613954757</v>
      </c>
      <c r="Y54" s="10">
        <f t="shared" si="27"/>
        <v>12.946389132323912</v>
      </c>
      <c r="Z54" s="10">
        <f t="shared" si="28"/>
        <v>0.50977200751501006</v>
      </c>
      <c r="AA54" s="10">
        <f t="shared" si="29"/>
        <v>6.1032977338098462</v>
      </c>
      <c r="AB54">
        <f t="shared" si="30"/>
        <v>1.5911065689104857</v>
      </c>
      <c r="AC54">
        <f t="shared" si="30"/>
        <v>19.049686866133758</v>
      </c>
      <c r="AD54" s="10">
        <f>G29*Q29*91.25</f>
        <v>1.5586665320686215</v>
      </c>
      <c r="AE54" s="10">
        <f>G29*R29*91.25</f>
        <v>18.66129519216404</v>
      </c>
      <c r="AF54" s="10"/>
      <c r="AG54" s="10"/>
      <c r="AH54" s="10"/>
      <c r="AI54" s="10"/>
      <c r="AQ54" s="2" t="s">
        <v>57</v>
      </c>
      <c r="AR54" s="2">
        <v>160</v>
      </c>
      <c r="AS54" s="2">
        <v>700</v>
      </c>
      <c r="AT54" s="2">
        <v>140</v>
      </c>
      <c r="AU54" s="2">
        <v>350</v>
      </c>
      <c r="AV54" s="2">
        <v>450</v>
      </c>
      <c r="AW54" s="2">
        <v>450</v>
      </c>
      <c r="AX54" s="2">
        <v>150</v>
      </c>
      <c r="AY54">
        <v>400</v>
      </c>
      <c r="AZ54">
        <v>400</v>
      </c>
      <c r="BA54">
        <v>400</v>
      </c>
    </row>
    <row r="55" spans="1:53" x14ac:dyDescent="0.2">
      <c r="A55" s="10"/>
      <c r="B55" s="10"/>
      <c r="C55" s="10"/>
      <c r="D55" s="10"/>
      <c r="E55" s="10"/>
      <c r="F55" s="10" t="s">
        <v>56</v>
      </c>
      <c r="G55" s="10">
        <v>42</v>
      </c>
      <c r="H55" s="10">
        <v>490</v>
      </c>
      <c r="I55" s="10">
        <v>0.2</v>
      </c>
      <c r="J55" s="10">
        <v>0</v>
      </c>
      <c r="K55" s="10">
        <v>0</v>
      </c>
      <c r="L55" s="10">
        <f t="shared" si="4"/>
        <v>0</v>
      </c>
      <c r="M55" s="10">
        <f t="shared" si="7"/>
        <v>1</v>
      </c>
      <c r="N55" s="10">
        <f t="shared" si="20"/>
        <v>1</v>
      </c>
      <c r="O55" s="10">
        <f t="shared" si="21"/>
        <v>8.1130407556000002</v>
      </c>
      <c r="P55" s="10">
        <f t="shared" ref="P55" si="32">(O55 * (1 -W$41) + (0.04 * O55)) * ( 1 - AF$41 )</f>
        <v>2.99857986326976</v>
      </c>
      <c r="Q55" s="12">
        <f t="shared" si="9"/>
        <v>1.4107430677044692E-4</v>
      </c>
      <c r="R55" s="10">
        <f t="shared" si="10"/>
        <v>1.6890266317448027E-3</v>
      </c>
      <c r="S55" s="10">
        <f t="shared" si="12"/>
        <v>0.54066728069773784</v>
      </c>
      <c r="T55" s="10">
        <f t="shared" si="13"/>
        <v>6.4731945661619559</v>
      </c>
      <c r="U55" s="10"/>
      <c r="V55" s="10"/>
      <c r="W55" s="10"/>
      <c r="X55" s="10">
        <f t="shared" si="26"/>
        <v>1.4257559471256647</v>
      </c>
      <c r="Y55" s="10">
        <f t="shared" si="27"/>
        <v>17.070009558737411</v>
      </c>
      <c r="Z55" s="10">
        <f t="shared" si="28"/>
        <v>0.61103826305385622</v>
      </c>
      <c r="AA55" s="10">
        <f t="shared" si="29"/>
        <v>7.3157183823160334</v>
      </c>
      <c r="AB55">
        <f t="shared" si="30"/>
        <v>2.0367942101795209</v>
      </c>
      <c r="AC55">
        <f t="shared" si="30"/>
        <v>24.385727941053446</v>
      </c>
      <c r="AD55" s="10">
        <f>G30*Q30*91.25</f>
        <v>2.0367942101795209</v>
      </c>
      <c r="AE55" s="10">
        <f>G30*R30*91.25</f>
        <v>24.385727941053442</v>
      </c>
      <c r="AF55" s="10"/>
      <c r="AG55" s="10"/>
      <c r="AH55" s="10"/>
      <c r="AI55" s="10"/>
      <c r="AO55" t="s">
        <v>69</v>
      </c>
      <c r="AQ55" s="2" t="s">
        <v>54</v>
      </c>
      <c r="AR55" s="2">
        <v>105</v>
      </c>
      <c r="AS55" s="2">
        <v>700</v>
      </c>
      <c r="AT55" s="2">
        <v>85</v>
      </c>
      <c r="AU55" s="2">
        <v>300</v>
      </c>
      <c r="AV55">
        <v>490</v>
      </c>
      <c r="AW55">
        <v>490</v>
      </c>
      <c r="AX55">
        <v>90</v>
      </c>
      <c r="AY55">
        <v>480</v>
      </c>
      <c r="AZ55">
        <v>480</v>
      </c>
      <c r="BA55">
        <v>480</v>
      </c>
    </row>
    <row r="56" spans="1:53" x14ac:dyDescent="0.2">
      <c r="A56" s="10"/>
      <c r="B56" s="10"/>
      <c r="C56" s="10"/>
      <c r="D56" s="10"/>
      <c r="E56" s="10"/>
      <c r="F56" s="10" t="s">
        <v>57</v>
      </c>
      <c r="G56" s="10">
        <v>48</v>
      </c>
      <c r="H56" s="10">
        <v>500</v>
      </c>
      <c r="I56" s="10">
        <v>0.1</v>
      </c>
      <c r="J56" s="10">
        <v>0</v>
      </c>
      <c r="K56" s="10">
        <v>0</v>
      </c>
      <c r="L56" s="10">
        <f t="shared" si="4"/>
        <v>0</v>
      </c>
      <c r="M56" s="10">
        <f t="shared" si="7"/>
        <v>1</v>
      </c>
      <c r="N56" s="10">
        <f t="shared" si="20"/>
        <v>1</v>
      </c>
      <c r="O56" s="10">
        <f t="shared" si="21"/>
        <v>8.0457322500000004</v>
      </c>
      <c r="P56" s="10">
        <f t="shared" ref="P56" si="33">(O56 * (1 -X$41) + (0.04 * O56)) * ( 1 - AF$41 )</f>
        <v>3.6495441486</v>
      </c>
      <c r="Q56" s="12">
        <f t="shared" si="9"/>
        <v>1.7170024954095013E-4</v>
      </c>
      <c r="R56" s="10">
        <f t="shared" si="10"/>
        <v>2.0556988780656223E-3</v>
      </c>
      <c r="S56" s="10">
        <f t="shared" si="12"/>
        <v>0.75204709298936168</v>
      </c>
      <c r="T56" s="10">
        <f t="shared" si="13"/>
        <v>9.0039610859274255</v>
      </c>
      <c r="U56" s="10"/>
      <c r="V56" s="10"/>
      <c r="W56" s="10"/>
      <c r="X56" s="10"/>
      <c r="Y56" s="10"/>
      <c r="Z56" s="10"/>
      <c r="AA56" s="10"/>
      <c r="AB56" s="10"/>
      <c r="AC56" s="10"/>
      <c r="AD56" s="10"/>
      <c r="AE56" s="10"/>
      <c r="AF56" s="10"/>
      <c r="AG56" s="10"/>
      <c r="AH56" s="10"/>
      <c r="AI56" s="10"/>
      <c r="AQ56" s="2" t="s">
        <v>55</v>
      </c>
      <c r="AR56" s="2">
        <v>480</v>
      </c>
      <c r="AS56" s="2">
        <v>750</v>
      </c>
      <c r="AT56" s="2">
        <v>150</v>
      </c>
      <c r="AU56" s="2">
        <v>350</v>
      </c>
      <c r="AV56">
        <v>530</v>
      </c>
      <c r="AW56">
        <v>530</v>
      </c>
      <c r="AX56">
        <v>160</v>
      </c>
      <c r="AY56">
        <v>460</v>
      </c>
      <c r="AZ56">
        <v>460</v>
      </c>
      <c r="BA56">
        <v>460</v>
      </c>
    </row>
    <row r="57" spans="1:53" x14ac:dyDescent="0.2">
      <c r="A57" s="10"/>
      <c r="B57" s="10"/>
      <c r="C57" s="10"/>
      <c r="D57" s="10"/>
      <c r="E57" s="10" t="s">
        <v>47</v>
      </c>
      <c r="F57" s="10" t="s">
        <v>54</v>
      </c>
      <c r="G57" s="10">
        <v>20</v>
      </c>
      <c r="H57" s="10" cm="1">
        <f t="array" ref="H57:H60">_xlfn.XLOOKUP(E57, $AR$46:$BA$46, $AR$47:$BA$50)</f>
        <v>440</v>
      </c>
      <c r="I57" s="10" cm="1">
        <f t="array" ref="I57:I60">_xlfn.XLOOKUP(E57, $AR$106:$BA$106, $AR$107:$BA$110)</f>
        <v>0.3</v>
      </c>
      <c r="J57" s="10">
        <v>0</v>
      </c>
      <c r="K57" s="10">
        <v>1</v>
      </c>
      <c r="L57" s="10">
        <f t="shared" si="4"/>
        <v>1</v>
      </c>
      <c r="M57" s="10">
        <f t="shared" si="7"/>
        <v>1.1000000000000001</v>
      </c>
      <c r="N57" s="10">
        <f t="shared" si="20"/>
        <v>1.1000000000000001</v>
      </c>
      <c r="O57" s="10">
        <f t="shared" si="21"/>
        <v>8.4629969463600023</v>
      </c>
      <c r="P57" s="10">
        <f t="shared" ref="P57" si="34">(O57 * (1 -U$41) + (0.04 * O57)) * ( 1 - AF$41 )</f>
        <v>3.4833695431217762</v>
      </c>
      <c r="Q57" s="12">
        <f t="shared" si="9"/>
        <v>1.6388222623003193E-4</v>
      </c>
      <c r="R57" s="10">
        <f t="shared" si="10"/>
        <v>1.9620967907540807E-3</v>
      </c>
      <c r="S57" s="10">
        <f t="shared" si="12"/>
        <v>0.29908506286980829</v>
      </c>
      <c r="T57" s="10">
        <f t="shared" si="13"/>
        <v>3.5808266431261973</v>
      </c>
      <c r="U57" s="10"/>
      <c r="V57" s="10"/>
      <c r="W57" s="10"/>
      <c r="X57" s="10"/>
      <c r="Y57" s="10"/>
      <c r="Z57" s="10"/>
      <c r="AA57" s="10"/>
      <c r="AB57" s="10"/>
      <c r="AC57" s="10"/>
      <c r="AD57" s="10"/>
      <c r="AE57" s="10"/>
      <c r="AF57" s="10"/>
      <c r="AG57" s="10"/>
      <c r="AH57" s="10"/>
      <c r="AI57" s="10"/>
      <c r="AQ57" s="2" t="s">
        <v>56</v>
      </c>
      <c r="AR57" s="2">
        <v>250</v>
      </c>
      <c r="AS57" s="2">
        <v>725</v>
      </c>
      <c r="AT57" s="2">
        <v>200</v>
      </c>
      <c r="AU57" s="2">
        <v>360</v>
      </c>
      <c r="AV57" s="2">
        <v>500</v>
      </c>
      <c r="AW57" s="2">
        <v>500</v>
      </c>
      <c r="AX57">
        <v>215</v>
      </c>
      <c r="AY57">
        <v>490</v>
      </c>
      <c r="AZ57">
        <v>490</v>
      </c>
      <c r="BA57">
        <v>490</v>
      </c>
    </row>
    <row r="58" spans="1:53" x14ac:dyDescent="0.2">
      <c r="A58" s="10"/>
      <c r="B58" s="10"/>
      <c r="C58" s="10"/>
      <c r="D58" s="10"/>
      <c r="E58" s="10"/>
      <c r="F58" s="10" t="s">
        <v>55</v>
      </c>
      <c r="G58" s="10">
        <v>24</v>
      </c>
      <c r="H58" s="10">
        <v>470</v>
      </c>
      <c r="I58" s="10">
        <v>0.3</v>
      </c>
      <c r="J58" s="10">
        <v>0</v>
      </c>
      <c r="K58" s="10">
        <v>0</v>
      </c>
      <c r="L58" s="10">
        <f t="shared" si="4"/>
        <v>0</v>
      </c>
      <c r="M58" s="10">
        <f t="shared" si="7"/>
        <v>1</v>
      </c>
      <c r="N58" s="10">
        <f t="shared" si="20"/>
        <v>1</v>
      </c>
      <c r="O58" s="10">
        <f t="shared" si="21"/>
        <v>8.0596938816000012</v>
      </c>
      <c r="P58" s="10">
        <f t="shared" ref="P58" si="35">(O58 * (1 -V$41) + (0.04 * O58)) * ( 1 - AF$41 )</f>
        <v>2.6403557156121602</v>
      </c>
      <c r="Q58" s="12">
        <f t="shared" si="9"/>
        <v>1.2422092096663393E-4</v>
      </c>
      <c r="R58" s="10">
        <f t="shared" si="10"/>
        <v>1.4872477386964117E-3</v>
      </c>
      <c r="S58" s="10">
        <f t="shared" si="12"/>
        <v>0.2720438169169283</v>
      </c>
      <c r="T58" s="10">
        <f t="shared" si="13"/>
        <v>3.2570725477451412</v>
      </c>
      <c r="U58" s="10"/>
      <c r="V58" s="10"/>
      <c r="W58" s="10"/>
      <c r="X58" s="10"/>
      <c r="Y58" s="10"/>
      <c r="Z58" s="10"/>
      <c r="AA58" s="10"/>
      <c r="AB58" s="10"/>
      <c r="AC58" s="10"/>
      <c r="AD58" s="10"/>
      <c r="AE58" s="10"/>
      <c r="AF58" s="10"/>
      <c r="AG58" s="10"/>
      <c r="AH58" s="10"/>
      <c r="AI58" s="10"/>
      <c r="AQ58" s="2" t="s">
        <v>57</v>
      </c>
      <c r="AR58" s="2">
        <v>260</v>
      </c>
      <c r="AS58" s="2">
        <v>700</v>
      </c>
      <c r="AT58" s="2">
        <v>210</v>
      </c>
      <c r="AU58" s="2">
        <v>380</v>
      </c>
      <c r="AV58" s="2">
        <v>460</v>
      </c>
      <c r="AW58" s="2">
        <v>460</v>
      </c>
      <c r="AX58" s="2">
        <v>230</v>
      </c>
      <c r="AY58">
        <v>470</v>
      </c>
      <c r="AZ58">
        <v>470</v>
      </c>
      <c r="BA58">
        <v>470</v>
      </c>
    </row>
    <row r="59" spans="1:53" x14ac:dyDescent="0.2">
      <c r="A59" s="10"/>
      <c r="B59" s="10"/>
      <c r="C59" s="10"/>
      <c r="D59" s="10"/>
      <c r="E59" s="10"/>
      <c r="F59" s="10" t="s">
        <v>56</v>
      </c>
      <c r="G59" s="10">
        <v>28</v>
      </c>
      <c r="H59" s="10">
        <v>490</v>
      </c>
      <c r="I59" s="10">
        <v>0.2</v>
      </c>
      <c r="J59" s="10">
        <v>0</v>
      </c>
      <c r="K59" s="10">
        <v>0</v>
      </c>
      <c r="L59" s="10">
        <f t="shared" si="4"/>
        <v>0</v>
      </c>
      <c r="M59" s="10">
        <f t="shared" si="7"/>
        <v>1</v>
      </c>
      <c r="N59" s="10">
        <f t="shared" si="20"/>
        <v>1</v>
      </c>
      <c r="O59" s="10">
        <f t="shared" si="21"/>
        <v>8.1130407556000002</v>
      </c>
      <c r="P59" s="10">
        <f t="shared" ref="P59" si="36">(O59 * (1 -W$41) + (0.04 * O59)) * ( 1 - AF$41 )</f>
        <v>2.99857986326976</v>
      </c>
      <c r="Q59" s="12">
        <f t="shared" si="9"/>
        <v>1.4107430677044692E-4</v>
      </c>
      <c r="R59" s="10">
        <f t="shared" si="10"/>
        <v>1.6890266317448027E-3</v>
      </c>
      <c r="S59" s="10">
        <f t="shared" si="12"/>
        <v>0.36044485379849189</v>
      </c>
      <c r="T59" s="10">
        <f t="shared" si="13"/>
        <v>4.3154630441079709</v>
      </c>
      <c r="U59" s="10"/>
      <c r="V59" s="10"/>
      <c r="W59" s="10"/>
      <c r="X59" s="10"/>
      <c r="Y59" s="10"/>
      <c r="Z59" s="10"/>
      <c r="AA59" s="10"/>
      <c r="AB59" s="10"/>
      <c r="AC59" s="10"/>
      <c r="AD59" s="10"/>
      <c r="AE59" s="10"/>
      <c r="AF59" s="10"/>
      <c r="AG59" s="10"/>
      <c r="AH59" s="10"/>
      <c r="AI59" s="10"/>
      <c r="AO59" t="s">
        <v>70</v>
      </c>
      <c r="AQ59" s="2" t="s">
        <v>54</v>
      </c>
      <c r="AR59" s="2">
        <v>250</v>
      </c>
      <c r="AS59" s="2">
        <v>820</v>
      </c>
      <c r="AT59" s="2">
        <v>240</v>
      </c>
      <c r="AU59" s="2">
        <v>410</v>
      </c>
      <c r="AV59">
        <v>560</v>
      </c>
      <c r="AW59">
        <v>560</v>
      </c>
      <c r="AX59">
        <v>240</v>
      </c>
      <c r="AY59">
        <v>510</v>
      </c>
      <c r="AZ59">
        <v>510</v>
      </c>
      <c r="BA59">
        <v>510</v>
      </c>
    </row>
    <row r="60" spans="1:53" x14ac:dyDescent="0.2">
      <c r="A60" s="10"/>
      <c r="B60" s="10"/>
      <c r="C60" s="10"/>
      <c r="D60" s="10"/>
      <c r="E60" s="10"/>
      <c r="F60" s="10" t="s">
        <v>57</v>
      </c>
      <c r="G60" s="10">
        <v>32</v>
      </c>
      <c r="H60" s="10">
        <v>500</v>
      </c>
      <c r="I60" s="10">
        <v>0.1</v>
      </c>
      <c r="J60" s="10">
        <v>1</v>
      </c>
      <c r="K60" s="10">
        <v>0</v>
      </c>
      <c r="L60" s="10">
        <f t="shared" si="4"/>
        <v>1</v>
      </c>
      <c r="M60" s="10">
        <f t="shared" si="7"/>
        <v>1.3</v>
      </c>
      <c r="N60" s="10">
        <f t="shared" si="20"/>
        <v>1.3</v>
      </c>
      <c r="O60" s="10">
        <f t="shared" si="21"/>
        <v>10.459451925000002</v>
      </c>
      <c r="P60" s="10">
        <f t="shared" ref="P60" si="37">(O60 * (1 -X$41) + (0.04 * O60)) * ( 1 - AF$41 )</f>
        <v>4.7444073931800004</v>
      </c>
      <c r="Q60" s="12">
        <f t="shared" si="9"/>
        <v>2.232103244032352E-4</v>
      </c>
      <c r="R60" s="10">
        <f t="shared" si="10"/>
        <v>2.6724085414853087E-3</v>
      </c>
      <c r="S60" s="10">
        <f t="shared" si="12"/>
        <v>0.65177414725744676</v>
      </c>
      <c r="T60" s="10">
        <f t="shared" si="13"/>
        <v>7.8034329411371015</v>
      </c>
      <c r="U60" s="10"/>
      <c r="V60" s="10"/>
      <c r="W60" s="10"/>
      <c r="X60" s="10"/>
      <c r="Y60" s="10"/>
      <c r="Z60" s="10"/>
      <c r="AA60" s="10"/>
      <c r="AB60" s="10"/>
      <c r="AC60" s="10"/>
      <c r="AD60" s="10"/>
      <c r="AE60" s="10"/>
      <c r="AF60" s="10"/>
      <c r="AG60" s="10"/>
      <c r="AH60" s="10"/>
      <c r="AI60" s="10"/>
      <c r="AQ60" s="2" t="s">
        <v>55</v>
      </c>
      <c r="AR60" s="2">
        <v>280</v>
      </c>
      <c r="AS60" s="2">
        <v>850</v>
      </c>
      <c r="AT60" s="2">
        <v>260</v>
      </c>
      <c r="AU60" s="2">
        <v>440</v>
      </c>
      <c r="AV60">
        <v>550</v>
      </c>
      <c r="AW60">
        <v>550</v>
      </c>
      <c r="AX60">
        <v>270</v>
      </c>
      <c r="AY60">
        <v>520</v>
      </c>
      <c r="AZ60">
        <v>520</v>
      </c>
      <c r="BA60">
        <v>520</v>
      </c>
    </row>
    <row r="61" spans="1:53" x14ac:dyDescent="0.2">
      <c r="A61" s="10"/>
      <c r="B61" s="10"/>
      <c r="C61" s="10"/>
      <c r="D61" s="10"/>
      <c r="E61" s="10" t="s">
        <v>48</v>
      </c>
      <c r="F61" s="10" t="s">
        <v>54</v>
      </c>
      <c r="G61" s="10">
        <v>200</v>
      </c>
      <c r="H61" s="10" cm="1">
        <f t="array" ref="H61:H64">_xlfn.XLOOKUP(E61, $AR$46:$BA$46, $AR$47:$BA$50)</f>
        <v>75</v>
      </c>
      <c r="I61" s="10" cm="1">
        <f t="array" ref="I61:I64">_xlfn.XLOOKUP(E61, $AR$106:$BA$106, $AR$107:$BA$110)</f>
        <v>0.5</v>
      </c>
      <c r="J61" s="10"/>
      <c r="K61" s="10"/>
      <c r="L61" s="10"/>
      <c r="M61" s="10">
        <f t="shared" si="7"/>
        <v>1</v>
      </c>
      <c r="N61" s="10">
        <v>1</v>
      </c>
      <c r="O61" s="10">
        <f t="shared" si="21"/>
        <v>2.7834751406249998</v>
      </c>
      <c r="P61" s="10">
        <f t="shared" ref="P61" si="38">(O61 * (1 -U$41) + (0.04 * O61)) * ( 1 - AF$41 )</f>
        <v>1.1456783678812499</v>
      </c>
      <c r="Q61" s="12">
        <f t="shared" si="9"/>
        <v>5.390077600084388E-5</v>
      </c>
      <c r="R61" s="10">
        <f t="shared" si="10"/>
        <v>6.4533257842106233E-4</v>
      </c>
      <c r="S61" s="10">
        <f t="shared" si="12"/>
        <v>0.98368916201540069</v>
      </c>
      <c r="T61" s="10">
        <f t="shared" si="13"/>
        <v>11.777319556184386</v>
      </c>
      <c r="U61" s="10"/>
      <c r="V61" s="10"/>
      <c r="W61" s="10"/>
      <c r="X61" s="10"/>
      <c r="Y61" s="10"/>
      <c r="Z61" s="10"/>
      <c r="AA61" s="10"/>
      <c r="AB61" s="10"/>
      <c r="AC61" s="10"/>
      <c r="AD61" s="10"/>
      <c r="AE61" s="10"/>
      <c r="AF61" s="10"/>
      <c r="AG61" s="10"/>
      <c r="AH61" s="10"/>
      <c r="AI61" s="10"/>
      <c r="AQ61" s="2" t="s">
        <v>56</v>
      </c>
      <c r="AR61" s="2">
        <v>100</v>
      </c>
      <c r="AS61" s="2">
        <v>700</v>
      </c>
      <c r="AT61" s="2">
        <v>95</v>
      </c>
      <c r="AU61" s="2">
        <v>300</v>
      </c>
      <c r="AV61">
        <v>450</v>
      </c>
      <c r="AW61">
        <v>450</v>
      </c>
      <c r="AX61">
        <v>95</v>
      </c>
      <c r="AY61">
        <v>410</v>
      </c>
      <c r="AZ61">
        <v>410</v>
      </c>
      <c r="BA61">
        <v>410</v>
      </c>
    </row>
    <row r="62" spans="1:53" x14ac:dyDescent="0.2">
      <c r="A62" s="10"/>
      <c r="B62" s="10"/>
      <c r="C62" s="10"/>
      <c r="D62" s="10"/>
      <c r="E62" s="10"/>
      <c r="F62" s="10" t="s">
        <v>55</v>
      </c>
      <c r="G62" s="10">
        <v>130</v>
      </c>
      <c r="H62" s="10">
        <v>160</v>
      </c>
      <c r="I62" s="10">
        <v>0.9</v>
      </c>
      <c r="J62" s="10"/>
      <c r="K62" s="10"/>
      <c r="L62" s="10"/>
      <c r="M62" s="10">
        <f t="shared" si="7"/>
        <v>1</v>
      </c>
      <c r="N62" s="10">
        <v>1</v>
      </c>
      <c r="O62" s="10">
        <f t="shared" si="21"/>
        <v>4.5298311556000002</v>
      </c>
      <c r="P62" s="10">
        <f t="shared" ref="P62" si="39">(O62 * (1 -V$41) + (0.04 * O62)) * ( 1 - AF$41 )</f>
        <v>1.4839726865745599</v>
      </c>
      <c r="Q62" s="12">
        <f t="shared" si="9"/>
        <v>6.9816522344180778E-5</v>
      </c>
      <c r="R62" s="10">
        <f t="shared" si="10"/>
        <v>8.3588548669608228E-4</v>
      </c>
      <c r="S62" s="10">
        <f t="shared" si="12"/>
        <v>0.82819849630784437</v>
      </c>
      <c r="T62" s="10">
        <f t="shared" si="13"/>
        <v>9.9156915859322758</v>
      </c>
      <c r="U62" s="10"/>
      <c r="V62" s="10"/>
      <c r="W62" s="10"/>
      <c r="X62" s="10"/>
      <c r="Y62" s="10"/>
      <c r="Z62" s="10"/>
      <c r="AA62" s="10"/>
      <c r="AB62" s="10"/>
      <c r="AC62" s="10"/>
      <c r="AD62" s="10"/>
      <c r="AE62" s="10"/>
      <c r="AF62" s="10"/>
      <c r="AG62" s="10"/>
      <c r="AH62" s="10"/>
      <c r="AI62" s="10"/>
      <c r="AQ62" s="2" t="s">
        <v>57</v>
      </c>
      <c r="AR62" s="2">
        <v>150</v>
      </c>
      <c r="AS62" s="2">
        <v>720</v>
      </c>
      <c r="AT62" s="2">
        <v>140</v>
      </c>
      <c r="AU62" s="2">
        <v>320</v>
      </c>
      <c r="AV62" s="2">
        <v>470</v>
      </c>
      <c r="AW62" s="2">
        <v>470</v>
      </c>
      <c r="AX62">
        <v>140</v>
      </c>
      <c r="AY62">
        <v>440</v>
      </c>
      <c r="AZ62">
        <v>440</v>
      </c>
      <c r="BA62">
        <v>440</v>
      </c>
    </row>
    <row r="63" spans="1:53" x14ac:dyDescent="0.2">
      <c r="A63" s="10"/>
      <c r="B63" s="10"/>
      <c r="C63" s="10"/>
      <c r="D63" s="10"/>
      <c r="E63" s="10"/>
      <c r="F63" s="10" t="s">
        <v>56</v>
      </c>
      <c r="G63" s="10">
        <v>250</v>
      </c>
      <c r="H63" s="10">
        <v>220</v>
      </c>
      <c r="I63" s="10">
        <v>0.7</v>
      </c>
      <c r="J63" s="10"/>
      <c r="K63" s="10"/>
      <c r="L63" s="10"/>
      <c r="M63" s="10">
        <f t="shared" si="7"/>
        <v>1</v>
      </c>
      <c r="N63" s="10">
        <v>1</v>
      </c>
      <c r="O63" s="10">
        <f t="shared" si="21"/>
        <v>5.1913799715999973</v>
      </c>
      <c r="P63" s="10">
        <f t="shared" ref="P63" si="40">(O63 * (1 -W$41) + (0.04 * O63)) * ( 1 - AF$41 )</f>
        <v>1.918734037503359</v>
      </c>
      <c r="Q63" s="12">
        <f t="shared" si="9"/>
        <v>9.0270757011782037E-5</v>
      </c>
      <c r="R63" s="10">
        <f t="shared" si="10"/>
        <v>1.0807759127164039E-3</v>
      </c>
      <c r="S63" s="10">
        <f t="shared" si="12"/>
        <v>2.0593016443312777</v>
      </c>
      <c r="T63" s="10">
        <f t="shared" si="13"/>
        <v>24.655200508842963</v>
      </c>
      <c r="U63" s="10"/>
      <c r="V63" s="10"/>
      <c r="W63" s="10"/>
      <c r="X63" s="10"/>
      <c r="Y63" s="10"/>
      <c r="Z63" s="10"/>
      <c r="AA63" s="10"/>
      <c r="AB63" s="10"/>
      <c r="AC63" s="10"/>
      <c r="AD63" s="10"/>
      <c r="AE63" s="10"/>
      <c r="AF63" s="10"/>
      <c r="AG63" s="10"/>
      <c r="AH63" s="10"/>
      <c r="AI63" s="10"/>
      <c r="AO63" t="s">
        <v>65</v>
      </c>
      <c r="AP63" t="s">
        <v>62</v>
      </c>
      <c r="AQ63" s="2" t="s">
        <v>54</v>
      </c>
      <c r="AR63" s="2">
        <v>340</v>
      </c>
      <c r="AS63" s="2">
        <v>800</v>
      </c>
      <c r="AT63" s="2">
        <v>260</v>
      </c>
      <c r="AU63" s="2">
        <v>420</v>
      </c>
      <c r="AV63" s="2">
        <v>550</v>
      </c>
      <c r="AW63" s="2">
        <v>550</v>
      </c>
      <c r="AX63">
        <v>300</v>
      </c>
      <c r="AY63">
        <v>480</v>
      </c>
      <c r="AZ63">
        <v>480</v>
      </c>
      <c r="BA63">
        <v>480</v>
      </c>
    </row>
    <row r="64" spans="1:53" x14ac:dyDescent="0.2">
      <c r="A64" s="10"/>
      <c r="B64" s="10"/>
      <c r="C64" s="10"/>
      <c r="D64" s="10"/>
      <c r="E64" s="10"/>
      <c r="F64" s="10" t="s">
        <v>57</v>
      </c>
      <c r="G64" s="10">
        <v>150</v>
      </c>
      <c r="H64" s="10">
        <v>260</v>
      </c>
      <c r="I64" s="10">
        <v>0.4</v>
      </c>
      <c r="J64" s="10"/>
      <c r="K64" s="10"/>
      <c r="L64" s="10"/>
      <c r="M64" s="10">
        <f t="shared" si="7"/>
        <v>1</v>
      </c>
      <c r="N64" s="10">
        <v>1</v>
      </c>
      <c r="O64" s="10">
        <f t="shared" si="21"/>
        <v>5.3621886096000004</v>
      </c>
      <c r="P64" s="10">
        <f t="shared" ref="P64" si="41">(O64 * (1 -X$41) + (0.04 * O64)) * ( 1 - AF$41 )</f>
        <v>2.4322887533145603</v>
      </c>
      <c r="Q64" s="12">
        <f t="shared" si="9"/>
        <v>1.1443198626874025E-4</v>
      </c>
      <c r="R64" s="10">
        <f t="shared" si="10"/>
        <v>1.3700487123134107E-3</v>
      </c>
      <c r="S64" s="10">
        <f t="shared" si="12"/>
        <v>1.5662878120533821</v>
      </c>
      <c r="T64" s="10">
        <f t="shared" si="13"/>
        <v>18.75254174978981</v>
      </c>
      <c r="U64" s="10"/>
      <c r="V64" s="10"/>
      <c r="W64" s="10"/>
      <c r="X64" s="10"/>
      <c r="Y64" s="10"/>
      <c r="Z64" s="10"/>
      <c r="AA64" s="10"/>
      <c r="AB64" s="10"/>
      <c r="AC64" s="10"/>
      <c r="AD64" s="10"/>
      <c r="AE64" s="10"/>
      <c r="AF64" s="10"/>
      <c r="AG64" s="10"/>
      <c r="AH64" s="10"/>
      <c r="AI64" s="10"/>
      <c r="AQ64" s="2" t="s">
        <v>55</v>
      </c>
      <c r="AR64" s="2">
        <v>380</v>
      </c>
      <c r="AS64" s="2">
        <v>780</v>
      </c>
      <c r="AT64" s="2">
        <v>300</v>
      </c>
      <c r="AU64" s="2">
        <v>450</v>
      </c>
      <c r="AV64" s="2">
        <v>530</v>
      </c>
      <c r="AW64" s="2">
        <v>530</v>
      </c>
      <c r="AX64" s="2">
        <v>340</v>
      </c>
      <c r="AY64">
        <v>470</v>
      </c>
      <c r="AZ64">
        <v>470</v>
      </c>
      <c r="BA64">
        <v>470</v>
      </c>
    </row>
    <row r="65" spans="1:53" x14ac:dyDescent="0.2">
      <c r="A65" s="10"/>
      <c r="B65" s="10"/>
      <c r="C65" s="10"/>
      <c r="D65" s="10"/>
      <c r="E65" s="10"/>
      <c r="F65" s="10"/>
      <c r="G65" s="10"/>
      <c r="H65" s="10"/>
      <c r="I65" s="10"/>
      <c r="J65" s="10"/>
      <c r="K65" s="10"/>
      <c r="L65" s="10"/>
      <c r="M65" s="10"/>
      <c r="N65" s="10"/>
      <c r="O65" s="10"/>
      <c r="P65" s="10"/>
      <c r="Q65" s="11"/>
      <c r="R65" s="10"/>
      <c r="S65" s="10"/>
      <c r="T65" s="10"/>
      <c r="U65" s="10"/>
      <c r="V65" s="10"/>
      <c r="W65" s="10"/>
      <c r="X65" s="10"/>
      <c r="Y65" s="10"/>
      <c r="Z65" s="10"/>
      <c r="AA65" s="10"/>
      <c r="AB65" s="10"/>
      <c r="AC65" s="10"/>
      <c r="AD65" s="10"/>
      <c r="AE65" s="10"/>
      <c r="AF65" s="10"/>
      <c r="AG65" s="10"/>
      <c r="AH65" s="10"/>
      <c r="AI65" s="10"/>
      <c r="AQ65" s="2" t="s">
        <v>56</v>
      </c>
      <c r="AR65" s="2">
        <v>100</v>
      </c>
      <c r="AS65" s="2">
        <v>680</v>
      </c>
      <c r="AT65" s="2">
        <v>80</v>
      </c>
      <c r="AU65" s="2">
        <v>320</v>
      </c>
      <c r="AV65" s="2">
        <v>480</v>
      </c>
      <c r="AW65" s="2">
        <v>480</v>
      </c>
      <c r="AX65">
        <v>100</v>
      </c>
      <c r="AY65">
        <v>340</v>
      </c>
      <c r="AZ65">
        <v>340</v>
      </c>
      <c r="BA65">
        <v>340</v>
      </c>
    </row>
    <row r="66" spans="1:53" x14ac:dyDescent="0.2">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Q66" s="2" t="s">
        <v>57</v>
      </c>
      <c r="AR66" s="2">
        <v>190</v>
      </c>
      <c r="AS66" s="2">
        <v>700</v>
      </c>
      <c r="AT66" s="2">
        <v>150</v>
      </c>
      <c r="AU66" s="2">
        <v>330</v>
      </c>
      <c r="AV66" s="2">
        <v>490</v>
      </c>
      <c r="AW66" s="2">
        <v>490</v>
      </c>
      <c r="AX66">
        <v>170</v>
      </c>
      <c r="AY66">
        <v>360</v>
      </c>
      <c r="AZ66">
        <v>360</v>
      </c>
      <c r="BA66">
        <v>360</v>
      </c>
    </row>
    <row r="67" spans="1:53" x14ac:dyDescent="0.2">
      <c r="AO67" t="s">
        <v>65</v>
      </c>
      <c r="AP67" t="s">
        <v>63</v>
      </c>
      <c r="AQ67" s="2" t="s">
        <v>54</v>
      </c>
      <c r="AR67" s="2">
        <v>80</v>
      </c>
      <c r="AS67" s="2">
        <v>450</v>
      </c>
      <c r="AT67" s="2">
        <v>70</v>
      </c>
      <c r="AU67" s="2">
        <v>260</v>
      </c>
      <c r="AV67" s="2">
        <v>340</v>
      </c>
      <c r="AW67" s="2">
        <v>340</v>
      </c>
      <c r="AX67" s="2">
        <v>80</v>
      </c>
      <c r="AY67">
        <v>370</v>
      </c>
      <c r="AZ67">
        <v>370</v>
      </c>
      <c r="BA67">
        <v>370</v>
      </c>
    </row>
    <row r="68" spans="1:53" x14ac:dyDescent="0.2">
      <c r="AQ68" s="2" t="s">
        <v>55</v>
      </c>
      <c r="AR68" s="2">
        <v>150</v>
      </c>
      <c r="AS68" s="2">
        <v>500</v>
      </c>
      <c r="AT68" s="2">
        <v>140</v>
      </c>
      <c r="AU68" s="2">
        <v>310</v>
      </c>
      <c r="AV68" s="2">
        <v>360</v>
      </c>
      <c r="AW68" s="2">
        <v>360</v>
      </c>
      <c r="AX68" s="2">
        <v>150</v>
      </c>
      <c r="AY68">
        <v>400</v>
      </c>
      <c r="AZ68">
        <v>400</v>
      </c>
      <c r="BA68">
        <v>400</v>
      </c>
    </row>
    <row r="69" spans="1:53" x14ac:dyDescent="0.2">
      <c r="AQ69" s="2" t="s">
        <v>56</v>
      </c>
      <c r="AR69" s="2">
        <v>230</v>
      </c>
      <c r="AS69" s="2">
        <v>550</v>
      </c>
      <c r="AT69" s="2">
        <v>220</v>
      </c>
      <c r="AU69" s="2">
        <v>330</v>
      </c>
      <c r="AV69" s="2">
        <v>380</v>
      </c>
      <c r="AW69" s="2">
        <v>380</v>
      </c>
      <c r="AX69" s="2">
        <v>230</v>
      </c>
      <c r="AY69">
        <v>420</v>
      </c>
      <c r="AZ69">
        <v>420</v>
      </c>
      <c r="BA69">
        <v>420</v>
      </c>
    </row>
    <row r="70" spans="1:53" x14ac:dyDescent="0.2">
      <c r="AQ70" s="2" t="s">
        <v>57</v>
      </c>
      <c r="AR70" s="2">
        <v>250</v>
      </c>
      <c r="AS70" s="2">
        <v>500</v>
      </c>
      <c r="AT70" s="2">
        <v>240</v>
      </c>
      <c r="AU70" s="2">
        <v>340</v>
      </c>
      <c r="AV70" s="2">
        <v>360</v>
      </c>
      <c r="AW70" s="2">
        <v>360</v>
      </c>
      <c r="AX70" s="2">
        <v>250</v>
      </c>
      <c r="AY70">
        <v>390</v>
      </c>
      <c r="AZ70">
        <v>390</v>
      </c>
      <c r="BA70">
        <v>390</v>
      </c>
    </row>
    <row r="71" spans="1:53" x14ac:dyDescent="0.2">
      <c r="AO71" t="s">
        <v>65</v>
      </c>
      <c r="AP71" t="s">
        <v>71</v>
      </c>
      <c r="AQ71" s="2" t="s">
        <v>54</v>
      </c>
      <c r="AR71" s="2">
        <v>220</v>
      </c>
      <c r="AS71" s="2">
        <v>500</v>
      </c>
      <c r="AT71" s="2">
        <v>180</v>
      </c>
      <c r="AU71" s="2">
        <v>300</v>
      </c>
      <c r="AV71" s="2">
        <v>320</v>
      </c>
      <c r="AW71" s="2">
        <v>320</v>
      </c>
      <c r="AX71" s="2">
        <v>210</v>
      </c>
      <c r="AY71" s="2">
        <v>340</v>
      </c>
      <c r="AZ71" s="2">
        <v>340</v>
      </c>
      <c r="BA71" s="2">
        <v>340</v>
      </c>
    </row>
    <row r="72" spans="1:53" x14ac:dyDescent="0.2">
      <c r="AQ72" s="2" t="s">
        <v>55</v>
      </c>
      <c r="AR72" s="2">
        <v>110</v>
      </c>
      <c r="AS72" s="2">
        <v>550</v>
      </c>
      <c r="AT72" s="2">
        <v>90</v>
      </c>
      <c r="AU72" s="2">
        <v>220</v>
      </c>
      <c r="AV72" s="2">
        <v>380</v>
      </c>
      <c r="AW72" s="2">
        <v>380</v>
      </c>
      <c r="AX72" s="2">
        <v>100</v>
      </c>
      <c r="AY72" s="2">
        <v>390</v>
      </c>
      <c r="AZ72" s="2">
        <v>390</v>
      </c>
      <c r="BA72" s="2">
        <v>390</v>
      </c>
    </row>
    <row r="73" spans="1:53" x14ac:dyDescent="0.2">
      <c r="AQ73" s="2" t="s">
        <v>56</v>
      </c>
      <c r="AR73" s="2">
        <v>170</v>
      </c>
      <c r="AS73" s="2">
        <v>600</v>
      </c>
      <c r="AT73" s="2">
        <v>140</v>
      </c>
      <c r="AU73" s="2">
        <v>270</v>
      </c>
      <c r="AV73" s="2">
        <v>390</v>
      </c>
      <c r="AW73" s="2">
        <v>390</v>
      </c>
      <c r="AX73" s="2">
        <v>160</v>
      </c>
      <c r="AY73" s="2">
        <v>430</v>
      </c>
      <c r="AZ73" s="2">
        <v>430</v>
      </c>
      <c r="BA73" s="2">
        <v>430</v>
      </c>
    </row>
    <row r="74" spans="1:53" x14ac:dyDescent="0.2">
      <c r="AQ74" s="2" t="s">
        <v>57</v>
      </c>
      <c r="AR74" s="2">
        <v>200</v>
      </c>
      <c r="AS74" s="2">
        <v>550</v>
      </c>
      <c r="AT74" s="2">
        <v>150</v>
      </c>
      <c r="AU74" s="2">
        <v>280</v>
      </c>
      <c r="AV74" s="2">
        <v>350</v>
      </c>
      <c r="AW74" s="2">
        <v>350</v>
      </c>
      <c r="AX74" s="2">
        <v>190</v>
      </c>
      <c r="AY74" s="2">
        <v>400</v>
      </c>
      <c r="AZ74" s="2">
        <v>400</v>
      </c>
      <c r="BA74" s="2">
        <v>400</v>
      </c>
    </row>
    <row r="75" spans="1:53" x14ac:dyDescent="0.2">
      <c r="AO75" t="s">
        <v>73</v>
      </c>
      <c r="AP75" t="s">
        <v>74</v>
      </c>
      <c r="AQ75" s="2" t="s">
        <v>54</v>
      </c>
      <c r="AR75">
        <v>220</v>
      </c>
      <c r="AS75">
        <v>706</v>
      </c>
      <c r="AT75">
        <v>208</v>
      </c>
      <c r="AU75">
        <v>323</v>
      </c>
      <c r="AV75">
        <v>415</v>
      </c>
      <c r="AW75">
        <v>467</v>
      </c>
      <c r="AX75">
        <v>223</v>
      </c>
      <c r="AY75">
        <v>371</v>
      </c>
      <c r="AZ75">
        <v>493</v>
      </c>
      <c r="BA75">
        <v>585</v>
      </c>
    </row>
    <row r="76" spans="1:53" x14ac:dyDescent="0.2">
      <c r="AQ76" s="2" t="s">
        <v>55</v>
      </c>
      <c r="AR76">
        <v>110</v>
      </c>
      <c r="AS76">
        <v>703</v>
      </c>
      <c r="AT76">
        <v>112</v>
      </c>
      <c r="AU76">
        <v>256</v>
      </c>
      <c r="AV76">
        <v>368</v>
      </c>
      <c r="AW76">
        <v>465</v>
      </c>
      <c r="AX76">
        <v>108</v>
      </c>
      <c r="AY76">
        <v>280</v>
      </c>
      <c r="AZ76">
        <v>421</v>
      </c>
      <c r="BA76">
        <v>543</v>
      </c>
    </row>
    <row r="77" spans="1:53" x14ac:dyDescent="0.2">
      <c r="AQ77" s="2" t="s">
        <v>56</v>
      </c>
      <c r="AR77">
        <v>170</v>
      </c>
      <c r="AS77">
        <v>721</v>
      </c>
      <c r="AT77">
        <v>169</v>
      </c>
      <c r="AU77">
        <v>306</v>
      </c>
      <c r="AV77">
        <v>392</v>
      </c>
      <c r="AW77">
        <v>464</v>
      </c>
      <c r="AX77">
        <v>176</v>
      </c>
      <c r="AY77">
        <v>339</v>
      </c>
      <c r="AZ77">
        <v>470</v>
      </c>
      <c r="BA77">
        <v>580</v>
      </c>
    </row>
    <row r="78" spans="1:53" x14ac:dyDescent="0.2">
      <c r="AQ78" s="2" t="s">
        <v>57</v>
      </c>
      <c r="AR78">
        <v>200</v>
      </c>
      <c r="AS78">
        <v>727</v>
      </c>
      <c r="AT78">
        <v>211</v>
      </c>
      <c r="AU78">
        <v>338</v>
      </c>
      <c r="AV78">
        <v>432</v>
      </c>
      <c r="AW78">
        <v>492</v>
      </c>
      <c r="AX78">
        <v>222</v>
      </c>
      <c r="AY78">
        <v>377</v>
      </c>
      <c r="AZ78">
        <v>498</v>
      </c>
      <c r="BA78">
        <v>590</v>
      </c>
    </row>
    <row r="79" spans="1:53" x14ac:dyDescent="0.2">
      <c r="AO79" t="s">
        <v>73</v>
      </c>
      <c r="AP79" t="s">
        <v>75</v>
      </c>
      <c r="AQ79" s="2" t="s">
        <v>54</v>
      </c>
      <c r="AR79">
        <v>220</v>
      </c>
      <c r="AS79">
        <v>620</v>
      </c>
      <c r="AT79">
        <v>227</v>
      </c>
      <c r="AU79">
        <v>319</v>
      </c>
      <c r="AV79">
        <v>398</v>
      </c>
      <c r="AW79">
        <v>452</v>
      </c>
      <c r="AX79">
        <v>216</v>
      </c>
      <c r="AY79">
        <v>334</v>
      </c>
      <c r="AZ79" t="s">
        <v>72</v>
      </c>
      <c r="BA79" t="s">
        <v>72</v>
      </c>
    </row>
    <row r="80" spans="1:53" x14ac:dyDescent="0.2">
      <c r="AQ80" s="2" t="s">
        <v>55</v>
      </c>
      <c r="AR80">
        <v>110</v>
      </c>
      <c r="AS80">
        <v>650</v>
      </c>
      <c r="AT80">
        <v>108</v>
      </c>
      <c r="AU80">
        <v>262</v>
      </c>
      <c r="AV80">
        <v>346</v>
      </c>
      <c r="AW80">
        <v>430</v>
      </c>
      <c r="AX80">
        <v>111</v>
      </c>
      <c r="AY80">
        <v>236</v>
      </c>
      <c r="AZ80" t="s">
        <v>72</v>
      </c>
      <c r="BA80" t="s">
        <v>72</v>
      </c>
    </row>
    <row r="81" spans="41:53" x14ac:dyDescent="0.2">
      <c r="AQ81" s="2" t="s">
        <v>56</v>
      </c>
      <c r="AR81">
        <v>170</v>
      </c>
      <c r="AS81">
        <v>670</v>
      </c>
      <c r="AT81">
        <v>170</v>
      </c>
      <c r="AU81">
        <v>266</v>
      </c>
      <c r="AV81">
        <v>363</v>
      </c>
      <c r="AW81">
        <v>444</v>
      </c>
      <c r="AX81">
        <v>169</v>
      </c>
      <c r="AY81">
        <v>282</v>
      </c>
      <c r="AZ81" t="s">
        <v>72</v>
      </c>
      <c r="BA81" t="s">
        <v>72</v>
      </c>
    </row>
    <row r="82" spans="41:53" x14ac:dyDescent="0.2">
      <c r="AQ82" s="2" t="s">
        <v>57</v>
      </c>
      <c r="AR82">
        <v>200</v>
      </c>
      <c r="AS82">
        <v>660</v>
      </c>
      <c r="AT82">
        <v>225</v>
      </c>
      <c r="AU82">
        <v>307</v>
      </c>
      <c r="AV82">
        <v>398</v>
      </c>
      <c r="AW82">
        <v>452</v>
      </c>
      <c r="AX82">
        <v>214</v>
      </c>
      <c r="AY82">
        <v>326</v>
      </c>
      <c r="AZ82" t="s">
        <v>72</v>
      </c>
      <c r="BA82" t="s">
        <v>72</v>
      </c>
    </row>
    <row r="83" spans="41:53" x14ac:dyDescent="0.2">
      <c r="AO83" t="s">
        <v>73</v>
      </c>
      <c r="AP83" t="s">
        <v>76</v>
      </c>
      <c r="AQ83" s="2" t="s">
        <v>54</v>
      </c>
      <c r="AR83">
        <v>220</v>
      </c>
      <c r="AS83">
        <v>620</v>
      </c>
      <c r="AT83">
        <v>177</v>
      </c>
      <c r="AU83">
        <v>267</v>
      </c>
      <c r="AV83">
        <v>365</v>
      </c>
      <c r="AW83">
        <v>406</v>
      </c>
      <c r="AX83">
        <v>231</v>
      </c>
      <c r="AY83">
        <v>249</v>
      </c>
      <c r="AZ83">
        <v>324</v>
      </c>
      <c r="BA83" t="s">
        <v>72</v>
      </c>
    </row>
    <row r="84" spans="41:53" x14ac:dyDescent="0.2">
      <c r="AQ84" s="2" t="s">
        <v>55</v>
      </c>
      <c r="AR84">
        <v>110</v>
      </c>
      <c r="AS84">
        <v>650</v>
      </c>
      <c r="AT84">
        <v>102</v>
      </c>
      <c r="AU84">
        <v>203</v>
      </c>
      <c r="AV84">
        <v>299</v>
      </c>
      <c r="AW84">
        <v>380</v>
      </c>
      <c r="AX84">
        <v>102</v>
      </c>
      <c r="AY84">
        <v>218</v>
      </c>
      <c r="AZ84">
        <v>263</v>
      </c>
      <c r="BA84" t="s">
        <v>72</v>
      </c>
    </row>
    <row r="85" spans="41:53" x14ac:dyDescent="0.2">
      <c r="AQ85" s="2" t="s">
        <v>56</v>
      </c>
      <c r="AR85">
        <v>170</v>
      </c>
      <c r="AS85">
        <v>670</v>
      </c>
      <c r="AT85">
        <v>173</v>
      </c>
      <c r="AU85">
        <v>250</v>
      </c>
      <c r="AV85">
        <v>336</v>
      </c>
      <c r="AW85">
        <v>414</v>
      </c>
      <c r="AX85">
        <v>175</v>
      </c>
      <c r="AY85">
        <v>243</v>
      </c>
      <c r="AZ85">
        <v>304</v>
      </c>
      <c r="BA85" t="s">
        <v>72</v>
      </c>
    </row>
    <row r="86" spans="41:53" x14ac:dyDescent="0.2">
      <c r="AQ86" s="2" t="s">
        <v>57</v>
      </c>
      <c r="AR86">
        <v>200</v>
      </c>
      <c r="AS86">
        <v>660</v>
      </c>
      <c r="AT86">
        <v>202</v>
      </c>
      <c r="AU86">
        <v>272</v>
      </c>
      <c r="AV86">
        <v>365</v>
      </c>
      <c r="AW86">
        <v>390</v>
      </c>
      <c r="AX86">
        <v>208</v>
      </c>
      <c r="AY86">
        <v>260</v>
      </c>
      <c r="AZ86">
        <v>337</v>
      </c>
      <c r="BA86" t="s">
        <v>72</v>
      </c>
    </row>
    <row r="87" spans="41:53" x14ac:dyDescent="0.2">
      <c r="AO87" t="s">
        <v>81</v>
      </c>
      <c r="AP87" t="s">
        <v>77</v>
      </c>
      <c r="AQ87" s="2" t="s">
        <v>54</v>
      </c>
      <c r="AR87">
        <v>260</v>
      </c>
      <c r="AS87" s="2">
        <v>705</v>
      </c>
      <c r="AT87" s="2">
        <v>215</v>
      </c>
      <c r="AU87">
        <v>302</v>
      </c>
      <c r="AV87">
        <v>416</v>
      </c>
      <c r="AW87">
        <v>519</v>
      </c>
      <c r="AX87">
        <v>234</v>
      </c>
      <c r="AY87">
        <v>455</v>
      </c>
      <c r="AZ87">
        <v>551</v>
      </c>
      <c r="BA87" s="2">
        <v>660</v>
      </c>
    </row>
    <row r="88" spans="41:53" x14ac:dyDescent="0.2">
      <c r="AQ88" s="2" t="s">
        <v>55</v>
      </c>
      <c r="AR88">
        <v>153</v>
      </c>
      <c r="AS88">
        <v>703</v>
      </c>
      <c r="AT88" s="2">
        <v>118</v>
      </c>
      <c r="AU88">
        <v>277</v>
      </c>
      <c r="AV88">
        <v>397</v>
      </c>
      <c r="AW88">
        <v>483</v>
      </c>
      <c r="AX88">
        <v>111</v>
      </c>
      <c r="AY88">
        <v>304</v>
      </c>
      <c r="AZ88">
        <v>521</v>
      </c>
      <c r="BA88" s="2">
        <v>547</v>
      </c>
    </row>
    <row r="89" spans="41:53" x14ac:dyDescent="0.2">
      <c r="AQ89" s="2" t="s">
        <v>56</v>
      </c>
      <c r="AR89">
        <v>168</v>
      </c>
      <c r="AS89">
        <v>718</v>
      </c>
      <c r="AT89" s="2">
        <v>191</v>
      </c>
      <c r="AU89">
        <v>319</v>
      </c>
      <c r="AV89">
        <v>440</v>
      </c>
      <c r="AW89">
        <v>506</v>
      </c>
      <c r="AX89">
        <v>188</v>
      </c>
      <c r="AY89">
        <v>326</v>
      </c>
      <c r="AZ89">
        <v>520</v>
      </c>
      <c r="BA89" s="2">
        <v>582</v>
      </c>
    </row>
    <row r="90" spans="41:53" x14ac:dyDescent="0.2">
      <c r="AQ90" s="2" t="s">
        <v>57</v>
      </c>
      <c r="AR90">
        <v>235</v>
      </c>
      <c r="AS90">
        <v>722</v>
      </c>
      <c r="AT90" s="2">
        <v>207</v>
      </c>
      <c r="AU90">
        <v>352</v>
      </c>
      <c r="AV90">
        <v>470</v>
      </c>
      <c r="AW90">
        <v>514</v>
      </c>
      <c r="AX90">
        <v>209</v>
      </c>
      <c r="AY90">
        <v>421</v>
      </c>
      <c r="AZ90">
        <v>512</v>
      </c>
      <c r="BA90" s="2">
        <v>605</v>
      </c>
    </row>
    <row r="91" spans="41:53" x14ac:dyDescent="0.2">
      <c r="AO91" t="s">
        <v>81</v>
      </c>
      <c r="AP91" t="s">
        <v>78</v>
      </c>
      <c r="AQ91" s="2" t="s">
        <v>54</v>
      </c>
      <c r="AR91">
        <v>230</v>
      </c>
      <c r="AS91" s="2">
        <v>674</v>
      </c>
      <c r="AT91" s="2">
        <v>217</v>
      </c>
      <c r="AU91">
        <v>344</v>
      </c>
      <c r="AV91">
        <v>357</v>
      </c>
      <c r="AW91">
        <v>467</v>
      </c>
      <c r="AX91">
        <v>242</v>
      </c>
      <c r="AY91">
        <v>370</v>
      </c>
      <c r="AZ91">
        <v>550</v>
      </c>
      <c r="BA91" s="2">
        <v>620</v>
      </c>
    </row>
    <row r="92" spans="41:53" x14ac:dyDescent="0.2">
      <c r="AQ92" s="2" t="s">
        <v>55</v>
      </c>
      <c r="AR92">
        <v>113</v>
      </c>
      <c r="AS92" s="2">
        <v>669</v>
      </c>
      <c r="AT92" s="2">
        <v>113</v>
      </c>
      <c r="AU92">
        <v>283</v>
      </c>
      <c r="AV92">
        <v>361</v>
      </c>
      <c r="AW92">
        <v>477</v>
      </c>
      <c r="AX92">
        <v>120</v>
      </c>
      <c r="AY92">
        <v>273</v>
      </c>
      <c r="AZ92">
        <v>545</v>
      </c>
      <c r="BA92" s="2">
        <v>553</v>
      </c>
    </row>
    <row r="93" spans="41:53" x14ac:dyDescent="0.2">
      <c r="AQ93" s="2" t="s">
        <v>56</v>
      </c>
      <c r="AR93">
        <v>172</v>
      </c>
      <c r="AS93" s="2">
        <v>685</v>
      </c>
      <c r="AT93" s="2">
        <v>172</v>
      </c>
      <c r="AU93">
        <v>309</v>
      </c>
      <c r="AV93">
        <v>376</v>
      </c>
      <c r="AW93">
        <v>471</v>
      </c>
      <c r="AX93">
        <v>238</v>
      </c>
      <c r="AY93">
        <v>329</v>
      </c>
      <c r="AZ93">
        <v>573</v>
      </c>
      <c r="BA93" s="2">
        <v>620</v>
      </c>
    </row>
    <row r="94" spans="41:53" x14ac:dyDescent="0.2">
      <c r="AQ94" s="2" t="s">
        <v>57</v>
      </c>
      <c r="AR94">
        <v>241</v>
      </c>
      <c r="AS94" s="2">
        <v>692</v>
      </c>
      <c r="AT94" s="2">
        <v>208</v>
      </c>
      <c r="AU94">
        <v>344</v>
      </c>
      <c r="AV94">
        <v>364</v>
      </c>
      <c r="AW94">
        <v>484</v>
      </c>
      <c r="AX94">
        <v>260</v>
      </c>
      <c r="AY94">
        <v>350</v>
      </c>
      <c r="AZ94">
        <v>567</v>
      </c>
      <c r="BA94" s="2">
        <v>620</v>
      </c>
    </row>
    <row r="95" spans="41:53" x14ac:dyDescent="0.2">
      <c r="AO95" t="s">
        <v>81</v>
      </c>
      <c r="AP95" t="s">
        <v>79</v>
      </c>
      <c r="AQ95" s="2" t="s">
        <v>54</v>
      </c>
      <c r="AR95">
        <v>236</v>
      </c>
      <c r="AS95" s="2">
        <v>674</v>
      </c>
      <c r="AT95" s="2">
        <v>178</v>
      </c>
      <c r="AU95">
        <v>310</v>
      </c>
      <c r="AV95">
        <v>428</v>
      </c>
      <c r="AW95">
        <v>466</v>
      </c>
      <c r="AX95">
        <v>193</v>
      </c>
      <c r="AY95">
        <v>370</v>
      </c>
      <c r="AZ95">
        <v>519</v>
      </c>
      <c r="BA95" s="2">
        <v>565</v>
      </c>
    </row>
    <row r="96" spans="41:53" x14ac:dyDescent="0.2">
      <c r="AQ96" s="2" t="s">
        <v>55</v>
      </c>
      <c r="AR96">
        <v>120</v>
      </c>
      <c r="AS96" s="2">
        <v>669</v>
      </c>
      <c r="AT96" s="2">
        <v>112</v>
      </c>
      <c r="AU96">
        <v>250</v>
      </c>
      <c r="AV96">
        <v>390</v>
      </c>
      <c r="AW96">
        <v>448</v>
      </c>
      <c r="AX96">
        <v>115</v>
      </c>
      <c r="AY96">
        <v>273</v>
      </c>
      <c r="AZ96">
        <v>433</v>
      </c>
      <c r="BA96" s="2">
        <v>556</v>
      </c>
    </row>
    <row r="97" spans="41:53" x14ac:dyDescent="0.2">
      <c r="AQ97" s="2" t="s">
        <v>56</v>
      </c>
      <c r="AR97">
        <v>125</v>
      </c>
      <c r="AS97" s="2">
        <v>685</v>
      </c>
      <c r="AT97" s="2">
        <v>140</v>
      </c>
      <c r="AU97">
        <v>277</v>
      </c>
      <c r="AV97">
        <v>407</v>
      </c>
      <c r="AW97">
        <v>455</v>
      </c>
      <c r="AX97">
        <v>141</v>
      </c>
      <c r="AY97">
        <v>296</v>
      </c>
      <c r="AZ97">
        <v>445</v>
      </c>
      <c r="BA97" s="2">
        <v>593</v>
      </c>
    </row>
    <row r="98" spans="41:53" x14ac:dyDescent="0.2">
      <c r="AQ98" s="2" t="s">
        <v>57</v>
      </c>
      <c r="AR98" s="2">
        <v>180</v>
      </c>
      <c r="AS98" s="2">
        <v>692</v>
      </c>
      <c r="AT98" s="2">
        <v>183</v>
      </c>
      <c r="AU98">
        <v>316</v>
      </c>
      <c r="AV98">
        <v>438</v>
      </c>
      <c r="AW98">
        <v>468</v>
      </c>
      <c r="AX98">
        <v>189</v>
      </c>
      <c r="AY98">
        <v>354</v>
      </c>
      <c r="AZ98">
        <v>500</v>
      </c>
      <c r="BA98" s="2">
        <v>553</v>
      </c>
    </row>
    <row r="99" spans="41:53" x14ac:dyDescent="0.2">
      <c r="AO99" t="s">
        <v>81</v>
      </c>
      <c r="AP99" t="s">
        <v>80</v>
      </c>
      <c r="AQ99" s="2" t="s">
        <v>54</v>
      </c>
      <c r="AR99" s="2">
        <v>190</v>
      </c>
      <c r="AS99" s="2">
        <v>617</v>
      </c>
      <c r="AT99" s="2">
        <v>174</v>
      </c>
      <c r="AU99">
        <v>265</v>
      </c>
      <c r="AV99">
        <v>371</v>
      </c>
      <c r="AW99">
        <v>415</v>
      </c>
      <c r="AX99">
        <v>170</v>
      </c>
      <c r="AY99">
        <v>272</v>
      </c>
      <c r="AZ99">
        <v>392</v>
      </c>
      <c r="BA99" s="2">
        <v>531</v>
      </c>
    </row>
    <row r="100" spans="41:53" x14ac:dyDescent="0.2">
      <c r="AQ100" s="2" t="s">
        <v>55</v>
      </c>
      <c r="AR100">
        <v>119</v>
      </c>
      <c r="AS100" s="2">
        <v>591</v>
      </c>
      <c r="AT100" s="2">
        <v>140</v>
      </c>
      <c r="AU100">
        <v>205</v>
      </c>
      <c r="AV100">
        <v>310</v>
      </c>
      <c r="AW100">
        <v>405</v>
      </c>
      <c r="AX100">
        <v>133</v>
      </c>
      <c r="AY100">
        <v>218</v>
      </c>
      <c r="AZ100">
        <v>315</v>
      </c>
      <c r="BA100" s="2">
        <v>445</v>
      </c>
    </row>
    <row r="101" spans="41:53" x14ac:dyDescent="0.2">
      <c r="AQ101" s="2" t="s">
        <v>56</v>
      </c>
      <c r="AR101">
        <v>175</v>
      </c>
      <c r="AS101" s="2">
        <v>610</v>
      </c>
      <c r="AT101" s="2">
        <v>163</v>
      </c>
      <c r="AU101">
        <v>232</v>
      </c>
      <c r="AV101">
        <v>351</v>
      </c>
      <c r="AW101">
        <v>427</v>
      </c>
      <c r="AX101">
        <v>146</v>
      </c>
      <c r="AY101">
        <v>242</v>
      </c>
      <c r="AZ101">
        <v>320</v>
      </c>
      <c r="BA101" s="2">
        <v>471</v>
      </c>
    </row>
    <row r="102" spans="41:53" x14ac:dyDescent="0.2">
      <c r="AQ102" s="2" t="s">
        <v>57</v>
      </c>
      <c r="AR102">
        <v>192</v>
      </c>
      <c r="AS102" s="2">
        <v>615</v>
      </c>
      <c r="AT102" s="2">
        <v>162</v>
      </c>
      <c r="AU102">
        <v>255</v>
      </c>
      <c r="AV102">
        <v>364</v>
      </c>
      <c r="AW102">
        <v>420</v>
      </c>
      <c r="AX102">
        <v>157</v>
      </c>
      <c r="AY102">
        <v>261</v>
      </c>
      <c r="AZ102">
        <v>342</v>
      </c>
      <c r="BA102" s="2">
        <v>484</v>
      </c>
    </row>
    <row r="106" spans="41:53" x14ac:dyDescent="0.2">
      <c r="AO106" t="s">
        <v>60</v>
      </c>
      <c r="AR106" s="4" t="s">
        <v>42</v>
      </c>
      <c r="AS106" s="4" t="s">
        <v>43</v>
      </c>
      <c r="AT106" s="4" t="s">
        <v>44</v>
      </c>
      <c r="AU106" s="5" t="s">
        <v>45</v>
      </c>
      <c r="AV106" s="4" t="s">
        <v>46</v>
      </c>
      <c r="AW106" s="4" t="s">
        <v>47</v>
      </c>
      <c r="AX106" s="4" t="s">
        <v>48</v>
      </c>
      <c r="AY106" s="4" t="s">
        <v>49</v>
      </c>
      <c r="AZ106" s="4" t="s">
        <v>50</v>
      </c>
      <c r="BA106" s="4" t="s">
        <v>51</v>
      </c>
    </row>
    <row r="107" spans="41:53" x14ac:dyDescent="0.2">
      <c r="AO107" t="s">
        <v>53</v>
      </c>
      <c r="AQ107" t="s">
        <v>54</v>
      </c>
      <c r="AR107">
        <v>0.5</v>
      </c>
      <c r="AS107">
        <v>0.2</v>
      </c>
      <c r="AT107">
        <v>0.5</v>
      </c>
      <c r="AU107">
        <v>0.4</v>
      </c>
      <c r="AV107">
        <v>0.3</v>
      </c>
      <c r="AW107">
        <v>0.3</v>
      </c>
      <c r="AX107">
        <v>0.5</v>
      </c>
      <c r="AY107">
        <v>0.4</v>
      </c>
      <c r="AZ107">
        <v>0.4</v>
      </c>
      <c r="BA107">
        <v>0.4</v>
      </c>
    </row>
    <row r="108" spans="41:53" x14ac:dyDescent="0.2">
      <c r="AQ108" t="s">
        <v>55</v>
      </c>
      <c r="AR108">
        <v>1</v>
      </c>
      <c r="AS108">
        <v>0.4</v>
      </c>
      <c r="AT108">
        <v>0.9</v>
      </c>
      <c r="AU108">
        <v>0.7</v>
      </c>
      <c r="AV108">
        <v>0.3</v>
      </c>
      <c r="AW108">
        <v>0.3</v>
      </c>
      <c r="AX108">
        <v>0.9</v>
      </c>
      <c r="AY108">
        <v>0.4</v>
      </c>
      <c r="AZ108">
        <v>0.4</v>
      </c>
      <c r="BA108">
        <v>0.4</v>
      </c>
    </row>
    <row r="109" spans="41:53" x14ac:dyDescent="0.2">
      <c r="AQ109" t="s">
        <v>56</v>
      </c>
      <c r="AR109">
        <v>0.8</v>
      </c>
      <c r="AS109">
        <v>0.3</v>
      </c>
      <c r="AT109">
        <v>0.7</v>
      </c>
      <c r="AU109">
        <v>0.3</v>
      </c>
      <c r="AV109">
        <v>0.2</v>
      </c>
      <c r="AW109">
        <v>0.2</v>
      </c>
      <c r="AX109">
        <v>0.7</v>
      </c>
      <c r="AY109">
        <v>0.3</v>
      </c>
      <c r="AZ109">
        <v>0.3</v>
      </c>
      <c r="BA109">
        <v>0.3</v>
      </c>
    </row>
    <row r="110" spans="41:53" x14ac:dyDescent="0.2">
      <c r="AQ110" t="s">
        <v>57</v>
      </c>
      <c r="AR110">
        <v>0.4</v>
      </c>
      <c r="AS110">
        <v>0.1</v>
      </c>
      <c r="AT110">
        <v>0.4</v>
      </c>
      <c r="AU110">
        <v>0.2</v>
      </c>
      <c r="AV110">
        <v>0.1</v>
      </c>
      <c r="AW110">
        <v>0.1</v>
      </c>
      <c r="AX110">
        <v>0.4</v>
      </c>
      <c r="AY110">
        <v>0.1</v>
      </c>
      <c r="AZ110">
        <v>0.1</v>
      </c>
      <c r="BA110">
        <v>0.1</v>
      </c>
    </row>
    <row r="111" spans="41:53" x14ac:dyDescent="0.2">
      <c r="AO111" t="s">
        <v>59</v>
      </c>
      <c r="AQ111" t="s">
        <v>54</v>
      </c>
      <c r="AR111">
        <v>0.99</v>
      </c>
      <c r="AS111">
        <v>1.1000000000000001</v>
      </c>
      <c r="AT111">
        <v>0.88</v>
      </c>
      <c r="AU111">
        <v>0.55000000000000004</v>
      </c>
      <c r="AV111">
        <v>0.55000000000000004</v>
      </c>
      <c r="AW111">
        <v>0.55000000000000004</v>
      </c>
      <c r="AX111">
        <v>0.88</v>
      </c>
      <c r="AY111">
        <v>0.22</v>
      </c>
      <c r="AZ111">
        <v>0.22</v>
      </c>
      <c r="BA111">
        <v>0.22</v>
      </c>
    </row>
    <row r="112" spans="41:53" x14ac:dyDescent="0.2">
      <c r="AQ112" t="s">
        <v>55</v>
      </c>
      <c r="AR112">
        <v>0.77</v>
      </c>
      <c r="AS112">
        <v>0</v>
      </c>
      <c r="AT112">
        <v>0.66</v>
      </c>
      <c r="AU112">
        <v>0.22</v>
      </c>
      <c r="AV112">
        <v>0</v>
      </c>
      <c r="AW112">
        <v>0</v>
      </c>
      <c r="AX112">
        <v>0.66</v>
      </c>
      <c r="AY112">
        <v>0</v>
      </c>
      <c r="AZ112">
        <v>0</v>
      </c>
      <c r="BA112">
        <v>0</v>
      </c>
    </row>
    <row r="113" spans="41:53" x14ac:dyDescent="0.2">
      <c r="AQ113" t="s">
        <v>56</v>
      </c>
      <c r="AR113">
        <v>0.9</v>
      </c>
      <c r="AS113">
        <v>-1.1000000000000001</v>
      </c>
      <c r="AT113">
        <v>0.7</v>
      </c>
      <c r="AU113">
        <v>0.22</v>
      </c>
      <c r="AV113">
        <v>-0.55000000000000004</v>
      </c>
      <c r="AW113">
        <v>-0.55000000000000004</v>
      </c>
      <c r="AX113">
        <v>0.8</v>
      </c>
      <c r="AY113">
        <v>-0.22</v>
      </c>
      <c r="AZ113">
        <v>-0.22</v>
      </c>
      <c r="BA113">
        <v>-0.22</v>
      </c>
    </row>
    <row r="114" spans="41:53" x14ac:dyDescent="0.2">
      <c r="AQ114" t="s">
        <v>57</v>
      </c>
      <c r="AR114">
        <v>0.88</v>
      </c>
      <c r="AS114">
        <v>0</v>
      </c>
      <c r="AT114">
        <v>0.77</v>
      </c>
      <c r="AU114" s="2">
        <v>0.55000000000000004</v>
      </c>
      <c r="AV114" s="2">
        <v>0</v>
      </c>
      <c r="AW114" s="2">
        <v>0</v>
      </c>
      <c r="AX114" s="2">
        <v>0.82</v>
      </c>
      <c r="AY114" s="2">
        <v>0</v>
      </c>
      <c r="AZ114" s="2">
        <v>0</v>
      </c>
      <c r="BA114" s="2">
        <v>0</v>
      </c>
    </row>
    <row r="115" spans="41:53" x14ac:dyDescent="0.2">
      <c r="AO115" t="s">
        <v>69</v>
      </c>
      <c r="AQ115" t="s">
        <v>54</v>
      </c>
      <c r="AR115">
        <v>1</v>
      </c>
      <c r="AS115">
        <v>0.5</v>
      </c>
      <c r="AT115">
        <v>1</v>
      </c>
      <c r="AU115" s="2">
        <v>1</v>
      </c>
      <c r="AV115" s="2">
        <v>-0.44</v>
      </c>
      <c r="AW115" s="2">
        <v>-0.44</v>
      </c>
      <c r="AX115" s="2">
        <v>1</v>
      </c>
      <c r="AY115" s="2">
        <v>0.5</v>
      </c>
      <c r="AZ115" s="2">
        <v>0.5</v>
      </c>
      <c r="BA115" s="2">
        <v>0.5</v>
      </c>
    </row>
    <row r="116" spans="41:53" x14ac:dyDescent="0.2">
      <c r="AQ116" t="s">
        <v>55</v>
      </c>
      <c r="AR116">
        <v>0.82</v>
      </c>
      <c r="AS116">
        <v>0.55000000000000004</v>
      </c>
      <c r="AT116">
        <v>0.71</v>
      </c>
      <c r="AU116" s="2">
        <v>0.55000000000000004</v>
      </c>
      <c r="AV116" s="2">
        <v>0.99</v>
      </c>
      <c r="AW116" s="2">
        <v>0.99</v>
      </c>
      <c r="AX116" s="2">
        <v>0.77</v>
      </c>
      <c r="AY116" s="2">
        <v>0.5</v>
      </c>
      <c r="AZ116" s="2">
        <v>0.5</v>
      </c>
      <c r="BA116" s="2">
        <v>0.5</v>
      </c>
    </row>
    <row r="117" spans="41:53" x14ac:dyDescent="0.2">
      <c r="AQ117" t="s">
        <v>56</v>
      </c>
      <c r="AR117">
        <v>0.77</v>
      </c>
      <c r="AS117">
        <v>0.5</v>
      </c>
      <c r="AT117">
        <v>0.55000000000000004</v>
      </c>
      <c r="AU117" s="2">
        <v>0.11</v>
      </c>
      <c r="AV117" s="2">
        <v>-0.33</v>
      </c>
      <c r="AW117" s="2">
        <v>-0.33</v>
      </c>
      <c r="AX117" s="2">
        <v>0.6</v>
      </c>
      <c r="AY117" s="2">
        <v>0.33</v>
      </c>
      <c r="AZ117" s="2">
        <v>0.33</v>
      </c>
      <c r="BA117" s="2">
        <v>0.33</v>
      </c>
    </row>
    <row r="118" spans="41:53" x14ac:dyDescent="0.2">
      <c r="AQ118" t="s">
        <v>57</v>
      </c>
      <c r="AR118">
        <v>0.11</v>
      </c>
      <c r="AS118">
        <v>-0.27</v>
      </c>
      <c r="AT118">
        <v>0.11</v>
      </c>
      <c r="AU118" s="2">
        <v>0.22</v>
      </c>
      <c r="AV118" s="2">
        <v>-0.44</v>
      </c>
      <c r="AW118" s="2">
        <v>-0.44</v>
      </c>
      <c r="AX118" s="2">
        <v>0.16</v>
      </c>
      <c r="AY118" s="2">
        <v>-0.22</v>
      </c>
      <c r="AZ118" s="2">
        <v>-0.22</v>
      </c>
      <c r="BA118" s="2">
        <v>-0.22</v>
      </c>
    </row>
    <row r="119" spans="41:53" x14ac:dyDescent="0.2">
      <c r="AO119" t="s">
        <v>70</v>
      </c>
      <c r="AQ119" t="s">
        <v>54</v>
      </c>
      <c r="AR119">
        <v>1.1000000000000001</v>
      </c>
      <c r="AS119">
        <v>1.1000000000000001</v>
      </c>
      <c r="AT119">
        <v>1.1000000000000001</v>
      </c>
      <c r="AU119" s="2">
        <v>0.99</v>
      </c>
      <c r="AV119" s="2">
        <v>0.99</v>
      </c>
      <c r="AW119" s="2">
        <v>0.99</v>
      </c>
      <c r="AX119" s="2">
        <v>1.1000000000000001</v>
      </c>
      <c r="AY119" s="2">
        <v>0.77</v>
      </c>
      <c r="AZ119" s="2">
        <v>0.77</v>
      </c>
      <c r="BA119" s="2">
        <v>0.77</v>
      </c>
    </row>
    <row r="120" spans="41:53" x14ac:dyDescent="0.2">
      <c r="AQ120" t="s">
        <v>55</v>
      </c>
      <c r="AR120">
        <v>0.33</v>
      </c>
      <c r="AS120">
        <v>0.33</v>
      </c>
      <c r="AT120">
        <v>0.22</v>
      </c>
      <c r="AU120" s="2">
        <v>0.33</v>
      </c>
      <c r="AV120" s="2">
        <v>-0.1</v>
      </c>
      <c r="AW120" s="2">
        <v>-0.1</v>
      </c>
      <c r="AX120" s="2">
        <v>0.33</v>
      </c>
      <c r="AY120" s="2">
        <v>0.11</v>
      </c>
      <c r="AZ120" s="2">
        <v>0.11</v>
      </c>
      <c r="BA120" s="2">
        <v>0.11</v>
      </c>
    </row>
    <row r="121" spans="41:53" x14ac:dyDescent="0.2">
      <c r="AQ121" t="s">
        <v>56</v>
      </c>
      <c r="AR121">
        <v>0.5</v>
      </c>
      <c r="AS121">
        <v>0.2</v>
      </c>
      <c r="AT121">
        <v>0.55000000000000004</v>
      </c>
      <c r="AU121" s="2">
        <v>0.44</v>
      </c>
      <c r="AV121" s="2">
        <v>0.2</v>
      </c>
      <c r="AW121" s="2">
        <v>0.2</v>
      </c>
      <c r="AX121" s="2">
        <v>0.55000000000000004</v>
      </c>
      <c r="AY121" s="2">
        <v>0.2</v>
      </c>
      <c r="AZ121" s="2">
        <v>0.2</v>
      </c>
      <c r="BA121" s="2">
        <v>0.2</v>
      </c>
    </row>
    <row r="122" spans="41:53" x14ac:dyDescent="0.2">
      <c r="AQ122" t="s">
        <v>57</v>
      </c>
      <c r="AR122">
        <v>0.55000000000000004</v>
      </c>
      <c r="AS122">
        <v>0.22</v>
      </c>
      <c r="AT122">
        <v>0.49</v>
      </c>
      <c r="AU122" s="2">
        <v>0.22</v>
      </c>
      <c r="AV122" s="2">
        <v>0.22</v>
      </c>
      <c r="AW122" s="2">
        <v>0.22</v>
      </c>
      <c r="AX122" s="2">
        <v>0.49</v>
      </c>
      <c r="AY122" s="2">
        <v>0.33</v>
      </c>
      <c r="AZ122" s="2">
        <v>0.33</v>
      </c>
      <c r="BA122" s="2">
        <v>0.33</v>
      </c>
    </row>
    <row r="123" spans="41:53" x14ac:dyDescent="0.2">
      <c r="AO123" t="s">
        <v>65</v>
      </c>
      <c r="AP123" t="s">
        <v>62</v>
      </c>
      <c r="AQ123" t="s">
        <v>54</v>
      </c>
      <c r="AR123">
        <v>1.64</v>
      </c>
      <c r="AS123">
        <v>1.1000000000000001</v>
      </c>
      <c r="AT123">
        <v>1.21</v>
      </c>
      <c r="AU123" s="2">
        <v>0.99</v>
      </c>
      <c r="AV123" s="2">
        <v>0.66</v>
      </c>
      <c r="AW123" s="2">
        <v>0.66</v>
      </c>
      <c r="AX123" s="2">
        <v>1.42</v>
      </c>
      <c r="AY123" s="2">
        <v>1.1000000000000001</v>
      </c>
      <c r="AZ123" s="2">
        <v>1.1000000000000001</v>
      </c>
      <c r="BA123" s="2">
        <v>1.1000000000000001</v>
      </c>
    </row>
    <row r="124" spans="41:53" x14ac:dyDescent="0.2">
      <c r="AQ124" t="s">
        <v>55</v>
      </c>
      <c r="AR124">
        <v>0.44</v>
      </c>
      <c r="AS124">
        <v>-0.22</v>
      </c>
      <c r="AT124">
        <v>0.44</v>
      </c>
      <c r="AU124" s="2">
        <v>0.33</v>
      </c>
      <c r="AV124" s="2">
        <v>-0.22</v>
      </c>
      <c r="AW124" s="2">
        <v>-0.22</v>
      </c>
      <c r="AX124" s="2">
        <v>0.44</v>
      </c>
      <c r="AY124" s="2">
        <v>-0.11</v>
      </c>
      <c r="AZ124" s="2">
        <v>-0.11</v>
      </c>
      <c r="BA124" s="2">
        <v>-0.11</v>
      </c>
    </row>
    <row r="125" spans="41:53" x14ac:dyDescent="0.2">
      <c r="AQ125" t="s">
        <v>56</v>
      </c>
      <c r="AR125">
        <v>0.6</v>
      </c>
      <c r="AS125">
        <v>0</v>
      </c>
      <c r="AT125">
        <v>0.6</v>
      </c>
      <c r="AU125" s="2">
        <v>0.22</v>
      </c>
      <c r="AV125" s="2">
        <v>-0.55000000000000004</v>
      </c>
      <c r="AW125" s="2">
        <v>-0.55000000000000004</v>
      </c>
      <c r="AX125" s="2">
        <v>0.6</v>
      </c>
      <c r="AY125" s="2">
        <v>0</v>
      </c>
      <c r="AZ125" s="2">
        <v>0</v>
      </c>
      <c r="BA125" s="2">
        <v>0</v>
      </c>
    </row>
    <row r="126" spans="41:53" x14ac:dyDescent="0.2">
      <c r="AQ126" t="s">
        <v>57</v>
      </c>
      <c r="AR126">
        <v>0.99</v>
      </c>
      <c r="AS126">
        <v>0.22</v>
      </c>
      <c r="AT126">
        <v>0.77</v>
      </c>
      <c r="AU126" s="2">
        <v>0.11</v>
      </c>
      <c r="AV126" s="2">
        <v>0.11</v>
      </c>
      <c r="AW126" s="2">
        <v>0.11</v>
      </c>
      <c r="AX126" s="2">
        <v>0.77</v>
      </c>
      <c r="AY126" s="2">
        <v>0.44</v>
      </c>
      <c r="AZ126" s="2">
        <v>0.44</v>
      </c>
      <c r="BA126" s="2">
        <v>0.44</v>
      </c>
    </row>
    <row r="127" spans="41:53" x14ac:dyDescent="0.2">
      <c r="AO127" t="s">
        <v>65</v>
      </c>
      <c r="AP127" t="s">
        <v>63</v>
      </c>
      <c r="AQ127" t="s">
        <v>54</v>
      </c>
      <c r="AR127">
        <v>0.7</v>
      </c>
      <c r="AS127">
        <v>-0.55000000000000004</v>
      </c>
      <c r="AT127">
        <v>0.7</v>
      </c>
      <c r="AU127" s="2">
        <v>0.22</v>
      </c>
      <c r="AV127" s="2">
        <v>-0.22</v>
      </c>
      <c r="AW127" s="2">
        <v>-0.22</v>
      </c>
      <c r="AX127" s="2">
        <v>0.7</v>
      </c>
      <c r="AY127" s="2">
        <v>-0.22</v>
      </c>
      <c r="AZ127" s="2">
        <v>-0.22</v>
      </c>
      <c r="BA127" s="2">
        <v>-0.22</v>
      </c>
    </row>
    <row r="128" spans="41:53" x14ac:dyDescent="0.2">
      <c r="AQ128" t="s">
        <v>55</v>
      </c>
      <c r="AR128">
        <v>0.77</v>
      </c>
      <c r="AS128">
        <v>0.55000000000000004</v>
      </c>
      <c r="AT128">
        <v>0.77</v>
      </c>
      <c r="AU128" s="2">
        <v>0.66</v>
      </c>
      <c r="AV128" s="2">
        <v>0.55000000000000004</v>
      </c>
      <c r="AW128" s="2">
        <v>0.55000000000000004</v>
      </c>
      <c r="AX128" s="2">
        <v>0.77</v>
      </c>
      <c r="AY128" s="2">
        <v>0.33</v>
      </c>
      <c r="AZ128" s="2">
        <v>0.33</v>
      </c>
      <c r="BA128" s="2">
        <v>0.33</v>
      </c>
    </row>
    <row r="129" spans="41:53" x14ac:dyDescent="0.2">
      <c r="AQ129" t="s">
        <v>56</v>
      </c>
      <c r="AR129">
        <v>0.88</v>
      </c>
      <c r="AS129">
        <v>0.55000000000000004</v>
      </c>
      <c r="AT129">
        <v>0.88</v>
      </c>
      <c r="AU129" s="2">
        <v>0.22</v>
      </c>
      <c r="AV129" s="2">
        <v>0.22</v>
      </c>
      <c r="AW129" s="2">
        <v>0.22</v>
      </c>
      <c r="AX129" s="2">
        <v>0.88</v>
      </c>
      <c r="AY129" s="2">
        <v>0.22</v>
      </c>
      <c r="AZ129" s="2">
        <v>0.22</v>
      </c>
      <c r="BA129" s="2">
        <v>0.22</v>
      </c>
    </row>
    <row r="130" spans="41:53" x14ac:dyDescent="0.2">
      <c r="AQ130" t="s">
        <v>57</v>
      </c>
      <c r="AR130">
        <v>0.22</v>
      </c>
      <c r="AS130">
        <v>-0.55000000000000004</v>
      </c>
      <c r="AT130">
        <v>0.22</v>
      </c>
      <c r="AU130" s="6">
        <v>0.11</v>
      </c>
      <c r="AV130" s="6">
        <v>-0.22</v>
      </c>
      <c r="AW130" s="6">
        <v>-0.22</v>
      </c>
      <c r="AX130" s="6">
        <v>0.22</v>
      </c>
      <c r="AY130" s="6">
        <v>-0.33</v>
      </c>
      <c r="AZ130" s="6">
        <v>-0.33</v>
      </c>
      <c r="BA130" s="6">
        <v>-0.33</v>
      </c>
    </row>
    <row r="131" spans="41:53" x14ac:dyDescent="0.2">
      <c r="AO131" t="s">
        <v>65</v>
      </c>
      <c r="AP131" t="s">
        <v>71</v>
      </c>
      <c r="AQ131" t="s">
        <v>54</v>
      </c>
      <c r="AR131">
        <v>0.22</v>
      </c>
      <c r="AS131">
        <v>-0.55000000000000004</v>
      </c>
      <c r="AT131">
        <v>0.33</v>
      </c>
      <c r="AU131" s="6">
        <v>0.22</v>
      </c>
      <c r="AV131" s="6">
        <v>-0.33</v>
      </c>
      <c r="AW131" s="6">
        <v>-0.33</v>
      </c>
      <c r="AX131" s="6">
        <v>0.22</v>
      </c>
      <c r="AY131" s="6">
        <v>-0.55000000000000004</v>
      </c>
      <c r="AZ131" s="6">
        <v>-0.55000000000000004</v>
      </c>
      <c r="BA131" s="6">
        <v>-0.55000000000000004</v>
      </c>
    </row>
    <row r="132" spans="41:53" x14ac:dyDescent="0.2">
      <c r="AQ132" t="s">
        <v>55</v>
      </c>
      <c r="AR132">
        <v>0.8</v>
      </c>
      <c r="AS132">
        <v>0.55000000000000004</v>
      </c>
      <c r="AT132">
        <v>0.7</v>
      </c>
      <c r="AU132" s="6">
        <v>0.44</v>
      </c>
      <c r="AV132" s="6">
        <v>0.66</v>
      </c>
      <c r="AW132" s="6">
        <v>0.66</v>
      </c>
      <c r="AX132" s="6">
        <v>0.8</v>
      </c>
      <c r="AY132" s="6">
        <v>0.55000000000000004</v>
      </c>
      <c r="AZ132" s="6">
        <v>0.55000000000000004</v>
      </c>
      <c r="BA132" s="6">
        <v>0.55000000000000004</v>
      </c>
    </row>
    <row r="133" spans="41:53" x14ac:dyDescent="0.2">
      <c r="AQ133" t="s">
        <v>56</v>
      </c>
      <c r="AR133">
        <v>0.66</v>
      </c>
      <c r="AS133">
        <v>0.55000000000000004</v>
      </c>
      <c r="AT133">
        <v>0.55000000000000004</v>
      </c>
      <c r="AU133" s="6">
        <v>0.55000000000000004</v>
      </c>
      <c r="AV133" s="6">
        <v>0.11</v>
      </c>
      <c r="AW133" s="6">
        <v>0.11</v>
      </c>
      <c r="AX133" s="6">
        <v>0.66</v>
      </c>
      <c r="AY133" s="6">
        <v>0.55000000000000004</v>
      </c>
      <c r="AZ133" s="6">
        <v>0.55000000000000004</v>
      </c>
      <c r="BA133" s="6">
        <v>0.55000000000000004</v>
      </c>
    </row>
    <row r="134" spans="41:53" x14ac:dyDescent="0.2">
      <c r="AQ134" t="s">
        <v>57</v>
      </c>
      <c r="AR134">
        <v>0.33</v>
      </c>
      <c r="AS134">
        <v>-0.55000000000000004</v>
      </c>
      <c r="AT134">
        <v>0.11</v>
      </c>
      <c r="AU134" s="6">
        <v>0.11</v>
      </c>
      <c r="AV134" s="6">
        <v>-0.44</v>
      </c>
      <c r="AW134" s="6">
        <v>-0.44</v>
      </c>
      <c r="AX134" s="6">
        <v>0.33</v>
      </c>
      <c r="AY134" s="6">
        <v>-0.55000000000000004</v>
      </c>
      <c r="AZ134" s="6">
        <v>-0.55000000000000004</v>
      </c>
      <c r="BA134" s="6">
        <v>-0.55000000000000004</v>
      </c>
    </row>
    <row r="135" spans="41:53" x14ac:dyDescent="0.2">
      <c r="AO135" t="s">
        <v>73</v>
      </c>
      <c r="AP135" t="s">
        <v>74</v>
      </c>
      <c r="AQ135" t="s">
        <v>54</v>
      </c>
      <c r="AR135">
        <v>0.22</v>
      </c>
      <c r="AS135">
        <v>-0.23</v>
      </c>
      <c r="AT135">
        <v>0.25</v>
      </c>
      <c r="AU135" s="6">
        <v>0.17</v>
      </c>
      <c r="AV135" s="6">
        <v>0.18</v>
      </c>
      <c r="AW135" s="6">
        <v>-0.28000000000000003</v>
      </c>
      <c r="AX135" s="6">
        <v>0.32</v>
      </c>
      <c r="AY135" s="6">
        <v>0.24</v>
      </c>
      <c r="AZ135" s="6">
        <v>0.25</v>
      </c>
      <c r="BA135">
        <v>-0.05</v>
      </c>
    </row>
    <row r="136" spans="41:53" x14ac:dyDescent="0.2">
      <c r="AQ136" t="s">
        <v>55</v>
      </c>
      <c r="AR136">
        <v>0.66</v>
      </c>
      <c r="AS136">
        <v>0.2</v>
      </c>
      <c r="AT136">
        <v>0.62</v>
      </c>
      <c r="AU136" s="6">
        <v>0.54</v>
      </c>
      <c r="AV136" s="6">
        <v>0.38</v>
      </c>
      <c r="AW136" s="6">
        <v>0.27</v>
      </c>
      <c r="AX136" s="6">
        <v>0.75</v>
      </c>
      <c r="AY136" s="6">
        <v>0.64</v>
      </c>
      <c r="AZ136" s="6">
        <v>0.55000000000000004</v>
      </c>
      <c r="BA136">
        <v>0.48</v>
      </c>
    </row>
    <row r="137" spans="41:53" x14ac:dyDescent="0.2">
      <c r="AQ137" t="s">
        <v>56</v>
      </c>
      <c r="AR137">
        <v>0.49</v>
      </c>
      <c r="AS137">
        <v>0.13</v>
      </c>
      <c r="AT137">
        <v>0.54</v>
      </c>
      <c r="AU137" s="6">
        <v>0.45</v>
      </c>
      <c r="AV137" s="6">
        <v>0.35</v>
      </c>
      <c r="AW137" s="6">
        <v>0.15</v>
      </c>
      <c r="AX137" s="6">
        <v>0.63</v>
      </c>
      <c r="AY137" s="6">
        <v>0.54</v>
      </c>
      <c r="AZ137" s="6">
        <v>0.42</v>
      </c>
      <c r="BA137">
        <v>0.26</v>
      </c>
    </row>
    <row r="138" spans="41:53" x14ac:dyDescent="0.2">
      <c r="AQ138" t="s">
        <v>57</v>
      </c>
      <c r="AR138">
        <v>0.27</v>
      </c>
      <c r="AS138">
        <v>-0.8</v>
      </c>
      <c r="AT138">
        <v>0.22</v>
      </c>
      <c r="AU138" s="6">
        <v>0.09</v>
      </c>
      <c r="AV138" s="6">
        <v>0.12</v>
      </c>
      <c r="AW138" s="6">
        <v>0.02</v>
      </c>
      <c r="AX138" s="6">
        <v>0.25</v>
      </c>
      <c r="AY138" s="6">
        <v>0.18</v>
      </c>
      <c r="AZ138" s="6">
        <v>0.12</v>
      </c>
      <c r="BA138">
        <v>0.03</v>
      </c>
    </row>
    <row r="139" spans="41:53" x14ac:dyDescent="0.2">
      <c r="AO139" t="s">
        <v>73</v>
      </c>
      <c r="AP139" t="s">
        <v>75</v>
      </c>
      <c r="AQ139" t="s">
        <v>54</v>
      </c>
      <c r="AR139">
        <v>0.22</v>
      </c>
      <c r="AS139">
        <v>-0.44</v>
      </c>
      <c r="AT139">
        <v>0.2</v>
      </c>
      <c r="AU139" s="6">
        <v>0.21</v>
      </c>
      <c r="AV139" s="6">
        <v>0.18</v>
      </c>
      <c r="AW139" s="6">
        <v>0.01</v>
      </c>
      <c r="AX139" s="6">
        <v>0.12</v>
      </c>
      <c r="AY139" s="6">
        <v>0.09</v>
      </c>
      <c r="AZ139" s="6" t="s">
        <v>72</v>
      </c>
      <c r="BA139" t="s">
        <v>72</v>
      </c>
    </row>
    <row r="140" spans="41:53" x14ac:dyDescent="0.2">
      <c r="AQ140" t="s">
        <v>55</v>
      </c>
      <c r="AR140">
        <v>0.66</v>
      </c>
      <c r="AS140">
        <v>0.22</v>
      </c>
      <c r="AT140">
        <v>0.68</v>
      </c>
      <c r="AU140" s="6">
        <v>0.22</v>
      </c>
      <c r="AV140" s="6">
        <v>0.24</v>
      </c>
      <c r="AW140" s="6">
        <v>0.25</v>
      </c>
      <c r="AX140" s="6">
        <v>0.64</v>
      </c>
      <c r="AY140" s="6">
        <v>0.37</v>
      </c>
      <c r="AZ140" s="6" t="s">
        <v>72</v>
      </c>
      <c r="BA140" t="s">
        <v>72</v>
      </c>
    </row>
    <row r="141" spans="41:53" x14ac:dyDescent="0.2">
      <c r="AQ141" t="s">
        <v>56</v>
      </c>
      <c r="AR141">
        <v>0.49</v>
      </c>
      <c r="AS141">
        <v>0.05</v>
      </c>
      <c r="AT141">
        <v>0.64</v>
      </c>
      <c r="AU141" s="6">
        <v>0.25</v>
      </c>
      <c r="AV141" s="6">
        <v>0.28999999999999998</v>
      </c>
      <c r="AW141" s="6">
        <v>0.12</v>
      </c>
      <c r="AX141" s="6">
        <v>0.56999999999999995</v>
      </c>
      <c r="AY141" s="6">
        <v>0.49</v>
      </c>
      <c r="AZ141" s="6" t="s">
        <v>72</v>
      </c>
      <c r="BA141" t="s">
        <v>72</v>
      </c>
    </row>
    <row r="142" spans="41:53" x14ac:dyDescent="0.2">
      <c r="AQ142" t="s">
        <v>57</v>
      </c>
      <c r="AR142">
        <v>0.27</v>
      </c>
      <c r="AS142">
        <v>-0.27</v>
      </c>
      <c r="AT142">
        <v>0.31</v>
      </c>
      <c r="AU142" s="6">
        <v>0.28999999999999998</v>
      </c>
      <c r="AV142" s="6">
        <v>0.19</v>
      </c>
      <c r="AW142" s="6">
        <v>0.04</v>
      </c>
      <c r="AX142" s="6">
        <v>0.26</v>
      </c>
      <c r="AY142" s="6">
        <v>0.28000000000000003</v>
      </c>
      <c r="AZ142" s="6" t="s">
        <v>72</v>
      </c>
      <c r="BA142" t="s">
        <v>72</v>
      </c>
    </row>
    <row r="143" spans="41:53" x14ac:dyDescent="0.2">
      <c r="AO143" t="s">
        <v>73</v>
      </c>
      <c r="AP143" t="s">
        <v>76</v>
      </c>
      <c r="AQ143" t="s">
        <v>54</v>
      </c>
      <c r="AR143">
        <v>0.22</v>
      </c>
      <c r="AS143">
        <v>-0.44</v>
      </c>
      <c r="AT143">
        <v>0</v>
      </c>
      <c r="AU143" s="6">
        <v>0.15</v>
      </c>
      <c r="AV143" s="6">
        <v>0.08</v>
      </c>
      <c r="AW143" s="6">
        <v>0.17</v>
      </c>
      <c r="AX143" s="6">
        <v>0.06</v>
      </c>
      <c r="AY143" s="6">
        <v>0.02</v>
      </c>
      <c r="AZ143" s="6">
        <v>-0.14000000000000001</v>
      </c>
      <c r="BA143" t="s">
        <v>72</v>
      </c>
    </row>
    <row r="144" spans="41:53" x14ac:dyDescent="0.2">
      <c r="AQ144" t="s">
        <v>55</v>
      </c>
      <c r="AR144">
        <v>0.66</v>
      </c>
      <c r="AS144">
        <v>0.22</v>
      </c>
      <c r="AT144">
        <v>0.79</v>
      </c>
      <c r="AU144" s="6">
        <v>0.4</v>
      </c>
      <c r="AV144" s="6">
        <v>0.38</v>
      </c>
      <c r="AW144" s="6">
        <v>0.27</v>
      </c>
      <c r="AX144" s="6">
        <v>0.8</v>
      </c>
      <c r="AY144" s="6">
        <v>0.16</v>
      </c>
      <c r="AZ144" s="6">
        <v>0.3</v>
      </c>
      <c r="BA144" t="s">
        <v>72</v>
      </c>
    </row>
    <row r="145" spans="41:53" x14ac:dyDescent="0.2">
      <c r="AQ145" t="s">
        <v>56</v>
      </c>
      <c r="AR145">
        <v>0.49</v>
      </c>
      <c r="AS145">
        <v>0.05</v>
      </c>
      <c r="AT145">
        <v>0.55000000000000004</v>
      </c>
      <c r="AU145" s="6">
        <v>0.38</v>
      </c>
      <c r="AV145" s="6">
        <v>0.36</v>
      </c>
      <c r="AW145" s="6">
        <v>0.06</v>
      </c>
      <c r="AX145" s="6">
        <v>0.57999999999999996</v>
      </c>
      <c r="AY145" s="6">
        <v>0.23</v>
      </c>
      <c r="AZ145" s="6">
        <v>0.4</v>
      </c>
      <c r="BA145" t="s">
        <v>72</v>
      </c>
    </row>
    <row r="146" spans="41:53" x14ac:dyDescent="0.2">
      <c r="AQ146" t="s">
        <v>57</v>
      </c>
      <c r="AR146">
        <v>0.27</v>
      </c>
      <c r="AS146">
        <v>-0.27</v>
      </c>
      <c r="AT146">
        <v>0.02</v>
      </c>
      <c r="AU146">
        <v>0.09</v>
      </c>
      <c r="AV146">
        <v>0.16</v>
      </c>
      <c r="AW146">
        <v>-0.04</v>
      </c>
      <c r="AX146">
        <v>0.21</v>
      </c>
      <c r="AY146">
        <v>0.03</v>
      </c>
      <c r="AZ146">
        <v>0.11</v>
      </c>
      <c r="BA146" t="s">
        <v>72</v>
      </c>
    </row>
    <row r="147" spans="41:53" x14ac:dyDescent="0.2">
      <c r="AO147" t="s">
        <v>81</v>
      </c>
      <c r="AP147" t="s">
        <v>77</v>
      </c>
      <c r="AQ147" t="s">
        <v>54</v>
      </c>
      <c r="AR147">
        <v>0.27</v>
      </c>
      <c r="AS147">
        <v>-0.19</v>
      </c>
      <c r="AT147">
        <v>0.38</v>
      </c>
      <c r="AU147" s="7">
        <v>0.25</v>
      </c>
      <c r="AV147">
        <v>7.0000000000000007E-2</v>
      </c>
      <c r="AW147">
        <v>0.05</v>
      </c>
      <c r="AX147">
        <v>0.52</v>
      </c>
      <c r="AY147">
        <v>0.55000000000000004</v>
      </c>
      <c r="AZ147">
        <v>0.19</v>
      </c>
      <c r="BA147">
        <v>0.6</v>
      </c>
    </row>
    <row r="148" spans="41:53" x14ac:dyDescent="0.2">
      <c r="AQ148" t="s">
        <v>55</v>
      </c>
      <c r="AR148">
        <v>0.16</v>
      </c>
      <c r="AS148">
        <v>0.16</v>
      </c>
      <c r="AT148">
        <v>0.8</v>
      </c>
      <c r="AU148">
        <v>0.56999999999999995</v>
      </c>
      <c r="AV148">
        <v>0.76</v>
      </c>
      <c r="AW148">
        <v>0.49</v>
      </c>
      <c r="AX148">
        <v>0.84</v>
      </c>
      <c r="AY148">
        <v>0.51</v>
      </c>
      <c r="AZ148">
        <v>0.36</v>
      </c>
      <c r="BA148">
        <v>0.17</v>
      </c>
    </row>
    <row r="149" spans="41:53" x14ac:dyDescent="0.2">
      <c r="AQ149" t="s">
        <v>56</v>
      </c>
      <c r="AR149">
        <v>0.45</v>
      </c>
      <c r="AS149">
        <v>0.1</v>
      </c>
      <c r="AT149">
        <v>0.49</v>
      </c>
      <c r="AU149" s="6">
        <v>0.41</v>
      </c>
      <c r="AV149">
        <v>0.4</v>
      </c>
      <c r="AW149">
        <v>0.17</v>
      </c>
      <c r="AX149">
        <v>0.54</v>
      </c>
      <c r="AY149">
        <v>0.64</v>
      </c>
      <c r="AZ149">
        <v>-0.05</v>
      </c>
      <c r="BA149">
        <v>0.32</v>
      </c>
    </row>
    <row r="150" spans="41:53" x14ac:dyDescent="0.2">
      <c r="AQ150" t="s">
        <v>57</v>
      </c>
      <c r="AR150">
        <v>0.51</v>
      </c>
      <c r="AS150">
        <v>-7.0000000000000007E-2</v>
      </c>
      <c r="AT150">
        <v>0.13</v>
      </c>
      <c r="AU150" s="6">
        <v>-0.09</v>
      </c>
      <c r="AV150">
        <v>-0.13</v>
      </c>
      <c r="AW150">
        <v>7.0000000000000007E-2</v>
      </c>
      <c r="AX150">
        <v>0.25</v>
      </c>
      <c r="AY150">
        <v>0.71</v>
      </c>
      <c r="AZ150">
        <v>0.17</v>
      </c>
      <c r="BA150">
        <v>0.43</v>
      </c>
    </row>
    <row r="151" spans="41:53" x14ac:dyDescent="0.2">
      <c r="AO151" t="s">
        <v>81</v>
      </c>
      <c r="AP151" t="s">
        <v>78</v>
      </c>
      <c r="AQ151" t="s">
        <v>54</v>
      </c>
      <c r="AR151">
        <v>-0.12</v>
      </c>
      <c r="AS151">
        <v>-0.19</v>
      </c>
      <c r="AT151">
        <v>0.41</v>
      </c>
      <c r="AU151">
        <v>0.09</v>
      </c>
      <c r="AV151">
        <v>0.41</v>
      </c>
      <c r="AW151">
        <v>-0.19</v>
      </c>
      <c r="AX151">
        <v>7.0000000000000007E-2</v>
      </c>
      <c r="AY151">
        <v>1.07</v>
      </c>
      <c r="AZ151">
        <v>-0.08</v>
      </c>
      <c r="BA151">
        <v>0</v>
      </c>
    </row>
    <row r="152" spans="41:53" x14ac:dyDescent="0.2">
      <c r="AQ152" t="s">
        <v>55</v>
      </c>
      <c r="AR152">
        <v>0.65</v>
      </c>
      <c r="AS152">
        <v>0.19</v>
      </c>
      <c r="AT152">
        <v>0.65</v>
      </c>
      <c r="AU152">
        <v>0.51</v>
      </c>
      <c r="AV152">
        <v>0.18</v>
      </c>
      <c r="AW152">
        <v>0.63</v>
      </c>
      <c r="AX152">
        <v>1.3</v>
      </c>
      <c r="AY152">
        <v>0.48</v>
      </c>
      <c r="AZ152">
        <v>1.1200000000000001</v>
      </c>
      <c r="BA152">
        <v>0.38</v>
      </c>
    </row>
    <row r="153" spans="41:53" x14ac:dyDescent="0.2">
      <c r="AQ153" t="s">
        <v>56</v>
      </c>
      <c r="AR153">
        <v>0.7</v>
      </c>
      <c r="AS153">
        <v>0.13</v>
      </c>
      <c r="AT153">
        <v>0.52</v>
      </c>
      <c r="AU153">
        <v>0.34</v>
      </c>
      <c r="AV153">
        <v>0.02</v>
      </c>
      <c r="AW153">
        <v>0.04</v>
      </c>
      <c r="AX153">
        <v>0.77</v>
      </c>
      <c r="AY153">
        <v>0.42</v>
      </c>
      <c r="AZ153">
        <v>0.12</v>
      </c>
      <c r="BA153">
        <v>0.74</v>
      </c>
    </row>
    <row r="154" spans="41:53" x14ac:dyDescent="0.2">
      <c r="AQ154" t="s">
        <v>57</v>
      </c>
      <c r="AR154">
        <v>0.32</v>
      </c>
      <c r="AS154">
        <v>-0.06</v>
      </c>
      <c r="AT154">
        <v>0.25</v>
      </c>
      <c r="AU154">
        <v>0.19</v>
      </c>
      <c r="AV154">
        <v>-0.1</v>
      </c>
      <c r="AW154">
        <v>-0.02</v>
      </c>
      <c r="AX154">
        <v>0.02</v>
      </c>
      <c r="AY154">
        <v>0.23</v>
      </c>
      <c r="AZ154">
        <v>-0.13</v>
      </c>
      <c r="BA154">
        <v>0</v>
      </c>
    </row>
    <row r="155" spans="41:53" x14ac:dyDescent="0.2">
      <c r="AO155" t="s">
        <v>81</v>
      </c>
      <c r="AP155" t="s">
        <v>79</v>
      </c>
      <c r="AQ155" t="s">
        <v>54</v>
      </c>
      <c r="AR155">
        <v>0.62</v>
      </c>
      <c r="AS155">
        <v>-0.19</v>
      </c>
      <c r="AT155">
        <v>0.37</v>
      </c>
      <c r="AU155">
        <v>0.41</v>
      </c>
      <c r="AV155">
        <v>0.06</v>
      </c>
      <c r="AW155">
        <v>-0.02</v>
      </c>
      <c r="AX155">
        <v>0.47</v>
      </c>
      <c r="AY155">
        <v>0.44</v>
      </c>
      <c r="AZ155">
        <v>0.3</v>
      </c>
      <c r="BA155">
        <v>0.13</v>
      </c>
    </row>
    <row r="156" spans="41:53" x14ac:dyDescent="0.2">
      <c r="AQ156" t="s">
        <v>55</v>
      </c>
      <c r="AR156">
        <v>0.05</v>
      </c>
      <c r="AS156">
        <v>0.19</v>
      </c>
      <c r="AT156">
        <v>0.31</v>
      </c>
      <c r="AU156">
        <v>0.54</v>
      </c>
      <c r="AV156">
        <v>0.53</v>
      </c>
      <c r="AW156">
        <v>0.15</v>
      </c>
      <c r="AX156">
        <v>0.28000000000000003</v>
      </c>
      <c r="AY156">
        <v>0.56999999999999995</v>
      </c>
      <c r="AZ156">
        <v>0.42</v>
      </c>
      <c r="BA156">
        <v>0.4</v>
      </c>
    </row>
    <row r="157" spans="41:53" x14ac:dyDescent="0.2">
      <c r="AQ157" t="s">
        <v>56</v>
      </c>
      <c r="AR157">
        <v>0.33</v>
      </c>
      <c r="AS157">
        <v>0.13</v>
      </c>
      <c r="AT157">
        <v>0.39</v>
      </c>
      <c r="AU157">
        <v>0.36</v>
      </c>
      <c r="AV157">
        <v>0.26</v>
      </c>
      <c r="AW157">
        <v>0.11</v>
      </c>
      <c r="AX157">
        <v>0.4</v>
      </c>
      <c r="AY157">
        <v>0.44</v>
      </c>
      <c r="AZ157">
        <v>0.37</v>
      </c>
      <c r="BA157">
        <v>-0.01</v>
      </c>
    </row>
    <row r="158" spans="41:53" x14ac:dyDescent="0.2">
      <c r="AQ158" t="s">
        <v>57</v>
      </c>
      <c r="AR158">
        <v>0.61</v>
      </c>
      <c r="AS158">
        <v>-0.06</v>
      </c>
      <c r="AT158">
        <v>0.21</v>
      </c>
      <c r="AU158">
        <v>0.18</v>
      </c>
      <c r="AV158">
        <v>0.12</v>
      </c>
      <c r="AW158">
        <v>0.06</v>
      </c>
      <c r="AX158">
        <v>0.28999999999999998</v>
      </c>
      <c r="AY158">
        <v>0.41</v>
      </c>
      <c r="AZ158">
        <v>0.41</v>
      </c>
      <c r="BA158">
        <v>-0.15</v>
      </c>
    </row>
    <row r="159" spans="41:53" x14ac:dyDescent="0.2">
      <c r="AO159" t="s">
        <v>81</v>
      </c>
      <c r="AP159" t="s">
        <v>80</v>
      </c>
      <c r="AQ159" t="s">
        <v>54</v>
      </c>
      <c r="AR159">
        <v>-0.2</v>
      </c>
      <c r="AS159">
        <v>0.02</v>
      </c>
      <c r="AT159">
        <v>0.24</v>
      </c>
      <c r="AU159">
        <v>0.3</v>
      </c>
      <c r="AV159">
        <v>0.23</v>
      </c>
      <c r="AW159">
        <v>-0.05</v>
      </c>
      <c r="AX159">
        <v>0.34</v>
      </c>
      <c r="AY159">
        <v>0.3</v>
      </c>
      <c r="AZ159">
        <v>0.56999999999999995</v>
      </c>
      <c r="BA159">
        <v>0.52</v>
      </c>
    </row>
    <row r="160" spans="41:53" x14ac:dyDescent="0.2">
      <c r="AQ160" t="s">
        <v>55</v>
      </c>
      <c r="AR160">
        <v>0.62</v>
      </c>
      <c r="AS160">
        <v>0.21</v>
      </c>
      <c r="AT160">
        <v>0.25</v>
      </c>
      <c r="AU160">
        <v>0.32</v>
      </c>
      <c r="AV160">
        <v>0.47</v>
      </c>
      <c r="AW160">
        <v>0.31</v>
      </c>
      <c r="AX160">
        <v>0.14000000000000001</v>
      </c>
      <c r="AY160">
        <v>0.4</v>
      </c>
      <c r="AZ160">
        <v>0.26</v>
      </c>
      <c r="BA160">
        <v>0.43</v>
      </c>
    </row>
    <row r="161" spans="43:53" x14ac:dyDescent="0.2">
      <c r="AQ161" t="s">
        <v>56</v>
      </c>
      <c r="AR161">
        <v>0.4</v>
      </c>
      <c r="AS161">
        <v>0.13</v>
      </c>
      <c r="AT161">
        <v>0.12</v>
      </c>
      <c r="AU161">
        <v>0.27</v>
      </c>
      <c r="AV161">
        <v>0.3</v>
      </c>
      <c r="AW161">
        <v>0.08</v>
      </c>
      <c r="AX161">
        <v>0.13</v>
      </c>
      <c r="AY161">
        <v>0.24</v>
      </c>
      <c r="AZ161">
        <v>0.15</v>
      </c>
      <c r="BA161">
        <v>0.21</v>
      </c>
    </row>
    <row r="162" spans="43:53" x14ac:dyDescent="0.2">
      <c r="AQ162" t="s">
        <v>57</v>
      </c>
      <c r="AR162">
        <v>0.08</v>
      </c>
      <c r="AS162">
        <v>0.04</v>
      </c>
      <c r="AT162">
        <v>0.06</v>
      </c>
      <c r="AU162">
        <v>0.18</v>
      </c>
      <c r="AV162">
        <v>0.11</v>
      </c>
      <c r="AW162">
        <v>-7.0000000000000007E-2</v>
      </c>
      <c r="AX162">
        <v>0.13</v>
      </c>
      <c r="AY162">
        <v>0.16</v>
      </c>
      <c r="AZ162">
        <v>0.4</v>
      </c>
      <c r="BA162">
        <v>0.33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4.2.1 methane</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Sholl</dc:creator>
  <cp:lastModifiedBy>Eddie Sholl</cp:lastModifiedBy>
  <dcterms:created xsi:type="dcterms:W3CDTF">2026-02-18T00:55:42Z</dcterms:created>
  <dcterms:modified xsi:type="dcterms:W3CDTF">2026-04-07T01:51:34Z</dcterms:modified>
</cp:coreProperties>
</file>