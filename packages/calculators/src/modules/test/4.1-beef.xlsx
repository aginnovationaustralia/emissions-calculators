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20001_{F23B3008-F8F0-494C-992D-7D101CAF2D36}" xr6:coauthVersionLast="47" xr6:coauthVersionMax="47" xr10:uidLastSave="{00000000-0000-0000-0000-000000000000}"/>
  <bookViews>
    <workbookView xWindow="51220" yWindow="11700" windowWidth="28800" windowHeight="28200" xr2:uid="{00000000-000D-0000-FFFF-FFFF00000000}"/>
  </bookViews>
  <sheets>
    <sheet name="4.2.1 methane" sheetId="2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9" i="2" l="1"/>
  <c r="N129" i="2" s="1"/>
  <c r="I127" i="2" a="1"/>
  <c r="I127" i="2" s="1"/>
  <c r="H127" i="2" a="1"/>
  <c r="M128" i="2" s="1"/>
  <c r="N128" i="2" s="1"/>
  <c r="M126" i="2"/>
  <c r="N126" i="2" s="1"/>
  <c r="M124" i="2"/>
  <c r="N124" i="2" s="1"/>
  <c r="I123" i="2" a="1"/>
  <c r="I123" i="2" s="1"/>
  <c r="H123" i="2" a="1"/>
  <c r="H123" i="2" s="1"/>
  <c r="M123" i="2" s="1"/>
  <c r="N123" i="2" s="1"/>
  <c r="I119" i="2" a="1"/>
  <c r="I119" i="2" s="1"/>
  <c r="H119" i="2"/>
  <c r="M119" i="2" s="1"/>
  <c r="N119" i="2" s="1"/>
  <c r="H119" i="2" a="1"/>
  <c r="M117" i="2"/>
  <c r="N117" i="2" s="1"/>
  <c r="I115" i="2" a="1"/>
  <c r="I115" i="2" s="1"/>
  <c r="H115" i="2" a="1"/>
  <c r="H115" i="2" s="1"/>
  <c r="M115" i="2" s="1"/>
  <c r="N115" i="2" s="1"/>
  <c r="L114" i="2"/>
  <c r="M114" i="2" s="1"/>
  <c r="N114" i="2" s="1"/>
  <c r="L113" i="2"/>
  <c r="L112" i="2"/>
  <c r="L111" i="2"/>
  <c r="I111" i="2" a="1"/>
  <c r="I111" i="2" s="1"/>
  <c r="H111" i="2" a="1"/>
  <c r="M113" i="2" s="1"/>
  <c r="N113" i="2" s="1"/>
  <c r="L110" i="2"/>
  <c r="L109" i="2"/>
  <c r="L108" i="2"/>
  <c r="L107" i="2"/>
  <c r="I107" i="2" a="1"/>
  <c r="I107" i="2" s="1"/>
  <c r="H107" i="2" a="1"/>
  <c r="M109" i="2" s="1"/>
  <c r="N109" i="2" s="1"/>
  <c r="I103" i="2" a="1"/>
  <c r="I103" i="2" s="1"/>
  <c r="H103" i="2" a="1"/>
  <c r="M102" i="2"/>
  <c r="N102" i="2" s="1"/>
  <c r="M101" i="2"/>
  <c r="N101" i="2" s="1"/>
  <c r="M100" i="2"/>
  <c r="N100" i="2" s="1"/>
  <c r="I99" i="2" a="1"/>
  <c r="I99" i="2" s="1"/>
  <c r="H99" i="2" a="1"/>
  <c r="H99" i="2" s="1"/>
  <c r="M99" i="2" s="1"/>
  <c r="N99" i="2" s="1"/>
  <c r="M98" i="2"/>
  <c r="N98" i="2" s="1"/>
  <c r="M96" i="2"/>
  <c r="N96" i="2" s="1"/>
  <c r="I95" i="2" a="1"/>
  <c r="I95" i="2" s="1"/>
  <c r="H95" i="2" a="1"/>
  <c r="H95" i="2" s="1"/>
  <c r="M95" i="2" s="1"/>
  <c r="N95" i="2" s="1"/>
  <c r="AF91" i="2"/>
  <c r="AD91" i="2"/>
  <c r="AC91" i="2"/>
  <c r="AB91" i="2"/>
  <c r="AA91" i="2"/>
  <c r="Z91" i="2"/>
  <c r="Y91" i="2"/>
  <c r="X91" i="2"/>
  <c r="S91" i="2" a="1"/>
  <c r="S91" i="2" s="1"/>
  <c r="I91" i="2" a="1"/>
  <c r="I91" i="2" s="1"/>
  <c r="H91" i="2" a="1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41" i="2"/>
  <c r="O157" i="2"/>
  <c r="O166" i="2"/>
  <c r="O167" i="2"/>
  <c r="O169" i="2"/>
  <c r="O179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51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44" i="2"/>
  <c r="N143" i="2"/>
  <c r="N142" i="2"/>
  <c r="N141" i="2"/>
  <c r="M177" i="2"/>
  <c r="M175" i="2"/>
  <c r="M171" i="2"/>
  <c r="M172" i="2"/>
  <c r="M165" i="2"/>
  <c r="L164" i="2"/>
  <c r="L163" i="2"/>
  <c r="L162" i="2"/>
  <c r="L161" i="2"/>
  <c r="M163" i="2"/>
  <c r="L160" i="2"/>
  <c r="L159" i="2"/>
  <c r="L158" i="2"/>
  <c r="L157" i="2"/>
  <c r="I157" i="2" a="1"/>
  <c r="I157" i="2" s="1"/>
  <c r="M155" i="2"/>
  <c r="M156" i="2"/>
  <c r="M152" i="2"/>
  <c r="M150" i="2"/>
  <c r="M149" i="2"/>
  <c r="M147" i="2"/>
  <c r="AF141" i="2"/>
  <c r="AD141" i="2"/>
  <c r="AC141" i="2"/>
  <c r="AB141" i="2"/>
  <c r="AA141" i="2"/>
  <c r="Z141" i="2"/>
  <c r="Y141" i="2"/>
  <c r="X141" i="2"/>
  <c r="O146" i="2" s="1"/>
  <c r="M143" i="2"/>
  <c r="M144" i="2"/>
  <c r="I87" i="2" a="1"/>
  <c r="I87" i="2" s="1"/>
  <c r="H87" i="2" a="1"/>
  <c r="H87" i="2" s="1"/>
  <c r="I83" i="2" a="1"/>
  <c r="I83" i="2" s="1"/>
  <c r="H83" i="2" a="1"/>
  <c r="H83" i="2" s="1"/>
  <c r="M83" i="2" s="1"/>
  <c r="N83" i="2" s="1"/>
  <c r="I79" i="2" a="1"/>
  <c r="M81" i="2" s="1"/>
  <c r="N81" i="2" s="1"/>
  <c r="H79" i="2" a="1"/>
  <c r="M78" i="2"/>
  <c r="N78" i="2" s="1"/>
  <c r="M76" i="2"/>
  <c r="N76" i="2" s="1"/>
  <c r="M75" i="2"/>
  <c r="N75" i="2" s="1"/>
  <c r="Q75" i="2" s="1"/>
  <c r="I75" i="2" a="1"/>
  <c r="I75" i="2" s="1"/>
  <c r="H75" i="2" a="1"/>
  <c r="H75" i="2" s="1"/>
  <c r="L74" i="2"/>
  <c r="L73" i="2"/>
  <c r="L72" i="2"/>
  <c r="L71" i="2"/>
  <c r="I71" i="2" a="1"/>
  <c r="I71" i="2" s="1"/>
  <c r="H71" i="2" a="1"/>
  <c r="L70" i="2"/>
  <c r="L69" i="2"/>
  <c r="L68" i="2"/>
  <c r="L67" i="2"/>
  <c r="I67" i="2" a="1"/>
  <c r="I67" i="2" s="1"/>
  <c r="H67" i="2" a="1"/>
  <c r="I63" i="2" a="1"/>
  <c r="I63" i="2" s="1"/>
  <c r="H63" i="2" a="1"/>
  <c r="M65" i="2" s="1"/>
  <c r="N65" i="2" s="1"/>
  <c r="M61" i="2"/>
  <c r="N61" i="2" s="1"/>
  <c r="M60" i="2"/>
  <c r="N60" i="2" s="1"/>
  <c r="I59" i="2" a="1"/>
  <c r="I59" i="2" s="1"/>
  <c r="H59" i="2" a="1"/>
  <c r="H59" i="2" s="1"/>
  <c r="M59" i="2" s="1"/>
  <c r="N59" i="2" s="1"/>
  <c r="I55" i="2" a="1"/>
  <c r="I55" i="2" s="1"/>
  <c r="H55" i="2" a="1"/>
  <c r="H55" i="2" s="1"/>
  <c r="M55" i="2" s="1"/>
  <c r="N55" i="2" s="1"/>
  <c r="AF51" i="2"/>
  <c r="AD51" i="2"/>
  <c r="AC51" i="2"/>
  <c r="AB51" i="2"/>
  <c r="AA51" i="2"/>
  <c r="Z51" i="2"/>
  <c r="Y51" i="2"/>
  <c r="X51" i="2"/>
  <c r="S51" i="2" a="1"/>
  <c r="S51" i="2" s="1"/>
  <c r="I51" i="2" a="1"/>
  <c r="I51" i="2" s="1"/>
  <c r="H51" i="2" a="1"/>
  <c r="M53" i="2" s="1"/>
  <c r="N53" i="2" s="1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8" i="2"/>
  <c r="R29" i="2"/>
  <c r="R30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8" i="2"/>
  <c r="Q29" i="2"/>
  <c r="Q30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11" i="2"/>
  <c r="AF11" i="2"/>
  <c r="S11" i="2" a="1"/>
  <c r="S11" i="2" s="1"/>
  <c r="X11" i="2"/>
  <c r="Y11" i="2"/>
  <c r="Z11" i="2"/>
  <c r="AD11" i="2"/>
  <c r="AC11" i="2"/>
  <c r="AB11" i="2"/>
  <c r="AA11" i="2"/>
  <c r="P99" i="2" l="1"/>
  <c r="R99" i="2" s="1"/>
  <c r="O99" i="2"/>
  <c r="Q99" i="2" s="1"/>
  <c r="P101" i="2"/>
  <c r="R101" i="2" s="1"/>
  <c r="O101" i="2"/>
  <c r="Q101" i="2" s="1"/>
  <c r="P117" i="2"/>
  <c r="R117" i="2" s="1"/>
  <c r="O117" i="2"/>
  <c r="Q117" i="2" s="1"/>
  <c r="P114" i="2"/>
  <c r="R114" i="2" s="1"/>
  <c r="O114" i="2"/>
  <c r="Q114" i="2" s="1"/>
  <c r="O109" i="2"/>
  <c r="Q109" i="2" s="1"/>
  <c r="P109" i="2"/>
  <c r="R109" i="2" s="1"/>
  <c r="P115" i="2"/>
  <c r="R115" i="2" s="1"/>
  <c r="O115" i="2"/>
  <c r="Q115" i="2" s="1"/>
  <c r="P129" i="2"/>
  <c r="R129" i="2" s="1"/>
  <c r="O129" i="2"/>
  <c r="Q129" i="2" s="1"/>
  <c r="P100" i="2"/>
  <c r="R100" i="2" s="1"/>
  <c r="O100" i="2"/>
  <c r="Q100" i="2" s="1"/>
  <c r="P128" i="2"/>
  <c r="R128" i="2" s="1"/>
  <c r="O128" i="2"/>
  <c r="Q128" i="2" s="1"/>
  <c r="P102" i="2"/>
  <c r="R102" i="2" s="1"/>
  <c r="O102" i="2"/>
  <c r="Q102" i="2" s="1"/>
  <c r="P119" i="2"/>
  <c r="R119" i="2" s="1"/>
  <c r="O119" i="2"/>
  <c r="Q119" i="2" s="1"/>
  <c r="O98" i="2"/>
  <c r="Q98" i="2" s="1"/>
  <c r="P98" i="2"/>
  <c r="R98" i="2" s="1"/>
  <c r="P95" i="2"/>
  <c r="R95" i="2" s="1"/>
  <c r="O95" i="2"/>
  <c r="Q95" i="2" s="1"/>
  <c r="P113" i="2"/>
  <c r="R113" i="2" s="1"/>
  <c r="O113" i="2"/>
  <c r="Q113" i="2" s="1"/>
  <c r="P96" i="2"/>
  <c r="R96" i="2" s="1"/>
  <c r="O96" i="2"/>
  <c r="Q96" i="2" s="1"/>
  <c r="H111" i="2"/>
  <c r="M111" i="2" s="1"/>
  <c r="N111" i="2" s="1"/>
  <c r="M94" i="2"/>
  <c r="N94" i="2" s="1"/>
  <c r="M92" i="2"/>
  <c r="N92" i="2" s="1"/>
  <c r="M93" i="2"/>
  <c r="N93" i="2" s="1"/>
  <c r="P123" i="2"/>
  <c r="R123" i="2" s="1"/>
  <c r="O123" i="2"/>
  <c r="Q123" i="2" s="1"/>
  <c r="P124" i="2"/>
  <c r="R124" i="2" s="1"/>
  <c r="O124" i="2"/>
  <c r="Q124" i="2" s="1"/>
  <c r="P126" i="2"/>
  <c r="R126" i="2" s="1"/>
  <c r="O126" i="2"/>
  <c r="Q126" i="2" s="1"/>
  <c r="M106" i="2"/>
  <c r="N106" i="2" s="1"/>
  <c r="M104" i="2"/>
  <c r="N104" i="2" s="1"/>
  <c r="M105" i="2"/>
  <c r="N105" i="2" s="1"/>
  <c r="H91" i="2"/>
  <c r="M91" i="2" s="1"/>
  <c r="N91" i="2" s="1"/>
  <c r="H103" i="2"/>
  <c r="M103" i="2" s="1"/>
  <c r="N103" i="2" s="1"/>
  <c r="M112" i="2"/>
  <c r="N112" i="2" s="1"/>
  <c r="M122" i="2"/>
  <c r="N122" i="2" s="1"/>
  <c r="M120" i="2"/>
  <c r="N120" i="2" s="1"/>
  <c r="M121" i="2"/>
  <c r="N121" i="2" s="1"/>
  <c r="M116" i="2"/>
  <c r="N116" i="2" s="1"/>
  <c r="M130" i="2"/>
  <c r="N130" i="2" s="1"/>
  <c r="M108" i="2"/>
  <c r="N108" i="2" s="1"/>
  <c r="M118" i="2"/>
  <c r="N118" i="2" s="1"/>
  <c r="M97" i="2"/>
  <c r="N97" i="2" s="1"/>
  <c r="M125" i="2"/>
  <c r="N125" i="2" s="1"/>
  <c r="H127" i="2"/>
  <c r="M127" i="2" s="1"/>
  <c r="N127" i="2" s="1"/>
  <c r="H107" i="2"/>
  <c r="M107" i="2" s="1"/>
  <c r="N107" i="2" s="1"/>
  <c r="M110" i="2"/>
  <c r="N110" i="2" s="1"/>
  <c r="O168" i="2"/>
  <c r="O156" i="2"/>
  <c r="O155" i="2"/>
  <c r="O152" i="2"/>
  <c r="O151" i="2"/>
  <c r="O142" i="2"/>
  <c r="O150" i="2"/>
  <c r="Q150" i="2" s="1"/>
  <c r="O180" i="2"/>
  <c r="O149" i="2"/>
  <c r="Q149" i="2" s="1"/>
  <c r="O162" i="2"/>
  <c r="O141" i="2"/>
  <c r="O161" i="2"/>
  <c r="O145" i="2"/>
  <c r="O172" i="2"/>
  <c r="Q172" i="2" s="1"/>
  <c r="O160" i="2"/>
  <c r="O148" i="2"/>
  <c r="O178" i="2"/>
  <c r="O154" i="2"/>
  <c r="O177" i="2"/>
  <c r="Q177" i="2" s="1"/>
  <c r="O165" i="2"/>
  <c r="Q165" i="2" s="1"/>
  <c r="O153" i="2"/>
  <c r="O176" i="2"/>
  <c r="O164" i="2"/>
  <c r="O175" i="2"/>
  <c r="Q175" i="2" s="1"/>
  <c r="O163" i="2"/>
  <c r="Q163" i="2" s="1"/>
  <c r="O174" i="2"/>
  <c r="O144" i="2"/>
  <c r="Q144" i="2" s="1"/>
  <c r="O171" i="2"/>
  <c r="Q171" i="2" s="1"/>
  <c r="O159" i="2"/>
  <c r="Q159" i="2" s="1"/>
  <c r="O147" i="2"/>
  <c r="Q147" i="2" s="1"/>
  <c r="O173" i="2"/>
  <c r="O143" i="2"/>
  <c r="Q143" i="2" s="1"/>
  <c r="O170" i="2"/>
  <c r="O158" i="2"/>
  <c r="Q61" i="2"/>
  <c r="M88" i="2"/>
  <c r="N88" i="2" s="1"/>
  <c r="M77" i="2"/>
  <c r="N77" i="2" s="1"/>
  <c r="Q77" i="2" s="1"/>
  <c r="M89" i="2"/>
  <c r="N89" i="2" s="1"/>
  <c r="Q89" i="2" s="1"/>
  <c r="M90" i="2"/>
  <c r="N90" i="2" s="1"/>
  <c r="P90" i="2" s="1"/>
  <c r="R90" i="2" s="1"/>
  <c r="I79" i="2"/>
  <c r="M62" i="2"/>
  <c r="N62" i="2" s="1"/>
  <c r="P62" i="2" s="1"/>
  <c r="R62" i="2" s="1"/>
  <c r="H51" i="2"/>
  <c r="M51" i="2" s="1"/>
  <c r="N51" i="2" s="1"/>
  <c r="M87" i="2"/>
  <c r="N87" i="2" s="1"/>
  <c r="P87" i="2" s="1"/>
  <c r="R87" i="2" s="1"/>
  <c r="M159" i="2"/>
  <c r="R172" i="2"/>
  <c r="R147" i="2"/>
  <c r="R159" i="2"/>
  <c r="R149" i="2"/>
  <c r="R175" i="2"/>
  <c r="Q155" i="2"/>
  <c r="R155" i="2"/>
  <c r="R171" i="2"/>
  <c r="R163" i="2"/>
  <c r="R144" i="2"/>
  <c r="R177" i="2"/>
  <c r="R156" i="2"/>
  <c r="Q156" i="2"/>
  <c r="R165" i="2"/>
  <c r="R143" i="2"/>
  <c r="R150" i="2"/>
  <c r="R152" i="2"/>
  <c r="Q152" i="2"/>
  <c r="M151" i="2"/>
  <c r="M162" i="2"/>
  <c r="M167" i="2"/>
  <c r="M179" i="2"/>
  <c r="M141" i="2"/>
  <c r="M153" i="2"/>
  <c r="M161" i="2"/>
  <c r="M169" i="2"/>
  <c r="M146" i="2"/>
  <c r="M148" i="2"/>
  <c r="M164" i="2"/>
  <c r="M174" i="2"/>
  <c r="M176" i="2"/>
  <c r="M145" i="2"/>
  <c r="M157" i="2"/>
  <c r="M173" i="2"/>
  <c r="M178" i="2"/>
  <c r="M180" i="2"/>
  <c r="M160" i="2"/>
  <c r="M166" i="2"/>
  <c r="M168" i="2"/>
  <c r="M158" i="2"/>
  <c r="M142" i="2"/>
  <c r="M154" i="2"/>
  <c r="M170" i="2"/>
  <c r="P51" i="2"/>
  <c r="R51" i="2" s="1"/>
  <c r="Q51" i="2"/>
  <c r="P81" i="2"/>
  <c r="R81" i="2" s="1"/>
  <c r="Q81" i="2"/>
  <c r="P65" i="2"/>
  <c r="R65" i="2" s="1"/>
  <c r="Q65" i="2"/>
  <c r="P53" i="2"/>
  <c r="R53" i="2" s="1"/>
  <c r="Q53" i="2"/>
  <c r="Q59" i="2"/>
  <c r="P59" i="2"/>
  <c r="R59" i="2" s="1"/>
  <c r="M69" i="2"/>
  <c r="N69" i="2" s="1"/>
  <c r="P75" i="2"/>
  <c r="R75" i="2" s="1"/>
  <c r="H67" i="2"/>
  <c r="M67" i="2" s="1"/>
  <c r="N67" i="2" s="1"/>
  <c r="M73" i="2"/>
  <c r="N73" i="2" s="1"/>
  <c r="M74" i="2"/>
  <c r="N74" i="2" s="1"/>
  <c r="H71" i="2"/>
  <c r="M71" i="2" s="1"/>
  <c r="N71" i="2" s="1"/>
  <c r="P77" i="2"/>
  <c r="R77" i="2" s="1"/>
  <c r="P88" i="2"/>
  <c r="R88" i="2" s="1"/>
  <c r="Q88" i="2"/>
  <c r="P55" i="2"/>
  <c r="R55" i="2" s="1"/>
  <c r="Q55" i="2"/>
  <c r="M68" i="2"/>
  <c r="N68" i="2" s="1"/>
  <c r="P61" i="2"/>
  <c r="R61" i="2" s="1"/>
  <c r="P89" i="2"/>
  <c r="R89" i="2" s="1"/>
  <c r="P76" i="2"/>
  <c r="R76" i="2" s="1"/>
  <c r="Q76" i="2"/>
  <c r="P78" i="2"/>
  <c r="R78" i="2" s="1"/>
  <c r="Q78" i="2"/>
  <c r="P83" i="2"/>
  <c r="R83" i="2" s="1"/>
  <c r="Q83" i="2"/>
  <c r="M70" i="2"/>
  <c r="N70" i="2" s="1"/>
  <c r="P60" i="2"/>
  <c r="R60" i="2" s="1"/>
  <c r="Q60" i="2"/>
  <c r="M82" i="2"/>
  <c r="N82" i="2" s="1"/>
  <c r="M80" i="2"/>
  <c r="N80" i="2" s="1"/>
  <c r="H79" i="2"/>
  <c r="M79" i="2" s="1"/>
  <c r="N79" i="2" s="1"/>
  <c r="M64" i="2"/>
  <c r="N64" i="2" s="1"/>
  <c r="M66" i="2"/>
  <c r="N66" i="2" s="1"/>
  <c r="H63" i="2"/>
  <c r="M63" i="2" s="1"/>
  <c r="N63" i="2" s="1"/>
  <c r="M54" i="2"/>
  <c r="N54" i="2" s="1"/>
  <c r="M52" i="2"/>
  <c r="N52" i="2" s="1"/>
  <c r="M57" i="2"/>
  <c r="N57" i="2" s="1"/>
  <c r="M58" i="2"/>
  <c r="N58" i="2" s="1"/>
  <c r="M56" i="2"/>
  <c r="N56" i="2" s="1"/>
  <c r="M72" i="2"/>
  <c r="N72" i="2" s="1"/>
  <c r="M85" i="2"/>
  <c r="N85" i="2" s="1"/>
  <c r="M86" i="2"/>
  <c r="N86" i="2" s="1"/>
  <c r="M84" i="2"/>
  <c r="N84" i="2" s="1"/>
  <c r="Q90" i="2"/>
  <c r="P110" i="2" l="1"/>
  <c r="R110" i="2" s="1"/>
  <c r="O110" i="2"/>
  <c r="Q110" i="2" s="1"/>
  <c r="O106" i="2"/>
  <c r="Q106" i="2" s="1"/>
  <c r="P106" i="2"/>
  <c r="R106" i="2" s="1"/>
  <c r="P112" i="2"/>
  <c r="R112" i="2" s="1"/>
  <c r="O112" i="2"/>
  <c r="Q112" i="2" s="1"/>
  <c r="O107" i="2"/>
  <c r="Q107" i="2" s="1"/>
  <c r="P107" i="2"/>
  <c r="R107" i="2" s="1"/>
  <c r="P91" i="2"/>
  <c r="R91" i="2" s="1"/>
  <c r="O91" i="2"/>
  <c r="Q91" i="2" s="1"/>
  <c r="O111" i="2"/>
  <c r="Q111" i="2" s="1"/>
  <c r="P111" i="2"/>
  <c r="R111" i="2" s="1"/>
  <c r="P97" i="2"/>
  <c r="R97" i="2" s="1"/>
  <c r="O97" i="2"/>
  <c r="Q97" i="2" s="1"/>
  <c r="P108" i="2"/>
  <c r="R108" i="2" s="1"/>
  <c r="O108" i="2"/>
  <c r="Q108" i="2" s="1"/>
  <c r="P130" i="2"/>
  <c r="R130" i="2" s="1"/>
  <c r="O130" i="2"/>
  <c r="Q130" i="2" s="1"/>
  <c r="O120" i="2"/>
  <c r="Q120" i="2" s="1"/>
  <c r="P120" i="2"/>
  <c r="R120" i="2" s="1"/>
  <c r="P122" i="2"/>
  <c r="R122" i="2" s="1"/>
  <c r="O122" i="2"/>
  <c r="Q122" i="2" s="1"/>
  <c r="P92" i="2"/>
  <c r="R92" i="2" s="1"/>
  <c r="O92" i="2"/>
  <c r="Q92" i="2" s="1"/>
  <c r="P127" i="2"/>
  <c r="R127" i="2" s="1"/>
  <c r="O127" i="2"/>
  <c r="Q127" i="2" s="1"/>
  <c r="P105" i="2"/>
  <c r="R105" i="2" s="1"/>
  <c r="O105" i="2"/>
  <c r="Q105" i="2" s="1"/>
  <c r="P104" i="2"/>
  <c r="R104" i="2" s="1"/>
  <c r="O104" i="2"/>
  <c r="Q104" i="2" s="1"/>
  <c r="P118" i="2"/>
  <c r="R118" i="2" s="1"/>
  <c r="O118" i="2"/>
  <c r="Q118" i="2" s="1"/>
  <c r="P116" i="2"/>
  <c r="R116" i="2" s="1"/>
  <c r="O116" i="2"/>
  <c r="Q116" i="2" s="1"/>
  <c r="P93" i="2"/>
  <c r="R93" i="2" s="1"/>
  <c r="O93" i="2"/>
  <c r="Q93" i="2" s="1"/>
  <c r="O103" i="2"/>
  <c r="Q103" i="2" s="1"/>
  <c r="P103" i="2"/>
  <c r="R103" i="2" s="1"/>
  <c r="P94" i="2"/>
  <c r="R94" i="2" s="1"/>
  <c r="O94" i="2"/>
  <c r="Q94" i="2" s="1"/>
  <c r="P125" i="2"/>
  <c r="R125" i="2" s="1"/>
  <c r="O125" i="2"/>
  <c r="Q125" i="2" s="1"/>
  <c r="P121" i="2"/>
  <c r="R121" i="2" s="1"/>
  <c r="O121" i="2"/>
  <c r="Q121" i="2" s="1"/>
  <c r="Q87" i="2"/>
  <c r="Q62" i="2"/>
  <c r="R151" i="2"/>
  <c r="Q151" i="2"/>
  <c r="Q141" i="2"/>
  <c r="R141" i="2"/>
  <c r="R154" i="2"/>
  <c r="Q154" i="2"/>
  <c r="R142" i="2"/>
  <c r="Q142" i="2"/>
  <c r="R158" i="2"/>
  <c r="Q158" i="2"/>
  <c r="Q164" i="2"/>
  <c r="R164" i="2"/>
  <c r="R178" i="2"/>
  <c r="Q178" i="2"/>
  <c r="R167" i="2"/>
  <c r="Q167" i="2"/>
  <c r="R170" i="2"/>
  <c r="Q170" i="2"/>
  <c r="R176" i="2"/>
  <c r="Q176" i="2"/>
  <c r="R168" i="2"/>
  <c r="Q168" i="2"/>
  <c r="Q148" i="2"/>
  <c r="R148" i="2"/>
  <c r="R173" i="2"/>
  <c r="Q173" i="2"/>
  <c r="R179" i="2"/>
  <c r="Q179" i="2"/>
  <c r="R162" i="2"/>
  <c r="Q162" i="2"/>
  <c r="R166" i="2"/>
  <c r="Q166" i="2"/>
  <c r="Q146" i="2"/>
  <c r="R146" i="2"/>
  <c r="Q157" i="2"/>
  <c r="R157" i="2"/>
  <c r="R174" i="2"/>
  <c r="Q174" i="2"/>
  <c r="R169" i="2"/>
  <c r="Q169" i="2"/>
  <c r="Q153" i="2"/>
  <c r="R153" i="2"/>
  <c r="R145" i="2"/>
  <c r="Q145" i="2"/>
  <c r="R160" i="2"/>
  <c r="Q160" i="2"/>
  <c r="R180" i="2"/>
  <c r="Q180" i="2"/>
  <c r="R161" i="2"/>
  <c r="Q161" i="2"/>
  <c r="Q56" i="2"/>
  <c r="P56" i="2"/>
  <c r="R56" i="2" s="1"/>
  <c r="Q71" i="2"/>
  <c r="P71" i="2"/>
  <c r="R71" i="2" s="1"/>
  <c r="P57" i="2"/>
  <c r="R57" i="2" s="1"/>
  <c r="Q57" i="2"/>
  <c r="P63" i="2"/>
  <c r="R63" i="2" s="1"/>
  <c r="Q63" i="2"/>
  <c r="P74" i="2"/>
  <c r="R74" i="2" s="1"/>
  <c r="Q74" i="2"/>
  <c r="P68" i="2"/>
  <c r="R68" i="2" s="1"/>
  <c r="Q68" i="2"/>
  <c r="P66" i="2"/>
  <c r="R66" i="2" s="1"/>
  <c r="Q66" i="2"/>
  <c r="Q67" i="2"/>
  <c r="P67" i="2"/>
  <c r="R67" i="2" s="1"/>
  <c r="P70" i="2"/>
  <c r="R70" i="2" s="1"/>
  <c r="Q70" i="2"/>
  <c r="P52" i="2"/>
  <c r="R52" i="2" s="1"/>
  <c r="Q52" i="2"/>
  <c r="AE51" i="2" s="1"/>
  <c r="AG51" i="2" s="1"/>
  <c r="P54" i="2"/>
  <c r="R54" i="2" s="1"/>
  <c r="Q54" i="2"/>
  <c r="Q84" i="2"/>
  <c r="P84" i="2"/>
  <c r="R84" i="2" s="1"/>
  <c r="P64" i="2"/>
  <c r="R64" i="2" s="1"/>
  <c r="Q64" i="2"/>
  <c r="P85" i="2"/>
  <c r="R85" i="2" s="1"/>
  <c r="Q85" i="2"/>
  <c r="P79" i="2"/>
  <c r="R79" i="2" s="1"/>
  <c r="Q79" i="2"/>
  <c r="P82" i="2"/>
  <c r="R82" i="2" s="1"/>
  <c r="Q82" i="2"/>
  <c r="P58" i="2"/>
  <c r="R58" i="2" s="1"/>
  <c r="Q58" i="2"/>
  <c r="P73" i="2"/>
  <c r="R73" i="2" s="1"/>
  <c r="Q73" i="2"/>
  <c r="P86" i="2"/>
  <c r="R86" i="2" s="1"/>
  <c r="Q86" i="2"/>
  <c r="Q72" i="2"/>
  <c r="P72" i="2"/>
  <c r="R72" i="2" s="1"/>
  <c r="P80" i="2"/>
  <c r="R80" i="2" s="1"/>
  <c r="Q80" i="2"/>
  <c r="P69" i="2"/>
  <c r="R69" i="2" s="1"/>
  <c r="Q69" i="2"/>
  <c r="AE91" i="2" l="1"/>
  <c r="AG91" i="2" s="1"/>
  <c r="AE141" i="2"/>
  <c r="AG141" i="2" s="1"/>
  <c r="L28" i="2" l="1"/>
  <c r="L29" i="2"/>
  <c r="L30" i="2"/>
  <c r="L31" i="2"/>
  <c r="L32" i="2"/>
  <c r="L33" i="2"/>
  <c r="L34" i="2"/>
  <c r="L27" i="2"/>
  <c r="M27" i="2" s="1"/>
  <c r="I47" i="2" a="1"/>
  <c r="I47" i="2" s="1"/>
  <c r="I43" i="2" a="1"/>
  <c r="I43" i="2" s="1"/>
  <c r="I39" i="2" a="1"/>
  <c r="I39" i="2" s="1"/>
  <c r="I35" i="2" a="1"/>
  <c r="I35" i="2" s="1"/>
  <c r="I31" i="2" a="1"/>
  <c r="I31" i="2" s="1"/>
  <c r="I27" i="2" a="1"/>
  <c r="I27" i="2" s="1"/>
  <c r="I23" i="2" a="1"/>
  <c r="I23" i="2" s="1"/>
  <c r="I19" i="2" a="1"/>
  <c r="I19" i="2" s="1"/>
  <c r="I15" i="2" a="1"/>
  <c r="I15" i="2" s="1"/>
  <c r="I11" i="2" a="1"/>
  <c r="I11" i="2" s="1"/>
  <c r="H47" i="2" a="1"/>
  <c r="H47" i="2" s="1"/>
  <c r="H43" i="2" a="1"/>
  <c r="H43" i="2" s="1"/>
  <c r="H39" i="2" a="1"/>
  <c r="H39" i="2" s="1"/>
  <c r="H35" i="2" a="1"/>
  <c r="H35" i="2" s="1"/>
  <c r="H31" i="2" a="1"/>
  <c r="H31" i="2" s="1"/>
  <c r="H27" i="2" a="1"/>
  <c r="H27" i="2" s="1"/>
  <c r="H23" i="2" a="1"/>
  <c r="H23" i="2" s="1"/>
  <c r="H19" i="2" a="1"/>
  <c r="H19" i="2" s="1"/>
  <c r="H15" i="2" a="1"/>
  <c r="H15" i="2" s="1"/>
  <c r="H11" i="2" a="1"/>
  <c r="H11" i="2" s="1"/>
  <c r="M47" i="2" l="1"/>
  <c r="M43" i="2"/>
  <c r="M30" i="2"/>
  <c r="M23" i="2"/>
  <c r="M11" i="2"/>
  <c r="M39" i="2"/>
  <c r="N39" i="2" s="1"/>
  <c r="M15" i="2"/>
  <c r="N15" i="2" s="1"/>
  <c r="M31" i="2"/>
  <c r="N31" i="2" s="1"/>
  <c r="N11" i="2"/>
  <c r="M19" i="2"/>
  <c r="N19" i="2" s="1"/>
  <c r="N27" i="2"/>
  <c r="M35" i="2"/>
  <c r="N35" i="2" s="1"/>
  <c r="M13" i="2"/>
  <c r="N13" i="2" s="1"/>
  <c r="M12" i="2"/>
  <c r="N12" i="2" s="1"/>
  <c r="N30" i="2"/>
  <c r="N47" i="2"/>
  <c r="N23" i="2"/>
  <c r="N43" i="2"/>
  <c r="M42" i="2"/>
  <c r="N42" i="2" s="1"/>
  <c r="M18" i="2"/>
  <c r="N18" i="2" s="1"/>
  <c r="M41" i="2"/>
  <c r="N41" i="2" s="1"/>
  <c r="M29" i="2"/>
  <c r="N29" i="2" s="1"/>
  <c r="M17" i="2"/>
  <c r="N17" i="2" s="1"/>
  <c r="M40" i="2"/>
  <c r="N40" i="2" s="1"/>
  <c r="M28" i="2"/>
  <c r="N28" i="2" s="1"/>
  <c r="M16" i="2"/>
  <c r="N16" i="2" s="1"/>
  <c r="M50" i="2"/>
  <c r="N50" i="2" s="1"/>
  <c r="M38" i="2"/>
  <c r="N38" i="2" s="1"/>
  <c r="M26" i="2"/>
  <c r="N26" i="2" s="1"/>
  <c r="M14" i="2"/>
  <c r="N14" i="2" s="1"/>
  <c r="M49" i="2"/>
  <c r="N49" i="2" s="1"/>
  <c r="M37" i="2"/>
  <c r="N37" i="2" s="1"/>
  <c r="M25" i="2"/>
  <c r="N25" i="2" s="1"/>
  <c r="M48" i="2"/>
  <c r="N48" i="2" s="1"/>
  <c r="M36" i="2"/>
  <c r="N36" i="2" s="1"/>
  <c r="M24" i="2"/>
  <c r="N24" i="2" s="1"/>
  <c r="M46" i="2"/>
  <c r="N46" i="2" s="1"/>
  <c r="M34" i="2"/>
  <c r="N34" i="2" s="1"/>
  <c r="M22" i="2"/>
  <c r="N22" i="2" s="1"/>
  <c r="M45" i="2"/>
  <c r="N45" i="2" s="1"/>
  <c r="M33" i="2"/>
  <c r="N33" i="2" s="1"/>
  <c r="M21" i="2"/>
  <c r="N21" i="2" s="1"/>
  <c r="M44" i="2"/>
  <c r="N44" i="2" s="1"/>
  <c r="M32" i="2"/>
  <c r="N32" i="2" s="1"/>
  <c r="M20" i="2"/>
  <c r="N20" i="2" s="1"/>
  <c r="O24" i="2" l="1"/>
  <c r="P24" i="2"/>
  <c r="P35" i="2"/>
  <c r="O35" i="2"/>
  <c r="O36" i="2"/>
  <c r="P36" i="2"/>
  <c r="P27" i="2"/>
  <c r="R27" i="2" s="1"/>
  <c r="O27" i="2"/>
  <c r="Q27" i="2" s="1"/>
  <c r="AE11" i="2" s="1"/>
  <c r="AG11" i="2" s="1"/>
  <c r="P29" i="2"/>
  <c r="O29" i="2"/>
  <c r="O20" i="2"/>
  <c r="P20" i="2"/>
  <c r="P41" i="2"/>
  <c r="O41" i="2"/>
  <c r="P37" i="2"/>
  <c r="O37" i="2"/>
  <c r="O31" i="2"/>
  <c r="Q31" i="2" s="1"/>
  <c r="P31" i="2"/>
  <c r="R31" i="2" s="1"/>
  <c r="O49" i="2"/>
  <c r="P49" i="2"/>
  <c r="O42" i="2"/>
  <c r="P42" i="2"/>
  <c r="O21" i="2"/>
  <c r="P21" i="2"/>
  <c r="P39" i="2"/>
  <c r="O39" i="2"/>
  <c r="P23" i="2"/>
  <c r="O23" i="2"/>
  <c r="P38" i="2"/>
  <c r="O38" i="2"/>
  <c r="O22" i="2"/>
  <c r="P22" i="2"/>
  <c r="O30" i="2"/>
  <c r="P30" i="2"/>
  <c r="P40" i="2"/>
  <c r="O40" i="2"/>
  <c r="P17" i="2"/>
  <c r="O17" i="2"/>
  <c r="O48" i="2"/>
  <c r="P48" i="2"/>
  <c r="O19" i="2"/>
  <c r="P19" i="2"/>
  <c r="P25" i="2"/>
  <c r="O25" i="2"/>
  <c r="O11" i="2"/>
  <c r="P11" i="2"/>
  <c r="O32" i="2"/>
  <c r="P32" i="2"/>
  <c r="O18" i="2"/>
  <c r="P18" i="2"/>
  <c r="O44" i="2"/>
  <c r="P44" i="2"/>
  <c r="P15" i="2"/>
  <c r="O15" i="2"/>
  <c r="P14" i="2"/>
  <c r="O14" i="2"/>
  <c r="O43" i="2"/>
  <c r="P43" i="2"/>
  <c r="P26" i="2"/>
  <c r="O26" i="2"/>
  <c r="O45" i="2"/>
  <c r="P45" i="2"/>
  <c r="P47" i="2"/>
  <c r="O47" i="2"/>
  <c r="O34" i="2"/>
  <c r="P34" i="2"/>
  <c r="P16" i="2"/>
  <c r="O16" i="2"/>
  <c r="O12" i="2"/>
  <c r="P12" i="2"/>
  <c r="O33" i="2"/>
  <c r="P33" i="2"/>
  <c r="P50" i="2"/>
  <c r="O50" i="2"/>
  <c r="O46" i="2"/>
  <c r="P46" i="2"/>
  <c r="P28" i="2"/>
  <c r="O28" i="2"/>
  <c r="P13" i="2"/>
  <c r="O1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<sst xmlns="http://schemas.openxmlformats.org/spreadsheetml/2006/main" count="552" uniqueCount="119">
  <si>
    <t>(LCijkl=5 * FAijkl=5) + (1 - LCijkl=5 )</t>
  </si>
  <si>
    <t>(1.185 + 0.00454 * Wijkln - 0.0000026 * Wijkln^2 + 0.315 * LWGijkln)^2 * MAijkl=5</t>
  </si>
  <si>
    <t>(Iijkln * (1 - DMDijk) + (0.04 * Iijkln)) * ( 1 - A )</t>
  </si>
  <si>
    <t>VSijkln * BO * MMSm * MCFm * 𝜌</t>
  </si>
  <si>
    <t>SUM SUM SUM SUM SUM ( Nkln * Mmijklnm * 91.25)</t>
  </si>
  <si>
    <t>Mmm * GWPCH4 * 10^-3</t>
  </si>
  <si>
    <t>547</t>
  </si>
  <si>
    <t>569</t>
  </si>
  <si>
    <t>581</t>
  </si>
  <si>
    <t>578</t>
  </si>
  <si>
    <t>582</t>
  </si>
  <si>
    <t>3.2 162</t>
  </si>
  <si>
    <t>3.2 163</t>
  </si>
  <si>
    <t>3.2 152</t>
  </si>
  <si>
    <t>3.2 166</t>
  </si>
  <si>
    <t>3.2 143</t>
  </si>
  <si>
    <t>3.2 136</t>
  </si>
  <si>
    <t>551</t>
  </si>
  <si>
    <t>584</t>
  </si>
  <si>
    <t>425</t>
  </si>
  <si>
    <t>405</t>
  </si>
  <si>
    <t>396</t>
  </si>
  <si>
    <t>390</t>
  </si>
  <si>
    <t>input</t>
  </si>
  <si>
    <t>constant</t>
  </si>
  <si>
    <t>expression</t>
  </si>
  <si>
    <t>Nkln</t>
  </si>
  <si>
    <t>BO</t>
  </si>
  <si>
    <t>𝜌</t>
  </si>
  <si>
    <t>Wijkln</t>
  </si>
  <si>
    <t>LWGijkln</t>
  </si>
  <si>
    <t>LCijkl=5</t>
  </si>
  <si>
    <t>FAijkl=5</t>
  </si>
  <si>
    <t>MAijkl=5</t>
  </si>
  <si>
    <t>Iijkln</t>
  </si>
  <si>
    <t>DMDijk</t>
  </si>
  <si>
    <t>A</t>
  </si>
  <si>
    <t>VSijkln</t>
  </si>
  <si>
    <t>Mmm</t>
  </si>
  <si>
    <t>GWPCH4</t>
  </si>
  <si>
    <t>EMCH4</t>
  </si>
  <si>
    <t>Scenario</t>
  </si>
  <si>
    <t>Bulls &lt; 1 year</t>
  </si>
  <si>
    <t>Bulls &gt; 1 year</t>
  </si>
  <si>
    <t>Cows &lt; 1 year</t>
  </si>
  <si>
    <t>Cows 1-2 years</t>
  </si>
  <si>
    <t>Cows 2-3 years</t>
  </si>
  <si>
    <t>Cows &gt; 3 years</t>
  </si>
  <si>
    <t>Steers &lt; 1 year</t>
  </si>
  <si>
    <t>Steers 1-2 years</t>
  </si>
  <si>
    <t>Steers 2-3 years</t>
  </si>
  <si>
    <t>Steers &gt;3 years</t>
  </si>
  <si>
    <t>Baseline</t>
  </si>
  <si>
    <t>ACT/NSW</t>
  </si>
  <si>
    <t>Spring</t>
  </si>
  <si>
    <t>Summer</t>
  </si>
  <si>
    <t>Autumn</t>
  </si>
  <si>
    <t>Winter</t>
  </si>
  <si>
    <t>Region</t>
  </si>
  <si>
    <t>South Australia</t>
  </si>
  <si>
    <t>Liveweight gain</t>
  </si>
  <si>
    <t>DMD</t>
  </si>
  <si>
    <t>South West</t>
  </si>
  <si>
    <t>Pilbara</t>
  </si>
  <si>
    <t>State</t>
  </si>
  <si>
    <t>WA</t>
  </si>
  <si>
    <t>Bull</t>
  </si>
  <si>
    <t>Cow</t>
  </si>
  <si>
    <t>Steer</t>
  </si>
  <si>
    <t>Tasmania</t>
  </si>
  <si>
    <t>Victoria</t>
  </si>
  <si>
    <t>Kimberley</t>
  </si>
  <si>
    <t>NO</t>
  </si>
  <si>
    <t>NT</t>
  </si>
  <si>
    <t>Alice Springs</t>
  </si>
  <si>
    <t>Barkly</t>
  </si>
  <si>
    <t>Northern</t>
  </si>
  <si>
    <t>High</t>
  </si>
  <si>
    <t>Moderate/High</t>
  </si>
  <si>
    <t>Moderate/Low</t>
  </si>
  <si>
    <t>Low</t>
  </si>
  <si>
    <t>Queensland</t>
  </si>
  <si>
    <t>Mmijklnm=14</t>
  </si>
  <si>
    <t>Mmijklnm=1</t>
  </si>
  <si>
    <t>MMSm=1</t>
  </si>
  <si>
    <t>MMSm=14</t>
  </si>
  <si>
    <t>anaerobic lagoon</t>
  </si>
  <si>
    <t>pasture</t>
  </si>
  <si>
    <t>unfenced</t>
  </si>
  <si>
    <t>fenced</t>
  </si>
  <si>
    <t>Unfenced water?</t>
  </si>
  <si>
    <t>yes</t>
  </si>
  <si>
    <t>QLD</t>
  </si>
  <si>
    <t>SA</t>
  </si>
  <si>
    <t>TAS</t>
  </si>
  <si>
    <t>VIC</t>
  </si>
  <si>
    <t>MCFm=1</t>
  </si>
  <si>
    <t>MCFm=14</t>
  </si>
  <si>
    <t>Climate zone</t>
  </si>
  <si>
    <t>Warm temperate moist</t>
  </si>
  <si>
    <t>Boreal Moist</t>
  </si>
  <si>
    <t>Boreal Dry</t>
  </si>
  <si>
    <t>Tropical Montane</t>
  </si>
  <si>
    <t>Tropical Wet</t>
  </si>
  <si>
    <t>Tropical Moist</t>
  </si>
  <si>
    <t>Tropical Dry</t>
  </si>
  <si>
    <t>Cool Temperate Moist</t>
  </si>
  <si>
    <t>Cool Temperate Dry</t>
  </si>
  <si>
    <t>Warm Temperate Moist</t>
  </si>
  <si>
    <t>Warm Temperate Dry</t>
  </si>
  <si>
    <t>Bo</t>
  </si>
  <si>
    <t>p</t>
  </si>
  <si>
    <t>GWPch4</t>
  </si>
  <si>
    <t>Mmm=1</t>
  </si>
  <si>
    <t>Mmm=14</t>
  </si>
  <si>
    <t>no</t>
  </si>
  <si>
    <t>Missing classes</t>
  </si>
  <si>
    <t>Method 2 inputs</t>
  </si>
  <si>
    <t>Partial calving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</si>
</sst>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Helvetica"/>
      <family val="2"/>
    </font>
    <font>
      <sz val="10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1" fillId="0" borderId="0" xfId="0" applyFont="1"/>
    <xf numFmtId="0" fontId="1" fillId="0" borderId="0" xfId="0" applyFont="1" applyAlignment="1"/>
    <xf numFmtId="0" fontId="2" fillId="0" borderId="0" xfId="0" applyFont="1"/>
    <xf numFmtId="16" fontId="2" fillId="0" borderId="0" xfId="0" applyNumberFormat="1" applyFont="1"/>
    <xf numFmtId="2" fontId="0" fillId="0" borderId="0" xfId="0" applyNumberFormat="1"/>
    <xf numFmtId="169" fontId="0" fillId="0" borderId="0" xfId="0" applyNumberFormat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EB378-B254-8645-A19B-7F7E967AA90B}">
  <dimension ref="A5:BF180"/>
  <sheetViews>
    <sheetView tabSelected="1" workbookViewId="0">
      <pane xSplit="6860" ySplit="3640" topLeftCell="A38" activePane="bottomRight"/>
      <selection activeCell="C1" sqref="A1:XFD1048576"/>
      <selection pane="topRight" activeCell="M1" sqref="M1"/>
      <selection pane="bottomLeft" activeCell="A92" sqref="A92"/>
      <selection pane="bottomRight" activeCell="E54" sqref="E54"/>
    </sheetView>
  </sheetViews>
  <sheetFormatPr baseColWidth="10" defaultRowHeight="16" x14ac:dyDescent="0.2"/>
  <cols>
    <col min="1" max="1" width="17.5" customWidth="1"/>
    <col min="2" max="2" width="20.1640625" customWidth="1"/>
    <col min="5" max="6" width="15.83203125" customWidth="1"/>
    <col min="8" max="8" width="11.5" customWidth="1"/>
    <col min="15" max="16" width="12.1640625" bestFit="1" customWidth="1"/>
    <col min="17" max="18" width="12.1640625" customWidth="1"/>
    <col min="23" max="23" width="15.33203125" customWidth="1"/>
    <col min="39" max="39" width="13.83203125" customWidth="1"/>
    <col min="40" max="40" width="14.5" customWidth="1"/>
    <col min="42" max="48" width="14" customWidth="1"/>
    <col min="49" max="49" width="13" bestFit="1" customWidth="1"/>
    <col min="50" max="50" width="14" bestFit="1" customWidth="1"/>
    <col min="51" max="51" width="13.33203125" bestFit="1" customWidth="1"/>
    <col min="52" max="52" width="21.6640625" customWidth="1"/>
  </cols>
  <sheetData>
    <row r="5" spans="1:53" x14ac:dyDescent="0.2">
      <c r="L5" t="s">
        <v>0</v>
      </c>
      <c r="M5" t="s">
        <v>1</v>
      </c>
      <c r="N5" t="s">
        <v>2</v>
      </c>
      <c r="O5" t="s">
        <v>3</v>
      </c>
      <c r="Q5" t="s">
        <v>4</v>
      </c>
      <c r="AG5" t="s">
        <v>5</v>
      </c>
      <c r="AN5" t="s">
        <v>88</v>
      </c>
      <c r="AO5" t="s">
        <v>89</v>
      </c>
      <c r="AR5" t="s">
        <v>110</v>
      </c>
      <c r="AS5">
        <v>0.19</v>
      </c>
    </row>
    <row r="6" spans="1:53" x14ac:dyDescent="0.2">
      <c r="G6" t="s">
        <v>6</v>
      </c>
      <c r="J6" t="s">
        <v>13</v>
      </c>
      <c r="K6" t="s">
        <v>14</v>
      </c>
      <c r="L6" t="s">
        <v>15</v>
      </c>
      <c r="M6" t="s">
        <v>16</v>
      </c>
      <c r="N6" t="s">
        <v>19</v>
      </c>
      <c r="O6" t="s">
        <v>20</v>
      </c>
      <c r="Q6" t="s">
        <v>21</v>
      </c>
      <c r="S6" t="s">
        <v>17</v>
      </c>
      <c r="X6" t="s">
        <v>7</v>
      </c>
      <c r="Z6" t="s">
        <v>8</v>
      </c>
      <c r="AB6" t="s">
        <v>9</v>
      </c>
      <c r="AC6" t="s">
        <v>10</v>
      </c>
      <c r="AD6" t="s">
        <v>18</v>
      </c>
      <c r="AF6" t="s">
        <v>9</v>
      </c>
      <c r="AG6" t="s">
        <v>22</v>
      </c>
      <c r="AM6" t="s">
        <v>84</v>
      </c>
      <c r="AN6">
        <v>0.05</v>
      </c>
      <c r="AO6">
        <v>0</v>
      </c>
      <c r="AR6" t="s">
        <v>111</v>
      </c>
      <c r="AS6">
        <v>0.6784</v>
      </c>
    </row>
    <row r="7" spans="1:53" x14ac:dyDescent="0.2">
      <c r="G7" t="s">
        <v>23</v>
      </c>
      <c r="H7" t="s">
        <v>11</v>
      </c>
      <c r="I7" t="s">
        <v>12</v>
      </c>
      <c r="J7" t="s">
        <v>23</v>
      </c>
      <c r="K7" t="s">
        <v>24</v>
      </c>
      <c r="L7" t="s">
        <v>25</v>
      </c>
      <c r="M7" t="s">
        <v>25</v>
      </c>
      <c r="N7" t="s">
        <v>25</v>
      </c>
      <c r="O7" t="s">
        <v>25</v>
      </c>
      <c r="Q7" t="s">
        <v>25</v>
      </c>
      <c r="S7" t="s">
        <v>24</v>
      </c>
      <c r="X7" t="s">
        <v>24</v>
      </c>
      <c r="Z7" t="s">
        <v>24</v>
      </c>
      <c r="AB7" t="s">
        <v>24</v>
      </c>
      <c r="AC7" t="s">
        <v>24</v>
      </c>
      <c r="AD7" t="s">
        <v>24</v>
      </c>
      <c r="AF7" t="s">
        <v>24</v>
      </c>
      <c r="AG7" t="s">
        <v>25</v>
      </c>
      <c r="AM7" t="s">
        <v>85</v>
      </c>
      <c r="AN7">
        <v>0.95</v>
      </c>
      <c r="AO7">
        <v>1</v>
      </c>
      <c r="AR7" t="s">
        <v>36</v>
      </c>
      <c r="AS7">
        <v>0.16</v>
      </c>
    </row>
    <row r="8" spans="1:53" x14ac:dyDescent="0.2">
      <c r="H8" t="s">
        <v>24</v>
      </c>
      <c r="I8" t="s">
        <v>24</v>
      </c>
      <c r="S8" t="s">
        <v>23</v>
      </c>
      <c r="X8" t="s">
        <v>23</v>
      </c>
      <c r="AR8" t="s">
        <v>112</v>
      </c>
      <c r="AS8">
        <v>28</v>
      </c>
    </row>
    <row r="9" spans="1:53" x14ac:dyDescent="0.2">
      <c r="H9" t="s">
        <v>23</v>
      </c>
      <c r="I9" t="s">
        <v>23</v>
      </c>
      <c r="S9" t="s">
        <v>35</v>
      </c>
      <c r="X9" t="s">
        <v>86</v>
      </c>
      <c r="Y9" t="s">
        <v>87</v>
      </c>
    </row>
    <row r="10" spans="1:53" x14ac:dyDescent="0.2">
      <c r="A10" t="s">
        <v>41</v>
      </c>
      <c r="B10" s="8" t="s">
        <v>98</v>
      </c>
      <c r="C10" s="8" t="s">
        <v>64</v>
      </c>
      <c r="D10" s="8" t="s">
        <v>58</v>
      </c>
      <c r="G10" s="8" t="s">
        <v>26</v>
      </c>
      <c r="H10" t="s">
        <v>29</v>
      </c>
      <c r="I10" t="s">
        <v>30</v>
      </c>
      <c r="J10" s="8" t="s">
        <v>31</v>
      </c>
      <c r="K10" t="s">
        <v>32</v>
      </c>
      <c r="L10" t="s">
        <v>33</v>
      </c>
      <c r="M10" t="s">
        <v>34</v>
      </c>
      <c r="N10" t="s">
        <v>37</v>
      </c>
      <c r="O10" t="s">
        <v>83</v>
      </c>
      <c r="P10" t="s">
        <v>82</v>
      </c>
      <c r="Q10" t="s">
        <v>113</v>
      </c>
      <c r="R10" t="s">
        <v>114</v>
      </c>
      <c r="S10" t="s">
        <v>54</v>
      </c>
      <c r="T10" t="s">
        <v>55</v>
      </c>
      <c r="U10" t="s">
        <v>56</v>
      </c>
      <c r="V10" t="s">
        <v>57</v>
      </c>
      <c r="W10" s="8" t="s">
        <v>90</v>
      </c>
      <c r="X10" t="s">
        <v>84</v>
      </c>
      <c r="Y10" t="s">
        <v>85</v>
      </c>
      <c r="Z10" t="s">
        <v>96</v>
      </c>
      <c r="AA10" t="s">
        <v>97</v>
      </c>
      <c r="AB10" t="s">
        <v>27</v>
      </c>
      <c r="AC10" t="s">
        <v>28</v>
      </c>
      <c r="AD10" t="s">
        <v>36</v>
      </c>
      <c r="AE10" t="s">
        <v>38</v>
      </c>
      <c r="AF10" t="s">
        <v>39</v>
      </c>
      <c r="AG10" s="1" t="s">
        <v>40</v>
      </c>
    </row>
    <row r="11" spans="1:53" x14ac:dyDescent="0.2">
      <c r="A11" t="s">
        <v>52</v>
      </c>
      <c r="B11" t="s">
        <v>99</v>
      </c>
      <c r="C11" t="s">
        <v>53</v>
      </c>
      <c r="D11" t="s">
        <v>53</v>
      </c>
      <c r="E11" t="s">
        <v>42</v>
      </c>
      <c r="F11" t="s">
        <v>54</v>
      </c>
      <c r="G11">
        <v>100</v>
      </c>
      <c r="H11" cm="1">
        <f t="array" ref="H11:H14">_xlfn.XLOOKUP(E11, $AP$46:$AY$46, $AP$47:$AY$50)</f>
        <v>80</v>
      </c>
      <c r="I11" cm="1">
        <f t="array" ref="I11:I14">_xlfn.XLOOKUP(E11, $AP$106:$AY$106, $AP$107:$AY$110)</f>
        <v>0.5</v>
      </c>
      <c r="J11">
        <v>0</v>
      </c>
      <c r="L11">
        <v>1</v>
      </c>
      <c r="M11">
        <f>(1.185 + 0.00454 * H11 - 0.0000026 * H11^2 + 0.315 * I11)^2 * L11</f>
        <v>2.8529236835999998</v>
      </c>
      <c r="N11">
        <f>(M11 * (1 -S11) + (0.04 * M11)) * ( 1 - AD$11 )</f>
        <v>1.1742633881697597</v>
      </c>
      <c r="O11">
        <f>N11 * AB$11 * X$11 * Z$11 * AC$11</f>
        <v>5.5245616593758213E-5</v>
      </c>
      <c r="P11">
        <f>N11 * AB$11 * Y$11 * AA$11 * AC$11</f>
        <v>6.6143382058828331E-4</v>
      </c>
      <c r="Q11">
        <f>G11*O11*91.25</f>
        <v>0.50411625141804373</v>
      </c>
      <c r="R11">
        <f>G11*P11*91.25</f>
        <v>6.0355836128680851</v>
      </c>
      <c r="S11" cm="1">
        <f t="array" ref="S11:V11">_xlfn.XLOOKUP(C11,$AR$18:$AR$26,$AS$18:$AV$26)</f>
        <v>0.55000000000000004</v>
      </c>
      <c r="T11">
        <v>0.65</v>
      </c>
      <c r="U11">
        <v>0.6</v>
      </c>
      <c r="V11">
        <v>0.5</v>
      </c>
      <c r="W11" t="s">
        <v>91</v>
      </c>
      <c r="X11">
        <f>IF(W11="yes", $AN$6, $AO$6)</f>
        <v>0.05</v>
      </c>
      <c r="Y11">
        <f>IF(W11="yes", $AN$7, $AO$7)</f>
        <v>0.95</v>
      </c>
      <c r="Z11">
        <f>VLOOKUP(B11, $AZ$17:$BA$26, 2, FALSE)</f>
        <v>7.3000000000000001E-3</v>
      </c>
      <c r="AA11">
        <f>$BA$14</f>
        <v>4.5999999999999999E-3</v>
      </c>
      <c r="AB11">
        <f>$AS$5</f>
        <v>0.19</v>
      </c>
      <c r="AC11">
        <f>$AS$6</f>
        <v>0.6784</v>
      </c>
      <c r="AD11">
        <f>$AS$7</f>
        <v>0.16</v>
      </c>
      <c r="AE11">
        <f>SUM(Q11:R50)</f>
        <v>518.72416560985539</v>
      </c>
      <c r="AF11">
        <f>$AS$8</f>
        <v>28</v>
      </c>
      <c r="AG11">
        <f>AE11 * AF11 * 10^-3</f>
        <v>14.524276637075952</v>
      </c>
    </row>
    <row r="12" spans="1:53" x14ac:dyDescent="0.2">
      <c r="F12" t="s">
        <v>55</v>
      </c>
      <c r="G12">
        <v>110</v>
      </c>
      <c r="H12">
        <v>170</v>
      </c>
      <c r="I12">
        <v>1</v>
      </c>
      <c r="L12">
        <v>1</v>
      </c>
      <c r="M12">
        <f t="shared" ref="M12:M50" si="0">(1.185 + 0.00454 * H12 - 0.0000026 * H12^2 + 0.315 * I12)^2 * L12</f>
        <v>4.8253151556000002</v>
      </c>
      <c r="N12">
        <f>(M12 * (1 -T$11) + (0.04 * M12)) * ( 1 - AD$11 )</f>
        <v>1.58077324497456</v>
      </c>
      <c r="O12">
        <f t="shared" ref="O12:O50" si="1">N12 * AB$11 * X$11 * Z$11 * AC$11</f>
        <v>7.4370702087247912E-5</v>
      </c>
      <c r="P12">
        <f t="shared" ref="P12:P50" si="2">N12 * AB$11 * Y$11 * AA$11 * AC$11</f>
        <v>8.9041087156513257E-4</v>
      </c>
      <c r="Q12">
        <f t="shared" ref="Q12:Q50" si="3">G12*O12*91.25</f>
        <v>0.74649592220075089</v>
      </c>
      <c r="R12">
        <f t="shared" ref="R12:R50" si="4">G12*P12*91.25</f>
        <v>8.9374991233350194</v>
      </c>
    </row>
    <row r="13" spans="1:53" x14ac:dyDescent="0.2">
      <c r="F13" t="s">
        <v>56</v>
      </c>
      <c r="G13">
        <v>120</v>
      </c>
      <c r="H13">
        <v>240</v>
      </c>
      <c r="I13">
        <v>0.8</v>
      </c>
      <c r="L13">
        <v>1</v>
      </c>
      <c r="M13">
        <f t="shared" si="0"/>
        <v>5.6493683855999981</v>
      </c>
      <c r="N13">
        <f>(M13 * (1 -U$11) + (0.04 * M13)) * ( 1 - AD$11 )</f>
        <v>2.0880065553177594</v>
      </c>
      <c r="O13">
        <f t="shared" si="1"/>
        <v>9.8234527928296858E-5</v>
      </c>
      <c r="P13">
        <f t="shared" si="2"/>
        <v>1.1761229782100196E-3</v>
      </c>
      <c r="Q13">
        <f t="shared" si="3"/>
        <v>1.0756680808148507</v>
      </c>
      <c r="R13">
        <f t="shared" si="4"/>
        <v>12.878546611399717</v>
      </c>
    </row>
    <row r="14" spans="1:53" x14ac:dyDescent="0.2">
      <c r="F14" t="s">
        <v>57</v>
      </c>
      <c r="G14">
        <v>130</v>
      </c>
      <c r="H14">
        <v>280</v>
      </c>
      <c r="I14">
        <v>0.4</v>
      </c>
      <c r="L14">
        <v>1</v>
      </c>
      <c r="M14">
        <f t="shared" si="0"/>
        <v>5.6565962895999995</v>
      </c>
      <c r="N14">
        <f>(M14 * (1 -V$11) + (0.04 * M14)) * ( 1 - AD$11 )</f>
        <v>2.5658320769625598</v>
      </c>
      <c r="O14">
        <f t="shared" si="1"/>
        <v>1.2071480435814064E-4</v>
      </c>
      <c r="P14">
        <f t="shared" si="2"/>
        <v>1.4452703973837659E-3</v>
      </c>
      <c r="Q14">
        <f t="shared" si="3"/>
        <v>1.4319793666984433</v>
      </c>
      <c r="R14">
        <f t="shared" si="4"/>
        <v>17.144520088964921</v>
      </c>
      <c r="AZ14" t="s">
        <v>97</v>
      </c>
      <c r="BA14">
        <v>4.5999999999999999E-3</v>
      </c>
    </row>
    <row r="15" spans="1:53" x14ac:dyDescent="0.2">
      <c r="E15" t="s">
        <v>43</v>
      </c>
      <c r="F15" t="s">
        <v>54</v>
      </c>
      <c r="G15">
        <v>50</v>
      </c>
      <c r="H15" cm="1">
        <f t="array" ref="H15:H18">_xlfn.XLOOKUP(E15, $AP$46:$AY$46, $AP$47:$AY$50)</f>
        <v>480</v>
      </c>
      <c r="I15" cm="1">
        <f t="array" ref="I15:I18">_xlfn.XLOOKUP(E15, $AP$106:$AY$106, $AP$107:$AY$110)</f>
        <v>0.2</v>
      </c>
      <c r="L15">
        <v>1</v>
      </c>
      <c r="M15">
        <f t="shared" si="0"/>
        <v>7.9984889855999999</v>
      </c>
      <c r="N15">
        <f>(M15 * (1 -S$11) + (0.04 * M15)) * ( 1 - AD$11 )</f>
        <v>3.2921780664729599</v>
      </c>
      <c r="O15">
        <f t="shared" si="1"/>
        <v>1.5488723318047602E-4</v>
      </c>
      <c r="P15">
        <f t="shared" si="2"/>
        <v>1.8544033123251509E-3</v>
      </c>
      <c r="Q15">
        <f t="shared" si="3"/>
        <v>0.70667300138592182</v>
      </c>
      <c r="R15">
        <f t="shared" si="4"/>
        <v>8.4607151124835003</v>
      </c>
    </row>
    <row r="16" spans="1:53" x14ac:dyDescent="0.2">
      <c r="F16" t="s">
        <v>55</v>
      </c>
      <c r="G16">
        <v>55</v>
      </c>
      <c r="H16">
        <v>520</v>
      </c>
      <c r="I16">
        <v>0.4</v>
      </c>
      <c r="L16">
        <v>1</v>
      </c>
      <c r="M16">
        <f t="shared" si="0"/>
        <v>8.8135359375999975</v>
      </c>
      <c r="N16">
        <f>(M16 * (1 -T$11) + (0.04 * M16)) * ( 1 - AD$11 )</f>
        <v>2.8873143731577593</v>
      </c>
      <c r="O16">
        <f t="shared" si="1"/>
        <v>1.3583959480652805E-4</v>
      </c>
      <c r="P16">
        <f t="shared" si="2"/>
        <v>1.626353504943911E-3</v>
      </c>
      <c r="Q16">
        <f t="shared" si="3"/>
        <v>0.68174496643526261</v>
      </c>
      <c r="R16">
        <f t="shared" si="4"/>
        <v>8.1622616529372536</v>
      </c>
      <c r="AQ16" t="s">
        <v>61</v>
      </c>
      <c r="AZ16" t="s">
        <v>96</v>
      </c>
    </row>
    <row r="17" spans="5:58" x14ac:dyDescent="0.2">
      <c r="F17" t="s">
        <v>56</v>
      </c>
      <c r="G17">
        <v>60</v>
      </c>
      <c r="H17">
        <v>550</v>
      </c>
      <c r="I17">
        <v>0.3</v>
      </c>
      <c r="L17">
        <v>1</v>
      </c>
      <c r="M17">
        <f t="shared" si="0"/>
        <v>8.940100000000001</v>
      </c>
      <c r="N17">
        <f>(M17 * (1 -U$11) + (0.04 * M17)) * ( 1 - AD$11 )</f>
        <v>3.3042609600000006</v>
      </c>
      <c r="O17">
        <f t="shared" si="1"/>
        <v>1.5545569755555841E-4</v>
      </c>
      <c r="P17">
        <f t="shared" si="2"/>
        <v>1.8612093104596994E-3</v>
      </c>
      <c r="Q17">
        <f t="shared" si="3"/>
        <v>0.85111994411668224</v>
      </c>
      <c r="R17">
        <f t="shared" si="4"/>
        <v>10.190120974766854</v>
      </c>
      <c r="AS17" s="2" t="s">
        <v>54</v>
      </c>
      <c r="AT17" s="2" t="s">
        <v>55</v>
      </c>
      <c r="AU17" t="s">
        <v>56</v>
      </c>
      <c r="AV17" t="s">
        <v>57</v>
      </c>
      <c r="AZ17" t="s">
        <v>106</v>
      </c>
      <c r="BA17">
        <v>6.0000000000000001E-3</v>
      </c>
    </row>
    <row r="18" spans="5:58" x14ac:dyDescent="0.2">
      <c r="F18" t="s">
        <v>57</v>
      </c>
      <c r="G18">
        <v>65</v>
      </c>
      <c r="H18">
        <v>560</v>
      </c>
      <c r="I18">
        <v>0.1</v>
      </c>
      <c r="L18">
        <v>1</v>
      </c>
      <c r="M18">
        <f t="shared" si="0"/>
        <v>8.6644277315999982</v>
      </c>
      <c r="N18">
        <f>(M18 * (1 -V$11) + (0.04 * M18)) * ( 1 - AD$11 )</f>
        <v>3.9301844190537589</v>
      </c>
      <c r="O18">
        <f t="shared" si="1"/>
        <v>1.8490354357059897E-4</v>
      </c>
      <c r="P18">
        <f t="shared" si="2"/>
        <v>2.2137766723384039E-3</v>
      </c>
      <c r="Q18">
        <f t="shared" si="3"/>
        <v>1.096709142803115</v>
      </c>
      <c r="R18">
        <f t="shared" si="4"/>
        <v>13.130462887807159</v>
      </c>
      <c r="AR18" t="s">
        <v>53</v>
      </c>
      <c r="AS18" s="2">
        <v>0.55000000000000004</v>
      </c>
      <c r="AT18" s="2">
        <v>0.65</v>
      </c>
      <c r="AU18">
        <v>0.6</v>
      </c>
      <c r="AV18">
        <v>0.5</v>
      </c>
      <c r="AZ18" t="s">
        <v>107</v>
      </c>
      <c r="BA18">
        <v>6.7000000000000002E-3</v>
      </c>
    </row>
    <row r="19" spans="5:58" x14ac:dyDescent="0.2">
      <c r="E19" t="s">
        <v>44</v>
      </c>
      <c r="F19" t="s">
        <v>54</v>
      </c>
      <c r="G19">
        <v>200</v>
      </c>
      <c r="H19" cm="1">
        <f t="array" ref="H19:H22">_xlfn.XLOOKUP(E19, $AP$46:$AY$46, $AP$47:$AY$50)</f>
        <v>75</v>
      </c>
      <c r="I19" cm="1">
        <f t="array" ref="I19:I22">_xlfn.XLOOKUP(E19, $AP$106:$AY$106, $AP$107:$AY$110)</f>
        <v>0.5</v>
      </c>
      <c r="L19">
        <v>1</v>
      </c>
      <c r="M19">
        <f t="shared" si="0"/>
        <v>2.7834751406249998</v>
      </c>
      <c r="N19">
        <f>(M19 * (1 -S$11) + (0.04 * M19)) * ( 1 - AD$11 )</f>
        <v>1.1456783678812499</v>
      </c>
      <c r="O19">
        <f t="shared" si="1"/>
        <v>5.390077600084388E-5</v>
      </c>
      <c r="P19">
        <f t="shared" si="2"/>
        <v>6.4533257842106233E-4</v>
      </c>
      <c r="Q19">
        <f t="shared" si="3"/>
        <v>0.98368916201540069</v>
      </c>
      <c r="R19">
        <f t="shared" si="4"/>
        <v>11.777319556184386</v>
      </c>
      <c r="AR19" t="s">
        <v>73</v>
      </c>
      <c r="AS19" s="2">
        <v>0.55000000000000004</v>
      </c>
      <c r="AT19" s="2">
        <v>0.61</v>
      </c>
      <c r="AU19" s="2">
        <v>0.56999999999999995</v>
      </c>
      <c r="AV19">
        <v>0.54</v>
      </c>
      <c r="AZ19" t="s">
        <v>100</v>
      </c>
      <c r="BA19">
        <v>5.0000000000000001E-3</v>
      </c>
    </row>
    <row r="20" spans="5:58" x14ac:dyDescent="0.2">
      <c r="F20" t="s">
        <v>55</v>
      </c>
      <c r="G20">
        <v>130</v>
      </c>
      <c r="H20">
        <v>160</v>
      </c>
      <c r="I20">
        <v>0.9</v>
      </c>
      <c r="L20">
        <v>1</v>
      </c>
      <c r="M20">
        <f t="shared" si="0"/>
        <v>4.5298311556000002</v>
      </c>
      <c r="N20">
        <f>(M20 * (1 -T$11) + (0.04 * M20)) * ( 1 - AD$11 )</f>
        <v>1.4839726865745599</v>
      </c>
      <c r="O20">
        <f t="shared" si="1"/>
        <v>6.9816522344180778E-5</v>
      </c>
      <c r="P20">
        <f t="shared" si="2"/>
        <v>8.3588548669608228E-4</v>
      </c>
      <c r="Q20">
        <f t="shared" si="3"/>
        <v>0.82819849630784437</v>
      </c>
      <c r="R20">
        <f t="shared" si="4"/>
        <v>9.9156915859322758</v>
      </c>
      <c r="AR20" t="s">
        <v>92</v>
      </c>
      <c r="AS20" s="2">
        <v>0.53</v>
      </c>
      <c r="AT20" s="2">
        <v>0.56999999999999995</v>
      </c>
      <c r="AU20" s="2">
        <v>0.55000000000000004</v>
      </c>
      <c r="AV20">
        <v>0.51</v>
      </c>
      <c r="AZ20" t="s">
        <v>101</v>
      </c>
      <c r="BA20">
        <v>4.8999999999999998E-3</v>
      </c>
    </row>
    <row r="21" spans="5:58" x14ac:dyDescent="0.2">
      <c r="F21" t="s">
        <v>56</v>
      </c>
      <c r="G21">
        <v>250</v>
      </c>
      <c r="H21">
        <v>220</v>
      </c>
      <c r="I21">
        <v>0.7</v>
      </c>
      <c r="L21">
        <v>1</v>
      </c>
      <c r="M21">
        <f t="shared" si="0"/>
        <v>5.1913799715999973</v>
      </c>
      <c r="N21">
        <f>(M21 * (1 -U$11) + (0.04 * M21)) * ( 1 - AD$11 )</f>
        <v>1.918734037503359</v>
      </c>
      <c r="O21">
        <f t="shared" si="1"/>
        <v>9.0270757011782037E-5</v>
      </c>
      <c r="P21">
        <f t="shared" si="2"/>
        <v>1.0807759127164039E-3</v>
      </c>
      <c r="Q21">
        <f t="shared" si="3"/>
        <v>2.0593016443312777</v>
      </c>
      <c r="R21">
        <f t="shared" si="4"/>
        <v>24.655200508842963</v>
      </c>
      <c r="AR21" t="s">
        <v>93</v>
      </c>
      <c r="AS21" s="2">
        <v>0.7</v>
      </c>
      <c r="AT21" s="2">
        <v>0.55000000000000004</v>
      </c>
      <c r="AU21" s="2">
        <v>0.55000000000000004</v>
      </c>
      <c r="AV21">
        <v>0.75</v>
      </c>
      <c r="AZ21" t="s">
        <v>108</v>
      </c>
      <c r="BA21">
        <v>7.3000000000000001E-3</v>
      </c>
    </row>
    <row r="22" spans="5:58" x14ac:dyDescent="0.2">
      <c r="F22" t="s">
        <v>57</v>
      </c>
      <c r="G22">
        <v>150</v>
      </c>
      <c r="H22">
        <v>260</v>
      </c>
      <c r="I22">
        <v>0.4</v>
      </c>
      <c r="L22">
        <v>1</v>
      </c>
      <c r="M22">
        <f t="shared" si="0"/>
        <v>5.3621886096000004</v>
      </c>
      <c r="N22">
        <f>(M22 * (1 -V$11) + (0.04 * M22)) * ( 1 - AD$11 )</f>
        <v>2.4322887533145603</v>
      </c>
      <c r="O22">
        <f t="shared" si="1"/>
        <v>1.1443198626874025E-4</v>
      </c>
      <c r="P22">
        <f t="shared" si="2"/>
        <v>1.3700487123134107E-3</v>
      </c>
      <c r="Q22">
        <f t="shared" si="3"/>
        <v>1.5662878120533821</v>
      </c>
      <c r="R22">
        <f t="shared" si="4"/>
        <v>18.75254174978981</v>
      </c>
      <c r="AR22" t="s">
        <v>94</v>
      </c>
      <c r="AS22" s="2">
        <v>0.75</v>
      </c>
      <c r="AT22" s="2">
        <v>0.6</v>
      </c>
      <c r="AU22" s="2">
        <v>0.7</v>
      </c>
      <c r="AV22">
        <v>0.75</v>
      </c>
      <c r="AZ22" t="s">
        <v>109</v>
      </c>
      <c r="BA22">
        <v>7.6E-3</v>
      </c>
    </row>
    <row r="23" spans="5:58" x14ac:dyDescent="0.2">
      <c r="E23" t="s">
        <v>45</v>
      </c>
      <c r="F23" t="s">
        <v>54</v>
      </c>
      <c r="G23">
        <v>20</v>
      </c>
      <c r="H23" cm="1">
        <f t="array" ref="H23:H26">_xlfn.XLOOKUP(E23, $AP$46:$AY$46, $AP$47:$AY$50)</f>
        <v>300</v>
      </c>
      <c r="I23" cm="1">
        <f t="array" ref="I23:I26">_xlfn.XLOOKUP(E23, $AP$106:$AY$106, $AP$107:$AY$110)</f>
        <v>0.4</v>
      </c>
      <c r="L23">
        <v>1</v>
      </c>
      <c r="M23">
        <f t="shared" si="0"/>
        <v>5.9487209999999981</v>
      </c>
      <c r="N23">
        <f>(M23 * (1 -S$11) + (0.04 * M23)) * ( 1 - AD$11 )</f>
        <v>2.4484935635999991</v>
      </c>
      <c r="O23">
        <f t="shared" si="1"/>
        <v>1.1519437462643171E-4</v>
      </c>
      <c r="P23">
        <f t="shared" si="2"/>
        <v>1.3791764852534424E-3</v>
      </c>
      <c r="Q23">
        <f t="shared" si="3"/>
        <v>0.21022973369323789</v>
      </c>
      <c r="R23">
        <f t="shared" si="4"/>
        <v>2.5169970855875325</v>
      </c>
      <c r="AR23" t="s">
        <v>95</v>
      </c>
      <c r="AS23" s="2">
        <v>0.8</v>
      </c>
      <c r="AT23" s="2">
        <v>0.55000000000000004</v>
      </c>
      <c r="AU23" s="2">
        <v>0.6</v>
      </c>
      <c r="AV23">
        <v>0.76</v>
      </c>
      <c r="AZ23" t="s">
        <v>102</v>
      </c>
      <c r="BA23">
        <v>7.6E-3</v>
      </c>
    </row>
    <row r="24" spans="5:58" x14ac:dyDescent="0.2">
      <c r="F24" t="s">
        <v>55</v>
      </c>
      <c r="G24">
        <v>30</v>
      </c>
      <c r="H24">
        <v>360</v>
      </c>
      <c r="I24">
        <v>0.7</v>
      </c>
      <c r="L24">
        <v>1</v>
      </c>
      <c r="M24">
        <f t="shared" si="0"/>
        <v>7.3058846435999998</v>
      </c>
      <c r="N24">
        <f>(M24 * (1 -T$11) + (0.04 * M24)) * ( 1 - AD$11 )</f>
        <v>2.3934078092433602</v>
      </c>
      <c r="O24">
        <f t="shared" si="1"/>
        <v>1.1260275293778476E-4</v>
      </c>
      <c r="P24">
        <f t="shared" si="2"/>
        <v>1.3481480283236143E-3</v>
      </c>
      <c r="Q24">
        <f t="shared" si="3"/>
        <v>0.30825003616718577</v>
      </c>
      <c r="R24">
        <f t="shared" si="4"/>
        <v>3.6905552275358939</v>
      </c>
      <c r="AQ24" t="s">
        <v>65</v>
      </c>
      <c r="AR24" t="s">
        <v>62</v>
      </c>
      <c r="AS24" s="2">
        <v>0.8</v>
      </c>
      <c r="AT24" s="2">
        <v>0.57999999999999996</v>
      </c>
      <c r="AU24" s="2">
        <v>0.5</v>
      </c>
      <c r="AV24">
        <v>0.75</v>
      </c>
      <c r="AZ24" t="s">
        <v>103</v>
      </c>
      <c r="BA24">
        <v>8.0000000000000002E-3</v>
      </c>
    </row>
    <row r="25" spans="5:58" x14ac:dyDescent="0.2">
      <c r="F25" t="s">
        <v>56</v>
      </c>
      <c r="G25">
        <v>60</v>
      </c>
      <c r="H25">
        <v>390</v>
      </c>
      <c r="I25">
        <v>0.3</v>
      </c>
      <c r="L25">
        <v>1</v>
      </c>
      <c r="M25">
        <f t="shared" si="0"/>
        <v>7.0471135296000007</v>
      </c>
      <c r="N25">
        <f>(M25 * (1 -U$11) + (0.04 * M25)) * ( 1 - AD$11 )</f>
        <v>2.6046131605401603</v>
      </c>
      <c r="O25">
        <f t="shared" si="1"/>
        <v>1.2253933954845938E-4</v>
      </c>
      <c r="P25">
        <f t="shared" si="2"/>
        <v>1.4671148324021022E-3</v>
      </c>
      <c r="Q25">
        <f t="shared" si="3"/>
        <v>0.67090288402781517</v>
      </c>
      <c r="R25">
        <f t="shared" si="4"/>
        <v>8.0324537074015101</v>
      </c>
      <c r="AQ25" t="s">
        <v>65</v>
      </c>
      <c r="AR25" t="s">
        <v>63</v>
      </c>
      <c r="AS25" s="2">
        <v>0.4</v>
      </c>
      <c r="AT25" s="2">
        <v>0.65</v>
      </c>
      <c r="AU25">
        <v>0.55000000000000004</v>
      </c>
      <c r="AV25">
        <v>0.45</v>
      </c>
      <c r="AZ25" t="s">
        <v>104</v>
      </c>
      <c r="BA25">
        <v>8.0000000000000002E-3</v>
      </c>
    </row>
    <row r="26" spans="5:58" x14ac:dyDescent="0.2">
      <c r="F26" t="s">
        <v>57</v>
      </c>
      <c r="G26">
        <v>30</v>
      </c>
      <c r="H26">
        <v>410</v>
      </c>
      <c r="I26">
        <v>0.2</v>
      </c>
      <c r="L26">
        <v>1</v>
      </c>
      <c r="M26">
        <f t="shared" si="0"/>
        <v>7.1414010756000028</v>
      </c>
      <c r="N26">
        <f>(M26 * (1 -V$11) + (0.04 * M26)) * ( 1 - AD$11 )</f>
        <v>3.2393395278921613</v>
      </c>
      <c r="O26">
        <f t="shared" si="1"/>
        <v>1.5240133634232363E-4</v>
      </c>
      <c r="P26">
        <f t="shared" si="2"/>
        <v>1.8246406570300113E-3</v>
      </c>
      <c r="Q26">
        <f t="shared" si="3"/>
        <v>0.41719865823711094</v>
      </c>
      <c r="R26">
        <f t="shared" si="4"/>
        <v>4.9949537986196555</v>
      </c>
      <c r="AQ26" t="s">
        <v>65</v>
      </c>
      <c r="AR26" t="s">
        <v>71</v>
      </c>
      <c r="AS26" s="2">
        <v>0.4</v>
      </c>
      <c r="AT26" s="2">
        <v>0.65</v>
      </c>
      <c r="AU26" s="2">
        <v>0.55000000000000004</v>
      </c>
      <c r="AV26">
        <v>0.45</v>
      </c>
      <c r="AZ26" t="s">
        <v>105</v>
      </c>
      <c r="BA26">
        <v>8.0000000000000002E-3</v>
      </c>
    </row>
    <row r="27" spans="5:58" x14ac:dyDescent="0.2">
      <c r="E27" t="s">
        <v>46</v>
      </c>
      <c r="F27" t="s">
        <v>54</v>
      </c>
      <c r="G27">
        <v>100</v>
      </c>
      <c r="H27" cm="1">
        <f t="array" ref="H27:H30">_xlfn.XLOOKUP(E27, $AP$46:$AY$46, $AP$47:$AY$50)</f>
        <v>440</v>
      </c>
      <c r="I27" cm="1">
        <f t="array" ref="I27:I30">_xlfn.XLOOKUP(E27, $AP$106:$AY$106, $AP$107:$AY$110)</f>
        <v>0.3</v>
      </c>
      <c r="J27">
        <v>1</v>
      </c>
      <c r="K27">
        <v>1.3</v>
      </c>
      <c r="L27">
        <f>(J27*K27)+(1 - J27)</f>
        <v>1.3</v>
      </c>
      <c r="M27">
        <f>(1.185 + 0.00454 * H27 - 0.0000026 * H27^2 + 0.315 * I27)^2 * L27</f>
        <v>10.001723663880002</v>
      </c>
      <c r="N27">
        <f>(M27 * (1 -S$11) + (0.04 * M27)) * ( 1 - AD$11 )</f>
        <v>4.1167094600530074</v>
      </c>
      <c r="O27">
        <f t="shared" si="1"/>
        <v>1.9367899463549227E-4</v>
      </c>
      <c r="P27">
        <f t="shared" si="2"/>
        <v>2.3188416618002772E-3</v>
      </c>
      <c r="Q27">
        <f t="shared" si="3"/>
        <v>1.7673208260488671</v>
      </c>
      <c r="R27">
        <f t="shared" si="4"/>
        <v>21.159430163927528</v>
      </c>
      <c r="BB27" s="2"/>
      <c r="BC27" s="2"/>
      <c r="BD27" s="2"/>
      <c r="BE27" s="2"/>
      <c r="BF27" s="2"/>
    </row>
    <row r="28" spans="5:58" x14ac:dyDescent="0.2">
      <c r="F28" t="s">
        <v>55</v>
      </c>
      <c r="G28">
        <v>110</v>
      </c>
      <c r="H28">
        <v>470</v>
      </c>
      <c r="I28">
        <v>0.3</v>
      </c>
      <c r="J28">
        <v>0</v>
      </c>
      <c r="K28">
        <v>1.1000000000000001</v>
      </c>
      <c r="L28">
        <f t="shared" ref="L28:L34" si="5">(J28*K28)+(1 - J28)</f>
        <v>1</v>
      </c>
      <c r="M28">
        <f t="shared" si="0"/>
        <v>8.0596938816000012</v>
      </c>
      <c r="N28">
        <f>(M28 * (1 -T$11) + (0.04 * M28)) * ( 1 - AD$11 )</f>
        <v>2.6403557156121602</v>
      </c>
      <c r="O28">
        <f t="shared" si="1"/>
        <v>1.2422092096663393E-4</v>
      </c>
      <c r="P28">
        <f t="shared" si="2"/>
        <v>1.4872477386964117E-3</v>
      </c>
      <c r="Q28">
        <f t="shared" si="3"/>
        <v>1.2468674942025881</v>
      </c>
      <c r="R28">
        <f t="shared" si="4"/>
        <v>14.928249177165233</v>
      </c>
      <c r="BB28" s="2"/>
      <c r="BC28" s="2"/>
      <c r="BD28" s="2"/>
      <c r="BE28" s="2"/>
      <c r="BF28" s="2"/>
    </row>
    <row r="29" spans="5:58" x14ac:dyDescent="0.2">
      <c r="F29" t="s">
        <v>56</v>
      </c>
      <c r="G29">
        <v>120</v>
      </c>
      <c r="H29">
        <v>490</v>
      </c>
      <c r="I29">
        <v>0.2</v>
      </c>
      <c r="J29">
        <v>0</v>
      </c>
      <c r="K29">
        <v>1</v>
      </c>
      <c r="L29">
        <f t="shared" si="5"/>
        <v>1</v>
      </c>
      <c r="M29">
        <f t="shared" si="0"/>
        <v>8.1130407556000002</v>
      </c>
      <c r="N29">
        <f>(M29 * (1 -U$11) + (0.04 * M29)) * ( 1 - AD$11 )</f>
        <v>2.99857986326976</v>
      </c>
      <c r="O29">
        <f t="shared" si="1"/>
        <v>1.4107430677044692E-4</v>
      </c>
      <c r="P29">
        <f t="shared" si="2"/>
        <v>1.6890266317448027E-3</v>
      </c>
      <c r="Q29">
        <f t="shared" si="3"/>
        <v>1.5447636591363938</v>
      </c>
      <c r="R29">
        <f t="shared" si="4"/>
        <v>18.494841617605591</v>
      </c>
      <c r="BB29" s="2"/>
      <c r="BC29" s="2"/>
      <c r="BD29" s="2"/>
      <c r="BE29" s="2"/>
      <c r="BF29" s="2"/>
    </row>
    <row r="30" spans="5:58" x14ac:dyDescent="0.2">
      <c r="F30" t="s">
        <v>57</v>
      </c>
      <c r="G30">
        <v>130</v>
      </c>
      <c r="H30">
        <v>500</v>
      </c>
      <c r="I30">
        <v>0.1</v>
      </c>
      <c r="J30">
        <v>0</v>
      </c>
      <c r="K30">
        <v>1</v>
      </c>
      <c r="L30">
        <f t="shared" si="5"/>
        <v>1</v>
      </c>
      <c r="M30">
        <f t="shared" si="0"/>
        <v>8.0457322500000004</v>
      </c>
      <c r="N30">
        <f>(M30 * (1 -V$11) + (0.04 * M30)) * ( 1 - AD$11 )</f>
        <v>3.6495441486</v>
      </c>
      <c r="O30">
        <f t="shared" si="1"/>
        <v>1.7170024954095013E-4</v>
      </c>
      <c r="P30">
        <f t="shared" si="2"/>
        <v>2.0556988780656223E-3</v>
      </c>
      <c r="Q30">
        <f t="shared" si="3"/>
        <v>2.0367942101795209</v>
      </c>
      <c r="R30">
        <f t="shared" si="4"/>
        <v>24.385727941053442</v>
      </c>
      <c r="BB30" s="2"/>
      <c r="BC30" s="2"/>
      <c r="BD30" s="2"/>
      <c r="BE30" s="2"/>
      <c r="BF30" s="2"/>
    </row>
    <row r="31" spans="5:58" x14ac:dyDescent="0.2">
      <c r="E31" t="s">
        <v>47</v>
      </c>
      <c r="F31" t="s">
        <v>54</v>
      </c>
      <c r="G31">
        <v>50</v>
      </c>
      <c r="H31" cm="1">
        <f t="array" ref="H31:H34">_xlfn.XLOOKUP(E31, $AP$46:$AY$46, $AP$47:$AY$50)</f>
        <v>440</v>
      </c>
      <c r="I31" cm="1">
        <f t="array" ref="I31:I34">_xlfn.XLOOKUP(E31, $AP$106:$AY$106, $AP$107:$AY$110)</f>
        <v>0.3</v>
      </c>
      <c r="J31">
        <v>1</v>
      </c>
      <c r="K31">
        <v>1.3</v>
      </c>
      <c r="L31">
        <f t="shared" si="5"/>
        <v>1.3</v>
      </c>
      <c r="M31">
        <f t="shared" si="0"/>
        <v>10.001723663880002</v>
      </c>
      <c r="N31">
        <f>(M31 * (1 -S$11) + (0.04 * M31)) * ( 1 - AD$11 )</f>
        <v>4.1167094600530074</v>
      </c>
      <c r="O31">
        <f t="shared" si="1"/>
        <v>1.9367899463549227E-4</v>
      </c>
      <c r="P31">
        <f t="shared" si="2"/>
        <v>2.3188416618002772E-3</v>
      </c>
      <c r="Q31">
        <f t="shared" si="3"/>
        <v>0.88366041302443354</v>
      </c>
      <c r="R31">
        <f t="shared" si="4"/>
        <v>10.579715081963764</v>
      </c>
      <c r="BB31" s="2"/>
      <c r="BC31" s="2"/>
      <c r="BD31" s="2"/>
      <c r="BE31" s="2"/>
      <c r="BF31" s="2"/>
    </row>
    <row r="32" spans="5:58" x14ac:dyDescent="0.2">
      <c r="F32" t="s">
        <v>55</v>
      </c>
      <c r="G32">
        <v>55</v>
      </c>
      <c r="H32">
        <v>470</v>
      </c>
      <c r="I32">
        <v>0.3</v>
      </c>
      <c r="J32">
        <v>0</v>
      </c>
      <c r="K32">
        <v>1.1000000000000001</v>
      </c>
      <c r="L32">
        <f t="shared" si="5"/>
        <v>1</v>
      </c>
      <c r="M32">
        <f t="shared" si="0"/>
        <v>8.0596938816000012</v>
      </c>
      <c r="N32">
        <f>(M32 * (1 -T$11) + (0.04 * M32)) * ( 1 - AD$11 )</f>
        <v>2.6403557156121602</v>
      </c>
      <c r="O32">
        <f t="shared" si="1"/>
        <v>1.2422092096663393E-4</v>
      </c>
      <c r="P32">
        <f t="shared" si="2"/>
        <v>1.4872477386964117E-3</v>
      </c>
      <c r="Q32">
        <f t="shared" si="3"/>
        <v>0.62343374710129407</v>
      </c>
      <c r="R32">
        <f t="shared" si="4"/>
        <v>7.4641245885826164</v>
      </c>
      <c r="BB32" s="2"/>
      <c r="BC32" s="3"/>
      <c r="BD32" s="3"/>
      <c r="BE32" s="3"/>
      <c r="BF32" s="3"/>
    </row>
    <row r="33" spans="5:58" x14ac:dyDescent="0.2">
      <c r="F33" t="s">
        <v>56</v>
      </c>
      <c r="G33">
        <v>60</v>
      </c>
      <c r="H33">
        <v>490</v>
      </c>
      <c r="I33">
        <v>0.2</v>
      </c>
      <c r="J33">
        <v>0</v>
      </c>
      <c r="K33">
        <v>1</v>
      </c>
      <c r="L33">
        <f t="shared" si="5"/>
        <v>1</v>
      </c>
      <c r="M33">
        <f t="shared" si="0"/>
        <v>8.1130407556000002</v>
      </c>
      <c r="N33">
        <f>(M33 * (1 -U$11) + (0.04 * M33)) * ( 1 - AD$11 )</f>
        <v>2.99857986326976</v>
      </c>
      <c r="O33">
        <f t="shared" si="1"/>
        <v>1.4107430677044692E-4</v>
      </c>
      <c r="P33">
        <f t="shared" si="2"/>
        <v>1.6890266317448027E-3</v>
      </c>
      <c r="Q33">
        <f t="shared" si="3"/>
        <v>0.7723818295681969</v>
      </c>
      <c r="R33">
        <f t="shared" si="4"/>
        <v>9.2474208088027954</v>
      </c>
      <c r="BB33" s="2"/>
      <c r="BC33" s="2"/>
      <c r="BD33" s="2"/>
      <c r="BE33" s="2"/>
      <c r="BF33" s="2"/>
    </row>
    <row r="34" spans="5:58" x14ac:dyDescent="0.2">
      <c r="F34" t="s">
        <v>57</v>
      </c>
      <c r="G34">
        <v>65</v>
      </c>
      <c r="H34">
        <v>500</v>
      </c>
      <c r="I34">
        <v>0.1</v>
      </c>
      <c r="J34">
        <v>0</v>
      </c>
      <c r="K34">
        <v>1</v>
      </c>
      <c r="L34">
        <f t="shared" si="5"/>
        <v>1</v>
      </c>
      <c r="M34">
        <f t="shared" si="0"/>
        <v>8.0457322500000004</v>
      </c>
      <c r="N34">
        <f>(M34 * (1 -V$11) + (0.04 * M34)) * ( 1 - AD$11 )</f>
        <v>3.6495441486</v>
      </c>
      <c r="O34">
        <f t="shared" si="1"/>
        <v>1.7170024954095013E-4</v>
      </c>
      <c r="P34">
        <f t="shared" si="2"/>
        <v>2.0556988780656223E-3</v>
      </c>
      <c r="Q34">
        <f t="shared" si="3"/>
        <v>1.0183971050897604</v>
      </c>
      <c r="R34">
        <f t="shared" si="4"/>
        <v>12.192863970526721</v>
      </c>
      <c r="BB34" s="2"/>
      <c r="BC34" s="2"/>
      <c r="BD34" s="2"/>
      <c r="BE34" s="2"/>
      <c r="BF34" s="2"/>
    </row>
    <row r="35" spans="5:58" x14ac:dyDescent="0.2">
      <c r="E35" t="s">
        <v>48</v>
      </c>
      <c r="F35" t="s">
        <v>54</v>
      </c>
      <c r="G35">
        <v>200</v>
      </c>
      <c r="H35" cm="1">
        <f t="array" ref="H35:H38">_xlfn.XLOOKUP(E35, $AP$46:$AY$46, $AP$47:$AY$50)</f>
        <v>75</v>
      </c>
      <c r="I35" cm="1">
        <f t="array" ref="I35:I38">_xlfn.XLOOKUP(E35, $AP$106:$AY$106, $AP$107:$AY$110)</f>
        <v>0.5</v>
      </c>
      <c r="L35">
        <v>1</v>
      </c>
      <c r="M35">
        <f t="shared" si="0"/>
        <v>2.7834751406249998</v>
      </c>
      <c r="N35">
        <f>(M35 * (1 -S$11) + (0.04 * M35)) * ( 1 - AD$11 )</f>
        <v>1.1456783678812499</v>
      </c>
      <c r="O35">
        <f t="shared" si="1"/>
        <v>5.390077600084388E-5</v>
      </c>
      <c r="P35">
        <f t="shared" si="2"/>
        <v>6.4533257842106233E-4</v>
      </c>
      <c r="Q35">
        <f t="shared" si="3"/>
        <v>0.98368916201540069</v>
      </c>
      <c r="R35">
        <f t="shared" si="4"/>
        <v>11.777319556184386</v>
      </c>
      <c r="BB35" s="2"/>
    </row>
    <row r="36" spans="5:58" x14ac:dyDescent="0.2">
      <c r="F36" t="s">
        <v>55</v>
      </c>
      <c r="G36">
        <v>130</v>
      </c>
      <c r="H36">
        <v>160</v>
      </c>
      <c r="I36">
        <v>0.9</v>
      </c>
      <c r="L36">
        <v>1</v>
      </c>
      <c r="M36">
        <f t="shared" si="0"/>
        <v>4.5298311556000002</v>
      </c>
      <c r="N36">
        <f>(M36 * (1 -T$11) + (0.04 * M36)) * ( 1 - AD$11 )</f>
        <v>1.4839726865745599</v>
      </c>
      <c r="O36">
        <f t="shared" si="1"/>
        <v>6.9816522344180778E-5</v>
      </c>
      <c r="P36">
        <f t="shared" si="2"/>
        <v>8.3588548669608228E-4</v>
      </c>
      <c r="Q36">
        <f t="shared" si="3"/>
        <v>0.82819849630784437</v>
      </c>
      <c r="R36">
        <f t="shared" si="4"/>
        <v>9.9156915859322758</v>
      </c>
    </row>
    <row r="37" spans="5:58" x14ac:dyDescent="0.2">
      <c r="F37" t="s">
        <v>56</v>
      </c>
      <c r="G37">
        <v>250</v>
      </c>
      <c r="H37">
        <v>220</v>
      </c>
      <c r="I37">
        <v>0.7</v>
      </c>
      <c r="L37">
        <v>1</v>
      </c>
      <c r="M37">
        <f t="shared" si="0"/>
        <v>5.1913799715999973</v>
      </c>
      <c r="N37">
        <f>(M37 * (1 -U$11) + (0.04 * M37)) * ( 1 - AD$11 )</f>
        <v>1.918734037503359</v>
      </c>
      <c r="O37">
        <f t="shared" si="1"/>
        <v>9.0270757011782037E-5</v>
      </c>
      <c r="P37">
        <f t="shared" si="2"/>
        <v>1.0807759127164039E-3</v>
      </c>
      <c r="Q37">
        <f t="shared" si="3"/>
        <v>2.0593016443312777</v>
      </c>
      <c r="R37">
        <f t="shared" si="4"/>
        <v>24.655200508842963</v>
      </c>
    </row>
    <row r="38" spans="5:58" x14ac:dyDescent="0.2">
      <c r="F38" t="s">
        <v>57</v>
      </c>
      <c r="G38">
        <v>150</v>
      </c>
      <c r="H38">
        <v>260</v>
      </c>
      <c r="I38">
        <v>0.4</v>
      </c>
      <c r="L38">
        <v>1</v>
      </c>
      <c r="M38">
        <f t="shared" si="0"/>
        <v>5.3621886096000004</v>
      </c>
      <c r="N38">
        <f>(M38 * (1 -V$11) + (0.04 * M38)) * ( 1 - AD$11 )</f>
        <v>2.4322887533145603</v>
      </c>
      <c r="O38">
        <f t="shared" si="1"/>
        <v>1.1443198626874025E-4</v>
      </c>
      <c r="P38">
        <f t="shared" si="2"/>
        <v>1.3700487123134107E-3</v>
      </c>
      <c r="Q38">
        <f t="shared" si="3"/>
        <v>1.5662878120533821</v>
      </c>
      <c r="R38">
        <f t="shared" si="4"/>
        <v>18.75254174978981</v>
      </c>
    </row>
    <row r="39" spans="5:58" x14ac:dyDescent="0.2">
      <c r="E39" t="s">
        <v>49</v>
      </c>
      <c r="F39" t="s">
        <v>54</v>
      </c>
      <c r="G39">
        <v>20</v>
      </c>
      <c r="H39" cm="1">
        <f t="array" ref="H39:H42">_xlfn.XLOOKUP(E39, $AP$46:$AY$46, $AP$47:$AY$50)</f>
        <v>380</v>
      </c>
      <c r="I39" cm="1">
        <f t="array" ref="I39:I42">_xlfn.XLOOKUP(E39, $AP$106:$AY$106, $AP$107:$AY$110)</f>
        <v>0.4</v>
      </c>
      <c r="L39">
        <v>1</v>
      </c>
      <c r="M39">
        <f t="shared" si="0"/>
        <v>7.0796437775999967</v>
      </c>
      <c r="N39">
        <f>(M39 * (1 -S$11) + (0.04 * M39)) * ( 1 - AD$11 )</f>
        <v>2.9139813788601581</v>
      </c>
      <c r="O39">
        <f t="shared" si="1"/>
        <v>1.37094198490489E-4</v>
      </c>
      <c r="P39">
        <f t="shared" si="2"/>
        <v>1.6413743764477724E-3</v>
      </c>
      <c r="Q39">
        <f t="shared" si="3"/>
        <v>0.2501969122451424</v>
      </c>
      <c r="R39">
        <f t="shared" si="4"/>
        <v>2.995508237017185</v>
      </c>
    </row>
    <row r="40" spans="5:58" x14ac:dyDescent="0.2">
      <c r="F40" t="s">
        <v>55</v>
      </c>
      <c r="G40">
        <v>30</v>
      </c>
      <c r="H40">
        <v>420</v>
      </c>
      <c r="I40">
        <v>0.4</v>
      </c>
      <c r="L40">
        <v>1</v>
      </c>
      <c r="M40">
        <f t="shared" si="0"/>
        <v>7.6129639056</v>
      </c>
      <c r="N40">
        <f>(M40 * (1 -T$11) + (0.04 * M40)) * ( 1 - AD$11 )</f>
        <v>2.49400697547456</v>
      </c>
      <c r="O40">
        <f t="shared" si="1"/>
        <v>1.1733564593543065E-4</v>
      </c>
      <c r="P40">
        <f t="shared" si="2"/>
        <v>1.4048130759940598E-3</v>
      </c>
      <c r="Q40">
        <f t="shared" si="3"/>
        <v>0.3212063307482414</v>
      </c>
      <c r="R40">
        <f t="shared" si="4"/>
        <v>3.8456757955337388</v>
      </c>
    </row>
    <row r="41" spans="5:58" x14ac:dyDescent="0.2">
      <c r="F41" t="s">
        <v>56</v>
      </c>
      <c r="G41">
        <v>60</v>
      </c>
      <c r="H41">
        <v>450</v>
      </c>
      <c r="I41">
        <v>0.3</v>
      </c>
      <c r="L41">
        <v>1</v>
      </c>
      <c r="M41">
        <f t="shared" si="0"/>
        <v>7.8176159999999992</v>
      </c>
      <c r="N41">
        <f>(M41 * (1 -U$11) + (0.04 * M41)) * ( 1 - AD$11 )</f>
        <v>2.8893908736</v>
      </c>
      <c r="O41">
        <f t="shared" si="1"/>
        <v>1.3593728800589413E-4</v>
      </c>
      <c r="P41">
        <f t="shared" si="2"/>
        <v>1.627523146810294E-3</v>
      </c>
      <c r="Q41">
        <f t="shared" si="3"/>
        <v>0.7442566518322703</v>
      </c>
      <c r="R41">
        <f t="shared" si="4"/>
        <v>8.9106892287863602</v>
      </c>
    </row>
    <row r="42" spans="5:58" x14ac:dyDescent="0.2">
      <c r="F42" t="s">
        <v>57</v>
      </c>
      <c r="G42">
        <v>30</v>
      </c>
      <c r="H42">
        <v>460</v>
      </c>
      <c r="I42">
        <v>0.1</v>
      </c>
      <c r="L42">
        <v>1</v>
      </c>
      <c r="M42">
        <f t="shared" si="0"/>
        <v>7.5885924675999998</v>
      </c>
      <c r="N42">
        <f>(M42 * (1 -V$11) + (0.04 * M42)) * ( 1 - AD$11 )</f>
        <v>3.4421855433033599</v>
      </c>
      <c r="O42">
        <f t="shared" si="1"/>
        <v>1.6194464094321492E-4</v>
      </c>
      <c r="P42">
        <f t="shared" si="2"/>
        <v>1.9388988518406825E-3</v>
      </c>
      <c r="Q42">
        <f t="shared" si="3"/>
        <v>0.4433234545820508</v>
      </c>
      <c r="R42">
        <f t="shared" si="4"/>
        <v>5.3077356069138686</v>
      </c>
    </row>
    <row r="43" spans="5:58" x14ac:dyDescent="0.2">
      <c r="E43" t="s">
        <v>50</v>
      </c>
      <c r="F43" t="s">
        <v>54</v>
      </c>
      <c r="G43">
        <v>100</v>
      </c>
      <c r="H43" cm="1">
        <f t="array" ref="H43:H46">_xlfn.XLOOKUP(E43, $AP$46:$AY$46, $AP$47:$AY$50)</f>
        <v>380</v>
      </c>
      <c r="I43" cm="1">
        <f t="array" ref="I43:I46">_xlfn.XLOOKUP(E43, $AP$106:$AY$106, $AP$107:$AY$110)</f>
        <v>0.4</v>
      </c>
      <c r="L43">
        <v>1</v>
      </c>
      <c r="M43">
        <f t="shared" si="0"/>
        <v>7.0796437775999967</v>
      </c>
      <c r="N43">
        <f>(M43 * (1 -S$11) + (0.04 * M43)) * ( 1 - AD$11 )</f>
        <v>2.9139813788601581</v>
      </c>
      <c r="O43">
        <f t="shared" si="1"/>
        <v>1.37094198490489E-4</v>
      </c>
      <c r="P43">
        <f t="shared" si="2"/>
        <v>1.6413743764477724E-3</v>
      </c>
      <c r="Q43">
        <f t="shared" si="3"/>
        <v>1.2509845612257122</v>
      </c>
      <c r="R43">
        <f t="shared" si="4"/>
        <v>14.977541185085922</v>
      </c>
    </row>
    <row r="44" spans="5:58" x14ac:dyDescent="0.2">
      <c r="F44" t="s">
        <v>55</v>
      </c>
      <c r="G44">
        <v>110</v>
      </c>
      <c r="H44">
        <v>420</v>
      </c>
      <c r="I44">
        <v>0.4</v>
      </c>
      <c r="L44">
        <v>1</v>
      </c>
      <c r="M44">
        <f t="shared" si="0"/>
        <v>7.6129639056</v>
      </c>
      <c r="N44">
        <f>(M44 * (1 -T$11) + (0.04 * M44)) * ( 1 - AD$11 )</f>
        <v>2.49400697547456</v>
      </c>
      <c r="O44">
        <f t="shared" si="1"/>
        <v>1.1733564593543065E-4</v>
      </c>
      <c r="P44">
        <f t="shared" si="2"/>
        <v>1.4048130759940598E-3</v>
      </c>
      <c r="Q44">
        <f t="shared" si="3"/>
        <v>1.1777565460768851</v>
      </c>
      <c r="R44">
        <f t="shared" si="4"/>
        <v>14.100811250290375</v>
      </c>
    </row>
    <row r="45" spans="5:58" x14ac:dyDescent="0.2">
      <c r="F45" t="s">
        <v>56</v>
      </c>
      <c r="G45">
        <v>120</v>
      </c>
      <c r="H45">
        <v>450</v>
      </c>
      <c r="I45">
        <v>0.3</v>
      </c>
      <c r="L45">
        <v>1</v>
      </c>
      <c r="M45">
        <f t="shared" si="0"/>
        <v>7.8176159999999992</v>
      </c>
      <c r="N45">
        <f>(M45 * (1 -U$11) + (0.04 * M45)) * ( 1 - AD$11 )</f>
        <v>2.8893908736</v>
      </c>
      <c r="O45">
        <f t="shared" si="1"/>
        <v>1.3593728800589413E-4</v>
      </c>
      <c r="P45">
        <f t="shared" si="2"/>
        <v>1.627523146810294E-3</v>
      </c>
      <c r="Q45">
        <f t="shared" si="3"/>
        <v>1.4885133036645406</v>
      </c>
      <c r="R45">
        <f t="shared" si="4"/>
        <v>17.82137845757272</v>
      </c>
      <c r="AP45" s="4" t="s">
        <v>66</v>
      </c>
      <c r="AQ45" s="4" t="s">
        <v>66</v>
      </c>
      <c r="AR45" s="4" t="s">
        <v>67</v>
      </c>
      <c r="AS45" s="4" t="s">
        <v>67</v>
      </c>
      <c r="AT45" s="4" t="s">
        <v>67</v>
      </c>
      <c r="AU45" s="4" t="s">
        <v>67</v>
      </c>
      <c r="AV45" s="4" t="s">
        <v>68</v>
      </c>
      <c r="AW45" s="4" t="s">
        <v>68</v>
      </c>
      <c r="AX45" s="4" t="s">
        <v>68</v>
      </c>
      <c r="AY45" s="4" t="s">
        <v>68</v>
      </c>
    </row>
    <row r="46" spans="5:58" x14ac:dyDescent="0.2">
      <c r="F46" t="s">
        <v>57</v>
      </c>
      <c r="G46">
        <v>130</v>
      </c>
      <c r="H46">
        <v>460</v>
      </c>
      <c r="I46">
        <v>0.1</v>
      </c>
      <c r="L46">
        <v>1</v>
      </c>
      <c r="M46">
        <f t="shared" si="0"/>
        <v>7.5885924675999998</v>
      </c>
      <c r="N46">
        <f>(M46 * (1 -V$11) + (0.04 * M46)) * ( 1 - AD$11 )</f>
        <v>3.4421855433033599</v>
      </c>
      <c r="O46">
        <f t="shared" si="1"/>
        <v>1.6194464094321492E-4</v>
      </c>
      <c r="P46">
        <f t="shared" si="2"/>
        <v>1.9388988518406825E-3</v>
      </c>
      <c r="Q46">
        <f t="shared" si="3"/>
        <v>1.9210683031888869</v>
      </c>
      <c r="R46">
        <f t="shared" si="4"/>
        <v>23.000187629960099</v>
      </c>
      <c r="AP46" s="4" t="s">
        <v>42</v>
      </c>
      <c r="AQ46" s="4" t="s">
        <v>43</v>
      </c>
      <c r="AR46" s="4" t="s">
        <v>44</v>
      </c>
      <c r="AS46" s="5" t="s">
        <v>45</v>
      </c>
      <c r="AT46" s="4" t="s">
        <v>46</v>
      </c>
      <c r="AU46" s="4" t="s">
        <v>47</v>
      </c>
      <c r="AV46" s="4" t="s">
        <v>48</v>
      </c>
      <c r="AW46" s="4" t="s">
        <v>49</v>
      </c>
      <c r="AX46" s="4" t="s">
        <v>50</v>
      </c>
      <c r="AY46" s="4" t="s">
        <v>51</v>
      </c>
    </row>
    <row r="47" spans="5:58" x14ac:dyDescent="0.2">
      <c r="E47" t="s">
        <v>51</v>
      </c>
      <c r="F47" t="s">
        <v>54</v>
      </c>
      <c r="G47">
        <v>50</v>
      </c>
      <c r="H47" cm="1">
        <f t="array" ref="H47:H50">_xlfn.XLOOKUP(E47, $AP$46:$AY$46, $AP$47:$AY$50)</f>
        <v>380</v>
      </c>
      <c r="I47" cm="1">
        <f t="array" ref="I47:I50">_xlfn.XLOOKUP(E47, $AP$106:$AY$106, $AP$107:$AY$110)</f>
        <v>0.4</v>
      </c>
      <c r="L47">
        <v>1</v>
      </c>
      <c r="M47">
        <f t="shared" si="0"/>
        <v>7.0796437775999967</v>
      </c>
      <c r="N47">
        <f>(M47 * (1 -S$11) + (0.04 * M47)) * ( 1 - AD$11 )</f>
        <v>2.9139813788601581</v>
      </c>
      <c r="O47">
        <f t="shared" si="1"/>
        <v>1.37094198490489E-4</v>
      </c>
      <c r="P47">
        <f t="shared" si="2"/>
        <v>1.6413743764477724E-3</v>
      </c>
      <c r="Q47">
        <f t="shared" si="3"/>
        <v>0.62549228061285611</v>
      </c>
      <c r="R47">
        <f t="shared" si="4"/>
        <v>7.4887705925429611</v>
      </c>
      <c r="AM47" t="s">
        <v>53</v>
      </c>
      <c r="AO47" s="2" t="s">
        <v>54</v>
      </c>
      <c r="AP47" s="2">
        <v>80</v>
      </c>
      <c r="AQ47" s="2">
        <v>480</v>
      </c>
      <c r="AR47" s="2">
        <v>75</v>
      </c>
      <c r="AS47" s="2">
        <v>300</v>
      </c>
      <c r="AT47" s="2">
        <v>440</v>
      </c>
      <c r="AU47" s="2">
        <v>440</v>
      </c>
      <c r="AV47" s="2">
        <v>75</v>
      </c>
      <c r="AW47">
        <v>380</v>
      </c>
      <c r="AX47">
        <v>380</v>
      </c>
      <c r="AY47">
        <v>380</v>
      </c>
    </row>
    <row r="48" spans="5:58" x14ac:dyDescent="0.2">
      <c r="F48" t="s">
        <v>55</v>
      </c>
      <c r="G48">
        <v>55</v>
      </c>
      <c r="H48">
        <v>420</v>
      </c>
      <c r="I48">
        <v>0.4</v>
      </c>
      <c r="L48">
        <v>1</v>
      </c>
      <c r="M48">
        <f t="shared" si="0"/>
        <v>7.6129639056</v>
      </c>
      <c r="N48">
        <f>(M48 * (1 -T$11) + (0.04 * M48)) * ( 1 - AD$11 )</f>
        <v>2.49400697547456</v>
      </c>
      <c r="O48">
        <f t="shared" si="1"/>
        <v>1.1733564593543065E-4</v>
      </c>
      <c r="P48">
        <f t="shared" si="2"/>
        <v>1.4048130759940598E-3</v>
      </c>
      <c r="Q48">
        <f t="shared" si="3"/>
        <v>0.58887827303844253</v>
      </c>
      <c r="R48">
        <f t="shared" si="4"/>
        <v>7.0504056251451876</v>
      </c>
      <c r="AO48" s="2" t="s">
        <v>55</v>
      </c>
      <c r="AP48" s="2">
        <v>170</v>
      </c>
      <c r="AQ48" s="2">
        <v>520</v>
      </c>
      <c r="AR48" s="2">
        <v>160</v>
      </c>
      <c r="AS48" s="2">
        <v>360</v>
      </c>
      <c r="AT48">
        <v>470</v>
      </c>
      <c r="AU48">
        <v>470</v>
      </c>
      <c r="AV48">
        <v>160</v>
      </c>
      <c r="AW48">
        <v>420</v>
      </c>
      <c r="AX48">
        <v>420</v>
      </c>
      <c r="AY48">
        <v>420</v>
      </c>
    </row>
    <row r="49" spans="1:51" x14ac:dyDescent="0.2">
      <c r="F49" t="s">
        <v>56</v>
      </c>
      <c r="G49">
        <v>60</v>
      </c>
      <c r="H49">
        <v>450</v>
      </c>
      <c r="I49">
        <v>0.3</v>
      </c>
      <c r="L49">
        <v>1</v>
      </c>
      <c r="M49">
        <f t="shared" si="0"/>
        <v>7.8176159999999992</v>
      </c>
      <c r="N49">
        <f>(M49 * (1 -U$11) + (0.04 * M49)) * ( 1 - AD$11 )</f>
        <v>2.8893908736</v>
      </c>
      <c r="O49">
        <f t="shared" si="1"/>
        <v>1.3593728800589413E-4</v>
      </c>
      <c r="P49">
        <f t="shared" si="2"/>
        <v>1.627523146810294E-3</v>
      </c>
      <c r="Q49">
        <f t="shared" si="3"/>
        <v>0.7442566518322703</v>
      </c>
      <c r="R49">
        <f t="shared" si="4"/>
        <v>8.9106892287863602</v>
      </c>
      <c r="AO49" s="2" t="s">
        <v>56</v>
      </c>
      <c r="AP49" s="2">
        <v>240</v>
      </c>
      <c r="AQ49" s="2">
        <v>550</v>
      </c>
      <c r="AR49" s="2">
        <v>220</v>
      </c>
      <c r="AS49" s="2">
        <v>390</v>
      </c>
      <c r="AT49">
        <v>490</v>
      </c>
      <c r="AU49">
        <v>490</v>
      </c>
      <c r="AV49">
        <v>220</v>
      </c>
      <c r="AW49">
        <v>450</v>
      </c>
      <c r="AX49">
        <v>450</v>
      </c>
      <c r="AY49">
        <v>450</v>
      </c>
    </row>
    <row r="50" spans="1:51" x14ac:dyDescent="0.2">
      <c r="F50" t="s">
        <v>57</v>
      </c>
      <c r="G50">
        <v>65</v>
      </c>
      <c r="H50">
        <v>460</v>
      </c>
      <c r="I50">
        <v>0.1</v>
      </c>
      <c r="L50">
        <v>1</v>
      </c>
      <c r="M50">
        <f t="shared" si="0"/>
        <v>7.5885924675999998</v>
      </c>
      <c r="N50">
        <f>(M50 * (1 -V$11) + (0.04 * M50)) * ( 1 - AD$11 )</f>
        <v>3.4421855433033599</v>
      </c>
      <c r="O50">
        <f t="shared" si="1"/>
        <v>1.6194464094321492E-4</v>
      </c>
      <c r="P50">
        <f t="shared" si="2"/>
        <v>1.9388988518406825E-3</v>
      </c>
      <c r="Q50">
        <f t="shared" si="3"/>
        <v>0.96053415159444344</v>
      </c>
      <c r="R50">
        <f t="shared" si="4"/>
        <v>11.500093814980049</v>
      </c>
      <c r="AO50" s="2" t="s">
        <v>57</v>
      </c>
      <c r="AP50" s="2">
        <v>280</v>
      </c>
      <c r="AQ50" s="2">
        <v>560</v>
      </c>
      <c r="AR50" s="2">
        <v>260</v>
      </c>
      <c r="AS50" s="2">
        <v>410</v>
      </c>
      <c r="AT50">
        <v>500</v>
      </c>
      <c r="AU50">
        <v>500</v>
      </c>
      <c r="AV50">
        <v>260</v>
      </c>
      <c r="AW50">
        <v>460</v>
      </c>
      <c r="AX50">
        <v>460</v>
      </c>
      <c r="AY50">
        <v>460</v>
      </c>
    </row>
    <row r="51" spans="1:51" x14ac:dyDescent="0.2">
      <c r="A51" t="s">
        <v>116</v>
      </c>
      <c r="B51" t="s">
        <v>99</v>
      </c>
      <c r="C51" t="s">
        <v>53</v>
      </c>
      <c r="D51" t="s">
        <v>53</v>
      </c>
      <c r="E51" t="s">
        <v>42</v>
      </c>
      <c r="F51" t="s">
        <v>54</v>
      </c>
      <c r="G51">
        <v>100</v>
      </c>
      <c r="H51" cm="1">
        <f t="array" ref="H51:H54">_xlfn.XLOOKUP(E51, $AP$46:$AY$46, $AP$47:$AY$50)</f>
        <v>80</v>
      </c>
      <c r="I51" cm="1">
        <f t="array" ref="I51:I54">_xlfn.XLOOKUP(E51, $AP$106:$AY$106, $AP$107:$AY$110)</f>
        <v>0.5</v>
      </c>
      <c r="J51">
        <v>0</v>
      </c>
      <c r="L51">
        <v>1</v>
      </c>
      <c r="M51">
        <f>(1.185 + 0.00454 * H51 - 0.0000026 * H51^2 + 0.315 * I51)^2 * L51</f>
        <v>2.8529236835999998</v>
      </c>
      <c r="N51">
        <f>(M51 * (1 -S51) + (0.04 * M51)) * ( 1 - AD$11 )</f>
        <v>1.1742633881697597</v>
      </c>
      <c r="O51">
        <f>N51 * AB$51 * X$51 * Z$51 * AC$51</f>
        <v>5.5245616593758213E-5</v>
      </c>
      <c r="P51">
        <f>N51 * AB$11 * Y$11 * AA$11 * AC$11</f>
        <v>6.6143382058828331E-4</v>
      </c>
      <c r="Q51">
        <f>G51*O51*91.25</f>
        <v>0.50411625141804373</v>
      </c>
      <c r="R51">
        <f>G51*P51*91.25</f>
        <v>6.0355836128680851</v>
      </c>
      <c r="S51" cm="1">
        <f t="array" ref="S51:V51">_xlfn.XLOOKUP(C51,$AR$18:$AR$26,$AS$18:$AV$26)</f>
        <v>0.55000000000000004</v>
      </c>
      <c r="T51">
        <v>0.65</v>
      </c>
      <c r="U51">
        <v>0.6</v>
      </c>
      <c r="V51">
        <v>0.5</v>
      </c>
      <c r="W51" t="s">
        <v>91</v>
      </c>
      <c r="X51">
        <f>IF(W51="yes", $AN$6, $AO$6)</f>
        <v>0.05</v>
      </c>
      <c r="Y51">
        <f>IF(W51="yes", $AN$7, $AO$7)</f>
        <v>0.95</v>
      </c>
      <c r="Z51">
        <f>VLOOKUP(B51, $AZ$17:$BA$26, 2, FALSE)</f>
        <v>7.3000000000000001E-3</v>
      </c>
      <c r="AA51">
        <f>$BA$14</f>
        <v>4.5999999999999999E-3</v>
      </c>
      <c r="AB51">
        <f>$AS$5</f>
        <v>0.19</v>
      </c>
      <c r="AC51">
        <f>$AS$6</f>
        <v>0.6784</v>
      </c>
      <c r="AD51">
        <f>$AS$7</f>
        <v>0.16</v>
      </c>
      <c r="AE51">
        <f>SUM(Q51:R90)</f>
        <v>204.8566346624763</v>
      </c>
      <c r="AF51">
        <f>$AS$8</f>
        <v>28</v>
      </c>
      <c r="AG51">
        <f>AE51 * AF51 * 10^-3</f>
        <v>5.7359857705493358</v>
      </c>
      <c r="AM51" t="s">
        <v>59</v>
      </c>
      <c r="AO51" s="2" t="s">
        <v>54</v>
      </c>
      <c r="AP51" s="2">
        <v>250</v>
      </c>
      <c r="AQ51" s="2">
        <v>800</v>
      </c>
      <c r="AR51" s="2">
        <v>220</v>
      </c>
      <c r="AS51" s="2">
        <v>400</v>
      </c>
      <c r="AT51">
        <v>500</v>
      </c>
      <c r="AU51">
        <v>500</v>
      </c>
      <c r="AV51">
        <v>230</v>
      </c>
      <c r="AW51">
        <v>420</v>
      </c>
      <c r="AX51">
        <v>420</v>
      </c>
      <c r="AY51">
        <v>420</v>
      </c>
    </row>
    <row r="52" spans="1:51" x14ac:dyDescent="0.2">
      <c r="F52" t="s">
        <v>55</v>
      </c>
      <c r="G52">
        <v>110</v>
      </c>
      <c r="H52">
        <v>170</v>
      </c>
      <c r="I52">
        <v>1</v>
      </c>
      <c r="L52">
        <v>1</v>
      </c>
      <c r="M52">
        <f t="shared" ref="M52:M66" si="6">(1.185 + 0.00454 * H52 - 0.0000026 * H52^2 + 0.315 * I52)^2 * L52</f>
        <v>4.8253151556000002</v>
      </c>
      <c r="N52">
        <f>(M52 * (1 -T$11) + (0.04 * M52)) * ( 1 - AD$11 )</f>
        <v>1.58077324497456</v>
      </c>
      <c r="O52">
        <f t="shared" ref="O52:O90" si="7">N52 * AB$51 * X$51 * Z$51 * AC$51</f>
        <v>7.4370702087247912E-5</v>
      </c>
      <c r="P52">
        <f>N52 * AB$11 * Y$11 * AA$11 * AC$11</f>
        <v>8.9041087156513257E-4</v>
      </c>
      <c r="Q52">
        <f t="shared" ref="Q52:Q90" si="8">G52*O52*91.25</f>
        <v>0.74649592220075089</v>
      </c>
      <c r="R52">
        <f t="shared" ref="R52:R90" si="9">G52*P52*91.25</f>
        <v>8.9374991233350194</v>
      </c>
      <c r="AO52" s="2" t="s">
        <v>55</v>
      </c>
      <c r="AP52" s="2">
        <v>320</v>
      </c>
      <c r="AQ52" s="2">
        <v>800</v>
      </c>
      <c r="AR52" s="2">
        <v>280</v>
      </c>
      <c r="AS52" s="2">
        <v>420</v>
      </c>
      <c r="AT52">
        <v>500</v>
      </c>
      <c r="AU52">
        <v>500</v>
      </c>
      <c r="AV52">
        <v>290</v>
      </c>
      <c r="AW52">
        <v>420</v>
      </c>
      <c r="AX52">
        <v>420</v>
      </c>
      <c r="AY52">
        <v>420</v>
      </c>
    </row>
    <row r="53" spans="1:51" x14ac:dyDescent="0.2">
      <c r="F53" t="s">
        <v>56</v>
      </c>
      <c r="G53">
        <v>120</v>
      </c>
      <c r="H53">
        <v>240</v>
      </c>
      <c r="I53">
        <v>0.8</v>
      </c>
      <c r="L53">
        <v>1</v>
      </c>
      <c r="M53">
        <f t="shared" si="6"/>
        <v>5.6493683855999981</v>
      </c>
      <c r="N53">
        <f>(M53 * (1 -U$11) + (0.04 * M53)) * ( 1 - AD$11 )</f>
        <v>2.0880065553177594</v>
      </c>
      <c r="O53">
        <f t="shared" si="7"/>
        <v>9.8234527928296858E-5</v>
      </c>
      <c r="P53">
        <f>N53 * AB$11 * Y$11 * AA$11 * AC$11</f>
        <v>1.1761229782100196E-3</v>
      </c>
      <c r="Q53">
        <f t="shared" si="8"/>
        <v>1.0756680808148507</v>
      </c>
      <c r="R53">
        <f t="shared" si="9"/>
        <v>12.878546611399717</v>
      </c>
      <c r="AO53" s="2" t="s">
        <v>56</v>
      </c>
      <c r="AP53" s="2">
        <v>80</v>
      </c>
      <c r="AQ53" s="2">
        <v>700</v>
      </c>
      <c r="AR53" s="2">
        <v>70</v>
      </c>
      <c r="AS53" s="2">
        <v>300</v>
      </c>
      <c r="AT53">
        <v>450</v>
      </c>
      <c r="AU53">
        <v>450</v>
      </c>
      <c r="AV53">
        <v>75</v>
      </c>
      <c r="AW53">
        <v>400</v>
      </c>
      <c r="AX53">
        <v>400</v>
      </c>
      <c r="AY53">
        <v>400</v>
      </c>
    </row>
    <row r="54" spans="1:51" x14ac:dyDescent="0.2">
      <c r="F54" t="s">
        <v>57</v>
      </c>
      <c r="G54">
        <v>130</v>
      </c>
      <c r="H54">
        <v>280</v>
      </c>
      <c r="I54">
        <v>0.4</v>
      </c>
      <c r="L54">
        <v>1</v>
      </c>
      <c r="M54">
        <f t="shared" si="6"/>
        <v>5.6565962895999995</v>
      </c>
      <c r="N54">
        <f>(M54 * (1 -V$11) + (0.04 * M54)) * ( 1 - AD$11 )</f>
        <v>2.5658320769625598</v>
      </c>
      <c r="O54">
        <f t="shared" si="7"/>
        <v>1.2071480435814064E-4</v>
      </c>
      <c r="P54">
        <f>N54 * AB$11 * Y$11 * AA$11 * AC$11</f>
        <v>1.4452703973837659E-3</v>
      </c>
      <c r="Q54">
        <f t="shared" si="8"/>
        <v>1.4319793666984433</v>
      </c>
      <c r="R54">
        <f t="shared" si="9"/>
        <v>17.144520088964921</v>
      </c>
      <c r="AO54" s="2" t="s">
        <v>57</v>
      </c>
      <c r="AP54" s="2">
        <v>160</v>
      </c>
      <c r="AQ54" s="2">
        <v>700</v>
      </c>
      <c r="AR54" s="2">
        <v>140</v>
      </c>
      <c r="AS54" s="2">
        <v>350</v>
      </c>
      <c r="AT54" s="2">
        <v>450</v>
      </c>
      <c r="AU54" s="2">
        <v>450</v>
      </c>
      <c r="AV54" s="2">
        <v>150</v>
      </c>
      <c r="AW54">
        <v>400</v>
      </c>
      <c r="AX54">
        <v>400</v>
      </c>
      <c r="AY54">
        <v>400</v>
      </c>
    </row>
    <row r="55" spans="1:51" x14ac:dyDescent="0.2">
      <c r="E55" t="s">
        <v>43</v>
      </c>
      <c r="F55" t="s">
        <v>54</v>
      </c>
      <c r="H55" cm="1">
        <f t="array" ref="H55:H58">_xlfn.XLOOKUP(E55, $AP$46:$AY$46, $AP$47:$AY$50)</f>
        <v>480</v>
      </c>
      <c r="I55" cm="1">
        <f t="array" ref="I55:I58">_xlfn.XLOOKUP(E55, $AP$106:$AY$106, $AP$107:$AY$110)</f>
        <v>0.2</v>
      </c>
      <c r="L55">
        <v>1</v>
      </c>
      <c r="M55">
        <f t="shared" si="6"/>
        <v>7.9984889855999999</v>
      </c>
      <c r="N55">
        <f>(M55 * (1 -S$11) + (0.04 * M55)) * ( 1 - AD$11 )</f>
        <v>3.2921780664729599</v>
      </c>
      <c r="O55">
        <f t="shared" si="7"/>
        <v>1.5488723318047602E-4</v>
      </c>
      <c r="P55">
        <f>N55 * AB$11 * Y$11 * AA$11 * AC$11</f>
        <v>1.8544033123251509E-3</v>
      </c>
      <c r="Q55">
        <f t="shared" si="8"/>
        <v>0</v>
      </c>
      <c r="R55">
        <f t="shared" si="9"/>
        <v>0</v>
      </c>
      <c r="AM55" t="s">
        <v>69</v>
      </c>
      <c r="AO55" s="2" t="s">
        <v>54</v>
      </c>
      <c r="AP55" s="2">
        <v>105</v>
      </c>
      <c r="AQ55" s="2">
        <v>700</v>
      </c>
      <c r="AR55" s="2">
        <v>85</v>
      </c>
      <c r="AS55" s="2">
        <v>300</v>
      </c>
      <c r="AT55">
        <v>490</v>
      </c>
      <c r="AU55">
        <v>490</v>
      </c>
      <c r="AV55">
        <v>90</v>
      </c>
      <c r="AW55">
        <v>480</v>
      </c>
      <c r="AX55">
        <v>480</v>
      </c>
      <c r="AY55">
        <v>480</v>
      </c>
    </row>
    <row r="56" spans="1:51" x14ac:dyDescent="0.2">
      <c r="F56" t="s">
        <v>55</v>
      </c>
      <c r="H56">
        <v>520</v>
      </c>
      <c r="I56">
        <v>0.4</v>
      </c>
      <c r="L56">
        <v>1</v>
      </c>
      <c r="M56">
        <f t="shared" si="6"/>
        <v>8.8135359375999975</v>
      </c>
      <c r="N56">
        <f>(M56 * (1 -T$11) + (0.04 * M56)) * ( 1 - AD$11 )</f>
        <v>2.8873143731577593</v>
      </c>
      <c r="O56">
        <f t="shared" si="7"/>
        <v>1.3583959480652805E-4</v>
      </c>
      <c r="P56">
        <f>N56 * AB$11 * Y$11 * AA$11 * AC$11</f>
        <v>1.626353504943911E-3</v>
      </c>
      <c r="Q56">
        <f t="shared" si="8"/>
        <v>0</v>
      </c>
      <c r="R56">
        <f t="shared" si="9"/>
        <v>0</v>
      </c>
      <c r="AO56" s="2" t="s">
        <v>55</v>
      </c>
      <c r="AP56" s="2">
        <v>480</v>
      </c>
      <c r="AQ56" s="2">
        <v>750</v>
      </c>
      <c r="AR56" s="2">
        <v>150</v>
      </c>
      <c r="AS56" s="2">
        <v>350</v>
      </c>
      <c r="AT56">
        <v>530</v>
      </c>
      <c r="AU56">
        <v>530</v>
      </c>
      <c r="AV56">
        <v>160</v>
      </c>
      <c r="AW56">
        <v>460</v>
      </c>
      <c r="AX56">
        <v>460</v>
      </c>
      <c r="AY56">
        <v>460</v>
      </c>
    </row>
    <row r="57" spans="1:51" x14ac:dyDescent="0.2">
      <c r="F57" t="s">
        <v>56</v>
      </c>
      <c r="H57">
        <v>550</v>
      </c>
      <c r="I57">
        <v>0.3</v>
      </c>
      <c r="L57">
        <v>1</v>
      </c>
      <c r="M57">
        <f t="shared" si="6"/>
        <v>8.940100000000001</v>
      </c>
      <c r="N57">
        <f>(M57 * (1 -U$11) + (0.04 * M57)) * ( 1 - AD$11 )</f>
        <v>3.3042609600000006</v>
      </c>
      <c r="O57">
        <f t="shared" si="7"/>
        <v>1.5545569755555841E-4</v>
      </c>
      <c r="P57">
        <f>N57 * AB$11 * Y$11 * AA$11 * AC$11</f>
        <v>1.8612093104596994E-3</v>
      </c>
      <c r="Q57">
        <f t="shared" si="8"/>
        <v>0</v>
      </c>
      <c r="R57">
        <f t="shared" si="9"/>
        <v>0</v>
      </c>
      <c r="AO57" s="2" t="s">
        <v>56</v>
      </c>
      <c r="AP57" s="2">
        <v>250</v>
      </c>
      <c r="AQ57" s="2">
        <v>725</v>
      </c>
      <c r="AR57" s="2">
        <v>200</v>
      </c>
      <c r="AS57" s="2">
        <v>360</v>
      </c>
      <c r="AT57" s="2">
        <v>500</v>
      </c>
      <c r="AU57" s="2">
        <v>500</v>
      </c>
      <c r="AV57">
        <v>215</v>
      </c>
      <c r="AW57">
        <v>490</v>
      </c>
      <c r="AX57">
        <v>490</v>
      </c>
      <c r="AY57">
        <v>490</v>
      </c>
    </row>
    <row r="58" spans="1:51" x14ac:dyDescent="0.2">
      <c r="F58" t="s">
        <v>57</v>
      </c>
      <c r="H58">
        <v>560</v>
      </c>
      <c r="I58">
        <v>0.1</v>
      </c>
      <c r="L58">
        <v>1</v>
      </c>
      <c r="M58">
        <f t="shared" si="6"/>
        <v>8.6644277315999982</v>
      </c>
      <c r="N58">
        <f>(M58 * (1 -V$11) + (0.04 * M58)) * ( 1 - AD$11 )</f>
        <v>3.9301844190537589</v>
      </c>
      <c r="O58">
        <f t="shared" si="7"/>
        <v>1.8490354357059897E-4</v>
      </c>
      <c r="P58">
        <f>N58 * AB$11 * Y$11 * AA$11 * AC$11</f>
        <v>2.2137766723384039E-3</v>
      </c>
      <c r="Q58">
        <f t="shared" si="8"/>
        <v>0</v>
      </c>
      <c r="R58">
        <f t="shared" si="9"/>
        <v>0</v>
      </c>
      <c r="AO58" s="2" t="s">
        <v>57</v>
      </c>
      <c r="AP58" s="2">
        <v>260</v>
      </c>
      <c r="AQ58" s="2">
        <v>700</v>
      </c>
      <c r="AR58" s="2">
        <v>210</v>
      </c>
      <c r="AS58" s="2">
        <v>380</v>
      </c>
      <c r="AT58" s="2">
        <v>460</v>
      </c>
      <c r="AU58" s="2">
        <v>460</v>
      </c>
      <c r="AV58" s="2">
        <v>230</v>
      </c>
      <c r="AW58">
        <v>470</v>
      </c>
      <c r="AX58">
        <v>470</v>
      </c>
      <c r="AY58">
        <v>470</v>
      </c>
    </row>
    <row r="59" spans="1:51" x14ac:dyDescent="0.2">
      <c r="E59" t="s">
        <v>44</v>
      </c>
      <c r="F59" t="s">
        <v>54</v>
      </c>
      <c r="H59" cm="1">
        <f t="array" ref="H59:H62">_xlfn.XLOOKUP(E59, $AP$46:$AY$46, $AP$47:$AY$50)</f>
        <v>75</v>
      </c>
      <c r="I59" cm="1">
        <f t="array" ref="I59:I62">_xlfn.XLOOKUP(E59, $AP$106:$AY$106, $AP$107:$AY$110)</f>
        <v>0.5</v>
      </c>
      <c r="L59">
        <v>1</v>
      </c>
      <c r="M59">
        <f t="shared" si="6"/>
        <v>2.7834751406249998</v>
      </c>
      <c r="N59">
        <f>(M59 * (1 -S$11) + (0.04 * M59)) * ( 1 - AD$11 )</f>
        <v>1.1456783678812499</v>
      </c>
      <c r="O59">
        <f t="shared" si="7"/>
        <v>5.390077600084388E-5</v>
      </c>
      <c r="P59">
        <f>N59 * AB$11 * Y$11 * AA$11 * AC$11</f>
        <v>6.4533257842106233E-4</v>
      </c>
      <c r="Q59">
        <f t="shared" si="8"/>
        <v>0</v>
      </c>
      <c r="R59">
        <f t="shared" si="9"/>
        <v>0</v>
      </c>
      <c r="AM59" t="s">
        <v>70</v>
      </c>
      <c r="AO59" s="2" t="s">
        <v>54</v>
      </c>
      <c r="AP59" s="2">
        <v>250</v>
      </c>
      <c r="AQ59" s="2">
        <v>820</v>
      </c>
      <c r="AR59" s="2">
        <v>240</v>
      </c>
      <c r="AS59" s="2">
        <v>410</v>
      </c>
      <c r="AT59">
        <v>560</v>
      </c>
      <c r="AU59">
        <v>560</v>
      </c>
      <c r="AV59">
        <v>240</v>
      </c>
      <c r="AW59">
        <v>510</v>
      </c>
      <c r="AX59">
        <v>510</v>
      </c>
      <c r="AY59">
        <v>510</v>
      </c>
    </row>
    <row r="60" spans="1:51" x14ac:dyDescent="0.2">
      <c r="F60" t="s">
        <v>55</v>
      </c>
      <c r="H60">
        <v>160</v>
      </c>
      <c r="I60">
        <v>0.9</v>
      </c>
      <c r="L60">
        <v>1</v>
      </c>
      <c r="M60">
        <f t="shared" si="6"/>
        <v>4.5298311556000002</v>
      </c>
      <c r="N60">
        <f>(M60 * (1 -T$11) + (0.04 * M60)) * ( 1 - AD$11 )</f>
        <v>1.4839726865745599</v>
      </c>
      <c r="O60">
        <f t="shared" si="7"/>
        <v>6.9816522344180778E-5</v>
      </c>
      <c r="P60">
        <f>N60 * AB$11 * Y$11 * AA$11 * AC$11</f>
        <v>8.3588548669608228E-4</v>
      </c>
      <c r="Q60">
        <f t="shared" si="8"/>
        <v>0</v>
      </c>
      <c r="R60">
        <f t="shared" si="9"/>
        <v>0</v>
      </c>
      <c r="AO60" s="2" t="s">
        <v>55</v>
      </c>
      <c r="AP60" s="2">
        <v>280</v>
      </c>
      <c r="AQ60" s="2">
        <v>850</v>
      </c>
      <c r="AR60" s="2">
        <v>260</v>
      </c>
      <c r="AS60" s="2">
        <v>440</v>
      </c>
      <c r="AT60">
        <v>550</v>
      </c>
      <c r="AU60">
        <v>550</v>
      </c>
      <c r="AV60">
        <v>270</v>
      </c>
      <c r="AW60">
        <v>520</v>
      </c>
      <c r="AX60">
        <v>520</v>
      </c>
      <c r="AY60">
        <v>520</v>
      </c>
    </row>
    <row r="61" spans="1:51" x14ac:dyDescent="0.2">
      <c r="F61" t="s">
        <v>56</v>
      </c>
      <c r="H61">
        <v>220</v>
      </c>
      <c r="I61">
        <v>0.7</v>
      </c>
      <c r="L61">
        <v>1</v>
      </c>
      <c r="M61">
        <f t="shared" si="6"/>
        <v>5.1913799715999973</v>
      </c>
      <c r="N61">
        <f>(M61 * (1 -U$11) + (0.04 * M61)) * ( 1 - AD$11 )</f>
        <v>1.918734037503359</v>
      </c>
      <c r="O61">
        <f t="shared" si="7"/>
        <v>9.0270757011782037E-5</v>
      </c>
      <c r="P61">
        <f>N61 * AB$11 * Y$11 * AA$11 * AC$11</f>
        <v>1.0807759127164039E-3</v>
      </c>
      <c r="Q61">
        <f t="shared" si="8"/>
        <v>0</v>
      </c>
      <c r="R61">
        <f t="shared" si="9"/>
        <v>0</v>
      </c>
      <c r="AO61" s="2" t="s">
        <v>56</v>
      </c>
      <c r="AP61" s="2">
        <v>100</v>
      </c>
      <c r="AQ61" s="2">
        <v>700</v>
      </c>
      <c r="AR61" s="2">
        <v>95</v>
      </c>
      <c r="AS61" s="2">
        <v>300</v>
      </c>
      <c r="AT61">
        <v>450</v>
      </c>
      <c r="AU61">
        <v>450</v>
      </c>
      <c r="AV61">
        <v>95</v>
      </c>
      <c r="AW61">
        <v>410</v>
      </c>
      <c r="AX61">
        <v>410</v>
      </c>
      <c r="AY61">
        <v>410</v>
      </c>
    </row>
    <row r="62" spans="1:51" x14ac:dyDescent="0.2">
      <c r="F62" t="s">
        <v>57</v>
      </c>
      <c r="H62">
        <v>260</v>
      </c>
      <c r="I62">
        <v>0.4</v>
      </c>
      <c r="L62">
        <v>1</v>
      </c>
      <c r="M62">
        <f t="shared" si="6"/>
        <v>5.3621886096000004</v>
      </c>
      <c r="N62">
        <f>(M62 * (1 -V$11) + (0.04 * M62)) * ( 1 - AD$11 )</f>
        <v>2.4322887533145603</v>
      </c>
      <c r="O62">
        <f t="shared" si="7"/>
        <v>1.1443198626874025E-4</v>
      </c>
      <c r="P62">
        <f>N62 * AB$11 * Y$11 * AA$11 * AC$11</f>
        <v>1.3700487123134107E-3</v>
      </c>
      <c r="Q62">
        <f t="shared" si="8"/>
        <v>0</v>
      </c>
      <c r="R62">
        <f t="shared" si="9"/>
        <v>0</v>
      </c>
      <c r="AO62" s="2" t="s">
        <v>57</v>
      </c>
      <c r="AP62" s="2">
        <v>150</v>
      </c>
      <c r="AQ62" s="2">
        <v>720</v>
      </c>
      <c r="AR62" s="2">
        <v>140</v>
      </c>
      <c r="AS62" s="2">
        <v>320</v>
      </c>
      <c r="AT62" s="2">
        <v>470</v>
      </c>
      <c r="AU62" s="2">
        <v>470</v>
      </c>
      <c r="AV62">
        <v>140</v>
      </c>
      <c r="AW62">
        <v>440</v>
      </c>
      <c r="AX62">
        <v>440</v>
      </c>
      <c r="AY62">
        <v>440</v>
      </c>
    </row>
    <row r="63" spans="1:51" x14ac:dyDescent="0.2">
      <c r="E63" t="s">
        <v>45</v>
      </c>
      <c r="F63" t="s">
        <v>54</v>
      </c>
      <c r="H63" cm="1">
        <f t="array" ref="H63:H66">_xlfn.XLOOKUP(E63, $AP$46:$AY$46, $AP$47:$AY$50)</f>
        <v>300</v>
      </c>
      <c r="I63" cm="1">
        <f t="array" ref="I63:I66">_xlfn.XLOOKUP(E63, $AP$106:$AY$106, $AP$107:$AY$110)</f>
        <v>0.4</v>
      </c>
      <c r="L63">
        <v>1</v>
      </c>
      <c r="M63">
        <f t="shared" si="6"/>
        <v>5.9487209999999981</v>
      </c>
      <c r="N63">
        <f>(M63 * (1 -S$11) + (0.04 * M63)) * ( 1 - AD$11 )</f>
        <v>2.4484935635999991</v>
      </c>
      <c r="O63">
        <f t="shared" si="7"/>
        <v>1.1519437462643171E-4</v>
      </c>
      <c r="P63">
        <f>N63 * AB$11 * Y$11 * AA$11 * AC$11</f>
        <v>1.3791764852534424E-3</v>
      </c>
      <c r="Q63">
        <f t="shared" si="8"/>
        <v>0</v>
      </c>
      <c r="R63">
        <f t="shared" si="9"/>
        <v>0</v>
      </c>
      <c r="AM63" t="s">
        <v>65</v>
      </c>
      <c r="AN63" t="s">
        <v>62</v>
      </c>
      <c r="AO63" s="2" t="s">
        <v>54</v>
      </c>
      <c r="AP63" s="2">
        <v>340</v>
      </c>
      <c r="AQ63" s="2">
        <v>800</v>
      </c>
      <c r="AR63" s="2">
        <v>260</v>
      </c>
      <c r="AS63" s="2">
        <v>420</v>
      </c>
      <c r="AT63" s="2">
        <v>550</v>
      </c>
      <c r="AU63" s="2">
        <v>550</v>
      </c>
      <c r="AV63">
        <v>300</v>
      </c>
      <c r="AW63">
        <v>480</v>
      </c>
      <c r="AX63">
        <v>480</v>
      </c>
      <c r="AY63">
        <v>480</v>
      </c>
    </row>
    <row r="64" spans="1:51" x14ac:dyDescent="0.2">
      <c r="F64" t="s">
        <v>55</v>
      </c>
      <c r="H64">
        <v>360</v>
      </c>
      <c r="I64">
        <v>0.7</v>
      </c>
      <c r="L64">
        <v>1</v>
      </c>
      <c r="M64">
        <f t="shared" si="6"/>
        <v>7.3058846435999998</v>
      </c>
      <c r="N64">
        <f>(M64 * (1 -T$11) + (0.04 * M64)) * ( 1 - AD$11 )</f>
        <v>2.3934078092433602</v>
      </c>
      <c r="O64">
        <f t="shared" si="7"/>
        <v>1.1260275293778476E-4</v>
      </c>
      <c r="P64">
        <f>N64 * AB$11 * Y$11 * AA$11 * AC$11</f>
        <v>1.3481480283236143E-3</v>
      </c>
      <c r="Q64">
        <f t="shared" si="8"/>
        <v>0</v>
      </c>
      <c r="R64">
        <f t="shared" si="9"/>
        <v>0</v>
      </c>
      <c r="AO64" s="2" t="s">
        <v>55</v>
      </c>
      <c r="AP64" s="2">
        <v>380</v>
      </c>
      <c r="AQ64" s="2">
        <v>780</v>
      </c>
      <c r="AR64" s="2">
        <v>300</v>
      </c>
      <c r="AS64" s="2">
        <v>450</v>
      </c>
      <c r="AT64" s="2">
        <v>530</v>
      </c>
      <c r="AU64" s="2">
        <v>530</v>
      </c>
      <c r="AV64" s="2">
        <v>340</v>
      </c>
      <c r="AW64">
        <v>470</v>
      </c>
      <c r="AX64">
        <v>470</v>
      </c>
      <c r="AY64">
        <v>470</v>
      </c>
    </row>
    <row r="65" spans="5:51" x14ac:dyDescent="0.2">
      <c r="F65" t="s">
        <v>56</v>
      </c>
      <c r="H65">
        <v>390</v>
      </c>
      <c r="I65">
        <v>0.3</v>
      </c>
      <c r="L65">
        <v>1</v>
      </c>
      <c r="M65">
        <f t="shared" si="6"/>
        <v>7.0471135296000007</v>
      </c>
      <c r="N65">
        <f>(M65 * (1 -U$11) + (0.04 * M65)) * ( 1 - AD$11 )</f>
        <v>2.6046131605401603</v>
      </c>
      <c r="O65">
        <f t="shared" si="7"/>
        <v>1.2253933954845938E-4</v>
      </c>
      <c r="P65">
        <f>N65 * AB$11 * Y$11 * AA$11 * AC$11</f>
        <v>1.4671148324021022E-3</v>
      </c>
      <c r="Q65">
        <f t="shared" si="8"/>
        <v>0</v>
      </c>
      <c r="R65">
        <f t="shared" si="9"/>
        <v>0</v>
      </c>
      <c r="AO65" s="2" t="s">
        <v>56</v>
      </c>
      <c r="AP65" s="2">
        <v>100</v>
      </c>
      <c r="AQ65" s="2">
        <v>680</v>
      </c>
      <c r="AR65" s="2">
        <v>80</v>
      </c>
      <c r="AS65" s="2">
        <v>320</v>
      </c>
      <c r="AT65" s="2">
        <v>480</v>
      </c>
      <c r="AU65" s="2">
        <v>480</v>
      </c>
      <c r="AV65">
        <v>100</v>
      </c>
      <c r="AW65">
        <v>340</v>
      </c>
      <c r="AX65">
        <v>340</v>
      </c>
      <c r="AY65">
        <v>340</v>
      </c>
    </row>
    <row r="66" spans="5:51" x14ac:dyDescent="0.2">
      <c r="F66" t="s">
        <v>57</v>
      </c>
      <c r="H66">
        <v>410</v>
      </c>
      <c r="I66">
        <v>0.2</v>
      </c>
      <c r="L66">
        <v>1</v>
      </c>
      <c r="M66">
        <f t="shared" si="6"/>
        <v>7.1414010756000028</v>
      </c>
      <c r="N66">
        <f>(M66 * (1 -V$11) + (0.04 * M66)) * ( 1 - AD$11 )</f>
        <v>3.2393395278921613</v>
      </c>
      <c r="O66">
        <f t="shared" si="7"/>
        <v>1.5240133634232363E-4</v>
      </c>
      <c r="P66">
        <f>N66 * AB$11 * Y$11 * AA$11 * AC$11</f>
        <v>1.8246406570300113E-3</v>
      </c>
      <c r="Q66">
        <f t="shared" si="8"/>
        <v>0</v>
      </c>
      <c r="R66">
        <f t="shared" si="9"/>
        <v>0</v>
      </c>
      <c r="AO66" s="2" t="s">
        <v>57</v>
      </c>
      <c r="AP66" s="2">
        <v>190</v>
      </c>
      <c r="AQ66" s="2">
        <v>700</v>
      </c>
      <c r="AR66" s="2">
        <v>150</v>
      </c>
      <c r="AS66" s="2">
        <v>330</v>
      </c>
      <c r="AT66" s="2">
        <v>490</v>
      </c>
      <c r="AU66" s="2">
        <v>490</v>
      </c>
      <c r="AV66">
        <v>170</v>
      </c>
      <c r="AW66">
        <v>360</v>
      </c>
      <c r="AX66">
        <v>360</v>
      </c>
      <c r="AY66">
        <v>360</v>
      </c>
    </row>
    <row r="67" spans="5:51" x14ac:dyDescent="0.2">
      <c r="E67" t="s">
        <v>46</v>
      </c>
      <c r="F67" t="s">
        <v>54</v>
      </c>
      <c r="G67">
        <v>100</v>
      </c>
      <c r="H67" cm="1">
        <f t="array" ref="H67:H70">_xlfn.XLOOKUP(E67, $AP$46:$AY$46, $AP$47:$AY$50)</f>
        <v>440</v>
      </c>
      <c r="I67" cm="1">
        <f t="array" ref="I67:I70">_xlfn.XLOOKUP(E67, $AP$106:$AY$106, $AP$107:$AY$110)</f>
        <v>0.3</v>
      </c>
      <c r="J67">
        <v>1</v>
      </c>
      <c r="K67">
        <v>1.3</v>
      </c>
      <c r="L67">
        <f>(J67*K67)+(1 - J67)</f>
        <v>1.3</v>
      </c>
      <c r="M67">
        <f>(1.185 + 0.00454 * H67 - 0.0000026 * H67^2 + 0.315 * I67)^2 * L67</f>
        <v>10.001723663880002</v>
      </c>
      <c r="N67">
        <f>(M67 * (1 -S$11) + (0.04 * M67)) * ( 1 - AD$11 )</f>
        <v>4.1167094600530074</v>
      </c>
      <c r="O67">
        <f t="shared" si="7"/>
        <v>1.9367899463549227E-4</v>
      </c>
      <c r="P67">
        <f>N67 * AB$11 * Y$11 * AA$11 * AC$11</f>
        <v>2.3188416618002772E-3</v>
      </c>
      <c r="Q67">
        <f t="shared" si="8"/>
        <v>1.7673208260488671</v>
      </c>
      <c r="R67">
        <f t="shared" si="9"/>
        <v>21.159430163927528</v>
      </c>
      <c r="AM67" t="s">
        <v>65</v>
      </c>
      <c r="AN67" t="s">
        <v>63</v>
      </c>
      <c r="AO67" s="2" t="s">
        <v>54</v>
      </c>
      <c r="AP67" s="2">
        <v>80</v>
      </c>
      <c r="AQ67" s="2">
        <v>450</v>
      </c>
      <c r="AR67" s="2">
        <v>70</v>
      </c>
      <c r="AS67" s="2">
        <v>260</v>
      </c>
      <c r="AT67" s="2">
        <v>340</v>
      </c>
      <c r="AU67" s="2">
        <v>340</v>
      </c>
      <c r="AV67" s="2">
        <v>80</v>
      </c>
      <c r="AW67">
        <v>370</v>
      </c>
      <c r="AX67">
        <v>370</v>
      </c>
      <c r="AY67">
        <v>370</v>
      </c>
    </row>
    <row r="68" spans="5:51" x14ac:dyDescent="0.2">
      <c r="F68" t="s">
        <v>55</v>
      </c>
      <c r="G68">
        <v>110</v>
      </c>
      <c r="H68">
        <v>470</v>
      </c>
      <c r="I68">
        <v>0.3</v>
      </c>
      <c r="J68">
        <v>0</v>
      </c>
      <c r="K68">
        <v>1.1000000000000001</v>
      </c>
      <c r="L68">
        <f t="shared" ref="L68:L74" si="10">(J68*K68)+(1 - J68)</f>
        <v>1</v>
      </c>
      <c r="M68">
        <f t="shared" ref="M68:M90" si="11">(1.185 + 0.00454 * H68 - 0.0000026 * H68^2 + 0.315 * I68)^2 * L68</f>
        <v>8.0596938816000012</v>
      </c>
      <c r="N68">
        <f>(M68 * (1 -T$11) + (0.04 * M68)) * ( 1 - AD$11 )</f>
        <v>2.6403557156121602</v>
      </c>
      <c r="O68">
        <f t="shared" si="7"/>
        <v>1.2422092096663393E-4</v>
      </c>
      <c r="P68">
        <f>N68 * AB$11 * Y$11 * AA$11 * AC$11</f>
        <v>1.4872477386964117E-3</v>
      </c>
      <c r="Q68">
        <f t="shared" si="8"/>
        <v>1.2468674942025881</v>
      </c>
      <c r="R68">
        <f t="shared" si="9"/>
        <v>14.928249177165233</v>
      </c>
      <c r="AO68" s="2" t="s">
        <v>55</v>
      </c>
      <c r="AP68" s="2">
        <v>150</v>
      </c>
      <c r="AQ68" s="2">
        <v>500</v>
      </c>
      <c r="AR68" s="2">
        <v>140</v>
      </c>
      <c r="AS68" s="2">
        <v>310</v>
      </c>
      <c r="AT68" s="2">
        <v>360</v>
      </c>
      <c r="AU68" s="2">
        <v>360</v>
      </c>
      <c r="AV68" s="2">
        <v>150</v>
      </c>
      <c r="AW68">
        <v>400</v>
      </c>
      <c r="AX68">
        <v>400</v>
      </c>
      <c r="AY68">
        <v>400</v>
      </c>
    </row>
    <row r="69" spans="5:51" x14ac:dyDescent="0.2">
      <c r="F69" t="s">
        <v>56</v>
      </c>
      <c r="G69">
        <v>120</v>
      </c>
      <c r="H69">
        <v>490</v>
      </c>
      <c r="I69">
        <v>0.2</v>
      </c>
      <c r="J69">
        <v>0</v>
      </c>
      <c r="K69">
        <v>1</v>
      </c>
      <c r="L69">
        <f t="shared" si="10"/>
        <v>1</v>
      </c>
      <c r="M69">
        <f t="shared" si="11"/>
        <v>8.1130407556000002</v>
      </c>
      <c r="N69">
        <f>(M69 * (1 -U$11) + (0.04 * M69)) * ( 1 - AD$11 )</f>
        <v>2.99857986326976</v>
      </c>
      <c r="O69">
        <f t="shared" si="7"/>
        <v>1.4107430677044692E-4</v>
      </c>
      <c r="P69">
        <f>N69 * AB$11 * Y$11 * AA$11 * AC$11</f>
        <v>1.6890266317448027E-3</v>
      </c>
      <c r="Q69">
        <f t="shared" si="8"/>
        <v>1.5447636591363938</v>
      </c>
      <c r="R69">
        <f t="shared" si="9"/>
        <v>18.494841617605591</v>
      </c>
      <c r="AO69" s="2" t="s">
        <v>56</v>
      </c>
      <c r="AP69" s="2">
        <v>230</v>
      </c>
      <c r="AQ69" s="2">
        <v>550</v>
      </c>
      <c r="AR69" s="2">
        <v>220</v>
      </c>
      <c r="AS69" s="2">
        <v>330</v>
      </c>
      <c r="AT69" s="2">
        <v>380</v>
      </c>
      <c r="AU69" s="2">
        <v>380</v>
      </c>
      <c r="AV69" s="2">
        <v>230</v>
      </c>
      <c r="AW69">
        <v>420</v>
      </c>
      <c r="AX69">
        <v>420</v>
      </c>
      <c r="AY69">
        <v>420</v>
      </c>
    </row>
    <row r="70" spans="5:51" x14ac:dyDescent="0.2">
      <c r="F70" t="s">
        <v>57</v>
      </c>
      <c r="G70">
        <v>130</v>
      </c>
      <c r="H70">
        <v>500</v>
      </c>
      <c r="I70">
        <v>0.1</v>
      </c>
      <c r="J70">
        <v>0</v>
      </c>
      <c r="K70">
        <v>1</v>
      </c>
      <c r="L70">
        <f t="shared" si="10"/>
        <v>1</v>
      </c>
      <c r="M70">
        <f t="shared" si="11"/>
        <v>8.0457322500000004</v>
      </c>
      <c r="N70">
        <f>(M70 * (1 -V$11) + (0.04 * M70)) * ( 1 - AD$11 )</f>
        <v>3.6495441486</v>
      </c>
      <c r="O70">
        <f t="shared" si="7"/>
        <v>1.7170024954095013E-4</v>
      </c>
      <c r="P70">
        <f>N70 * AB$11 * Y$11 * AA$11 * AC$11</f>
        <v>2.0556988780656223E-3</v>
      </c>
      <c r="Q70">
        <f t="shared" si="8"/>
        <v>2.0367942101795209</v>
      </c>
      <c r="R70">
        <f t="shared" si="9"/>
        <v>24.385727941053442</v>
      </c>
      <c r="AO70" s="2" t="s">
        <v>57</v>
      </c>
      <c r="AP70" s="2">
        <v>250</v>
      </c>
      <c r="AQ70" s="2">
        <v>500</v>
      </c>
      <c r="AR70" s="2">
        <v>240</v>
      </c>
      <c r="AS70" s="2">
        <v>340</v>
      </c>
      <c r="AT70" s="2">
        <v>360</v>
      </c>
      <c r="AU70" s="2">
        <v>360</v>
      </c>
      <c r="AV70" s="2">
        <v>250</v>
      </c>
      <c r="AW70">
        <v>390</v>
      </c>
      <c r="AX70">
        <v>390</v>
      </c>
      <c r="AY70">
        <v>390</v>
      </c>
    </row>
    <row r="71" spans="5:51" x14ac:dyDescent="0.2">
      <c r="E71" t="s">
        <v>47</v>
      </c>
      <c r="F71" t="s">
        <v>54</v>
      </c>
      <c r="H71" cm="1">
        <f t="array" ref="H71:H74">_xlfn.XLOOKUP(E71, $AP$46:$AY$46, $AP$47:$AY$50)</f>
        <v>440</v>
      </c>
      <c r="I71" cm="1">
        <f t="array" ref="I71:I74">_xlfn.XLOOKUP(E71, $AP$106:$AY$106, $AP$107:$AY$110)</f>
        <v>0.3</v>
      </c>
      <c r="J71">
        <v>1</v>
      </c>
      <c r="K71">
        <v>1.3</v>
      </c>
      <c r="L71">
        <f t="shared" si="10"/>
        <v>1.3</v>
      </c>
      <c r="M71">
        <f t="shared" si="11"/>
        <v>10.001723663880002</v>
      </c>
      <c r="N71">
        <f>(M71 * (1 -S$11) + (0.04 * M71)) * ( 1 - AD$11 )</f>
        <v>4.1167094600530074</v>
      </c>
      <c r="O71">
        <f t="shared" si="7"/>
        <v>1.9367899463549227E-4</v>
      </c>
      <c r="P71">
        <f>N71 * AB$11 * Y$11 * AA$11 * AC$11</f>
        <v>2.3188416618002772E-3</v>
      </c>
      <c r="Q71">
        <f t="shared" si="8"/>
        <v>0</v>
      </c>
      <c r="R71">
        <f t="shared" si="9"/>
        <v>0</v>
      </c>
      <c r="AM71" t="s">
        <v>65</v>
      </c>
      <c r="AN71" t="s">
        <v>71</v>
      </c>
      <c r="AO71" s="2" t="s">
        <v>54</v>
      </c>
      <c r="AP71" s="2">
        <v>220</v>
      </c>
      <c r="AQ71" s="2">
        <v>500</v>
      </c>
      <c r="AR71" s="2">
        <v>180</v>
      </c>
      <c r="AS71" s="2">
        <v>300</v>
      </c>
      <c r="AT71" s="2">
        <v>320</v>
      </c>
      <c r="AU71" s="2">
        <v>320</v>
      </c>
      <c r="AV71" s="2">
        <v>210</v>
      </c>
      <c r="AW71" s="2">
        <v>340</v>
      </c>
      <c r="AX71" s="2">
        <v>340</v>
      </c>
      <c r="AY71" s="2">
        <v>340</v>
      </c>
    </row>
    <row r="72" spans="5:51" x14ac:dyDescent="0.2">
      <c r="F72" t="s">
        <v>55</v>
      </c>
      <c r="H72">
        <v>470</v>
      </c>
      <c r="I72">
        <v>0.3</v>
      </c>
      <c r="J72">
        <v>0</v>
      </c>
      <c r="K72">
        <v>1.1000000000000001</v>
      </c>
      <c r="L72">
        <f t="shared" si="10"/>
        <v>1</v>
      </c>
      <c r="M72">
        <f t="shared" si="11"/>
        <v>8.0596938816000012</v>
      </c>
      <c r="N72">
        <f>(M72 * (1 -T$11) + (0.04 * M72)) * ( 1 - AD$11 )</f>
        <v>2.6403557156121602</v>
      </c>
      <c r="O72">
        <f t="shared" si="7"/>
        <v>1.2422092096663393E-4</v>
      </c>
      <c r="P72">
        <f>N72 * AB$11 * Y$11 * AA$11 * AC$11</f>
        <v>1.4872477386964117E-3</v>
      </c>
      <c r="Q72">
        <f t="shared" si="8"/>
        <v>0</v>
      </c>
      <c r="R72">
        <f t="shared" si="9"/>
        <v>0</v>
      </c>
      <c r="AO72" s="2" t="s">
        <v>55</v>
      </c>
      <c r="AP72" s="2">
        <v>110</v>
      </c>
      <c r="AQ72" s="2">
        <v>550</v>
      </c>
      <c r="AR72" s="2">
        <v>90</v>
      </c>
      <c r="AS72" s="2">
        <v>220</v>
      </c>
      <c r="AT72" s="2">
        <v>380</v>
      </c>
      <c r="AU72" s="2">
        <v>380</v>
      </c>
      <c r="AV72" s="2">
        <v>100</v>
      </c>
      <c r="AW72" s="2">
        <v>390</v>
      </c>
      <c r="AX72" s="2">
        <v>390</v>
      </c>
      <c r="AY72" s="2">
        <v>390</v>
      </c>
    </row>
    <row r="73" spans="5:51" x14ac:dyDescent="0.2">
      <c r="F73" t="s">
        <v>56</v>
      </c>
      <c r="H73">
        <v>490</v>
      </c>
      <c r="I73">
        <v>0.2</v>
      </c>
      <c r="J73">
        <v>0</v>
      </c>
      <c r="K73">
        <v>1</v>
      </c>
      <c r="L73">
        <f t="shared" si="10"/>
        <v>1</v>
      </c>
      <c r="M73">
        <f t="shared" si="11"/>
        <v>8.1130407556000002</v>
      </c>
      <c r="N73">
        <f>(M73 * (1 -U$11) + (0.04 * M73)) * ( 1 - AD$11 )</f>
        <v>2.99857986326976</v>
      </c>
      <c r="O73">
        <f t="shared" si="7"/>
        <v>1.4107430677044692E-4</v>
      </c>
      <c r="P73">
        <f>N73 * AB$11 * Y$11 * AA$11 * AC$11</f>
        <v>1.6890266317448027E-3</v>
      </c>
      <c r="Q73">
        <f t="shared" si="8"/>
        <v>0</v>
      </c>
      <c r="R73">
        <f t="shared" si="9"/>
        <v>0</v>
      </c>
      <c r="AO73" s="2" t="s">
        <v>56</v>
      </c>
      <c r="AP73" s="2">
        <v>170</v>
      </c>
      <c r="AQ73" s="2">
        <v>600</v>
      </c>
      <c r="AR73" s="2">
        <v>140</v>
      </c>
      <c r="AS73" s="2">
        <v>270</v>
      </c>
      <c r="AT73" s="2">
        <v>390</v>
      </c>
      <c r="AU73" s="2">
        <v>390</v>
      </c>
      <c r="AV73" s="2">
        <v>160</v>
      </c>
      <c r="AW73" s="2">
        <v>430</v>
      </c>
      <c r="AX73" s="2">
        <v>430</v>
      </c>
      <c r="AY73" s="2">
        <v>430</v>
      </c>
    </row>
    <row r="74" spans="5:51" x14ac:dyDescent="0.2">
      <c r="F74" t="s">
        <v>57</v>
      </c>
      <c r="H74">
        <v>500</v>
      </c>
      <c r="I74">
        <v>0.1</v>
      </c>
      <c r="J74">
        <v>0</v>
      </c>
      <c r="K74">
        <v>1</v>
      </c>
      <c r="L74">
        <f t="shared" si="10"/>
        <v>1</v>
      </c>
      <c r="M74">
        <f t="shared" si="11"/>
        <v>8.0457322500000004</v>
      </c>
      <c r="N74">
        <f>(M74 * (1 -V$11) + (0.04 * M74)) * ( 1 - AD$11 )</f>
        <v>3.6495441486</v>
      </c>
      <c r="O74">
        <f t="shared" si="7"/>
        <v>1.7170024954095013E-4</v>
      </c>
      <c r="P74">
        <f>N74 * AB$11 * Y$11 * AA$11 * AC$11</f>
        <v>2.0556988780656223E-3</v>
      </c>
      <c r="Q74">
        <f t="shared" si="8"/>
        <v>0</v>
      </c>
      <c r="R74">
        <f t="shared" si="9"/>
        <v>0</v>
      </c>
      <c r="AO74" s="2" t="s">
        <v>57</v>
      </c>
      <c r="AP74" s="2">
        <v>200</v>
      </c>
      <c r="AQ74" s="2">
        <v>550</v>
      </c>
      <c r="AR74" s="2">
        <v>150</v>
      </c>
      <c r="AS74" s="2">
        <v>280</v>
      </c>
      <c r="AT74" s="2">
        <v>350</v>
      </c>
      <c r="AU74" s="2">
        <v>350</v>
      </c>
      <c r="AV74" s="2">
        <v>190</v>
      </c>
      <c r="AW74" s="2">
        <v>400</v>
      </c>
      <c r="AX74" s="2">
        <v>400</v>
      </c>
      <c r="AY74" s="2">
        <v>400</v>
      </c>
    </row>
    <row r="75" spans="5:51" x14ac:dyDescent="0.2">
      <c r="E75" t="s">
        <v>48</v>
      </c>
      <c r="F75" t="s">
        <v>54</v>
      </c>
      <c r="G75">
        <v>200</v>
      </c>
      <c r="H75" cm="1">
        <f t="array" ref="H75:H78">_xlfn.XLOOKUP(E75, $AP$46:$AY$46, $AP$47:$AY$50)</f>
        <v>75</v>
      </c>
      <c r="I75" cm="1">
        <f t="array" ref="I75:I78">_xlfn.XLOOKUP(E75, $AP$106:$AY$106, $AP$107:$AY$110)</f>
        <v>0.5</v>
      </c>
      <c r="L75">
        <v>1</v>
      </c>
      <c r="M75">
        <f t="shared" si="11"/>
        <v>2.7834751406249998</v>
      </c>
      <c r="N75">
        <f>(M75 * (1 -S$11) + (0.04 * M75)) * ( 1 - AD$11 )</f>
        <v>1.1456783678812499</v>
      </c>
      <c r="O75">
        <f t="shared" si="7"/>
        <v>5.390077600084388E-5</v>
      </c>
      <c r="P75">
        <f>N75 * AB$11 * Y$11 * AA$11 * AC$11</f>
        <v>6.4533257842106233E-4</v>
      </c>
      <c r="Q75">
        <f t="shared" si="8"/>
        <v>0.98368916201540069</v>
      </c>
      <c r="R75">
        <f t="shared" si="9"/>
        <v>11.777319556184386</v>
      </c>
      <c r="AM75" t="s">
        <v>73</v>
      </c>
      <c r="AN75" t="s">
        <v>74</v>
      </c>
      <c r="AO75" s="2" t="s">
        <v>54</v>
      </c>
      <c r="AP75">
        <v>220</v>
      </c>
      <c r="AQ75">
        <v>706</v>
      </c>
      <c r="AR75">
        <v>208</v>
      </c>
      <c r="AS75">
        <v>323</v>
      </c>
      <c r="AT75">
        <v>415</v>
      </c>
      <c r="AU75">
        <v>467</v>
      </c>
      <c r="AV75">
        <v>223</v>
      </c>
      <c r="AW75">
        <v>371</v>
      </c>
      <c r="AX75">
        <v>493</v>
      </c>
      <c r="AY75">
        <v>585</v>
      </c>
    </row>
    <row r="76" spans="5:51" x14ac:dyDescent="0.2">
      <c r="F76" t="s">
        <v>55</v>
      </c>
      <c r="G76">
        <v>130</v>
      </c>
      <c r="H76">
        <v>160</v>
      </c>
      <c r="I76">
        <v>0.9</v>
      </c>
      <c r="L76">
        <v>1</v>
      </c>
      <c r="M76">
        <f t="shared" si="11"/>
        <v>4.5298311556000002</v>
      </c>
      <c r="N76">
        <f>(M76 * (1 -T$11) + (0.04 * M76)) * ( 1 - AD$11 )</f>
        <v>1.4839726865745599</v>
      </c>
      <c r="O76">
        <f t="shared" si="7"/>
        <v>6.9816522344180778E-5</v>
      </c>
      <c r="P76">
        <f>N76 * AB$11 * Y$11 * AA$11 * AC$11</f>
        <v>8.3588548669608228E-4</v>
      </c>
      <c r="Q76">
        <f t="shared" si="8"/>
        <v>0.82819849630784437</v>
      </c>
      <c r="R76">
        <f t="shared" si="9"/>
        <v>9.9156915859322758</v>
      </c>
      <c r="AO76" s="2" t="s">
        <v>55</v>
      </c>
      <c r="AP76">
        <v>110</v>
      </c>
      <c r="AQ76">
        <v>703</v>
      </c>
      <c r="AR76">
        <v>112</v>
      </c>
      <c r="AS76">
        <v>256</v>
      </c>
      <c r="AT76">
        <v>368</v>
      </c>
      <c r="AU76">
        <v>465</v>
      </c>
      <c r="AV76">
        <v>108</v>
      </c>
      <c r="AW76">
        <v>280</v>
      </c>
      <c r="AX76">
        <v>421</v>
      </c>
      <c r="AY76">
        <v>543</v>
      </c>
    </row>
    <row r="77" spans="5:51" x14ac:dyDescent="0.2">
      <c r="F77" t="s">
        <v>56</v>
      </c>
      <c r="G77">
        <v>250</v>
      </c>
      <c r="H77">
        <v>220</v>
      </c>
      <c r="I77">
        <v>0.7</v>
      </c>
      <c r="L77">
        <v>1</v>
      </c>
      <c r="M77">
        <f t="shared" si="11"/>
        <v>5.1913799715999973</v>
      </c>
      <c r="N77">
        <f>(M77 * (1 -U$11) + (0.04 * M77)) * ( 1 - AD$11 )</f>
        <v>1.918734037503359</v>
      </c>
      <c r="O77">
        <f t="shared" si="7"/>
        <v>9.0270757011782037E-5</v>
      </c>
      <c r="P77">
        <f>N77 * AB$11 * Y$11 * AA$11 * AC$11</f>
        <v>1.0807759127164039E-3</v>
      </c>
      <c r="Q77">
        <f t="shared" si="8"/>
        <v>2.0593016443312777</v>
      </c>
      <c r="R77">
        <f t="shared" si="9"/>
        <v>24.655200508842963</v>
      </c>
      <c r="AO77" s="2" t="s">
        <v>56</v>
      </c>
      <c r="AP77">
        <v>170</v>
      </c>
      <c r="AQ77">
        <v>721</v>
      </c>
      <c r="AR77">
        <v>169</v>
      </c>
      <c r="AS77">
        <v>306</v>
      </c>
      <c r="AT77">
        <v>392</v>
      </c>
      <c r="AU77">
        <v>464</v>
      </c>
      <c r="AV77">
        <v>176</v>
      </c>
      <c r="AW77">
        <v>339</v>
      </c>
      <c r="AX77">
        <v>470</v>
      </c>
      <c r="AY77">
        <v>580</v>
      </c>
    </row>
    <row r="78" spans="5:51" x14ac:dyDescent="0.2">
      <c r="F78" t="s">
        <v>57</v>
      </c>
      <c r="G78">
        <v>150</v>
      </c>
      <c r="H78">
        <v>260</v>
      </c>
      <c r="I78">
        <v>0.4</v>
      </c>
      <c r="L78">
        <v>1</v>
      </c>
      <c r="M78">
        <f t="shared" si="11"/>
        <v>5.3621886096000004</v>
      </c>
      <c r="N78">
        <f>(M78 * (1 -V$11) + (0.04 * M78)) * ( 1 - AD$11 )</f>
        <v>2.4322887533145603</v>
      </c>
      <c r="O78">
        <f t="shared" si="7"/>
        <v>1.1443198626874025E-4</v>
      </c>
      <c r="P78">
        <f>N78 * AB$11 * Y$11 * AA$11 * AC$11</f>
        <v>1.3700487123134107E-3</v>
      </c>
      <c r="Q78">
        <f t="shared" si="8"/>
        <v>1.5662878120533821</v>
      </c>
      <c r="R78">
        <f t="shared" si="9"/>
        <v>18.75254174978981</v>
      </c>
      <c r="AO78" s="2" t="s">
        <v>57</v>
      </c>
      <c r="AP78">
        <v>200</v>
      </c>
      <c r="AQ78">
        <v>727</v>
      </c>
      <c r="AR78">
        <v>211</v>
      </c>
      <c r="AS78">
        <v>338</v>
      </c>
      <c r="AT78">
        <v>432</v>
      </c>
      <c r="AU78">
        <v>492</v>
      </c>
      <c r="AV78">
        <v>222</v>
      </c>
      <c r="AW78">
        <v>377</v>
      </c>
      <c r="AX78">
        <v>498</v>
      </c>
      <c r="AY78">
        <v>590</v>
      </c>
    </row>
    <row r="79" spans="5:51" x14ac:dyDescent="0.2">
      <c r="E79" t="s">
        <v>49</v>
      </c>
      <c r="F79" t="s">
        <v>54</v>
      </c>
      <c r="H79" cm="1">
        <f t="array" ref="H79:H82">_xlfn.XLOOKUP(E79, $AP$46:$AY$46, $AP$47:$AY$50)</f>
        <v>380</v>
      </c>
      <c r="I79" cm="1">
        <f t="array" ref="I79:I82">_xlfn.XLOOKUP(E79, $AP$106:$AY$106, $AP$107:$AY$110)</f>
        <v>0.4</v>
      </c>
      <c r="L79">
        <v>1</v>
      </c>
      <c r="M79">
        <f t="shared" si="11"/>
        <v>7.0796437775999967</v>
      </c>
      <c r="N79">
        <f>(M79 * (1 -S$11) + (0.04 * M79)) * ( 1 - AD$11 )</f>
        <v>2.9139813788601581</v>
      </c>
      <c r="O79">
        <f t="shared" si="7"/>
        <v>1.37094198490489E-4</v>
      </c>
      <c r="P79">
        <f>N79 * AB$11 * Y$11 * AA$11 * AC$11</f>
        <v>1.6413743764477724E-3</v>
      </c>
      <c r="Q79">
        <f t="shared" si="8"/>
        <v>0</v>
      </c>
      <c r="R79">
        <f t="shared" si="9"/>
        <v>0</v>
      </c>
      <c r="AM79" t="s">
        <v>73</v>
      </c>
      <c r="AN79" t="s">
        <v>75</v>
      </c>
      <c r="AO79" s="2" t="s">
        <v>54</v>
      </c>
      <c r="AP79">
        <v>220</v>
      </c>
      <c r="AQ79">
        <v>620</v>
      </c>
      <c r="AR79">
        <v>227</v>
      </c>
      <c r="AS79">
        <v>319</v>
      </c>
      <c r="AT79">
        <v>398</v>
      </c>
      <c r="AU79">
        <v>452</v>
      </c>
      <c r="AV79">
        <v>216</v>
      </c>
      <c r="AW79">
        <v>334</v>
      </c>
      <c r="AX79" t="s">
        <v>72</v>
      </c>
      <c r="AY79" t="s">
        <v>72</v>
      </c>
    </row>
    <row r="80" spans="5:51" x14ac:dyDescent="0.2">
      <c r="F80" t="s">
        <v>55</v>
      </c>
      <c r="H80">
        <v>420</v>
      </c>
      <c r="I80">
        <v>0.4</v>
      </c>
      <c r="L80">
        <v>1</v>
      </c>
      <c r="M80">
        <f t="shared" si="11"/>
        <v>7.6129639056</v>
      </c>
      <c r="N80">
        <f>(M80 * (1 -T$11) + (0.04 * M80)) * ( 1 - AD$11 )</f>
        <v>2.49400697547456</v>
      </c>
      <c r="O80">
        <f t="shared" si="7"/>
        <v>1.1733564593543065E-4</v>
      </c>
      <c r="P80">
        <f>N80 * AB$11 * Y$11 * AA$11 * AC$11</f>
        <v>1.4048130759940598E-3</v>
      </c>
      <c r="Q80">
        <f t="shared" si="8"/>
        <v>0</v>
      </c>
      <c r="R80">
        <f t="shared" si="9"/>
        <v>0</v>
      </c>
      <c r="AO80" s="2" t="s">
        <v>55</v>
      </c>
      <c r="AP80">
        <v>110</v>
      </c>
      <c r="AQ80">
        <v>650</v>
      </c>
      <c r="AR80">
        <v>108</v>
      </c>
      <c r="AS80">
        <v>262</v>
      </c>
      <c r="AT80">
        <v>346</v>
      </c>
      <c r="AU80">
        <v>430</v>
      </c>
      <c r="AV80">
        <v>111</v>
      </c>
      <c r="AW80">
        <v>236</v>
      </c>
      <c r="AX80" t="s">
        <v>72</v>
      </c>
      <c r="AY80" t="s">
        <v>72</v>
      </c>
    </row>
    <row r="81" spans="1:51" x14ac:dyDescent="0.2">
      <c r="F81" t="s">
        <v>56</v>
      </c>
      <c r="H81">
        <v>450</v>
      </c>
      <c r="I81">
        <v>0.3</v>
      </c>
      <c r="L81">
        <v>1</v>
      </c>
      <c r="M81">
        <f t="shared" si="11"/>
        <v>7.8176159999999992</v>
      </c>
      <c r="N81">
        <f>(M81 * (1 -U$11) + (0.04 * M81)) * ( 1 - AD$11 )</f>
        <v>2.8893908736</v>
      </c>
      <c r="O81">
        <f t="shared" si="7"/>
        <v>1.3593728800589413E-4</v>
      </c>
      <c r="P81">
        <f>N81 * AB$11 * Y$11 * AA$11 * AC$11</f>
        <v>1.627523146810294E-3</v>
      </c>
      <c r="Q81">
        <f t="shared" si="8"/>
        <v>0</v>
      </c>
      <c r="R81">
        <f t="shared" si="9"/>
        <v>0</v>
      </c>
      <c r="AO81" s="2" t="s">
        <v>56</v>
      </c>
      <c r="AP81">
        <v>170</v>
      </c>
      <c r="AQ81">
        <v>670</v>
      </c>
      <c r="AR81">
        <v>170</v>
      </c>
      <c r="AS81">
        <v>266</v>
      </c>
      <c r="AT81">
        <v>363</v>
      </c>
      <c r="AU81">
        <v>444</v>
      </c>
      <c r="AV81">
        <v>169</v>
      </c>
      <c r="AW81">
        <v>282</v>
      </c>
      <c r="AX81" t="s">
        <v>72</v>
      </c>
      <c r="AY81" t="s">
        <v>72</v>
      </c>
    </row>
    <row r="82" spans="1:51" x14ac:dyDescent="0.2">
      <c r="F82" t="s">
        <v>57</v>
      </c>
      <c r="H82">
        <v>460</v>
      </c>
      <c r="I82">
        <v>0.1</v>
      </c>
      <c r="L82">
        <v>1</v>
      </c>
      <c r="M82">
        <f t="shared" si="11"/>
        <v>7.5885924675999998</v>
      </c>
      <c r="N82">
        <f>(M82 * (1 -V$11) + (0.04 * M82)) * ( 1 - AD$11 )</f>
        <v>3.4421855433033599</v>
      </c>
      <c r="O82">
        <f t="shared" si="7"/>
        <v>1.6194464094321492E-4</v>
      </c>
      <c r="P82">
        <f>N82 * AB$11 * Y$11 * AA$11 * AC$11</f>
        <v>1.9388988518406825E-3</v>
      </c>
      <c r="Q82">
        <f t="shared" si="8"/>
        <v>0</v>
      </c>
      <c r="R82">
        <f t="shared" si="9"/>
        <v>0</v>
      </c>
      <c r="AO82" s="2" t="s">
        <v>57</v>
      </c>
      <c r="AP82">
        <v>200</v>
      </c>
      <c r="AQ82">
        <v>660</v>
      </c>
      <c r="AR82">
        <v>225</v>
      </c>
      <c r="AS82">
        <v>307</v>
      </c>
      <c r="AT82">
        <v>398</v>
      </c>
      <c r="AU82">
        <v>452</v>
      </c>
      <c r="AV82">
        <v>214</v>
      </c>
      <c r="AW82">
        <v>326</v>
      </c>
      <c r="AX82" t="s">
        <v>72</v>
      </c>
      <c r="AY82" t="s">
        <v>72</v>
      </c>
    </row>
    <row r="83" spans="1:51" x14ac:dyDescent="0.2">
      <c r="E83" t="s">
        <v>50</v>
      </c>
      <c r="F83" t="s">
        <v>54</v>
      </c>
      <c r="H83" cm="1">
        <f t="array" ref="H83:H86">_xlfn.XLOOKUP(E83, $AP$46:$AY$46, $AP$47:$AY$50)</f>
        <v>380</v>
      </c>
      <c r="I83" cm="1">
        <f t="array" ref="I83:I86">_xlfn.XLOOKUP(E83, $AP$106:$AY$106, $AP$107:$AY$110)</f>
        <v>0.4</v>
      </c>
      <c r="L83">
        <v>1</v>
      </c>
      <c r="M83">
        <f t="shared" si="11"/>
        <v>7.0796437775999967</v>
      </c>
      <c r="N83">
        <f>(M83 * (1 -S$11) + (0.04 * M83)) * ( 1 - AD$11 )</f>
        <v>2.9139813788601581</v>
      </c>
      <c r="O83">
        <f t="shared" si="7"/>
        <v>1.37094198490489E-4</v>
      </c>
      <c r="P83">
        <f>N83 * AB$11 * Y$11 * AA$11 * AC$11</f>
        <v>1.6413743764477724E-3</v>
      </c>
      <c r="Q83">
        <f t="shared" si="8"/>
        <v>0</v>
      </c>
      <c r="R83">
        <f t="shared" si="9"/>
        <v>0</v>
      </c>
      <c r="AM83" t="s">
        <v>73</v>
      </c>
      <c r="AN83" t="s">
        <v>76</v>
      </c>
      <c r="AO83" s="2" t="s">
        <v>54</v>
      </c>
      <c r="AP83">
        <v>220</v>
      </c>
      <c r="AQ83">
        <v>620</v>
      </c>
      <c r="AR83">
        <v>177</v>
      </c>
      <c r="AS83">
        <v>267</v>
      </c>
      <c r="AT83">
        <v>365</v>
      </c>
      <c r="AU83">
        <v>406</v>
      </c>
      <c r="AV83">
        <v>231</v>
      </c>
      <c r="AW83">
        <v>249</v>
      </c>
      <c r="AX83">
        <v>324</v>
      </c>
      <c r="AY83" t="s">
        <v>72</v>
      </c>
    </row>
    <row r="84" spans="1:51" x14ac:dyDescent="0.2">
      <c r="F84" t="s">
        <v>55</v>
      </c>
      <c r="H84">
        <v>420</v>
      </c>
      <c r="I84">
        <v>0.4</v>
      </c>
      <c r="L84">
        <v>1</v>
      </c>
      <c r="M84">
        <f t="shared" si="11"/>
        <v>7.6129639056</v>
      </c>
      <c r="N84">
        <f>(M84 * (1 -T$11) + (0.04 * M84)) * ( 1 - AD$11 )</f>
        <v>2.49400697547456</v>
      </c>
      <c r="O84">
        <f t="shared" si="7"/>
        <v>1.1733564593543065E-4</v>
      </c>
      <c r="P84">
        <f>N84 * AB$11 * Y$11 * AA$11 * AC$11</f>
        <v>1.4048130759940598E-3</v>
      </c>
      <c r="Q84">
        <f t="shared" si="8"/>
        <v>0</v>
      </c>
      <c r="R84">
        <f t="shared" si="9"/>
        <v>0</v>
      </c>
      <c r="AO84" s="2" t="s">
        <v>55</v>
      </c>
      <c r="AP84">
        <v>110</v>
      </c>
      <c r="AQ84">
        <v>650</v>
      </c>
      <c r="AR84">
        <v>102</v>
      </c>
      <c r="AS84">
        <v>203</v>
      </c>
      <c r="AT84">
        <v>299</v>
      </c>
      <c r="AU84">
        <v>380</v>
      </c>
      <c r="AV84">
        <v>102</v>
      </c>
      <c r="AW84">
        <v>218</v>
      </c>
      <c r="AX84">
        <v>263</v>
      </c>
      <c r="AY84" t="s">
        <v>72</v>
      </c>
    </row>
    <row r="85" spans="1:51" x14ac:dyDescent="0.2">
      <c r="F85" t="s">
        <v>56</v>
      </c>
      <c r="H85">
        <v>450</v>
      </c>
      <c r="I85">
        <v>0.3</v>
      </c>
      <c r="L85">
        <v>1</v>
      </c>
      <c r="M85">
        <f t="shared" si="11"/>
        <v>7.8176159999999992</v>
      </c>
      <c r="N85">
        <f>(M85 * (1 -U$11) + (0.04 * M85)) * ( 1 - AD$11 )</f>
        <v>2.8893908736</v>
      </c>
      <c r="O85">
        <f t="shared" si="7"/>
        <v>1.3593728800589413E-4</v>
      </c>
      <c r="P85">
        <f>N85 * AB$11 * Y$11 * AA$11 * AC$11</f>
        <v>1.627523146810294E-3</v>
      </c>
      <c r="Q85">
        <f t="shared" si="8"/>
        <v>0</v>
      </c>
      <c r="R85">
        <f t="shared" si="9"/>
        <v>0</v>
      </c>
      <c r="AO85" s="2" t="s">
        <v>56</v>
      </c>
      <c r="AP85">
        <v>170</v>
      </c>
      <c r="AQ85">
        <v>670</v>
      </c>
      <c r="AR85">
        <v>173</v>
      </c>
      <c r="AS85">
        <v>250</v>
      </c>
      <c r="AT85">
        <v>336</v>
      </c>
      <c r="AU85">
        <v>414</v>
      </c>
      <c r="AV85">
        <v>175</v>
      </c>
      <c r="AW85">
        <v>243</v>
      </c>
      <c r="AX85">
        <v>304</v>
      </c>
      <c r="AY85" t="s">
        <v>72</v>
      </c>
    </row>
    <row r="86" spans="1:51" x14ac:dyDescent="0.2">
      <c r="F86" t="s">
        <v>57</v>
      </c>
      <c r="H86">
        <v>460</v>
      </c>
      <c r="I86">
        <v>0.1</v>
      </c>
      <c r="L86">
        <v>1</v>
      </c>
      <c r="M86">
        <f t="shared" si="11"/>
        <v>7.5885924675999998</v>
      </c>
      <c r="N86">
        <f>(M86 * (1 -V$11) + (0.04 * M86)) * ( 1 - AD$11 )</f>
        <v>3.4421855433033599</v>
      </c>
      <c r="O86">
        <f t="shared" si="7"/>
        <v>1.6194464094321492E-4</v>
      </c>
      <c r="P86">
        <f>N86 * AB$11 * Y$11 * AA$11 * AC$11</f>
        <v>1.9388988518406825E-3</v>
      </c>
      <c r="Q86">
        <f t="shared" si="8"/>
        <v>0</v>
      </c>
      <c r="R86">
        <f t="shared" si="9"/>
        <v>0</v>
      </c>
      <c r="AO86" s="2" t="s">
        <v>57</v>
      </c>
      <c r="AP86">
        <v>200</v>
      </c>
      <c r="AQ86">
        <v>660</v>
      </c>
      <c r="AR86">
        <v>202</v>
      </c>
      <c r="AS86">
        <v>272</v>
      </c>
      <c r="AT86">
        <v>365</v>
      </c>
      <c r="AU86">
        <v>390</v>
      </c>
      <c r="AV86">
        <v>208</v>
      </c>
      <c r="AW86">
        <v>260</v>
      </c>
      <c r="AX86">
        <v>337</v>
      </c>
      <c r="AY86" t="s">
        <v>72</v>
      </c>
    </row>
    <row r="87" spans="1:51" x14ac:dyDescent="0.2">
      <c r="E87" t="s">
        <v>51</v>
      </c>
      <c r="F87" t="s">
        <v>54</v>
      </c>
      <c r="H87" cm="1">
        <f t="array" ref="H87:H90">_xlfn.XLOOKUP(E87, $AP$46:$AY$46, $AP$47:$AY$50)</f>
        <v>380</v>
      </c>
      <c r="I87" cm="1">
        <f t="array" ref="I87:I90">_xlfn.XLOOKUP(E87, $AP$106:$AY$106, $AP$107:$AY$110)</f>
        <v>0.4</v>
      </c>
      <c r="L87">
        <v>1</v>
      </c>
      <c r="M87">
        <f t="shared" si="11"/>
        <v>7.0796437775999967</v>
      </c>
      <c r="N87">
        <f>(M87 * (1 -S$11) + (0.04 * M87)) * ( 1 - AD$11 )</f>
        <v>2.9139813788601581</v>
      </c>
      <c r="O87">
        <f t="shared" si="7"/>
        <v>1.37094198490489E-4</v>
      </c>
      <c r="P87">
        <f>N87 * AB$11 * Y$11 * AA$11 * AC$11</f>
        <v>1.6413743764477724E-3</v>
      </c>
      <c r="Q87">
        <f t="shared" si="8"/>
        <v>0</v>
      </c>
      <c r="R87">
        <f t="shared" si="9"/>
        <v>0</v>
      </c>
      <c r="AM87" t="s">
        <v>81</v>
      </c>
      <c r="AN87" t="s">
        <v>77</v>
      </c>
      <c r="AO87" s="2" t="s">
        <v>54</v>
      </c>
      <c r="AP87">
        <v>260</v>
      </c>
      <c r="AQ87" s="2">
        <v>705</v>
      </c>
      <c r="AR87" s="2">
        <v>215</v>
      </c>
      <c r="AS87">
        <v>302</v>
      </c>
      <c r="AT87">
        <v>416</v>
      </c>
      <c r="AU87">
        <v>519</v>
      </c>
      <c r="AV87">
        <v>234</v>
      </c>
      <c r="AW87">
        <v>455</v>
      </c>
      <c r="AX87">
        <v>551</v>
      </c>
      <c r="AY87" s="2">
        <v>660</v>
      </c>
    </row>
    <row r="88" spans="1:51" x14ac:dyDescent="0.2">
      <c r="F88" t="s">
        <v>55</v>
      </c>
      <c r="H88">
        <v>420</v>
      </c>
      <c r="I88">
        <v>0.4</v>
      </c>
      <c r="L88">
        <v>1</v>
      </c>
      <c r="M88">
        <f t="shared" si="11"/>
        <v>7.6129639056</v>
      </c>
      <c r="N88">
        <f>(M88 * (1 -T$11) + (0.04 * M88)) * ( 1 - AD$11 )</f>
        <v>2.49400697547456</v>
      </c>
      <c r="O88">
        <f t="shared" si="7"/>
        <v>1.1733564593543065E-4</v>
      </c>
      <c r="P88">
        <f>N88 * AB$11 * Y$11 * AA$11 * AC$11</f>
        <v>1.4048130759940598E-3</v>
      </c>
      <c r="Q88">
        <f t="shared" si="8"/>
        <v>0</v>
      </c>
      <c r="R88">
        <f t="shared" si="9"/>
        <v>0</v>
      </c>
      <c r="AO88" s="2" t="s">
        <v>55</v>
      </c>
      <c r="AP88">
        <v>153</v>
      </c>
      <c r="AQ88">
        <v>703</v>
      </c>
      <c r="AR88" s="2">
        <v>118</v>
      </c>
      <c r="AS88">
        <v>277</v>
      </c>
      <c r="AT88">
        <v>397</v>
      </c>
      <c r="AU88">
        <v>483</v>
      </c>
      <c r="AV88">
        <v>111</v>
      </c>
      <c r="AW88">
        <v>304</v>
      </c>
      <c r="AX88">
        <v>521</v>
      </c>
      <c r="AY88" s="2">
        <v>547</v>
      </c>
    </row>
    <row r="89" spans="1:51" x14ac:dyDescent="0.2">
      <c r="F89" t="s">
        <v>56</v>
      </c>
      <c r="H89">
        <v>450</v>
      </c>
      <c r="I89">
        <v>0.3</v>
      </c>
      <c r="L89">
        <v>1</v>
      </c>
      <c r="M89">
        <f t="shared" si="11"/>
        <v>7.8176159999999992</v>
      </c>
      <c r="N89">
        <f>(M89 * (1 -U$11) + (0.04 * M89)) * ( 1 - AD$11 )</f>
        <v>2.8893908736</v>
      </c>
      <c r="O89">
        <f t="shared" si="7"/>
        <v>1.3593728800589413E-4</v>
      </c>
      <c r="P89">
        <f>N89 * AB$11 * Y$11 * AA$11 * AC$11</f>
        <v>1.627523146810294E-3</v>
      </c>
      <c r="Q89">
        <f t="shared" si="8"/>
        <v>0</v>
      </c>
      <c r="R89">
        <f t="shared" si="9"/>
        <v>0</v>
      </c>
      <c r="AO89" s="2" t="s">
        <v>56</v>
      </c>
      <c r="AP89">
        <v>168</v>
      </c>
      <c r="AQ89">
        <v>718</v>
      </c>
      <c r="AR89" s="2">
        <v>191</v>
      </c>
      <c r="AS89">
        <v>319</v>
      </c>
      <c r="AT89">
        <v>440</v>
      </c>
      <c r="AU89">
        <v>506</v>
      </c>
      <c r="AV89">
        <v>188</v>
      </c>
      <c r="AW89">
        <v>326</v>
      </c>
      <c r="AX89">
        <v>520</v>
      </c>
      <c r="AY89" s="2">
        <v>582</v>
      </c>
    </row>
    <row r="90" spans="1:51" x14ac:dyDescent="0.2">
      <c r="F90" t="s">
        <v>57</v>
      </c>
      <c r="H90">
        <v>460</v>
      </c>
      <c r="I90">
        <v>0.1</v>
      </c>
      <c r="L90">
        <v>1</v>
      </c>
      <c r="M90">
        <f t="shared" si="11"/>
        <v>7.5885924675999998</v>
      </c>
      <c r="N90">
        <f>(M90 * (1 -V$11) + (0.04 * M90)) * ( 1 - AD$11 )</f>
        <v>3.4421855433033599</v>
      </c>
      <c r="O90">
        <f t="shared" si="7"/>
        <v>1.6194464094321492E-4</v>
      </c>
      <c r="P90">
        <f>N90 * AB$11 * Y$11 * AA$11 * AC$11</f>
        <v>1.9388988518406825E-3</v>
      </c>
      <c r="Q90">
        <f t="shared" si="8"/>
        <v>0</v>
      </c>
      <c r="R90">
        <f t="shared" si="9"/>
        <v>0</v>
      </c>
      <c r="AO90" s="2" t="s">
        <v>57</v>
      </c>
      <c r="AP90">
        <v>235</v>
      </c>
      <c r="AQ90">
        <v>722</v>
      </c>
      <c r="AR90" s="2">
        <v>207</v>
      </c>
      <c r="AS90">
        <v>352</v>
      </c>
      <c r="AT90">
        <v>470</v>
      </c>
      <c r="AU90">
        <v>514</v>
      </c>
      <c r="AV90">
        <v>209</v>
      </c>
      <c r="AW90">
        <v>421</v>
      </c>
      <c r="AX90">
        <v>512</v>
      </c>
      <c r="AY90" s="2">
        <v>605</v>
      </c>
    </row>
    <row r="91" spans="1:51" x14ac:dyDescent="0.2">
      <c r="A91" t="s">
        <v>118</v>
      </c>
      <c r="B91" t="s">
        <v>99</v>
      </c>
      <c r="C91" t="s">
        <v>53</v>
      </c>
      <c r="D91" t="s">
        <v>53</v>
      </c>
      <c r="E91" t="s">
        <v>42</v>
      </c>
      <c r="F91" t="s">
        <v>54</v>
      </c>
      <c r="G91">
        <v>100</v>
      </c>
      <c r="H91" cm="1">
        <f t="array" ref="H91:H94">_xlfn.XLOOKUP(E91, $AP$46:$AY$46, $AP$47:$AY$50)</f>
        <v>80</v>
      </c>
      <c r="I91" cm="1">
        <f t="array" ref="I91:I94">_xlfn.XLOOKUP(E91, $AP$106:$AY$106, $AP$107:$AY$110)</f>
        <v>0.5</v>
      </c>
      <c r="J91">
        <v>0</v>
      </c>
      <c r="L91">
        <v>1</v>
      </c>
      <c r="M91">
        <f>(1.185 + 0.00454 * H91 - 0.0000026 * H91^2 + 0.315 * I91)^2 * L91</f>
        <v>2.8529236835999998</v>
      </c>
      <c r="N91">
        <f>(M91 * (1 -S91) + (0.04 * M91)) * ( 1 - AD$11 )</f>
        <v>1.1742633881697597</v>
      </c>
      <c r="O91">
        <f>N91 * AB$51 * X$51 * Z$51 * AC$51</f>
        <v>5.5245616593758213E-5</v>
      </c>
      <c r="P91">
        <f>N91 * AB$11 * Y$11 * AA$11 * AC$11</f>
        <v>6.6143382058828331E-4</v>
      </c>
      <c r="Q91">
        <f>G91*O91*91.25</f>
        <v>0.50411625141804373</v>
      </c>
      <c r="R91">
        <f>G91*P91*91.25</f>
        <v>6.0355836128680851</v>
      </c>
      <c r="S91" cm="1">
        <f t="array" ref="S91:V91">_xlfn.XLOOKUP(C91,$AR$18:$AR$26,$AS$18:$AV$26)</f>
        <v>0.55000000000000004</v>
      </c>
      <c r="T91">
        <v>0.65</v>
      </c>
      <c r="U91">
        <v>0.6</v>
      </c>
      <c r="V91">
        <v>0.5</v>
      </c>
      <c r="W91" t="s">
        <v>91</v>
      </c>
      <c r="X91">
        <f>IF(W91="yes", $AN$6, $AO$6)</f>
        <v>0.05</v>
      </c>
      <c r="Y91">
        <f>IF(W91="yes", $AN$7, $AO$7)</f>
        <v>0.95</v>
      </c>
      <c r="Z91">
        <f>VLOOKUP(B91, $AZ$17:$BA$26, 2, FALSE)</f>
        <v>7.3000000000000001E-3</v>
      </c>
      <c r="AA91">
        <f>$BA$14</f>
        <v>4.5999999999999999E-3</v>
      </c>
      <c r="AB91">
        <f>$AS$5</f>
        <v>0.19</v>
      </c>
      <c r="AC91">
        <f>$AS$6</f>
        <v>0.6784</v>
      </c>
      <c r="AD91">
        <f>$AS$7</f>
        <v>0.16</v>
      </c>
      <c r="AE91">
        <f>SUM(Q91:R130)</f>
        <v>204.8566346624763</v>
      </c>
      <c r="AF91">
        <f>$AS$8</f>
        <v>28</v>
      </c>
      <c r="AG91">
        <f>AE91 * AF91 * 10^-3</f>
        <v>5.7359857705493358</v>
      </c>
      <c r="AM91" t="s">
        <v>81</v>
      </c>
      <c r="AN91" t="s">
        <v>78</v>
      </c>
      <c r="AO91" s="2" t="s">
        <v>54</v>
      </c>
      <c r="AP91">
        <v>230</v>
      </c>
      <c r="AQ91" s="2">
        <v>674</v>
      </c>
      <c r="AR91" s="2">
        <v>217</v>
      </c>
      <c r="AS91">
        <v>344</v>
      </c>
      <c r="AT91">
        <v>357</v>
      </c>
      <c r="AU91">
        <v>467</v>
      </c>
      <c r="AV91">
        <v>242</v>
      </c>
      <c r="AW91">
        <v>370</v>
      </c>
      <c r="AX91">
        <v>550</v>
      </c>
      <c r="AY91" s="2">
        <v>620</v>
      </c>
    </row>
    <row r="92" spans="1:51" x14ac:dyDescent="0.2">
      <c r="F92" t="s">
        <v>55</v>
      </c>
      <c r="G92">
        <v>110</v>
      </c>
      <c r="H92">
        <v>170</v>
      </c>
      <c r="I92">
        <v>1</v>
      </c>
      <c r="L92">
        <v>1</v>
      </c>
      <c r="M92">
        <f t="shared" ref="M92:M106" si="12">(1.185 + 0.00454 * H92 - 0.0000026 * H92^2 + 0.315 * I92)^2 * L92</f>
        <v>4.8253151556000002</v>
      </c>
      <c r="N92">
        <f>(M92 * (1 -T$11) + (0.04 * M92)) * ( 1 - AD$11 )</f>
        <v>1.58077324497456</v>
      </c>
      <c r="O92">
        <f t="shared" ref="O92:O130" si="13">N92 * AB$51 * X$51 * Z$51 * AC$51</f>
        <v>7.4370702087247912E-5</v>
      </c>
      <c r="P92">
        <f>N92 * AB$11 * Y$11 * AA$11 * AC$11</f>
        <v>8.9041087156513257E-4</v>
      </c>
      <c r="Q92">
        <f t="shared" ref="Q92:Q130" si="14">G92*O92*91.25</f>
        <v>0.74649592220075089</v>
      </c>
      <c r="R92">
        <f t="shared" ref="R92:R130" si="15">G92*P92*91.25</f>
        <v>8.9374991233350194</v>
      </c>
      <c r="AO92" s="2" t="s">
        <v>55</v>
      </c>
      <c r="AP92">
        <v>113</v>
      </c>
      <c r="AQ92" s="2">
        <v>669</v>
      </c>
      <c r="AR92" s="2">
        <v>113</v>
      </c>
      <c r="AS92">
        <v>283</v>
      </c>
      <c r="AT92">
        <v>361</v>
      </c>
      <c r="AU92">
        <v>477</v>
      </c>
      <c r="AV92">
        <v>120</v>
      </c>
      <c r="AW92">
        <v>273</v>
      </c>
      <c r="AX92">
        <v>545</v>
      </c>
      <c r="AY92" s="2">
        <v>553</v>
      </c>
    </row>
    <row r="93" spans="1:51" x14ac:dyDescent="0.2">
      <c r="F93" t="s">
        <v>56</v>
      </c>
      <c r="G93">
        <v>120</v>
      </c>
      <c r="H93">
        <v>240</v>
      </c>
      <c r="I93">
        <v>0.8</v>
      </c>
      <c r="L93">
        <v>1</v>
      </c>
      <c r="M93">
        <f t="shared" si="12"/>
        <v>5.6493683855999981</v>
      </c>
      <c r="N93">
        <f>(M93 * (1 -U$11) + (0.04 * M93)) * ( 1 - AD$11 )</f>
        <v>2.0880065553177594</v>
      </c>
      <c r="O93">
        <f t="shared" si="13"/>
        <v>9.8234527928296858E-5</v>
      </c>
      <c r="P93">
        <f>N93 * AB$11 * Y$11 * AA$11 * AC$11</f>
        <v>1.1761229782100196E-3</v>
      </c>
      <c r="Q93">
        <f t="shared" si="14"/>
        <v>1.0756680808148507</v>
      </c>
      <c r="R93">
        <f t="shared" si="15"/>
        <v>12.878546611399717</v>
      </c>
      <c r="AO93" s="2" t="s">
        <v>56</v>
      </c>
      <c r="AP93">
        <v>172</v>
      </c>
      <c r="AQ93" s="2">
        <v>685</v>
      </c>
      <c r="AR93" s="2">
        <v>172</v>
      </c>
      <c r="AS93">
        <v>309</v>
      </c>
      <c r="AT93">
        <v>376</v>
      </c>
      <c r="AU93">
        <v>471</v>
      </c>
      <c r="AV93">
        <v>238</v>
      </c>
      <c r="AW93">
        <v>329</v>
      </c>
      <c r="AX93">
        <v>573</v>
      </c>
      <c r="AY93" s="2">
        <v>620</v>
      </c>
    </row>
    <row r="94" spans="1:51" x14ac:dyDescent="0.2">
      <c r="F94" t="s">
        <v>57</v>
      </c>
      <c r="G94">
        <v>130</v>
      </c>
      <c r="H94">
        <v>280</v>
      </c>
      <c r="I94">
        <v>0.4</v>
      </c>
      <c r="L94">
        <v>1</v>
      </c>
      <c r="M94">
        <f t="shared" si="12"/>
        <v>5.6565962895999995</v>
      </c>
      <c r="N94">
        <f>(M94 * (1 -V$11) + (0.04 * M94)) * ( 1 - AD$11 )</f>
        <v>2.5658320769625598</v>
      </c>
      <c r="O94">
        <f t="shared" si="13"/>
        <v>1.2071480435814064E-4</v>
      </c>
      <c r="P94">
        <f>N94 * AB$11 * Y$11 * AA$11 * AC$11</f>
        <v>1.4452703973837659E-3</v>
      </c>
      <c r="Q94">
        <f t="shared" si="14"/>
        <v>1.4319793666984433</v>
      </c>
      <c r="R94">
        <f t="shared" si="15"/>
        <v>17.144520088964921</v>
      </c>
      <c r="AO94" s="2" t="s">
        <v>57</v>
      </c>
      <c r="AP94">
        <v>241</v>
      </c>
      <c r="AQ94" s="2">
        <v>692</v>
      </c>
      <c r="AR94" s="2">
        <v>208</v>
      </c>
      <c r="AS94">
        <v>344</v>
      </c>
      <c r="AT94">
        <v>364</v>
      </c>
      <c r="AU94">
        <v>484</v>
      </c>
      <c r="AV94">
        <v>260</v>
      </c>
      <c r="AW94">
        <v>350</v>
      </c>
      <c r="AX94">
        <v>567</v>
      </c>
      <c r="AY94" s="2">
        <v>620</v>
      </c>
    </row>
    <row r="95" spans="1:51" x14ac:dyDescent="0.2">
      <c r="E95" t="s">
        <v>43</v>
      </c>
      <c r="F95" t="s">
        <v>54</v>
      </c>
      <c r="H95" cm="1">
        <f t="array" ref="H95:H98">_xlfn.XLOOKUP(E95, $AP$46:$AY$46, $AP$47:$AY$50)</f>
        <v>480</v>
      </c>
      <c r="I95" cm="1">
        <f t="array" ref="I95:I98">_xlfn.XLOOKUP(E95, $AP$106:$AY$106, $AP$107:$AY$110)</f>
        <v>0.2</v>
      </c>
      <c r="L95">
        <v>1</v>
      </c>
      <c r="M95">
        <f t="shared" si="12"/>
        <v>7.9984889855999999</v>
      </c>
      <c r="N95">
        <f>(M95 * (1 -S$11) + (0.04 * M95)) * ( 1 - AD$11 )</f>
        <v>3.2921780664729599</v>
      </c>
      <c r="O95">
        <f t="shared" si="13"/>
        <v>1.5488723318047602E-4</v>
      </c>
      <c r="P95">
        <f>N95 * AB$11 * Y$11 * AA$11 * AC$11</f>
        <v>1.8544033123251509E-3</v>
      </c>
      <c r="Q95">
        <f t="shared" si="14"/>
        <v>0</v>
      </c>
      <c r="R95">
        <f t="shared" si="15"/>
        <v>0</v>
      </c>
      <c r="AM95" t="s">
        <v>81</v>
      </c>
      <c r="AN95" t="s">
        <v>79</v>
      </c>
      <c r="AO95" s="2" t="s">
        <v>54</v>
      </c>
      <c r="AP95">
        <v>236</v>
      </c>
      <c r="AQ95" s="2">
        <v>674</v>
      </c>
      <c r="AR95" s="2">
        <v>178</v>
      </c>
      <c r="AS95">
        <v>310</v>
      </c>
      <c r="AT95">
        <v>428</v>
      </c>
      <c r="AU95">
        <v>466</v>
      </c>
      <c r="AV95">
        <v>193</v>
      </c>
      <c r="AW95">
        <v>370</v>
      </c>
      <c r="AX95">
        <v>519</v>
      </c>
      <c r="AY95" s="2">
        <v>565</v>
      </c>
    </row>
    <row r="96" spans="1:51" x14ac:dyDescent="0.2">
      <c r="F96" t="s">
        <v>55</v>
      </c>
      <c r="H96">
        <v>520</v>
      </c>
      <c r="I96">
        <v>0.4</v>
      </c>
      <c r="L96">
        <v>1</v>
      </c>
      <c r="M96">
        <f t="shared" si="12"/>
        <v>8.8135359375999975</v>
      </c>
      <c r="N96">
        <f>(M96 * (1 -T$11) + (0.04 * M96)) * ( 1 - AD$11 )</f>
        <v>2.8873143731577593</v>
      </c>
      <c r="O96">
        <f t="shared" si="13"/>
        <v>1.3583959480652805E-4</v>
      </c>
      <c r="P96">
        <f>N96 * AB$11 * Y$11 * AA$11 * AC$11</f>
        <v>1.626353504943911E-3</v>
      </c>
      <c r="Q96">
        <f t="shared" si="14"/>
        <v>0</v>
      </c>
      <c r="R96">
        <f t="shared" si="15"/>
        <v>0</v>
      </c>
      <c r="AO96" s="2" t="s">
        <v>55</v>
      </c>
      <c r="AP96">
        <v>120</v>
      </c>
      <c r="AQ96" s="2">
        <v>669</v>
      </c>
      <c r="AR96" s="2">
        <v>112</v>
      </c>
      <c r="AS96">
        <v>250</v>
      </c>
      <c r="AT96">
        <v>390</v>
      </c>
      <c r="AU96">
        <v>448</v>
      </c>
      <c r="AV96">
        <v>115</v>
      </c>
      <c r="AW96">
        <v>273</v>
      </c>
      <c r="AX96">
        <v>433</v>
      </c>
      <c r="AY96" s="2">
        <v>556</v>
      </c>
    </row>
    <row r="97" spans="5:51" x14ac:dyDescent="0.2">
      <c r="F97" t="s">
        <v>56</v>
      </c>
      <c r="H97">
        <v>550</v>
      </c>
      <c r="I97">
        <v>0.3</v>
      </c>
      <c r="L97">
        <v>1</v>
      </c>
      <c r="M97">
        <f t="shared" si="12"/>
        <v>8.940100000000001</v>
      </c>
      <c r="N97">
        <f>(M97 * (1 -U$11) + (0.04 * M97)) * ( 1 - AD$11 )</f>
        <v>3.3042609600000006</v>
      </c>
      <c r="O97">
        <f t="shared" si="13"/>
        <v>1.5545569755555841E-4</v>
      </c>
      <c r="P97">
        <f>N97 * AB$11 * Y$11 * AA$11 * AC$11</f>
        <v>1.8612093104596994E-3</v>
      </c>
      <c r="Q97">
        <f t="shared" si="14"/>
        <v>0</v>
      </c>
      <c r="R97">
        <f t="shared" si="15"/>
        <v>0</v>
      </c>
      <c r="AO97" s="2" t="s">
        <v>56</v>
      </c>
      <c r="AP97">
        <v>125</v>
      </c>
      <c r="AQ97" s="2">
        <v>685</v>
      </c>
      <c r="AR97" s="2">
        <v>140</v>
      </c>
      <c r="AS97">
        <v>277</v>
      </c>
      <c r="AT97">
        <v>407</v>
      </c>
      <c r="AU97">
        <v>455</v>
      </c>
      <c r="AV97">
        <v>141</v>
      </c>
      <c r="AW97">
        <v>296</v>
      </c>
      <c r="AX97">
        <v>445</v>
      </c>
      <c r="AY97" s="2">
        <v>593</v>
      </c>
    </row>
    <row r="98" spans="5:51" x14ac:dyDescent="0.2">
      <c r="F98" t="s">
        <v>57</v>
      </c>
      <c r="H98">
        <v>560</v>
      </c>
      <c r="I98">
        <v>0.1</v>
      </c>
      <c r="L98">
        <v>1</v>
      </c>
      <c r="M98">
        <f t="shared" si="12"/>
        <v>8.6644277315999982</v>
      </c>
      <c r="N98">
        <f>(M98 * (1 -V$11) + (0.04 * M98)) * ( 1 - AD$11 )</f>
        <v>3.9301844190537589</v>
      </c>
      <c r="O98">
        <f t="shared" si="13"/>
        <v>1.8490354357059897E-4</v>
      </c>
      <c r="P98">
        <f>N98 * AB$11 * Y$11 * AA$11 * AC$11</f>
        <v>2.2137766723384039E-3</v>
      </c>
      <c r="Q98">
        <f t="shared" si="14"/>
        <v>0</v>
      </c>
      <c r="R98">
        <f t="shared" si="15"/>
        <v>0</v>
      </c>
      <c r="AO98" s="2" t="s">
        <v>57</v>
      </c>
      <c r="AP98" s="2">
        <v>180</v>
      </c>
      <c r="AQ98" s="2">
        <v>692</v>
      </c>
      <c r="AR98" s="2">
        <v>183</v>
      </c>
      <c r="AS98">
        <v>316</v>
      </c>
      <c r="AT98">
        <v>438</v>
      </c>
      <c r="AU98">
        <v>468</v>
      </c>
      <c r="AV98">
        <v>189</v>
      </c>
      <c r="AW98">
        <v>354</v>
      </c>
      <c r="AX98">
        <v>500</v>
      </c>
      <c r="AY98" s="2">
        <v>553</v>
      </c>
    </row>
    <row r="99" spans="5:51" x14ac:dyDescent="0.2">
      <c r="E99" t="s">
        <v>44</v>
      </c>
      <c r="F99" t="s">
        <v>54</v>
      </c>
      <c r="H99" cm="1">
        <f t="array" ref="H99:H102">_xlfn.XLOOKUP(E99, $AP$46:$AY$46, $AP$47:$AY$50)</f>
        <v>75</v>
      </c>
      <c r="I99" cm="1">
        <f t="array" ref="I99:I102">_xlfn.XLOOKUP(E99, $AP$106:$AY$106, $AP$107:$AY$110)</f>
        <v>0.5</v>
      </c>
      <c r="L99">
        <v>1</v>
      </c>
      <c r="M99">
        <f t="shared" si="12"/>
        <v>2.7834751406249998</v>
      </c>
      <c r="N99">
        <f>(M99 * (1 -S$11) + (0.04 * M99)) * ( 1 - AD$11 )</f>
        <v>1.1456783678812499</v>
      </c>
      <c r="O99">
        <f t="shared" si="13"/>
        <v>5.390077600084388E-5</v>
      </c>
      <c r="P99">
        <f>N99 * AB$11 * Y$11 * AA$11 * AC$11</f>
        <v>6.4533257842106233E-4</v>
      </c>
      <c r="Q99">
        <f t="shared" si="14"/>
        <v>0</v>
      </c>
      <c r="R99">
        <f t="shared" si="15"/>
        <v>0</v>
      </c>
      <c r="AM99" t="s">
        <v>81</v>
      </c>
      <c r="AN99" t="s">
        <v>80</v>
      </c>
      <c r="AO99" s="2" t="s">
        <v>54</v>
      </c>
      <c r="AP99" s="2">
        <v>190</v>
      </c>
      <c r="AQ99" s="2">
        <v>617</v>
      </c>
      <c r="AR99" s="2">
        <v>174</v>
      </c>
      <c r="AS99">
        <v>265</v>
      </c>
      <c r="AT99">
        <v>371</v>
      </c>
      <c r="AU99">
        <v>415</v>
      </c>
      <c r="AV99">
        <v>170</v>
      </c>
      <c r="AW99">
        <v>272</v>
      </c>
      <c r="AX99">
        <v>392</v>
      </c>
      <c r="AY99" s="2">
        <v>531</v>
      </c>
    </row>
    <row r="100" spans="5:51" x14ac:dyDescent="0.2">
      <c r="F100" t="s">
        <v>55</v>
      </c>
      <c r="H100">
        <v>160</v>
      </c>
      <c r="I100">
        <v>0.9</v>
      </c>
      <c r="L100">
        <v>1</v>
      </c>
      <c r="M100">
        <f t="shared" si="12"/>
        <v>4.5298311556000002</v>
      </c>
      <c r="N100">
        <f>(M100 * (1 -T$11) + (0.04 * M100)) * ( 1 - AD$11 )</f>
        <v>1.4839726865745599</v>
      </c>
      <c r="O100">
        <f t="shared" si="13"/>
        <v>6.9816522344180778E-5</v>
      </c>
      <c r="P100">
        <f>N100 * AB$11 * Y$11 * AA$11 * AC$11</f>
        <v>8.3588548669608228E-4</v>
      </c>
      <c r="Q100">
        <f t="shared" si="14"/>
        <v>0</v>
      </c>
      <c r="R100">
        <f t="shared" si="15"/>
        <v>0</v>
      </c>
      <c r="AO100" s="2" t="s">
        <v>55</v>
      </c>
      <c r="AP100">
        <v>119</v>
      </c>
      <c r="AQ100" s="2">
        <v>591</v>
      </c>
      <c r="AR100" s="2">
        <v>140</v>
      </c>
      <c r="AS100">
        <v>205</v>
      </c>
      <c r="AT100">
        <v>310</v>
      </c>
      <c r="AU100">
        <v>405</v>
      </c>
      <c r="AV100">
        <v>133</v>
      </c>
      <c r="AW100">
        <v>218</v>
      </c>
      <c r="AX100">
        <v>315</v>
      </c>
      <c r="AY100" s="2">
        <v>445</v>
      </c>
    </row>
    <row r="101" spans="5:51" x14ac:dyDescent="0.2">
      <c r="F101" t="s">
        <v>56</v>
      </c>
      <c r="H101">
        <v>220</v>
      </c>
      <c r="I101">
        <v>0.7</v>
      </c>
      <c r="L101">
        <v>1</v>
      </c>
      <c r="M101">
        <f t="shared" si="12"/>
        <v>5.1913799715999973</v>
      </c>
      <c r="N101">
        <f>(M101 * (1 -U$11) + (0.04 * M101)) * ( 1 - AD$11 )</f>
        <v>1.918734037503359</v>
      </c>
      <c r="O101">
        <f t="shared" si="13"/>
        <v>9.0270757011782037E-5</v>
      </c>
      <c r="P101">
        <f>N101 * AB$11 * Y$11 * AA$11 * AC$11</f>
        <v>1.0807759127164039E-3</v>
      </c>
      <c r="Q101">
        <f t="shared" si="14"/>
        <v>0</v>
      </c>
      <c r="R101">
        <f t="shared" si="15"/>
        <v>0</v>
      </c>
      <c r="AO101" s="2" t="s">
        <v>56</v>
      </c>
      <c r="AP101">
        <v>175</v>
      </c>
      <c r="AQ101" s="2">
        <v>610</v>
      </c>
      <c r="AR101" s="2">
        <v>163</v>
      </c>
      <c r="AS101">
        <v>232</v>
      </c>
      <c r="AT101">
        <v>351</v>
      </c>
      <c r="AU101">
        <v>427</v>
      </c>
      <c r="AV101">
        <v>146</v>
      </c>
      <c r="AW101">
        <v>242</v>
      </c>
      <c r="AX101">
        <v>320</v>
      </c>
      <c r="AY101" s="2">
        <v>471</v>
      </c>
    </row>
    <row r="102" spans="5:51" x14ac:dyDescent="0.2">
      <c r="F102" t="s">
        <v>57</v>
      </c>
      <c r="H102">
        <v>260</v>
      </c>
      <c r="I102">
        <v>0.4</v>
      </c>
      <c r="L102">
        <v>1</v>
      </c>
      <c r="M102">
        <f t="shared" si="12"/>
        <v>5.3621886096000004</v>
      </c>
      <c r="N102">
        <f>(M102 * (1 -V$11) + (0.04 * M102)) * ( 1 - AD$11 )</f>
        <v>2.4322887533145603</v>
      </c>
      <c r="O102">
        <f t="shared" si="13"/>
        <v>1.1443198626874025E-4</v>
      </c>
      <c r="P102">
        <f>N102 * AB$11 * Y$11 * AA$11 * AC$11</f>
        <v>1.3700487123134107E-3</v>
      </c>
      <c r="Q102">
        <f t="shared" si="14"/>
        <v>0</v>
      </c>
      <c r="R102">
        <f t="shared" si="15"/>
        <v>0</v>
      </c>
      <c r="AO102" s="2" t="s">
        <v>57</v>
      </c>
      <c r="AP102">
        <v>192</v>
      </c>
      <c r="AQ102" s="2">
        <v>615</v>
      </c>
      <c r="AR102" s="2">
        <v>162</v>
      </c>
      <c r="AS102">
        <v>255</v>
      </c>
      <c r="AT102">
        <v>364</v>
      </c>
      <c r="AU102">
        <v>420</v>
      </c>
      <c r="AV102">
        <v>157</v>
      </c>
      <c r="AW102">
        <v>261</v>
      </c>
      <c r="AX102">
        <v>342</v>
      </c>
      <c r="AY102" s="2">
        <v>484</v>
      </c>
    </row>
    <row r="103" spans="5:51" x14ac:dyDescent="0.2">
      <c r="E103" t="s">
        <v>45</v>
      </c>
      <c r="F103" t="s">
        <v>54</v>
      </c>
      <c r="H103" cm="1">
        <f t="array" ref="H103:H106">_xlfn.XLOOKUP(E103, $AP$46:$AY$46, $AP$47:$AY$50)</f>
        <v>300</v>
      </c>
      <c r="I103" cm="1">
        <f t="array" ref="I103:I106">_xlfn.XLOOKUP(E103, $AP$106:$AY$106, $AP$107:$AY$110)</f>
        <v>0.4</v>
      </c>
      <c r="L103">
        <v>1</v>
      </c>
      <c r="M103">
        <f t="shared" si="12"/>
        <v>5.9487209999999981</v>
      </c>
      <c r="N103">
        <f>(M103 * (1 -S$11) + (0.04 * M103)) * ( 1 - AD$11 )</f>
        <v>2.4484935635999991</v>
      </c>
      <c r="O103">
        <f t="shared" si="13"/>
        <v>1.1519437462643171E-4</v>
      </c>
      <c r="P103">
        <f>N103 * AB$11 * Y$11 * AA$11 * AC$11</f>
        <v>1.3791764852534424E-3</v>
      </c>
      <c r="Q103">
        <f t="shared" si="14"/>
        <v>0</v>
      </c>
      <c r="R103">
        <f t="shared" si="15"/>
        <v>0</v>
      </c>
    </row>
    <row r="104" spans="5:51" x14ac:dyDescent="0.2">
      <c r="F104" t="s">
        <v>55</v>
      </c>
      <c r="H104">
        <v>360</v>
      </c>
      <c r="I104">
        <v>0.7</v>
      </c>
      <c r="L104">
        <v>1</v>
      </c>
      <c r="M104">
        <f t="shared" si="12"/>
        <v>7.3058846435999998</v>
      </c>
      <c r="N104">
        <f>(M104 * (1 -T$11) + (0.04 * M104)) * ( 1 - AD$11 )</f>
        <v>2.3934078092433602</v>
      </c>
      <c r="O104">
        <f t="shared" si="13"/>
        <v>1.1260275293778476E-4</v>
      </c>
      <c r="P104">
        <f>N104 * AB$11 * Y$11 * AA$11 * AC$11</f>
        <v>1.3481480283236143E-3</v>
      </c>
      <c r="Q104">
        <f t="shared" si="14"/>
        <v>0</v>
      </c>
      <c r="R104">
        <f t="shared" si="15"/>
        <v>0</v>
      </c>
    </row>
    <row r="105" spans="5:51" x14ac:dyDescent="0.2">
      <c r="F105" t="s">
        <v>56</v>
      </c>
      <c r="H105">
        <v>390</v>
      </c>
      <c r="I105">
        <v>0.3</v>
      </c>
      <c r="L105">
        <v>1</v>
      </c>
      <c r="M105">
        <f t="shared" si="12"/>
        <v>7.0471135296000007</v>
      </c>
      <c r="N105">
        <f>(M105 * (1 -U$11) + (0.04 * M105)) * ( 1 - AD$11 )</f>
        <v>2.6046131605401603</v>
      </c>
      <c r="O105">
        <f t="shared" si="13"/>
        <v>1.2253933954845938E-4</v>
      </c>
      <c r="P105">
        <f>N105 * AB$11 * Y$11 * AA$11 * AC$11</f>
        <v>1.4671148324021022E-3</v>
      </c>
      <c r="Q105">
        <f t="shared" si="14"/>
        <v>0</v>
      </c>
      <c r="R105">
        <f t="shared" si="15"/>
        <v>0</v>
      </c>
    </row>
    <row r="106" spans="5:51" x14ac:dyDescent="0.2">
      <c r="F106" t="s">
        <v>57</v>
      </c>
      <c r="H106">
        <v>410</v>
      </c>
      <c r="I106">
        <v>0.2</v>
      </c>
      <c r="L106">
        <v>1</v>
      </c>
      <c r="M106">
        <f t="shared" si="12"/>
        <v>7.1414010756000028</v>
      </c>
      <c r="N106">
        <f>(M106 * (1 -V$11) + (0.04 * M106)) * ( 1 - AD$11 )</f>
        <v>3.2393395278921613</v>
      </c>
      <c r="O106">
        <f t="shared" si="13"/>
        <v>1.5240133634232363E-4</v>
      </c>
      <c r="P106">
        <f>N106 * AB$11 * Y$11 * AA$11 * AC$11</f>
        <v>1.8246406570300113E-3</v>
      </c>
      <c r="Q106">
        <f t="shared" si="14"/>
        <v>0</v>
      </c>
      <c r="R106">
        <f t="shared" si="15"/>
        <v>0</v>
      </c>
      <c r="AM106" t="s">
        <v>60</v>
      </c>
      <c r="AP106" s="4" t="s">
        <v>42</v>
      </c>
      <c r="AQ106" s="4" t="s">
        <v>43</v>
      </c>
      <c r="AR106" s="4" t="s">
        <v>44</v>
      </c>
      <c r="AS106" s="5" t="s">
        <v>45</v>
      </c>
      <c r="AT106" s="4" t="s">
        <v>46</v>
      </c>
      <c r="AU106" s="4" t="s">
        <v>47</v>
      </c>
      <c r="AV106" s="4" t="s">
        <v>48</v>
      </c>
      <c r="AW106" s="4" t="s">
        <v>49</v>
      </c>
      <c r="AX106" s="4" t="s">
        <v>50</v>
      </c>
      <c r="AY106" s="4" t="s">
        <v>51</v>
      </c>
    </row>
    <row r="107" spans="5:51" x14ac:dyDescent="0.2">
      <c r="E107" t="s">
        <v>46</v>
      </c>
      <c r="F107" t="s">
        <v>54</v>
      </c>
      <c r="G107">
        <v>100</v>
      </c>
      <c r="H107" cm="1">
        <f t="array" ref="H107:H110">_xlfn.XLOOKUP(E107, $AP$46:$AY$46, $AP$47:$AY$50)</f>
        <v>440</v>
      </c>
      <c r="I107" cm="1">
        <f t="array" ref="I107:I110">_xlfn.XLOOKUP(E107, $AP$106:$AY$106, $AP$107:$AY$110)</f>
        <v>0.3</v>
      </c>
      <c r="J107">
        <v>1</v>
      </c>
      <c r="K107">
        <v>1.3</v>
      </c>
      <c r="L107">
        <f>(J107*K107)+(1 - J107)</f>
        <v>1.3</v>
      </c>
      <c r="M107">
        <f>(1.185 + 0.00454 * H107 - 0.0000026 * H107^2 + 0.315 * I107)^2 * L107</f>
        <v>10.001723663880002</v>
      </c>
      <c r="N107">
        <f>(M107 * (1 -S$11) + (0.04 * M107)) * ( 1 - AD$11 )</f>
        <v>4.1167094600530074</v>
      </c>
      <c r="O107">
        <f t="shared" si="13"/>
        <v>1.9367899463549227E-4</v>
      </c>
      <c r="P107">
        <f>N107 * AB$11 * Y$11 * AA$11 * AC$11</f>
        <v>2.3188416618002772E-3</v>
      </c>
      <c r="Q107">
        <f t="shared" si="14"/>
        <v>1.7673208260488671</v>
      </c>
      <c r="R107">
        <f t="shared" si="15"/>
        <v>21.159430163927528</v>
      </c>
      <c r="AM107" t="s">
        <v>53</v>
      </c>
      <c r="AO107" t="s">
        <v>54</v>
      </c>
      <c r="AP107">
        <v>0.5</v>
      </c>
      <c r="AQ107">
        <v>0.2</v>
      </c>
      <c r="AR107">
        <v>0.5</v>
      </c>
      <c r="AS107">
        <v>0.4</v>
      </c>
      <c r="AT107">
        <v>0.3</v>
      </c>
      <c r="AU107">
        <v>0.3</v>
      </c>
      <c r="AV107">
        <v>0.5</v>
      </c>
      <c r="AW107">
        <v>0.4</v>
      </c>
      <c r="AX107">
        <v>0.4</v>
      </c>
      <c r="AY107">
        <v>0.4</v>
      </c>
    </row>
    <row r="108" spans="5:51" x14ac:dyDescent="0.2">
      <c r="F108" t="s">
        <v>55</v>
      </c>
      <c r="G108">
        <v>110</v>
      </c>
      <c r="H108">
        <v>470</v>
      </c>
      <c r="I108">
        <v>0.3</v>
      </c>
      <c r="J108">
        <v>0</v>
      </c>
      <c r="K108">
        <v>1.1000000000000001</v>
      </c>
      <c r="L108">
        <f t="shared" ref="L108:L114" si="16">(J108*K108)+(1 - J108)</f>
        <v>1</v>
      </c>
      <c r="M108">
        <f t="shared" ref="M108:M130" si="17">(1.185 + 0.00454 * H108 - 0.0000026 * H108^2 + 0.315 * I108)^2 * L108</f>
        <v>8.0596938816000012</v>
      </c>
      <c r="N108">
        <f>(M108 * (1 -T$11) + (0.04 * M108)) * ( 1 - AD$11 )</f>
        <v>2.6403557156121602</v>
      </c>
      <c r="O108">
        <f t="shared" si="13"/>
        <v>1.2422092096663393E-4</v>
      </c>
      <c r="P108">
        <f>N108 * AB$11 * Y$11 * AA$11 * AC$11</f>
        <v>1.4872477386964117E-3</v>
      </c>
      <c r="Q108">
        <f t="shared" si="14"/>
        <v>1.2468674942025881</v>
      </c>
      <c r="R108">
        <f t="shared" si="15"/>
        <v>14.928249177165233</v>
      </c>
      <c r="AO108" t="s">
        <v>55</v>
      </c>
      <c r="AP108">
        <v>1</v>
      </c>
      <c r="AQ108">
        <v>0.4</v>
      </c>
      <c r="AR108">
        <v>0.9</v>
      </c>
      <c r="AS108">
        <v>0.7</v>
      </c>
      <c r="AT108">
        <v>0.3</v>
      </c>
      <c r="AU108">
        <v>0.3</v>
      </c>
      <c r="AV108">
        <v>0.9</v>
      </c>
      <c r="AW108">
        <v>0.4</v>
      </c>
      <c r="AX108">
        <v>0.4</v>
      </c>
      <c r="AY108">
        <v>0.4</v>
      </c>
    </row>
    <row r="109" spans="5:51" x14ac:dyDescent="0.2">
      <c r="F109" t="s">
        <v>56</v>
      </c>
      <c r="G109">
        <v>120</v>
      </c>
      <c r="H109">
        <v>490</v>
      </c>
      <c r="I109">
        <v>0.2</v>
      </c>
      <c r="J109">
        <v>0</v>
      </c>
      <c r="K109">
        <v>1</v>
      </c>
      <c r="L109">
        <f t="shared" si="16"/>
        <v>1</v>
      </c>
      <c r="M109">
        <f t="shared" si="17"/>
        <v>8.1130407556000002</v>
      </c>
      <c r="N109">
        <f>(M109 * (1 -U$11) + (0.04 * M109)) * ( 1 - AD$11 )</f>
        <v>2.99857986326976</v>
      </c>
      <c r="O109">
        <f t="shared" si="13"/>
        <v>1.4107430677044692E-4</v>
      </c>
      <c r="P109">
        <f>N109 * AB$11 * Y$11 * AA$11 * AC$11</f>
        <v>1.6890266317448027E-3</v>
      </c>
      <c r="Q109">
        <f t="shared" si="14"/>
        <v>1.5447636591363938</v>
      </c>
      <c r="R109">
        <f t="shared" si="15"/>
        <v>18.494841617605591</v>
      </c>
      <c r="AO109" t="s">
        <v>56</v>
      </c>
      <c r="AP109">
        <v>0.8</v>
      </c>
      <c r="AQ109">
        <v>0.3</v>
      </c>
      <c r="AR109">
        <v>0.7</v>
      </c>
      <c r="AS109">
        <v>0.3</v>
      </c>
      <c r="AT109">
        <v>0.2</v>
      </c>
      <c r="AU109">
        <v>0.2</v>
      </c>
      <c r="AV109">
        <v>0.7</v>
      </c>
      <c r="AW109">
        <v>0.3</v>
      </c>
      <c r="AX109">
        <v>0.3</v>
      </c>
      <c r="AY109">
        <v>0.3</v>
      </c>
    </row>
    <row r="110" spans="5:51" x14ac:dyDescent="0.2">
      <c r="F110" t="s">
        <v>57</v>
      </c>
      <c r="G110">
        <v>130</v>
      </c>
      <c r="H110">
        <v>500</v>
      </c>
      <c r="I110">
        <v>0.1</v>
      </c>
      <c r="J110">
        <v>0</v>
      </c>
      <c r="K110">
        <v>1</v>
      </c>
      <c r="L110">
        <f t="shared" si="16"/>
        <v>1</v>
      </c>
      <c r="M110">
        <f t="shared" si="17"/>
        <v>8.0457322500000004</v>
      </c>
      <c r="N110">
        <f>(M110 * (1 -V$11) + (0.04 * M110)) * ( 1 - AD$11 )</f>
        <v>3.6495441486</v>
      </c>
      <c r="O110">
        <f t="shared" si="13"/>
        <v>1.7170024954095013E-4</v>
      </c>
      <c r="P110">
        <f>N110 * AB$11 * Y$11 * AA$11 * AC$11</f>
        <v>2.0556988780656223E-3</v>
      </c>
      <c r="Q110">
        <f t="shared" si="14"/>
        <v>2.0367942101795209</v>
      </c>
      <c r="R110">
        <f t="shared" si="15"/>
        <v>24.385727941053442</v>
      </c>
      <c r="AO110" t="s">
        <v>57</v>
      </c>
      <c r="AP110">
        <v>0.4</v>
      </c>
      <c r="AQ110">
        <v>0.1</v>
      </c>
      <c r="AR110">
        <v>0.4</v>
      </c>
      <c r="AS110">
        <v>0.2</v>
      </c>
      <c r="AT110">
        <v>0.1</v>
      </c>
      <c r="AU110">
        <v>0.1</v>
      </c>
      <c r="AV110">
        <v>0.4</v>
      </c>
      <c r="AW110">
        <v>0.1</v>
      </c>
      <c r="AX110">
        <v>0.1</v>
      </c>
      <c r="AY110">
        <v>0.1</v>
      </c>
    </row>
    <row r="111" spans="5:51" x14ac:dyDescent="0.2">
      <c r="E111" t="s">
        <v>47</v>
      </c>
      <c r="F111" t="s">
        <v>54</v>
      </c>
      <c r="H111" cm="1">
        <f t="array" ref="H111:H114">_xlfn.XLOOKUP(E111, $AP$46:$AY$46, $AP$47:$AY$50)</f>
        <v>440</v>
      </c>
      <c r="I111" cm="1">
        <f t="array" ref="I111:I114">_xlfn.XLOOKUP(E111, $AP$106:$AY$106, $AP$107:$AY$110)</f>
        <v>0.3</v>
      </c>
      <c r="J111">
        <v>1</v>
      </c>
      <c r="K111">
        <v>1.3</v>
      </c>
      <c r="L111">
        <f t="shared" si="16"/>
        <v>1.3</v>
      </c>
      <c r="M111">
        <f t="shared" si="17"/>
        <v>10.001723663880002</v>
      </c>
      <c r="N111">
        <f>(M111 * (1 -S$11) + (0.04 * M111)) * ( 1 - AD$11 )</f>
        <v>4.1167094600530074</v>
      </c>
      <c r="O111">
        <f t="shared" si="13"/>
        <v>1.9367899463549227E-4</v>
      </c>
      <c r="P111">
        <f>N111 * AB$11 * Y$11 * AA$11 * AC$11</f>
        <v>2.3188416618002772E-3</v>
      </c>
      <c r="Q111">
        <f t="shared" si="14"/>
        <v>0</v>
      </c>
      <c r="R111">
        <f t="shared" si="15"/>
        <v>0</v>
      </c>
      <c r="AM111" t="s">
        <v>59</v>
      </c>
      <c r="AO111" t="s">
        <v>54</v>
      </c>
      <c r="AP111">
        <v>0.99</v>
      </c>
      <c r="AQ111">
        <v>1.1000000000000001</v>
      </c>
      <c r="AR111">
        <v>0.88</v>
      </c>
      <c r="AS111">
        <v>0.55000000000000004</v>
      </c>
      <c r="AT111">
        <v>0.55000000000000004</v>
      </c>
      <c r="AU111">
        <v>0.55000000000000004</v>
      </c>
      <c r="AV111">
        <v>0.88</v>
      </c>
      <c r="AW111">
        <v>0.22</v>
      </c>
      <c r="AX111">
        <v>0.22</v>
      </c>
      <c r="AY111">
        <v>0.22</v>
      </c>
    </row>
    <row r="112" spans="5:51" x14ac:dyDescent="0.2">
      <c r="F112" t="s">
        <v>55</v>
      </c>
      <c r="H112">
        <v>470</v>
      </c>
      <c r="I112">
        <v>0.3</v>
      </c>
      <c r="J112">
        <v>0</v>
      </c>
      <c r="K112">
        <v>1.1000000000000001</v>
      </c>
      <c r="L112">
        <f t="shared" si="16"/>
        <v>1</v>
      </c>
      <c r="M112">
        <f t="shared" si="17"/>
        <v>8.0596938816000012</v>
      </c>
      <c r="N112">
        <f>(M112 * (1 -T$11) + (0.04 * M112)) * ( 1 - AD$11 )</f>
        <v>2.6403557156121602</v>
      </c>
      <c r="O112">
        <f t="shared" si="13"/>
        <v>1.2422092096663393E-4</v>
      </c>
      <c r="P112">
        <f>N112 * AB$11 * Y$11 * AA$11 * AC$11</f>
        <v>1.4872477386964117E-3</v>
      </c>
      <c r="Q112">
        <f t="shared" si="14"/>
        <v>0</v>
      </c>
      <c r="R112">
        <f t="shared" si="15"/>
        <v>0</v>
      </c>
      <c r="AO112" t="s">
        <v>55</v>
      </c>
      <c r="AP112">
        <v>0.77</v>
      </c>
      <c r="AQ112">
        <v>0</v>
      </c>
      <c r="AR112">
        <v>0.66</v>
      </c>
      <c r="AS112">
        <v>0.22</v>
      </c>
      <c r="AT112">
        <v>0</v>
      </c>
      <c r="AU112">
        <v>0</v>
      </c>
      <c r="AV112">
        <v>0.66</v>
      </c>
      <c r="AW112">
        <v>0</v>
      </c>
      <c r="AX112">
        <v>0</v>
      </c>
      <c r="AY112">
        <v>0</v>
      </c>
    </row>
    <row r="113" spans="5:51" x14ac:dyDescent="0.2">
      <c r="F113" t="s">
        <v>56</v>
      </c>
      <c r="H113">
        <v>490</v>
      </c>
      <c r="I113">
        <v>0.2</v>
      </c>
      <c r="J113">
        <v>0</v>
      </c>
      <c r="K113">
        <v>1</v>
      </c>
      <c r="L113">
        <f t="shared" si="16"/>
        <v>1</v>
      </c>
      <c r="M113">
        <f t="shared" si="17"/>
        <v>8.1130407556000002</v>
      </c>
      <c r="N113">
        <f>(M113 * (1 -U$11) + (0.04 * M113)) * ( 1 - AD$11 )</f>
        <v>2.99857986326976</v>
      </c>
      <c r="O113">
        <f t="shared" si="13"/>
        <v>1.4107430677044692E-4</v>
      </c>
      <c r="P113">
        <f>N113 * AB$11 * Y$11 * AA$11 * AC$11</f>
        <v>1.6890266317448027E-3</v>
      </c>
      <c r="Q113">
        <f t="shared" si="14"/>
        <v>0</v>
      </c>
      <c r="R113">
        <f t="shared" si="15"/>
        <v>0</v>
      </c>
      <c r="AO113" t="s">
        <v>56</v>
      </c>
      <c r="AP113">
        <v>0.9</v>
      </c>
      <c r="AQ113">
        <v>-1.1000000000000001</v>
      </c>
      <c r="AR113">
        <v>0.7</v>
      </c>
      <c r="AS113">
        <v>0.22</v>
      </c>
      <c r="AT113">
        <v>-0.55000000000000004</v>
      </c>
      <c r="AU113">
        <v>-0.55000000000000004</v>
      </c>
      <c r="AV113">
        <v>0.8</v>
      </c>
      <c r="AW113">
        <v>-0.22</v>
      </c>
      <c r="AX113">
        <v>-0.22</v>
      </c>
      <c r="AY113">
        <v>-0.22</v>
      </c>
    </row>
    <row r="114" spans="5:51" x14ac:dyDescent="0.2">
      <c r="F114" t="s">
        <v>57</v>
      </c>
      <c r="H114">
        <v>500</v>
      </c>
      <c r="I114">
        <v>0.1</v>
      </c>
      <c r="J114">
        <v>0</v>
      </c>
      <c r="K114">
        <v>1</v>
      </c>
      <c r="L114">
        <f t="shared" si="16"/>
        <v>1</v>
      </c>
      <c r="M114">
        <f t="shared" si="17"/>
        <v>8.0457322500000004</v>
      </c>
      <c r="N114">
        <f>(M114 * (1 -V$11) + (0.04 * M114)) * ( 1 - AD$11 )</f>
        <v>3.6495441486</v>
      </c>
      <c r="O114">
        <f t="shared" si="13"/>
        <v>1.7170024954095013E-4</v>
      </c>
      <c r="P114">
        <f>N114 * AB$11 * Y$11 * AA$11 * AC$11</f>
        <v>2.0556988780656223E-3</v>
      </c>
      <c r="Q114">
        <f t="shared" si="14"/>
        <v>0</v>
      </c>
      <c r="R114">
        <f t="shared" si="15"/>
        <v>0</v>
      </c>
      <c r="AO114" t="s">
        <v>57</v>
      </c>
      <c r="AP114">
        <v>0.88</v>
      </c>
      <c r="AQ114">
        <v>0</v>
      </c>
      <c r="AR114">
        <v>0.77</v>
      </c>
      <c r="AS114" s="2">
        <v>0.55000000000000004</v>
      </c>
      <c r="AT114" s="2">
        <v>0</v>
      </c>
      <c r="AU114" s="2">
        <v>0</v>
      </c>
      <c r="AV114" s="2">
        <v>0.82</v>
      </c>
      <c r="AW114" s="2">
        <v>0</v>
      </c>
      <c r="AX114" s="2">
        <v>0</v>
      </c>
      <c r="AY114" s="2">
        <v>0</v>
      </c>
    </row>
    <row r="115" spans="5:51" x14ac:dyDescent="0.2">
      <c r="E115" t="s">
        <v>48</v>
      </c>
      <c r="F115" t="s">
        <v>54</v>
      </c>
      <c r="G115">
        <v>200</v>
      </c>
      <c r="H115" cm="1">
        <f t="array" ref="H115:H118">_xlfn.XLOOKUP(E115, $AP$46:$AY$46, $AP$47:$AY$50)</f>
        <v>75</v>
      </c>
      <c r="I115" cm="1">
        <f t="array" ref="I115:I118">_xlfn.XLOOKUP(E115, $AP$106:$AY$106, $AP$107:$AY$110)</f>
        <v>0.5</v>
      </c>
      <c r="L115">
        <v>1</v>
      </c>
      <c r="M115">
        <f t="shared" si="17"/>
        <v>2.7834751406249998</v>
      </c>
      <c r="N115">
        <f>(M115 * (1 -S$11) + (0.04 * M115)) * ( 1 - AD$11 )</f>
        <v>1.1456783678812499</v>
      </c>
      <c r="O115">
        <f t="shared" si="13"/>
        <v>5.390077600084388E-5</v>
      </c>
      <c r="P115">
        <f>N115 * AB$11 * Y$11 * AA$11 * AC$11</f>
        <v>6.4533257842106233E-4</v>
      </c>
      <c r="Q115">
        <f t="shared" si="14"/>
        <v>0.98368916201540069</v>
      </c>
      <c r="R115">
        <f t="shared" si="15"/>
        <v>11.777319556184386</v>
      </c>
      <c r="AM115" t="s">
        <v>69</v>
      </c>
      <c r="AO115" t="s">
        <v>54</v>
      </c>
      <c r="AP115">
        <v>1</v>
      </c>
      <c r="AQ115">
        <v>0.5</v>
      </c>
      <c r="AR115">
        <v>1</v>
      </c>
      <c r="AS115" s="2">
        <v>1</v>
      </c>
      <c r="AT115" s="2">
        <v>-0.44</v>
      </c>
      <c r="AU115" s="2">
        <v>-0.44</v>
      </c>
      <c r="AV115" s="2">
        <v>1</v>
      </c>
      <c r="AW115" s="2">
        <v>0.5</v>
      </c>
      <c r="AX115" s="2">
        <v>0.5</v>
      </c>
      <c r="AY115" s="2">
        <v>0.5</v>
      </c>
    </row>
    <row r="116" spans="5:51" x14ac:dyDescent="0.2">
      <c r="F116" t="s">
        <v>55</v>
      </c>
      <c r="G116">
        <v>130</v>
      </c>
      <c r="H116">
        <v>160</v>
      </c>
      <c r="I116">
        <v>0.9</v>
      </c>
      <c r="L116">
        <v>1</v>
      </c>
      <c r="M116">
        <f t="shared" si="17"/>
        <v>4.5298311556000002</v>
      </c>
      <c r="N116">
        <f>(M116 * (1 -T$11) + (0.04 * M116)) * ( 1 - AD$11 )</f>
        <v>1.4839726865745599</v>
      </c>
      <c r="O116">
        <f t="shared" si="13"/>
        <v>6.9816522344180778E-5</v>
      </c>
      <c r="P116">
        <f>N116 * AB$11 * Y$11 * AA$11 * AC$11</f>
        <v>8.3588548669608228E-4</v>
      </c>
      <c r="Q116">
        <f t="shared" si="14"/>
        <v>0.82819849630784437</v>
      </c>
      <c r="R116">
        <f t="shared" si="15"/>
        <v>9.9156915859322758</v>
      </c>
      <c r="AO116" t="s">
        <v>55</v>
      </c>
      <c r="AP116">
        <v>0.82</v>
      </c>
      <c r="AQ116">
        <v>0.55000000000000004</v>
      </c>
      <c r="AR116">
        <v>0.71</v>
      </c>
      <c r="AS116" s="2">
        <v>0.55000000000000004</v>
      </c>
      <c r="AT116" s="2">
        <v>0.99</v>
      </c>
      <c r="AU116" s="2">
        <v>0.99</v>
      </c>
      <c r="AV116" s="2">
        <v>0.77</v>
      </c>
      <c r="AW116" s="2">
        <v>0.5</v>
      </c>
      <c r="AX116" s="2">
        <v>0.5</v>
      </c>
      <c r="AY116" s="2">
        <v>0.5</v>
      </c>
    </row>
    <row r="117" spans="5:51" x14ac:dyDescent="0.2">
      <c r="F117" t="s">
        <v>56</v>
      </c>
      <c r="G117">
        <v>250</v>
      </c>
      <c r="H117">
        <v>220</v>
      </c>
      <c r="I117">
        <v>0.7</v>
      </c>
      <c r="L117">
        <v>1</v>
      </c>
      <c r="M117">
        <f t="shared" si="17"/>
        <v>5.1913799715999973</v>
      </c>
      <c r="N117">
        <f>(M117 * (1 -U$11) + (0.04 * M117)) * ( 1 - AD$11 )</f>
        <v>1.918734037503359</v>
      </c>
      <c r="O117">
        <f t="shared" si="13"/>
        <v>9.0270757011782037E-5</v>
      </c>
      <c r="P117">
        <f>N117 * AB$11 * Y$11 * AA$11 * AC$11</f>
        <v>1.0807759127164039E-3</v>
      </c>
      <c r="Q117">
        <f t="shared" si="14"/>
        <v>2.0593016443312777</v>
      </c>
      <c r="R117">
        <f t="shared" si="15"/>
        <v>24.655200508842963</v>
      </c>
      <c r="AO117" t="s">
        <v>56</v>
      </c>
      <c r="AP117">
        <v>0.77</v>
      </c>
      <c r="AQ117">
        <v>0.5</v>
      </c>
      <c r="AR117">
        <v>0.55000000000000004</v>
      </c>
      <c r="AS117" s="2">
        <v>0.11</v>
      </c>
      <c r="AT117" s="2">
        <v>-0.33</v>
      </c>
      <c r="AU117" s="2">
        <v>-0.33</v>
      </c>
      <c r="AV117" s="2">
        <v>0.6</v>
      </c>
      <c r="AW117" s="2">
        <v>0.33</v>
      </c>
      <c r="AX117" s="2">
        <v>0.33</v>
      </c>
      <c r="AY117" s="2">
        <v>0.33</v>
      </c>
    </row>
    <row r="118" spans="5:51" x14ac:dyDescent="0.2">
      <c r="F118" t="s">
        <v>57</v>
      </c>
      <c r="G118">
        <v>150</v>
      </c>
      <c r="H118">
        <v>260</v>
      </c>
      <c r="I118">
        <v>0.4</v>
      </c>
      <c r="L118">
        <v>1</v>
      </c>
      <c r="M118">
        <f t="shared" si="17"/>
        <v>5.3621886096000004</v>
      </c>
      <c r="N118">
        <f>(M118 * (1 -V$11) + (0.04 * M118)) * ( 1 - AD$11 )</f>
        <v>2.4322887533145603</v>
      </c>
      <c r="O118">
        <f t="shared" si="13"/>
        <v>1.1443198626874025E-4</v>
      </c>
      <c r="P118">
        <f>N118 * AB$11 * Y$11 * AA$11 * AC$11</f>
        <v>1.3700487123134107E-3</v>
      </c>
      <c r="Q118">
        <f t="shared" si="14"/>
        <v>1.5662878120533821</v>
      </c>
      <c r="R118">
        <f t="shared" si="15"/>
        <v>18.75254174978981</v>
      </c>
      <c r="AO118" t="s">
        <v>57</v>
      </c>
      <c r="AP118">
        <v>0.11</v>
      </c>
      <c r="AQ118">
        <v>-0.27</v>
      </c>
      <c r="AR118">
        <v>0.11</v>
      </c>
      <c r="AS118" s="2">
        <v>0.22</v>
      </c>
      <c r="AT118" s="2">
        <v>-0.44</v>
      </c>
      <c r="AU118" s="2">
        <v>-0.44</v>
      </c>
      <c r="AV118" s="2">
        <v>0.16</v>
      </c>
      <c r="AW118" s="2">
        <v>-0.22</v>
      </c>
      <c r="AX118" s="2">
        <v>-0.22</v>
      </c>
      <c r="AY118" s="2">
        <v>-0.22</v>
      </c>
    </row>
    <row r="119" spans="5:51" x14ac:dyDescent="0.2">
      <c r="E119" t="s">
        <v>49</v>
      </c>
      <c r="F119" t="s">
        <v>54</v>
      </c>
      <c r="H119" cm="1">
        <f t="array" ref="H119:H122">_xlfn.XLOOKUP(E119, $AP$46:$AY$46, $AP$47:$AY$50)</f>
        <v>380</v>
      </c>
      <c r="I119" cm="1">
        <f t="array" ref="I119:I122">_xlfn.XLOOKUP(E119, $AP$106:$AY$106, $AP$107:$AY$110)</f>
        <v>0.4</v>
      </c>
      <c r="L119">
        <v>1</v>
      </c>
      <c r="M119">
        <f t="shared" si="17"/>
        <v>7.0796437775999967</v>
      </c>
      <c r="N119">
        <f>(M119 * (1 -S$11) + (0.04 * M119)) * ( 1 - AD$11 )</f>
        <v>2.9139813788601581</v>
      </c>
      <c r="O119">
        <f t="shared" si="13"/>
        <v>1.37094198490489E-4</v>
      </c>
      <c r="P119">
        <f>N119 * AB$11 * Y$11 * AA$11 * AC$11</f>
        <v>1.6413743764477724E-3</v>
      </c>
      <c r="Q119">
        <f t="shared" si="14"/>
        <v>0</v>
      </c>
      <c r="R119">
        <f t="shared" si="15"/>
        <v>0</v>
      </c>
      <c r="AM119" t="s">
        <v>70</v>
      </c>
      <c r="AO119" t="s">
        <v>54</v>
      </c>
      <c r="AP119">
        <v>1.1000000000000001</v>
      </c>
      <c r="AQ119">
        <v>1.1000000000000001</v>
      </c>
      <c r="AR119">
        <v>1.1000000000000001</v>
      </c>
      <c r="AS119" s="2">
        <v>0.99</v>
      </c>
      <c r="AT119" s="2">
        <v>0.99</v>
      </c>
      <c r="AU119" s="2">
        <v>0.99</v>
      </c>
      <c r="AV119" s="2">
        <v>1.1000000000000001</v>
      </c>
      <c r="AW119" s="2">
        <v>0.77</v>
      </c>
      <c r="AX119" s="2">
        <v>0.77</v>
      </c>
      <c r="AY119" s="2">
        <v>0.77</v>
      </c>
    </row>
    <row r="120" spans="5:51" x14ac:dyDescent="0.2">
      <c r="F120" t="s">
        <v>55</v>
      </c>
      <c r="H120">
        <v>420</v>
      </c>
      <c r="I120">
        <v>0.4</v>
      </c>
      <c r="L120">
        <v>1</v>
      </c>
      <c r="M120">
        <f t="shared" si="17"/>
        <v>7.6129639056</v>
      </c>
      <c r="N120">
        <f>(M120 * (1 -T$11) + (0.04 * M120)) * ( 1 - AD$11 )</f>
        <v>2.49400697547456</v>
      </c>
      <c r="O120">
        <f t="shared" si="13"/>
        <v>1.1733564593543065E-4</v>
      </c>
      <c r="P120">
        <f>N120 * AB$11 * Y$11 * AA$11 * AC$11</f>
        <v>1.4048130759940598E-3</v>
      </c>
      <c r="Q120">
        <f t="shared" si="14"/>
        <v>0</v>
      </c>
      <c r="R120">
        <f t="shared" si="15"/>
        <v>0</v>
      </c>
      <c r="AO120" t="s">
        <v>55</v>
      </c>
      <c r="AP120">
        <v>0.33</v>
      </c>
      <c r="AQ120">
        <v>0.33</v>
      </c>
      <c r="AR120">
        <v>0.22</v>
      </c>
      <c r="AS120" s="2">
        <v>0.33</v>
      </c>
      <c r="AT120" s="2">
        <v>-0.1</v>
      </c>
      <c r="AU120" s="2">
        <v>-0.1</v>
      </c>
      <c r="AV120" s="2">
        <v>0.33</v>
      </c>
      <c r="AW120" s="2">
        <v>0.11</v>
      </c>
      <c r="AX120" s="2">
        <v>0.11</v>
      </c>
      <c r="AY120" s="2">
        <v>0.11</v>
      </c>
    </row>
    <row r="121" spans="5:51" x14ac:dyDescent="0.2">
      <c r="F121" t="s">
        <v>56</v>
      </c>
      <c r="H121">
        <v>450</v>
      </c>
      <c r="I121">
        <v>0.3</v>
      </c>
      <c r="L121">
        <v>1</v>
      </c>
      <c r="M121">
        <f t="shared" si="17"/>
        <v>7.8176159999999992</v>
      </c>
      <c r="N121">
        <f>(M121 * (1 -U$11) + (0.04 * M121)) * ( 1 - AD$11 )</f>
        <v>2.8893908736</v>
      </c>
      <c r="O121">
        <f t="shared" si="13"/>
        <v>1.3593728800589413E-4</v>
      </c>
      <c r="P121">
        <f>N121 * AB$11 * Y$11 * AA$11 * AC$11</f>
        <v>1.627523146810294E-3</v>
      </c>
      <c r="Q121">
        <f t="shared" si="14"/>
        <v>0</v>
      </c>
      <c r="R121">
        <f t="shared" si="15"/>
        <v>0</v>
      </c>
      <c r="AO121" t="s">
        <v>56</v>
      </c>
      <c r="AP121">
        <v>0.5</v>
      </c>
      <c r="AQ121">
        <v>0.2</v>
      </c>
      <c r="AR121">
        <v>0.55000000000000004</v>
      </c>
      <c r="AS121" s="2">
        <v>0.44</v>
      </c>
      <c r="AT121" s="2">
        <v>0.2</v>
      </c>
      <c r="AU121" s="2">
        <v>0.2</v>
      </c>
      <c r="AV121" s="2">
        <v>0.55000000000000004</v>
      </c>
      <c r="AW121" s="2">
        <v>0.2</v>
      </c>
      <c r="AX121" s="2">
        <v>0.2</v>
      </c>
      <c r="AY121" s="2">
        <v>0.2</v>
      </c>
    </row>
    <row r="122" spans="5:51" x14ac:dyDescent="0.2">
      <c r="F122" t="s">
        <v>57</v>
      </c>
      <c r="H122">
        <v>460</v>
      </c>
      <c r="I122">
        <v>0.1</v>
      </c>
      <c r="L122">
        <v>1</v>
      </c>
      <c r="M122">
        <f t="shared" si="17"/>
        <v>7.5885924675999998</v>
      </c>
      <c r="N122">
        <f>(M122 * (1 -V$11) + (0.04 * M122)) * ( 1 - AD$11 )</f>
        <v>3.4421855433033599</v>
      </c>
      <c r="O122">
        <f t="shared" si="13"/>
        <v>1.6194464094321492E-4</v>
      </c>
      <c r="P122">
        <f>N122 * AB$11 * Y$11 * AA$11 * AC$11</f>
        <v>1.9388988518406825E-3</v>
      </c>
      <c r="Q122">
        <f t="shared" si="14"/>
        <v>0</v>
      </c>
      <c r="R122">
        <f t="shared" si="15"/>
        <v>0</v>
      </c>
      <c r="AO122" t="s">
        <v>57</v>
      </c>
      <c r="AP122">
        <v>0.55000000000000004</v>
      </c>
      <c r="AQ122">
        <v>0.22</v>
      </c>
      <c r="AR122">
        <v>0.49</v>
      </c>
      <c r="AS122" s="2">
        <v>0.22</v>
      </c>
      <c r="AT122" s="2">
        <v>0.22</v>
      </c>
      <c r="AU122" s="2">
        <v>0.22</v>
      </c>
      <c r="AV122" s="2">
        <v>0.49</v>
      </c>
      <c r="AW122" s="2">
        <v>0.33</v>
      </c>
      <c r="AX122" s="2">
        <v>0.33</v>
      </c>
      <c r="AY122" s="2">
        <v>0.33</v>
      </c>
    </row>
    <row r="123" spans="5:51" x14ac:dyDescent="0.2">
      <c r="E123" t="s">
        <v>50</v>
      </c>
      <c r="F123" t="s">
        <v>54</v>
      </c>
      <c r="H123" cm="1">
        <f t="array" ref="H123:H126">_xlfn.XLOOKUP(E123, $AP$46:$AY$46, $AP$47:$AY$50)</f>
        <v>380</v>
      </c>
      <c r="I123" cm="1">
        <f t="array" ref="I123:I126">_xlfn.XLOOKUP(E123, $AP$106:$AY$106, $AP$107:$AY$110)</f>
        <v>0.4</v>
      </c>
      <c r="L123">
        <v>1</v>
      </c>
      <c r="M123">
        <f t="shared" si="17"/>
        <v>7.0796437775999967</v>
      </c>
      <c r="N123">
        <f>(M123 * (1 -S$11) + (0.04 * M123)) * ( 1 - AD$11 )</f>
        <v>2.9139813788601581</v>
      </c>
      <c r="O123">
        <f t="shared" si="13"/>
        <v>1.37094198490489E-4</v>
      </c>
      <c r="P123">
        <f>N123 * AB$11 * Y$11 * AA$11 * AC$11</f>
        <v>1.6413743764477724E-3</v>
      </c>
      <c r="Q123">
        <f t="shared" si="14"/>
        <v>0</v>
      </c>
      <c r="R123">
        <f t="shared" si="15"/>
        <v>0</v>
      </c>
      <c r="AM123" t="s">
        <v>65</v>
      </c>
      <c r="AN123" t="s">
        <v>62</v>
      </c>
      <c r="AO123" t="s">
        <v>54</v>
      </c>
      <c r="AP123">
        <v>1.64</v>
      </c>
      <c r="AQ123">
        <v>1.1000000000000001</v>
      </c>
      <c r="AR123">
        <v>1.21</v>
      </c>
      <c r="AS123" s="2">
        <v>0.99</v>
      </c>
      <c r="AT123" s="2">
        <v>0.66</v>
      </c>
      <c r="AU123" s="2">
        <v>0.66</v>
      </c>
      <c r="AV123" s="2">
        <v>1.42</v>
      </c>
      <c r="AW123" s="2">
        <v>1.1000000000000001</v>
      </c>
      <c r="AX123" s="2">
        <v>1.1000000000000001</v>
      </c>
      <c r="AY123" s="2">
        <v>1.1000000000000001</v>
      </c>
    </row>
    <row r="124" spans="5:51" x14ac:dyDescent="0.2">
      <c r="F124" t="s">
        <v>55</v>
      </c>
      <c r="H124">
        <v>420</v>
      </c>
      <c r="I124">
        <v>0.4</v>
      </c>
      <c r="L124">
        <v>1</v>
      </c>
      <c r="M124">
        <f t="shared" si="17"/>
        <v>7.6129639056</v>
      </c>
      <c r="N124">
        <f>(M124 * (1 -T$11) + (0.04 * M124)) * ( 1 - AD$11 )</f>
        <v>2.49400697547456</v>
      </c>
      <c r="O124">
        <f t="shared" si="13"/>
        <v>1.1733564593543065E-4</v>
      </c>
      <c r="P124">
        <f>N124 * AB$11 * Y$11 * AA$11 * AC$11</f>
        <v>1.4048130759940598E-3</v>
      </c>
      <c r="Q124">
        <f t="shared" si="14"/>
        <v>0</v>
      </c>
      <c r="R124">
        <f t="shared" si="15"/>
        <v>0</v>
      </c>
      <c r="AO124" t="s">
        <v>55</v>
      </c>
      <c r="AP124">
        <v>0.44</v>
      </c>
      <c r="AQ124">
        <v>-0.22</v>
      </c>
      <c r="AR124">
        <v>0.44</v>
      </c>
      <c r="AS124" s="2">
        <v>0.33</v>
      </c>
      <c r="AT124" s="2">
        <v>-0.22</v>
      </c>
      <c r="AU124" s="2">
        <v>-0.22</v>
      </c>
      <c r="AV124" s="2">
        <v>0.44</v>
      </c>
      <c r="AW124" s="2">
        <v>-0.11</v>
      </c>
      <c r="AX124" s="2">
        <v>-0.11</v>
      </c>
      <c r="AY124" s="2">
        <v>-0.11</v>
      </c>
    </row>
    <row r="125" spans="5:51" x14ac:dyDescent="0.2">
      <c r="F125" t="s">
        <v>56</v>
      </c>
      <c r="H125">
        <v>450</v>
      </c>
      <c r="I125">
        <v>0.3</v>
      </c>
      <c r="L125">
        <v>1</v>
      </c>
      <c r="M125">
        <f t="shared" si="17"/>
        <v>7.8176159999999992</v>
      </c>
      <c r="N125">
        <f>(M125 * (1 -U$11) + (0.04 * M125)) * ( 1 - AD$11 )</f>
        <v>2.8893908736</v>
      </c>
      <c r="O125">
        <f t="shared" si="13"/>
        <v>1.3593728800589413E-4</v>
      </c>
      <c r="P125">
        <f>N125 * AB$11 * Y$11 * AA$11 * AC$11</f>
        <v>1.627523146810294E-3</v>
      </c>
      <c r="Q125">
        <f t="shared" si="14"/>
        <v>0</v>
      </c>
      <c r="R125">
        <f t="shared" si="15"/>
        <v>0</v>
      </c>
      <c r="AO125" t="s">
        <v>56</v>
      </c>
      <c r="AP125">
        <v>0.6</v>
      </c>
      <c r="AQ125">
        <v>0</v>
      </c>
      <c r="AR125">
        <v>0.6</v>
      </c>
      <c r="AS125" s="2">
        <v>0.22</v>
      </c>
      <c r="AT125" s="2">
        <v>-0.55000000000000004</v>
      </c>
      <c r="AU125" s="2">
        <v>-0.55000000000000004</v>
      </c>
      <c r="AV125" s="2">
        <v>0.6</v>
      </c>
      <c r="AW125" s="2">
        <v>0</v>
      </c>
      <c r="AX125" s="2">
        <v>0</v>
      </c>
      <c r="AY125" s="2">
        <v>0</v>
      </c>
    </row>
    <row r="126" spans="5:51" x14ac:dyDescent="0.2">
      <c r="F126" t="s">
        <v>57</v>
      </c>
      <c r="H126">
        <v>460</v>
      </c>
      <c r="I126">
        <v>0.1</v>
      </c>
      <c r="L126">
        <v>1</v>
      </c>
      <c r="M126">
        <f t="shared" si="17"/>
        <v>7.5885924675999998</v>
      </c>
      <c r="N126">
        <f>(M126 * (1 -V$11) + (0.04 * M126)) * ( 1 - AD$11 )</f>
        <v>3.4421855433033599</v>
      </c>
      <c r="O126">
        <f t="shared" si="13"/>
        <v>1.6194464094321492E-4</v>
      </c>
      <c r="P126">
        <f>N126 * AB$11 * Y$11 * AA$11 * AC$11</f>
        <v>1.9388988518406825E-3</v>
      </c>
      <c r="Q126">
        <f t="shared" si="14"/>
        <v>0</v>
      </c>
      <c r="R126">
        <f t="shared" si="15"/>
        <v>0</v>
      </c>
      <c r="AO126" t="s">
        <v>57</v>
      </c>
      <c r="AP126">
        <v>0.99</v>
      </c>
      <c r="AQ126">
        <v>0.22</v>
      </c>
      <c r="AR126">
        <v>0.77</v>
      </c>
      <c r="AS126" s="2">
        <v>0.11</v>
      </c>
      <c r="AT126" s="2">
        <v>0.11</v>
      </c>
      <c r="AU126" s="2">
        <v>0.11</v>
      </c>
      <c r="AV126" s="2">
        <v>0.77</v>
      </c>
      <c r="AW126" s="2">
        <v>0.44</v>
      </c>
      <c r="AX126" s="2">
        <v>0.44</v>
      </c>
      <c r="AY126" s="2">
        <v>0.44</v>
      </c>
    </row>
    <row r="127" spans="5:51" x14ac:dyDescent="0.2">
      <c r="E127" t="s">
        <v>51</v>
      </c>
      <c r="F127" t="s">
        <v>54</v>
      </c>
      <c r="H127" cm="1">
        <f t="array" ref="H127:H130">_xlfn.XLOOKUP(E127, $AP$46:$AY$46, $AP$47:$AY$50)</f>
        <v>380</v>
      </c>
      <c r="I127" cm="1">
        <f t="array" ref="I127:I130">_xlfn.XLOOKUP(E127, $AP$106:$AY$106, $AP$107:$AY$110)</f>
        <v>0.4</v>
      </c>
      <c r="L127">
        <v>1</v>
      </c>
      <c r="M127">
        <f t="shared" si="17"/>
        <v>7.0796437775999967</v>
      </c>
      <c r="N127">
        <f>(M127 * (1 -S$11) + (0.04 * M127)) * ( 1 - AD$11 )</f>
        <v>2.9139813788601581</v>
      </c>
      <c r="O127">
        <f t="shared" si="13"/>
        <v>1.37094198490489E-4</v>
      </c>
      <c r="P127">
        <f>N127 * AB$11 * Y$11 * AA$11 * AC$11</f>
        <v>1.6413743764477724E-3</v>
      </c>
      <c r="Q127">
        <f t="shared" si="14"/>
        <v>0</v>
      </c>
      <c r="R127">
        <f t="shared" si="15"/>
        <v>0</v>
      </c>
      <c r="AM127" t="s">
        <v>65</v>
      </c>
      <c r="AN127" t="s">
        <v>63</v>
      </c>
      <c r="AO127" t="s">
        <v>54</v>
      </c>
      <c r="AP127">
        <v>0.7</v>
      </c>
      <c r="AQ127">
        <v>-0.55000000000000004</v>
      </c>
      <c r="AR127">
        <v>0.7</v>
      </c>
      <c r="AS127" s="2">
        <v>0.22</v>
      </c>
      <c r="AT127" s="2">
        <v>-0.22</v>
      </c>
      <c r="AU127" s="2">
        <v>-0.22</v>
      </c>
      <c r="AV127" s="2">
        <v>0.7</v>
      </c>
      <c r="AW127" s="2">
        <v>-0.22</v>
      </c>
      <c r="AX127" s="2">
        <v>-0.22</v>
      </c>
      <c r="AY127" s="2">
        <v>-0.22</v>
      </c>
    </row>
    <row r="128" spans="5:51" x14ac:dyDescent="0.2">
      <c r="F128" t="s">
        <v>55</v>
      </c>
      <c r="H128">
        <v>420</v>
      </c>
      <c r="I128">
        <v>0.4</v>
      </c>
      <c r="L128">
        <v>1</v>
      </c>
      <c r="M128">
        <f t="shared" si="17"/>
        <v>7.6129639056</v>
      </c>
      <c r="N128">
        <f>(M128 * (1 -T$11) + (0.04 * M128)) * ( 1 - AD$11 )</f>
        <v>2.49400697547456</v>
      </c>
      <c r="O128">
        <f t="shared" si="13"/>
        <v>1.1733564593543065E-4</v>
      </c>
      <c r="P128">
        <f>N128 * AB$11 * Y$11 * AA$11 * AC$11</f>
        <v>1.4048130759940598E-3</v>
      </c>
      <c r="Q128">
        <f t="shared" si="14"/>
        <v>0</v>
      </c>
      <c r="R128">
        <f t="shared" si="15"/>
        <v>0</v>
      </c>
      <c r="AO128" t="s">
        <v>55</v>
      </c>
      <c r="AP128">
        <v>0.77</v>
      </c>
      <c r="AQ128">
        <v>0.55000000000000004</v>
      </c>
      <c r="AR128">
        <v>0.77</v>
      </c>
      <c r="AS128" s="2">
        <v>0.66</v>
      </c>
      <c r="AT128" s="2">
        <v>0.55000000000000004</v>
      </c>
      <c r="AU128" s="2">
        <v>0.55000000000000004</v>
      </c>
      <c r="AV128" s="2">
        <v>0.77</v>
      </c>
      <c r="AW128" s="2">
        <v>0.33</v>
      </c>
      <c r="AX128" s="2">
        <v>0.33</v>
      </c>
      <c r="AY128" s="2">
        <v>0.33</v>
      </c>
    </row>
    <row r="129" spans="1:51" x14ac:dyDescent="0.2">
      <c r="F129" t="s">
        <v>56</v>
      </c>
      <c r="H129">
        <v>450</v>
      </c>
      <c r="I129">
        <v>0.3</v>
      </c>
      <c r="L129">
        <v>1</v>
      </c>
      <c r="M129">
        <f t="shared" si="17"/>
        <v>7.8176159999999992</v>
      </c>
      <c r="N129">
        <f>(M129 * (1 -U$11) + (0.04 * M129)) * ( 1 - AD$11 )</f>
        <v>2.8893908736</v>
      </c>
      <c r="O129">
        <f t="shared" si="13"/>
        <v>1.3593728800589413E-4</v>
      </c>
      <c r="P129">
        <f>N129 * AB$11 * Y$11 * AA$11 * AC$11</f>
        <v>1.627523146810294E-3</v>
      </c>
      <c r="Q129">
        <f t="shared" si="14"/>
        <v>0</v>
      </c>
      <c r="R129">
        <f t="shared" si="15"/>
        <v>0</v>
      </c>
      <c r="AO129" t="s">
        <v>56</v>
      </c>
      <c r="AP129">
        <v>0.88</v>
      </c>
      <c r="AQ129">
        <v>0.55000000000000004</v>
      </c>
      <c r="AR129">
        <v>0.88</v>
      </c>
      <c r="AS129" s="2">
        <v>0.22</v>
      </c>
      <c r="AT129" s="2">
        <v>0.22</v>
      </c>
      <c r="AU129" s="2">
        <v>0.22</v>
      </c>
      <c r="AV129" s="2">
        <v>0.88</v>
      </c>
      <c r="AW129" s="2">
        <v>0.22</v>
      </c>
      <c r="AX129" s="2">
        <v>0.22</v>
      </c>
      <c r="AY129" s="2">
        <v>0.22</v>
      </c>
    </row>
    <row r="130" spans="1:51" x14ac:dyDescent="0.2">
      <c r="F130" t="s">
        <v>57</v>
      </c>
      <c r="H130">
        <v>460</v>
      </c>
      <c r="I130">
        <v>0.1</v>
      </c>
      <c r="L130">
        <v>1</v>
      </c>
      <c r="M130">
        <f t="shared" si="17"/>
        <v>7.5885924675999998</v>
      </c>
      <c r="N130">
        <f>(M130 * (1 -V$11) + (0.04 * M130)) * ( 1 - AD$11 )</f>
        <v>3.4421855433033599</v>
      </c>
      <c r="O130">
        <f t="shared" si="13"/>
        <v>1.6194464094321492E-4</v>
      </c>
      <c r="P130">
        <f>N130 * AB$11 * Y$11 * AA$11 * AC$11</f>
        <v>1.9388988518406825E-3</v>
      </c>
      <c r="Q130">
        <f t="shared" si="14"/>
        <v>0</v>
      </c>
      <c r="R130">
        <f t="shared" si="15"/>
        <v>0</v>
      </c>
      <c r="AO130" t="s">
        <v>57</v>
      </c>
      <c r="AP130">
        <v>0.22</v>
      </c>
      <c r="AQ130">
        <v>-0.55000000000000004</v>
      </c>
      <c r="AR130">
        <v>0.22</v>
      </c>
      <c r="AS130" s="6">
        <v>0.11</v>
      </c>
      <c r="AT130" s="6">
        <v>-0.22</v>
      </c>
      <c r="AU130" s="6">
        <v>-0.22</v>
      </c>
      <c r="AV130" s="6">
        <v>0.22</v>
      </c>
      <c r="AW130" s="6">
        <v>-0.33</v>
      </c>
      <c r="AX130" s="6">
        <v>-0.33</v>
      </c>
      <c r="AY130" s="6">
        <v>-0.33</v>
      </c>
    </row>
    <row r="131" spans="1:51" x14ac:dyDescent="0.2">
      <c r="AM131" t="s">
        <v>65</v>
      </c>
      <c r="AN131" t="s">
        <v>71</v>
      </c>
      <c r="AO131" t="s">
        <v>54</v>
      </c>
      <c r="AP131">
        <v>0.22</v>
      </c>
      <c r="AQ131">
        <v>-0.55000000000000004</v>
      </c>
      <c r="AR131">
        <v>0.33</v>
      </c>
      <c r="AS131" s="6">
        <v>0.22</v>
      </c>
      <c r="AT131" s="6">
        <v>-0.33</v>
      </c>
      <c r="AU131" s="6">
        <v>-0.33</v>
      </c>
      <c r="AV131" s="6">
        <v>0.22</v>
      </c>
      <c r="AW131" s="6">
        <v>-0.55000000000000004</v>
      </c>
      <c r="AX131" s="6">
        <v>-0.55000000000000004</v>
      </c>
      <c r="AY131" s="6">
        <v>-0.55000000000000004</v>
      </c>
    </row>
    <row r="132" spans="1:51" x14ac:dyDescent="0.2">
      <c r="AO132" t="s">
        <v>55</v>
      </c>
      <c r="AP132">
        <v>0.8</v>
      </c>
      <c r="AQ132">
        <v>0.55000000000000004</v>
      </c>
      <c r="AR132">
        <v>0.7</v>
      </c>
      <c r="AS132" s="6">
        <v>0.44</v>
      </c>
      <c r="AT132" s="6">
        <v>0.66</v>
      </c>
      <c r="AU132" s="6">
        <v>0.66</v>
      </c>
      <c r="AV132" s="6">
        <v>0.8</v>
      </c>
      <c r="AW132" s="6">
        <v>0.55000000000000004</v>
      </c>
      <c r="AX132" s="6">
        <v>0.55000000000000004</v>
      </c>
      <c r="AY132" s="6">
        <v>0.55000000000000004</v>
      </c>
    </row>
    <row r="133" spans="1:51" x14ac:dyDescent="0.2">
      <c r="AO133" t="s">
        <v>56</v>
      </c>
      <c r="AP133">
        <v>0.66</v>
      </c>
      <c r="AQ133">
        <v>0.55000000000000004</v>
      </c>
      <c r="AR133">
        <v>0.55000000000000004</v>
      </c>
      <c r="AS133" s="6">
        <v>0.55000000000000004</v>
      </c>
      <c r="AT133" s="6">
        <v>0.11</v>
      </c>
      <c r="AU133" s="6">
        <v>0.11</v>
      </c>
      <c r="AV133" s="6">
        <v>0.66</v>
      </c>
      <c r="AW133" s="6">
        <v>0.55000000000000004</v>
      </c>
      <c r="AX133" s="6">
        <v>0.55000000000000004</v>
      </c>
      <c r="AY133" s="6">
        <v>0.55000000000000004</v>
      </c>
    </row>
    <row r="134" spans="1:51" x14ac:dyDescent="0.2">
      <c r="AO134" t="s">
        <v>57</v>
      </c>
      <c r="AP134">
        <v>0.33</v>
      </c>
      <c r="AQ134">
        <v>-0.55000000000000004</v>
      </c>
      <c r="AR134">
        <v>0.11</v>
      </c>
      <c r="AS134" s="6">
        <v>0.11</v>
      </c>
      <c r="AT134" s="6">
        <v>-0.44</v>
      </c>
      <c r="AU134" s="6">
        <v>-0.44</v>
      </c>
      <c r="AV134" s="6">
        <v>0.33</v>
      </c>
      <c r="AW134" s="6">
        <v>-0.55000000000000004</v>
      </c>
      <c r="AX134" s="6">
        <v>-0.55000000000000004</v>
      </c>
      <c r="AY134" s="6">
        <v>-0.55000000000000004</v>
      </c>
    </row>
    <row r="135" spans="1:51" x14ac:dyDescent="0.2">
      <c r="AM135" t="s">
        <v>73</v>
      </c>
      <c r="AN135" t="s">
        <v>74</v>
      </c>
      <c r="AO135" t="s">
        <v>54</v>
      </c>
      <c r="AP135">
        <v>0.22</v>
      </c>
      <c r="AQ135">
        <v>-0.23</v>
      </c>
      <c r="AR135">
        <v>0.25</v>
      </c>
      <c r="AS135" s="6">
        <v>0.17</v>
      </c>
      <c r="AT135" s="6">
        <v>0.18</v>
      </c>
      <c r="AU135" s="6">
        <v>-0.28000000000000003</v>
      </c>
      <c r="AV135" s="6">
        <v>0.32</v>
      </c>
      <c r="AW135" s="6">
        <v>0.24</v>
      </c>
      <c r="AX135" s="6">
        <v>0.25</v>
      </c>
      <c r="AY135">
        <v>-0.05</v>
      </c>
    </row>
    <row r="136" spans="1:51" x14ac:dyDescent="0.2">
      <c r="AO136" t="s">
        <v>55</v>
      </c>
      <c r="AP136">
        <v>0.66</v>
      </c>
      <c r="AQ136">
        <v>0.2</v>
      </c>
      <c r="AR136">
        <v>0.62</v>
      </c>
      <c r="AS136" s="6">
        <v>0.54</v>
      </c>
      <c r="AT136" s="6">
        <v>0.38</v>
      </c>
      <c r="AU136" s="6">
        <v>0.27</v>
      </c>
      <c r="AV136" s="6">
        <v>0.75</v>
      </c>
      <c r="AW136" s="6">
        <v>0.64</v>
      </c>
      <c r="AX136" s="6">
        <v>0.55000000000000004</v>
      </c>
      <c r="AY136">
        <v>0.48</v>
      </c>
    </row>
    <row r="137" spans="1:51" x14ac:dyDescent="0.2">
      <c r="AO137" t="s">
        <v>56</v>
      </c>
      <c r="AP137">
        <v>0.49</v>
      </c>
      <c r="AQ137">
        <v>0.13</v>
      </c>
      <c r="AR137">
        <v>0.54</v>
      </c>
      <c r="AS137" s="6">
        <v>0.45</v>
      </c>
      <c r="AT137" s="6">
        <v>0.35</v>
      </c>
      <c r="AU137" s="6">
        <v>0.15</v>
      </c>
      <c r="AV137" s="6">
        <v>0.63</v>
      </c>
      <c r="AW137" s="6">
        <v>0.54</v>
      </c>
      <c r="AX137" s="6">
        <v>0.42</v>
      </c>
      <c r="AY137">
        <v>0.26</v>
      </c>
    </row>
    <row r="138" spans="1:51" x14ac:dyDescent="0.2">
      <c r="AO138" t="s">
        <v>57</v>
      </c>
      <c r="AP138">
        <v>0.27</v>
      </c>
      <c r="AQ138">
        <v>-0.8</v>
      </c>
      <c r="AR138">
        <v>0.22</v>
      </c>
      <c r="AS138" s="6">
        <v>0.09</v>
      </c>
      <c r="AT138" s="6">
        <v>0.12</v>
      </c>
      <c r="AU138" s="6">
        <v>0.02</v>
      </c>
      <c r="AV138" s="6">
        <v>0.25</v>
      </c>
      <c r="AW138" s="6">
        <v>0.18</v>
      </c>
      <c r="AX138" s="6">
        <v>0.12</v>
      </c>
      <c r="AY138">
        <v>0.03</v>
      </c>
    </row>
    <row r="139" spans="1:51" x14ac:dyDescent="0.2">
      <c r="AM139" t="s">
        <v>73</v>
      </c>
      <c r="AN139" t="s">
        <v>75</v>
      </c>
      <c r="AO139" t="s">
        <v>54</v>
      </c>
      <c r="AP139">
        <v>0.22</v>
      </c>
      <c r="AQ139">
        <v>-0.44</v>
      </c>
      <c r="AR139">
        <v>0.2</v>
      </c>
      <c r="AS139" s="6">
        <v>0.21</v>
      </c>
      <c r="AT139" s="6">
        <v>0.18</v>
      </c>
      <c r="AU139" s="6">
        <v>0.01</v>
      </c>
      <c r="AV139" s="6">
        <v>0.12</v>
      </c>
      <c r="AW139" s="6">
        <v>0.09</v>
      </c>
      <c r="AX139" s="6" t="s">
        <v>72</v>
      </c>
      <c r="AY139" t="s">
        <v>72</v>
      </c>
    </row>
    <row r="140" spans="1:51" x14ac:dyDescent="0.2">
      <c r="AO140" t="s">
        <v>55</v>
      </c>
      <c r="AP140">
        <v>0.66</v>
      </c>
      <c r="AQ140">
        <v>0.22</v>
      </c>
      <c r="AR140">
        <v>0.68</v>
      </c>
      <c r="AS140" s="6">
        <v>0.22</v>
      </c>
      <c r="AT140" s="6">
        <v>0.24</v>
      </c>
      <c r="AU140" s="6">
        <v>0.25</v>
      </c>
      <c r="AV140" s="6">
        <v>0.64</v>
      </c>
      <c r="AW140" s="6">
        <v>0.37</v>
      </c>
      <c r="AX140" s="6" t="s">
        <v>72</v>
      </c>
      <c r="AY140" t="s">
        <v>72</v>
      </c>
    </row>
    <row r="141" spans="1:51" x14ac:dyDescent="0.2">
      <c r="A141" t="s">
        <v>117</v>
      </c>
      <c r="B141" t="s">
        <v>99</v>
      </c>
      <c r="C141" t="s">
        <v>53</v>
      </c>
      <c r="D141" t="s">
        <v>53</v>
      </c>
      <c r="E141" t="s">
        <v>42</v>
      </c>
      <c r="F141" t="s">
        <v>54</v>
      </c>
      <c r="G141">
        <v>100</v>
      </c>
      <c r="H141" s="8">
        <v>80</v>
      </c>
      <c r="I141" s="8">
        <v>0.4</v>
      </c>
      <c r="J141">
        <v>0</v>
      </c>
      <c r="L141">
        <v>1</v>
      </c>
      <c r="M141">
        <f>(1.185 + 0.00454 * H141 - 0.0000026 * H141^2 + 0.315 * I141)^2 * L141</f>
        <v>2.7475051536000006</v>
      </c>
      <c r="N141">
        <f>(M141 * (1 -S$141) + (0.04 * M141)) * ( 1 - AD$141 )</f>
        <v>1.0154779047705602</v>
      </c>
      <c r="O141">
        <f>N141 * AB$141 * X$141 * Z$141 * AC$141</f>
        <v>0</v>
      </c>
      <c r="P141">
        <f>N141 * AB$141 * Y$141 * AA$141 * AC$141</f>
        <v>6.0209878406120823E-4</v>
      </c>
      <c r="Q141">
        <f>G141*O141*91.25</f>
        <v>0</v>
      </c>
      <c r="R141">
        <f>G141*P141*91.25</f>
        <v>5.4941514045585258</v>
      </c>
      <c r="S141" s="8">
        <v>0.6</v>
      </c>
      <c r="T141" s="8">
        <v>0.7</v>
      </c>
      <c r="U141" s="8">
        <v>0.5</v>
      </c>
      <c r="V141" s="8">
        <v>0.4</v>
      </c>
      <c r="W141" s="8" t="s">
        <v>115</v>
      </c>
      <c r="X141">
        <f>IF(W141="yes", $AN$6, $AO$6)</f>
        <v>0</v>
      </c>
      <c r="Y141">
        <f>IF(W141="yes", $AN$7, $AO$7)</f>
        <v>1</v>
      </c>
      <c r="Z141">
        <f>VLOOKUP(B141, $AZ$17:$BA$26, 2, FALSE)</f>
        <v>7.3000000000000001E-3</v>
      </c>
      <c r="AA141">
        <f>$BA$14</f>
        <v>4.5999999999999999E-3</v>
      </c>
      <c r="AB141">
        <f>$AS$5</f>
        <v>0.19</v>
      </c>
      <c r="AC141">
        <f>$AS$6</f>
        <v>0.6784</v>
      </c>
      <c r="AD141">
        <f>$AS$7</f>
        <v>0.16</v>
      </c>
      <c r="AE141">
        <f>SUM(Q141:R180)</f>
        <v>487.70821373357535</v>
      </c>
      <c r="AF141">
        <f>$AS$8</f>
        <v>28</v>
      </c>
      <c r="AG141">
        <f>AE141 * AF141 * 10^-3</f>
        <v>13.655829984540109</v>
      </c>
      <c r="AO141" t="s">
        <v>56</v>
      </c>
      <c r="AP141">
        <v>0.49</v>
      </c>
      <c r="AQ141">
        <v>0.05</v>
      </c>
      <c r="AR141">
        <v>0.64</v>
      </c>
      <c r="AS141" s="6">
        <v>0.25</v>
      </c>
      <c r="AT141" s="6">
        <v>0.28999999999999998</v>
      </c>
      <c r="AU141" s="6">
        <v>0.12</v>
      </c>
      <c r="AV141" s="6">
        <v>0.56999999999999995</v>
      </c>
      <c r="AW141" s="6">
        <v>0.49</v>
      </c>
      <c r="AX141" s="6" t="s">
        <v>72</v>
      </c>
      <c r="AY141" t="s">
        <v>72</v>
      </c>
    </row>
    <row r="142" spans="1:51" x14ac:dyDescent="0.2">
      <c r="F142" t="s">
        <v>55</v>
      </c>
      <c r="G142">
        <v>110</v>
      </c>
      <c r="H142" s="8">
        <v>90</v>
      </c>
      <c r="I142" s="8">
        <v>0.4</v>
      </c>
      <c r="L142">
        <v>1</v>
      </c>
      <c r="M142">
        <f t="shared" ref="M142:M156" si="18">(1.185 + 0.00454 * H142 - 0.0000026 * H142^2 + 0.315 * I142)^2 * L142</f>
        <v>2.8850381316</v>
      </c>
      <c r="N142">
        <f>(M142 * (1 -T$141) + (0.04 * M142)) * ( 1 - AD$141 )</f>
        <v>0.82396689038496007</v>
      </c>
      <c r="O142">
        <f t="shared" ref="O142:O180" si="19">N142 * AB$141 * X$141 * Z$141 * AC$141</f>
        <v>0</v>
      </c>
      <c r="P142">
        <f t="shared" ref="P142:P180" si="20">N142 * AB$141 * Y$141 * AA$141 * AC$141</f>
        <v>4.8854776699407511E-4</v>
      </c>
      <c r="Q142">
        <f t="shared" ref="Q142:Q180" si="21">G142*O142*91.25</f>
        <v>0</v>
      </c>
      <c r="R142">
        <f t="shared" ref="R142:R180" si="22">G142*P142*91.25</f>
        <v>4.9037982112030285</v>
      </c>
      <c r="AO142" t="s">
        <v>57</v>
      </c>
      <c r="AP142">
        <v>0.27</v>
      </c>
      <c r="AQ142">
        <v>-0.27</v>
      </c>
      <c r="AR142">
        <v>0.31</v>
      </c>
      <c r="AS142" s="6">
        <v>0.28999999999999998</v>
      </c>
      <c r="AT142" s="6">
        <v>0.19</v>
      </c>
      <c r="AU142" s="6">
        <v>0.04</v>
      </c>
      <c r="AV142" s="6">
        <v>0.26</v>
      </c>
      <c r="AW142" s="6">
        <v>0.28000000000000003</v>
      </c>
      <c r="AX142" s="6" t="s">
        <v>72</v>
      </c>
      <c r="AY142" t="s">
        <v>72</v>
      </c>
    </row>
    <row r="143" spans="1:51" x14ac:dyDescent="0.2">
      <c r="F143" t="s">
        <v>56</v>
      </c>
      <c r="G143">
        <v>120</v>
      </c>
      <c r="H143" s="8">
        <v>100</v>
      </c>
      <c r="I143" s="8">
        <v>0.5</v>
      </c>
      <c r="L143">
        <v>1</v>
      </c>
      <c r="M143">
        <f t="shared" si="18"/>
        <v>3.1346702499999997</v>
      </c>
      <c r="N143">
        <f>(M143 * (1 -U$141) + (0.04 * M143)) * ( 1 - AD$141 )</f>
        <v>1.4218864253999999</v>
      </c>
      <c r="O143">
        <f t="shared" si="19"/>
        <v>0</v>
      </c>
      <c r="P143">
        <f t="shared" si="20"/>
        <v>8.4306717436644866E-4</v>
      </c>
      <c r="Q143">
        <f t="shared" si="21"/>
        <v>0</v>
      </c>
      <c r="R143">
        <f t="shared" si="22"/>
        <v>9.231585559312613</v>
      </c>
      <c r="AM143" t="s">
        <v>73</v>
      </c>
      <c r="AN143" t="s">
        <v>76</v>
      </c>
      <c r="AO143" t="s">
        <v>54</v>
      </c>
      <c r="AP143">
        <v>0.22</v>
      </c>
      <c r="AQ143">
        <v>-0.44</v>
      </c>
      <c r="AR143">
        <v>0</v>
      </c>
      <c r="AS143" s="6">
        <v>0.15</v>
      </c>
      <c r="AT143" s="6">
        <v>0.08</v>
      </c>
      <c r="AU143" s="6">
        <v>0.17</v>
      </c>
      <c r="AV143" s="6">
        <v>0.06</v>
      </c>
      <c r="AW143" s="6">
        <v>0.02</v>
      </c>
      <c r="AX143" s="6">
        <v>-0.14000000000000001</v>
      </c>
      <c r="AY143" t="s">
        <v>72</v>
      </c>
    </row>
    <row r="144" spans="1:51" x14ac:dyDescent="0.2">
      <c r="F144" t="s">
        <v>57</v>
      </c>
      <c r="G144">
        <v>130</v>
      </c>
      <c r="H144" s="8">
        <v>110</v>
      </c>
      <c r="I144" s="8">
        <v>0.8</v>
      </c>
      <c r="L144">
        <v>1</v>
      </c>
      <c r="M144">
        <f t="shared" si="18"/>
        <v>3.6287964036000004</v>
      </c>
      <c r="N144">
        <f>(M144 * (1 -V$141) + (0.04 * M144)) * ( 1 - AD$141 )</f>
        <v>1.95084094657536</v>
      </c>
      <c r="O144">
        <f t="shared" si="19"/>
        <v>0</v>
      </c>
      <c r="P144">
        <f t="shared" si="20"/>
        <v>1.156695735388977E-3</v>
      </c>
      <c r="Q144">
        <f t="shared" si="21"/>
        <v>0</v>
      </c>
      <c r="R144">
        <f t="shared" si="22"/>
        <v>13.72130316105174</v>
      </c>
      <c r="AO144" t="s">
        <v>55</v>
      </c>
      <c r="AP144">
        <v>0.66</v>
      </c>
      <c r="AQ144">
        <v>0.22</v>
      </c>
      <c r="AR144">
        <v>0.79</v>
      </c>
      <c r="AS144" s="6">
        <v>0.4</v>
      </c>
      <c r="AT144" s="6">
        <v>0.38</v>
      </c>
      <c r="AU144" s="6">
        <v>0.27</v>
      </c>
      <c r="AV144" s="6">
        <v>0.8</v>
      </c>
      <c r="AW144" s="6">
        <v>0.16</v>
      </c>
      <c r="AX144" s="6">
        <v>0.3</v>
      </c>
      <c r="AY144" t="s">
        <v>72</v>
      </c>
    </row>
    <row r="145" spans="5:51" x14ac:dyDescent="0.2">
      <c r="E145" t="s">
        <v>43</v>
      </c>
      <c r="F145" t="s">
        <v>54</v>
      </c>
      <c r="G145">
        <v>50</v>
      </c>
      <c r="H145" s="8">
        <v>470</v>
      </c>
      <c r="I145" s="8">
        <v>0.1</v>
      </c>
      <c r="L145">
        <v>1</v>
      </c>
      <c r="M145">
        <f t="shared" si="18"/>
        <v>7.7059539215999999</v>
      </c>
      <c r="N145">
        <f t="shared" ref="N145" si="23">(M145 * (1 -S$141) + (0.04 * M145)) * ( 1 - AD$141 )</f>
        <v>2.8481205694233598</v>
      </c>
      <c r="O145">
        <f t="shared" si="19"/>
        <v>0</v>
      </c>
      <c r="P145">
        <f t="shared" si="20"/>
        <v>1.6887122050154094E-3</v>
      </c>
      <c r="Q145">
        <f t="shared" si="21"/>
        <v>0</v>
      </c>
      <c r="R145">
        <f t="shared" si="22"/>
        <v>7.704749435382805</v>
      </c>
      <c r="AO145" t="s">
        <v>56</v>
      </c>
      <c r="AP145">
        <v>0.49</v>
      </c>
      <c r="AQ145">
        <v>0.05</v>
      </c>
      <c r="AR145">
        <v>0.55000000000000004</v>
      </c>
      <c r="AS145" s="6">
        <v>0.38</v>
      </c>
      <c r="AT145" s="6">
        <v>0.36</v>
      </c>
      <c r="AU145" s="6">
        <v>0.06</v>
      </c>
      <c r="AV145" s="6">
        <v>0.57999999999999996</v>
      </c>
      <c r="AW145" s="6">
        <v>0.23</v>
      </c>
      <c r="AX145" s="6">
        <v>0.4</v>
      </c>
      <c r="AY145" t="s">
        <v>72</v>
      </c>
    </row>
    <row r="146" spans="5:51" x14ac:dyDescent="0.2">
      <c r="F146" t="s">
        <v>55</v>
      </c>
      <c r="G146">
        <v>55</v>
      </c>
      <c r="H146" s="8">
        <v>480</v>
      </c>
      <c r="I146" s="8">
        <v>0.2</v>
      </c>
      <c r="L146">
        <v>1</v>
      </c>
      <c r="M146">
        <f t="shared" si="18"/>
        <v>7.9984889855999999</v>
      </c>
      <c r="N146">
        <f t="shared" ref="N146" si="24">(M146 * (1 -T$141) + (0.04 * M146)) * ( 1 - AD$141 )</f>
        <v>2.2843684542873599</v>
      </c>
      <c r="O146">
        <f t="shared" si="19"/>
        <v>0</v>
      </c>
      <c r="P146">
        <f t="shared" si="20"/>
        <v>1.3544513989055885E-3</v>
      </c>
      <c r="Q146">
        <f t="shared" si="21"/>
        <v>0</v>
      </c>
      <c r="R146">
        <f t="shared" si="22"/>
        <v>6.797652958257423</v>
      </c>
      <c r="AO146" t="s">
        <v>57</v>
      </c>
      <c r="AP146">
        <v>0.27</v>
      </c>
      <c r="AQ146">
        <v>-0.27</v>
      </c>
      <c r="AR146">
        <v>0.02</v>
      </c>
      <c r="AS146">
        <v>0.09</v>
      </c>
      <c r="AT146">
        <v>0.16</v>
      </c>
      <c r="AU146">
        <v>-0.04</v>
      </c>
      <c r="AV146">
        <v>0.21</v>
      </c>
      <c r="AW146">
        <v>0.03</v>
      </c>
      <c r="AX146">
        <v>0.11</v>
      </c>
      <c r="AY146" t="s">
        <v>72</v>
      </c>
    </row>
    <row r="147" spans="5:51" x14ac:dyDescent="0.2">
      <c r="F147" t="s">
        <v>56</v>
      </c>
      <c r="G147">
        <v>60</v>
      </c>
      <c r="H147" s="8">
        <v>490</v>
      </c>
      <c r="I147" s="8">
        <v>1.5</v>
      </c>
      <c r="L147">
        <v>1</v>
      </c>
      <c r="M147">
        <f t="shared" si="18"/>
        <v>10.6135214656</v>
      </c>
      <c r="N147">
        <f t="shared" ref="N147" si="25">(M147 * (1 -U$141) + (0.04 * M147)) * ( 1 - AD$141 )</f>
        <v>4.81429333679616</v>
      </c>
      <c r="O147">
        <f t="shared" si="19"/>
        <v>0</v>
      </c>
      <c r="P147">
        <f t="shared" si="20"/>
        <v>2.8544985081225176E-3</v>
      </c>
      <c r="Q147">
        <f t="shared" si="21"/>
        <v>0</v>
      </c>
      <c r="R147">
        <f t="shared" si="22"/>
        <v>15.628379331970782</v>
      </c>
      <c r="AM147" t="s">
        <v>81</v>
      </c>
      <c r="AN147" t="s">
        <v>77</v>
      </c>
      <c r="AO147" t="s">
        <v>54</v>
      </c>
      <c r="AP147">
        <v>0.27</v>
      </c>
      <c r="AQ147">
        <v>-0.19</v>
      </c>
      <c r="AR147">
        <v>0.38</v>
      </c>
      <c r="AS147" s="7">
        <v>0.25</v>
      </c>
      <c r="AT147">
        <v>7.0000000000000007E-2</v>
      </c>
      <c r="AU147">
        <v>0.05</v>
      </c>
      <c r="AV147">
        <v>0.52</v>
      </c>
      <c r="AW147">
        <v>0.55000000000000004</v>
      </c>
      <c r="AX147">
        <v>0.19</v>
      </c>
      <c r="AY147">
        <v>0.6</v>
      </c>
    </row>
    <row r="148" spans="5:51" x14ac:dyDescent="0.2">
      <c r="F148" t="s">
        <v>57</v>
      </c>
      <c r="G148">
        <v>65</v>
      </c>
      <c r="H148" s="8">
        <v>500</v>
      </c>
      <c r="I148" s="8">
        <v>1.3</v>
      </c>
      <c r="L148">
        <v>1</v>
      </c>
      <c r="M148">
        <f t="shared" si="18"/>
        <v>10.333010250000001</v>
      </c>
      <c r="N148">
        <f t="shared" ref="N148" si="26">(M148 * (1 -V$141) + (0.04 * M148)) * ( 1 - AD$141 )</f>
        <v>5.5550263103999997</v>
      </c>
      <c r="O148">
        <f t="shared" si="19"/>
        <v>0</v>
      </c>
      <c r="P148">
        <f t="shared" si="20"/>
        <v>3.2936950880044645E-3</v>
      </c>
      <c r="Q148">
        <f t="shared" si="21"/>
        <v>0</v>
      </c>
      <c r="R148">
        <f t="shared" si="22"/>
        <v>19.535728990726483</v>
      </c>
      <c r="AO148" t="s">
        <v>55</v>
      </c>
      <c r="AP148">
        <v>0.16</v>
      </c>
      <c r="AQ148">
        <v>0.16</v>
      </c>
      <c r="AR148">
        <v>0.8</v>
      </c>
      <c r="AS148">
        <v>0.56999999999999995</v>
      </c>
      <c r="AT148">
        <v>0.76</v>
      </c>
      <c r="AU148">
        <v>0.49</v>
      </c>
      <c r="AV148">
        <v>0.84</v>
      </c>
      <c r="AW148">
        <v>0.51</v>
      </c>
      <c r="AX148">
        <v>0.36</v>
      </c>
      <c r="AY148">
        <v>0.17</v>
      </c>
    </row>
    <row r="149" spans="5:51" x14ac:dyDescent="0.2">
      <c r="E149" t="s">
        <v>44</v>
      </c>
      <c r="F149" t="s">
        <v>54</v>
      </c>
      <c r="G149">
        <v>200</v>
      </c>
      <c r="H149" s="8">
        <v>70</v>
      </c>
      <c r="I149" s="8">
        <v>0.4</v>
      </c>
      <c r="L149">
        <v>1</v>
      </c>
      <c r="M149">
        <f t="shared" si="18"/>
        <v>2.6116499236000004</v>
      </c>
      <c r="N149">
        <f t="shared" ref="N149" si="27">(M149 * (1 -S$141) + (0.04 * M149)) * ( 1 - AD$141 )</f>
        <v>0.96526581176256021</v>
      </c>
      <c r="O149">
        <f t="shared" si="19"/>
        <v>0</v>
      </c>
      <c r="P149">
        <f t="shared" si="20"/>
        <v>5.7232694953555604E-4</v>
      </c>
      <c r="Q149">
        <f t="shared" si="21"/>
        <v>0</v>
      </c>
      <c r="R149">
        <f t="shared" si="22"/>
        <v>10.444966829023898</v>
      </c>
      <c r="AO149" t="s">
        <v>56</v>
      </c>
      <c r="AP149">
        <v>0.45</v>
      </c>
      <c r="AQ149">
        <v>0.1</v>
      </c>
      <c r="AR149">
        <v>0.49</v>
      </c>
      <c r="AS149" s="6">
        <v>0.41</v>
      </c>
      <c r="AT149">
        <v>0.4</v>
      </c>
      <c r="AU149">
        <v>0.17</v>
      </c>
      <c r="AV149">
        <v>0.54</v>
      </c>
      <c r="AW149">
        <v>0.64</v>
      </c>
      <c r="AX149">
        <v>-0.05</v>
      </c>
      <c r="AY149">
        <v>0.32</v>
      </c>
    </row>
    <row r="150" spans="5:51" x14ac:dyDescent="0.2">
      <c r="F150" t="s">
        <v>55</v>
      </c>
      <c r="G150">
        <v>130</v>
      </c>
      <c r="H150" s="8">
        <v>75</v>
      </c>
      <c r="I150" s="8">
        <v>0.5</v>
      </c>
      <c r="L150">
        <v>1</v>
      </c>
      <c r="M150">
        <f t="shared" si="18"/>
        <v>2.7834751406249998</v>
      </c>
      <c r="N150">
        <f t="shared" ref="N150" si="28">(M150 * (1 -T$141) + (0.04 * M150)) * ( 1 - AD$141 )</f>
        <v>0.79496050016249997</v>
      </c>
      <c r="O150">
        <f t="shared" si="19"/>
        <v>0</v>
      </c>
      <c r="P150">
        <f t="shared" si="20"/>
        <v>4.7134925169314975E-4</v>
      </c>
      <c r="Q150">
        <f t="shared" si="21"/>
        <v>0</v>
      </c>
      <c r="R150">
        <f t="shared" si="22"/>
        <v>5.5913804982099888</v>
      </c>
      <c r="AO150" t="s">
        <v>57</v>
      </c>
      <c r="AP150">
        <v>0.51</v>
      </c>
      <c r="AQ150">
        <v>-7.0000000000000007E-2</v>
      </c>
      <c r="AR150">
        <v>0.13</v>
      </c>
      <c r="AS150" s="6">
        <v>-0.09</v>
      </c>
      <c r="AT150">
        <v>-0.13</v>
      </c>
      <c r="AU150">
        <v>7.0000000000000007E-2</v>
      </c>
      <c r="AV150">
        <v>0.25</v>
      </c>
      <c r="AW150">
        <v>0.71</v>
      </c>
      <c r="AX150">
        <v>0.17</v>
      </c>
      <c r="AY150">
        <v>0.43</v>
      </c>
    </row>
    <row r="151" spans="5:51" x14ac:dyDescent="0.2">
      <c r="F151" t="s">
        <v>56</v>
      </c>
      <c r="G151">
        <v>250</v>
      </c>
      <c r="H151" s="8">
        <v>80</v>
      </c>
      <c r="I151" s="8">
        <v>0.6</v>
      </c>
      <c r="L151">
        <v>1</v>
      </c>
      <c r="M151">
        <f t="shared" si="18"/>
        <v>2.9603267136000002</v>
      </c>
      <c r="N151">
        <f t="shared" ref="N151" si="29">(M151 * (1 -U$141) + (0.04 * M151)) * ( 1 - AD$141 )</f>
        <v>1.3428041972889599</v>
      </c>
      <c r="O151">
        <f t="shared" si="19"/>
        <v>0</v>
      </c>
      <c r="P151">
        <f t="shared" si="20"/>
        <v>7.9617761314328584E-4</v>
      </c>
      <c r="Q151">
        <f t="shared" si="21"/>
        <v>0</v>
      </c>
      <c r="R151">
        <f t="shared" si="22"/>
        <v>18.162801799831207</v>
      </c>
      <c r="AM151" t="s">
        <v>81</v>
      </c>
      <c r="AN151" t="s">
        <v>78</v>
      </c>
      <c r="AO151" t="s">
        <v>54</v>
      </c>
      <c r="AP151">
        <v>-0.12</v>
      </c>
      <c r="AQ151">
        <v>-0.19</v>
      </c>
      <c r="AR151">
        <v>0.41</v>
      </c>
      <c r="AS151">
        <v>0.09</v>
      </c>
      <c r="AT151">
        <v>0.41</v>
      </c>
      <c r="AU151">
        <v>-0.19</v>
      </c>
      <c r="AV151">
        <v>7.0000000000000007E-2</v>
      </c>
      <c r="AW151">
        <v>1.07</v>
      </c>
      <c r="AX151">
        <v>-0.08</v>
      </c>
      <c r="AY151">
        <v>0</v>
      </c>
    </row>
    <row r="152" spans="5:51" x14ac:dyDescent="0.2">
      <c r="F152" t="s">
        <v>57</v>
      </c>
      <c r="G152">
        <v>150</v>
      </c>
      <c r="H152" s="8">
        <v>85</v>
      </c>
      <c r="I152" s="8">
        <v>0.7</v>
      </c>
      <c r="L152">
        <v>1</v>
      </c>
      <c r="M152">
        <f t="shared" si="18"/>
        <v>3.1421639382249995</v>
      </c>
      <c r="N152">
        <f t="shared" ref="N152" si="30">(M152 * (1 -V$141) + (0.04 * M152)) * ( 1 - AD$141 )</f>
        <v>1.6892273331897594</v>
      </c>
      <c r="O152">
        <f t="shared" si="19"/>
        <v>0</v>
      </c>
      <c r="P152">
        <f t="shared" si="20"/>
        <v>1.0015793731586052E-3</v>
      </c>
      <c r="Q152">
        <f t="shared" si="21"/>
        <v>0</v>
      </c>
      <c r="R152">
        <f t="shared" si="22"/>
        <v>13.709117670108409</v>
      </c>
      <c r="AO152" t="s">
        <v>55</v>
      </c>
      <c r="AP152">
        <v>0.65</v>
      </c>
      <c r="AQ152">
        <v>0.19</v>
      </c>
      <c r="AR152">
        <v>0.65</v>
      </c>
      <c r="AS152">
        <v>0.51</v>
      </c>
      <c r="AT152">
        <v>0.18</v>
      </c>
      <c r="AU152">
        <v>0.63</v>
      </c>
      <c r="AV152">
        <v>1.3</v>
      </c>
      <c r="AW152">
        <v>0.48</v>
      </c>
      <c r="AX152">
        <v>1.1200000000000001</v>
      </c>
      <c r="AY152">
        <v>0.38</v>
      </c>
    </row>
    <row r="153" spans="5:51" x14ac:dyDescent="0.2">
      <c r="E153" t="s">
        <v>45</v>
      </c>
      <c r="F153" t="s">
        <v>54</v>
      </c>
      <c r="G153">
        <v>20</v>
      </c>
      <c r="H153" s="8">
        <v>310</v>
      </c>
      <c r="I153" s="8">
        <v>0.5</v>
      </c>
      <c r="L153">
        <v>1</v>
      </c>
      <c r="M153">
        <f t="shared" si="18"/>
        <v>6.2502000016000014</v>
      </c>
      <c r="N153">
        <f t="shared" ref="N153" si="31">(M153 * (1 -S$141) + (0.04 * M153)) * ( 1 - AD$141 )</f>
        <v>2.3100739205913605</v>
      </c>
      <c r="O153">
        <f t="shared" si="19"/>
        <v>0</v>
      </c>
      <c r="P153">
        <f t="shared" si="20"/>
        <v>1.3696927251153025E-3</v>
      </c>
      <c r="Q153">
        <f t="shared" si="21"/>
        <v>0</v>
      </c>
      <c r="R153">
        <f t="shared" si="22"/>
        <v>2.4996892233354271</v>
      </c>
      <c r="AO153" t="s">
        <v>56</v>
      </c>
      <c r="AP153">
        <v>0.7</v>
      </c>
      <c r="AQ153">
        <v>0.13</v>
      </c>
      <c r="AR153">
        <v>0.52</v>
      </c>
      <c r="AS153">
        <v>0.34</v>
      </c>
      <c r="AT153">
        <v>0.02</v>
      </c>
      <c r="AU153">
        <v>0.04</v>
      </c>
      <c r="AV153">
        <v>0.77</v>
      </c>
      <c r="AW153">
        <v>0.42</v>
      </c>
      <c r="AX153">
        <v>0.12</v>
      </c>
      <c r="AY153">
        <v>0.74</v>
      </c>
    </row>
    <row r="154" spans="5:51" x14ac:dyDescent="0.2">
      <c r="F154" t="s">
        <v>55</v>
      </c>
      <c r="G154">
        <v>30</v>
      </c>
      <c r="H154" s="8">
        <v>320</v>
      </c>
      <c r="I154" s="8">
        <v>0.4</v>
      </c>
      <c r="L154">
        <v>1</v>
      </c>
      <c r="M154">
        <f t="shared" si="18"/>
        <v>6.2378059535999979</v>
      </c>
      <c r="N154">
        <f t="shared" ref="N154" si="32">(M154 * (1 -T$141) + (0.04 * M154)) * ( 1 - AD$141 )</f>
        <v>1.7815173803481597</v>
      </c>
      <c r="O154">
        <f t="shared" si="19"/>
        <v>0</v>
      </c>
      <c r="P154">
        <f t="shared" si="20"/>
        <v>1.0563001355838395E-3</v>
      </c>
      <c r="Q154">
        <f t="shared" si="21"/>
        <v>0</v>
      </c>
      <c r="R154">
        <f t="shared" si="22"/>
        <v>2.8916216211607608</v>
      </c>
      <c r="AO154" t="s">
        <v>57</v>
      </c>
      <c r="AP154">
        <v>0.32</v>
      </c>
      <c r="AQ154">
        <v>-0.06</v>
      </c>
      <c r="AR154">
        <v>0.25</v>
      </c>
      <c r="AS154">
        <v>0.19</v>
      </c>
      <c r="AT154">
        <v>-0.1</v>
      </c>
      <c r="AU154">
        <v>-0.02</v>
      </c>
      <c r="AV154">
        <v>0.02</v>
      </c>
      <c r="AW154">
        <v>0.23</v>
      </c>
      <c r="AX154">
        <v>-0.13</v>
      </c>
      <c r="AY154">
        <v>0</v>
      </c>
    </row>
    <row r="155" spans="5:51" x14ac:dyDescent="0.2">
      <c r="F155" t="s">
        <v>56</v>
      </c>
      <c r="G155">
        <v>60</v>
      </c>
      <c r="H155" s="8">
        <v>330</v>
      </c>
      <c r="I155" s="8">
        <v>0.3</v>
      </c>
      <c r="L155">
        <v>1</v>
      </c>
      <c r="M155">
        <f t="shared" si="18"/>
        <v>6.222829593600002</v>
      </c>
      <c r="N155">
        <f t="shared" ref="N155" si="33">(M155 * (1 -U$141) + (0.04 * M155)) * ( 1 - AD$141 )</f>
        <v>2.8226755036569608</v>
      </c>
      <c r="O155">
        <f t="shared" si="19"/>
        <v>0</v>
      </c>
      <c r="P155">
        <f t="shared" si="20"/>
        <v>1.6736252759090909E-3</v>
      </c>
      <c r="Q155">
        <f t="shared" si="21"/>
        <v>0</v>
      </c>
      <c r="R155">
        <f t="shared" si="22"/>
        <v>9.1630983856022716</v>
      </c>
      <c r="AM155" t="s">
        <v>81</v>
      </c>
      <c r="AN155" t="s">
        <v>79</v>
      </c>
      <c r="AO155" t="s">
        <v>54</v>
      </c>
      <c r="AP155">
        <v>0.62</v>
      </c>
      <c r="AQ155">
        <v>-0.19</v>
      </c>
      <c r="AR155">
        <v>0.37</v>
      </c>
      <c r="AS155">
        <v>0.41</v>
      </c>
      <c r="AT155">
        <v>0.06</v>
      </c>
      <c r="AU155">
        <v>-0.02</v>
      </c>
      <c r="AV155">
        <v>0.47</v>
      </c>
      <c r="AW155">
        <v>0.44</v>
      </c>
      <c r="AX155">
        <v>0.3</v>
      </c>
      <c r="AY155">
        <v>0.13</v>
      </c>
    </row>
    <row r="156" spans="5:51" x14ac:dyDescent="0.2">
      <c r="F156" t="s">
        <v>57</v>
      </c>
      <c r="G156">
        <v>30</v>
      </c>
      <c r="H156" s="8">
        <v>340</v>
      </c>
      <c r="I156" s="8">
        <v>0.2</v>
      </c>
      <c r="L156">
        <v>1</v>
      </c>
      <c r="M156">
        <f t="shared" si="18"/>
        <v>6.2052802816000021</v>
      </c>
      <c r="N156">
        <f t="shared" ref="N156" si="34">(M156 * (1 -V$141) + (0.04 * M156)) * ( 1 - AD$141 )</f>
        <v>3.3359586793881606</v>
      </c>
      <c r="O156">
        <f t="shared" si="19"/>
        <v>0</v>
      </c>
      <c r="P156">
        <f t="shared" si="20"/>
        <v>1.9779619577167153E-3</v>
      </c>
      <c r="Q156">
        <f t="shared" si="21"/>
        <v>0</v>
      </c>
      <c r="R156">
        <f t="shared" si="22"/>
        <v>5.4146708592495081</v>
      </c>
      <c r="AO156" t="s">
        <v>55</v>
      </c>
      <c r="AP156">
        <v>0.05</v>
      </c>
      <c r="AQ156">
        <v>0.19</v>
      </c>
      <c r="AR156">
        <v>0.31</v>
      </c>
      <c r="AS156">
        <v>0.54</v>
      </c>
      <c r="AT156">
        <v>0.53</v>
      </c>
      <c r="AU156">
        <v>0.15</v>
      </c>
      <c r="AV156">
        <v>0.28000000000000003</v>
      </c>
      <c r="AW156">
        <v>0.56999999999999995</v>
      </c>
      <c r="AX156">
        <v>0.42</v>
      </c>
      <c r="AY156">
        <v>0.4</v>
      </c>
    </row>
    <row r="157" spans="5:51" x14ac:dyDescent="0.2">
      <c r="E157" t="s">
        <v>46</v>
      </c>
      <c r="F157" t="s">
        <v>54</v>
      </c>
      <c r="G157">
        <v>100</v>
      </c>
      <c r="H157" s="8">
        <v>450</v>
      </c>
      <c r="I157" s="8" cm="1">
        <f t="array" ref="I157:I160">_xlfn.XLOOKUP(E157, $AP$106:$AY$106, $AP$107:$AY$110)</f>
        <v>0.3</v>
      </c>
      <c r="J157">
        <v>1</v>
      </c>
      <c r="K157">
        <v>1.3</v>
      </c>
      <c r="L157">
        <f>(J157*K157)+(1 - J157)</f>
        <v>1.3</v>
      </c>
      <c r="M157">
        <f>(1.185 + 0.00454 * H157 - 0.0000026 * H157^2 + 0.315 * I157)^2 * L157</f>
        <v>10.162900799999999</v>
      </c>
      <c r="N157">
        <f t="shared" ref="N157" si="35">(M157 * (1 -S$141) + (0.04 * M157)) * ( 1 - AD$141 )</f>
        <v>3.7562081356799992</v>
      </c>
      <c r="O157">
        <f t="shared" si="19"/>
        <v>0</v>
      </c>
      <c r="P157">
        <f t="shared" si="20"/>
        <v>2.2271369377404025E-3</v>
      </c>
      <c r="Q157">
        <f t="shared" si="21"/>
        <v>0</v>
      </c>
      <c r="R157">
        <f t="shared" si="22"/>
        <v>20.322624556881173</v>
      </c>
      <c r="AO157" t="s">
        <v>56</v>
      </c>
      <c r="AP157">
        <v>0.33</v>
      </c>
      <c r="AQ157">
        <v>0.13</v>
      </c>
      <c r="AR157">
        <v>0.39</v>
      </c>
      <c r="AS157">
        <v>0.36</v>
      </c>
      <c r="AT157">
        <v>0.26</v>
      </c>
      <c r="AU157">
        <v>0.11</v>
      </c>
      <c r="AV157">
        <v>0.4</v>
      </c>
      <c r="AW157">
        <v>0.44</v>
      </c>
      <c r="AX157">
        <v>0.37</v>
      </c>
      <c r="AY157">
        <v>-0.01</v>
      </c>
    </row>
    <row r="158" spans="5:51" x14ac:dyDescent="0.2">
      <c r="F158" t="s">
        <v>55</v>
      </c>
      <c r="G158">
        <v>110</v>
      </c>
      <c r="H158" s="8">
        <v>460</v>
      </c>
      <c r="I158" s="8">
        <v>0.3</v>
      </c>
      <c r="J158">
        <v>0</v>
      </c>
      <c r="K158">
        <v>1.1000000000000001</v>
      </c>
      <c r="L158">
        <f t="shared" ref="L158:L164" si="36">(J158*K158)+(1 - J158)</f>
        <v>1</v>
      </c>
      <c r="M158">
        <f t="shared" ref="M158:M180" si="37">(1.185 + 0.00454 * H158 - 0.0000026 * H158^2 + 0.315 * I158)^2 * L158</f>
        <v>7.9396587076000005</v>
      </c>
      <c r="N158">
        <f t="shared" ref="N158" si="38">(M158 * (1 -T$141) + (0.04 * M158)) * ( 1 - AD$141 )</f>
        <v>2.2675665268905605</v>
      </c>
      <c r="O158">
        <f t="shared" si="19"/>
        <v>0</v>
      </c>
      <c r="P158">
        <f t="shared" si="20"/>
        <v>1.3444891732303941E-3</v>
      </c>
      <c r="Q158">
        <f t="shared" si="21"/>
        <v>0</v>
      </c>
      <c r="R158">
        <f t="shared" si="22"/>
        <v>13.495310076300081</v>
      </c>
      <c r="AO158" t="s">
        <v>57</v>
      </c>
      <c r="AP158">
        <v>0.61</v>
      </c>
      <c r="AQ158">
        <v>-0.06</v>
      </c>
      <c r="AR158">
        <v>0.21</v>
      </c>
      <c r="AS158">
        <v>0.18</v>
      </c>
      <c r="AT158">
        <v>0.12</v>
      </c>
      <c r="AU158">
        <v>0.06</v>
      </c>
      <c r="AV158">
        <v>0.28999999999999998</v>
      </c>
      <c r="AW158">
        <v>0.41</v>
      </c>
      <c r="AX158">
        <v>0.41</v>
      </c>
      <c r="AY158">
        <v>-0.15</v>
      </c>
    </row>
    <row r="159" spans="5:51" x14ac:dyDescent="0.2">
      <c r="F159" t="s">
        <v>56</v>
      </c>
      <c r="G159">
        <v>120</v>
      </c>
      <c r="H159" s="8">
        <v>470</v>
      </c>
      <c r="I159" s="8">
        <v>0.2</v>
      </c>
      <c r="J159">
        <v>0</v>
      </c>
      <c r="K159">
        <v>1</v>
      </c>
      <c r="L159">
        <f t="shared" si="36"/>
        <v>1</v>
      </c>
      <c r="M159">
        <f t="shared" si="37"/>
        <v>7.8818316516000015</v>
      </c>
      <c r="N159">
        <f t="shared" ref="N159" si="39">(M159 * (1 -U$141) + (0.04 * M159)) * ( 1 - AD$141 )</f>
        <v>3.5751988371657606</v>
      </c>
      <c r="O159">
        <f t="shared" si="19"/>
        <v>0</v>
      </c>
      <c r="P159">
        <f t="shared" si="20"/>
        <v>2.1198126148504622E-3</v>
      </c>
      <c r="Q159">
        <f t="shared" si="21"/>
        <v>0</v>
      </c>
      <c r="R159">
        <f t="shared" si="22"/>
        <v>23.211948132612562</v>
      </c>
      <c r="AM159" t="s">
        <v>81</v>
      </c>
      <c r="AN159" t="s">
        <v>80</v>
      </c>
      <c r="AO159" t="s">
        <v>54</v>
      </c>
      <c r="AP159">
        <v>-0.2</v>
      </c>
      <c r="AQ159">
        <v>0.02</v>
      </c>
      <c r="AR159">
        <v>0.24</v>
      </c>
      <c r="AS159">
        <v>0.3</v>
      </c>
      <c r="AT159">
        <v>0.23</v>
      </c>
      <c r="AU159">
        <v>-0.05</v>
      </c>
      <c r="AV159">
        <v>0.34</v>
      </c>
      <c r="AW159">
        <v>0.3</v>
      </c>
      <c r="AX159">
        <v>0.56999999999999995</v>
      </c>
      <c r="AY159">
        <v>0.52</v>
      </c>
    </row>
    <row r="160" spans="5:51" x14ac:dyDescent="0.2">
      <c r="F160" t="s">
        <v>57</v>
      </c>
      <c r="G160">
        <v>130</v>
      </c>
      <c r="H160" s="8">
        <v>480</v>
      </c>
      <c r="I160" s="8">
        <v>0.1</v>
      </c>
      <c r="J160">
        <v>0</v>
      </c>
      <c r="K160">
        <v>1</v>
      </c>
      <c r="L160">
        <f t="shared" si="36"/>
        <v>1</v>
      </c>
      <c r="M160">
        <f t="shared" si="37"/>
        <v>7.8213071555999987</v>
      </c>
      <c r="N160">
        <f t="shared" ref="N160" si="40">(M160 * (1 -V$141) + (0.04 * M160)) * ( 1 - AD$141 )</f>
        <v>4.2047347268505595</v>
      </c>
      <c r="O160">
        <f t="shared" si="19"/>
        <v>0</v>
      </c>
      <c r="P160">
        <f t="shared" si="20"/>
        <v>2.4930780418197965E-3</v>
      </c>
      <c r="Q160">
        <f t="shared" si="21"/>
        <v>0</v>
      </c>
      <c r="R160">
        <f t="shared" si="22"/>
        <v>29.574138271087339</v>
      </c>
      <c r="AO160" t="s">
        <v>55</v>
      </c>
      <c r="AP160">
        <v>0.62</v>
      </c>
      <c r="AQ160">
        <v>0.21</v>
      </c>
      <c r="AR160">
        <v>0.25</v>
      </c>
      <c r="AS160">
        <v>0.32</v>
      </c>
      <c r="AT160">
        <v>0.47</v>
      </c>
      <c r="AU160">
        <v>0.31</v>
      </c>
      <c r="AV160">
        <v>0.14000000000000001</v>
      </c>
      <c r="AW160">
        <v>0.4</v>
      </c>
      <c r="AX160">
        <v>0.26</v>
      </c>
      <c r="AY160">
        <v>0.43</v>
      </c>
    </row>
    <row r="161" spans="5:51" x14ac:dyDescent="0.2">
      <c r="E161" t="s">
        <v>47</v>
      </c>
      <c r="F161" t="s">
        <v>54</v>
      </c>
      <c r="G161">
        <v>50</v>
      </c>
      <c r="H161" s="8">
        <v>470</v>
      </c>
      <c r="I161" s="8">
        <v>0.3</v>
      </c>
      <c r="J161">
        <v>1</v>
      </c>
      <c r="K161">
        <v>1.3</v>
      </c>
      <c r="L161">
        <f t="shared" si="36"/>
        <v>1.3</v>
      </c>
      <c r="M161">
        <f t="shared" si="37"/>
        <v>10.477602046080001</v>
      </c>
      <c r="N161">
        <f t="shared" ref="N161" si="41">(M161 * (1 -S$141) + (0.04 * M161)) * ( 1 - AD$141 )</f>
        <v>3.872521716231168</v>
      </c>
      <c r="O161">
        <f t="shared" si="19"/>
        <v>0</v>
      </c>
      <c r="P161">
        <f t="shared" si="20"/>
        <v>2.2961017720225302E-3</v>
      </c>
      <c r="Q161">
        <f t="shared" si="21"/>
        <v>0</v>
      </c>
      <c r="R161">
        <f t="shared" si="22"/>
        <v>10.475964334852794</v>
      </c>
      <c r="AO161" t="s">
        <v>56</v>
      </c>
      <c r="AP161">
        <v>0.4</v>
      </c>
      <c r="AQ161">
        <v>0.13</v>
      </c>
      <c r="AR161">
        <v>0.12</v>
      </c>
      <c r="AS161">
        <v>0.27</v>
      </c>
      <c r="AT161">
        <v>0.3</v>
      </c>
      <c r="AU161">
        <v>0.08</v>
      </c>
      <c r="AV161">
        <v>0.13</v>
      </c>
      <c r="AW161">
        <v>0.24</v>
      </c>
      <c r="AX161">
        <v>0.15</v>
      </c>
      <c r="AY161">
        <v>0.21</v>
      </c>
    </row>
    <row r="162" spans="5:51" x14ac:dyDescent="0.2">
      <c r="F162" t="s">
        <v>55</v>
      </c>
      <c r="G162">
        <v>55</v>
      </c>
      <c r="H162" s="8">
        <v>480</v>
      </c>
      <c r="I162" s="8">
        <v>0.4</v>
      </c>
      <c r="J162">
        <v>0</v>
      </c>
      <c r="K162">
        <v>1.1000000000000001</v>
      </c>
      <c r="L162">
        <f t="shared" si="36"/>
        <v>1</v>
      </c>
      <c r="M162">
        <f t="shared" si="37"/>
        <v>8.3588061455999991</v>
      </c>
      <c r="N162">
        <f t="shared" ref="N162" si="42">(M162 * (1 -T$141) + (0.04 * M162)) * ( 1 - AD$141 )</f>
        <v>2.38727503518336</v>
      </c>
      <c r="O162">
        <f t="shared" si="19"/>
        <v>0</v>
      </c>
      <c r="P162">
        <f t="shared" si="20"/>
        <v>1.415466933500974E-3</v>
      </c>
      <c r="Q162">
        <f t="shared" si="21"/>
        <v>0</v>
      </c>
      <c r="R162">
        <f t="shared" si="22"/>
        <v>7.103874672508014</v>
      </c>
      <c r="AO162" t="s">
        <v>57</v>
      </c>
      <c r="AP162">
        <v>0.08</v>
      </c>
      <c r="AQ162">
        <v>0.04</v>
      </c>
      <c r="AR162">
        <v>0.06</v>
      </c>
      <c r="AS162">
        <v>0.18</v>
      </c>
      <c r="AT162">
        <v>0.11</v>
      </c>
      <c r="AU162">
        <v>-7.0000000000000007E-2</v>
      </c>
      <c r="AV162">
        <v>0.13</v>
      </c>
      <c r="AW162">
        <v>0.16</v>
      </c>
      <c r="AX162">
        <v>0.4</v>
      </c>
      <c r="AY162">
        <v>0.33</v>
      </c>
    </row>
    <row r="163" spans="5:51" x14ac:dyDescent="0.2">
      <c r="F163" t="s">
        <v>56</v>
      </c>
      <c r="G163">
        <v>60</v>
      </c>
      <c r="H163" s="8">
        <v>490</v>
      </c>
      <c r="I163" s="8">
        <v>0.5</v>
      </c>
      <c r="J163">
        <v>0</v>
      </c>
      <c r="K163">
        <v>1</v>
      </c>
      <c r="L163">
        <f t="shared" si="36"/>
        <v>1</v>
      </c>
      <c r="M163">
        <f t="shared" si="37"/>
        <v>8.6603072656000002</v>
      </c>
      <c r="N163">
        <f t="shared" ref="N163" si="43">(M163 * (1 -U$141) + (0.04 * M163)) * ( 1 - AD$141 )</f>
        <v>3.9283153756761604</v>
      </c>
      <c r="O163">
        <f t="shared" si="19"/>
        <v>0</v>
      </c>
      <c r="P163">
        <f t="shared" si="20"/>
        <v>2.3291830378505103E-3</v>
      </c>
      <c r="Q163">
        <f t="shared" si="21"/>
        <v>0</v>
      </c>
      <c r="R163">
        <f t="shared" si="22"/>
        <v>12.752277132231542</v>
      </c>
    </row>
    <row r="164" spans="5:51" x14ac:dyDescent="0.2">
      <c r="F164" t="s">
        <v>57</v>
      </c>
      <c r="G164">
        <v>65</v>
      </c>
      <c r="H164" s="8">
        <v>500</v>
      </c>
      <c r="I164" s="8">
        <v>0.6</v>
      </c>
      <c r="J164">
        <v>0</v>
      </c>
      <c r="K164">
        <v>1</v>
      </c>
      <c r="L164">
        <f t="shared" si="36"/>
        <v>1</v>
      </c>
      <c r="M164">
        <f t="shared" si="37"/>
        <v>8.9640360000000019</v>
      </c>
      <c r="N164">
        <f t="shared" ref="N164" si="44">(M164 * (1 -V$141) + (0.04 * M164)) * ( 1 - AD$141 )</f>
        <v>4.8190657536000003</v>
      </c>
      <c r="O164">
        <f t="shared" si="19"/>
        <v>0</v>
      </c>
      <c r="P164">
        <f t="shared" si="20"/>
        <v>2.8573281771297177E-3</v>
      </c>
      <c r="Q164">
        <f t="shared" si="21"/>
        <v>0</v>
      </c>
      <c r="R164">
        <f t="shared" si="22"/>
        <v>16.947527750600639</v>
      </c>
    </row>
    <row r="165" spans="5:51" x14ac:dyDescent="0.2">
      <c r="E165" t="s">
        <v>48</v>
      </c>
      <c r="F165" t="s">
        <v>54</v>
      </c>
      <c r="G165">
        <v>200</v>
      </c>
      <c r="H165" s="8">
        <v>70</v>
      </c>
      <c r="I165" s="8">
        <v>0.7</v>
      </c>
      <c r="L165">
        <v>1</v>
      </c>
      <c r="M165">
        <f t="shared" si="37"/>
        <v>2.9260155136000003</v>
      </c>
      <c r="N165">
        <f t="shared" ref="N165" si="45">(M165 * (1 -S$141) + (0.04 * M165)) * ( 1 - AD$141 )</f>
        <v>1.08145533382656</v>
      </c>
      <c r="O165">
        <f t="shared" si="19"/>
        <v>0</v>
      </c>
      <c r="P165">
        <f t="shared" si="20"/>
        <v>6.4121822686097807E-4</v>
      </c>
      <c r="Q165">
        <f t="shared" si="21"/>
        <v>0</v>
      </c>
      <c r="R165">
        <f t="shared" si="22"/>
        <v>11.70223264021285</v>
      </c>
    </row>
    <row r="166" spans="5:51" x14ac:dyDescent="0.2">
      <c r="F166" t="s">
        <v>55</v>
      </c>
      <c r="G166">
        <v>130</v>
      </c>
      <c r="H166" s="8">
        <v>75</v>
      </c>
      <c r="I166" s="8">
        <v>0.8</v>
      </c>
      <c r="L166">
        <v>1</v>
      </c>
      <c r="M166">
        <f t="shared" si="37"/>
        <v>3.107728265625</v>
      </c>
      <c r="N166">
        <f t="shared" ref="N166" si="46">(M166 * (1 -T$141) + (0.04 * M166)) * ( 1 - AD$141 )</f>
        <v>0.88756719266250006</v>
      </c>
      <c r="O166">
        <f t="shared" si="19"/>
        <v>0</v>
      </c>
      <c r="P166">
        <f t="shared" si="20"/>
        <v>5.2625775998095775E-4</v>
      </c>
      <c r="Q166">
        <f t="shared" si="21"/>
        <v>0</v>
      </c>
      <c r="R166">
        <f t="shared" si="22"/>
        <v>6.2427326777741108</v>
      </c>
    </row>
    <row r="167" spans="5:51" x14ac:dyDescent="0.2">
      <c r="F167" t="s">
        <v>56</v>
      </c>
      <c r="G167">
        <v>250</v>
      </c>
      <c r="H167" s="8">
        <v>100</v>
      </c>
      <c r="I167" s="8">
        <v>0.9</v>
      </c>
      <c r="L167">
        <v>1</v>
      </c>
      <c r="M167">
        <f t="shared" si="37"/>
        <v>3.5967122500000004</v>
      </c>
      <c r="N167">
        <f t="shared" ref="N167" si="47">(M167 * (1 -U$141) + (0.04 * M167)) * ( 1 - AD$141 )</f>
        <v>1.6314686766000002</v>
      </c>
      <c r="O167">
        <f t="shared" si="19"/>
        <v>0</v>
      </c>
      <c r="P167">
        <f t="shared" si="20"/>
        <v>9.6733301807955458E-4</v>
      </c>
      <c r="Q167">
        <f t="shared" si="21"/>
        <v>0</v>
      </c>
      <c r="R167">
        <f t="shared" si="22"/>
        <v>22.067284474939839</v>
      </c>
    </row>
    <row r="168" spans="5:51" x14ac:dyDescent="0.2">
      <c r="F168" t="s">
        <v>57</v>
      </c>
      <c r="G168">
        <v>150</v>
      </c>
      <c r="H168" s="8">
        <v>105</v>
      </c>
      <c r="I168" s="8">
        <v>1</v>
      </c>
      <c r="L168">
        <v>1</v>
      </c>
      <c r="M168">
        <f t="shared" si="37"/>
        <v>3.7948403612249999</v>
      </c>
      <c r="N168">
        <f t="shared" ref="N168" si="48">(M168 * (1 -V$141) + (0.04 * M168)) * ( 1 - AD$141 )</f>
        <v>2.0401061781945597</v>
      </c>
      <c r="O168">
        <f t="shared" si="19"/>
        <v>0</v>
      </c>
      <c r="P168">
        <f t="shared" si="20"/>
        <v>1.2096230193450034E-3</v>
      </c>
      <c r="Q168">
        <f t="shared" si="21"/>
        <v>0</v>
      </c>
      <c r="R168">
        <f t="shared" si="22"/>
        <v>16.556715077284736</v>
      </c>
    </row>
    <row r="169" spans="5:51" x14ac:dyDescent="0.2">
      <c r="E169" t="s">
        <v>49</v>
      </c>
      <c r="F169" t="s">
        <v>54</v>
      </c>
      <c r="G169">
        <v>20</v>
      </c>
      <c r="H169" s="8">
        <v>350</v>
      </c>
      <c r="I169" s="8">
        <v>1.1000000000000001</v>
      </c>
      <c r="L169">
        <v>1</v>
      </c>
      <c r="M169">
        <f t="shared" si="37"/>
        <v>7.8512039999999974</v>
      </c>
      <c r="N169">
        <f t="shared" ref="N169" si="49">(M169 * (1 -S$141) + (0.04 * M169)) * ( 1 - AD$141 )</f>
        <v>2.9018049983999994</v>
      </c>
      <c r="O169">
        <f t="shared" si="19"/>
        <v>0</v>
      </c>
      <c r="P169">
        <f t="shared" si="20"/>
        <v>1.7205428625393249E-3</v>
      </c>
      <c r="Q169">
        <f t="shared" si="21"/>
        <v>0</v>
      </c>
      <c r="R169">
        <f t="shared" si="22"/>
        <v>3.1399907241342682</v>
      </c>
    </row>
    <row r="170" spans="5:51" x14ac:dyDescent="0.2">
      <c r="F170" t="s">
        <v>55</v>
      </c>
      <c r="G170">
        <v>30</v>
      </c>
      <c r="H170" s="8">
        <v>360</v>
      </c>
      <c r="I170" s="8">
        <v>1.2</v>
      </c>
      <c r="L170">
        <v>1</v>
      </c>
      <c r="M170">
        <f t="shared" si="37"/>
        <v>8.1821169936000011</v>
      </c>
      <c r="N170">
        <f t="shared" ref="N170" si="50">(M170 * (1 -T$141) + (0.04 * M170)) * ( 1 - AD$141 )</f>
        <v>2.3368126133721603</v>
      </c>
      <c r="O170">
        <f t="shared" si="19"/>
        <v>0</v>
      </c>
      <c r="P170">
        <f t="shared" si="20"/>
        <v>1.3855466736208025E-3</v>
      </c>
      <c r="Q170">
        <f t="shared" si="21"/>
        <v>0</v>
      </c>
      <c r="R170">
        <f t="shared" si="22"/>
        <v>3.7929340190369465</v>
      </c>
    </row>
    <row r="171" spans="5:51" x14ac:dyDescent="0.2">
      <c r="F171" t="s">
        <v>56</v>
      </c>
      <c r="G171">
        <v>60</v>
      </c>
      <c r="H171" s="8">
        <v>350</v>
      </c>
      <c r="I171" s="8">
        <v>1.3</v>
      </c>
      <c r="L171">
        <v>1</v>
      </c>
      <c r="M171">
        <f t="shared" si="37"/>
        <v>8.2082249999999988</v>
      </c>
      <c r="N171">
        <f t="shared" ref="N171" si="51">(M171 * (1 -U$141) + (0.04 * M171)) * ( 1 - AD$141 )</f>
        <v>3.7232508599999994</v>
      </c>
      <c r="O171">
        <f t="shared" si="19"/>
        <v>0</v>
      </c>
      <c r="P171">
        <f t="shared" si="20"/>
        <v>2.2075958571125759E-3</v>
      </c>
      <c r="Q171">
        <f t="shared" si="21"/>
        <v>0</v>
      </c>
      <c r="R171">
        <f t="shared" si="22"/>
        <v>12.086587317691354</v>
      </c>
    </row>
    <row r="172" spans="5:51" x14ac:dyDescent="0.2">
      <c r="F172" t="s">
        <v>57</v>
      </c>
      <c r="G172">
        <v>30</v>
      </c>
      <c r="H172" s="8">
        <v>340</v>
      </c>
      <c r="I172" s="8">
        <v>1.4</v>
      </c>
      <c r="L172">
        <v>1</v>
      </c>
      <c r="M172">
        <f t="shared" si="37"/>
        <v>8.2313905215999998</v>
      </c>
      <c r="N172">
        <f t="shared" ref="N172" si="52">(M172 * (1 -V$141) + (0.04 * M172)) * ( 1 - AD$141 )</f>
        <v>4.4251955444121602</v>
      </c>
      <c r="O172">
        <f t="shared" si="19"/>
        <v>0</v>
      </c>
      <c r="P172">
        <f t="shared" si="20"/>
        <v>2.6237940225057291E-3</v>
      </c>
      <c r="Q172">
        <f t="shared" si="21"/>
        <v>0</v>
      </c>
      <c r="R172">
        <f t="shared" si="22"/>
        <v>7.1826361366094327</v>
      </c>
    </row>
    <row r="173" spans="5:51" x14ac:dyDescent="0.2">
      <c r="E173" t="s">
        <v>50</v>
      </c>
      <c r="F173" t="s">
        <v>54</v>
      </c>
      <c r="G173">
        <v>100</v>
      </c>
      <c r="H173" s="8">
        <v>400</v>
      </c>
      <c r="I173" s="8">
        <v>0.4</v>
      </c>
      <c r="L173">
        <v>1</v>
      </c>
      <c r="M173">
        <f t="shared" si="37"/>
        <v>7.3495209999999993</v>
      </c>
      <c r="N173">
        <f t="shared" ref="N173" si="53">(M173 * (1 -S$141) + (0.04 * M173)) * ( 1 - AD$141 )</f>
        <v>2.7163829615999999</v>
      </c>
      <c r="O173">
        <f t="shared" si="19"/>
        <v>0</v>
      </c>
      <c r="P173">
        <f t="shared" si="20"/>
        <v>1.6106021318046105E-3</v>
      </c>
      <c r="Q173">
        <f t="shared" si="21"/>
        <v>0</v>
      </c>
      <c r="R173">
        <f t="shared" si="22"/>
        <v>14.69674445271707</v>
      </c>
    </row>
    <row r="174" spans="5:51" x14ac:dyDescent="0.2">
      <c r="F174" t="s">
        <v>55</v>
      </c>
      <c r="G174">
        <v>110</v>
      </c>
      <c r="H174" s="8">
        <v>410</v>
      </c>
      <c r="I174" s="8">
        <v>0.3</v>
      </c>
      <c r="L174">
        <v>1</v>
      </c>
      <c r="M174">
        <f t="shared" si="37"/>
        <v>7.3107507456000027</v>
      </c>
      <c r="N174">
        <f t="shared" ref="N174" si="54">(M174 * (1 -T$141) + (0.04 * M174)) * ( 1 - AD$141 )</f>
        <v>2.087950412943361</v>
      </c>
      <c r="O174">
        <f t="shared" si="19"/>
        <v>0</v>
      </c>
      <c r="P174">
        <f t="shared" si="20"/>
        <v>1.2379908995630384E-3</v>
      </c>
      <c r="Q174">
        <f t="shared" si="21"/>
        <v>0</v>
      </c>
      <c r="R174">
        <f t="shared" si="22"/>
        <v>12.426333654363997</v>
      </c>
    </row>
    <row r="175" spans="5:51" x14ac:dyDescent="0.2">
      <c r="F175" t="s">
        <v>56</v>
      </c>
      <c r="G175">
        <v>120</v>
      </c>
      <c r="H175" s="8">
        <v>420</v>
      </c>
      <c r="I175" s="8">
        <v>0.2</v>
      </c>
      <c r="L175">
        <v>1</v>
      </c>
      <c r="M175">
        <f t="shared" si="37"/>
        <v>7.2692787456000021</v>
      </c>
      <c r="N175">
        <f t="shared" ref="N175" si="55">(M175 * (1 -U$141) + (0.04 * M175)) * ( 1 - AD$141 )</f>
        <v>3.2973448390041611</v>
      </c>
      <c r="O175">
        <f t="shared" si="19"/>
        <v>0</v>
      </c>
      <c r="P175">
        <f t="shared" si="20"/>
        <v>1.9550669776940898E-3</v>
      </c>
      <c r="Q175">
        <f t="shared" si="21"/>
        <v>0</v>
      </c>
      <c r="R175">
        <f t="shared" si="22"/>
        <v>21.407983405750283</v>
      </c>
    </row>
    <row r="176" spans="5:51" x14ac:dyDescent="0.2">
      <c r="F176" t="s">
        <v>57</v>
      </c>
      <c r="G176">
        <v>130</v>
      </c>
      <c r="H176" s="8">
        <v>430</v>
      </c>
      <c r="I176" s="8">
        <v>0.6</v>
      </c>
      <c r="L176">
        <v>1</v>
      </c>
      <c r="M176">
        <f t="shared" si="37"/>
        <v>8.0966426116000001</v>
      </c>
      <c r="N176">
        <f t="shared" ref="N176" si="56">(M176 * (1 -V$141) + (0.04 * M176)) * ( 1 - AD$141 )</f>
        <v>4.35275506799616</v>
      </c>
      <c r="O176">
        <f t="shared" si="19"/>
        <v>0</v>
      </c>
      <c r="P176">
        <f t="shared" si="20"/>
        <v>2.580842499324392E-3</v>
      </c>
      <c r="Q176">
        <f t="shared" si="21"/>
        <v>0</v>
      </c>
      <c r="R176">
        <f t="shared" si="22"/>
        <v>30.6152441482356</v>
      </c>
    </row>
    <row r="177" spans="5:18" x14ac:dyDescent="0.2">
      <c r="E177" t="s">
        <v>51</v>
      </c>
      <c r="F177" t="s">
        <v>54</v>
      </c>
      <c r="G177">
        <v>50</v>
      </c>
      <c r="H177" s="8">
        <v>400</v>
      </c>
      <c r="I177" s="8">
        <v>0.5</v>
      </c>
      <c r="L177">
        <v>1</v>
      </c>
      <c r="M177">
        <f t="shared" si="37"/>
        <v>7.5213062500000012</v>
      </c>
      <c r="N177">
        <f t="shared" ref="N177" si="57">(M177 * (1 -S$141) + (0.04 * M177)) * ( 1 - AD$141 )</f>
        <v>2.7798747900000005</v>
      </c>
      <c r="O177">
        <f t="shared" si="19"/>
        <v>0</v>
      </c>
      <c r="P177">
        <f t="shared" si="20"/>
        <v>1.6482478082864641E-3</v>
      </c>
      <c r="Q177">
        <f t="shared" si="21"/>
        <v>0</v>
      </c>
      <c r="R177">
        <f t="shared" si="22"/>
        <v>7.5201306253069919</v>
      </c>
    </row>
    <row r="178" spans="5:18" x14ac:dyDescent="0.2">
      <c r="F178" t="s">
        <v>55</v>
      </c>
      <c r="G178">
        <v>55</v>
      </c>
      <c r="H178" s="8">
        <v>420</v>
      </c>
      <c r="I178" s="8">
        <v>0.5</v>
      </c>
      <c r="L178">
        <v>1</v>
      </c>
      <c r="M178">
        <f t="shared" si="37"/>
        <v>7.7877832356000019</v>
      </c>
      <c r="N178">
        <f t="shared" ref="N178" si="58">(M178 * (1 -T$141) + (0.04 * M178)) * ( 1 - AD$141 )</f>
        <v>2.2241908920873605</v>
      </c>
      <c r="O178">
        <f t="shared" si="19"/>
        <v>0</v>
      </c>
      <c r="P178">
        <f t="shared" si="20"/>
        <v>1.3187708224418652E-3</v>
      </c>
      <c r="Q178">
        <f t="shared" si="21"/>
        <v>0</v>
      </c>
      <c r="R178">
        <f t="shared" si="22"/>
        <v>6.6185810651301118</v>
      </c>
    </row>
    <row r="179" spans="5:18" x14ac:dyDescent="0.2">
      <c r="F179" t="s">
        <v>56</v>
      </c>
      <c r="G179">
        <v>60</v>
      </c>
      <c r="H179" s="8">
        <v>430</v>
      </c>
      <c r="I179" s="8">
        <v>0.5</v>
      </c>
      <c r="L179">
        <v>1</v>
      </c>
      <c r="M179">
        <f t="shared" si="37"/>
        <v>7.9183708816000014</v>
      </c>
      <c r="N179">
        <f t="shared" ref="N179" si="59">(M179 * (1 -U$141) + (0.04 * M179)) * ( 1 - AD$141 )</f>
        <v>3.5917730318937608</v>
      </c>
      <c r="O179">
        <f t="shared" si="19"/>
        <v>0</v>
      </c>
      <c r="P179">
        <f t="shared" si="20"/>
        <v>2.1296398129073001E-3</v>
      </c>
      <c r="Q179">
        <f t="shared" si="21"/>
        <v>0</v>
      </c>
      <c r="R179">
        <f t="shared" si="22"/>
        <v>11.659777975667469</v>
      </c>
    </row>
    <row r="180" spans="5:18" x14ac:dyDescent="0.2">
      <c r="F180" t="s">
        <v>57</v>
      </c>
      <c r="G180">
        <v>65</v>
      </c>
      <c r="H180" s="8">
        <v>440</v>
      </c>
      <c r="I180" s="8">
        <v>0.5</v>
      </c>
      <c r="L180">
        <v>1</v>
      </c>
      <c r="M180">
        <f t="shared" si="37"/>
        <v>8.0470938276000012</v>
      </c>
      <c r="N180">
        <f t="shared" ref="N180" si="60">(M180 * (1 -V$141) + (0.04 * M180)) * ( 1 - AD$141 )</f>
        <v>4.3261176417177598</v>
      </c>
      <c r="O180">
        <f t="shared" si="19"/>
        <v>0</v>
      </c>
      <c r="P180">
        <f t="shared" si="20"/>
        <v>2.5650485939155208E-3</v>
      </c>
      <c r="Q180">
        <f t="shared" si="21"/>
        <v>0</v>
      </c>
      <c r="R180">
        <f t="shared" si="22"/>
        <v>15.213944472661431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4.2.1 methane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2026-03-31T11:20:47Z</dcterms:modified>
</cp:coreProperties>
</file>