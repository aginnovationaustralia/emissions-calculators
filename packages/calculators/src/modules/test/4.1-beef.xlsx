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eddiesholl/Code/aginnovationaustralia/emissions-calculators/packages/calculators/src/modules/test/"/>
    </mc:Choice>
  </mc:AlternateContent>
  <xr:revisionPtr revIDLastSave="0" documentId="13_ncr:20001_{8FB9131E-94CA-3642-A0E7-6203DA3A4994}" xr6:coauthVersionLast="47" xr6:coauthVersionMax="47" xr10:uidLastSave="{00000000-0000-0000-0000-000000000000}"/>
  <bookViews>
    <workbookView xWindow="51080" yWindow="10420" windowWidth="28800" windowHeight="28200" xr2:uid="{00000000-000D-0000-FFFF-FFFF00000000}"/>
  </bookViews>
  <sheets>
    <sheet name="4.2.1 methane" sheetId="2" r:id="rId1"/>
    <sheet name="Checks" sheetId="3"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8" i="2" l="1"/>
  <c r="M109" i="2"/>
  <c r="M110" i="2"/>
  <c r="M111" i="2"/>
  <c r="N111" i="2" s="1"/>
  <c r="M112" i="2"/>
  <c r="N112" i="2" s="1"/>
  <c r="M113" i="2"/>
  <c r="M114" i="2"/>
  <c r="M107" i="2"/>
  <c r="M68" i="2"/>
  <c r="M69" i="2"/>
  <c r="M70" i="2"/>
  <c r="M71" i="2"/>
  <c r="M72" i="2"/>
  <c r="M73" i="2"/>
  <c r="N73" i="2" s="1"/>
  <c r="M74" i="2"/>
  <c r="M67" i="2"/>
  <c r="M28" i="2"/>
  <c r="M29" i="2"/>
  <c r="M30" i="2"/>
  <c r="M31" i="2"/>
  <c r="M32" i="2"/>
  <c r="M33" i="2"/>
  <c r="M34" i="2"/>
  <c r="M27" i="2"/>
  <c r="L158" i="2"/>
  <c r="L159" i="2"/>
  <c r="L160" i="2"/>
  <c r="L161" i="2"/>
  <c r="N161" i="2" s="1"/>
  <c r="L162" i="2"/>
  <c r="N162" i="2" s="1"/>
  <c r="L163" i="2"/>
  <c r="N163" i="2" s="1"/>
  <c r="O163" i="2" s="1"/>
  <c r="L164" i="2"/>
  <c r="L15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N70" i="2" s="1"/>
  <c r="L71" i="2"/>
  <c r="N71" i="2" s="1"/>
  <c r="L72" i="2"/>
  <c r="N72" i="2" s="1"/>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N107" i="2" s="1"/>
  <c r="L108" i="2"/>
  <c r="N109" i="2" s="1"/>
  <c r="L109" i="2"/>
  <c r="L110" i="2"/>
  <c r="L111" i="2"/>
  <c r="L112" i="2"/>
  <c r="L113" i="2"/>
  <c r="L114" i="2"/>
  <c r="L115" i="2"/>
  <c r="L116" i="2"/>
  <c r="L117" i="2"/>
  <c r="L27" i="2"/>
  <c r="AC52" i="3"/>
  <c r="AC53" i="3"/>
  <c r="AC54" i="3"/>
  <c r="AC55" i="3"/>
  <c r="AB53" i="3"/>
  <c r="AB54" i="3"/>
  <c r="AB55" i="3"/>
  <c r="AB52" i="3"/>
  <c r="AA53" i="3"/>
  <c r="AA54" i="3"/>
  <c r="AA55" i="3"/>
  <c r="AA52" i="3"/>
  <c r="Z53" i="3"/>
  <c r="Z54" i="3"/>
  <c r="Z55" i="3"/>
  <c r="Z52" i="3"/>
  <c r="Y53" i="3"/>
  <c r="Y54" i="3"/>
  <c r="Y55" i="3"/>
  <c r="Y52" i="3"/>
  <c r="X53" i="3"/>
  <c r="X54" i="3"/>
  <c r="X55" i="3"/>
  <c r="X52" i="3"/>
  <c r="AE53" i="3"/>
  <c r="AE54" i="3"/>
  <c r="AE55" i="3"/>
  <c r="AE52" i="3"/>
  <c r="AD53" i="3"/>
  <c r="AD54" i="3"/>
  <c r="AD55" i="3"/>
  <c r="AD52" i="3"/>
  <c r="AG41" i="3"/>
  <c r="AG11" i="3"/>
  <c r="M35" i="3"/>
  <c r="M36" i="3"/>
  <c r="M37" i="3"/>
  <c r="M38" i="3"/>
  <c r="M39" i="3"/>
  <c r="M40" i="3"/>
  <c r="M41" i="3"/>
  <c r="M42" i="3"/>
  <c r="M43" i="3"/>
  <c r="M44" i="3"/>
  <c r="M45" i="3"/>
  <c r="N45" i="3" s="1"/>
  <c r="M46" i="3"/>
  <c r="M47" i="3"/>
  <c r="M48" i="3"/>
  <c r="M49" i="3"/>
  <c r="M50" i="3"/>
  <c r="M51" i="3"/>
  <c r="M52" i="3"/>
  <c r="M53" i="3"/>
  <c r="M54" i="3"/>
  <c r="M55" i="3"/>
  <c r="N55" i="3" s="1"/>
  <c r="M56" i="3"/>
  <c r="M57" i="3"/>
  <c r="M58" i="3"/>
  <c r="M59" i="3"/>
  <c r="M60" i="3"/>
  <c r="M61" i="3"/>
  <c r="M62" i="3"/>
  <c r="M63" i="3"/>
  <c r="M64" i="3"/>
  <c r="M29" i="3"/>
  <c r="M30" i="3"/>
  <c r="M31" i="3"/>
  <c r="M32" i="3"/>
  <c r="M33" i="3"/>
  <c r="M34" i="3"/>
  <c r="M28" i="3"/>
  <c r="M27" i="3"/>
  <c r="L36" i="3"/>
  <c r="L37" i="3"/>
  <c r="L38" i="3"/>
  <c r="L39" i="3"/>
  <c r="L40" i="3"/>
  <c r="L41" i="3"/>
  <c r="L42" i="3"/>
  <c r="L43" i="3"/>
  <c r="L44" i="3"/>
  <c r="L45" i="3"/>
  <c r="N46" i="3" s="1"/>
  <c r="L46" i="3"/>
  <c r="L47" i="3"/>
  <c r="L48" i="3"/>
  <c r="L49" i="3"/>
  <c r="L50" i="3"/>
  <c r="L51" i="3"/>
  <c r="L52" i="3"/>
  <c r="N52" i="3" s="1"/>
  <c r="L53" i="3"/>
  <c r="L54" i="3"/>
  <c r="L55" i="3"/>
  <c r="L56" i="3"/>
  <c r="N56" i="3" s="1"/>
  <c r="L57" i="3"/>
  <c r="L58" i="3"/>
  <c r="L59" i="3"/>
  <c r="L60" i="3"/>
  <c r="L28" i="3"/>
  <c r="L29" i="3"/>
  <c r="L30" i="3"/>
  <c r="L31" i="3"/>
  <c r="L32" i="3"/>
  <c r="L33" i="3"/>
  <c r="L34" i="3"/>
  <c r="N31" i="3" s="1"/>
  <c r="L35" i="3"/>
  <c r="L27" i="3"/>
  <c r="N28" i="3" s="1"/>
  <c r="I61" i="3" a="1"/>
  <c r="I61" i="3" s="1"/>
  <c r="H61" i="3" a="1"/>
  <c r="H61" i="3" s="1"/>
  <c r="N60" i="3"/>
  <c r="I57" i="3" a="1"/>
  <c r="I57" i="3" s="1"/>
  <c r="H57" i="3" a="1"/>
  <c r="N54" i="3"/>
  <c r="N53" i="3"/>
  <c r="I53" i="3" a="1"/>
  <c r="I53" i="3" s="1"/>
  <c r="H53" i="3" a="1"/>
  <c r="N50" i="3"/>
  <c r="N49" i="3"/>
  <c r="I49" i="3" a="1"/>
  <c r="I49" i="3" s="1"/>
  <c r="H49" i="3" a="1"/>
  <c r="N48" i="3"/>
  <c r="I45" i="3" a="1"/>
  <c r="I45" i="3" s="1"/>
  <c r="H45" i="3" a="1"/>
  <c r="AH41" i="3"/>
  <c r="AF41" i="3"/>
  <c r="AE41" i="3"/>
  <c r="AD41" i="3"/>
  <c r="AC41" i="3"/>
  <c r="AB41" i="3"/>
  <c r="AA41" i="3"/>
  <c r="Z41" i="3"/>
  <c r="U41" i="3" a="1"/>
  <c r="U41" i="3" s="1"/>
  <c r="I41" i="3" a="1"/>
  <c r="I41" i="3" s="1"/>
  <c r="H41" i="3" a="1"/>
  <c r="H15" i="3" a="1"/>
  <c r="H15" i="3" s="1"/>
  <c r="I15" i="3" a="1"/>
  <c r="I15" i="3" s="1"/>
  <c r="H19" i="3" a="1"/>
  <c r="H19" i="3" s="1"/>
  <c r="I19" i="3" a="1"/>
  <c r="I19" i="3" s="1"/>
  <c r="O22" i="3"/>
  <c r="H23" i="3" a="1"/>
  <c r="H23" i="3" s="1"/>
  <c r="I23" i="3" a="1"/>
  <c r="I23" i="3" s="1"/>
  <c r="H27" i="3" a="1"/>
  <c r="H27" i="3" s="1"/>
  <c r="W27" i="3" s="1"/>
  <c r="I27" i="3" a="1"/>
  <c r="I27" i="3" s="1"/>
  <c r="N27" i="3"/>
  <c r="I35" i="3" a="1"/>
  <c r="I35" i="3" s="1"/>
  <c r="H35" i="3" a="1"/>
  <c r="H35" i="3" s="1"/>
  <c r="O35" i="3" s="1"/>
  <c r="N34" i="3"/>
  <c r="N33" i="3"/>
  <c r="I31" i="3" a="1"/>
  <c r="I31" i="3" s="1"/>
  <c r="H31" i="3" a="1"/>
  <c r="N30" i="3"/>
  <c r="N29" i="3"/>
  <c r="AH11" i="3"/>
  <c r="AF11" i="3"/>
  <c r="AE11" i="3"/>
  <c r="AD11" i="3"/>
  <c r="AC11" i="3"/>
  <c r="AB11" i="3"/>
  <c r="AA11" i="3"/>
  <c r="Z11" i="3"/>
  <c r="U11" i="3" a="1"/>
  <c r="U11" i="3" s="1"/>
  <c r="I11" i="3" a="1"/>
  <c r="I11" i="3" s="1"/>
  <c r="H11" i="3" a="1"/>
  <c r="H11" i="3" s="1"/>
  <c r="N114" i="2"/>
  <c r="I127" i="2" a="1"/>
  <c r="I127" i="2" s="1"/>
  <c r="H127" i="2" a="1"/>
  <c r="I123" i="2" a="1"/>
  <c r="I123" i="2" s="1"/>
  <c r="H123" i="2" a="1"/>
  <c r="H123" i="2" s="1"/>
  <c r="O123" i="2" s="1"/>
  <c r="I119" i="2" a="1"/>
  <c r="I119" i="2" s="1"/>
  <c r="H119" i="2" a="1"/>
  <c r="H119" i="2" s="1"/>
  <c r="O119" i="2" s="1"/>
  <c r="P119" i="2" s="1"/>
  <c r="I115" i="2" a="1"/>
  <c r="I115" i="2" s="1"/>
  <c r="H115" i="2" a="1"/>
  <c r="H115" i="2" s="1"/>
  <c r="N113" i="2"/>
  <c r="I111" i="2" a="1"/>
  <c r="I111" i="2" s="1"/>
  <c r="H111" i="2" a="1"/>
  <c r="N110" i="2"/>
  <c r="I107" i="2" a="1"/>
  <c r="I107" i="2" s="1"/>
  <c r="H107" i="2" a="1"/>
  <c r="I103" i="2" a="1"/>
  <c r="I103" i="2" s="1"/>
  <c r="H103" i="2" a="1"/>
  <c r="I99" i="2" a="1"/>
  <c r="I99" i="2" s="1"/>
  <c r="H99" i="2" a="1"/>
  <c r="H99" i="2" s="1"/>
  <c r="I95" i="2" a="1"/>
  <c r="I95" i="2" s="1"/>
  <c r="H95" i="2" a="1"/>
  <c r="H95" i="2" s="1"/>
  <c r="O95" i="2" s="1"/>
  <c r="AH91" i="2"/>
  <c r="AF91" i="2"/>
  <c r="AE91" i="2"/>
  <c r="AD91" i="2"/>
  <c r="AC91" i="2"/>
  <c r="AB91" i="2"/>
  <c r="AA91" i="2"/>
  <c r="Z91" i="2"/>
  <c r="U91" i="2" a="1"/>
  <c r="U91" i="2" s="1"/>
  <c r="I91" i="2" a="1"/>
  <c r="I91" i="2" s="1"/>
  <c r="H91" i="2" a="1"/>
  <c r="O177" i="2"/>
  <c r="O175" i="2"/>
  <c r="O171" i="2"/>
  <c r="O172" i="2"/>
  <c r="O165" i="2"/>
  <c r="P165" i="2" s="1"/>
  <c r="R165" i="2" s="1"/>
  <c r="N164" i="2"/>
  <c r="N160" i="2"/>
  <c r="N159" i="2"/>
  <c r="N158" i="2"/>
  <c r="N157" i="2"/>
  <c r="I157" i="2" a="1"/>
  <c r="I157" i="2" s="1"/>
  <c r="O155" i="2"/>
  <c r="O156" i="2"/>
  <c r="P156" i="2" s="1"/>
  <c r="R156" i="2" s="1"/>
  <c r="O152" i="2"/>
  <c r="P152" i="2" s="1"/>
  <c r="R152" i="2" s="1"/>
  <c r="O150" i="2"/>
  <c r="O149" i="2"/>
  <c r="P149" i="2" s="1"/>
  <c r="O147" i="2"/>
  <c r="AH141" i="2"/>
  <c r="AF141" i="2"/>
  <c r="AE141" i="2"/>
  <c r="AD141" i="2"/>
  <c r="AC141" i="2"/>
  <c r="AB141" i="2"/>
  <c r="AA141" i="2"/>
  <c r="Z141" i="2"/>
  <c r="O143" i="2"/>
  <c r="P143" i="2" s="1"/>
  <c r="R143" i="2" s="1"/>
  <c r="O144" i="2"/>
  <c r="P144" i="2" s="1"/>
  <c r="R144" i="2" s="1"/>
  <c r="I87" i="2" a="1"/>
  <c r="I87" i="2" s="1"/>
  <c r="H87" i="2" a="1"/>
  <c r="H87" i="2" s="1"/>
  <c r="I83" i="2" a="1"/>
  <c r="I83" i="2" s="1"/>
  <c r="H83" i="2" a="1"/>
  <c r="H83" i="2" s="1"/>
  <c r="O83" i="2" s="1"/>
  <c r="P83" i="2" s="1"/>
  <c r="Q83" i="2" s="1"/>
  <c r="I79" i="2" a="1"/>
  <c r="H79" i="2" a="1"/>
  <c r="I75" i="2" a="1"/>
  <c r="I75" i="2" s="1"/>
  <c r="H75" i="2" a="1"/>
  <c r="H75" i="2" s="1"/>
  <c r="N74" i="2"/>
  <c r="I71" i="2" a="1"/>
  <c r="I71" i="2" s="1"/>
  <c r="H71" i="2" a="1"/>
  <c r="N69" i="2"/>
  <c r="N68" i="2"/>
  <c r="N67" i="2"/>
  <c r="I67" i="2" a="1"/>
  <c r="I67" i="2" s="1"/>
  <c r="H67" i="2" a="1"/>
  <c r="I63" i="2" a="1"/>
  <c r="I63" i="2" s="1"/>
  <c r="H63" i="2" a="1"/>
  <c r="O65" i="2" s="1"/>
  <c r="I59" i="2" a="1"/>
  <c r="I59" i="2" s="1"/>
  <c r="H59" i="2" a="1"/>
  <c r="H59" i="2" s="1"/>
  <c r="I55" i="2" a="1"/>
  <c r="I55" i="2" s="1"/>
  <c r="H55" i="2" a="1"/>
  <c r="H55" i="2" s="1"/>
  <c r="AH51" i="2"/>
  <c r="AF51" i="2"/>
  <c r="AE51" i="2"/>
  <c r="AD51" i="2"/>
  <c r="AC51" i="2"/>
  <c r="AB51" i="2"/>
  <c r="AA51" i="2"/>
  <c r="Z51" i="2"/>
  <c r="U51" i="2" a="1"/>
  <c r="U51" i="2" s="1"/>
  <c r="I51" i="2" a="1"/>
  <c r="I51" i="2" s="1"/>
  <c r="H51" i="2" a="1"/>
  <c r="AH11" i="2"/>
  <c r="U11" i="2" a="1"/>
  <c r="U11" i="2" s="1"/>
  <c r="Z11" i="2"/>
  <c r="AA11" i="2"/>
  <c r="AB11" i="2"/>
  <c r="AF11" i="2"/>
  <c r="AE11" i="2"/>
  <c r="AD11" i="2"/>
  <c r="AC11" i="2"/>
  <c r="O113" i="2" l="1"/>
  <c r="N108" i="2"/>
  <c r="R149" i="2"/>
  <c r="O75" i="2"/>
  <c r="P75" i="2" s="1"/>
  <c r="Q75" i="2" s="1"/>
  <c r="S75" i="2" s="1"/>
  <c r="O124" i="2"/>
  <c r="P124" i="2" s="1"/>
  <c r="R124" i="2" s="1"/>
  <c r="T124" i="2" s="1"/>
  <c r="O128" i="2"/>
  <c r="O129" i="2"/>
  <c r="P129" i="2" s="1"/>
  <c r="P155" i="2"/>
  <c r="R155" i="2" s="1"/>
  <c r="O96" i="2"/>
  <c r="P96" i="2" s="1"/>
  <c r="O114" i="2"/>
  <c r="P114" i="2" s="1"/>
  <c r="R114" i="2" s="1"/>
  <c r="T114" i="2" s="1"/>
  <c r="O98" i="2"/>
  <c r="P98" i="2" s="1"/>
  <c r="Q98" i="2" s="1"/>
  <c r="S98" i="2" s="1"/>
  <c r="O81" i="2"/>
  <c r="P81" i="2" s="1"/>
  <c r="Q81" i="2" s="1"/>
  <c r="S81" i="2" s="1"/>
  <c r="O55" i="2"/>
  <c r="P55" i="2" s="1"/>
  <c r="O115" i="2"/>
  <c r="P115" i="2" s="1"/>
  <c r="R115" i="2" s="1"/>
  <c r="T115" i="2" s="1"/>
  <c r="P177" i="2"/>
  <c r="R177" i="2" s="1"/>
  <c r="P113" i="2"/>
  <c r="P123" i="2"/>
  <c r="R123" i="2" s="1"/>
  <c r="T123" i="2" s="1"/>
  <c r="O99" i="2"/>
  <c r="P99" i="2" s="1"/>
  <c r="R99" i="2" s="1"/>
  <c r="T99" i="2" s="1"/>
  <c r="O100" i="2"/>
  <c r="P100" i="2" s="1"/>
  <c r="R100" i="2" s="1"/>
  <c r="T100" i="2" s="1"/>
  <c r="O126" i="2"/>
  <c r="P126" i="2" s="1"/>
  <c r="Q126" i="2" s="1"/>
  <c r="S126" i="2" s="1"/>
  <c r="O76" i="2"/>
  <c r="P76" i="2" s="1"/>
  <c r="Q76" i="2" s="1"/>
  <c r="S76" i="2" s="1"/>
  <c r="P175" i="2"/>
  <c r="R175" i="2" s="1"/>
  <c r="T175" i="2" s="1"/>
  <c r="P163" i="2"/>
  <c r="R163" i="2" s="1"/>
  <c r="T163" i="2" s="1"/>
  <c r="O78" i="2"/>
  <c r="P78" i="2" s="1"/>
  <c r="Q78" i="2" s="1"/>
  <c r="P150" i="2"/>
  <c r="R150" i="2" s="1"/>
  <c r="O53" i="2"/>
  <c r="P53" i="2" s="1"/>
  <c r="Q53" i="2" s="1"/>
  <c r="O101" i="2"/>
  <c r="P101" i="2" s="1"/>
  <c r="R101" i="2" s="1"/>
  <c r="T101" i="2" s="1"/>
  <c r="P128" i="2"/>
  <c r="O59" i="2"/>
  <c r="P59" i="2" s="1"/>
  <c r="Q59" i="2" s="1"/>
  <c r="S59" i="2" s="1"/>
  <c r="P172" i="2"/>
  <c r="R172" i="2" s="1"/>
  <c r="T172" i="2" s="1"/>
  <c r="O102" i="2"/>
  <c r="P102" i="2" s="1"/>
  <c r="R102" i="2" s="1"/>
  <c r="T102" i="2" s="1"/>
  <c r="O60" i="2"/>
  <c r="P60" i="2" s="1"/>
  <c r="Q60" i="2" s="1"/>
  <c r="S60" i="2" s="1"/>
  <c r="O61" i="2"/>
  <c r="P61" i="2" s="1"/>
  <c r="Q61" i="2" s="1"/>
  <c r="S61" i="2" s="1"/>
  <c r="O117" i="2"/>
  <c r="P117" i="2" s="1"/>
  <c r="P171" i="2"/>
  <c r="R171" i="2" s="1"/>
  <c r="P147" i="2"/>
  <c r="R147" i="2" s="1"/>
  <c r="P65" i="2"/>
  <c r="Q65" i="2" s="1"/>
  <c r="S65" i="2" s="1"/>
  <c r="P95" i="2"/>
  <c r="R95" i="2" s="1"/>
  <c r="T95" i="2" s="1"/>
  <c r="N58" i="3"/>
  <c r="N59" i="3"/>
  <c r="N47" i="3"/>
  <c r="N57" i="3"/>
  <c r="N51" i="3"/>
  <c r="N32" i="3"/>
  <c r="P22" i="3"/>
  <c r="O21" i="3"/>
  <c r="P21" i="3"/>
  <c r="R21" i="3" s="1"/>
  <c r="T21" i="3" s="1"/>
  <c r="R22" i="3"/>
  <c r="T22" i="3" s="1"/>
  <c r="Q22" i="3"/>
  <c r="S22" i="3" s="1"/>
  <c r="Q21" i="3"/>
  <c r="S21" i="3" s="1"/>
  <c r="O17" i="3"/>
  <c r="P17" i="3" s="1"/>
  <c r="Q17" i="3" s="1"/>
  <c r="O16" i="3"/>
  <c r="P16" i="3" s="1"/>
  <c r="O20" i="3"/>
  <c r="P20" i="3" s="1"/>
  <c r="X27" i="3"/>
  <c r="P35" i="3"/>
  <c r="Q35" i="3" s="1"/>
  <c r="S35" i="3" s="1"/>
  <c r="O43" i="3"/>
  <c r="P43" i="3" s="1"/>
  <c r="O26" i="3"/>
  <c r="P26" i="3" s="1"/>
  <c r="Q26" i="3" s="1"/>
  <c r="S26" i="3" s="1"/>
  <c r="O25" i="3"/>
  <c r="P25" i="3" s="1"/>
  <c r="Q25" i="3" s="1"/>
  <c r="S25" i="3" s="1"/>
  <c r="O51" i="3"/>
  <c r="P51" i="3" s="1"/>
  <c r="O24" i="3"/>
  <c r="P24" i="3" s="1"/>
  <c r="Q24" i="3" s="1"/>
  <c r="O18" i="3"/>
  <c r="P18" i="3" s="1"/>
  <c r="O59" i="3"/>
  <c r="P59" i="3" s="1"/>
  <c r="O42" i="3"/>
  <c r="P42" i="3" s="1"/>
  <c r="R42" i="3" s="1"/>
  <c r="T42" i="3" s="1"/>
  <c r="O44" i="3"/>
  <c r="P44" i="3" s="1"/>
  <c r="O55" i="3"/>
  <c r="P55" i="3" s="1"/>
  <c r="R55" i="3" s="1"/>
  <c r="T55" i="3" s="1"/>
  <c r="O61" i="3"/>
  <c r="P61" i="3" s="1"/>
  <c r="O63" i="3"/>
  <c r="P63" i="3" s="1"/>
  <c r="O62" i="3"/>
  <c r="P62" i="3" s="1"/>
  <c r="O64" i="3"/>
  <c r="P64" i="3" s="1"/>
  <c r="O47" i="3"/>
  <c r="O58" i="3"/>
  <c r="P58" i="3" s="1"/>
  <c r="O60" i="3"/>
  <c r="P60" i="3" s="1"/>
  <c r="H57" i="3"/>
  <c r="O57" i="3" s="1"/>
  <c r="P57" i="3" s="1"/>
  <c r="O54" i="3"/>
  <c r="P54" i="3" s="1"/>
  <c r="O56" i="3"/>
  <c r="P56" i="3" s="1"/>
  <c r="R56" i="3" s="1"/>
  <c r="H53" i="3"/>
  <c r="O53" i="3" s="1"/>
  <c r="P53" i="3" s="1"/>
  <c r="H49" i="3"/>
  <c r="O49" i="3" s="1"/>
  <c r="P49" i="3" s="1"/>
  <c r="O50" i="3"/>
  <c r="P50" i="3" s="1"/>
  <c r="O52" i="3"/>
  <c r="P52" i="3" s="1"/>
  <c r="O48" i="3"/>
  <c r="P48" i="3" s="1"/>
  <c r="H45" i="3"/>
  <c r="O46" i="3"/>
  <c r="P46" i="3" s="1"/>
  <c r="H41" i="3"/>
  <c r="O41" i="3" s="1"/>
  <c r="P41" i="3" s="1"/>
  <c r="O19" i="3"/>
  <c r="P19" i="3" s="1"/>
  <c r="Q19" i="3" s="1"/>
  <c r="O23" i="3"/>
  <c r="P23" i="3" s="1"/>
  <c r="Q23" i="3" s="1"/>
  <c r="S17" i="3"/>
  <c r="R17" i="3"/>
  <c r="T17" i="3" s="1"/>
  <c r="S24" i="3"/>
  <c r="R24" i="3"/>
  <c r="T24" i="3" s="1"/>
  <c r="O27" i="3"/>
  <c r="P27" i="3" s="1"/>
  <c r="Q27" i="3" s="1"/>
  <c r="O15" i="3"/>
  <c r="P15" i="3" s="1"/>
  <c r="Q15" i="3" s="1"/>
  <c r="O11" i="3"/>
  <c r="P11" i="3" s="1"/>
  <c r="Q11" i="3" s="1"/>
  <c r="O32" i="3"/>
  <c r="P32" i="3" s="1"/>
  <c r="Q32" i="3" s="1"/>
  <c r="H31" i="3"/>
  <c r="O31" i="3" s="1"/>
  <c r="P31" i="3" s="1"/>
  <c r="Q31" i="3" s="1"/>
  <c r="O28" i="3"/>
  <c r="P28" i="3" s="1"/>
  <c r="Q28" i="3" s="1"/>
  <c r="O37" i="3"/>
  <c r="P37" i="3" s="1"/>
  <c r="Q37" i="3" s="1"/>
  <c r="O13" i="3"/>
  <c r="P13" i="3" s="1"/>
  <c r="Q13" i="3" s="1"/>
  <c r="O34" i="3"/>
  <c r="P34" i="3" s="1"/>
  <c r="Q34" i="3" s="1"/>
  <c r="O30" i="3"/>
  <c r="P30" i="3" s="1"/>
  <c r="Q30" i="3" s="1"/>
  <c r="O12" i="3"/>
  <c r="P12" i="3" s="1"/>
  <c r="Q12" i="3" s="1"/>
  <c r="O14" i="3"/>
  <c r="P14" i="3" s="1"/>
  <c r="Q14" i="3" s="1"/>
  <c r="O33" i="3"/>
  <c r="P33" i="3" s="1"/>
  <c r="Q33" i="3" s="1"/>
  <c r="O36" i="3"/>
  <c r="P36" i="3" s="1"/>
  <c r="Q36" i="3" s="1"/>
  <c r="O38" i="3"/>
  <c r="P38" i="3" s="1"/>
  <c r="Q38" i="3" s="1"/>
  <c r="O29" i="3"/>
  <c r="P29" i="3" s="1"/>
  <c r="Q29" i="3" s="1"/>
  <c r="O109" i="2"/>
  <c r="P109" i="2" s="1"/>
  <c r="Q109" i="2" s="1"/>
  <c r="S109" i="2" s="1"/>
  <c r="Q101" i="2"/>
  <c r="S101" i="2" s="1"/>
  <c r="R117" i="2"/>
  <c r="T117" i="2" s="1"/>
  <c r="Q117" i="2"/>
  <c r="S117" i="2" s="1"/>
  <c r="R129" i="2"/>
  <c r="T129" i="2" s="1"/>
  <c r="Q129" i="2"/>
  <c r="S129" i="2" s="1"/>
  <c r="R128" i="2"/>
  <c r="T128" i="2" s="1"/>
  <c r="Q128" i="2"/>
  <c r="S128" i="2" s="1"/>
  <c r="R119" i="2"/>
  <c r="T119" i="2" s="1"/>
  <c r="Q119" i="2"/>
  <c r="S119" i="2" s="1"/>
  <c r="R113" i="2"/>
  <c r="T113" i="2" s="1"/>
  <c r="Q113" i="2"/>
  <c r="S113" i="2" s="1"/>
  <c r="H111" i="2"/>
  <c r="O111" i="2" s="1"/>
  <c r="P111" i="2" s="1"/>
  <c r="O94" i="2"/>
  <c r="P94" i="2" s="1"/>
  <c r="O92" i="2"/>
  <c r="P92" i="2" s="1"/>
  <c r="O93" i="2"/>
  <c r="P93" i="2" s="1"/>
  <c r="Q124" i="2"/>
  <c r="S124" i="2" s="1"/>
  <c r="O106" i="2"/>
  <c r="P106" i="2" s="1"/>
  <c r="O104" i="2"/>
  <c r="P104" i="2" s="1"/>
  <c r="O105" i="2"/>
  <c r="P105" i="2" s="1"/>
  <c r="H91" i="2"/>
  <c r="O91" i="2" s="1"/>
  <c r="P91" i="2" s="1"/>
  <c r="H103" i="2"/>
  <c r="O103" i="2" s="1"/>
  <c r="P103" i="2" s="1"/>
  <c r="O112" i="2"/>
  <c r="P112" i="2" s="1"/>
  <c r="O122" i="2"/>
  <c r="P122" i="2" s="1"/>
  <c r="O120" i="2"/>
  <c r="P120" i="2" s="1"/>
  <c r="O121" i="2"/>
  <c r="P121" i="2" s="1"/>
  <c r="O116" i="2"/>
  <c r="P116" i="2" s="1"/>
  <c r="O130" i="2"/>
  <c r="P130" i="2" s="1"/>
  <c r="O108" i="2"/>
  <c r="P108" i="2" s="1"/>
  <c r="O118" i="2"/>
  <c r="P118" i="2" s="1"/>
  <c r="O97" i="2"/>
  <c r="P97" i="2" s="1"/>
  <c r="O125" i="2"/>
  <c r="P125" i="2" s="1"/>
  <c r="H127" i="2"/>
  <c r="O127" i="2" s="1"/>
  <c r="P127" i="2" s="1"/>
  <c r="H107" i="2"/>
  <c r="O107" i="2" s="1"/>
  <c r="P107" i="2" s="1"/>
  <c r="O110" i="2"/>
  <c r="P110" i="2" s="1"/>
  <c r="Q156" i="2"/>
  <c r="S156" i="2" s="1"/>
  <c r="Q155" i="2"/>
  <c r="Q152" i="2"/>
  <c r="S152" i="2" s="1"/>
  <c r="Q151" i="2"/>
  <c r="Q150" i="2"/>
  <c r="S150" i="2" s="1"/>
  <c r="Q149" i="2"/>
  <c r="S149" i="2" s="1"/>
  <c r="Q177" i="2"/>
  <c r="S177" i="2" s="1"/>
  <c r="Q165" i="2"/>
  <c r="S165" i="2" s="1"/>
  <c r="Q153" i="2"/>
  <c r="Q175" i="2"/>
  <c r="S175" i="2" s="1"/>
  <c r="Q144" i="2"/>
  <c r="S144" i="2" s="1"/>
  <c r="Q171" i="2"/>
  <c r="S171" i="2" s="1"/>
  <c r="Q147" i="2"/>
  <c r="S147" i="2" s="1"/>
  <c r="Q173" i="2"/>
  <c r="Q143" i="2"/>
  <c r="S143" i="2" s="1"/>
  <c r="O88" i="2"/>
  <c r="P88" i="2" s="1"/>
  <c r="Q88" i="2" s="1"/>
  <c r="O77" i="2"/>
  <c r="P77" i="2" s="1"/>
  <c r="R77" i="2" s="1"/>
  <c r="T77" i="2" s="1"/>
  <c r="O89" i="2"/>
  <c r="P89" i="2" s="1"/>
  <c r="R89" i="2" s="1"/>
  <c r="T89" i="2" s="1"/>
  <c r="O90" i="2"/>
  <c r="P90" i="2" s="1"/>
  <c r="I79" i="2"/>
  <c r="O62" i="2"/>
  <c r="P62" i="2" s="1"/>
  <c r="H51" i="2"/>
  <c r="O51" i="2" s="1"/>
  <c r="P51" i="2" s="1"/>
  <c r="Q51" i="2" s="1"/>
  <c r="S51" i="2" s="1"/>
  <c r="O87" i="2"/>
  <c r="P87" i="2" s="1"/>
  <c r="O159" i="2"/>
  <c r="P159" i="2" s="1"/>
  <c r="R159" i="2" s="1"/>
  <c r="T159" i="2" s="1"/>
  <c r="T147" i="2"/>
  <c r="T149" i="2"/>
  <c r="S155" i="2"/>
  <c r="T155" i="2"/>
  <c r="T171" i="2"/>
  <c r="T144" i="2"/>
  <c r="T177" i="2"/>
  <c r="T156" i="2"/>
  <c r="T165" i="2"/>
  <c r="T143" i="2"/>
  <c r="T150" i="2"/>
  <c r="T152" i="2"/>
  <c r="O151" i="2"/>
  <c r="P151" i="2" s="1"/>
  <c r="R151" i="2" s="1"/>
  <c r="O162" i="2"/>
  <c r="P162" i="2" s="1"/>
  <c r="R162" i="2" s="1"/>
  <c r="O167" i="2"/>
  <c r="P167" i="2" s="1"/>
  <c r="O179" i="2"/>
  <c r="P179" i="2" s="1"/>
  <c r="O141" i="2"/>
  <c r="P141" i="2" s="1"/>
  <c r="R141" i="2" s="1"/>
  <c r="O153" i="2"/>
  <c r="P153" i="2" s="1"/>
  <c r="R153" i="2" s="1"/>
  <c r="O161" i="2"/>
  <c r="P161" i="2" s="1"/>
  <c r="R161" i="2" s="1"/>
  <c r="O169" i="2"/>
  <c r="P169" i="2" s="1"/>
  <c r="O146" i="2"/>
  <c r="P146" i="2" s="1"/>
  <c r="R146" i="2" s="1"/>
  <c r="O148" i="2"/>
  <c r="P148" i="2" s="1"/>
  <c r="R148" i="2" s="1"/>
  <c r="O164" i="2"/>
  <c r="P164" i="2" s="1"/>
  <c r="R164" i="2" s="1"/>
  <c r="O174" i="2"/>
  <c r="P174" i="2" s="1"/>
  <c r="R174" i="2" s="1"/>
  <c r="O176" i="2"/>
  <c r="P176" i="2" s="1"/>
  <c r="R176" i="2" s="1"/>
  <c r="O145" i="2"/>
  <c r="P145" i="2" s="1"/>
  <c r="R145" i="2" s="1"/>
  <c r="O157" i="2"/>
  <c r="P157" i="2" s="1"/>
  <c r="O173" i="2"/>
  <c r="P173" i="2" s="1"/>
  <c r="R173" i="2" s="1"/>
  <c r="O178" i="2"/>
  <c r="P178" i="2" s="1"/>
  <c r="R178" i="2" s="1"/>
  <c r="O180" i="2"/>
  <c r="P180" i="2" s="1"/>
  <c r="R180" i="2" s="1"/>
  <c r="O160" i="2"/>
  <c r="P160" i="2" s="1"/>
  <c r="R160" i="2" s="1"/>
  <c r="O166" i="2"/>
  <c r="P166" i="2" s="1"/>
  <c r="O168" i="2"/>
  <c r="P168" i="2" s="1"/>
  <c r="R168" i="2" s="1"/>
  <c r="O158" i="2"/>
  <c r="P158" i="2" s="1"/>
  <c r="R158" i="2" s="1"/>
  <c r="O142" i="2"/>
  <c r="P142" i="2" s="1"/>
  <c r="R142" i="2" s="1"/>
  <c r="O154" i="2"/>
  <c r="P154" i="2" s="1"/>
  <c r="R154" i="2" s="1"/>
  <c r="O170" i="2"/>
  <c r="P170" i="2" s="1"/>
  <c r="R170" i="2" s="1"/>
  <c r="R65" i="2"/>
  <c r="T65" i="2" s="1"/>
  <c r="R53" i="2"/>
  <c r="T53" i="2" s="1"/>
  <c r="S53" i="2"/>
  <c r="O69" i="2"/>
  <c r="P69" i="2" s="1"/>
  <c r="Q69" i="2" s="1"/>
  <c r="R75" i="2"/>
  <c r="T75" i="2" s="1"/>
  <c r="H67" i="2"/>
  <c r="O67" i="2" s="1"/>
  <c r="P67" i="2" s="1"/>
  <c r="Q67" i="2" s="1"/>
  <c r="O73" i="2"/>
  <c r="P73" i="2" s="1"/>
  <c r="Q73" i="2" s="1"/>
  <c r="O74" i="2"/>
  <c r="P74" i="2" s="1"/>
  <c r="Q74" i="2" s="1"/>
  <c r="H71" i="2"/>
  <c r="O71" i="2" s="1"/>
  <c r="P71" i="2" s="1"/>
  <c r="Q71" i="2" s="1"/>
  <c r="R88" i="2"/>
  <c r="T88" i="2" s="1"/>
  <c r="S88" i="2"/>
  <c r="O68" i="2"/>
  <c r="P68" i="2" s="1"/>
  <c r="Q68" i="2" s="1"/>
  <c r="R78" i="2"/>
  <c r="T78" i="2" s="1"/>
  <c r="S78" i="2"/>
  <c r="R83" i="2"/>
  <c r="T83" i="2" s="1"/>
  <c r="S83" i="2"/>
  <c r="O70" i="2"/>
  <c r="P70" i="2" s="1"/>
  <c r="Q70" i="2" s="1"/>
  <c r="R60" i="2"/>
  <c r="T60" i="2" s="1"/>
  <c r="O82" i="2"/>
  <c r="P82" i="2" s="1"/>
  <c r="Q82" i="2" s="1"/>
  <c r="O80" i="2"/>
  <c r="P80" i="2" s="1"/>
  <c r="Q80" i="2" s="1"/>
  <c r="H79" i="2"/>
  <c r="O79" i="2" s="1"/>
  <c r="P79" i="2" s="1"/>
  <c r="Q79" i="2" s="1"/>
  <c r="O64" i="2"/>
  <c r="P64" i="2" s="1"/>
  <c r="Q64" i="2" s="1"/>
  <c r="O66" i="2"/>
  <c r="P66" i="2" s="1"/>
  <c r="Q66" i="2" s="1"/>
  <c r="H63" i="2"/>
  <c r="O63" i="2" s="1"/>
  <c r="P63" i="2" s="1"/>
  <c r="Q63" i="2" s="1"/>
  <c r="O54" i="2"/>
  <c r="P54" i="2" s="1"/>
  <c r="Q54" i="2" s="1"/>
  <c r="O52" i="2"/>
  <c r="P52" i="2" s="1"/>
  <c r="Q52" i="2" s="1"/>
  <c r="O57" i="2"/>
  <c r="P57" i="2" s="1"/>
  <c r="Q57" i="2" s="1"/>
  <c r="O58" i="2"/>
  <c r="P58" i="2" s="1"/>
  <c r="Q58" i="2" s="1"/>
  <c r="O56" i="2"/>
  <c r="P56" i="2" s="1"/>
  <c r="Q56" i="2" s="1"/>
  <c r="O72" i="2"/>
  <c r="P72" i="2" s="1"/>
  <c r="Q72" i="2" s="1"/>
  <c r="O85" i="2"/>
  <c r="P85" i="2" s="1"/>
  <c r="Q85" i="2" s="1"/>
  <c r="O86" i="2"/>
  <c r="P86" i="2" s="1"/>
  <c r="Q86" i="2" s="1"/>
  <c r="O84" i="2"/>
  <c r="P84" i="2" s="1"/>
  <c r="Q84" i="2" s="1"/>
  <c r="Q163" i="2" l="1"/>
  <c r="S163" i="2" s="1"/>
  <c r="Q96" i="2"/>
  <c r="S96" i="2" s="1"/>
  <c r="R96" i="2"/>
  <c r="T96" i="2" s="1"/>
  <c r="Q55" i="2"/>
  <c r="S55" i="2" s="1"/>
  <c r="R55" i="2"/>
  <c r="T55" i="2" s="1"/>
  <c r="Q114" i="2"/>
  <c r="S114" i="2" s="1"/>
  <c r="Q170" i="2"/>
  <c r="S170" i="2" s="1"/>
  <c r="Q154" i="2"/>
  <c r="S154" i="2" s="1"/>
  <c r="Q148" i="2"/>
  <c r="S148" i="2" s="1"/>
  <c r="R61" i="2"/>
  <c r="T61" i="2" s="1"/>
  <c r="Q162" i="2"/>
  <c r="S162" i="2" s="1"/>
  <c r="Q176" i="2"/>
  <c r="S176" i="2" s="1"/>
  <c r="Q102" i="2"/>
  <c r="S102" i="2" s="1"/>
  <c r="Q158" i="2"/>
  <c r="Q142" i="2"/>
  <c r="R166" i="2"/>
  <c r="Q166" i="2"/>
  <c r="R169" i="2"/>
  <c r="Q169" i="2"/>
  <c r="Q100" i="2"/>
  <c r="S100" i="2" s="1"/>
  <c r="R167" i="2"/>
  <c r="Q167" i="2"/>
  <c r="R62" i="2"/>
  <c r="T62" i="2" s="1"/>
  <c r="Q62" i="2"/>
  <c r="S62" i="2" s="1"/>
  <c r="Q159" i="2"/>
  <c r="S159" i="2" s="1"/>
  <c r="Q178" i="2"/>
  <c r="S178" i="2" s="1"/>
  <c r="R126" i="2"/>
  <c r="T126" i="2" s="1"/>
  <c r="R179" i="2"/>
  <c r="Q179" i="2"/>
  <c r="R51" i="2"/>
  <c r="T51" i="2" s="1"/>
  <c r="Q95" i="2"/>
  <c r="S95" i="2" s="1"/>
  <c r="Q99" i="2"/>
  <c r="S99" i="2" s="1"/>
  <c r="R157" i="2"/>
  <c r="T157" i="2" s="1"/>
  <c r="Q157" i="2"/>
  <c r="S157" i="2" s="1"/>
  <c r="R90" i="2"/>
  <c r="T90" i="2" s="1"/>
  <c r="Q90" i="2"/>
  <c r="S90" i="2" s="1"/>
  <c r="Q160" i="2"/>
  <c r="S160" i="2" s="1"/>
  <c r="Q89" i="2"/>
  <c r="S89" i="2" s="1"/>
  <c r="Q174" i="2"/>
  <c r="Q172" i="2"/>
  <c r="S172" i="2" s="1"/>
  <c r="Q123" i="2"/>
  <c r="S123" i="2" s="1"/>
  <c r="R98" i="2"/>
  <c r="T98" i="2" s="1"/>
  <c r="Q115" i="2"/>
  <c r="S115" i="2" s="1"/>
  <c r="Q146" i="2"/>
  <c r="S146" i="2" s="1"/>
  <c r="Q180" i="2"/>
  <c r="S180" i="2" s="1"/>
  <c r="R87" i="2"/>
  <c r="T87" i="2" s="1"/>
  <c r="Q87" i="2"/>
  <c r="S87" i="2" s="1"/>
  <c r="R76" i="2"/>
  <c r="T76" i="2" s="1"/>
  <c r="Q77" i="2"/>
  <c r="S77" i="2" s="1"/>
  <c r="Q145" i="2"/>
  <c r="Q168" i="2"/>
  <c r="R81" i="2"/>
  <c r="T81" i="2" s="1"/>
  <c r="Q161" i="2"/>
  <c r="R109" i="2"/>
  <c r="T109" i="2" s="1"/>
  <c r="R59" i="2"/>
  <c r="T59" i="2" s="1"/>
  <c r="Q164" i="2"/>
  <c r="S164" i="2" s="1"/>
  <c r="Q141" i="2"/>
  <c r="Q56" i="3"/>
  <c r="R35" i="3"/>
  <c r="T35" i="3" s="1"/>
  <c r="R25" i="3"/>
  <c r="T25" i="3" s="1"/>
  <c r="Q46" i="3"/>
  <c r="S46" i="3" s="1"/>
  <c r="R46" i="3"/>
  <c r="Q57" i="3"/>
  <c r="S57" i="3" s="1"/>
  <c r="R57" i="3"/>
  <c r="T57" i="3" s="1"/>
  <c r="Q48" i="3"/>
  <c r="S48" i="3" s="1"/>
  <c r="R48" i="3"/>
  <c r="T48" i="3" s="1"/>
  <c r="O45" i="3"/>
  <c r="P45" i="3" s="1"/>
  <c r="W45" i="3"/>
  <c r="X45" i="3"/>
  <c r="Q60" i="3"/>
  <c r="S60" i="3" s="1"/>
  <c r="R60" i="3"/>
  <c r="T60" i="3" s="1"/>
  <c r="Q61" i="3"/>
  <c r="S61" i="3" s="1"/>
  <c r="R61" i="3"/>
  <c r="T61" i="3" s="1"/>
  <c r="Q52" i="3"/>
  <c r="S52" i="3" s="1"/>
  <c r="R52" i="3"/>
  <c r="T52" i="3" s="1"/>
  <c r="R64" i="3"/>
  <c r="T64" i="3" s="1"/>
  <c r="Q64" i="3"/>
  <c r="Q43" i="3"/>
  <c r="S43" i="3" s="1"/>
  <c r="R43" i="3"/>
  <c r="T43" i="3" s="1"/>
  <c r="R18" i="3"/>
  <c r="T18" i="3" s="1"/>
  <c r="Q18" i="3"/>
  <c r="S18" i="3" s="1"/>
  <c r="Q44" i="3"/>
  <c r="S44" i="3" s="1"/>
  <c r="R44" i="3"/>
  <c r="T44" i="3" s="1"/>
  <c r="Q58" i="3"/>
  <c r="S58" i="3" s="1"/>
  <c r="R58" i="3"/>
  <c r="R20" i="3"/>
  <c r="T20" i="3" s="1"/>
  <c r="Q20" i="3"/>
  <c r="S20" i="3" s="1"/>
  <c r="R41" i="3"/>
  <c r="T41" i="3" s="1"/>
  <c r="Q41" i="3"/>
  <c r="S41" i="3" s="1"/>
  <c r="Q42" i="3"/>
  <c r="S42" i="3" s="1"/>
  <c r="Q62" i="3"/>
  <c r="R62" i="3"/>
  <c r="T62" i="3" s="1"/>
  <c r="Q63" i="3"/>
  <c r="S63" i="3" s="1"/>
  <c r="R63" i="3"/>
  <c r="R50" i="3"/>
  <c r="T50" i="3" s="1"/>
  <c r="Q50" i="3"/>
  <c r="S50" i="3" s="1"/>
  <c r="Q59" i="3"/>
  <c r="S59" i="3" s="1"/>
  <c r="R59" i="3"/>
  <c r="T59" i="3" s="1"/>
  <c r="Q49" i="3"/>
  <c r="S49" i="3" s="1"/>
  <c r="R49" i="3"/>
  <c r="T49" i="3" s="1"/>
  <c r="R16" i="3"/>
  <c r="T16" i="3" s="1"/>
  <c r="Q16" i="3"/>
  <c r="S16" i="3" s="1"/>
  <c r="R26" i="3"/>
  <c r="T26" i="3" s="1"/>
  <c r="P47" i="3"/>
  <c r="Q55" i="3"/>
  <c r="S55" i="3" s="1"/>
  <c r="Q53" i="3"/>
  <c r="S53" i="3" s="1"/>
  <c r="R53" i="3"/>
  <c r="Q54" i="3"/>
  <c r="S54" i="3" s="1"/>
  <c r="R54" i="3"/>
  <c r="T54" i="3" s="1"/>
  <c r="R51" i="3"/>
  <c r="T51" i="3" s="1"/>
  <c r="Q51" i="3"/>
  <c r="S51" i="3" s="1"/>
  <c r="S64" i="3"/>
  <c r="S62" i="3"/>
  <c r="T63" i="3"/>
  <c r="T58" i="3"/>
  <c r="T53" i="3"/>
  <c r="T56" i="3"/>
  <c r="S56" i="3"/>
  <c r="T46" i="3"/>
  <c r="S23" i="3"/>
  <c r="R23" i="3"/>
  <c r="T23" i="3" s="1"/>
  <c r="S27" i="3"/>
  <c r="R27" i="3"/>
  <c r="T27" i="3" s="1"/>
  <c r="S15" i="3"/>
  <c r="R15" i="3"/>
  <c r="T15" i="3" s="1"/>
  <c r="S19" i="3"/>
  <c r="R19" i="3"/>
  <c r="T19" i="3" s="1"/>
  <c r="R11" i="3"/>
  <c r="T11" i="3" s="1"/>
  <c r="S11" i="3"/>
  <c r="R28" i="3"/>
  <c r="T28" i="3" s="1"/>
  <c r="S28" i="3"/>
  <c r="R30" i="3"/>
  <c r="T30" i="3" s="1"/>
  <c r="S30" i="3"/>
  <c r="R34" i="3"/>
  <c r="T34" i="3" s="1"/>
  <c r="S34" i="3"/>
  <c r="R31" i="3"/>
  <c r="T31" i="3" s="1"/>
  <c r="S31" i="3"/>
  <c r="R29" i="3"/>
  <c r="T29" i="3" s="1"/>
  <c r="S29" i="3"/>
  <c r="R38" i="3"/>
  <c r="T38" i="3" s="1"/>
  <c r="S38" i="3"/>
  <c r="R33" i="3"/>
  <c r="T33" i="3" s="1"/>
  <c r="S33" i="3"/>
  <c r="R13" i="3"/>
  <c r="T13" i="3" s="1"/>
  <c r="S13" i="3"/>
  <c r="R32" i="3"/>
  <c r="T32" i="3" s="1"/>
  <c r="S32" i="3"/>
  <c r="R36" i="3"/>
  <c r="T36" i="3" s="1"/>
  <c r="S36" i="3"/>
  <c r="R14" i="3"/>
  <c r="T14" i="3" s="1"/>
  <c r="S14" i="3"/>
  <c r="R12" i="3"/>
  <c r="T12" i="3" s="1"/>
  <c r="S12" i="3"/>
  <c r="R37" i="3"/>
  <c r="T37" i="3" s="1"/>
  <c r="S37" i="3"/>
  <c r="R110" i="2"/>
  <c r="T110" i="2" s="1"/>
  <c r="Q110" i="2"/>
  <c r="S110" i="2" s="1"/>
  <c r="Q106" i="2"/>
  <c r="S106" i="2" s="1"/>
  <c r="R106" i="2"/>
  <c r="T106" i="2" s="1"/>
  <c r="R112" i="2"/>
  <c r="T112" i="2" s="1"/>
  <c r="Q112" i="2"/>
  <c r="S112" i="2" s="1"/>
  <c r="Q107" i="2"/>
  <c r="S107" i="2" s="1"/>
  <c r="R107" i="2"/>
  <c r="T107" i="2" s="1"/>
  <c r="R91" i="2"/>
  <c r="T91" i="2" s="1"/>
  <c r="Q91" i="2"/>
  <c r="S91" i="2" s="1"/>
  <c r="Q111" i="2"/>
  <c r="S111" i="2" s="1"/>
  <c r="R111" i="2"/>
  <c r="T111" i="2" s="1"/>
  <c r="R97" i="2"/>
  <c r="T97" i="2" s="1"/>
  <c r="Q97" i="2"/>
  <c r="S97" i="2" s="1"/>
  <c r="R108" i="2"/>
  <c r="T108" i="2" s="1"/>
  <c r="Q108" i="2"/>
  <c r="S108" i="2" s="1"/>
  <c r="R130" i="2"/>
  <c r="T130" i="2" s="1"/>
  <c r="Q130" i="2"/>
  <c r="S130" i="2" s="1"/>
  <c r="Q120" i="2"/>
  <c r="S120" i="2" s="1"/>
  <c r="R120" i="2"/>
  <c r="T120" i="2" s="1"/>
  <c r="R122" i="2"/>
  <c r="T122" i="2" s="1"/>
  <c r="Q122" i="2"/>
  <c r="S122" i="2" s="1"/>
  <c r="R92" i="2"/>
  <c r="T92" i="2" s="1"/>
  <c r="Q92" i="2"/>
  <c r="S92" i="2" s="1"/>
  <c r="R127" i="2"/>
  <c r="T127" i="2" s="1"/>
  <c r="Q127" i="2"/>
  <c r="S127" i="2" s="1"/>
  <c r="R105" i="2"/>
  <c r="T105" i="2" s="1"/>
  <c r="Q105" i="2"/>
  <c r="S105" i="2" s="1"/>
  <c r="R104" i="2"/>
  <c r="T104" i="2" s="1"/>
  <c r="Q104" i="2"/>
  <c r="S104" i="2" s="1"/>
  <c r="R118" i="2"/>
  <c r="T118" i="2" s="1"/>
  <c r="Q118" i="2"/>
  <c r="S118" i="2" s="1"/>
  <c r="R116" i="2"/>
  <c r="T116" i="2" s="1"/>
  <c r="Q116" i="2"/>
  <c r="S116" i="2" s="1"/>
  <c r="R93" i="2"/>
  <c r="T93" i="2" s="1"/>
  <c r="Q93" i="2"/>
  <c r="S93" i="2" s="1"/>
  <c r="Q103" i="2"/>
  <c r="S103" i="2" s="1"/>
  <c r="R103" i="2"/>
  <c r="T103" i="2" s="1"/>
  <c r="R94" i="2"/>
  <c r="T94" i="2" s="1"/>
  <c r="Q94" i="2"/>
  <c r="S94" i="2" s="1"/>
  <c r="R125" i="2"/>
  <c r="T125" i="2" s="1"/>
  <c r="Q125" i="2"/>
  <c r="S125" i="2" s="1"/>
  <c r="R121" i="2"/>
  <c r="T121" i="2" s="1"/>
  <c r="Q121" i="2"/>
  <c r="S121" i="2" s="1"/>
  <c r="T151" i="2"/>
  <c r="S151" i="2"/>
  <c r="S141" i="2"/>
  <c r="T141" i="2"/>
  <c r="T154" i="2"/>
  <c r="T142" i="2"/>
  <c r="S142" i="2"/>
  <c r="T158" i="2"/>
  <c r="S158" i="2"/>
  <c r="T164" i="2"/>
  <c r="T178" i="2"/>
  <c r="T167" i="2"/>
  <c r="S167" i="2"/>
  <c r="T170" i="2"/>
  <c r="T176" i="2"/>
  <c r="T168" i="2"/>
  <c r="S168" i="2"/>
  <c r="T148" i="2"/>
  <c r="T173" i="2"/>
  <c r="S173" i="2"/>
  <c r="T179" i="2"/>
  <c r="S179" i="2"/>
  <c r="T162" i="2"/>
  <c r="T166" i="2"/>
  <c r="S166" i="2"/>
  <c r="T146" i="2"/>
  <c r="T174" i="2"/>
  <c r="S174" i="2"/>
  <c r="T169" i="2"/>
  <c r="S169" i="2"/>
  <c r="S153" i="2"/>
  <c r="T153" i="2"/>
  <c r="T145" i="2"/>
  <c r="S145" i="2"/>
  <c r="T160" i="2"/>
  <c r="T180" i="2"/>
  <c r="T161" i="2"/>
  <c r="S161" i="2"/>
  <c r="S56" i="2"/>
  <c r="R56" i="2"/>
  <c r="T56" i="2" s="1"/>
  <c r="S71" i="2"/>
  <c r="R71" i="2"/>
  <c r="T71" i="2" s="1"/>
  <c r="R57" i="2"/>
  <c r="T57" i="2" s="1"/>
  <c r="S57" i="2"/>
  <c r="R63" i="2"/>
  <c r="T63" i="2" s="1"/>
  <c r="S63" i="2"/>
  <c r="R74" i="2"/>
  <c r="T74" i="2" s="1"/>
  <c r="S74" i="2"/>
  <c r="R68" i="2"/>
  <c r="T68" i="2" s="1"/>
  <c r="S68" i="2"/>
  <c r="R66" i="2"/>
  <c r="T66" i="2" s="1"/>
  <c r="S66" i="2"/>
  <c r="S67" i="2"/>
  <c r="R67" i="2"/>
  <c r="T67" i="2" s="1"/>
  <c r="R70" i="2"/>
  <c r="T70" i="2" s="1"/>
  <c r="S70" i="2"/>
  <c r="R52" i="2"/>
  <c r="T52" i="2" s="1"/>
  <c r="S52" i="2"/>
  <c r="R54" i="2"/>
  <c r="T54" i="2" s="1"/>
  <c r="S54" i="2"/>
  <c r="S84" i="2"/>
  <c r="R84" i="2"/>
  <c r="T84" i="2" s="1"/>
  <c r="R64" i="2"/>
  <c r="T64" i="2" s="1"/>
  <c r="S64" i="2"/>
  <c r="R85" i="2"/>
  <c r="T85" i="2" s="1"/>
  <c r="S85" i="2"/>
  <c r="R79" i="2"/>
  <c r="T79" i="2" s="1"/>
  <c r="S79" i="2"/>
  <c r="R82" i="2"/>
  <c r="T82" i="2" s="1"/>
  <c r="S82" i="2"/>
  <c r="R58" i="2"/>
  <c r="T58" i="2" s="1"/>
  <c r="S58" i="2"/>
  <c r="R73" i="2"/>
  <c r="T73" i="2" s="1"/>
  <c r="S73" i="2"/>
  <c r="R86" i="2"/>
  <c r="T86" i="2" s="1"/>
  <c r="S86" i="2"/>
  <c r="S72" i="2"/>
  <c r="R72" i="2"/>
  <c r="T72" i="2" s="1"/>
  <c r="R80" i="2"/>
  <c r="T80" i="2" s="1"/>
  <c r="S80" i="2"/>
  <c r="R69" i="2"/>
  <c r="T69" i="2" s="1"/>
  <c r="S69" i="2"/>
  <c r="AG51" i="2" l="1"/>
  <c r="AI51" i="2" s="1"/>
  <c r="Q47" i="3"/>
  <c r="S47" i="3" s="1"/>
  <c r="R47" i="3"/>
  <c r="T47" i="3" s="1"/>
  <c r="Q45" i="3"/>
  <c r="S45" i="3" s="1"/>
  <c r="R45" i="3"/>
  <c r="T45" i="3" s="1"/>
  <c r="AI41" i="3"/>
  <c r="AI11" i="3"/>
  <c r="AG91" i="2"/>
  <c r="AI91" i="2" s="1"/>
  <c r="AG141" i="2"/>
  <c r="AI141" i="2" s="1"/>
  <c r="N28" i="2" l="1"/>
  <c r="N29" i="2"/>
  <c r="N30" i="2"/>
  <c r="N31" i="2"/>
  <c r="N32" i="2"/>
  <c r="N33" i="2"/>
  <c r="N34" i="2"/>
  <c r="N27" i="2"/>
  <c r="O27" i="2" s="1"/>
  <c r="I47" i="2" a="1"/>
  <c r="I47" i="2" s="1"/>
  <c r="I43" i="2" a="1"/>
  <c r="I43" i="2" s="1"/>
  <c r="I39" i="2" a="1"/>
  <c r="I39" i="2" s="1"/>
  <c r="I35" i="2" a="1"/>
  <c r="I35" i="2" s="1"/>
  <c r="I31" i="2" a="1"/>
  <c r="I31" i="2" s="1"/>
  <c r="I27" i="2" a="1"/>
  <c r="I27" i="2" s="1"/>
  <c r="I23" i="2" a="1"/>
  <c r="I23" i="2" s="1"/>
  <c r="I19" i="2" a="1"/>
  <c r="I19" i="2" s="1"/>
  <c r="I15" i="2" a="1"/>
  <c r="I15" i="2" s="1"/>
  <c r="I11" i="2" a="1"/>
  <c r="I11" i="2" s="1"/>
  <c r="H47" i="2" a="1"/>
  <c r="H47" i="2" s="1"/>
  <c r="H43" i="2" a="1"/>
  <c r="H43" i="2" s="1"/>
  <c r="H39" i="2" a="1"/>
  <c r="H39" i="2" s="1"/>
  <c r="H35" i="2" a="1"/>
  <c r="H35" i="2" s="1"/>
  <c r="H31" i="2" a="1"/>
  <c r="H31" i="2" s="1"/>
  <c r="H27" i="2" a="1"/>
  <c r="H27" i="2" s="1"/>
  <c r="H23" i="2" a="1"/>
  <c r="H23" i="2" s="1"/>
  <c r="H19" i="2" a="1"/>
  <c r="H19" i="2" s="1"/>
  <c r="H15" i="2" a="1"/>
  <c r="H15" i="2" s="1"/>
  <c r="H11" i="2" a="1"/>
  <c r="H11" i="2" s="1"/>
  <c r="O47" i="2" l="1"/>
  <c r="O43" i="2"/>
  <c r="O30" i="2"/>
  <c r="O23" i="2"/>
  <c r="P23" i="2" s="1"/>
  <c r="O11" i="2"/>
  <c r="O39" i="2"/>
  <c r="P39" i="2" s="1"/>
  <c r="O15" i="2"/>
  <c r="P15" i="2" s="1"/>
  <c r="O31" i="2"/>
  <c r="P31" i="2" s="1"/>
  <c r="P11" i="2"/>
  <c r="O19" i="2"/>
  <c r="P19" i="2" s="1"/>
  <c r="P27" i="2"/>
  <c r="O35" i="2"/>
  <c r="P35" i="2" s="1"/>
  <c r="O13" i="2"/>
  <c r="P13" i="2" s="1"/>
  <c r="O12" i="2"/>
  <c r="P12" i="2" s="1"/>
  <c r="P30" i="2"/>
  <c r="P47" i="2"/>
  <c r="P43" i="2"/>
  <c r="O42" i="2"/>
  <c r="P42" i="2" s="1"/>
  <c r="O18" i="2"/>
  <c r="P18" i="2" s="1"/>
  <c r="O41" i="2"/>
  <c r="P41" i="2" s="1"/>
  <c r="O29" i="2"/>
  <c r="P29" i="2" s="1"/>
  <c r="O17" i="2"/>
  <c r="P17" i="2" s="1"/>
  <c r="O40" i="2"/>
  <c r="P40" i="2" s="1"/>
  <c r="O28" i="2"/>
  <c r="P28" i="2" s="1"/>
  <c r="O16" i="2"/>
  <c r="P16" i="2" s="1"/>
  <c r="O50" i="2"/>
  <c r="P50" i="2" s="1"/>
  <c r="O38" i="2"/>
  <c r="P38" i="2" s="1"/>
  <c r="O26" i="2"/>
  <c r="P26" i="2" s="1"/>
  <c r="O14" i="2"/>
  <c r="P14" i="2" s="1"/>
  <c r="O49" i="2"/>
  <c r="P49" i="2" s="1"/>
  <c r="O37" i="2"/>
  <c r="P37" i="2" s="1"/>
  <c r="O25" i="2"/>
  <c r="P25" i="2" s="1"/>
  <c r="O48" i="2"/>
  <c r="P48" i="2" s="1"/>
  <c r="O36" i="2"/>
  <c r="P36" i="2" s="1"/>
  <c r="O24" i="2"/>
  <c r="P24" i="2" s="1"/>
  <c r="O46" i="2"/>
  <c r="P46" i="2" s="1"/>
  <c r="O34" i="2"/>
  <c r="P34" i="2" s="1"/>
  <c r="O22" i="2"/>
  <c r="P22" i="2" s="1"/>
  <c r="O45" i="2"/>
  <c r="P45" i="2" s="1"/>
  <c r="O33" i="2"/>
  <c r="P33" i="2" s="1"/>
  <c r="O21" i="2"/>
  <c r="P21" i="2" s="1"/>
  <c r="O44" i="2"/>
  <c r="P44" i="2" s="1"/>
  <c r="O32" i="2"/>
  <c r="P32" i="2" s="1"/>
  <c r="O20" i="2"/>
  <c r="P20" i="2" s="1"/>
  <c r="Q24" i="2" l="1"/>
  <c r="S24" i="2" s="1"/>
  <c r="R24" i="2"/>
  <c r="T24" i="2" s="1"/>
  <c r="R35" i="2"/>
  <c r="T35" i="2" s="1"/>
  <c r="Q35" i="2"/>
  <c r="S35" i="2" s="1"/>
  <c r="Q36" i="2"/>
  <c r="S36" i="2" s="1"/>
  <c r="R36" i="2"/>
  <c r="T36" i="2" s="1"/>
  <c r="R27" i="2"/>
  <c r="T27" i="2" s="1"/>
  <c r="Q27" i="2"/>
  <c r="S27" i="2" s="1"/>
  <c r="R29" i="2"/>
  <c r="T29" i="2" s="1"/>
  <c r="Q29" i="2"/>
  <c r="S29" i="2" s="1"/>
  <c r="Q20" i="2"/>
  <c r="S20" i="2" s="1"/>
  <c r="R20" i="2"/>
  <c r="T20" i="2" s="1"/>
  <c r="R41" i="2"/>
  <c r="T41" i="2" s="1"/>
  <c r="Q41" i="2"/>
  <c r="S41" i="2" s="1"/>
  <c r="R37" i="2"/>
  <c r="T37" i="2" s="1"/>
  <c r="Q37" i="2"/>
  <c r="S37" i="2" s="1"/>
  <c r="Q31" i="2"/>
  <c r="S31" i="2" s="1"/>
  <c r="R31" i="2"/>
  <c r="T31" i="2" s="1"/>
  <c r="Q49" i="2"/>
  <c r="S49" i="2" s="1"/>
  <c r="R49" i="2"/>
  <c r="T49" i="2" s="1"/>
  <c r="Q42" i="2"/>
  <c r="S42" i="2" s="1"/>
  <c r="R42" i="2"/>
  <c r="T42" i="2" s="1"/>
  <c r="Q21" i="2"/>
  <c r="S21" i="2" s="1"/>
  <c r="R21" i="2"/>
  <c r="T21" i="2" s="1"/>
  <c r="R39" i="2"/>
  <c r="T39" i="2" s="1"/>
  <c r="Q39" i="2"/>
  <c r="S39" i="2" s="1"/>
  <c r="R23" i="2"/>
  <c r="T23" i="2" s="1"/>
  <c r="Q23" i="2"/>
  <c r="S23" i="2" s="1"/>
  <c r="R38" i="2"/>
  <c r="T38" i="2" s="1"/>
  <c r="Q38" i="2"/>
  <c r="S38" i="2" s="1"/>
  <c r="Q22" i="2"/>
  <c r="S22" i="2" s="1"/>
  <c r="R22" i="2"/>
  <c r="T22" i="2" s="1"/>
  <c r="Q30" i="2"/>
  <c r="S30" i="2" s="1"/>
  <c r="R30" i="2"/>
  <c r="T30" i="2" s="1"/>
  <c r="R40" i="2"/>
  <c r="T40" i="2" s="1"/>
  <c r="Q40" i="2"/>
  <c r="S40" i="2" s="1"/>
  <c r="R17" i="2"/>
  <c r="T17" i="2" s="1"/>
  <c r="Q17" i="2"/>
  <c r="S17" i="2" s="1"/>
  <c r="Q48" i="2"/>
  <c r="S48" i="2" s="1"/>
  <c r="R48" i="2"/>
  <c r="T48" i="2" s="1"/>
  <c r="Q19" i="2"/>
  <c r="S19" i="2" s="1"/>
  <c r="R19" i="2"/>
  <c r="T19" i="2" s="1"/>
  <c r="R25" i="2"/>
  <c r="T25" i="2" s="1"/>
  <c r="Q25" i="2"/>
  <c r="S25" i="2" s="1"/>
  <c r="Q11" i="2"/>
  <c r="S11" i="2" s="1"/>
  <c r="R11" i="2"/>
  <c r="T11" i="2" s="1"/>
  <c r="Q32" i="2"/>
  <c r="S32" i="2" s="1"/>
  <c r="R32" i="2"/>
  <c r="T32" i="2" s="1"/>
  <c r="Q18" i="2"/>
  <c r="S18" i="2" s="1"/>
  <c r="R18" i="2"/>
  <c r="T18" i="2" s="1"/>
  <c r="Q44" i="2"/>
  <c r="S44" i="2" s="1"/>
  <c r="R44" i="2"/>
  <c r="T44" i="2" s="1"/>
  <c r="R15" i="2"/>
  <c r="T15" i="2" s="1"/>
  <c r="Q15" i="2"/>
  <c r="S15" i="2" s="1"/>
  <c r="R14" i="2"/>
  <c r="T14" i="2" s="1"/>
  <c r="Q14" i="2"/>
  <c r="S14" i="2" s="1"/>
  <c r="Q43" i="2"/>
  <c r="S43" i="2" s="1"/>
  <c r="R43" i="2"/>
  <c r="T43" i="2" s="1"/>
  <c r="R26" i="2"/>
  <c r="T26" i="2" s="1"/>
  <c r="Q26" i="2"/>
  <c r="S26" i="2" s="1"/>
  <c r="Q45" i="2"/>
  <c r="S45" i="2" s="1"/>
  <c r="R45" i="2"/>
  <c r="T45" i="2" s="1"/>
  <c r="R47" i="2"/>
  <c r="T47" i="2" s="1"/>
  <c r="Q47" i="2"/>
  <c r="S47" i="2" s="1"/>
  <c r="Q34" i="2"/>
  <c r="S34" i="2" s="1"/>
  <c r="R34" i="2"/>
  <c r="T34" i="2" s="1"/>
  <c r="R16" i="2"/>
  <c r="T16" i="2" s="1"/>
  <c r="Q16" i="2"/>
  <c r="S16" i="2" s="1"/>
  <c r="Q12" i="2"/>
  <c r="S12" i="2" s="1"/>
  <c r="R12" i="2"/>
  <c r="T12" i="2" s="1"/>
  <c r="Q33" i="2"/>
  <c r="S33" i="2" s="1"/>
  <c r="R33" i="2"/>
  <c r="T33" i="2" s="1"/>
  <c r="R50" i="2"/>
  <c r="T50" i="2" s="1"/>
  <c r="Q50" i="2"/>
  <c r="S50" i="2" s="1"/>
  <c r="Q46" i="2"/>
  <c r="S46" i="2" s="1"/>
  <c r="R46" i="2"/>
  <c r="T46" i="2" s="1"/>
  <c r="R28" i="2"/>
  <c r="T28" i="2" s="1"/>
  <c r="Q28" i="2"/>
  <c r="S28" i="2" s="1"/>
  <c r="R13" i="2"/>
  <c r="T13" i="2" s="1"/>
  <c r="Q13" i="2"/>
  <c r="S13" i="2" s="1"/>
  <c r="AG11" i="2" l="1"/>
  <c r="AI11"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Eddie Sholl</author>
  </authors>
  <commentList>
    <comment ref="AJ40" authorId="0" shapeId="0" xr:uid="{901C119E-FF66-2541-A252-B5A987A84031}">
      <text>
        <r>
          <rPr>
            <b/>
            <sz val="10"/>
            <color rgb="FF000000"/>
            <rFont val="Tahoma"/>
            <family val="2"/>
          </rPr>
          <t>Eddie Sholl:</t>
        </r>
        <r>
          <rPr>
            <sz val="10"/>
            <color rgb="FF000000"/>
            <rFont val="Tahoma"/>
            <family val="2"/>
          </rPr>
          <t xml:space="preserve">
</t>
        </r>
        <r>
          <rPr>
            <sz val="10"/>
            <color rgb="FF000000"/>
            <rFont val="Tahoma"/>
            <family val="2"/>
          </rPr>
          <t>The variation in these 2 results suggests that our approach for calculating FA and MA are not correct. The first test has calving split over 2 seasons, all combined in a single class ie 'Cows 2-3 years'. The guidelines for FA (ch3.2.2.3 line 166) says "</t>
        </r>
        <r>
          <rPr>
            <sz val="10"/>
            <color rgb="FF000000"/>
            <rFont val="Aptos Narrow"/>
            <scheme val="minor"/>
          </rPr>
          <t xml:space="preserve">For farms with multiple calving seasons, the feed adjustment value
</t>
        </r>
        <r>
          <rPr>
            <sz val="10"/>
            <color rgb="FF000000"/>
            <rFont val="Aptos Narrow"/>
            <scheme val="minor"/>
          </rPr>
          <t xml:space="preserve">should be applied to the cows calving in each season and
</t>
        </r>
        <r>
          <rPr>
            <sz val="10"/>
            <color rgb="FF000000"/>
            <rFont val="Aptos Narrow"/>
            <scheme val="minor"/>
          </rPr>
          <t>immediate season after calving as appropriate.</t>
        </r>
        <r>
          <rPr>
            <sz val="10"/>
            <color rgb="FF000000"/>
            <rFont val="Tahoma"/>
            <family val="2"/>
          </rPr>
          <t xml:space="preserve">"
</t>
        </r>
        <r>
          <rPr>
            <sz val="10"/>
            <color rgb="FF000000"/>
            <rFont val="Tahoma"/>
            <family val="2"/>
          </rPr>
          <t xml:space="preserve">
</t>
        </r>
        <r>
          <rPr>
            <sz val="10"/>
            <color rgb="FF000000"/>
            <rFont val="Tahoma"/>
            <family val="2"/>
          </rPr>
          <t>To achieve that I have created a formula in column M. The second scenario splits the same herd into multiple classes. The emissions should be replicated, but they aren't the same, suggesting there's something asymmetrical in the current approach</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<sst xmlns="http://schemas.openxmlformats.org/spreadsheetml/2006/main" count="977" uniqueCount="138">
  <si>
    <t>(LCijkl=5 * FAijkl=5) + (1 - LCijkl=5 )</t>
  </si>
  <si>
    <t>(1.185 + 0.00454 * Wijkln - 0.0000026 * Wijkln^2 + 0.315 * LWGijkln)^2 * MAijkl=5</t>
  </si>
  <si>
    <t>(Iijkln * (1 - DMDijk) + (0.04 * Iijkln)) * ( 1 - A )</t>
  </si>
  <si>
    <t>VSijkln * BO * MMSm * MCFm * 𝜌</t>
  </si>
  <si>
    <t>SUM SUM SUM SUM SUM ( Nkln * Mmijklnm * 91.25)</t>
  </si>
  <si>
    <t>Mmm * GWPCH4 * 10^-3</t>
  </si>
  <si>
    <t>547</t>
  </si>
  <si>
    <t>569</t>
  </si>
  <si>
    <t>581</t>
  </si>
  <si>
    <t>578</t>
  </si>
  <si>
    <t>582</t>
  </si>
  <si>
    <t>3.2 162</t>
  </si>
  <si>
    <t>3.2 163</t>
  </si>
  <si>
    <t>3.2 152</t>
  </si>
  <si>
    <t>3.2 166</t>
  </si>
  <si>
    <t>3.2 143</t>
  </si>
  <si>
    <t>3.2 136</t>
  </si>
  <si>
    <t>551</t>
  </si>
  <si>
    <t>584</t>
  </si>
  <si>
    <t>425</t>
  </si>
  <si>
    <t>405</t>
  </si>
  <si>
    <t>396</t>
  </si>
  <si>
    <t>390</t>
  </si>
  <si>
    <t>input</t>
  </si>
  <si>
    <t>constant</t>
  </si>
  <si>
    <t>expression</t>
  </si>
  <si>
    <t>Nkln</t>
  </si>
  <si>
    <t>BO</t>
  </si>
  <si>
    <t>𝜌</t>
  </si>
  <si>
    <t>Wijkln</t>
  </si>
  <si>
    <t>LWGijkln</t>
  </si>
  <si>
    <t>LCijkl=5</t>
  </si>
  <si>
    <t>FAijkl=5</t>
  </si>
  <si>
    <t>MAijkl=5</t>
  </si>
  <si>
    <t>Iijkln</t>
  </si>
  <si>
    <t>DMDijk</t>
  </si>
  <si>
    <t>A</t>
  </si>
  <si>
    <t>VSijkln</t>
  </si>
  <si>
    <t>Mmm</t>
  </si>
  <si>
    <t>GWPCH4</t>
  </si>
  <si>
    <t>EMCH4</t>
  </si>
  <si>
    <t>Scenario</t>
  </si>
  <si>
    <t>Bulls &lt; 1 year</t>
  </si>
  <si>
    <t>Bulls &gt; 1 year</t>
  </si>
  <si>
    <t>Cows &lt; 1 year</t>
  </si>
  <si>
    <t>Cows 1-2 years</t>
  </si>
  <si>
    <t>Cows 2-3 years</t>
  </si>
  <si>
    <t>Cows &gt; 3 years</t>
  </si>
  <si>
    <t>Steers &lt; 1 year</t>
  </si>
  <si>
    <t>Steers 1-2 years</t>
  </si>
  <si>
    <t>Steers 2-3 years</t>
  </si>
  <si>
    <t>Steers &gt;3 years</t>
  </si>
  <si>
    <t>Baseline</t>
  </si>
  <si>
    <t>ACT/NSW</t>
  </si>
  <si>
    <t>Spring</t>
  </si>
  <si>
    <t>Summer</t>
  </si>
  <si>
    <t>Autumn</t>
  </si>
  <si>
    <t>Winter</t>
  </si>
  <si>
    <t>Region</t>
  </si>
  <si>
    <t>South Australia</t>
  </si>
  <si>
    <t>Liveweight gain</t>
  </si>
  <si>
    <t>DMD</t>
  </si>
  <si>
    <t>South West</t>
  </si>
  <si>
    <t>Pilbara</t>
  </si>
  <si>
    <t>State</t>
  </si>
  <si>
    <t>WA</t>
  </si>
  <si>
    <t>Bull</t>
  </si>
  <si>
    <t>Cow</t>
  </si>
  <si>
    <t>Steer</t>
  </si>
  <si>
    <t>Tasmania</t>
  </si>
  <si>
    <t>Victoria</t>
  </si>
  <si>
    <t>Kimberley</t>
  </si>
  <si>
    <t>NO</t>
  </si>
  <si>
    <t>NT</t>
  </si>
  <si>
    <t>Alice Springs</t>
  </si>
  <si>
    <t>Barkly</t>
  </si>
  <si>
    <t>Northern</t>
  </si>
  <si>
    <t>High</t>
  </si>
  <si>
    <t>Moderate/High</t>
  </si>
  <si>
    <t>Moderate/Low</t>
  </si>
  <si>
    <t>Low</t>
  </si>
  <si>
    <t>Queensland</t>
  </si>
  <si>
    <t>Mmijklnm=14</t>
  </si>
  <si>
    <t>Mmijklnm=1</t>
  </si>
  <si>
    <t>MMSm=1</t>
  </si>
  <si>
    <t>MMSm=14</t>
  </si>
  <si>
    <t>anaerobic lagoon</t>
  </si>
  <si>
    <t>pasture</t>
  </si>
  <si>
    <t>unfenced</t>
  </si>
  <si>
    <t>fenced</t>
  </si>
  <si>
    <t>Unfenced water?</t>
  </si>
  <si>
    <t>yes</t>
  </si>
  <si>
    <t>QLD</t>
  </si>
  <si>
    <t>SA</t>
  </si>
  <si>
    <t>TAS</t>
  </si>
  <si>
    <t>VIC</t>
  </si>
  <si>
    <t>MCFm=1</t>
  </si>
  <si>
    <t>MCFm=14</t>
  </si>
  <si>
    <t>Climate zone</t>
  </si>
  <si>
    <t>Warm temperate moist</t>
  </si>
  <si>
    <t>Boreal Moist</t>
  </si>
  <si>
    <t>Boreal Dry</t>
  </si>
  <si>
    <t>Tropical Montane</t>
  </si>
  <si>
    <t>Tropical Wet</t>
  </si>
  <si>
    <t>Tropical Moist</t>
  </si>
  <si>
    <t>Tropical Dry</t>
  </si>
  <si>
    <t>Cool Temperate Moist</t>
  </si>
  <si>
    <t>Cool Temperate Dry</t>
  </si>
  <si>
    <t>Warm Temperate Moist</t>
  </si>
  <si>
    <t>Warm Temperate Dry</t>
  </si>
  <si>
    <t>Bo</t>
  </si>
  <si>
    <t>p</t>
  </si>
  <si>
    <t>GWPch4</t>
  </si>
  <si>
    <t>Mmm=1</t>
  </si>
  <si>
    <t>Mmm=14</t>
  </si>
  <si>
    <t>no</t>
  </si>
  <si>
    <t>Missing classes</t>
  </si>
  <si>
    <t>Method 2 inputs</t>
  </si>
  <si>
    <t>Partial calving</t>
  </si>
  <si>
    <t>These scenarios are to check the logic used for calculating FA from LC with partial calving seasons</t>
  </si>
  <si>
    <t>Partial calving - integrated classes</t>
  </si>
  <si>
    <t>Partial calving - split cow classes</t>
  </si>
  <si>
    <t>LC calving</t>
  </si>
  <si>
    <t>LC post carving</t>
  </si>
  <si>
    <t>m=1 - A</t>
  </si>
  <si>
    <t>m=14 - A</t>
  </si>
  <si>
    <t>m=1 - B1</t>
  </si>
  <si>
    <t>m=14 - B1</t>
  </si>
  <si>
    <t>m=1 - B2</t>
  </si>
  <si>
    <t>m=14 - B2</t>
  </si>
  <si>
    <t>m=1 - B</t>
  </si>
  <si>
    <t>m=14 - B</t>
  </si>
  <si>
    <t>kg / head / day</t>
  </si>
  <si>
    <t>intake for milk</t>
  </si>
  <si>
    <t>kg DM / head / day</t>
  </si>
  <si>
    <t>feed intake</t>
  </si>
  <si>
    <t>Note on errors</t>
  </si>
  <si>
    <t>LC post calving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</si>
</sst>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0.0"/>
    <numFmt numFmtId="171" formatCode="0.000000"/>
  </numFmts>
  <fonts count="7" x14ac:knownFonts="1">
    <font>
      <sz val="12"/>
      <color theme="1"/>
      <name val="Aptos Narrow"/>
      <family val="2"/>
      <scheme val="minor"/>
    </font>
    <font>
      <sz val="12"/>
      <color theme="1"/>
      <name val="Helvetica"/>
      <family val="2"/>
    </font>
    <font>
      <sz val="10"/>
      <color theme="1"/>
      <name val="Helvetica"/>
      <family val="2"/>
    </font>
    <font>
      <sz val="12"/>
      <color rgb="FF000000"/>
      <name val="Aptos Narrow"/>
      <family val="2"/>
      <scheme val="minor"/>
    </font>
    <font>
      <sz val="10"/>
      <color rgb="FF000000"/>
      <name val="Tahoma"/>
      <family val="2"/>
    </font>
    <font>
      <b/>
      <sz val="10"/>
      <color rgb="FF000000"/>
      <name val="Tahoma"/>
      <family val="2"/>
    </font>
    <font>
      <sz val="10"/>
      <color rgb="FF000000"/>
      <name val="Aptos Narrow"/>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4">
    <xf numFmtId="0" fontId="0" fillId="0" borderId="0" xfId="0"/>
    <xf numFmtId="0" fontId="0" fillId="2" borderId="0" xfId="0" applyFill="1"/>
    <xf numFmtId="0" fontId="1" fillId="0" borderId="0" xfId="0" applyFont="1"/>
    <xf numFmtId="0" fontId="1" fillId="0" borderId="0" xfId="0" applyFont="1" applyAlignment="1"/>
    <xf numFmtId="0" fontId="2" fillId="0" borderId="0" xfId="0" applyFont="1"/>
    <xf numFmtId="16" fontId="2" fillId="0" borderId="0" xfId="0" applyNumberFormat="1" applyFont="1"/>
    <xf numFmtId="2" fontId="0" fillId="0" borderId="0" xfId="0" applyNumberFormat="1"/>
    <xf numFmtId="169" fontId="0" fillId="0" borderId="0" xfId="0" applyNumberFormat="1"/>
    <xf numFmtId="0" fontId="0" fillId="0" borderId="0" xfId="0" applyAlignment="1">
      <alignment wrapText="1"/>
    </xf>
    <xf numFmtId="0" fontId="0" fillId="3" borderId="0" xfId="0" applyFill="1"/>
    <xf numFmtId="0" fontId="3" fillId="0" borderId="0" xfId="0" applyFont="1"/>
    <xf numFmtId="0" fontId="3" fillId="0" borderId="0" xfId="0" applyNumberFormat="1" applyFont="1"/>
    <xf numFmtId="171" fontId="3" fillId="0" borderId="0" xfId="0" applyNumberFormat="1" applyFont="1"/>
    <xf numFmtId="0" fontId="0" fillId="0" borderId="0" xfId="0" applyFill="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B378-B254-8645-A19B-7F7E967AA90B}">
  <dimension ref="A5:BH180"/>
  <sheetViews>
    <sheetView tabSelected="1" topLeftCell="C1" workbookViewId="0">
      <pane xSplit="4" ySplit="10" topLeftCell="G11" activePane="bottomRight" state="frozenSplit"/>
      <selection activeCell="C1" sqref="A1:XFD1048576"/>
      <selection pane="topRight" activeCell="J1" sqref="J1:J1048576"/>
      <selection pane="bottomLeft" activeCell="A92" sqref="A92"/>
      <selection pane="bottomRight" activeCell="M108" sqref="M108"/>
    </sheetView>
  </sheetViews>
  <sheetFormatPr baseColWidth="10" defaultRowHeight="16" x14ac:dyDescent="0.2"/>
  <cols>
    <col min="1" max="1" width="17.5" customWidth="1"/>
    <col min="2" max="2" width="20.1640625" customWidth="1"/>
    <col min="5" max="6" width="15.83203125" customWidth="1"/>
    <col min="8" max="8" width="11.5" customWidth="1"/>
    <col min="17" max="18" width="12.1640625" bestFit="1" customWidth="1"/>
    <col min="19" max="20" width="12.1640625" customWidth="1"/>
    <col min="25" max="25" width="15.33203125" customWidth="1"/>
    <col min="41" max="41" width="13.83203125" customWidth="1"/>
    <col min="42" max="42" width="14.5" customWidth="1"/>
    <col min="44" max="50" width="14" customWidth="1"/>
    <col min="51" max="51" width="13" bestFit="1" customWidth="1"/>
    <col min="52" max="52" width="14" bestFit="1" customWidth="1"/>
    <col min="53" max="53" width="13.33203125" bestFit="1" customWidth="1"/>
    <col min="54" max="54" width="21.6640625" customWidth="1"/>
  </cols>
  <sheetData>
    <row r="5" spans="1:55" x14ac:dyDescent="0.2">
      <c r="N5" t="s">
        <v>0</v>
      </c>
      <c r="O5" t="s">
        <v>1</v>
      </c>
      <c r="P5" t="s">
        <v>2</v>
      </c>
      <c r="Q5" t="s">
        <v>3</v>
      </c>
      <c r="S5" t="s">
        <v>4</v>
      </c>
      <c r="AI5" t="s">
        <v>5</v>
      </c>
      <c r="AP5" t="s">
        <v>88</v>
      </c>
      <c r="AQ5" t="s">
        <v>89</v>
      </c>
      <c r="AT5" t="s">
        <v>110</v>
      </c>
      <c r="AU5">
        <v>0.19</v>
      </c>
    </row>
    <row r="6" spans="1:55" x14ac:dyDescent="0.2">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U8" t="s">
        <v>23</v>
      </c>
      <c r="Z8" t="s">
        <v>23</v>
      </c>
      <c r="AT8" t="s">
        <v>112</v>
      </c>
      <c r="AU8">
        <v>28</v>
      </c>
    </row>
    <row r="9" spans="1:55" x14ac:dyDescent="0.2">
      <c r="H9" t="s">
        <v>23</v>
      </c>
      <c r="I9" t="s">
        <v>23</v>
      </c>
      <c r="U9" t="s">
        <v>35</v>
      </c>
      <c r="Z9" t="s">
        <v>86</v>
      </c>
      <c r="AA9" t="s">
        <v>87</v>
      </c>
    </row>
    <row r="10" spans="1:55" x14ac:dyDescent="0.2">
      <c r="A10" t="s">
        <v>41</v>
      </c>
      <c r="B10" s="9" t="s">
        <v>98</v>
      </c>
      <c r="C10" s="9" t="s">
        <v>64</v>
      </c>
      <c r="D10" s="9" t="s">
        <v>58</v>
      </c>
      <c r="G10" s="9" t="s">
        <v>26</v>
      </c>
      <c r="H10" t="s">
        <v>29</v>
      </c>
      <c r="I10" t="s">
        <v>30</v>
      </c>
      <c r="J10" s="9" t="s">
        <v>122</v>
      </c>
      <c r="K10" s="9" t="s">
        <v>137</v>
      </c>
      <c r="L10" s="13" t="s">
        <v>31</v>
      </c>
      <c r="M10" t="s">
        <v>32</v>
      </c>
      <c r="N10" t="s">
        <v>33</v>
      </c>
      <c r="O10" t="s">
        <v>34</v>
      </c>
      <c r="P10" t="s">
        <v>37</v>
      </c>
      <c r="Q10" t="s">
        <v>83</v>
      </c>
      <c r="R10" t="s">
        <v>82</v>
      </c>
      <c r="S10" t="s">
        <v>113</v>
      </c>
      <c r="T10" t="s">
        <v>114</v>
      </c>
      <c r="U10" t="s">
        <v>54</v>
      </c>
      <c r="V10" t="s">
        <v>55</v>
      </c>
      <c r="W10" t="s">
        <v>56</v>
      </c>
      <c r="X10" t="s">
        <v>57</v>
      </c>
      <c r="Y10" s="9" t="s">
        <v>90</v>
      </c>
      <c r="Z10" t="s">
        <v>84</v>
      </c>
      <c r="AA10" t="s">
        <v>85</v>
      </c>
      <c r="AB10" t="s">
        <v>96</v>
      </c>
      <c r="AC10" t="s">
        <v>97</v>
      </c>
      <c r="AD10" t="s">
        <v>27</v>
      </c>
      <c r="AE10" t="s">
        <v>28</v>
      </c>
      <c r="AF10" t="s">
        <v>36</v>
      </c>
      <c r="AG10" t="s">
        <v>38</v>
      </c>
      <c r="AH10" t="s">
        <v>39</v>
      </c>
      <c r="AI10" s="1" t="s">
        <v>40</v>
      </c>
    </row>
    <row r="11" spans="1:55" x14ac:dyDescent="0.2">
      <c r="A11" t="s">
        <v>52</v>
      </c>
      <c r="B11" t="s">
        <v>99</v>
      </c>
      <c r="C11" t="s">
        <v>53</v>
      </c>
      <c r="D11" t="s">
        <v>53</v>
      </c>
      <c r="E11" t="s">
        <v>42</v>
      </c>
      <c r="F11" t="s">
        <v>54</v>
      </c>
      <c r="G11">
        <v>100</v>
      </c>
      <c r="H11" cm="1">
        <f t="array" ref="H11:H14">_xlfn.XLOOKUP(E11, $AR$46:$BA$46, $AR$47:$BA$50)</f>
        <v>80</v>
      </c>
      <c r="I11" cm="1">
        <f t="array" ref="I11:I14">_xlfn.XLOOKUP(E11, $AR$106:$BA$106, $AR$107:$BA$110)</f>
        <v>0.5</v>
      </c>
      <c r="L11">
        <v>0</v>
      </c>
      <c r="N11">
        <v>1</v>
      </c>
      <c r="O11">
        <f>(1.185 + 0.00454 * H11 - 0.0000026 * H11^2 + 0.315 * I11)^2 * N11</f>
        <v>2.8529236835999998</v>
      </c>
      <c r="P11">
        <f>(O11 * (1 -U11) + (0.04 * O11)) * ( 1 - AF$11 )</f>
        <v>1.1742633881697597</v>
      </c>
      <c r="Q11">
        <f>P11 * AD$11 * Z$11 * AB$11 * AE$11</f>
        <v>5.5245616593758213E-5</v>
      </c>
      <c r="R11">
        <f>P11 * AD$11 * AA$11 * AC$11 * AE$11</f>
        <v>6.6143382058828331E-4</v>
      </c>
      <c r="S11">
        <f>G11*Q11*91.25</f>
        <v>0.50411625141804373</v>
      </c>
      <c r="T11">
        <f>G11*R11*91.25</f>
        <v>6.0355836128680851</v>
      </c>
      <c r="U11" cm="1">
        <f t="array" ref="U11:X11">_xlfn.XLOOKUP(C11,$AT$18:$AT$26,$AU$18:$AX$26)</f>
        <v>0.55000000000000004</v>
      </c>
      <c r="V11">
        <v>0.65</v>
      </c>
      <c r="W11">
        <v>0.6</v>
      </c>
      <c r="X11">
        <v>0.5</v>
      </c>
      <c r="Y11" t="s">
        <v>91</v>
      </c>
      <c r="Z11">
        <f>IF(Y11="yes", $AP$6, $AQ$6)</f>
        <v>0.05</v>
      </c>
      <c r="AA11">
        <f>IF(Y11="yes", $AP$7, $AQ$7)</f>
        <v>0.95</v>
      </c>
      <c r="AB11">
        <f>VLOOKUP(B11, $BB$17:$BC$26, 2, FALSE)</f>
        <v>7.3000000000000001E-3</v>
      </c>
      <c r="AC11">
        <f>$BC$14</f>
        <v>4.5999999999999999E-3</v>
      </c>
      <c r="AD11">
        <f>$AU$5</f>
        <v>0.19</v>
      </c>
      <c r="AE11">
        <f>$AU$6</f>
        <v>0.6784</v>
      </c>
      <c r="AF11">
        <f>$AU$7</f>
        <v>0.16</v>
      </c>
      <c r="AG11">
        <f>SUM(S11:T50)</f>
        <v>521.15043311056058</v>
      </c>
      <c r="AH11">
        <f>$AU$8</f>
        <v>28</v>
      </c>
      <c r="AI11">
        <f>AG11 * AH11 * 10^-3</f>
        <v>14.592212127095696</v>
      </c>
    </row>
    <row r="12" spans="1:55" x14ac:dyDescent="0.2">
      <c r="F12" t="s">
        <v>55</v>
      </c>
      <c r="G12">
        <v>110</v>
      </c>
      <c r="H12">
        <v>170</v>
      </c>
      <c r="I12">
        <v>1</v>
      </c>
      <c r="N12">
        <v>1</v>
      </c>
      <c r="O12">
        <f t="shared" ref="O12:O50" si="0">(1.185 + 0.00454 * H12 - 0.0000026 * H12^2 + 0.315 * I12)^2 * N12</f>
        <v>4.8253151556000002</v>
      </c>
      <c r="P12">
        <f>(O12 * (1 -V$11) + (0.04 * O12)) * ( 1 - AF$11 )</f>
        <v>1.58077324497456</v>
      </c>
      <c r="Q12">
        <f t="shared" ref="Q12:Q50" si="1">P12 * AD$11 * Z$11 * AB$11 * AE$11</f>
        <v>7.4370702087247912E-5</v>
      </c>
      <c r="R12">
        <f t="shared" ref="R12:R50" si="2">P12 * AD$11 * AA$11 * AC$11 * AE$11</f>
        <v>8.9041087156513257E-4</v>
      </c>
      <c r="S12">
        <f t="shared" ref="S12:S50" si="3">G12*Q12*91.25</f>
        <v>0.74649592220075089</v>
      </c>
      <c r="T12">
        <f t="shared" ref="T12:T50" si="4">G12*R12*91.25</f>
        <v>8.9374991233350194</v>
      </c>
    </row>
    <row r="13" spans="1:55" x14ac:dyDescent="0.2">
      <c r="F13" t="s">
        <v>56</v>
      </c>
      <c r="G13">
        <v>120</v>
      </c>
      <c r="H13">
        <v>240</v>
      </c>
      <c r="I13">
        <v>0.8</v>
      </c>
      <c r="N13">
        <v>1</v>
      </c>
      <c r="O13">
        <f t="shared" si="0"/>
        <v>5.6493683855999981</v>
      </c>
      <c r="P13">
        <f>(O13 * (1 -W$11) + (0.04 * O13)) * ( 1 - AF$11 )</f>
        <v>2.0880065553177594</v>
      </c>
      <c r="Q13">
        <f t="shared" si="1"/>
        <v>9.8234527928296858E-5</v>
      </c>
      <c r="R13">
        <f t="shared" si="2"/>
        <v>1.1761229782100196E-3</v>
      </c>
      <c r="S13">
        <f t="shared" si="3"/>
        <v>1.0756680808148507</v>
      </c>
      <c r="T13">
        <f t="shared" si="4"/>
        <v>12.878546611399717</v>
      </c>
    </row>
    <row r="14" spans="1:55" x14ac:dyDescent="0.2">
      <c r="F14" t="s">
        <v>57</v>
      </c>
      <c r="G14">
        <v>130</v>
      </c>
      <c r="H14">
        <v>280</v>
      </c>
      <c r="I14">
        <v>0.4</v>
      </c>
      <c r="N14">
        <v>1</v>
      </c>
      <c r="O14">
        <f t="shared" si="0"/>
        <v>5.6565962895999995</v>
      </c>
      <c r="P14">
        <f>(O14 * (1 -X$11) + (0.04 * O14)) * ( 1 - AF$11 )</f>
        <v>2.5658320769625598</v>
      </c>
      <c r="Q14">
        <f t="shared" si="1"/>
        <v>1.2071480435814064E-4</v>
      </c>
      <c r="R14">
        <f t="shared" si="2"/>
        <v>1.4452703973837659E-3</v>
      </c>
      <c r="S14">
        <f t="shared" si="3"/>
        <v>1.4319793666984433</v>
      </c>
      <c r="T14">
        <f t="shared" si="4"/>
        <v>17.144520088964921</v>
      </c>
      <c r="BB14" t="s">
        <v>97</v>
      </c>
      <c r="BC14">
        <v>4.5999999999999999E-3</v>
      </c>
    </row>
    <row r="15" spans="1:55" x14ac:dyDescent="0.2">
      <c r="E15" t="s">
        <v>43</v>
      </c>
      <c r="F15" t="s">
        <v>54</v>
      </c>
      <c r="G15">
        <v>50</v>
      </c>
      <c r="H15" cm="1">
        <f t="array" ref="H15:H18">_xlfn.XLOOKUP(E15, $AR$46:$BA$46, $AR$47:$BA$50)</f>
        <v>480</v>
      </c>
      <c r="I15" cm="1">
        <f t="array" ref="I15:I18">_xlfn.XLOOKUP(E15, $AR$106:$BA$106, $AR$107:$BA$110)</f>
        <v>0.2</v>
      </c>
      <c r="N15">
        <v>1</v>
      </c>
      <c r="O15">
        <f t="shared" si="0"/>
        <v>7.9984889855999999</v>
      </c>
      <c r="P15">
        <f>(O15 * (1 -U$11) + (0.04 * O15)) * ( 1 - AF$11 )</f>
        <v>3.2921780664729599</v>
      </c>
      <c r="Q15">
        <f t="shared" si="1"/>
        <v>1.5488723318047602E-4</v>
      </c>
      <c r="R15">
        <f t="shared" si="2"/>
        <v>1.8544033123251509E-3</v>
      </c>
      <c r="S15">
        <f t="shared" si="3"/>
        <v>0.70667300138592182</v>
      </c>
      <c r="T15">
        <f t="shared" si="4"/>
        <v>8.4607151124835003</v>
      </c>
    </row>
    <row r="16" spans="1:55" x14ac:dyDescent="0.2">
      <c r="F16" t="s">
        <v>55</v>
      </c>
      <c r="G16">
        <v>55</v>
      </c>
      <c r="H16">
        <v>520</v>
      </c>
      <c r="I16">
        <v>0.4</v>
      </c>
      <c r="N16">
        <v>1</v>
      </c>
      <c r="O16">
        <f t="shared" si="0"/>
        <v>8.8135359375999975</v>
      </c>
      <c r="P16">
        <f>(O16 * (1 -V$11) + (0.04 * O16)) * ( 1 - AF$11 )</f>
        <v>2.8873143731577593</v>
      </c>
      <c r="Q16">
        <f t="shared" si="1"/>
        <v>1.3583959480652805E-4</v>
      </c>
      <c r="R16">
        <f t="shared" si="2"/>
        <v>1.626353504943911E-3</v>
      </c>
      <c r="S16">
        <f t="shared" si="3"/>
        <v>0.68174496643526261</v>
      </c>
      <c r="T16">
        <f t="shared" si="4"/>
        <v>8.1622616529372536</v>
      </c>
      <c r="AS16" t="s">
        <v>61</v>
      </c>
      <c r="BB16" t="s">
        <v>96</v>
      </c>
    </row>
    <row r="17" spans="5:60" x14ac:dyDescent="0.2">
      <c r="F17" t="s">
        <v>56</v>
      </c>
      <c r="G17">
        <v>60</v>
      </c>
      <c r="H17">
        <v>550</v>
      </c>
      <c r="I17">
        <v>0.3</v>
      </c>
      <c r="N17">
        <v>1</v>
      </c>
      <c r="O17">
        <f t="shared" si="0"/>
        <v>8.940100000000001</v>
      </c>
      <c r="P17">
        <f>(O17 * (1 -W$11) + (0.04 * O17)) * ( 1 - AF$11 )</f>
        <v>3.3042609600000006</v>
      </c>
      <c r="Q17">
        <f t="shared" si="1"/>
        <v>1.5545569755555841E-4</v>
      </c>
      <c r="R17">
        <f t="shared" si="2"/>
        <v>1.8612093104596994E-3</v>
      </c>
      <c r="S17">
        <f t="shared" si="3"/>
        <v>0.85111994411668224</v>
      </c>
      <c r="T17">
        <f t="shared" si="4"/>
        <v>10.190120974766854</v>
      </c>
      <c r="AU17" s="2" t="s">
        <v>54</v>
      </c>
      <c r="AV17" s="2" t="s">
        <v>55</v>
      </c>
      <c r="AW17" t="s">
        <v>56</v>
      </c>
      <c r="AX17" t="s">
        <v>57</v>
      </c>
      <c r="BB17" t="s">
        <v>106</v>
      </c>
      <c r="BC17">
        <v>6.0000000000000001E-3</v>
      </c>
    </row>
    <row r="18" spans="5:60" x14ac:dyDescent="0.2">
      <c r="F18" t="s">
        <v>57</v>
      </c>
      <c r="G18">
        <v>65</v>
      </c>
      <c r="H18">
        <v>560</v>
      </c>
      <c r="I18">
        <v>0.1</v>
      </c>
      <c r="N18">
        <v>1</v>
      </c>
      <c r="O18">
        <f t="shared" si="0"/>
        <v>8.6644277315999982</v>
      </c>
      <c r="P18">
        <f>(O18 * (1 -X$11) + (0.04 * O18)) * ( 1 - AF$11 )</f>
        <v>3.9301844190537589</v>
      </c>
      <c r="Q18">
        <f t="shared" si="1"/>
        <v>1.8490354357059897E-4</v>
      </c>
      <c r="R18">
        <f t="shared" si="2"/>
        <v>2.2137766723384039E-3</v>
      </c>
      <c r="S18">
        <f t="shared" si="3"/>
        <v>1.096709142803115</v>
      </c>
      <c r="T18">
        <f t="shared" si="4"/>
        <v>13.130462887807159</v>
      </c>
      <c r="AT18" t="s">
        <v>53</v>
      </c>
      <c r="AU18" s="2">
        <v>0.55000000000000004</v>
      </c>
      <c r="AV18" s="2">
        <v>0.65</v>
      </c>
      <c r="AW18">
        <v>0.6</v>
      </c>
      <c r="AX18">
        <v>0.5</v>
      </c>
      <c r="BB18" t="s">
        <v>107</v>
      </c>
      <c r="BC18">
        <v>6.7000000000000002E-3</v>
      </c>
    </row>
    <row r="19" spans="5:60" x14ac:dyDescent="0.2">
      <c r="E19" t="s">
        <v>44</v>
      </c>
      <c r="F19" t="s">
        <v>54</v>
      </c>
      <c r="G19">
        <v>200</v>
      </c>
      <c r="H19" cm="1">
        <f t="array" ref="H19:H22">_xlfn.XLOOKUP(E19, $AR$46:$BA$46, $AR$47:$BA$50)</f>
        <v>75</v>
      </c>
      <c r="I19" cm="1">
        <f t="array" ref="I19:I22">_xlfn.XLOOKUP(E19, $AR$106:$BA$106, $AR$107:$BA$110)</f>
        <v>0.5</v>
      </c>
      <c r="N19">
        <v>1</v>
      </c>
      <c r="O19">
        <f t="shared" si="0"/>
        <v>2.7834751406249998</v>
      </c>
      <c r="P19">
        <f>(O19 * (1 -U$11) + (0.04 * O19)) * ( 1 - AF$11 )</f>
        <v>1.1456783678812499</v>
      </c>
      <c r="Q19">
        <f t="shared" si="1"/>
        <v>5.390077600084388E-5</v>
      </c>
      <c r="R19">
        <f t="shared" si="2"/>
        <v>6.4533257842106233E-4</v>
      </c>
      <c r="S19">
        <f t="shared" si="3"/>
        <v>0.98368916201540069</v>
      </c>
      <c r="T19">
        <f t="shared" si="4"/>
        <v>11.777319556184386</v>
      </c>
      <c r="AT19" t="s">
        <v>73</v>
      </c>
      <c r="AU19" s="2">
        <v>0.55000000000000004</v>
      </c>
      <c r="AV19" s="2">
        <v>0.61</v>
      </c>
      <c r="AW19" s="2">
        <v>0.56999999999999995</v>
      </c>
      <c r="AX19">
        <v>0.54</v>
      </c>
      <c r="BB19" t="s">
        <v>100</v>
      </c>
      <c r="BC19">
        <v>5.0000000000000001E-3</v>
      </c>
    </row>
    <row r="20" spans="5:60" x14ac:dyDescent="0.2">
      <c r="F20" t="s">
        <v>55</v>
      </c>
      <c r="G20">
        <v>130</v>
      </c>
      <c r="H20">
        <v>160</v>
      </c>
      <c r="I20">
        <v>0.9</v>
      </c>
      <c r="N20">
        <v>1</v>
      </c>
      <c r="O20">
        <f t="shared" si="0"/>
        <v>4.5298311556000002</v>
      </c>
      <c r="P20">
        <f>(O20 * (1 -V$11) + (0.04 * O20)) * ( 1 - AF$11 )</f>
        <v>1.4839726865745599</v>
      </c>
      <c r="Q20">
        <f t="shared" si="1"/>
        <v>6.9816522344180778E-5</v>
      </c>
      <c r="R20">
        <f t="shared" si="2"/>
        <v>8.3588548669608228E-4</v>
      </c>
      <c r="S20">
        <f t="shared" si="3"/>
        <v>0.82819849630784437</v>
      </c>
      <c r="T20">
        <f t="shared" si="4"/>
        <v>9.9156915859322758</v>
      </c>
      <c r="AT20" t="s">
        <v>92</v>
      </c>
      <c r="AU20" s="2">
        <v>0.53</v>
      </c>
      <c r="AV20" s="2">
        <v>0.56999999999999995</v>
      </c>
      <c r="AW20" s="2">
        <v>0.55000000000000004</v>
      </c>
      <c r="AX20">
        <v>0.51</v>
      </c>
      <c r="BB20" t="s">
        <v>101</v>
      </c>
      <c r="BC20">
        <v>4.8999999999999998E-3</v>
      </c>
    </row>
    <row r="21" spans="5:60" x14ac:dyDescent="0.2">
      <c r="F21" t="s">
        <v>56</v>
      </c>
      <c r="G21">
        <v>250</v>
      </c>
      <c r="H21">
        <v>220</v>
      </c>
      <c r="I21">
        <v>0.7</v>
      </c>
      <c r="N21">
        <v>1</v>
      </c>
      <c r="O21">
        <f t="shared" si="0"/>
        <v>5.1913799715999973</v>
      </c>
      <c r="P21">
        <f>(O21 * (1 -W$11) + (0.04 * O21)) * ( 1 - AF$11 )</f>
        <v>1.918734037503359</v>
      </c>
      <c r="Q21">
        <f t="shared" si="1"/>
        <v>9.0270757011782037E-5</v>
      </c>
      <c r="R21">
        <f t="shared" si="2"/>
        <v>1.0807759127164039E-3</v>
      </c>
      <c r="S21">
        <f t="shared" si="3"/>
        <v>2.0593016443312777</v>
      </c>
      <c r="T21">
        <f t="shared" si="4"/>
        <v>24.655200508842963</v>
      </c>
      <c r="AT21" t="s">
        <v>93</v>
      </c>
      <c r="AU21" s="2">
        <v>0.7</v>
      </c>
      <c r="AV21" s="2">
        <v>0.55000000000000004</v>
      </c>
      <c r="AW21" s="2">
        <v>0.55000000000000004</v>
      </c>
      <c r="AX21">
        <v>0.75</v>
      </c>
      <c r="BB21" t="s">
        <v>108</v>
      </c>
      <c r="BC21">
        <v>7.3000000000000001E-3</v>
      </c>
    </row>
    <row r="22" spans="5:60" x14ac:dyDescent="0.2">
      <c r="F22" t="s">
        <v>57</v>
      </c>
      <c r="G22">
        <v>150</v>
      </c>
      <c r="H22">
        <v>260</v>
      </c>
      <c r="I22">
        <v>0.4</v>
      </c>
      <c r="N22">
        <v>1</v>
      </c>
      <c r="O22">
        <f t="shared" si="0"/>
        <v>5.3621886096000004</v>
      </c>
      <c r="P22">
        <f>(O22 * (1 -X$11) + (0.04 * O22)) * ( 1 - AF$11 )</f>
        <v>2.4322887533145603</v>
      </c>
      <c r="Q22">
        <f t="shared" si="1"/>
        <v>1.1443198626874025E-4</v>
      </c>
      <c r="R22">
        <f t="shared" si="2"/>
        <v>1.3700487123134107E-3</v>
      </c>
      <c r="S22">
        <f t="shared" si="3"/>
        <v>1.5662878120533821</v>
      </c>
      <c r="T22">
        <f t="shared" si="4"/>
        <v>18.75254174978981</v>
      </c>
      <c r="AT22" t="s">
        <v>94</v>
      </c>
      <c r="AU22" s="2">
        <v>0.75</v>
      </c>
      <c r="AV22" s="2">
        <v>0.6</v>
      </c>
      <c r="AW22" s="2">
        <v>0.7</v>
      </c>
      <c r="AX22">
        <v>0.75</v>
      </c>
      <c r="BB22" t="s">
        <v>109</v>
      </c>
      <c r="BC22">
        <v>7.6E-3</v>
      </c>
    </row>
    <row r="23" spans="5:60" x14ac:dyDescent="0.2">
      <c r="E23" t="s">
        <v>45</v>
      </c>
      <c r="F23" t="s">
        <v>54</v>
      </c>
      <c r="G23">
        <v>20</v>
      </c>
      <c r="H23" cm="1">
        <f t="array" ref="H23:H26">_xlfn.XLOOKUP(E23, $AR$46:$BA$46, $AR$47:$BA$50)</f>
        <v>300</v>
      </c>
      <c r="I23" cm="1">
        <f t="array" ref="I23:I26">_xlfn.XLOOKUP(E23, $AR$106:$BA$106, $AR$107:$BA$110)</f>
        <v>0.4</v>
      </c>
      <c r="N23">
        <v>1</v>
      </c>
      <c r="O23">
        <f t="shared" si="0"/>
        <v>5.9487209999999981</v>
      </c>
      <c r="P23">
        <f>(O23 * (1 -U$11) + (0.04 * O23)) * ( 1 - AF$11 )</f>
        <v>2.4484935635999991</v>
      </c>
      <c r="Q23">
        <f t="shared" si="1"/>
        <v>1.1519437462643171E-4</v>
      </c>
      <c r="R23">
        <f t="shared" si="2"/>
        <v>1.3791764852534424E-3</v>
      </c>
      <c r="S23">
        <f t="shared" si="3"/>
        <v>0.21022973369323789</v>
      </c>
      <c r="T23">
        <f t="shared" si="4"/>
        <v>2.5169970855875325</v>
      </c>
      <c r="AT23" t="s">
        <v>95</v>
      </c>
      <c r="AU23" s="2">
        <v>0.8</v>
      </c>
      <c r="AV23" s="2">
        <v>0.55000000000000004</v>
      </c>
      <c r="AW23" s="2">
        <v>0.6</v>
      </c>
      <c r="AX23">
        <v>0.76</v>
      </c>
      <c r="BB23" t="s">
        <v>102</v>
      </c>
      <c r="BC23">
        <v>7.6E-3</v>
      </c>
    </row>
    <row r="24" spans="5:60" x14ac:dyDescent="0.2">
      <c r="F24" t="s">
        <v>55</v>
      </c>
      <c r="G24">
        <v>30</v>
      </c>
      <c r="H24">
        <v>360</v>
      </c>
      <c r="I24">
        <v>0.7</v>
      </c>
      <c r="N24">
        <v>1</v>
      </c>
      <c r="O24">
        <f t="shared" si="0"/>
        <v>7.3058846435999998</v>
      </c>
      <c r="P24">
        <f>(O24 * (1 -V$11) + (0.04 * O24)) * ( 1 - AF$11 )</f>
        <v>2.3934078092433602</v>
      </c>
      <c r="Q24">
        <f t="shared" si="1"/>
        <v>1.1260275293778476E-4</v>
      </c>
      <c r="R24">
        <f t="shared" si="2"/>
        <v>1.3481480283236143E-3</v>
      </c>
      <c r="S24">
        <f t="shared" si="3"/>
        <v>0.30825003616718577</v>
      </c>
      <c r="T24">
        <f t="shared" si="4"/>
        <v>3.6905552275358939</v>
      </c>
      <c r="AS24" t="s">
        <v>65</v>
      </c>
      <c r="AT24" t="s">
        <v>62</v>
      </c>
      <c r="AU24" s="2">
        <v>0.8</v>
      </c>
      <c r="AV24" s="2">
        <v>0.57999999999999996</v>
      </c>
      <c r="AW24" s="2">
        <v>0.5</v>
      </c>
      <c r="AX24">
        <v>0.75</v>
      </c>
      <c r="BB24" t="s">
        <v>103</v>
      </c>
      <c r="BC24">
        <v>8.0000000000000002E-3</v>
      </c>
    </row>
    <row r="25" spans="5:60" x14ac:dyDescent="0.2">
      <c r="F25" t="s">
        <v>56</v>
      </c>
      <c r="G25">
        <v>60</v>
      </c>
      <c r="H25">
        <v>390</v>
      </c>
      <c r="I25">
        <v>0.3</v>
      </c>
      <c r="N25">
        <v>1</v>
      </c>
      <c r="O25">
        <f t="shared" si="0"/>
        <v>7.0471135296000007</v>
      </c>
      <c r="P25">
        <f>(O25 * (1 -W$11) + (0.04 * O25)) * ( 1 - AF$11 )</f>
        <v>2.6046131605401603</v>
      </c>
      <c r="Q25">
        <f t="shared" si="1"/>
        <v>1.2253933954845938E-4</v>
      </c>
      <c r="R25">
        <f t="shared" si="2"/>
        <v>1.4671148324021022E-3</v>
      </c>
      <c r="S25">
        <f t="shared" si="3"/>
        <v>0.67090288402781517</v>
      </c>
      <c r="T25">
        <f t="shared" si="4"/>
        <v>8.0324537074015101</v>
      </c>
      <c r="AS25" t="s">
        <v>65</v>
      </c>
      <c r="AT25" t="s">
        <v>63</v>
      </c>
      <c r="AU25" s="2">
        <v>0.4</v>
      </c>
      <c r="AV25" s="2">
        <v>0.65</v>
      </c>
      <c r="AW25">
        <v>0.55000000000000004</v>
      </c>
      <c r="AX25">
        <v>0.45</v>
      </c>
      <c r="BB25" t="s">
        <v>104</v>
      </c>
      <c r="BC25">
        <v>8.0000000000000002E-3</v>
      </c>
    </row>
    <row r="26" spans="5:60" x14ac:dyDescent="0.2">
      <c r="F26" t="s">
        <v>57</v>
      </c>
      <c r="G26">
        <v>30</v>
      </c>
      <c r="H26">
        <v>410</v>
      </c>
      <c r="I26">
        <v>0.2</v>
      </c>
      <c r="N26">
        <v>1</v>
      </c>
      <c r="O26">
        <f t="shared" si="0"/>
        <v>7.1414010756000028</v>
      </c>
      <c r="P26">
        <f>(O26 * (1 -X$11) + (0.04 * O26)) * ( 1 - AF$11 )</f>
        <v>3.2393395278921613</v>
      </c>
      <c r="Q26">
        <f t="shared" si="1"/>
        <v>1.5240133634232363E-4</v>
      </c>
      <c r="R26">
        <f t="shared" si="2"/>
        <v>1.8246406570300113E-3</v>
      </c>
      <c r="S26">
        <f t="shared" si="3"/>
        <v>0.41719865823711094</v>
      </c>
      <c r="T26">
        <f t="shared" si="4"/>
        <v>4.9949537986196555</v>
      </c>
      <c r="AS26" t="s">
        <v>65</v>
      </c>
      <c r="AT26" t="s">
        <v>71</v>
      </c>
      <c r="AU26" s="2">
        <v>0.4</v>
      </c>
      <c r="AV26" s="2">
        <v>0.65</v>
      </c>
      <c r="AW26" s="2">
        <v>0.55000000000000004</v>
      </c>
      <c r="AX26">
        <v>0.45</v>
      </c>
      <c r="BB26" t="s">
        <v>105</v>
      </c>
      <c r="BC26">
        <v>8.0000000000000002E-3</v>
      </c>
    </row>
    <row r="27" spans="5:60" x14ac:dyDescent="0.2">
      <c r="E27" t="s">
        <v>46</v>
      </c>
      <c r="F27" t="s">
        <v>54</v>
      </c>
      <c r="G27">
        <v>100</v>
      </c>
      <c r="H27" cm="1">
        <f t="array" ref="H27:H30">_xlfn.XLOOKUP(E27, $AR$46:$BA$46, $AR$47:$BA$50)</f>
        <v>440</v>
      </c>
      <c r="I27" cm="1">
        <f t="array" ref="I27:I30">_xlfn.XLOOKUP(E27, $AR$106:$BA$106, $AR$107:$BA$110)</f>
        <v>0.3</v>
      </c>
      <c r="J27">
        <v>1</v>
      </c>
      <c r="L27">
        <f>J27+K27</f>
        <v>1</v>
      </c>
      <c r="M27">
        <f>1+(0.3*J27)+(0.1*K27)</f>
        <v>1.3</v>
      </c>
      <c r="N27">
        <f>(L27*M27)+(1 - L27)</f>
        <v>1.3</v>
      </c>
      <c r="O27">
        <f>(1.185 + 0.00454 * H27 - 0.0000026 * H27^2 + 0.315 * I27)^2 * N27</f>
        <v>10.001723663880002</v>
      </c>
      <c r="P27">
        <f>(O27 * (1 -U$11) + (0.04 * O27)) * ( 1 - AF$11 )</f>
        <v>4.1167094600530074</v>
      </c>
      <c r="Q27">
        <f t="shared" si="1"/>
        <v>1.9367899463549227E-4</v>
      </c>
      <c r="R27">
        <f t="shared" si="2"/>
        <v>2.3188416618002772E-3</v>
      </c>
      <c r="S27">
        <f t="shared" si="3"/>
        <v>1.7673208260488671</v>
      </c>
      <c r="T27">
        <f t="shared" si="4"/>
        <v>21.159430163927528</v>
      </c>
      <c r="BD27" s="2"/>
      <c r="BE27" s="2"/>
      <c r="BF27" s="2"/>
      <c r="BG27" s="2"/>
      <c r="BH27" s="2"/>
    </row>
    <row r="28" spans="5:60" x14ac:dyDescent="0.2">
      <c r="F28" t="s">
        <v>55</v>
      </c>
      <c r="G28">
        <v>110</v>
      </c>
      <c r="H28">
        <v>470</v>
      </c>
      <c r="I28">
        <v>0.3</v>
      </c>
      <c r="J28">
        <v>0</v>
      </c>
      <c r="K28">
        <v>1</v>
      </c>
      <c r="L28">
        <f t="shared" ref="L28:L91" si="5">J28+K28</f>
        <v>1</v>
      </c>
      <c r="M28">
        <f t="shared" ref="M28:M34" si="6">1+(0.3*J28)+(0.1*K28)</f>
        <v>1.1000000000000001</v>
      </c>
      <c r="N28">
        <f t="shared" ref="N28:N34" si="7">(L28*M28)+(1 - L28)</f>
        <v>1.1000000000000001</v>
      </c>
      <c r="O28">
        <f t="shared" si="0"/>
        <v>8.8656632697600024</v>
      </c>
      <c r="P28">
        <f>(O28 * (1 -V$11) + (0.04 * O28)) * ( 1 - AF$11 )</f>
        <v>2.9043912871733766</v>
      </c>
      <c r="Q28">
        <f t="shared" si="1"/>
        <v>1.3664301306329734E-4</v>
      </c>
      <c r="R28">
        <f t="shared" si="2"/>
        <v>1.6359725125660528E-3</v>
      </c>
      <c r="S28">
        <f t="shared" si="3"/>
        <v>1.3715542436228472</v>
      </c>
      <c r="T28">
        <f t="shared" si="4"/>
        <v>16.421074094881757</v>
      </c>
      <c r="BD28" s="2"/>
      <c r="BE28" s="2"/>
      <c r="BF28" s="2"/>
      <c r="BG28" s="2"/>
      <c r="BH28" s="2"/>
    </row>
    <row r="29" spans="5:60" x14ac:dyDescent="0.2">
      <c r="F29" t="s">
        <v>56</v>
      </c>
      <c r="G29">
        <v>120</v>
      </c>
      <c r="H29">
        <v>490</v>
      </c>
      <c r="I29">
        <v>0.2</v>
      </c>
      <c r="J29">
        <v>0</v>
      </c>
      <c r="K29">
        <v>0</v>
      </c>
      <c r="L29">
        <f t="shared" si="5"/>
        <v>0</v>
      </c>
      <c r="M29">
        <f t="shared" si="6"/>
        <v>1</v>
      </c>
      <c r="N29">
        <f t="shared" si="7"/>
        <v>1</v>
      </c>
      <c r="O29">
        <f t="shared" si="0"/>
        <v>8.1130407556000002</v>
      </c>
      <c r="P29">
        <f>(O29 * (1 -W$11) + (0.04 * O29)) * ( 1 - AF$11 )</f>
        <v>2.99857986326976</v>
      </c>
      <c r="Q29">
        <f t="shared" si="1"/>
        <v>1.4107430677044692E-4</v>
      </c>
      <c r="R29">
        <f t="shared" si="2"/>
        <v>1.6890266317448027E-3</v>
      </c>
      <c r="S29">
        <f t="shared" si="3"/>
        <v>1.5447636591363938</v>
      </c>
      <c r="T29">
        <f t="shared" si="4"/>
        <v>18.494841617605591</v>
      </c>
      <c r="BD29" s="2"/>
      <c r="BE29" s="2"/>
      <c r="BF29" s="2"/>
      <c r="BG29" s="2"/>
      <c r="BH29" s="2"/>
    </row>
    <row r="30" spans="5:60" x14ac:dyDescent="0.2">
      <c r="F30" t="s">
        <v>57</v>
      </c>
      <c r="G30">
        <v>130</v>
      </c>
      <c r="H30">
        <v>500</v>
      </c>
      <c r="I30">
        <v>0.1</v>
      </c>
      <c r="J30">
        <v>0</v>
      </c>
      <c r="K30">
        <v>0</v>
      </c>
      <c r="L30">
        <f t="shared" si="5"/>
        <v>0</v>
      </c>
      <c r="M30">
        <f t="shared" si="6"/>
        <v>1</v>
      </c>
      <c r="N30">
        <f t="shared" si="7"/>
        <v>1</v>
      </c>
      <c r="O30">
        <f t="shared" si="0"/>
        <v>8.0457322500000004</v>
      </c>
      <c r="P30">
        <f>(O30 * (1 -X$11) + (0.04 * O30)) * ( 1 - AF$11 )</f>
        <v>3.6495441486</v>
      </c>
      <c r="Q30">
        <f t="shared" si="1"/>
        <v>1.7170024954095013E-4</v>
      </c>
      <c r="R30">
        <f t="shared" si="2"/>
        <v>2.0556988780656223E-3</v>
      </c>
      <c r="S30">
        <f t="shared" si="3"/>
        <v>2.0367942101795209</v>
      </c>
      <c r="T30">
        <f t="shared" si="4"/>
        <v>24.385727941053442</v>
      </c>
      <c r="BD30" s="2"/>
      <c r="BE30" s="2"/>
      <c r="BF30" s="2"/>
      <c r="BG30" s="2"/>
      <c r="BH30" s="2"/>
    </row>
    <row r="31" spans="5:60" x14ac:dyDescent="0.2">
      <c r="E31" t="s">
        <v>47</v>
      </c>
      <c r="F31" t="s">
        <v>54</v>
      </c>
      <c r="G31">
        <v>50</v>
      </c>
      <c r="H31" cm="1">
        <f t="array" ref="H31:H34">_xlfn.XLOOKUP(E31, $AR$46:$BA$46, $AR$47:$BA$50)</f>
        <v>440</v>
      </c>
      <c r="I31" cm="1">
        <f t="array" ref="I31:I34">_xlfn.XLOOKUP(E31, $AR$106:$BA$106, $AR$107:$BA$110)</f>
        <v>0.3</v>
      </c>
      <c r="J31">
        <v>1</v>
      </c>
      <c r="K31">
        <v>0</v>
      </c>
      <c r="L31">
        <f t="shared" si="5"/>
        <v>1</v>
      </c>
      <c r="M31">
        <f t="shared" si="6"/>
        <v>1.3</v>
      </c>
      <c r="N31">
        <f t="shared" si="7"/>
        <v>1.3</v>
      </c>
      <c r="O31">
        <f t="shared" si="0"/>
        <v>10.001723663880002</v>
      </c>
      <c r="P31">
        <f>(O31 * (1 -U$11) + (0.04 * O31)) * ( 1 - AF$11 )</f>
        <v>4.1167094600530074</v>
      </c>
      <c r="Q31">
        <f t="shared" si="1"/>
        <v>1.9367899463549227E-4</v>
      </c>
      <c r="R31">
        <f t="shared" si="2"/>
        <v>2.3188416618002772E-3</v>
      </c>
      <c r="S31">
        <f t="shared" si="3"/>
        <v>0.88366041302443354</v>
      </c>
      <c r="T31">
        <f t="shared" si="4"/>
        <v>10.579715081963764</v>
      </c>
      <c r="BD31" s="2"/>
      <c r="BE31" s="2"/>
      <c r="BF31" s="2"/>
      <c r="BG31" s="2"/>
      <c r="BH31" s="2"/>
    </row>
    <row r="32" spans="5:60" x14ac:dyDescent="0.2">
      <c r="F32" t="s">
        <v>55</v>
      </c>
      <c r="G32">
        <v>55</v>
      </c>
      <c r="H32">
        <v>470</v>
      </c>
      <c r="I32">
        <v>0.3</v>
      </c>
      <c r="J32">
        <v>0</v>
      </c>
      <c r="K32">
        <v>1</v>
      </c>
      <c r="L32">
        <f t="shared" si="5"/>
        <v>1</v>
      </c>
      <c r="M32">
        <f t="shared" si="6"/>
        <v>1.1000000000000001</v>
      </c>
      <c r="N32">
        <f t="shared" si="7"/>
        <v>1.1000000000000001</v>
      </c>
      <c r="O32">
        <f t="shared" si="0"/>
        <v>8.8656632697600024</v>
      </c>
      <c r="P32">
        <f>(O32 * (1 -V$11) + (0.04 * O32)) * ( 1 - AF$11 )</f>
        <v>2.9043912871733766</v>
      </c>
      <c r="Q32">
        <f t="shared" si="1"/>
        <v>1.3664301306329734E-4</v>
      </c>
      <c r="R32">
        <f t="shared" si="2"/>
        <v>1.6359725125660528E-3</v>
      </c>
      <c r="S32">
        <f t="shared" si="3"/>
        <v>0.68577712181142358</v>
      </c>
      <c r="T32">
        <f t="shared" si="4"/>
        <v>8.2105370474408783</v>
      </c>
      <c r="BD32" s="2"/>
      <c r="BE32" s="3"/>
      <c r="BF32" s="3"/>
      <c r="BG32" s="3"/>
      <c r="BH32" s="3"/>
    </row>
    <row r="33" spans="5:60" x14ac:dyDescent="0.2">
      <c r="F33" t="s">
        <v>56</v>
      </c>
      <c r="G33">
        <v>60</v>
      </c>
      <c r="H33">
        <v>490</v>
      </c>
      <c r="I33">
        <v>0.2</v>
      </c>
      <c r="J33">
        <v>0</v>
      </c>
      <c r="K33">
        <v>0</v>
      </c>
      <c r="L33">
        <f t="shared" si="5"/>
        <v>0</v>
      </c>
      <c r="M33">
        <f t="shared" si="6"/>
        <v>1</v>
      </c>
      <c r="N33">
        <f t="shared" si="7"/>
        <v>1</v>
      </c>
      <c r="O33">
        <f t="shared" si="0"/>
        <v>8.1130407556000002</v>
      </c>
      <c r="P33">
        <f>(O33 * (1 -W$11) + (0.04 * O33)) * ( 1 - AF$11 )</f>
        <v>2.99857986326976</v>
      </c>
      <c r="Q33">
        <f t="shared" si="1"/>
        <v>1.4107430677044692E-4</v>
      </c>
      <c r="R33">
        <f t="shared" si="2"/>
        <v>1.6890266317448027E-3</v>
      </c>
      <c r="S33">
        <f t="shared" si="3"/>
        <v>0.7723818295681969</v>
      </c>
      <c r="T33">
        <f t="shared" si="4"/>
        <v>9.2474208088027954</v>
      </c>
      <c r="BD33" s="2"/>
      <c r="BE33" s="2"/>
      <c r="BF33" s="2"/>
      <c r="BG33" s="2"/>
      <c r="BH33" s="2"/>
    </row>
    <row r="34" spans="5:60" x14ac:dyDescent="0.2">
      <c r="F34" t="s">
        <v>57</v>
      </c>
      <c r="G34">
        <v>65</v>
      </c>
      <c r="H34">
        <v>500</v>
      </c>
      <c r="I34">
        <v>0.1</v>
      </c>
      <c r="J34">
        <v>0</v>
      </c>
      <c r="K34">
        <v>0</v>
      </c>
      <c r="L34">
        <f t="shared" si="5"/>
        <v>0</v>
      </c>
      <c r="M34">
        <f t="shared" si="6"/>
        <v>1</v>
      </c>
      <c r="N34">
        <f t="shared" si="7"/>
        <v>1</v>
      </c>
      <c r="O34">
        <f t="shared" si="0"/>
        <v>8.0457322500000004</v>
      </c>
      <c r="P34">
        <f>(O34 * (1 -X$11) + (0.04 * O34)) * ( 1 - AF$11 )</f>
        <v>3.6495441486</v>
      </c>
      <c r="Q34">
        <f t="shared" si="1"/>
        <v>1.7170024954095013E-4</v>
      </c>
      <c r="R34">
        <f t="shared" si="2"/>
        <v>2.0556988780656223E-3</v>
      </c>
      <c r="S34">
        <f t="shared" si="3"/>
        <v>1.0183971050897604</v>
      </c>
      <c r="T34">
        <f t="shared" si="4"/>
        <v>12.192863970526721</v>
      </c>
      <c r="BD34" s="2"/>
      <c r="BE34" s="2"/>
      <c r="BF34" s="2"/>
      <c r="BG34" s="2"/>
      <c r="BH34" s="2"/>
    </row>
    <row r="35" spans="5:60" x14ac:dyDescent="0.2">
      <c r="E35" t="s">
        <v>48</v>
      </c>
      <c r="F35" t="s">
        <v>54</v>
      </c>
      <c r="G35">
        <v>200</v>
      </c>
      <c r="H35" cm="1">
        <f t="array" ref="H35:H38">_xlfn.XLOOKUP(E35, $AR$46:$BA$46, $AR$47:$BA$50)</f>
        <v>75</v>
      </c>
      <c r="I35" cm="1">
        <f t="array" ref="I35:I38">_xlfn.XLOOKUP(E35, $AR$106:$BA$106, $AR$107:$BA$110)</f>
        <v>0.5</v>
      </c>
      <c r="K35">
        <v>0</v>
      </c>
      <c r="L35">
        <f t="shared" si="5"/>
        <v>0</v>
      </c>
      <c r="N35">
        <v>1</v>
      </c>
      <c r="O35">
        <f t="shared" si="0"/>
        <v>2.7834751406249998</v>
      </c>
      <c r="P35">
        <f>(O35 * (1 -U$11) + (0.04 * O35)) * ( 1 - AF$11 )</f>
        <v>1.1456783678812499</v>
      </c>
      <c r="Q35">
        <f t="shared" si="1"/>
        <v>5.390077600084388E-5</v>
      </c>
      <c r="R35">
        <f t="shared" si="2"/>
        <v>6.4533257842106233E-4</v>
      </c>
      <c r="S35">
        <f t="shared" si="3"/>
        <v>0.98368916201540069</v>
      </c>
      <c r="T35">
        <f t="shared" si="4"/>
        <v>11.777319556184386</v>
      </c>
      <c r="BD35" s="2"/>
    </row>
    <row r="36" spans="5:60" x14ac:dyDescent="0.2">
      <c r="F36" t="s">
        <v>55</v>
      </c>
      <c r="G36">
        <v>130</v>
      </c>
      <c r="H36">
        <v>160</v>
      </c>
      <c r="I36">
        <v>0.9</v>
      </c>
      <c r="L36">
        <f t="shared" si="5"/>
        <v>0</v>
      </c>
      <c r="N36">
        <v>1</v>
      </c>
      <c r="O36">
        <f t="shared" si="0"/>
        <v>4.5298311556000002</v>
      </c>
      <c r="P36">
        <f>(O36 * (1 -V$11) + (0.04 * O36)) * ( 1 - AF$11 )</f>
        <v>1.4839726865745599</v>
      </c>
      <c r="Q36">
        <f t="shared" si="1"/>
        <v>6.9816522344180778E-5</v>
      </c>
      <c r="R36">
        <f t="shared" si="2"/>
        <v>8.3588548669608228E-4</v>
      </c>
      <c r="S36">
        <f t="shared" si="3"/>
        <v>0.82819849630784437</v>
      </c>
      <c r="T36">
        <f t="shared" si="4"/>
        <v>9.9156915859322758</v>
      </c>
    </row>
    <row r="37" spans="5:60" x14ac:dyDescent="0.2">
      <c r="F37" t="s">
        <v>56</v>
      </c>
      <c r="G37">
        <v>250</v>
      </c>
      <c r="H37">
        <v>220</v>
      </c>
      <c r="I37">
        <v>0.7</v>
      </c>
      <c r="L37">
        <f t="shared" si="5"/>
        <v>0</v>
      </c>
      <c r="N37">
        <v>1</v>
      </c>
      <c r="O37">
        <f t="shared" si="0"/>
        <v>5.1913799715999973</v>
      </c>
      <c r="P37">
        <f>(O37 * (1 -W$11) + (0.04 * O37)) * ( 1 - AF$11 )</f>
        <v>1.918734037503359</v>
      </c>
      <c r="Q37">
        <f t="shared" si="1"/>
        <v>9.0270757011782037E-5</v>
      </c>
      <c r="R37">
        <f t="shared" si="2"/>
        <v>1.0807759127164039E-3</v>
      </c>
      <c r="S37">
        <f t="shared" si="3"/>
        <v>2.0593016443312777</v>
      </c>
      <c r="T37">
        <f t="shared" si="4"/>
        <v>24.655200508842963</v>
      </c>
    </row>
    <row r="38" spans="5:60" x14ac:dyDescent="0.2">
      <c r="F38" t="s">
        <v>57</v>
      </c>
      <c r="G38">
        <v>150</v>
      </c>
      <c r="H38">
        <v>260</v>
      </c>
      <c r="I38">
        <v>0.4</v>
      </c>
      <c r="L38">
        <f t="shared" si="5"/>
        <v>0</v>
      </c>
      <c r="N38">
        <v>1</v>
      </c>
      <c r="O38">
        <f t="shared" si="0"/>
        <v>5.3621886096000004</v>
      </c>
      <c r="P38">
        <f>(O38 * (1 -X$11) + (0.04 * O38)) * ( 1 - AF$11 )</f>
        <v>2.4322887533145603</v>
      </c>
      <c r="Q38">
        <f t="shared" si="1"/>
        <v>1.1443198626874025E-4</v>
      </c>
      <c r="R38">
        <f t="shared" si="2"/>
        <v>1.3700487123134107E-3</v>
      </c>
      <c r="S38">
        <f t="shared" si="3"/>
        <v>1.5662878120533821</v>
      </c>
      <c r="T38">
        <f t="shared" si="4"/>
        <v>18.75254174978981</v>
      </c>
    </row>
    <row r="39" spans="5:60" x14ac:dyDescent="0.2">
      <c r="E39" t="s">
        <v>49</v>
      </c>
      <c r="F39" t="s">
        <v>54</v>
      </c>
      <c r="G39">
        <v>20</v>
      </c>
      <c r="H39" cm="1">
        <f t="array" ref="H39:H42">_xlfn.XLOOKUP(E39, $AR$46:$BA$46, $AR$47:$BA$50)</f>
        <v>380</v>
      </c>
      <c r="I39" cm="1">
        <f t="array" ref="I39:I42">_xlfn.XLOOKUP(E39, $AR$106:$BA$106, $AR$107:$BA$110)</f>
        <v>0.4</v>
      </c>
      <c r="L39">
        <f t="shared" si="5"/>
        <v>0</v>
      </c>
      <c r="N39">
        <v>1</v>
      </c>
      <c r="O39">
        <f t="shared" si="0"/>
        <v>7.0796437775999967</v>
      </c>
      <c r="P39">
        <f>(O39 * (1 -U$11) + (0.04 * O39)) * ( 1 - AF$11 )</f>
        <v>2.9139813788601581</v>
      </c>
      <c r="Q39">
        <f t="shared" si="1"/>
        <v>1.37094198490489E-4</v>
      </c>
      <c r="R39">
        <f t="shared" si="2"/>
        <v>1.6413743764477724E-3</v>
      </c>
      <c r="S39">
        <f t="shared" si="3"/>
        <v>0.2501969122451424</v>
      </c>
      <c r="T39">
        <f t="shared" si="4"/>
        <v>2.995508237017185</v>
      </c>
    </row>
    <row r="40" spans="5:60" x14ac:dyDescent="0.2">
      <c r="F40" t="s">
        <v>55</v>
      </c>
      <c r="G40">
        <v>30</v>
      </c>
      <c r="H40">
        <v>420</v>
      </c>
      <c r="I40">
        <v>0.4</v>
      </c>
      <c r="L40">
        <f t="shared" si="5"/>
        <v>0</v>
      </c>
      <c r="N40">
        <v>1</v>
      </c>
      <c r="O40">
        <f t="shared" si="0"/>
        <v>7.6129639056</v>
      </c>
      <c r="P40">
        <f>(O40 * (1 -V$11) + (0.04 * O40)) * ( 1 - AF$11 )</f>
        <v>2.49400697547456</v>
      </c>
      <c r="Q40">
        <f t="shared" si="1"/>
        <v>1.1733564593543065E-4</v>
      </c>
      <c r="R40">
        <f t="shared" si="2"/>
        <v>1.4048130759940598E-3</v>
      </c>
      <c r="S40">
        <f t="shared" si="3"/>
        <v>0.3212063307482414</v>
      </c>
      <c r="T40">
        <f t="shared" si="4"/>
        <v>3.8456757955337388</v>
      </c>
    </row>
    <row r="41" spans="5:60" x14ac:dyDescent="0.2">
      <c r="F41" t="s">
        <v>56</v>
      </c>
      <c r="G41">
        <v>60</v>
      </c>
      <c r="H41">
        <v>450</v>
      </c>
      <c r="I41">
        <v>0.3</v>
      </c>
      <c r="L41">
        <f t="shared" si="5"/>
        <v>0</v>
      </c>
      <c r="N41">
        <v>1</v>
      </c>
      <c r="O41">
        <f t="shared" si="0"/>
        <v>7.8176159999999992</v>
      </c>
      <c r="P41">
        <f>(O41 * (1 -W$11) + (0.04 * O41)) * ( 1 - AF$11 )</f>
        <v>2.8893908736</v>
      </c>
      <c r="Q41">
        <f t="shared" si="1"/>
        <v>1.3593728800589413E-4</v>
      </c>
      <c r="R41">
        <f t="shared" si="2"/>
        <v>1.627523146810294E-3</v>
      </c>
      <c r="S41">
        <f t="shared" si="3"/>
        <v>0.7442566518322703</v>
      </c>
      <c r="T41">
        <f t="shared" si="4"/>
        <v>8.9106892287863602</v>
      </c>
    </row>
    <row r="42" spans="5:60" x14ac:dyDescent="0.2">
      <c r="F42" t="s">
        <v>57</v>
      </c>
      <c r="G42">
        <v>30</v>
      </c>
      <c r="H42">
        <v>460</v>
      </c>
      <c r="I42">
        <v>0.1</v>
      </c>
      <c r="L42">
        <f t="shared" si="5"/>
        <v>0</v>
      </c>
      <c r="N42">
        <v>1</v>
      </c>
      <c r="O42">
        <f t="shared" si="0"/>
        <v>7.5885924675999998</v>
      </c>
      <c r="P42">
        <f>(O42 * (1 -X$11) + (0.04 * O42)) * ( 1 - AF$11 )</f>
        <v>3.4421855433033599</v>
      </c>
      <c r="Q42">
        <f t="shared" si="1"/>
        <v>1.6194464094321492E-4</v>
      </c>
      <c r="R42">
        <f t="shared" si="2"/>
        <v>1.9388988518406825E-3</v>
      </c>
      <c r="S42">
        <f t="shared" si="3"/>
        <v>0.4433234545820508</v>
      </c>
      <c r="T42">
        <f t="shared" si="4"/>
        <v>5.3077356069138686</v>
      </c>
    </row>
    <row r="43" spans="5:60" x14ac:dyDescent="0.2">
      <c r="E43" t="s">
        <v>50</v>
      </c>
      <c r="F43" t="s">
        <v>54</v>
      </c>
      <c r="G43">
        <v>100</v>
      </c>
      <c r="H43" cm="1">
        <f t="array" ref="H43:H46">_xlfn.XLOOKUP(E43, $AR$46:$BA$46, $AR$47:$BA$50)</f>
        <v>380</v>
      </c>
      <c r="I43" cm="1">
        <f t="array" ref="I43:I46">_xlfn.XLOOKUP(E43, $AR$106:$BA$106, $AR$107:$BA$110)</f>
        <v>0.4</v>
      </c>
      <c r="L43">
        <f t="shared" si="5"/>
        <v>0</v>
      </c>
      <c r="N43">
        <v>1</v>
      </c>
      <c r="O43">
        <f t="shared" si="0"/>
        <v>7.0796437775999967</v>
      </c>
      <c r="P43">
        <f>(O43 * (1 -U$11) + (0.04 * O43)) * ( 1 - AF$11 )</f>
        <v>2.9139813788601581</v>
      </c>
      <c r="Q43">
        <f t="shared" si="1"/>
        <v>1.37094198490489E-4</v>
      </c>
      <c r="R43">
        <f t="shared" si="2"/>
        <v>1.6413743764477724E-3</v>
      </c>
      <c r="S43">
        <f t="shared" si="3"/>
        <v>1.2509845612257122</v>
      </c>
      <c r="T43">
        <f t="shared" si="4"/>
        <v>14.977541185085922</v>
      </c>
    </row>
    <row r="44" spans="5:60" x14ac:dyDescent="0.2">
      <c r="F44" t="s">
        <v>55</v>
      </c>
      <c r="G44">
        <v>110</v>
      </c>
      <c r="H44">
        <v>420</v>
      </c>
      <c r="I44">
        <v>0.4</v>
      </c>
      <c r="L44">
        <f t="shared" si="5"/>
        <v>0</v>
      </c>
      <c r="N44">
        <v>1</v>
      </c>
      <c r="O44">
        <f t="shared" si="0"/>
        <v>7.6129639056</v>
      </c>
      <c r="P44">
        <f>(O44 * (1 -V$11) + (0.04 * O44)) * ( 1 - AF$11 )</f>
        <v>2.49400697547456</v>
      </c>
      <c r="Q44">
        <f t="shared" si="1"/>
        <v>1.1733564593543065E-4</v>
      </c>
      <c r="R44">
        <f t="shared" si="2"/>
        <v>1.4048130759940598E-3</v>
      </c>
      <c r="S44">
        <f t="shared" si="3"/>
        <v>1.1777565460768851</v>
      </c>
      <c r="T44">
        <f t="shared" si="4"/>
        <v>14.100811250290375</v>
      </c>
    </row>
    <row r="45" spans="5:60" x14ac:dyDescent="0.2">
      <c r="F45" t="s">
        <v>56</v>
      </c>
      <c r="G45">
        <v>120</v>
      </c>
      <c r="H45">
        <v>450</v>
      </c>
      <c r="I45">
        <v>0.3</v>
      </c>
      <c r="L45">
        <f t="shared" si="5"/>
        <v>0</v>
      </c>
      <c r="N45">
        <v>1</v>
      </c>
      <c r="O45">
        <f t="shared" si="0"/>
        <v>7.8176159999999992</v>
      </c>
      <c r="P45">
        <f>(O45 * (1 -W$11) + (0.04 * O45)) * ( 1 - AF$11 )</f>
        <v>2.8893908736</v>
      </c>
      <c r="Q45">
        <f t="shared" si="1"/>
        <v>1.3593728800589413E-4</v>
      </c>
      <c r="R45">
        <f t="shared" si="2"/>
        <v>1.627523146810294E-3</v>
      </c>
      <c r="S45">
        <f t="shared" si="3"/>
        <v>1.4885133036645406</v>
      </c>
      <c r="T45">
        <f t="shared" si="4"/>
        <v>17.82137845757272</v>
      </c>
      <c r="AR45" s="4" t="s">
        <v>66</v>
      </c>
      <c r="AS45" s="4" t="s">
        <v>66</v>
      </c>
      <c r="AT45" s="4" t="s">
        <v>67</v>
      </c>
      <c r="AU45" s="4" t="s">
        <v>67</v>
      </c>
      <c r="AV45" s="4" t="s">
        <v>67</v>
      </c>
      <c r="AW45" s="4" t="s">
        <v>67</v>
      </c>
      <c r="AX45" s="4" t="s">
        <v>68</v>
      </c>
      <c r="AY45" s="4" t="s">
        <v>68</v>
      </c>
      <c r="AZ45" s="4" t="s">
        <v>68</v>
      </c>
      <c r="BA45" s="4" t="s">
        <v>68</v>
      </c>
    </row>
    <row r="46" spans="5:60" x14ac:dyDescent="0.2">
      <c r="F46" t="s">
        <v>57</v>
      </c>
      <c r="G46">
        <v>130</v>
      </c>
      <c r="H46">
        <v>460</v>
      </c>
      <c r="I46">
        <v>0.1</v>
      </c>
      <c r="L46">
        <f t="shared" si="5"/>
        <v>0</v>
      </c>
      <c r="N46">
        <v>1</v>
      </c>
      <c r="O46">
        <f t="shared" si="0"/>
        <v>7.5885924675999998</v>
      </c>
      <c r="P46">
        <f>(O46 * (1 -X$11) + (0.04 * O46)) * ( 1 - AF$11 )</f>
        <v>3.4421855433033599</v>
      </c>
      <c r="Q46">
        <f t="shared" si="1"/>
        <v>1.6194464094321492E-4</v>
      </c>
      <c r="R46">
        <f t="shared" si="2"/>
        <v>1.9388988518406825E-3</v>
      </c>
      <c r="S46">
        <f t="shared" si="3"/>
        <v>1.9210683031888869</v>
      </c>
      <c r="T46">
        <f t="shared" si="4"/>
        <v>23.000187629960099</v>
      </c>
      <c r="AR46" s="4" t="s">
        <v>42</v>
      </c>
      <c r="AS46" s="4" t="s">
        <v>43</v>
      </c>
      <c r="AT46" s="4" t="s">
        <v>44</v>
      </c>
      <c r="AU46" s="5" t="s">
        <v>45</v>
      </c>
      <c r="AV46" s="4" t="s">
        <v>46</v>
      </c>
      <c r="AW46" s="4" t="s">
        <v>47</v>
      </c>
      <c r="AX46" s="4" t="s">
        <v>48</v>
      </c>
      <c r="AY46" s="4" t="s">
        <v>49</v>
      </c>
      <c r="AZ46" s="4" t="s">
        <v>50</v>
      </c>
      <c r="BA46" s="4" t="s">
        <v>51</v>
      </c>
    </row>
    <row r="47" spans="5:60" x14ac:dyDescent="0.2">
      <c r="E47" t="s">
        <v>51</v>
      </c>
      <c r="F47" t="s">
        <v>54</v>
      </c>
      <c r="G47">
        <v>50</v>
      </c>
      <c r="H47" cm="1">
        <f t="array" ref="H47:H50">_xlfn.XLOOKUP(E47, $AR$46:$BA$46, $AR$47:$BA$50)</f>
        <v>380</v>
      </c>
      <c r="I47" cm="1">
        <f t="array" ref="I47:I50">_xlfn.XLOOKUP(E47, $AR$106:$BA$106, $AR$107:$BA$110)</f>
        <v>0.4</v>
      </c>
      <c r="L47">
        <f t="shared" si="5"/>
        <v>0</v>
      </c>
      <c r="N47">
        <v>1</v>
      </c>
      <c r="O47">
        <f t="shared" si="0"/>
        <v>7.0796437775999967</v>
      </c>
      <c r="P47">
        <f>(O47 * (1 -U$11) + (0.04 * O47)) * ( 1 - AF$11 )</f>
        <v>2.9139813788601581</v>
      </c>
      <c r="Q47">
        <f t="shared" si="1"/>
        <v>1.37094198490489E-4</v>
      </c>
      <c r="R47">
        <f t="shared" si="2"/>
        <v>1.6413743764477724E-3</v>
      </c>
      <c r="S47">
        <f t="shared" si="3"/>
        <v>0.62549228061285611</v>
      </c>
      <c r="T47">
        <f t="shared" si="4"/>
        <v>7.4887705925429611</v>
      </c>
      <c r="AO47" t="s">
        <v>53</v>
      </c>
      <c r="AQ47" s="2" t="s">
        <v>54</v>
      </c>
      <c r="AR47" s="2">
        <v>80</v>
      </c>
      <c r="AS47" s="2">
        <v>480</v>
      </c>
      <c r="AT47" s="2">
        <v>75</v>
      </c>
      <c r="AU47" s="2">
        <v>300</v>
      </c>
      <c r="AV47" s="2">
        <v>440</v>
      </c>
      <c r="AW47" s="2">
        <v>440</v>
      </c>
      <c r="AX47" s="2">
        <v>75</v>
      </c>
      <c r="AY47">
        <v>380</v>
      </c>
      <c r="AZ47">
        <v>380</v>
      </c>
      <c r="BA47">
        <v>380</v>
      </c>
    </row>
    <row r="48" spans="5:60" x14ac:dyDescent="0.2">
      <c r="F48" t="s">
        <v>55</v>
      </c>
      <c r="G48">
        <v>55</v>
      </c>
      <c r="H48">
        <v>420</v>
      </c>
      <c r="I48">
        <v>0.4</v>
      </c>
      <c r="L48">
        <f t="shared" si="5"/>
        <v>0</v>
      </c>
      <c r="N48">
        <v>1</v>
      </c>
      <c r="O48">
        <f t="shared" si="0"/>
        <v>7.6129639056</v>
      </c>
      <c r="P48">
        <f>(O48 * (1 -V$11) + (0.04 * O48)) * ( 1 - AF$11 )</f>
        <v>2.49400697547456</v>
      </c>
      <c r="Q48">
        <f t="shared" si="1"/>
        <v>1.1733564593543065E-4</v>
      </c>
      <c r="R48">
        <f t="shared" si="2"/>
        <v>1.4048130759940598E-3</v>
      </c>
      <c r="S48">
        <f t="shared" si="3"/>
        <v>0.58887827303844253</v>
      </c>
      <c r="T48">
        <f t="shared" si="4"/>
        <v>7.0504056251451876</v>
      </c>
      <c r="AQ48" s="2" t="s">
        <v>55</v>
      </c>
      <c r="AR48" s="2">
        <v>170</v>
      </c>
      <c r="AS48" s="2">
        <v>520</v>
      </c>
      <c r="AT48" s="2">
        <v>160</v>
      </c>
      <c r="AU48" s="2">
        <v>360</v>
      </c>
      <c r="AV48">
        <v>470</v>
      </c>
      <c r="AW48">
        <v>470</v>
      </c>
      <c r="AX48">
        <v>160</v>
      </c>
      <c r="AY48">
        <v>420</v>
      </c>
      <c r="AZ48">
        <v>420</v>
      </c>
      <c r="BA48">
        <v>420</v>
      </c>
    </row>
    <row r="49" spans="1:53" x14ac:dyDescent="0.2">
      <c r="F49" t="s">
        <v>56</v>
      </c>
      <c r="G49">
        <v>60</v>
      </c>
      <c r="H49">
        <v>450</v>
      </c>
      <c r="I49">
        <v>0.3</v>
      </c>
      <c r="L49">
        <f t="shared" si="5"/>
        <v>0</v>
      </c>
      <c r="N49">
        <v>1</v>
      </c>
      <c r="O49">
        <f t="shared" si="0"/>
        <v>7.8176159999999992</v>
      </c>
      <c r="P49">
        <f>(O49 * (1 -W$11) + (0.04 * O49)) * ( 1 - AF$11 )</f>
        <v>2.8893908736</v>
      </c>
      <c r="Q49">
        <f t="shared" si="1"/>
        <v>1.3593728800589413E-4</v>
      </c>
      <c r="R49">
        <f t="shared" si="2"/>
        <v>1.627523146810294E-3</v>
      </c>
      <c r="S49">
        <f t="shared" si="3"/>
        <v>0.7442566518322703</v>
      </c>
      <c r="T49">
        <f t="shared" si="4"/>
        <v>8.9106892287863602</v>
      </c>
      <c r="AQ49" s="2" t="s">
        <v>56</v>
      </c>
      <c r="AR49" s="2">
        <v>240</v>
      </c>
      <c r="AS49" s="2">
        <v>550</v>
      </c>
      <c r="AT49" s="2">
        <v>220</v>
      </c>
      <c r="AU49" s="2">
        <v>390</v>
      </c>
      <c r="AV49">
        <v>490</v>
      </c>
      <c r="AW49">
        <v>490</v>
      </c>
      <c r="AX49">
        <v>220</v>
      </c>
      <c r="AY49">
        <v>450</v>
      </c>
      <c r="AZ49">
        <v>450</v>
      </c>
      <c r="BA49">
        <v>450</v>
      </c>
    </row>
    <row r="50" spans="1:53" x14ac:dyDescent="0.2">
      <c r="F50" t="s">
        <v>57</v>
      </c>
      <c r="G50">
        <v>65</v>
      </c>
      <c r="H50">
        <v>460</v>
      </c>
      <c r="I50">
        <v>0.1</v>
      </c>
      <c r="L50">
        <f t="shared" si="5"/>
        <v>0</v>
      </c>
      <c r="N50">
        <v>1</v>
      </c>
      <c r="O50">
        <f t="shared" si="0"/>
        <v>7.5885924675999998</v>
      </c>
      <c r="P50">
        <f>(O50 * (1 -X$11) + (0.04 * O50)) * ( 1 - AF$11 )</f>
        <v>3.4421855433033599</v>
      </c>
      <c r="Q50">
        <f t="shared" si="1"/>
        <v>1.6194464094321492E-4</v>
      </c>
      <c r="R50">
        <f t="shared" si="2"/>
        <v>1.9388988518406825E-3</v>
      </c>
      <c r="S50">
        <f t="shared" si="3"/>
        <v>0.96053415159444344</v>
      </c>
      <c r="T50">
        <f t="shared" si="4"/>
        <v>11.500093814980049</v>
      </c>
      <c r="AQ50" s="2" t="s">
        <v>57</v>
      </c>
      <c r="AR50" s="2">
        <v>280</v>
      </c>
      <c r="AS50" s="2">
        <v>560</v>
      </c>
      <c r="AT50" s="2">
        <v>260</v>
      </c>
      <c r="AU50" s="2">
        <v>410</v>
      </c>
      <c r="AV50">
        <v>500</v>
      </c>
      <c r="AW50">
        <v>500</v>
      </c>
      <c r="AX50">
        <v>260</v>
      </c>
      <c r="AY50">
        <v>460</v>
      </c>
      <c r="AZ50">
        <v>460</v>
      </c>
      <c r="BA50">
        <v>460</v>
      </c>
    </row>
    <row r="51" spans="1:53" x14ac:dyDescent="0.2">
      <c r="A51" t="s">
        <v>116</v>
      </c>
      <c r="B51" t="s">
        <v>99</v>
      </c>
      <c r="C51" t="s">
        <v>53</v>
      </c>
      <c r="D51" t="s">
        <v>53</v>
      </c>
      <c r="E51" t="s">
        <v>42</v>
      </c>
      <c r="F51" t="s">
        <v>54</v>
      </c>
      <c r="G51">
        <v>100</v>
      </c>
      <c r="H51" cm="1">
        <f t="array" ref="H51:H54">_xlfn.XLOOKUP(E51, $AR$46:$BA$46, $AR$47:$BA$50)</f>
        <v>80</v>
      </c>
      <c r="I51" cm="1">
        <f t="array" ref="I51:I54">_xlfn.XLOOKUP(E51, $AR$106:$BA$106, $AR$107:$BA$110)</f>
        <v>0.5</v>
      </c>
      <c r="J51">
        <v>0</v>
      </c>
      <c r="L51">
        <f t="shared" si="5"/>
        <v>0</v>
      </c>
      <c r="N51">
        <v>1</v>
      </c>
      <c r="O51">
        <f>(1.185 + 0.00454 * H51 - 0.0000026 * H51^2 + 0.315 * I51)^2 * N51</f>
        <v>2.8529236835999998</v>
      </c>
      <c r="P51">
        <f>(O51 * (1 -U51) + (0.04 * O51)) * ( 1 - AF$11 )</f>
        <v>1.1742633881697597</v>
      </c>
      <c r="Q51">
        <f>P51 * AD$51 * Z$51 * AB$51 * AE$51</f>
        <v>5.5245616593758213E-5</v>
      </c>
      <c r="R51">
        <f>P51 * AD$11 * AA$11 * AC$11 * AE$11</f>
        <v>6.6143382058828331E-4</v>
      </c>
      <c r="S51">
        <f>G51*Q51*91.25</f>
        <v>0.50411625141804373</v>
      </c>
      <c r="T51">
        <f>G51*R51*91.25</f>
        <v>6.0355836128680851</v>
      </c>
      <c r="U51" cm="1">
        <f t="array" ref="U51:X51">_xlfn.XLOOKUP(C51,$AT$18:$AT$26,$AU$18:$AX$26)</f>
        <v>0.55000000000000004</v>
      </c>
      <c r="V51">
        <v>0.65</v>
      </c>
      <c r="W51">
        <v>0.6</v>
      </c>
      <c r="X51">
        <v>0.5</v>
      </c>
      <c r="Y51" t="s">
        <v>91</v>
      </c>
      <c r="Z51">
        <f>IF(Y51="yes", $AP$6, $AQ$6)</f>
        <v>0.05</v>
      </c>
      <c r="AA51">
        <f>IF(Y51="yes", $AP$7, $AQ$7)</f>
        <v>0.95</v>
      </c>
      <c r="AB51">
        <f>VLOOKUP(B51, $BB$17:$BC$26, 2, FALSE)</f>
        <v>7.3000000000000001E-3</v>
      </c>
      <c r="AC51">
        <f>$BC$14</f>
        <v>4.5999999999999999E-3</v>
      </c>
      <c r="AD51">
        <f>$AU$5</f>
        <v>0.19</v>
      </c>
      <c r="AE51">
        <f>$AU$6</f>
        <v>0.6784</v>
      </c>
      <c r="AF51">
        <f>$AU$7</f>
        <v>0.16</v>
      </c>
      <c r="AG51">
        <f>SUM(S51:T90)</f>
        <v>206.47414632961309</v>
      </c>
      <c r="AH51">
        <f>$AU$8</f>
        <v>28</v>
      </c>
      <c r="AI51">
        <f>AG51 * AH51 * 10^-3</f>
        <v>5.7812760972291661</v>
      </c>
      <c r="AO51" t="s">
        <v>59</v>
      </c>
      <c r="AQ51" s="2" t="s">
        <v>54</v>
      </c>
      <c r="AR51" s="2">
        <v>250</v>
      </c>
      <c r="AS51" s="2">
        <v>800</v>
      </c>
      <c r="AT51" s="2">
        <v>220</v>
      </c>
      <c r="AU51" s="2">
        <v>400</v>
      </c>
      <c r="AV51">
        <v>500</v>
      </c>
      <c r="AW51">
        <v>500</v>
      </c>
      <c r="AX51">
        <v>230</v>
      </c>
      <c r="AY51">
        <v>420</v>
      </c>
      <c r="AZ51">
        <v>420</v>
      </c>
      <c r="BA51">
        <v>420</v>
      </c>
    </row>
    <row r="52" spans="1:53" x14ac:dyDescent="0.2">
      <c r="F52" t="s">
        <v>55</v>
      </c>
      <c r="G52">
        <v>110</v>
      </c>
      <c r="H52">
        <v>170</v>
      </c>
      <c r="I52">
        <v>1</v>
      </c>
      <c r="K52">
        <v>0</v>
      </c>
      <c r="L52">
        <f t="shared" si="5"/>
        <v>0</v>
      </c>
      <c r="N52">
        <v>1</v>
      </c>
      <c r="O52">
        <f t="shared" ref="O52:O66" si="8">(1.185 + 0.00454 * H52 - 0.0000026 * H52^2 + 0.315 * I52)^2 * N52</f>
        <v>4.8253151556000002</v>
      </c>
      <c r="P52">
        <f>(O52 * (1 -V$11) + (0.04 * O52)) * ( 1 - AF$11 )</f>
        <v>1.58077324497456</v>
      </c>
      <c r="Q52">
        <f t="shared" ref="Q52:Q90" si="9">P52 * AD$51 * Z$51 * AB$51 * AE$51</f>
        <v>7.4370702087247912E-5</v>
      </c>
      <c r="R52">
        <f>P52 * AD$11 * AA$11 * AC$11 * AE$11</f>
        <v>8.9041087156513257E-4</v>
      </c>
      <c r="S52">
        <f t="shared" ref="S52:S90" si="10">G52*Q52*91.25</f>
        <v>0.74649592220075089</v>
      </c>
      <c r="T52">
        <f t="shared" ref="T52:T90" si="11">G52*R52*91.25</f>
        <v>8.9374991233350194</v>
      </c>
      <c r="AQ52" s="2" t="s">
        <v>55</v>
      </c>
      <c r="AR52" s="2">
        <v>320</v>
      </c>
      <c r="AS52" s="2">
        <v>800</v>
      </c>
      <c r="AT52" s="2">
        <v>280</v>
      </c>
      <c r="AU52" s="2">
        <v>420</v>
      </c>
      <c r="AV52">
        <v>500</v>
      </c>
      <c r="AW52">
        <v>500</v>
      </c>
      <c r="AX52">
        <v>290</v>
      </c>
      <c r="AY52">
        <v>420</v>
      </c>
      <c r="AZ52">
        <v>420</v>
      </c>
      <c r="BA52">
        <v>420</v>
      </c>
    </row>
    <row r="53" spans="1:53" x14ac:dyDescent="0.2">
      <c r="F53" t="s">
        <v>56</v>
      </c>
      <c r="G53">
        <v>120</v>
      </c>
      <c r="H53">
        <v>240</v>
      </c>
      <c r="I53">
        <v>0.8</v>
      </c>
      <c r="L53">
        <f t="shared" si="5"/>
        <v>0</v>
      </c>
      <c r="N53">
        <v>1</v>
      </c>
      <c r="O53">
        <f t="shared" si="8"/>
        <v>5.6493683855999981</v>
      </c>
      <c r="P53">
        <f>(O53 * (1 -W$11) + (0.04 * O53)) * ( 1 - AF$11 )</f>
        <v>2.0880065553177594</v>
      </c>
      <c r="Q53">
        <f t="shared" si="9"/>
        <v>9.8234527928296858E-5</v>
      </c>
      <c r="R53">
        <f>P53 * AD$11 * AA$11 * AC$11 * AE$11</f>
        <v>1.1761229782100196E-3</v>
      </c>
      <c r="S53">
        <f t="shared" si="10"/>
        <v>1.0756680808148507</v>
      </c>
      <c r="T53">
        <f t="shared" si="11"/>
        <v>12.878546611399717</v>
      </c>
      <c r="AQ53" s="2" t="s">
        <v>56</v>
      </c>
      <c r="AR53" s="2">
        <v>80</v>
      </c>
      <c r="AS53" s="2">
        <v>700</v>
      </c>
      <c r="AT53" s="2">
        <v>70</v>
      </c>
      <c r="AU53" s="2">
        <v>300</v>
      </c>
      <c r="AV53">
        <v>450</v>
      </c>
      <c r="AW53">
        <v>450</v>
      </c>
      <c r="AX53">
        <v>75</v>
      </c>
      <c r="AY53">
        <v>400</v>
      </c>
      <c r="AZ53">
        <v>400</v>
      </c>
      <c r="BA53">
        <v>400</v>
      </c>
    </row>
    <row r="54" spans="1:53" x14ac:dyDescent="0.2">
      <c r="F54" t="s">
        <v>57</v>
      </c>
      <c r="G54">
        <v>130</v>
      </c>
      <c r="H54">
        <v>280</v>
      </c>
      <c r="I54">
        <v>0.4</v>
      </c>
      <c r="L54">
        <f t="shared" si="5"/>
        <v>0</v>
      </c>
      <c r="N54">
        <v>1</v>
      </c>
      <c r="O54">
        <f t="shared" si="8"/>
        <v>5.6565962895999995</v>
      </c>
      <c r="P54">
        <f>(O54 * (1 -X$11) + (0.04 * O54)) * ( 1 - AF$11 )</f>
        <v>2.5658320769625598</v>
      </c>
      <c r="Q54">
        <f t="shared" si="9"/>
        <v>1.2071480435814064E-4</v>
      </c>
      <c r="R54">
        <f>P54 * AD$11 * AA$11 * AC$11 * AE$11</f>
        <v>1.4452703973837659E-3</v>
      </c>
      <c r="S54">
        <f t="shared" si="10"/>
        <v>1.4319793666984433</v>
      </c>
      <c r="T54">
        <f t="shared" si="11"/>
        <v>17.144520088964921</v>
      </c>
      <c r="AQ54" s="2" t="s">
        <v>57</v>
      </c>
      <c r="AR54" s="2">
        <v>160</v>
      </c>
      <c r="AS54" s="2">
        <v>700</v>
      </c>
      <c r="AT54" s="2">
        <v>140</v>
      </c>
      <c r="AU54" s="2">
        <v>350</v>
      </c>
      <c r="AV54" s="2">
        <v>450</v>
      </c>
      <c r="AW54" s="2">
        <v>450</v>
      </c>
      <c r="AX54" s="2">
        <v>150</v>
      </c>
      <c r="AY54">
        <v>400</v>
      </c>
      <c r="AZ54">
        <v>400</v>
      </c>
      <c r="BA54">
        <v>400</v>
      </c>
    </row>
    <row r="55" spans="1:53" x14ac:dyDescent="0.2">
      <c r="E55" t="s">
        <v>43</v>
      </c>
      <c r="F55" t="s">
        <v>54</v>
      </c>
      <c r="H55" cm="1">
        <f t="array" ref="H55:H58">_xlfn.XLOOKUP(E55, $AR$46:$BA$46, $AR$47:$BA$50)</f>
        <v>480</v>
      </c>
      <c r="I55" cm="1">
        <f t="array" ref="I55:I58">_xlfn.XLOOKUP(E55, $AR$106:$BA$106, $AR$107:$BA$110)</f>
        <v>0.2</v>
      </c>
      <c r="L55">
        <f t="shared" si="5"/>
        <v>0</v>
      </c>
      <c r="N55">
        <v>1</v>
      </c>
      <c r="O55">
        <f t="shared" si="8"/>
        <v>7.9984889855999999</v>
      </c>
      <c r="P55">
        <f>(O55 * (1 -U$11) + (0.04 * O55)) * ( 1 - AF$11 )</f>
        <v>3.2921780664729599</v>
      </c>
      <c r="Q55">
        <f t="shared" si="9"/>
        <v>1.5488723318047602E-4</v>
      </c>
      <c r="R55">
        <f>P55 * AD$11 * AA$11 * AC$11 * AE$11</f>
        <v>1.8544033123251509E-3</v>
      </c>
      <c r="S55">
        <f t="shared" si="10"/>
        <v>0</v>
      </c>
      <c r="T55">
        <f t="shared" si="11"/>
        <v>0</v>
      </c>
      <c r="AO55" t="s">
        <v>69</v>
      </c>
      <c r="AQ55" s="2" t="s">
        <v>54</v>
      </c>
      <c r="AR55" s="2">
        <v>105</v>
      </c>
      <c r="AS55" s="2">
        <v>700</v>
      </c>
      <c r="AT55" s="2">
        <v>85</v>
      </c>
      <c r="AU55" s="2">
        <v>300</v>
      </c>
      <c r="AV55">
        <v>490</v>
      </c>
      <c r="AW55">
        <v>490</v>
      </c>
      <c r="AX55">
        <v>90</v>
      </c>
      <c r="AY55">
        <v>480</v>
      </c>
      <c r="AZ55">
        <v>480</v>
      </c>
      <c r="BA55">
        <v>480</v>
      </c>
    </row>
    <row r="56" spans="1:53" x14ac:dyDescent="0.2">
      <c r="F56" t="s">
        <v>55</v>
      </c>
      <c r="H56">
        <v>520</v>
      </c>
      <c r="I56">
        <v>0.4</v>
      </c>
      <c r="L56">
        <f t="shared" si="5"/>
        <v>0</v>
      </c>
      <c r="N56">
        <v>1</v>
      </c>
      <c r="O56">
        <f t="shared" si="8"/>
        <v>8.8135359375999975</v>
      </c>
      <c r="P56">
        <f>(O56 * (1 -V$11) + (0.04 * O56)) * ( 1 - AF$11 )</f>
        <v>2.8873143731577593</v>
      </c>
      <c r="Q56">
        <f t="shared" si="9"/>
        <v>1.3583959480652805E-4</v>
      </c>
      <c r="R56">
        <f>P56 * AD$11 * AA$11 * AC$11 * AE$11</f>
        <v>1.626353504943911E-3</v>
      </c>
      <c r="S56">
        <f t="shared" si="10"/>
        <v>0</v>
      </c>
      <c r="T56">
        <f t="shared" si="11"/>
        <v>0</v>
      </c>
      <c r="AQ56" s="2" t="s">
        <v>55</v>
      </c>
      <c r="AR56" s="2">
        <v>480</v>
      </c>
      <c r="AS56" s="2">
        <v>750</v>
      </c>
      <c r="AT56" s="2">
        <v>150</v>
      </c>
      <c r="AU56" s="2">
        <v>350</v>
      </c>
      <c r="AV56">
        <v>530</v>
      </c>
      <c r="AW56">
        <v>530</v>
      </c>
      <c r="AX56">
        <v>160</v>
      </c>
      <c r="AY56">
        <v>460</v>
      </c>
      <c r="AZ56">
        <v>460</v>
      </c>
      <c r="BA56">
        <v>460</v>
      </c>
    </row>
    <row r="57" spans="1:53" x14ac:dyDescent="0.2">
      <c r="F57" t="s">
        <v>56</v>
      </c>
      <c r="H57">
        <v>550</v>
      </c>
      <c r="I57">
        <v>0.3</v>
      </c>
      <c r="L57">
        <f t="shared" si="5"/>
        <v>0</v>
      </c>
      <c r="N57">
        <v>1</v>
      </c>
      <c r="O57">
        <f t="shared" si="8"/>
        <v>8.940100000000001</v>
      </c>
      <c r="P57">
        <f>(O57 * (1 -W$11) + (0.04 * O57)) * ( 1 - AF$11 )</f>
        <v>3.3042609600000006</v>
      </c>
      <c r="Q57">
        <f t="shared" si="9"/>
        <v>1.5545569755555841E-4</v>
      </c>
      <c r="R57">
        <f>P57 * AD$11 * AA$11 * AC$11 * AE$11</f>
        <v>1.8612093104596994E-3</v>
      </c>
      <c r="S57">
        <f t="shared" si="10"/>
        <v>0</v>
      </c>
      <c r="T57">
        <f t="shared" si="11"/>
        <v>0</v>
      </c>
      <c r="AQ57" s="2" t="s">
        <v>56</v>
      </c>
      <c r="AR57" s="2">
        <v>250</v>
      </c>
      <c r="AS57" s="2">
        <v>725</v>
      </c>
      <c r="AT57" s="2">
        <v>200</v>
      </c>
      <c r="AU57" s="2">
        <v>360</v>
      </c>
      <c r="AV57" s="2">
        <v>500</v>
      </c>
      <c r="AW57" s="2">
        <v>500</v>
      </c>
      <c r="AX57">
        <v>215</v>
      </c>
      <c r="AY57">
        <v>490</v>
      </c>
      <c r="AZ57">
        <v>490</v>
      </c>
      <c r="BA57">
        <v>490</v>
      </c>
    </row>
    <row r="58" spans="1:53" x14ac:dyDescent="0.2">
      <c r="F58" t="s">
        <v>57</v>
      </c>
      <c r="H58">
        <v>560</v>
      </c>
      <c r="I58">
        <v>0.1</v>
      </c>
      <c r="L58">
        <f t="shared" si="5"/>
        <v>0</v>
      </c>
      <c r="N58">
        <v>1</v>
      </c>
      <c r="O58">
        <f t="shared" si="8"/>
        <v>8.6644277315999982</v>
      </c>
      <c r="P58">
        <f>(O58 * (1 -X$11) + (0.04 * O58)) * ( 1 - AF$11 )</f>
        <v>3.9301844190537589</v>
      </c>
      <c r="Q58">
        <f t="shared" si="9"/>
        <v>1.8490354357059897E-4</v>
      </c>
      <c r="R58">
        <f>P58 * AD$11 * AA$11 * AC$11 * AE$11</f>
        <v>2.2137766723384039E-3</v>
      </c>
      <c r="S58">
        <f t="shared" si="10"/>
        <v>0</v>
      </c>
      <c r="T58">
        <f t="shared" si="11"/>
        <v>0</v>
      </c>
      <c r="AQ58" s="2" t="s">
        <v>57</v>
      </c>
      <c r="AR58" s="2">
        <v>260</v>
      </c>
      <c r="AS58" s="2">
        <v>700</v>
      </c>
      <c r="AT58" s="2">
        <v>210</v>
      </c>
      <c r="AU58" s="2">
        <v>380</v>
      </c>
      <c r="AV58" s="2">
        <v>460</v>
      </c>
      <c r="AW58" s="2">
        <v>460</v>
      </c>
      <c r="AX58" s="2">
        <v>230</v>
      </c>
      <c r="AY58">
        <v>470</v>
      </c>
      <c r="AZ58">
        <v>470</v>
      </c>
      <c r="BA58">
        <v>470</v>
      </c>
    </row>
    <row r="59" spans="1:53" x14ac:dyDescent="0.2">
      <c r="E59" t="s">
        <v>44</v>
      </c>
      <c r="F59" t="s">
        <v>54</v>
      </c>
      <c r="H59" cm="1">
        <f t="array" ref="H59:H62">_xlfn.XLOOKUP(E59, $AR$46:$BA$46, $AR$47:$BA$50)</f>
        <v>75</v>
      </c>
      <c r="I59" cm="1">
        <f t="array" ref="I59:I62">_xlfn.XLOOKUP(E59, $AR$106:$BA$106, $AR$107:$BA$110)</f>
        <v>0.5</v>
      </c>
      <c r="L59">
        <f t="shared" si="5"/>
        <v>0</v>
      </c>
      <c r="N59">
        <v>1</v>
      </c>
      <c r="O59">
        <f t="shared" si="8"/>
        <v>2.7834751406249998</v>
      </c>
      <c r="P59">
        <f>(O59 * (1 -U$11) + (0.04 * O59)) * ( 1 - AF$11 )</f>
        <v>1.1456783678812499</v>
      </c>
      <c r="Q59">
        <f t="shared" si="9"/>
        <v>5.390077600084388E-5</v>
      </c>
      <c r="R59">
        <f>P59 * AD$11 * AA$11 * AC$11 * AE$11</f>
        <v>6.4533257842106233E-4</v>
      </c>
      <c r="S59">
        <f t="shared" si="10"/>
        <v>0</v>
      </c>
      <c r="T59">
        <f t="shared" si="11"/>
        <v>0</v>
      </c>
      <c r="AO59" t="s">
        <v>70</v>
      </c>
      <c r="AQ59" s="2" t="s">
        <v>54</v>
      </c>
      <c r="AR59" s="2">
        <v>250</v>
      </c>
      <c r="AS59" s="2">
        <v>820</v>
      </c>
      <c r="AT59" s="2">
        <v>240</v>
      </c>
      <c r="AU59" s="2">
        <v>410</v>
      </c>
      <c r="AV59">
        <v>560</v>
      </c>
      <c r="AW59">
        <v>560</v>
      </c>
      <c r="AX59">
        <v>240</v>
      </c>
      <c r="AY59">
        <v>510</v>
      </c>
      <c r="AZ59">
        <v>510</v>
      </c>
      <c r="BA59">
        <v>510</v>
      </c>
    </row>
    <row r="60" spans="1:53" x14ac:dyDescent="0.2">
      <c r="F60" t="s">
        <v>55</v>
      </c>
      <c r="H60">
        <v>160</v>
      </c>
      <c r="I60">
        <v>0.9</v>
      </c>
      <c r="L60">
        <f t="shared" si="5"/>
        <v>0</v>
      </c>
      <c r="N60">
        <v>1</v>
      </c>
      <c r="O60">
        <f t="shared" si="8"/>
        <v>4.5298311556000002</v>
      </c>
      <c r="P60">
        <f>(O60 * (1 -V$11) + (0.04 * O60)) * ( 1 - AF$11 )</f>
        <v>1.4839726865745599</v>
      </c>
      <c r="Q60">
        <f t="shared" si="9"/>
        <v>6.9816522344180778E-5</v>
      </c>
      <c r="R60">
        <f>P60 * AD$11 * AA$11 * AC$11 * AE$11</f>
        <v>8.3588548669608228E-4</v>
      </c>
      <c r="S60">
        <f t="shared" si="10"/>
        <v>0</v>
      </c>
      <c r="T60">
        <f t="shared" si="11"/>
        <v>0</v>
      </c>
      <c r="AQ60" s="2" t="s">
        <v>55</v>
      </c>
      <c r="AR60" s="2">
        <v>280</v>
      </c>
      <c r="AS60" s="2">
        <v>850</v>
      </c>
      <c r="AT60" s="2">
        <v>260</v>
      </c>
      <c r="AU60" s="2">
        <v>440</v>
      </c>
      <c r="AV60">
        <v>550</v>
      </c>
      <c r="AW60">
        <v>550</v>
      </c>
      <c r="AX60">
        <v>270</v>
      </c>
      <c r="AY60">
        <v>520</v>
      </c>
      <c r="AZ60">
        <v>520</v>
      </c>
      <c r="BA60">
        <v>520</v>
      </c>
    </row>
    <row r="61" spans="1:53" x14ac:dyDescent="0.2">
      <c r="F61" t="s">
        <v>56</v>
      </c>
      <c r="H61">
        <v>220</v>
      </c>
      <c r="I61">
        <v>0.7</v>
      </c>
      <c r="L61">
        <f t="shared" si="5"/>
        <v>0</v>
      </c>
      <c r="N61">
        <v>1</v>
      </c>
      <c r="O61">
        <f t="shared" si="8"/>
        <v>5.1913799715999973</v>
      </c>
      <c r="P61">
        <f>(O61 * (1 -W$11) + (0.04 * O61)) * ( 1 - AF$11 )</f>
        <v>1.918734037503359</v>
      </c>
      <c r="Q61">
        <f t="shared" si="9"/>
        <v>9.0270757011782037E-5</v>
      </c>
      <c r="R61">
        <f>P61 * AD$11 * AA$11 * AC$11 * AE$11</f>
        <v>1.0807759127164039E-3</v>
      </c>
      <c r="S61">
        <f t="shared" si="10"/>
        <v>0</v>
      </c>
      <c r="T61">
        <f t="shared" si="11"/>
        <v>0</v>
      </c>
      <c r="AQ61" s="2" t="s">
        <v>56</v>
      </c>
      <c r="AR61" s="2">
        <v>100</v>
      </c>
      <c r="AS61" s="2">
        <v>700</v>
      </c>
      <c r="AT61" s="2">
        <v>95</v>
      </c>
      <c r="AU61" s="2">
        <v>300</v>
      </c>
      <c r="AV61">
        <v>450</v>
      </c>
      <c r="AW61">
        <v>450</v>
      </c>
      <c r="AX61">
        <v>95</v>
      </c>
      <c r="AY61">
        <v>410</v>
      </c>
      <c r="AZ61">
        <v>410</v>
      </c>
      <c r="BA61">
        <v>410</v>
      </c>
    </row>
    <row r="62" spans="1:53" x14ac:dyDescent="0.2">
      <c r="F62" t="s">
        <v>57</v>
      </c>
      <c r="H62">
        <v>260</v>
      </c>
      <c r="I62">
        <v>0.4</v>
      </c>
      <c r="L62">
        <f t="shared" si="5"/>
        <v>0</v>
      </c>
      <c r="N62">
        <v>1</v>
      </c>
      <c r="O62">
        <f t="shared" si="8"/>
        <v>5.3621886096000004</v>
      </c>
      <c r="P62">
        <f>(O62 * (1 -X$11) + (0.04 * O62)) * ( 1 - AF$11 )</f>
        <v>2.4322887533145603</v>
      </c>
      <c r="Q62">
        <f t="shared" si="9"/>
        <v>1.1443198626874025E-4</v>
      </c>
      <c r="R62">
        <f>P62 * AD$11 * AA$11 * AC$11 * AE$11</f>
        <v>1.3700487123134107E-3</v>
      </c>
      <c r="S62">
        <f t="shared" si="10"/>
        <v>0</v>
      </c>
      <c r="T62">
        <f t="shared" si="11"/>
        <v>0</v>
      </c>
      <c r="AQ62" s="2" t="s">
        <v>57</v>
      </c>
      <c r="AR62" s="2">
        <v>150</v>
      </c>
      <c r="AS62" s="2">
        <v>720</v>
      </c>
      <c r="AT62" s="2">
        <v>140</v>
      </c>
      <c r="AU62" s="2">
        <v>320</v>
      </c>
      <c r="AV62" s="2">
        <v>470</v>
      </c>
      <c r="AW62" s="2">
        <v>470</v>
      </c>
      <c r="AX62">
        <v>140</v>
      </c>
      <c r="AY62">
        <v>440</v>
      </c>
      <c r="AZ62">
        <v>440</v>
      </c>
      <c r="BA62">
        <v>440</v>
      </c>
    </row>
    <row r="63" spans="1:53" x14ac:dyDescent="0.2">
      <c r="E63" t="s">
        <v>45</v>
      </c>
      <c r="F63" t="s">
        <v>54</v>
      </c>
      <c r="H63" cm="1">
        <f t="array" ref="H63:H66">_xlfn.XLOOKUP(E63, $AR$46:$BA$46, $AR$47:$BA$50)</f>
        <v>300</v>
      </c>
      <c r="I63" cm="1">
        <f t="array" ref="I63:I66">_xlfn.XLOOKUP(E63, $AR$106:$BA$106, $AR$107:$BA$110)</f>
        <v>0.4</v>
      </c>
      <c r="L63">
        <f t="shared" si="5"/>
        <v>0</v>
      </c>
      <c r="N63">
        <v>1</v>
      </c>
      <c r="O63">
        <f t="shared" si="8"/>
        <v>5.9487209999999981</v>
      </c>
      <c r="P63">
        <f>(O63 * (1 -U$11) + (0.04 * O63)) * ( 1 - AF$11 )</f>
        <v>2.4484935635999991</v>
      </c>
      <c r="Q63">
        <f t="shared" si="9"/>
        <v>1.1519437462643171E-4</v>
      </c>
      <c r="R63">
        <f>P63 * AD$11 * AA$11 * AC$11 * AE$11</f>
        <v>1.3791764852534424E-3</v>
      </c>
      <c r="S63">
        <f t="shared" si="10"/>
        <v>0</v>
      </c>
      <c r="T63">
        <f t="shared" si="11"/>
        <v>0</v>
      </c>
      <c r="AO63" t="s">
        <v>65</v>
      </c>
      <c r="AP63" t="s">
        <v>62</v>
      </c>
      <c r="AQ63" s="2" t="s">
        <v>54</v>
      </c>
      <c r="AR63" s="2">
        <v>340</v>
      </c>
      <c r="AS63" s="2">
        <v>800</v>
      </c>
      <c r="AT63" s="2">
        <v>260</v>
      </c>
      <c r="AU63" s="2">
        <v>420</v>
      </c>
      <c r="AV63" s="2">
        <v>550</v>
      </c>
      <c r="AW63" s="2">
        <v>550</v>
      </c>
      <c r="AX63">
        <v>300</v>
      </c>
      <c r="AY63">
        <v>480</v>
      </c>
      <c r="AZ63">
        <v>480</v>
      </c>
      <c r="BA63">
        <v>480</v>
      </c>
    </row>
    <row r="64" spans="1:53" x14ac:dyDescent="0.2">
      <c r="F64" t="s">
        <v>55</v>
      </c>
      <c r="H64">
        <v>360</v>
      </c>
      <c r="I64">
        <v>0.7</v>
      </c>
      <c r="L64">
        <f t="shared" si="5"/>
        <v>0</v>
      </c>
      <c r="N64">
        <v>1</v>
      </c>
      <c r="O64">
        <f t="shared" si="8"/>
        <v>7.3058846435999998</v>
      </c>
      <c r="P64">
        <f>(O64 * (1 -V$11) + (0.04 * O64)) * ( 1 - AF$11 )</f>
        <v>2.3934078092433602</v>
      </c>
      <c r="Q64">
        <f t="shared" si="9"/>
        <v>1.1260275293778476E-4</v>
      </c>
      <c r="R64">
        <f>P64 * AD$11 * AA$11 * AC$11 * AE$11</f>
        <v>1.3481480283236143E-3</v>
      </c>
      <c r="S64">
        <f t="shared" si="10"/>
        <v>0</v>
      </c>
      <c r="T64">
        <f t="shared" si="11"/>
        <v>0</v>
      </c>
      <c r="AQ64" s="2" t="s">
        <v>55</v>
      </c>
      <c r="AR64" s="2">
        <v>380</v>
      </c>
      <c r="AS64" s="2">
        <v>780</v>
      </c>
      <c r="AT64" s="2">
        <v>300</v>
      </c>
      <c r="AU64" s="2">
        <v>450</v>
      </c>
      <c r="AV64" s="2">
        <v>530</v>
      </c>
      <c r="AW64" s="2">
        <v>530</v>
      </c>
      <c r="AX64" s="2">
        <v>340</v>
      </c>
      <c r="AY64">
        <v>470</v>
      </c>
      <c r="AZ64">
        <v>470</v>
      </c>
      <c r="BA64">
        <v>470</v>
      </c>
    </row>
    <row r="65" spans="5:53" x14ac:dyDescent="0.2">
      <c r="F65" t="s">
        <v>56</v>
      </c>
      <c r="H65">
        <v>390</v>
      </c>
      <c r="I65">
        <v>0.3</v>
      </c>
      <c r="L65">
        <f t="shared" si="5"/>
        <v>0</v>
      </c>
      <c r="N65">
        <v>1</v>
      </c>
      <c r="O65">
        <f t="shared" si="8"/>
        <v>7.0471135296000007</v>
      </c>
      <c r="P65">
        <f>(O65 * (1 -W$11) + (0.04 * O65)) * ( 1 - AF$11 )</f>
        <v>2.6046131605401603</v>
      </c>
      <c r="Q65">
        <f t="shared" si="9"/>
        <v>1.2253933954845938E-4</v>
      </c>
      <c r="R65">
        <f>P65 * AD$11 * AA$11 * AC$11 * AE$11</f>
        <v>1.4671148324021022E-3</v>
      </c>
      <c r="S65">
        <f t="shared" si="10"/>
        <v>0</v>
      </c>
      <c r="T65">
        <f t="shared" si="11"/>
        <v>0</v>
      </c>
      <c r="AQ65" s="2" t="s">
        <v>56</v>
      </c>
      <c r="AR65" s="2">
        <v>100</v>
      </c>
      <c r="AS65" s="2">
        <v>680</v>
      </c>
      <c r="AT65" s="2">
        <v>80</v>
      </c>
      <c r="AU65" s="2">
        <v>320</v>
      </c>
      <c r="AV65" s="2">
        <v>480</v>
      </c>
      <c r="AW65" s="2">
        <v>480</v>
      </c>
      <c r="AX65">
        <v>100</v>
      </c>
      <c r="AY65">
        <v>340</v>
      </c>
      <c r="AZ65">
        <v>340</v>
      </c>
      <c r="BA65">
        <v>340</v>
      </c>
    </row>
    <row r="66" spans="5:53" x14ac:dyDescent="0.2">
      <c r="F66" t="s">
        <v>57</v>
      </c>
      <c r="H66">
        <v>410</v>
      </c>
      <c r="I66">
        <v>0.2</v>
      </c>
      <c r="L66">
        <f t="shared" si="5"/>
        <v>0</v>
      </c>
      <c r="N66">
        <v>1</v>
      </c>
      <c r="O66">
        <f t="shared" si="8"/>
        <v>7.1414010756000028</v>
      </c>
      <c r="P66">
        <f>(O66 * (1 -X$11) + (0.04 * O66)) * ( 1 - AF$11 )</f>
        <v>3.2393395278921613</v>
      </c>
      <c r="Q66">
        <f t="shared" si="9"/>
        <v>1.5240133634232363E-4</v>
      </c>
      <c r="R66">
        <f>P66 * AD$11 * AA$11 * AC$11 * AE$11</f>
        <v>1.8246406570300113E-3</v>
      </c>
      <c r="S66">
        <f t="shared" si="10"/>
        <v>0</v>
      </c>
      <c r="T66">
        <f t="shared" si="11"/>
        <v>0</v>
      </c>
      <c r="AQ66" s="2" t="s">
        <v>57</v>
      </c>
      <c r="AR66" s="2">
        <v>190</v>
      </c>
      <c r="AS66" s="2">
        <v>700</v>
      </c>
      <c r="AT66" s="2">
        <v>150</v>
      </c>
      <c r="AU66" s="2">
        <v>330</v>
      </c>
      <c r="AV66" s="2">
        <v>490</v>
      </c>
      <c r="AW66" s="2">
        <v>490</v>
      </c>
      <c r="AX66">
        <v>170</v>
      </c>
      <c r="AY66">
        <v>360</v>
      </c>
      <c r="AZ66">
        <v>360</v>
      </c>
      <c r="BA66">
        <v>360</v>
      </c>
    </row>
    <row r="67" spans="5:53" x14ac:dyDescent="0.2">
      <c r="E67" t="s">
        <v>46</v>
      </c>
      <c r="F67" t="s">
        <v>54</v>
      </c>
      <c r="G67">
        <v>100</v>
      </c>
      <c r="H67" cm="1">
        <f t="array" ref="H67:H70">_xlfn.XLOOKUP(E67, $AR$46:$BA$46, $AR$47:$BA$50)</f>
        <v>440</v>
      </c>
      <c r="I67" cm="1">
        <f t="array" ref="I67:I70">_xlfn.XLOOKUP(E67, $AR$106:$BA$106, $AR$107:$BA$110)</f>
        <v>0.3</v>
      </c>
      <c r="J67">
        <v>1</v>
      </c>
      <c r="L67">
        <f t="shared" si="5"/>
        <v>1</v>
      </c>
      <c r="M67">
        <f>1+(0.3*J67)+(0.1*K67)</f>
        <v>1.3</v>
      </c>
      <c r="N67">
        <f>(L67*M67)+(1 - L67)</f>
        <v>1.3</v>
      </c>
      <c r="O67">
        <f>(1.185 + 0.00454 * H67 - 0.0000026 * H67^2 + 0.315 * I67)^2 * N67</f>
        <v>10.001723663880002</v>
      </c>
      <c r="P67">
        <f>(O67 * (1 -U$11) + (0.04 * O67)) * ( 1 - AF$11 )</f>
        <v>4.1167094600530074</v>
      </c>
      <c r="Q67">
        <f t="shared" si="9"/>
        <v>1.9367899463549227E-4</v>
      </c>
      <c r="R67">
        <f>P67 * AD$11 * AA$11 * AC$11 * AE$11</f>
        <v>2.3188416618002772E-3</v>
      </c>
      <c r="S67">
        <f t="shared" si="10"/>
        <v>1.7673208260488671</v>
      </c>
      <c r="T67">
        <f t="shared" si="11"/>
        <v>21.159430163927528</v>
      </c>
      <c r="AO67" t="s">
        <v>65</v>
      </c>
      <c r="AP67" t="s">
        <v>63</v>
      </c>
      <c r="AQ67" s="2" t="s">
        <v>54</v>
      </c>
      <c r="AR67" s="2">
        <v>80</v>
      </c>
      <c r="AS67" s="2">
        <v>450</v>
      </c>
      <c r="AT67" s="2">
        <v>70</v>
      </c>
      <c r="AU67" s="2">
        <v>260</v>
      </c>
      <c r="AV67" s="2">
        <v>340</v>
      </c>
      <c r="AW67" s="2">
        <v>340</v>
      </c>
      <c r="AX67" s="2">
        <v>80</v>
      </c>
      <c r="AY67">
        <v>370</v>
      </c>
      <c r="AZ67">
        <v>370</v>
      </c>
      <c r="BA67">
        <v>370</v>
      </c>
    </row>
    <row r="68" spans="5:53" x14ac:dyDescent="0.2">
      <c r="F68" t="s">
        <v>55</v>
      </c>
      <c r="G68">
        <v>110</v>
      </c>
      <c r="H68">
        <v>470</v>
      </c>
      <c r="I68">
        <v>0.3</v>
      </c>
      <c r="J68">
        <v>0</v>
      </c>
      <c r="K68">
        <v>1</v>
      </c>
      <c r="L68">
        <f t="shared" si="5"/>
        <v>1</v>
      </c>
      <c r="M68">
        <f t="shared" ref="M68:M74" si="12">1+(0.3*J68)+(0.1*K68)</f>
        <v>1.1000000000000001</v>
      </c>
      <c r="N68">
        <f t="shared" ref="N68:N74" si="13">(L68*M68)+(1 - L68)</f>
        <v>1.1000000000000001</v>
      </c>
      <c r="O68">
        <f t="shared" ref="O68:O90" si="14">(1.185 + 0.00454 * H68 - 0.0000026 * H68^2 + 0.315 * I68)^2 * N68</f>
        <v>8.8656632697600024</v>
      </c>
      <c r="P68">
        <f>(O68 * (1 -V$11) + (0.04 * O68)) * ( 1 - AF$11 )</f>
        <v>2.9043912871733766</v>
      </c>
      <c r="Q68">
        <f t="shared" si="9"/>
        <v>1.3664301306329734E-4</v>
      </c>
      <c r="R68">
        <f>P68 * AD$11 * AA$11 * AC$11 * AE$11</f>
        <v>1.6359725125660528E-3</v>
      </c>
      <c r="S68">
        <f t="shared" si="10"/>
        <v>1.3715542436228472</v>
      </c>
      <c r="T68">
        <f t="shared" si="11"/>
        <v>16.421074094881757</v>
      </c>
      <c r="AQ68" s="2" t="s">
        <v>55</v>
      </c>
      <c r="AR68" s="2">
        <v>150</v>
      </c>
      <c r="AS68" s="2">
        <v>500</v>
      </c>
      <c r="AT68" s="2">
        <v>140</v>
      </c>
      <c r="AU68" s="2">
        <v>310</v>
      </c>
      <c r="AV68" s="2">
        <v>360</v>
      </c>
      <c r="AW68" s="2">
        <v>360</v>
      </c>
      <c r="AX68" s="2">
        <v>150</v>
      </c>
      <c r="AY68">
        <v>400</v>
      </c>
      <c r="AZ68">
        <v>400</v>
      </c>
      <c r="BA68">
        <v>400</v>
      </c>
    </row>
    <row r="69" spans="5:53" x14ac:dyDescent="0.2">
      <c r="F69" t="s">
        <v>56</v>
      </c>
      <c r="G69">
        <v>120</v>
      </c>
      <c r="H69">
        <v>490</v>
      </c>
      <c r="I69">
        <v>0.2</v>
      </c>
      <c r="J69">
        <v>0</v>
      </c>
      <c r="K69">
        <v>0</v>
      </c>
      <c r="L69">
        <f t="shared" si="5"/>
        <v>0</v>
      </c>
      <c r="M69">
        <f t="shared" si="12"/>
        <v>1</v>
      </c>
      <c r="N69">
        <f t="shared" si="13"/>
        <v>1</v>
      </c>
      <c r="O69">
        <f t="shared" si="14"/>
        <v>8.1130407556000002</v>
      </c>
      <c r="P69">
        <f>(O69 * (1 -W$11) + (0.04 * O69)) * ( 1 - AF$11 )</f>
        <v>2.99857986326976</v>
      </c>
      <c r="Q69">
        <f t="shared" si="9"/>
        <v>1.4107430677044692E-4</v>
      </c>
      <c r="R69">
        <f>P69 * AD$11 * AA$11 * AC$11 * AE$11</f>
        <v>1.6890266317448027E-3</v>
      </c>
      <c r="S69">
        <f t="shared" si="10"/>
        <v>1.5447636591363938</v>
      </c>
      <c r="T69">
        <f t="shared" si="11"/>
        <v>18.494841617605591</v>
      </c>
      <c r="AQ69" s="2" t="s">
        <v>56</v>
      </c>
      <c r="AR69" s="2">
        <v>230</v>
      </c>
      <c r="AS69" s="2">
        <v>550</v>
      </c>
      <c r="AT69" s="2">
        <v>220</v>
      </c>
      <c r="AU69" s="2">
        <v>330</v>
      </c>
      <c r="AV69" s="2">
        <v>380</v>
      </c>
      <c r="AW69" s="2">
        <v>380</v>
      </c>
      <c r="AX69" s="2">
        <v>230</v>
      </c>
      <c r="AY69">
        <v>420</v>
      </c>
      <c r="AZ69">
        <v>420</v>
      </c>
      <c r="BA69">
        <v>420</v>
      </c>
    </row>
    <row r="70" spans="5:53" x14ac:dyDescent="0.2">
      <c r="F70" t="s">
        <v>57</v>
      </c>
      <c r="G70">
        <v>130</v>
      </c>
      <c r="H70">
        <v>500</v>
      </c>
      <c r="I70">
        <v>0.1</v>
      </c>
      <c r="J70">
        <v>0</v>
      </c>
      <c r="K70">
        <v>0</v>
      </c>
      <c r="L70">
        <f t="shared" si="5"/>
        <v>0</v>
      </c>
      <c r="M70">
        <f t="shared" si="12"/>
        <v>1</v>
      </c>
      <c r="N70">
        <f t="shared" si="13"/>
        <v>1</v>
      </c>
      <c r="O70">
        <f t="shared" si="14"/>
        <v>8.0457322500000004</v>
      </c>
      <c r="P70">
        <f>(O70 * (1 -X$11) + (0.04 * O70)) * ( 1 - AF$11 )</f>
        <v>3.6495441486</v>
      </c>
      <c r="Q70">
        <f t="shared" si="9"/>
        <v>1.7170024954095013E-4</v>
      </c>
      <c r="R70">
        <f>P70 * AD$11 * AA$11 * AC$11 * AE$11</f>
        <v>2.0556988780656223E-3</v>
      </c>
      <c r="S70">
        <f t="shared" si="10"/>
        <v>2.0367942101795209</v>
      </c>
      <c r="T70">
        <f t="shared" si="11"/>
        <v>24.385727941053442</v>
      </c>
      <c r="AQ70" s="2" t="s">
        <v>57</v>
      </c>
      <c r="AR70" s="2">
        <v>250</v>
      </c>
      <c r="AS70" s="2">
        <v>500</v>
      </c>
      <c r="AT70" s="2">
        <v>240</v>
      </c>
      <c r="AU70" s="2">
        <v>340</v>
      </c>
      <c r="AV70" s="2">
        <v>360</v>
      </c>
      <c r="AW70" s="2">
        <v>360</v>
      </c>
      <c r="AX70" s="2">
        <v>250</v>
      </c>
      <c r="AY70">
        <v>390</v>
      </c>
      <c r="AZ70">
        <v>390</v>
      </c>
      <c r="BA70">
        <v>390</v>
      </c>
    </row>
    <row r="71" spans="5:53" x14ac:dyDescent="0.2">
      <c r="E71" t="s">
        <v>47</v>
      </c>
      <c r="F71" t="s">
        <v>54</v>
      </c>
      <c r="H71" cm="1">
        <f t="array" ref="H71:H74">_xlfn.XLOOKUP(E71, $AR$46:$BA$46, $AR$47:$BA$50)</f>
        <v>440</v>
      </c>
      <c r="I71" cm="1">
        <f t="array" ref="I71:I74">_xlfn.XLOOKUP(E71, $AR$106:$BA$106, $AR$107:$BA$110)</f>
        <v>0.3</v>
      </c>
      <c r="J71">
        <v>1</v>
      </c>
      <c r="K71">
        <v>0</v>
      </c>
      <c r="L71">
        <f t="shared" si="5"/>
        <v>1</v>
      </c>
      <c r="M71">
        <f t="shared" si="12"/>
        <v>1.3</v>
      </c>
      <c r="N71">
        <f t="shared" si="13"/>
        <v>1.3</v>
      </c>
      <c r="O71">
        <f t="shared" si="14"/>
        <v>10.001723663880002</v>
      </c>
      <c r="P71">
        <f>(O71 * (1 -U$11) + (0.04 * O71)) * ( 1 - AF$11 )</f>
        <v>4.1167094600530074</v>
      </c>
      <c r="Q71">
        <f t="shared" si="9"/>
        <v>1.9367899463549227E-4</v>
      </c>
      <c r="R71">
        <f>P71 * AD$11 * AA$11 * AC$11 * AE$11</f>
        <v>2.3188416618002772E-3</v>
      </c>
      <c r="S71">
        <f t="shared" si="10"/>
        <v>0</v>
      </c>
      <c r="T71">
        <f t="shared" si="11"/>
        <v>0</v>
      </c>
      <c r="AO71" t="s">
        <v>65</v>
      </c>
      <c r="AP71" t="s">
        <v>71</v>
      </c>
      <c r="AQ71" s="2" t="s">
        <v>54</v>
      </c>
      <c r="AR71" s="2">
        <v>220</v>
      </c>
      <c r="AS71" s="2">
        <v>500</v>
      </c>
      <c r="AT71" s="2">
        <v>180</v>
      </c>
      <c r="AU71" s="2">
        <v>300</v>
      </c>
      <c r="AV71" s="2">
        <v>320</v>
      </c>
      <c r="AW71" s="2">
        <v>320</v>
      </c>
      <c r="AX71" s="2">
        <v>210</v>
      </c>
      <c r="AY71" s="2">
        <v>340</v>
      </c>
      <c r="AZ71" s="2">
        <v>340</v>
      </c>
      <c r="BA71" s="2">
        <v>340</v>
      </c>
    </row>
    <row r="72" spans="5:53" x14ac:dyDescent="0.2">
      <c r="F72" t="s">
        <v>55</v>
      </c>
      <c r="H72">
        <v>470</v>
      </c>
      <c r="I72">
        <v>0.3</v>
      </c>
      <c r="J72">
        <v>0</v>
      </c>
      <c r="K72">
        <v>1</v>
      </c>
      <c r="L72">
        <f t="shared" si="5"/>
        <v>1</v>
      </c>
      <c r="M72">
        <f t="shared" si="12"/>
        <v>1.1000000000000001</v>
      </c>
      <c r="N72">
        <f t="shared" si="13"/>
        <v>1.1000000000000001</v>
      </c>
      <c r="O72">
        <f t="shared" si="14"/>
        <v>8.8656632697600024</v>
      </c>
      <c r="P72">
        <f>(O72 * (1 -V$11) + (0.04 * O72)) * ( 1 - AF$11 )</f>
        <v>2.9043912871733766</v>
      </c>
      <c r="Q72">
        <f t="shared" si="9"/>
        <v>1.3664301306329734E-4</v>
      </c>
      <c r="R72">
        <f>P72 * AD$11 * AA$11 * AC$11 * AE$11</f>
        <v>1.6359725125660528E-3</v>
      </c>
      <c r="S72">
        <f t="shared" si="10"/>
        <v>0</v>
      </c>
      <c r="T72">
        <f t="shared" si="11"/>
        <v>0</v>
      </c>
      <c r="AQ72" s="2" t="s">
        <v>55</v>
      </c>
      <c r="AR72" s="2">
        <v>110</v>
      </c>
      <c r="AS72" s="2">
        <v>550</v>
      </c>
      <c r="AT72" s="2">
        <v>90</v>
      </c>
      <c r="AU72" s="2">
        <v>220</v>
      </c>
      <c r="AV72" s="2">
        <v>380</v>
      </c>
      <c r="AW72" s="2">
        <v>380</v>
      </c>
      <c r="AX72" s="2">
        <v>100</v>
      </c>
      <c r="AY72" s="2">
        <v>390</v>
      </c>
      <c r="AZ72" s="2">
        <v>390</v>
      </c>
      <c r="BA72" s="2">
        <v>390</v>
      </c>
    </row>
    <row r="73" spans="5:53" x14ac:dyDescent="0.2">
      <c r="F73" t="s">
        <v>56</v>
      </c>
      <c r="H73">
        <v>490</v>
      </c>
      <c r="I73">
        <v>0.2</v>
      </c>
      <c r="J73">
        <v>0</v>
      </c>
      <c r="K73">
        <v>0</v>
      </c>
      <c r="L73">
        <f t="shared" si="5"/>
        <v>0</v>
      </c>
      <c r="M73">
        <f t="shared" si="12"/>
        <v>1</v>
      </c>
      <c r="N73">
        <f t="shared" si="13"/>
        <v>1</v>
      </c>
      <c r="O73">
        <f t="shared" si="14"/>
        <v>8.1130407556000002</v>
      </c>
      <c r="P73">
        <f>(O73 * (1 -W$11) + (0.04 * O73)) * ( 1 - AF$11 )</f>
        <v>2.99857986326976</v>
      </c>
      <c r="Q73">
        <f t="shared" si="9"/>
        <v>1.4107430677044692E-4</v>
      </c>
      <c r="R73">
        <f>P73 * AD$11 * AA$11 * AC$11 * AE$11</f>
        <v>1.6890266317448027E-3</v>
      </c>
      <c r="S73">
        <f t="shared" si="10"/>
        <v>0</v>
      </c>
      <c r="T73">
        <f t="shared" si="11"/>
        <v>0</v>
      </c>
      <c r="AQ73" s="2" t="s">
        <v>56</v>
      </c>
      <c r="AR73" s="2">
        <v>170</v>
      </c>
      <c r="AS73" s="2">
        <v>600</v>
      </c>
      <c r="AT73" s="2">
        <v>140</v>
      </c>
      <c r="AU73" s="2">
        <v>270</v>
      </c>
      <c r="AV73" s="2">
        <v>390</v>
      </c>
      <c r="AW73" s="2">
        <v>390</v>
      </c>
      <c r="AX73" s="2">
        <v>160</v>
      </c>
      <c r="AY73" s="2">
        <v>430</v>
      </c>
      <c r="AZ73" s="2">
        <v>430</v>
      </c>
      <c r="BA73" s="2">
        <v>430</v>
      </c>
    </row>
    <row r="74" spans="5:53" x14ac:dyDescent="0.2">
      <c r="F74" t="s">
        <v>57</v>
      </c>
      <c r="H74">
        <v>500</v>
      </c>
      <c r="I74">
        <v>0.1</v>
      </c>
      <c r="J74">
        <v>0</v>
      </c>
      <c r="K74">
        <v>0</v>
      </c>
      <c r="L74">
        <f t="shared" si="5"/>
        <v>0</v>
      </c>
      <c r="M74">
        <f t="shared" si="12"/>
        <v>1</v>
      </c>
      <c r="N74">
        <f t="shared" si="13"/>
        <v>1</v>
      </c>
      <c r="O74">
        <f t="shared" si="14"/>
        <v>8.0457322500000004</v>
      </c>
      <c r="P74">
        <f>(O74 * (1 -X$11) + (0.04 * O74)) * ( 1 - AF$11 )</f>
        <v>3.6495441486</v>
      </c>
      <c r="Q74">
        <f t="shared" si="9"/>
        <v>1.7170024954095013E-4</v>
      </c>
      <c r="R74">
        <f>P74 * AD$11 * AA$11 * AC$11 * AE$11</f>
        <v>2.0556988780656223E-3</v>
      </c>
      <c r="S74">
        <f t="shared" si="10"/>
        <v>0</v>
      </c>
      <c r="T74">
        <f t="shared" si="11"/>
        <v>0</v>
      </c>
      <c r="AQ74" s="2" t="s">
        <v>57</v>
      </c>
      <c r="AR74" s="2">
        <v>200</v>
      </c>
      <c r="AS74" s="2">
        <v>550</v>
      </c>
      <c r="AT74" s="2">
        <v>150</v>
      </c>
      <c r="AU74" s="2">
        <v>280</v>
      </c>
      <c r="AV74" s="2">
        <v>350</v>
      </c>
      <c r="AW74" s="2">
        <v>350</v>
      </c>
      <c r="AX74" s="2">
        <v>190</v>
      </c>
      <c r="AY74" s="2">
        <v>400</v>
      </c>
      <c r="AZ74" s="2">
        <v>400</v>
      </c>
      <c r="BA74" s="2">
        <v>400</v>
      </c>
    </row>
    <row r="75" spans="5:53" x14ac:dyDescent="0.2">
      <c r="E75" t="s">
        <v>48</v>
      </c>
      <c r="F75" t="s">
        <v>54</v>
      </c>
      <c r="G75">
        <v>200</v>
      </c>
      <c r="H75" cm="1">
        <f t="array" ref="H75:H78">_xlfn.XLOOKUP(E75, $AR$46:$BA$46, $AR$47:$BA$50)</f>
        <v>75</v>
      </c>
      <c r="I75" cm="1">
        <f t="array" ref="I75:I78">_xlfn.XLOOKUP(E75, $AR$106:$BA$106, $AR$107:$BA$110)</f>
        <v>0.5</v>
      </c>
      <c r="K75">
        <v>0</v>
      </c>
      <c r="L75">
        <f t="shared" si="5"/>
        <v>0</v>
      </c>
      <c r="N75">
        <v>1</v>
      </c>
      <c r="O75">
        <f t="shared" si="14"/>
        <v>2.7834751406249998</v>
      </c>
      <c r="P75">
        <f>(O75 * (1 -U$11) + (0.04 * O75)) * ( 1 - AF$11 )</f>
        <v>1.1456783678812499</v>
      </c>
      <c r="Q75">
        <f t="shared" si="9"/>
        <v>5.390077600084388E-5</v>
      </c>
      <c r="R75">
        <f>P75 * AD$11 * AA$11 * AC$11 * AE$11</f>
        <v>6.4533257842106233E-4</v>
      </c>
      <c r="S75">
        <f t="shared" si="10"/>
        <v>0.98368916201540069</v>
      </c>
      <c r="T75">
        <f t="shared" si="11"/>
        <v>11.777319556184386</v>
      </c>
      <c r="AO75" t="s">
        <v>73</v>
      </c>
      <c r="AP75" t="s">
        <v>74</v>
      </c>
      <c r="AQ75" s="2" t="s">
        <v>54</v>
      </c>
      <c r="AR75">
        <v>220</v>
      </c>
      <c r="AS75">
        <v>706</v>
      </c>
      <c r="AT75">
        <v>208</v>
      </c>
      <c r="AU75">
        <v>323</v>
      </c>
      <c r="AV75">
        <v>415</v>
      </c>
      <c r="AW75">
        <v>467</v>
      </c>
      <c r="AX75">
        <v>223</v>
      </c>
      <c r="AY75">
        <v>371</v>
      </c>
      <c r="AZ75">
        <v>493</v>
      </c>
      <c r="BA75">
        <v>585</v>
      </c>
    </row>
    <row r="76" spans="5:53" x14ac:dyDescent="0.2">
      <c r="F76" t="s">
        <v>55</v>
      </c>
      <c r="G76">
        <v>130</v>
      </c>
      <c r="H76">
        <v>160</v>
      </c>
      <c r="I76">
        <v>0.9</v>
      </c>
      <c r="L76">
        <f t="shared" si="5"/>
        <v>0</v>
      </c>
      <c r="N76">
        <v>1</v>
      </c>
      <c r="O76">
        <f t="shared" si="14"/>
        <v>4.5298311556000002</v>
      </c>
      <c r="P76">
        <f>(O76 * (1 -V$11) + (0.04 * O76)) * ( 1 - AF$11 )</f>
        <v>1.4839726865745599</v>
      </c>
      <c r="Q76">
        <f t="shared" si="9"/>
        <v>6.9816522344180778E-5</v>
      </c>
      <c r="R76">
        <f>P76 * AD$11 * AA$11 * AC$11 * AE$11</f>
        <v>8.3588548669608228E-4</v>
      </c>
      <c r="S76">
        <f t="shared" si="10"/>
        <v>0.82819849630784437</v>
      </c>
      <c r="T76">
        <f t="shared" si="11"/>
        <v>9.9156915859322758</v>
      </c>
      <c r="AQ76" s="2" t="s">
        <v>55</v>
      </c>
      <c r="AR76">
        <v>110</v>
      </c>
      <c r="AS76">
        <v>703</v>
      </c>
      <c r="AT76">
        <v>112</v>
      </c>
      <c r="AU76">
        <v>256</v>
      </c>
      <c r="AV76">
        <v>368</v>
      </c>
      <c r="AW76">
        <v>465</v>
      </c>
      <c r="AX76">
        <v>108</v>
      </c>
      <c r="AY76">
        <v>280</v>
      </c>
      <c r="AZ76">
        <v>421</v>
      </c>
      <c r="BA76">
        <v>543</v>
      </c>
    </row>
    <row r="77" spans="5:53" x14ac:dyDescent="0.2">
      <c r="F77" t="s">
        <v>56</v>
      </c>
      <c r="G77">
        <v>250</v>
      </c>
      <c r="H77">
        <v>220</v>
      </c>
      <c r="I77">
        <v>0.7</v>
      </c>
      <c r="L77">
        <f t="shared" si="5"/>
        <v>0</v>
      </c>
      <c r="N77">
        <v>1</v>
      </c>
      <c r="O77">
        <f t="shared" si="14"/>
        <v>5.1913799715999973</v>
      </c>
      <c r="P77">
        <f>(O77 * (1 -W$11) + (0.04 * O77)) * ( 1 - AF$11 )</f>
        <v>1.918734037503359</v>
      </c>
      <c r="Q77">
        <f t="shared" si="9"/>
        <v>9.0270757011782037E-5</v>
      </c>
      <c r="R77">
        <f>P77 * AD$11 * AA$11 * AC$11 * AE$11</f>
        <v>1.0807759127164039E-3</v>
      </c>
      <c r="S77">
        <f t="shared" si="10"/>
        <v>2.0593016443312777</v>
      </c>
      <c r="T77">
        <f t="shared" si="11"/>
        <v>24.655200508842963</v>
      </c>
      <c r="AQ77" s="2" t="s">
        <v>56</v>
      </c>
      <c r="AR77">
        <v>170</v>
      </c>
      <c r="AS77">
        <v>721</v>
      </c>
      <c r="AT77">
        <v>169</v>
      </c>
      <c r="AU77">
        <v>306</v>
      </c>
      <c r="AV77">
        <v>392</v>
      </c>
      <c r="AW77">
        <v>464</v>
      </c>
      <c r="AX77">
        <v>176</v>
      </c>
      <c r="AY77">
        <v>339</v>
      </c>
      <c r="AZ77">
        <v>470</v>
      </c>
      <c r="BA77">
        <v>580</v>
      </c>
    </row>
    <row r="78" spans="5:53" x14ac:dyDescent="0.2">
      <c r="F78" t="s">
        <v>57</v>
      </c>
      <c r="G78">
        <v>150</v>
      </c>
      <c r="H78">
        <v>260</v>
      </c>
      <c r="I78">
        <v>0.4</v>
      </c>
      <c r="L78">
        <f t="shared" si="5"/>
        <v>0</v>
      </c>
      <c r="N78">
        <v>1</v>
      </c>
      <c r="O78">
        <f t="shared" si="14"/>
        <v>5.3621886096000004</v>
      </c>
      <c r="P78">
        <f>(O78 * (1 -X$11) + (0.04 * O78)) * ( 1 - AF$11 )</f>
        <v>2.4322887533145603</v>
      </c>
      <c r="Q78">
        <f t="shared" si="9"/>
        <v>1.1443198626874025E-4</v>
      </c>
      <c r="R78">
        <f>P78 * AD$11 * AA$11 * AC$11 * AE$11</f>
        <v>1.3700487123134107E-3</v>
      </c>
      <c r="S78">
        <f t="shared" si="10"/>
        <v>1.5662878120533821</v>
      </c>
      <c r="T78">
        <f t="shared" si="11"/>
        <v>18.75254174978981</v>
      </c>
      <c r="AQ78" s="2" t="s">
        <v>57</v>
      </c>
      <c r="AR78">
        <v>200</v>
      </c>
      <c r="AS78">
        <v>727</v>
      </c>
      <c r="AT78">
        <v>211</v>
      </c>
      <c r="AU78">
        <v>338</v>
      </c>
      <c r="AV78">
        <v>432</v>
      </c>
      <c r="AW78">
        <v>492</v>
      </c>
      <c r="AX78">
        <v>222</v>
      </c>
      <c r="AY78">
        <v>377</v>
      </c>
      <c r="AZ78">
        <v>498</v>
      </c>
      <c r="BA78">
        <v>590</v>
      </c>
    </row>
    <row r="79" spans="5:53" x14ac:dyDescent="0.2">
      <c r="E79" t="s">
        <v>49</v>
      </c>
      <c r="F79" t="s">
        <v>54</v>
      </c>
      <c r="H79" cm="1">
        <f t="array" ref="H79:H82">_xlfn.XLOOKUP(E79, $AR$46:$BA$46, $AR$47:$BA$50)</f>
        <v>380</v>
      </c>
      <c r="I79" cm="1">
        <f t="array" ref="I79:I82">_xlfn.XLOOKUP(E79, $AR$106:$BA$106, $AR$107:$BA$110)</f>
        <v>0.4</v>
      </c>
      <c r="L79">
        <f t="shared" si="5"/>
        <v>0</v>
      </c>
      <c r="N79">
        <v>1</v>
      </c>
      <c r="O79">
        <f t="shared" si="14"/>
        <v>7.0796437775999967</v>
      </c>
      <c r="P79">
        <f>(O79 * (1 -U$11) + (0.04 * O79)) * ( 1 - AF$11 )</f>
        <v>2.9139813788601581</v>
      </c>
      <c r="Q79">
        <f t="shared" si="9"/>
        <v>1.37094198490489E-4</v>
      </c>
      <c r="R79">
        <f>P79 * AD$11 * AA$11 * AC$11 * AE$11</f>
        <v>1.6413743764477724E-3</v>
      </c>
      <c r="S79">
        <f t="shared" si="10"/>
        <v>0</v>
      </c>
      <c r="T79">
        <f t="shared" si="11"/>
        <v>0</v>
      </c>
      <c r="AO79" t="s">
        <v>73</v>
      </c>
      <c r="AP79" t="s">
        <v>75</v>
      </c>
      <c r="AQ79" s="2" t="s">
        <v>54</v>
      </c>
      <c r="AR79">
        <v>220</v>
      </c>
      <c r="AS79">
        <v>620</v>
      </c>
      <c r="AT79">
        <v>227</v>
      </c>
      <c r="AU79">
        <v>319</v>
      </c>
      <c r="AV79">
        <v>398</v>
      </c>
      <c r="AW79">
        <v>452</v>
      </c>
      <c r="AX79">
        <v>216</v>
      </c>
      <c r="AY79">
        <v>334</v>
      </c>
      <c r="AZ79" t="s">
        <v>72</v>
      </c>
      <c r="BA79" t="s">
        <v>72</v>
      </c>
    </row>
    <row r="80" spans="5:53" x14ac:dyDescent="0.2">
      <c r="F80" t="s">
        <v>55</v>
      </c>
      <c r="H80">
        <v>420</v>
      </c>
      <c r="I80">
        <v>0.4</v>
      </c>
      <c r="L80">
        <f t="shared" si="5"/>
        <v>0</v>
      </c>
      <c r="N80">
        <v>1</v>
      </c>
      <c r="O80">
        <f t="shared" si="14"/>
        <v>7.6129639056</v>
      </c>
      <c r="P80">
        <f>(O80 * (1 -V$11) + (0.04 * O80)) * ( 1 - AF$11 )</f>
        <v>2.49400697547456</v>
      </c>
      <c r="Q80">
        <f t="shared" si="9"/>
        <v>1.1733564593543065E-4</v>
      </c>
      <c r="R80">
        <f>P80 * AD$11 * AA$11 * AC$11 * AE$11</f>
        <v>1.4048130759940598E-3</v>
      </c>
      <c r="S80">
        <f t="shared" si="10"/>
        <v>0</v>
      </c>
      <c r="T80">
        <f t="shared" si="11"/>
        <v>0</v>
      </c>
      <c r="AQ80" s="2" t="s">
        <v>55</v>
      </c>
      <c r="AR80">
        <v>110</v>
      </c>
      <c r="AS80">
        <v>650</v>
      </c>
      <c r="AT80">
        <v>108</v>
      </c>
      <c r="AU80">
        <v>262</v>
      </c>
      <c r="AV80">
        <v>346</v>
      </c>
      <c r="AW80">
        <v>430</v>
      </c>
      <c r="AX80">
        <v>111</v>
      </c>
      <c r="AY80">
        <v>236</v>
      </c>
      <c r="AZ80" t="s">
        <v>72</v>
      </c>
      <c r="BA80" t="s">
        <v>72</v>
      </c>
    </row>
    <row r="81" spans="1:53" x14ac:dyDescent="0.2">
      <c r="F81" t="s">
        <v>56</v>
      </c>
      <c r="H81">
        <v>450</v>
      </c>
      <c r="I81">
        <v>0.3</v>
      </c>
      <c r="L81">
        <f t="shared" si="5"/>
        <v>0</v>
      </c>
      <c r="N81">
        <v>1</v>
      </c>
      <c r="O81">
        <f t="shared" si="14"/>
        <v>7.8176159999999992</v>
      </c>
      <c r="P81">
        <f>(O81 * (1 -W$11) + (0.04 * O81)) * ( 1 - AF$11 )</f>
        <v>2.8893908736</v>
      </c>
      <c r="Q81">
        <f t="shared" si="9"/>
        <v>1.3593728800589413E-4</v>
      </c>
      <c r="R81">
        <f>P81 * AD$11 * AA$11 * AC$11 * AE$11</f>
        <v>1.627523146810294E-3</v>
      </c>
      <c r="S81">
        <f t="shared" si="10"/>
        <v>0</v>
      </c>
      <c r="T81">
        <f t="shared" si="11"/>
        <v>0</v>
      </c>
      <c r="AQ81" s="2" t="s">
        <v>56</v>
      </c>
      <c r="AR81">
        <v>170</v>
      </c>
      <c r="AS81">
        <v>670</v>
      </c>
      <c r="AT81">
        <v>170</v>
      </c>
      <c r="AU81">
        <v>266</v>
      </c>
      <c r="AV81">
        <v>363</v>
      </c>
      <c r="AW81">
        <v>444</v>
      </c>
      <c r="AX81">
        <v>169</v>
      </c>
      <c r="AY81">
        <v>282</v>
      </c>
      <c r="AZ81" t="s">
        <v>72</v>
      </c>
      <c r="BA81" t="s">
        <v>72</v>
      </c>
    </row>
    <row r="82" spans="1:53" x14ac:dyDescent="0.2">
      <c r="F82" t="s">
        <v>57</v>
      </c>
      <c r="H82">
        <v>460</v>
      </c>
      <c r="I82">
        <v>0.1</v>
      </c>
      <c r="L82">
        <f t="shared" si="5"/>
        <v>0</v>
      </c>
      <c r="N82">
        <v>1</v>
      </c>
      <c r="O82">
        <f t="shared" si="14"/>
        <v>7.5885924675999998</v>
      </c>
      <c r="P82">
        <f>(O82 * (1 -X$11) + (0.04 * O82)) * ( 1 - AF$11 )</f>
        <v>3.4421855433033599</v>
      </c>
      <c r="Q82">
        <f t="shared" si="9"/>
        <v>1.6194464094321492E-4</v>
      </c>
      <c r="R82">
        <f>P82 * AD$11 * AA$11 * AC$11 * AE$11</f>
        <v>1.9388988518406825E-3</v>
      </c>
      <c r="S82">
        <f t="shared" si="10"/>
        <v>0</v>
      </c>
      <c r="T82">
        <f t="shared" si="11"/>
        <v>0</v>
      </c>
      <c r="AQ82" s="2" t="s">
        <v>57</v>
      </c>
      <c r="AR82">
        <v>200</v>
      </c>
      <c r="AS82">
        <v>660</v>
      </c>
      <c r="AT82">
        <v>225</v>
      </c>
      <c r="AU82">
        <v>307</v>
      </c>
      <c r="AV82">
        <v>398</v>
      </c>
      <c r="AW82">
        <v>452</v>
      </c>
      <c r="AX82">
        <v>214</v>
      </c>
      <c r="AY82">
        <v>326</v>
      </c>
      <c r="AZ82" t="s">
        <v>72</v>
      </c>
      <c r="BA82" t="s">
        <v>72</v>
      </c>
    </row>
    <row r="83" spans="1:53" x14ac:dyDescent="0.2">
      <c r="E83" t="s">
        <v>50</v>
      </c>
      <c r="F83" t="s">
        <v>54</v>
      </c>
      <c r="H83" cm="1">
        <f t="array" ref="H83:H86">_xlfn.XLOOKUP(E83, $AR$46:$BA$46, $AR$47:$BA$50)</f>
        <v>380</v>
      </c>
      <c r="I83" cm="1">
        <f t="array" ref="I83:I86">_xlfn.XLOOKUP(E83, $AR$106:$BA$106, $AR$107:$BA$110)</f>
        <v>0.4</v>
      </c>
      <c r="L83">
        <f t="shared" si="5"/>
        <v>0</v>
      </c>
      <c r="N83">
        <v>1</v>
      </c>
      <c r="O83">
        <f t="shared" si="14"/>
        <v>7.0796437775999967</v>
      </c>
      <c r="P83">
        <f>(O83 * (1 -U$11) + (0.04 * O83)) * ( 1 - AF$11 )</f>
        <v>2.9139813788601581</v>
      </c>
      <c r="Q83">
        <f t="shared" si="9"/>
        <v>1.37094198490489E-4</v>
      </c>
      <c r="R83">
        <f>P83 * AD$11 * AA$11 * AC$11 * AE$11</f>
        <v>1.6413743764477724E-3</v>
      </c>
      <c r="S83">
        <f t="shared" si="10"/>
        <v>0</v>
      </c>
      <c r="T83">
        <f t="shared" si="11"/>
        <v>0</v>
      </c>
      <c r="AO83" t="s">
        <v>73</v>
      </c>
      <c r="AP83" t="s">
        <v>76</v>
      </c>
      <c r="AQ83" s="2" t="s">
        <v>54</v>
      </c>
      <c r="AR83">
        <v>220</v>
      </c>
      <c r="AS83">
        <v>620</v>
      </c>
      <c r="AT83">
        <v>177</v>
      </c>
      <c r="AU83">
        <v>267</v>
      </c>
      <c r="AV83">
        <v>365</v>
      </c>
      <c r="AW83">
        <v>406</v>
      </c>
      <c r="AX83">
        <v>231</v>
      </c>
      <c r="AY83">
        <v>249</v>
      </c>
      <c r="AZ83">
        <v>324</v>
      </c>
      <c r="BA83" t="s">
        <v>72</v>
      </c>
    </row>
    <row r="84" spans="1:53" x14ac:dyDescent="0.2">
      <c r="F84" t="s">
        <v>55</v>
      </c>
      <c r="H84">
        <v>420</v>
      </c>
      <c r="I84">
        <v>0.4</v>
      </c>
      <c r="L84">
        <f t="shared" si="5"/>
        <v>0</v>
      </c>
      <c r="N84">
        <v>1</v>
      </c>
      <c r="O84">
        <f t="shared" si="14"/>
        <v>7.6129639056</v>
      </c>
      <c r="P84">
        <f>(O84 * (1 -V$11) + (0.04 * O84)) * ( 1 - AF$11 )</f>
        <v>2.49400697547456</v>
      </c>
      <c r="Q84">
        <f t="shared" si="9"/>
        <v>1.1733564593543065E-4</v>
      </c>
      <c r="R84">
        <f>P84 * AD$11 * AA$11 * AC$11 * AE$11</f>
        <v>1.4048130759940598E-3</v>
      </c>
      <c r="S84">
        <f t="shared" si="10"/>
        <v>0</v>
      </c>
      <c r="T84">
        <f t="shared" si="11"/>
        <v>0</v>
      </c>
      <c r="AQ84" s="2" t="s">
        <v>55</v>
      </c>
      <c r="AR84">
        <v>110</v>
      </c>
      <c r="AS84">
        <v>650</v>
      </c>
      <c r="AT84">
        <v>102</v>
      </c>
      <c r="AU84">
        <v>203</v>
      </c>
      <c r="AV84">
        <v>299</v>
      </c>
      <c r="AW84">
        <v>380</v>
      </c>
      <c r="AX84">
        <v>102</v>
      </c>
      <c r="AY84">
        <v>218</v>
      </c>
      <c r="AZ84">
        <v>263</v>
      </c>
      <c r="BA84" t="s">
        <v>72</v>
      </c>
    </row>
    <row r="85" spans="1:53" x14ac:dyDescent="0.2">
      <c r="F85" t="s">
        <v>56</v>
      </c>
      <c r="H85">
        <v>450</v>
      </c>
      <c r="I85">
        <v>0.3</v>
      </c>
      <c r="L85">
        <f t="shared" si="5"/>
        <v>0</v>
      </c>
      <c r="N85">
        <v>1</v>
      </c>
      <c r="O85">
        <f t="shared" si="14"/>
        <v>7.8176159999999992</v>
      </c>
      <c r="P85">
        <f>(O85 * (1 -W$11) + (0.04 * O85)) * ( 1 - AF$11 )</f>
        <v>2.8893908736</v>
      </c>
      <c r="Q85">
        <f t="shared" si="9"/>
        <v>1.3593728800589413E-4</v>
      </c>
      <c r="R85">
        <f>P85 * AD$11 * AA$11 * AC$11 * AE$11</f>
        <v>1.627523146810294E-3</v>
      </c>
      <c r="S85">
        <f t="shared" si="10"/>
        <v>0</v>
      </c>
      <c r="T85">
        <f t="shared" si="11"/>
        <v>0</v>
      </c>
      <c r="AQ85" s="2" t="s">
        <v>56</v>
      </c>
      <c r="AR85">
        <v>170</v>
      </c>
      <c r="AS85">
        <v>670</v>
      </c>
      <c r="AT85">
        <v>173</v>
      </c>
      <c r="AU85">
        <v>250</v>
      </c>
      <c r="AV85">
        <v>336</v>
      </c>
      <c r="AW85">
        <v>414</v>
      </c>
      <c r="AX85">
        <v>175</v>
      </c>
      <c r="AY85">
        <v>243</v>
      </c>
      <c r="AZ85">
        <v>304</v>
      </c>
      <c r="BA85" t="s">
        <v>72</v>
      </c>
    </row>
    <row r="86" spans="1:53" x14ac:dyDescent="0.2">
      <c r="F86" t="s">
        <v>57</v>
      </c>
      <c r="H86">
        <v>460</v>
      </c>
      <c r="I86">
        <v>0.1</v>
      </c>
      <c r="L86">
        <f t="shared" si="5"/>
        <v>0</v>
      </c>
      <c r="N86">
        <v>1</v>
      </c>
      <c r="O86">
        <f t="shared" si="14"/>
        <v>7.5885924675999998</v>
      </c>
      <c r="P86">
        <f>(O86 * (1 -X$11) + (0.04 * O86)) * ( 1 - AF$11 )</f>
        <v>3.4421855433033599</v>
      </c>
      <c r="Q86">
        <f t="shared" si="9"/>
        <v>1.6194464094321492E-4</v>
      </c>
      <c r="R86">
        <f>P86 * AD$11 * AA$11 * AC$11 * AE$11</f>
        <v>1.9388988518406825E-3</v>
      </c>
      <c r="S86">
        <f t="shared" si="10"/>
        <v>0</v>
      </c>
      <c r="T86">
        <f t="shared" si="11"/>
        <v>0</v>
      </c>
      <c r="AQ86" s="2" t="s">
        <v>57</v>
      </c>
      <c r="AR86">
        <v>200</v>
      </c>
      <c r="AS86">
        <v>660</v>
      </c>
      <c r="AT86">
        <v>202</v>
      </c>
      <c r="AU86">
        <v>272</v>
      </c>
      <c r="AV86">
        <v>365</v>
      </c>
      <c r="AW86">
        <v>390</v>
      </c>
      <c r="AX86">
        <v>208</v>
      </c>
      <c r="AY86">
        <v>260</v>
      </c>
      <c r="AZ86">
        <v>337</v>
      </c>
      <c r="BA86" t="s">
        <v>72</v>
      </c>
    </row>
    <row r="87" spans="1:53" x14ac:dyDescent="0.2">
      <c r="E87" t="s">
        <v>51</v>
      </c>
      <c r="F87" t="s">
        <v>54</v>
      </c>
      <c r="H87" cm="1">
        <f t="array" ref="H87:H90">_xlfn.XLOOKUP(E87, $AR$46:$BA$46, $AR$47:$BA$50)</f>
        <v>380</v>
      </c>
      <c r="I87" cm="1">
        <f t="array" ref="I87:I90">_xlfn.XLOOKUP(E87, $AR$106:$BA$106, $AR$107:$BA$110)</f>
        <v>0.4</v>
      </c>
      <c r="L87">
        <f t="shared" si="5"/>
        <v>0</v>
      </c>
      <c r="N87">
        <v>1</v>
      </c>
      <c r="O87">
        <f t="shared" si="14"/>
        <v>7.0796437775999967</v>
      </c>
      <c r="P87">
        <f>(O87 * (1 -U$11) + (0.04 * O87)) * ( 1 - AF$11 )</f>
        <v>2.9139813788601581</v>
      </c>
      <c r="Q87">
        <f t="shared" si="9"/>
        <v>1.37094198490489E-4</v>
      </c>
      <c r="R87">
        <f>P87 * AD$11 * AA$11 * AC$11 * AE$11</f>
        <v>1.6413743764477724E-3</v>
      </c>
      <c r="S87">
        <f t="shared" si="10"/>
        <v>0</v>
      </c>
      <c r="T87">
        <f t="shared" si="11"/>
        <v>0</v>
      </c>
      <c r="AO87" t="s">
        <v>81</v>
      </c>
      <c r="AP87" t="s">
        <v>77</v>
      </c>
      <c r="AQ87" s="2" t="s">
        <v>54</v>
      </c>
      <c r="AR87">
        <v>260</v>
      </c>
      <c r="AS87" s="2">
        <v>705</v>
      </c>
      <c r="AT87" s="2">
        <v>215</v>
      </c>
      <c r="AU87">
        <v>302</v>
      </c>
      <c r="AV87">
        <v>416</v>
      </c>
      <c r="AW87">
        <v>519</v>
      </c>
      <c r="AX87">
        <v>234</v>
      </c>
      <c r="AY87">
        <v>455</v>
      </c>
      <c r="AZ87">
        <v>551</v>
      </c>
      <c r="BA87" s="2">
        <v>660</v>
      </c>
    </row>
    <row r="88" spans="1:53" x14ac:dyDescent="0.2">
      <c r="F88" t="s">
        <v>55</v>
      </c>
      <c r="H88">
        <v>420</v>
      </c>
      <c r="I88">
        <v>0.4</v>
      </c>
      <c r="L88">
        <f t="shared" si="5"/>
        <v>0</v>
      </c>
      <c r="N88">
        <v>1</v>
      </c>
      <c r="O88">
        <f t="shared" si="14"/>
        <v>7.6129639056</v>
      </c>
      <c r="P88">
        <f>(O88 * (1 -V$11) + (0.04 * O88)) * ( 1 - AF$11 )</f>
        <v>2.49400697547456</v>
      </c>
      <c r="Q88">
        <f t="shared" si="9"/>
        <v>1.1733564593543065E-4</v>
      </c>
      <c r="R88">
        <f>P88 * AD$11 * AA$11 * AC$11 * AE$11</f>
        <v>1.4048130759940598E-3</v>
      </c>
      <c r="S88">
        <f t="shared" si="10"/>
        <v>0</v>
      </c>
      <c r="T88">
        <f t="shared" si="11"/>
        <v>0</v>
      </c>
      <c r="AQ88" s="2" t="s">
        <v>55</v>
      </c>
      <c r="AR88">
        <v>153</v>
      </c>
      <c r="AS88">
        <v>703</v>
      </c>
      <c r="AT88" s="2">
        <v>118</v>
      </c>
      <c r="AU88">
        <v>277</v>
      </c>
      <c r="AV88">
        <v>397</v>
      </c>
      <c r="AW88">
        <v>483</v>
      </c>
      <c r="AX88">
        <v>111</v>
      </c>
      <c r="AY88">
        <v>304</v>
      </c>
      <c r="AZ88">
        <v>521</v>
      </c>
      <c r="BA88" s="2">
        <v>547</v>
      </c>
    </row>
    <row r="89" spans="1:53" x14ac:dyDescent="0.2">
      <c r="F89" t="s">
        <v>56</v>
      </c>
      <c r="H89">
        <v>450</v>
      </c>
      <c r="I89">
        <v>0.3</v>
      </c>
      <c r="L89">
        <f t="shared" si="5"/>
        <v>0</v>
      </c>
      <c r="N89">
        <v>1</v>
      </c>
      <c r="O89">
        <f t="shared" si="14"/>
        <v>7.8176159999999992</v>
      </c>
      <c r="P89">
        <f>(O89 * (1 -W$11) + (0.04 * O89)) * ( 1 - AF$11 )</f>
        <v>2.8893908736</v>
      </c>
      <c r="Q89">
        <f t="shared" si="9"/>
        <v>1.3593728800589413E-4</v>
      </c>
      <c r="R89">
        <f>P89 * AD$11 * AA$11 * AC$11 * AE$11</f>
        <v>1.627523146810294E-3</v>
      </c>
      <c r="S89">
        <f t="shared" si="10"/>
        <v>0</v>
      </c>
      <c r="T89">
        <f t="shared" si="11"/>
        <v>0</v>
      </c>
      <c r="AQ89" s="2" t="s">
        <v>56</v>
      </c>
      <c r="AR89">
        <v>168</v>
      </c>
      <c r="AS89">
        <v>718</v>
      </c>
      <c r="AT89" s="2">
        <v>191</v>
      </c>
      <c r="AU89">
        <v>319</v>
      </c>
      <c r="AV89">
        <v>440</v>
      </c>
      <c r="AW89">
        <v>506</v>
      </c>
      <c r="AX89">
        <v>188</v>
      </c>
      <c r="AY89">
        <v>326</v>
      </c>
      <c r="AZ89">
        <v>520</v>
      </c>
      <c r="BA89" s="2">
        <v>582</v>
      </c>
    </row>
    <row r="90" spans="1:53" x14ac:dyDescent="0.2">
      <c r="F90" t="s">
        <v>57</v>
      </c>
      <c r="H90">
        <v>460</v>
      </c>
      <c r="I90">
        <v>0.1</v>
      </c>
      <c r="L90">
        <f t="shared" si="5"/>
        <v>0</v>
      </c>
      <c r="N90">
        <v>1</v>
      </c>
      <c r="O90">
        <f t="shared" si="14"/>
        <v>7.5885924675999998</v>
      </c>
      <c r="P90">
        <f>(O90 * (1 -X$11) + (0.04 * O90)) * ( 1 - AF$11 )</f>
        <v>3.4421855433033599</v>
      </c>
      <c r="Q90">
        <f t="shared" si="9"/>
        <v>1.6194464094321492E-4</v>
      </c>
      <c r="R90">
        <f>P90 * AD$11 * AA$11 * AC$11 * AE$11</f>
        <v>1.9388988518406825E-3</v>
      </c>
      <c r="S90">
        <f t="shared" si="10"/>
        <v>0</v>
      </c>
      <c r="T90">
        <f t="shared" si="11"/>
        <v>0</v>
      </c>
      <c r="AQ90" s="2" t="s">
        <v>57</v>
      </c>
      <c r="AR90">
        <v>235</v>
      </c>
      <c r="AS90">
        <v>722</v>
      </c>
      <c r="AT90" s="2">
        <v>207</v>
      </c>
      <c r="AU90">
        <v>352</v>
      </c>
      <c r="AV90">
        <v>470</v>
      </c>
      <c r="AW90">
        <v>514</v>
      </c>
      <c r="AX90">
        <v>209</v>
      </c>
      <c r="AY90">
        <v>421</v>
      </c>
      <c r="AZ90">
        <v>512</v>
      </c>
      <c r="BA90" s="2">
        <v>605</v>
      </c>
    </row>
    <row r="91" spans="1:53" x14ac:dyDescent="0.2">
      <c r="A91" t="s">
        <v>118</v>
      </c>
      <c r="B91" t="s">
        <v>99</v>
      </c>
      <c r="C91" t="s">
        <v>53</v>
      </c>
      <c r="D91" t="s">
        <v>53</v>
      </c>
      <c r="E91" t="s">
        <v>42</v>
      </c>
      <c r="F91" t="s">
        <v>54</v>
      </c>
      <c r="G91">
        <v>100</v>
      </c>
      <c r="H91" cm="1">
        <f t="array" ref="H91:H94">_xlfn.XLOOKUP(E91, $AR$46:$BA$46, $AR$47:$BA$50)</f>
        <v>80</v>
      </c>
      <c r="I91" cm="1">
        <f t="array" ref="I91:I94">_xlfn.XLOOKUP(E91, $AR$106:$BA$106, $AR$107:$BA$110)</f>
        <v>0.5</v>
      </c>
      <c r="J91">
        <v>0</v>
      </c>
      <c r="L91">
        <f t="shared" si="5"/>
        <v>0</v>
      </c>
      <c r="N91">
        <v>1</v>
      </c>
      <c r="O91">
        <f>(1.185 + 0.00454 * H91 - 0.0000026 * H91^2 + 0.315 * I91)^2 * N91</f>
        <v>2.8529236835999998</v>
      </c>
      <c r="P91">
        <f>(O91 * (1 -U91) + (0.04 * O91)) * ( 1 - AF$11 )</f>
        <v>1.1742633881697597</v>
      </c>
      <c r="Q91">
        <f>P91 * AD$51 * Z$51 * AB$51 * AE$51</f>
        <v>5.5245616593758213E-5</v>
      </c>
      <c r="R91">
        <f>P91 * AD$11 * AA$11 * AC$11 * AE$11</f>
        <v>6.6143382058828331E-4</v>
      </c>
      <c r="S91">
        <f>G91*Q91*91.25</f>
        <v>0.50411625141804373</v>
      </c>
      <c r="T91">
        <f>G91*R91*91.25</f>
        <v>6.0355836128680851</v>
      </c>
      <c r="U91" cm="1">
        <f t="array" ref="U91:X91">_xlfn.XLOOKUP(C91,$AT$18:$AT$26,$AU$18:$AX$26)</f>
        <v>0.55000000000000004</v>
      </c>
      <c r="V91">
        <v>0.65</v>
      </c>
      <c r="W91">
        <v>0.6</v>
      </c>
      <c r="X91">
        <v>0.5</v>
      </c>
      <c r="Y91" t="s">
        <v>91</v>
      </c>
      <c r="Z91">
        <f>IF(Y91="yes", $AP$6, $AQ$6)</f>
        <v>0.05</v>
      </c>
      <c r="AA91">
        <f>IF(Y91="yes", $AP$7, $AQ$7)</f>
        <v>0.95</v>
      </c>
      <c r="AB91">
        <f>VLOOKUP(B91, $BB$17:$BC$26, 2, FALSE)</f>
        <v>7.3000000000000001E-3</v>
      </c>
      <c r="AC91">
        <f>$BC$14</f>
        <v>4.5999999999999999E-3</v>
      </c>
      <c r="AD91">
        <f>$AU$5</f>
        <v>0.19</v>
      </c>
      <c r="AE91">
        <f>$AU$6</f>
        <v>0.6784</v>
      </c>
      <c r="AF91">
        <f>$AU$7</f>
        <v>0.16</v>
      </c>
      <c r="AG91">
        <f>SUM(S91:T130)</f>
        <v>253.55531996355981</v>
      </c>
      <c r="AH91">
        <f>$AU$8</f>
        <v>28</v>
      </c>
      <c r="AI91">
        <f>AG91 * AH91 * 10^-3</f>
        <v>7.0995489589796748</v>
      </c>
      <c r="AO91" t="s">
        <v>81</v>
      </c>
      <c r="AP91" t="s">
        <v>78</v>
      </c>
      <c r="AQ91" s="2" t="s">
        <v>54</v>
      </c>
      <c r="AR91">
        <v>230</v>
      </c>
      <c r="AS91" s="2">
        <v>674</v>
      </c>
      <c r="AT91" s="2">
        <v>217</v>
      </c>
      <c r="AU91">
        <v>344</v>
      </c>
      <c r="AV91">
        <v>357</v>
      </c>
      <c r="AW91">
        <v>467</v>
      </c>
      <c r="AX91">
        <v>242</v>
      </c>
      <c r="AY91">
        <v>370</v>
      </c>
      <c r="AZ91">
        <v>550</v>
      </c>
      <c r="BA91" s="2">
        <v>620</v>
      </c>
    </row>
    <row r="92" spans="1:53" x14ac:dyDescent="0.2">
      <c r="F92" t="s">
        <v>55</v>
      </c>
      <c r="G92">
        <v>110</v>
      </c>
      <c r="H92">
        <v>170</v>
      </c>
      <c r="I92">
        <v>1</v>
      </c>
      <c r="K92">
        <v>0</v>
      </c>
      <c r="L92">
        <f t="shared" ref="L92:L117" si="15">J92+K92</f>
        <v>0</v>
      </c>
      <c r="N92">
        <v>1</v>
      </c>
      <c r="O92">
        <f t="shared" ref="O92:O106" si="16">(1.185 + 0.00454 * H92 - 0.0000026 * H92^2 + 0.315 * I92)^2 * N92</f>
        <v>4.8253151556000002</v>
      </c>
      <c r="P92">
        <f>(O92 * (1 -V$11) + (0.04 * O92)) * ( 1 - AF$11 )</f>
        <v>1.58077324497456</v>
      </c>
      <c r="Q92">
        <f t="shared" ref="Q92:Q130" si="17">P92 * AD$51 * Z$51 * AB$51 * AE$51</f>
        <v>7.4370702087247912E-5</v>
      </c>
      <c r="R92">
        <f>P92 * AD$11 * AA$11 * AC$11 * AE$11</f>
        <v>8.9041087156513257E-4</v>
      </c>
      <c r="S92">
        <f t="shared" ref="S92:S130" si="18">G92*Q92*91.25</f>
        <v>0.74649592220075089</v>
      </c>
      <c r="T92">
        <f t="shared" ref="T92:T130" si="19">G92*R92*91.25</f>
        <v>8.9374991233350194</v>
      </c>
      <c r="AQ92" s="2" t="s">
        <v>55</v>
      </c>
      <c r="AR92">
        <v>113</v>
      </c>
      <c r="AS92" s="2">
        <v>669</v>
      </c>
      <c r="AT92" s="2">
        <v>113</v>
      </c>
      <c r="AU92">
        <v>283</v>
      </c>
      <c r="AV92">
        <v>361</v>
      </c>
      <c r="AW92">
        <v>477</v>
      </c>
      <c r="AX92">
        <v>120</v>
      </c>
      <c r="AY92">
        <v>273</v>
      </c>
      <c r="AZ92">
        <v>545</v>
      </c>
      <c r="BA92" s="2">
        <v>553</v>
      </c>
    </row>
    <row r="93" spans="1:53" x14ac:dyDescent="0.2">
      <c r="F93" t="s">
        <v>56</v>
      </c>
      <c r="G93">
        <v>120</v>
      </c>
      <c r="H93">
        <v>240</v>
      </c>
      <c r="I93">
        <v>0.8</v>
      </c>
      <c r="L93">
        <f t="shared" si="15"/>
        <v>0</v>
      </c>
      <c r="N93">
        <v>1</v>
      </c>
      <c r="O93">
        <f t="shared" si="16"/>
        <v>5.6493683855999981</v>
      </c>
      <c r="P93">
        <f>(O93 * (1 -W$11) + (0.04 * O93)) * ( 1 - AF$11 )</f>
        <v>2.0880065553177594</v>
      </c>
      <c r="Q93">
        <f t="shared" si="17"/>
        <v>9.8234527928296858E-5</v>
      </c>
      <c r="R93">
        <f>P93 * AD$11 * AA$11 * AC$11 * AE$11</f>
        <v>1.1761229782100196E-3</v>
      </c>
      <c r="S93">
        <f t="shared" si="18"/>
        <v>1.0756680808148507</v>
      </c>
      <c r="T93">
        <f t="shared" si="19"/>
        <v>12.878546611399717</v>
      </c>
      <c r="AQ93" s="2" t="s">
        <v>56</v>
      </c>
      <c r="AR93">
        <v>172</v>
      </c>
      <c r="AS93" s="2">
        <v>685</v>
      </c>
      <c r="AT93" s="2">
        <v>172</v>
      </c>
      <c r="AU93">
        <v>309</v>
      </c>
      <c r="AV93">
        <v>376</v>
      </c>
      <c r="AW93">
        <v>471</v>
      </c>
      <c r="AX93">
        <v>238</v>
      </c>
      <c r="AY93">
        <v>329</v>
      </c>
      <c r="AZ93">
        <v>573</v>
      </c>
      <c r="BA93" s="2">
        <v>620</v>
      </c>
    </row>
    <row r="94" spans="1:53" x14ac:dyDescent="0.2">
      <c r="F94" t="s">
        <v>57</v>
      </c>
      <c r="G94">
        <v>130</v>
      </c>
      <c r="H94">
        <v>280</v>
      </c>
      <c r="I94">
        <v>0.4</v>
      </c>
      <c r="L94">
        <f t="shared" si="15"/>
        <v>0</v>
      </c>
      <c r="N94">
        <v>1</v>
      </c>
      <c r="O94">
        <f t="shared" si="16"/>
        <v>5.6565962895999995</v>
      </c>
      <c r="P94">
        <f>(O94 * (1 -X$11) + (0.04 * O94)) * ( 1 - AF$11 )</f>
        <v>2.5658320769625598</v>
      </c>
      <c r="Q94">
        <f t="shared" si="17"/>
        <v>1.2071480435814064E-4</v>
      </c>
      <c r="R94">
        <f>P94 * AD$11 * AA$11 * AC$11 * AE$11</f>
        <v>1.4452703973837659E-3</v>
      </c>
      <c r="S94">
        <f t="shared" si="18"/>
        <v>1.4319793666984433</v>
      </c>
      <c r="T94">
        <f t="shared" si="19"/>
        <v>17.144520088964921</v>
      </c>
      <c r="AQ94" s="2" t="s">
        <v>57</v>
      </c>
      <c r="AR94">
        <v>241</v>
      </c>
      <c r="AS94" s="2">
        <v>692</v>
      </c>
      <c r="AT94" s="2">
        <v>208</v>
      </c>
      <c r="AU94">
        <v>344</v>
      </c>
      <c r="AV94">
        <v>364</v>
      </c>
      <c r="AW94">
        <v>484</v>
      </c>
      <c r="AX94">
        <v>260</v>
      </c>
      <c r="AY94">
        <v>350</v>
      </c>
      <c r="AZ94">
        <v>567</v>
      </c>
      <c r="BA94" s="2">
        <v>620</v>
      </c>
    </row>
    <row r="95" spans="1:53" x14ac:dyDescent="0.2">
      <c r="E95" t="s">
        <v>43</v>
      </c>
      <c r="F95" t="s">
        <v>54</v>
      </c>
      <c r="H95" cm="1">
        <f t="array" ref="H95:H98">_xlfn.XLOOKUP(E95, $AR$46:$BA$46, $AR$47:$BA$50)</f>
        <v>480</v>
      </c>
      <c r="I95" cm="1">
        <f t="array" ref="I95:I98">_xlfn.XLOOKUP(E95, $AR$106:$BA$106, $AR$107:$BA$110)</f>
        <v>0.2</v>
      </c>
      <c r="L95">
        <f t="shared" si="15"/>
        <v>0</v>
      </c>
      <c r="N95">
        <v>1</v>
      </c>
      <c r="O95">
        <f t="shared" si="16"/>
        <v>7.9984889855999999</v>
      </c>
      <c r="P95">
        <f>(O95 * (1 -U$11) + (0.04 * O95)) * ( 1 - AF$11 )</f>
        <v>3.2921780664729599</v>
      </c>
      <c r="Q95">
        <f t="shared" si="17"/>
        <v>1.5488723318047602E-4</v>
      </c>
      <c r="R95">
        <f>P95 * AD$11 * AA$11 * AC$11 * AE$11</f>
        <v>1.8544033123251509E-3</v>
      </c>
      <c r="S95">
        <f t="shared" si="18"/>
        <v>0</v>
      </c>
      <c r="T95">
        <f t="shared" si="19"/>
        <v>0</v>
      </c>
      <c r="AO95" t="s">
        <v>81</v>
      </c>
      <c r="AP95" t="s">
        <v>79</v>
      </c>
      <c r="AQ95" s="2" t="s">
        <v>54</v>
      </c>
      <c r="AR95">
        <v>236</v>
      </c>
      <c r="AS95" s="2">
        <v>674</v>
      </c>
      <c r="AT95" s="2">
        <v>178</v>
      </c>
      <c r="AU95">
        <v>310</v>
      </c>
      <c r="AV95">
        <v>428</v>
      </c>
      <c r="AW95">
        <v>466</v>
      </c>
      <c r="AX95">
        <v>193</v>
      </c>
      <c r="AY95">
        <v>370</v>
      </c>
      <c r="AZ95">
        <v>519</v>
      </c>
      <c r="BA95" s="2">
        <v>565</v>
      </c>
    </row>
    <row r="96" spans="1:53" x14ac:dyDescent="0.2">
      <c r="F96" t="s">
        <v>55</v>
      </c>
      <c r="H96">
        <v>520</v>
      </c>
      <c r="I96">
        <v>0.4</v>
      </c>
      <c r="L96">
        <f t="shared" si="15"/>
        <v>0</v>
      </c>
      <c r="N96">
        <v>1</v>
      </c>
      <c r="O96">
        <f t="shared" si="16"/>
        <v>8.8135359375999975</v>
      </c>
      <c r="P96">
        <f>(O96 * (1 -V$11) + (0.04 * O96)) * ( 1 - AF$11 )</f>
        <v>2.8873143731577593</v>
      </c>
      <c r="Q96">
        <f t="shared" si="17"/>
        <v>1.3583959480652805E-4</v>
      </c>
      <c r="R96">
        <f>P96 * AD$11 * AA$11 * AC$11 * AE$11</f>
        <v>1.626353504943911E-3</v>
      </c>
      <c r="S96">
        <f t="shared" si="18"/>
        <v>0</v>
      </c>
      <c r="T96">
        <f t="shared" si="19"/>
        <v>0</v>
      </c>
      <c r="AQ96" s="2" t="s">
        <v>55</v>
      </c>
      <c r="AR96">
        <v>120</v>
      </c>
      <c r="AS96" s="2">
        <v>669</v>
      </c>
      <c r="AT96" s="2">
        <v>112</v>
      </c>
      <c r="AU96">
        <v>250</v>
      </c>
      <c r="AV96">
        <v>390</v>
      </c>
      <c r="AW96">
        <v>448</v>
      </c>
      <c r="AX96">
        <v>115</v>
      </c>
      <c r="AY96">
        <v>273</v>
      </c>
      <c r="AZ96">
        <v>433</v>
      </c>
      <c r="BA96" s="2">
        <v>556</v>
      </c>
    </row>
    <row r="97" spans="5:53" x14ac:dyDescent="0.2">
      <c r="F97" t="s">
        <v>56</v>
      </c>
      <c r="H97">
        <v>550</v>
      </c>
      <c r="I97">
        <v>0.3</v>
      </c>
      <c r="L97">
        <f t="shared" si="15"/>
        <v>0</v>
      </c>
      <c r="N97">
        <v>1</v>
      </c>
      <c r="O97">
        <f t="shared" si="16"/>
        <v>8.940100000000001</v>
      </c>
      <c r="P97">
        <f>(O97 * (1 -W$11) + (0.04 * O97)) * ( 1 - AF$11 )</f>
        <v>3.3042609600000006</v>
      </c>
      <c r="Q97">
        <f t="shared" si="17"/>
        <v>1.5545569755555841E-4</v>
      </c>
      <c r="R97">
        <f>P97 * AD$11 * AA$11 * AC$11 * AE$11</f>
        <v>1.8612093104596994E-3</v>
      </c>
      <c r="S97">
        <f t="shared" si="18"/>
        <v>0</v>
      </c>
      <c r="T97">
        <f t="shared" si="19"/>
        <v>0</v>
      </c>
      <c r="AQ97" s="2" t="s">
        <v>56</v>
      </c>
      <c r="AR97">
        <v>125</v>
      </c>
      <c r="AS97" s="2">
        <v>685</v>
      </c>
      <c r="AT97" s="2">
        <v>140</v>
      </c>
      <c r="AU97">
        <v>277</v>
      </c>
      <c r="AV97">
        <v>407</v>
      </c>
      <c r="AW97">
        <v>455</v>
      </c>
      <c r="AX97">
        <v>141</v>
      </c>
      <c r="AY97">
        <v>296</v>
      </c>
      <c r="AZ97">
        <v>445</v>
      </c>
      <c r="BA97" s="2">
        <v>593</v>
      </c>
    </row>
    <row r="98" spans="5:53" x14ac:dyDescent="0.2">
      <c r="F98" t="s">
        <v>57</v>
      </c>
      <c r="H98">
        <v>560</v>
      </c>
      <c r="I98">
        <v>0.1</v>
      </c>
      <c r="L98">
        <f t="shared" si="15"/>
        <v>0</v>
      </c>
      <c r="N98">
        <v>1</v>
      </c>
      <c r="O98">
        <f t="shared" si="16"/>
        <v>8.6644277315999982</v>
      </c>
      <c r="P98">
        <f>(O98 * (1 -X$11) + (0.04 * O98)) * ( 1 - AF$11 )</f>
        <v>3.9301844190537589</v>
      </c>
      <c r="Q98">
        <f t="shared" si="17"/>
        <v>1.8490354357059897E-4</v>
      </c>
      <c r="R98">
        <f>P98 * AD$11 * AA$11 * AC$11 * AE$11</f>
        <v>2.2137766723384039E-3</v>
      </c>
      <c r="S98">
        <f t="shared" si="18"/>
        <v>0</v>
      </c>
      <c r="T98">
        <f t="shared" si="19"/>
        <v>0</v>
      </c>
      <c r="AQ98" s="2" t="s">
        <v>57</v>
      </c>
      <c r="AR98" s="2">
        <v>180</v>
      </c>
      <c r="AS98" s="2">
        <v>692</v>
      </c>
      <c r="AT98" s="2">
        <v>183</v>
      </c>
      <c r="AU98">
        <v>316</v>
      </c>
      <c r="AV98">
        <v>438</v>
      </c>
      <c r="AW98">
        <v>468</v>
      </c>
      <c r="AX98">
        <v>189</v>
      </c>
      <c r="AY98">
        <v>354</v>
      </c>
      <c r="AZ98">
        <v>500</v>
      </c>
      <c r="BA98" s="2">
        <v>553</v>
      </c>
    </row>
    <row r="99" spans="5:53" x14ac:dyDescent="0.2">
      <c r="E99" t="s">
        <v>44</v>
      </c>
      <c r="F99" t="s">
        <v>54</v>
      </c>
      <c r="H99" cm="1">
        <f t="array" ref="H99:H102">_xlfn.XLOOKUP(E99, $AR$46:$BA$46, $AR$47:$BA$50)</f>
        <v>75</v>
      </c>
      <c r="I99" cm="1">
        <f t="array" ref="I99:I102">_xlfn.XLOOKUP(E99, $AR$106:$BA$106, $AR$107:$BA$110)</f>
        <v>0.5</v>
      </c>
      <c r="L99">
        <f t="shared" si="15"/>
        <v>0</v>
      </c>
      <c r="N99">
        <v>1</v>
      </c>
      <c r="O99">
        <f t="shared" si="16"/>
        <v>2.7834751406249998</v>
      </c>
      <c r="P99">
        <f>(O99 * (1 -U$11) + (0.04 * O99)) * ( 1 - AF$11 )</f>
        <v>1.1456783678812499</v>
      </c>
      <c r="Q99">
        <f t="shared" si="17"/>
        <v>5.390077600084388E-5</v>
      </c>
      <c r="R99">
        <f>P99 * AD$11 * AA$11 * AC$11 * AE$11</f>
        <v>6.4533257842106233E-4</v>
      </c>
      <c r="S99">
        <f t="shared" si="18"/>
        <v>0</v>
      </c>
      <c r="T99">
        <f t="shared" si="19"/>
        <v>0</v>
      </c>
      <c r="AO99" t="s">
        <v>81</v>
      </c>
      <c r="AP99" t="s">
        <v>80</v>
      </c>
      <c r="AQ99" s="2" t="s">
        <v>54</v>
      </c>
      <c r="AR99" s="2">
        <v>190</v>
      </c>
      <c r="AS99" s="2">
        <v>617</v>
      </c>
      <c r="AT99" s="2">
        <v>174</v>
      </c>
      <c r="AU99">
        <v>265</v>
      </c>
      <c r="AV99">
        <v>371</v>
      </c>
      <c r="AW99">
        <v>415</v>
      </c>
      <c r="AX99">
        <v>170</v>
      </c>
      <c r="AY99">
        <v>272</v>
      </c>
      <c r="AZ99">
        <v>392</v>
      </c>
      <c r="BA99" s="2">
        <v>531</v>
      </c>
    </row>
    <row r="100" spans="5:53" x14ac:dyDescent="0.2">
      <c r="F100" t="s">
        <v>55</v>
      </c>
      <c r="H100">
        <v>160</v>
      </c>
      <c r="I100">
        <v>0.9</v>
      </c>
      <c r="L100">
        <f t="shared" si="15"/>
        <v>0</v>
      </c>
      <c r="N100">
        <v>1</v>
      </c>
      <c r="O100">
        <f t="shared" si="16"/>
        <v>4.5298311556000002</v>
      </c>
      <c r="P100">
        <f>(O100 * (1 -V$11) + (0.04 * O100)) * ( 1 - AF$11 )</f>
        <v>1.4839726865745599</v>
      </c>
      <c r="Q100">
        <f t="shared" si="17"/>
        <v>6.9816522344180778E-5</v>
      </c>
      <c r="R100">
        <f>P100 * AD$11 * AA$11 * AC$11 * AE$11</f>
        <v>8.3588548669608228E-4</v>
      </c>
      <c r="S100">
        <f t="shared" si="18"/>
        <v>0</v>
      </c>
      <c r="T100">
        <f t="shared" si="19"/>
        <v>0</v>
      </c>
      <c r="AQ100" s="2" t="s">
        <v>55</v>
      </c>
      <c r="AR100">
        <v>119</v>
      </c>
      <c r="AS100" s="2">
        <v>591</v>
      </c>
      <c r="AT100" s="2">
        <v>140</v>
      </c>
      <c r="AU100">
        <v>205</v>
      </c>
      <c r="AV100">
        <v>310</v>
      </c>
      <c r="AW100">
        <v>405</v>
      </c>
      <c r="AX100">
        <v>133</v>
      </c>
      <c r="AY100">
        <v>218</v>
      </c>
      <c r="AZ100">
        <v>315</v>
      </c>
      <c r="BA100" s="2">
        <v>445</v>
      </c>
    </row>
    <row r="101" spans="5:53" x14ac:dyDescent="0.2">
      <c r="F101" t="s">
        <v>56</v>
      </c>
      <c r="H101">
        <v>220</v>
      </c>
      <c r="I101">
        <v>0.7</v>
      </c>
      <c r="L101">
        <f t="shared" si="15"/>
        <v>0</v>
      </c>
      <c r="N101">
        <v>1</v>
      </c>
      <c r="O101">
        <f t="shared" si="16"/>
        <v>5.1913799715999973</v>
      </c>
      <c r="P101">
        <f>(O101 * (1 -W$11) + (0.04 * O101)) * ( 1 - AF$11 )</f>
        <v>1.918734037503359</v>
      </c>
      <c r="Q101">
        <f t="shared" si="17"/>
        <v>9.0270757011782037E-5</v>
      </c>
      <c r="R101">
        <f>P101 * AD$11 * AA$11 * AC$11 * AE$11</f>
        <v>1.0807759127164039E-3</v>
      </c>
      <c r="S101">
        <f t="shared" si="18"/>
        <v>0</v>
      </c>
      <c r="T101">
        <f t="shared" si="19"/>
        <v>0</v>
      </c>
      <c r="AQ101" s="2" t="s">
        <v>56</v>
      </c>
      <c r="AR101">
        <v>175</v>
      </c>
      <c r="AS101" s="2">
        <v>610</v>
      </c>
      <c r="AT101" s="2">
        <v>163</v>
      </c>
      <c r="AU101">
        <v>232</v>
      </c>
      <c r="AV101">
        <v>351</v>
      </c>
      <c r="AW101">
        <v>427</v>
      </c>
      <c r="AX101">
        <v>146</v>
      </c>
      <c r="AY101">
        <v>242</v>
      </c>
      <c r="AZ101">
        <v>320</v>
      </c>
      <c r="BA101" s="2">
        <v>471</v>
      </c>
    </row>
    <row r="102" spans="5:53" x14ac:dyDescent="0.2">
      <c r="F102" t="s">
        <v>57</v>
      </c>
      <c r="H102">
        <v>260</v>
      </c>
      <c r="I102">
        <v>0.4</v>
      </c>
      <c r="L102">
        <f t="shared" si="15"/>
        <v>0</v>
      </c>
      <c r="N102">
        <v>1</v>
      </c>
      <c r="O102">
        <f t="shared" si="16"/>
        <v>5.3621886096000004</v>
      </c>
      <c r="P102">
        <f>(O102 * (1 -X$11) + (0.04 * O102)) * ( 1 - AF$11 )</f>
        <v>2.4322887533145603</v>
      </c>
      <c r="Q102">
        <f t="shared" si="17"/>
        <v>1.1443198626874025E-4</v>
      </c>
      <c r="R102">
        <f>P102 * AD$11 * AA$11 * AC$11 * AE$11</f>
        <v>1.3700487123134107E-3</v>
      </c>
      <c r="S102">
        <f t="shared" si="18"/>
        <v>0</v>
      </c>
      <c r="T102">
        <f t="shared" si="19"/>
        <v>0</v>
      </c>
      <c r="AQ102" s="2" t="s">
        <v>57</v>
      </c>
      <c r="AR102">
        <v>192</v>
      </c>
      <c r="AS102" s="2">
        <v>615</v>
      </c>
      <c r="AT102" s="2">
        <v>162</v>
      </c>
      <c r="AU102">
        <v>255</v>
      </c>
      <c r="AV102">
        <v>364</v>
      </c>
      <c r="AW102">
        <v>420</v>
      </c>
      <c r="AX102">
        <v>157</v>
      </c>
      <c r="AY102">
        <v>261</v>
      </c>
      <c r="AZ102">
        <v>342</v>
      </c>
      <c r="BA102" s="2">
        <v>484</v>
      </c>
    </row>
    <row r="103" spans="5:53" x14ac:dyDescent="0.2">
      <c r="E103" t="s">
        <v>45</v>
      </c>
      <c r="F103" t="s">
        <v>54</v>
      </c>
      <c r="H103" cm="1">
        <f t="array" ref="H103:H106">_xlfn.XLOOKUP(E103, $AR$46:$BA$46, $AR$47:$BA$50)</f>
        <v>300</v>
      </c>
      <c r="I103" cm="1">
        <f t="array" ref="I103:I106">_xlfn.XLOOKUP(E103, $AR$106:$BA$106, $AR$107:$BA$110)</f>
        <v>0.4</v>
      </c>
      <c r="L103">
        <f t="shared" si="15"/>
        <v>0</v>
      </c>
      <c r="N103">
        <v>1</v>
      </c>
      <c r="O103">
        <f t="shared" si="16"/>
        <v>5.9487209999999981</v>
      </c>
      <c r="P103">
        <f>(O103 * (1 -U$11) + (0.04 * O103)) * ( 1 - AF$11 )</f>
        <v>2.4484935635999991</v>
      </c>
      <c r="Q103">
        <f t="shared" si="17"/>
        <v>1.1519437462643171E-4</v>
      </c>
      <c r="R103">
        <f>P103 * AD$11 * AA$11 * AC$11 * AE$11</f>
        <v>1.3791764852534424E-3</v>
      </c>
      <c r="S103">
        <f t="shared" si="18"/>
        <v>0</v>
      </c>
      <c r="T103">
        <f t="shared" si="19"/>
        <v>0</v>
      </c>
    </row>
    <row r="104" spans="5:53" x14ac:dyDescent="0.2">
      <c r="F104" t="s">
        <v>55</v>
      </c>
      <c r="H104">
        <v>360</v>
      </c>
      <c r="I104">
        <v>0.7</v>
      </c>
      <c r="L104">
        <f t="shared" si="15"/>
        <v>0</v>
      </c>
      <c r="N104">
        <v>1</v>
      </c>
      <c r="O104">
        <f t="shared" si="16"/>
        <v>7.3058846435999998</v>
      </c>
      <c r="P104">
        <f>(O104 * (1 -V$11) + (0.04 * O104)) * ( 1 - AF$11 )</f>
        <v>2.3934078092433602</v>
      </c>
      <c r="Q104">
        <f t="shared" si="17"/>
        <v>1.1260275293778476E-4</v>
      </c>
      <c r="R104">
        <f>P104 * AD$11 * AA$11 * AC$11 * AE$11</f>
        <v>1.3481480283236143E-3</v>
      </c>
      <c r="S104">
        <f t="shared" si="18"/>
        <v>0</v>
      </c>
      <c r="T104">
        <f t="shared" si="19"/>
        <v>0</v>
      </c>
    </row>
    <row r="105" spans="5:53" x14ac:dyDescent="0.2">
      <c r="F105" t="s">
        <v>56</v>
      </c>
      <c r="H105">
        <v>390</v>
      </c>
      <c r="I105">
        <v>0.3</v>
      </c>
      <c r="L105">
        <f t="shared" si="15"/>
        <v>0</v>
      </c>
      <c r="N105">
        <v>1</v>
      </c>
      <c r="O105">
        <f t="shared" si="16"/>
        <v>7.0471135296000007</v>
      </c>
      <c r="P105">
        <f>(O105 * (1 -W$11) + (0.04 * O105)) * ( 1 - AF$11 )</f>
        <v>2.6046131605401603</v>
      </c>
      <c r="Q105">
        <f t="shared" si="17"/>
        <v>1.2253933954845938E-4</v>
      </c>
      <c r="R105">
        <f>P105 * AD$11 * AA$11 * AC$11 * AE$11</f>
        <v>1.4671148324021022E-3</v>
      </c>
      <c r="S105">
        <f t="shared" si="18"/>
        <v>0</v>
      </c>
      <c r="T105">
        <f t="shared" si="19"/>
        <v>0</v>
      </c>
    </row>
    <row r="106" spans="5:53" x14ac:dyDescent="0.2">
      <c r="F106" t="s">
        <v>57</v>
      </c>
      <c r="H106">
        <v>410</v>
      </c>
      <c r="I106">
        <v>0.2</v>
      </c>
      <c r="L106">
        <f t="shared" si="15"/>
        <v>0</v>
      </c>
      <c r="N106">
        <v>1</v>
      </c>
      <c r="O106">
        <f t="shared" si="16"/>
        <v>7.1414010756000028</v>
      </c>
      <c r="P106">
        <f>(O106 * (1 -X$11) + (0.04 * O106)) * ( 1 - AF$11 )</f>
        <v>3.2393395278921613</v>
      </c>
      <c r="Q106">
        <f t="shared" si="17"/>
        <v>1.5240133634232363E-4</v>
      </c>
      <c r="R106">
        <f>P106 * AD$11 * AA$11 * AC$11 * AE$11</f>
        <v>1.8246406570300113E-3</v>
      </c>
      <c r="S106">
        <f t="shared" si="18"/>
        <v>0</v>
      </c>
      <c r="T106">
        <f t="shared" si="19"/>
        <v>0</v>
      </c>
      <c r="AO106" t="s">
        <v>60</v>
      </c>
      <c r="AR106" s="4" t="s">
        <v>42</v>
      </c>
      <c r="AS106" s="4" t="s">
        <v>43</v>
      </c>
      <c r="AT106" s="4" t="s">
        <v>44</v>
      </c>
      <c r="AU106" s="5" t="s">
        <v>45</v>
      </c>
      <c r="AV106" s="4" t="s">
        <v>46</v>
      </c>
      <c r="AW106" s="4" t="s">
        <v>47</v>
      </c>
      <c r="AX106" s="4" t="s">
        <v>48</v>
      </c>
      <c r="AY106" s="4" t="s">
        <v>49</v>
      </c>
      <c r="AZ106" s="4" t="s">
        <v>50</v>
      </c>
      <c r="BA106" s="4" t="s">
        <v>51</v>
      </c>
    </row>
    <row r="107" spans="5:53" x14ac:dyDescent="0.2">
      <c r="E107" t="s">
        <v>46</v>
      </c>
      <c r="F107" t="s">
        <v>54</v>
      </c>
      <c r="G107">
        <v>100</v>
      </c>
      <c r="H107" cm="1">
        <f t="array" ref="H107:H110">_xlfn.XLOOKUP(E107, $AR$46:$BA$46, $AR$47:$BA$50)</f>
        <v>440</v>
      </c>
      <c r="I107" cm="1">
        <f t="array" ref="I107:I110">_xlfn.XLOOKUP(E107, $AR$106:$BA$106, $AR$107:$BA$110)</f>
        <v>0.3</v>
      </c>
      <c r="J107">
        <v>0.7</v>
      </c>
      <c r="L107">
        <f t="shared" si="15"/>
        <v>0.7</v>
      </c>
      <c r="M107">
        <f>1+(0.3*J107)+(0.1*K107)</f>
        <v>1.21</v>
      </c>
      <c r="N107">
        <f>(L107*M107)+(1 - L107)</f>
        <v>1.147</v>
      </c>
      <c r="O107">
        <f>(1.185 + 0.00454 * H107 - 0.0000026 * H107^2 + 0.315 * I107)^2 * N107</f>
        <v>8.8245977249772007</v>
      </c>
      <c r="P107">
        <f>(O107 * (1 -U$11) + (0.04 * O107)) * ( 1 - AF$11 )</f>
        <v>3.6322044236006152</v>
      </c>
      <c r="Q107">
        <f t="shared" si="17"/>
        <v>1.7088446680531508E-4</v>
      </c>
      <c r="R107">
        <f>P107 * AD$11 * AA$11 * AC$11 * AE$11</f>
        <v>2.0459318354499366E-3</v>
      </c>
      <c r="S107">
        <f t="shared" si="18"/>
        <v>1.5593207595984999</v>
      </c>
      <c r="T107">
        <f t="shared" si="19"/>
        <v>18.669127998480672</v>
      </c>
      <c r="AO107" t="s">
        <v>53</v>
      </c>
      <c r="AQ107" t="s">
        <v>54</v>
      </c>
      <c r="AR107">
        <v>0.5</v>
      </c>
      <c r="AS107">
        <v>0.2</v>
      </c>
      <c r="AT107">
        <v>0.5</v>
      </c>
      <c r="AU107">
        <v>0.4</v>
      </c>
      <c r="AV107">
        <v>0.3</v>
      </c>
      <c r="AW107">
        <v>0.3</v>
      </c>
      <c r="AX107">
        <v>0.5</v>
      </c>
      <c r="AY107">
        <v>0.4</v>
      </c>
      <c r="AZ107">
        <v>0.4</v>
      </c>
      <c r="BA107">
        <v>0.4</v>
      </c>
    </row>
    <row r="108" spans="5:53" x14ac:dyDescent="0.2">
      <c r="F108" t="s">
        <v>55</v>
      </c>
      <c r="G108">
        <v>110</v>
      </c>
      <c r="H108">
        <v>470</v>
      </c>
      <c r="I108">
        <v>0.3</v>
      </c>
      <c r="J108">
        <v>0.3</v>
      </c>
      <c r="K108">
        <v>0.7</v>
      </c>
      <c r="L108">
        <f t="shared" si="15"/>
        <v>1</v>
      </c>
      <c r="M108">
        <f t="shared" ref="M108:M114" si="20">1+(0.3*J108)+(0.1*K108)</f>
        <v>1.1600000000000001</v>
      </c>
      <c r="N108">
        <f t="shared" ref="N108:N114" si="21">(L108*M108)+(1 - L108)</f>
        <v>1.1600000000000001</v>
      </c>
      <c r="O108">
        <f t="shared" ref="O108:O130" si="22">(1.185 + 0.00454 * H108 - 0.0000026 * H108^2 + 0.315 * I108)^2 * N108</f>
        <v>9.3492449026560021</v>
      </c>
      <c r="P108">
        <f>(O108 * (1 -V$11) + (0.04 * O108)) * ( 1 - AF$11 )</f>
        <v>3.0628126301101064</v>
      </c>
      <c r="Q108">
        <f t="shared" si="17"/>
        <v>1.4409626832129538E-4</v>
      </c>
      <c r="R108">
        <f>P108 * AD$11 * AA$11 * AC$11 * AE$11</f>
        <v>1.7252073768878379E-3</v>
      </c>
      <c r="S108">
        <f t="shared" si="18"/>
        <v>1.4463662932750025</v>
      </c>
      <c r="T108">
        <f t="shared" si="19"/>
        <v>17.316769045511673</v>
      </c>
      <c r="AQ108" t="s">
        <v>55</v>
      </c>
      <c r="AR108">
        <v>1</v>
      </c>
      <c r="AS108">
        <v>0.4</v>
      </c>
      <c r="AT108">
        <v>0.9</v>
      </c>
      <c r="AU108">
        <v>0.7</v>
      </c>
      <c r="AV108">
        <v>0.3</v>
      </c>
      <c r="AW108">
        <v>0.3</v>
      </c>
      <c r="AX108">
        <v>0.9</v>
      </c>
      <c r="AY108">
        <v>0.4</v>
      </c>
      <c r="AZ108">
        <v>0.4</v>
      </c>
      <c r="BA108">
        <v>0.4</v>
      </c>
    </row>
    <row r="109" spans="5:53" x14ac:dyDescent="0.2">
      <c r="F109" t="s">
        <v>56</v>
      </c>
      <c r="G109">
        <v>120</v>
      </c>
      <c r="H109">
        <v>490</v>
      </c>
      <c r="I109">
        <v>0.2</v>
      </c>
      <c r="J109">
        <v>0</v>
      </c>
      <c r="K109">
        <v>0.3</v>
      </c>
      <c r="L109">
        <f t="shared" si="15"/>
        <v>0.3</v>
      </c>
      <c r="M109">
        <f t="shared" si="20"/>
        <v>1.03</v>
      </c>
      <c r="N109">
        <f t="shared" si="21"/>
        <v>1.0089999999999999</v>
      </c>
      <c r="O109">
        <f t="shared" si="22"/>
        <v>8.1860581224004001</v>
      </c>
      <c r="P109">
        <f>(O109 * (1 -W$11) + (0.04 * O109)) * ( 1 - AF$11 )</f>
        <v>3.0255670820391876</v>
      </c>
      <c r="Q109">
        <f t="shared" si="17"/>
        <v>1.4234397553138095E-4</v>
      </c>
      <c r="R109">
        <f>P109 * AD$11 * AA$11 * AC$11 * AE$11</f>
        <v>1.7042278714305059E-3</v>
      </c>
      <c r="S109">
        <f t="shared" si="18"/>
        <v>1.5586665320686215</v>
      </c>
      <c r="T109">
        <f t="shared" si="19"/>
        <v>18.66129519216404</v>
      </c>
      <c r="AQ109" t="s">
        <v>56</v>
      </c>
      <c r="AR109">
        <v>0.8</v>
      </c>
      <c r="AS109">
        <v>0.3</v>
      </c>
      <c r="AT109">
        <v>0.7</v>
      </c>
      <c r="AU109">
        <v>0.3</v>
      </c>
      <c r="AV109">
        <v>0.2</v>
      </c>
      <c r="AW109">
        <v>0.2</v>
      </c>
      <c r="AX109">
        <v>0.7</v>
      </c>
      <c r="AY109">
        <v>0.3</v>
      </c>
      <c r="AZ109">
        <v>0.3</v>
      </c>
      <c r="BA109">
        <v>0.3</v>
      </c>
    </row>
    <row r="110" spans="5:53" x14ac:dyDescent="0.2">
      <c r="F110" t="s">
        <v>57</v>
      </c>
      <c r="G110">
        <v>130</v>
      </c>
      <c r="H110">
        <v>500</v>
      </c>
      <c r="I110">
        <v>0.1</v>
      </c>
      <c r="J110">
        <v>0</v>
      </c>
      <c r="K110">
        <v>0</v>
      </c>
      <c r="L110">
        <f t="shared" si="15"/>
        <v>0</v>
      </c>
      <c r="M110">
        <f t="shared" si="20"/>
        <v>1</v>
      </c>
      <c r="N110">
        <f t="shared" si="21"/>
        <v>1</v>
      </c>
      <c r="O110">
        <f t="shared" si="22"/>
        <v>8.0457322500000004</v>
      </c>
      <c r="P110">
        <f>(O110 * (1 -X$11) + (0.04 * O110)) * ( 1 - AF$11 )</f>
        <v>3.6495441486</v>
      </c>
      <c r="Q110">
        <f t="shared" si="17"/>
        <v>1.7170024954095013E-4</v>
      </c>
      <c r="R110">
        <f>P110 * AD$11 * AA$11 * AC$11 * AE$11</f>
        <v>2.0556988780656223E-3</v>
      </c>
      <c r="S110">
        <f t="shared" si="18"/>
        <v>2.0367942101795209</v>
      </c>
      <c r="T110">
        <f t="shared" si="19"/>
        <v>24.385727941053442</v>
      </c>
      <c r="AQ110" t="s">
        <v>57</v>
      </c>
      <c r="AR110">
        <v>0.4</v>
      </c>
      <c r="AS110">
        <v>0.1</v>
      </c>
      <c r="AT110">
        <v>0.4</v>
      </c>
      <c r="AU110">
        <v>0.2</v>
      </c>
      <c r="AV110">
        <v>0.1</v>
      </c>
      <c r="AW110">
        <v>0.1</v>
      </c>
      <c r="AX110">
        <v>0.4</v>
      </c>
      <c r="AY110">
        <v>0.1</v>
      </c>
      <c r="AZ110">
        <v>0.1</v>
      </c>
      <c r="BA110">
        <v>0.1</v>
      </c>
    </row>
    <row r="111" spans="5:53" x14ac:dyDescent="0.2">
      <c r="E111" t="s">
        <v>47</v>
      </c>
      <c r="F111" t="s">
        <v>54</v>
      </c>
      <c r="G111" s="10">
        <v>50</v>
      </c>
      <c r="H111" cm="1">
        <f t="array" ref="H111:H114">_xlfn.XLOOKUP(E111, $AR$46:$BA$46, $AR$47:$BA$50)</f>
        <v>440</v>
      </c>
      <c r="I111" cm="1">
        <f t="array" ref="I111:I114">_xlfn.XLOOKUP(E111, $AR$106:$BA$106, $AR$107:$BA$110)</f>
        <v>0.3</v>
      </c>
      <c r="J111">
        <v>0.6</v>
      </c>
      <c r="K111">
        <v>0.4</v>
      </c>
      <c r="L111">
        <f t="shared" si="15"/>
        <v>1</v>
      </c>
      <c r="M111">
        <f t="shared" si="20"/>
        <v>1.22</v>
      </c>
      <c r="N111">
        <f t="shared" si="21"/>
        <v>1.22</v>
      </c>
      <c r="O111">
        <f t="shared" si="22"/>
        <v>9.3862329768720016</v>
      </c>
      <c r="P111">
        <f>(O111 * (1 -U$11) + (0.04 * O111)) * ( 1 - AF$11 )</f>
        <v>3.8633734932805153</v>
      </c>
      <c r="Q111">
        <f t="shared" si="17"/>
        <v>1.8176028727330814E-4</v>
      </c>
      <c r="R111">
        <f>P111 * AD$11 * AA$11 * AC$11 * AE$11</f>
        <v>2.1761437133817987E-3</v>
      </c>
      <c r="S111">
        <f t="shared" si="18"/>
        <v>0.82928131068446842</v>
      </c>
      <c r="T111">
        <f t="shared" si="19"/>
        <v>9.9286556923044564</v>
      </c>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5:53" x14ac:dyDescent="0.2">
      <c r="F112" t="s">
        <v>55</v>
      </c>
      <c r="G112" s="10">
        <v>60</v>
      </c>
      <c r="H112">
        <v>470</v>
      </c>
      <c r="I112">
        <v>0.3</v>
      </c>
      <c r="J112">
        <v>0</v>
      </c>
      <c r="K112">
        <v>0.6</v>
      </c>
      <c r="L112">
        <f t="shared" si="15"/>
        <v>0.6</v>
      </c>
      <c r="M112">
        <f t="shared" si="20"/>
        <v>1.06</v>
      </c>
      <c r="N112">
        <f t="shared" si="21"/>
        <v>1.036</v>
      </c>
      <c r="O112">
        <f t="shared" si="22"/>
        <v>8.349842861337601</v>
      </c>
      <c r="P112">
        <f>(O112 * (1 -V$11) + (0.04 * O112)) * ( 1 - AF$11 )</f>
        <v>2.7354085213741977</v>
      </c>
      <c r="Q112">
        <f t="shared" si="17"/>
        <v>1.2869287412143273E-4</v>
      </c>
      <c r="R112">
        <f>P112 * AD$11 * AA$11 * AC$11 * AE$11</f>
        <v>1.5407886572894824E-3</v>
      </c>
      <c r="S112">
        <f t="shared" si="18"/>
        <v>0.70459348581484416</v>
      </c>
      <c r="T112">
        <f t="shared" si="19"/>
        <v>8.4358178986599164</v>
      </c>
      <c r="AQ112" t="s">
        <v>55</v>
      </c>
      <c r="AR112">
        <v>0.77</v>
      </c>
      <c r="AS112">
        <v>0</v>
      </c>
      <c r="AT112">
        <v>0.66</v>
      </c>
      <c r="AU112">
        <v>0.22</v>
      </c>
      <c r="AV112">
        <v>0</v>
      </c>
      <c r="AW112">
        <v>0</v>
      </c>
      <c r="AX112">
        <v>0.66</v>
      </c>
      <c r="AY112">
        <v>0</v>
      </c>
      <c r="AZ112">
        <v>0</v>
      </c>
      <c r="BA112">
        <v>0</v>
      </c>
    </row>
    <row r="113" spans="5:53" x14ac:dyDescent="0.2">
      <c r="F113" t="s">
        <v>56</v>
      </c>
      <c r="G113" s="10">
        <v>70</v>
      </c>
      <c r="H113">
        <v>490</v>
      </c>
      <c r="I113">
        <v>0.2</v>
      </c>
      <c r="J113">
        <v>0</v>
      </c>
      <c r="K113">
        <v>0</v>
      </c>
      <c r="L113">
        <f t="shared" si="15"/>
        <v>0</v>
      </c>
      <c r="M113">
        <f t="shared" si="20"/>
        <v>1</v>
      </c>
      <c r="N113">
        <f t="shared" si="21"/>
        <v>1</v>
      </c>
      <c r="O113">
        <f t="shared" si="22"/>
        <v>8.1130407556000002</v>
      </c>
      <c r="P113">
        <f>(O113 * (1 -W$11) + (0.04 * O113)) * ( 1 - AF$11 )</f>
        <v>2.99857986326976</v>
      </c>
      <c r="Q113">
        <f t="shared" si="17"/>
        <v>1.4107430677044692E-4</v>
      </c>
      <c r="R113">
        <f>P113 * AD$11 * AA$11 * AC$11 * AE$11</f>
        <v>1.6890266317448027E-3</v>
      </c>
      <c r="S113">
        <f t="shared" si="18"/>
        <v>0.90111213449622973</v>
      </c>
      <c r="T113">
        <f t="shared" si="19"/>
        <v>10.788657610269928</v>
      </c>
      <c r="AQ113" t="s">
        <v>56</v>
      </c>
      <c r="AR113">
        <v>0.9</v>
      </c>
      <c r="AS113">
        <v>-1.1000000000000001</v>
      </c>
      <c r="AT113">
        <v>0.7</v>
      </c>
      <c r="AU113">
        <v>0.22</v>
      </c>
      <c r="AV113">
        <v>-0.55000000000000004</v>
      </c>
      <c r="AW113">
        <v>-0.55000000000000004</v>
      </c>
      <c r="AX113">
        <v>0.8</v>
      </c>
      <c r="AY113">
        <v>-0.22</v>
      </c>
      <c r="AZ113">
        <v>-0.22</v>
      </c>
      <c r="BA113">
        <v>-0.22</v>
      </c>
    </row>
    <row r="114" spans="5:53" x14ac:dyDescent="0.2">
      <c r="F114" t="s">
        <v>57</v>
      </c>
      <c r="G114" s="10">
        <v>80</v>
      </c>
      <c r="H114">
        <v>500</v>
      </c>
      <c r="I114">
        <v>0.1</v>
      </c>
      <c r="J114">
        <v>0.4</v>
      </c>
      <c r="K114">
        <v>0</v>
      </c>
      <c r="L114">
        <f t="shared" si="15"/>
        <v>0.4</v>
      </c>
      <c r="M114">
        <f t="shared" si="20"/>
        <v>1.1200000000000001</v>
      </c>
      <c r="N114">
        <f t="shared" si="21"/>
        <v>1.048</v>
      </c>
      <c r="O114">
        <f t="shared" si="22"/>
        <v>8.4319273980000009</v>
      </c>
      <c r="P114">
        <f>(O114 * (1 -X$11) + (0.04 * O114)) * ( 1 - AF$11 )</f>
        <v>3.8247222677328003</v>
      </c>
      <c r="Q114">
        <f t="shared" si="17"/>
        <v>1.7994186151891575E-4</v>
      </c>
      <c r="R114">
        <f>P114 * AD$11 * AA$11 * AC$11 * AE$11</f>
        <v>2.154372424212772E-3</v>
      </c>
      <c r="S114">
        <f t="shared" si="18"/>
        <v>1.3135755890880849</v>
      </c>
      <c r="T114">
        <f t="shared" si="19"/>
        <v>15.726918696753236</v>
      </c>
      <c r="AQ114" t="s">
        <v>57</v>
      </c>
      <c r="AR114">
        <v>0.88</v>
      </c>
      <c r="AS114">
        <v>0</v>
      </c>
      <c r="AT114">
        <v>0.77</v>
      </c>
      <c r="AU114" s="2">
        <v>0.55000000000000004</v>
      </c>
      <c r="AV114" s="2">
        <v>0</v>
      </c>
      <c r="AW114" s="2">
        <v>0</v>
      </c>
      <c r="AX114" s="2">
        <v>0.82</v>
      </c>
      <c r="AY114" s="2">
        <v>0</v>
      </c>
      <c r="AZ114" s="2">
        <v>0</v>
      </c>
      <c r="BA114" s="2">
        <v>0</v>
      </c>
    </row>
    <row r="115" spans="5:53" x14ac:dyDescent="0.2">
      <c r="E115" t="s">
        <v>48</v>
      </c>
      <c r="F115" t="s">
        <v>54</v>
      </c>
      <c r="G115">
        <v>200</v>
      </c>
      <c r="H115" cm="1">
        <f t="array" ref="H115:H118">_xlfn.XLOOKUP(E115, $AR$46:$BA$46, $AR$47:$BA$50)</f>
        <v>75</v>
      </c>
      <c r="I115" cm="1">
        <f t="array" ref="I115:I118">_xlfn.XLOOKUP(E115, $AR$106:$BA$106, $AR$107:$BA$110)</f>
        <v>0.5</v>
      </c>
      <c r="L115">
        <f t="shared" si="15"/>
        <v>0</v>
      </c>
      <c r="N115">
        <v>1</v>
      </c>
      <c r="O115">
        <f t="shared" si="22"/>
        <v>2.7834751406249998</v>
      </c>
      <c r="P115">
        <f>(O115 * (1 -U$11) + (0.04 * O115)) * ( 1 - AF$11 )</f>
        <v>1.1456783678812499</v>
      </c>
      <c r="Q115">
        <f t="shared" si="17"/>
        <v>5.390077600084388E-5</v>
      </c>
      <c r="R115">
        <f>P115 * AD$11 * AA$11 * AC$11 * AE$11</f>
        <v>6.4533257842106233E-4</v>
      </c>
      <c r="S115">
        <f t="shared" si="18"/>
        <v>0.98368916201540069</v>
      </c>
      <c r="T115">
        <f t="shared" si="19"/>
        <v>11.777319556184386</v>
      </c>
      <c r="AO115" t="s">
        <v>69</v>
      </c>
      <c r="AQ115" t="s">
        <v>54</v>
      </c>
      <c r="AR115">
        <v>1</v>
      </c>
      <c r="AS115">
        <v>0.5</v>
      </c>
      <c r="AT115">
        <v>1</v>
      </c>
      <c r="AU115" s="2">
        <v>1</v>
      </c>
      <c r="AV115" s="2">
        <v>-0.44</v>
      </c>
      <c r="AW115" s="2">
        <v>-0.44</v>
      </c>
      <c r="AX115" s="2">
        <v>1</v>
      </c>
      <c r="AY115" s="2">
        <v>0.5</v>
      </c>
      <c r="AZ115" s="2">
        <v>0.5</v>
      </c>
      <c r="BA115" s="2">
        <v>0.5</v>
      </c>
    </row>
    <row r="116" spans="5:53" x14ac:dyDescent="0.2">
      <c r="F116" t="s">
        <v>55</v>
      </c>
      <c r="G116">
        <v>130</v>
      </c>
      <c r="H116">
        <v>160</v>
      </c>
      <c r="I116">
        <v>0.9</v>
      </c>
      <c r="L116">
        <f t="shared" si="15"/>
        <v>0</v>
      </c>
      <c r="N116">
        <v>1</v>
      </c>
      <c r="O116">
        <f t="shared" si="22"/>
        <v>4.5298311556000002</v>
      </c>
      <c r="P116">
        <f>(O116 * (1 -V$11) + (0.04 * O116)) * ( 1 - AF$11 )</f>
        <v>1.4839726865745599</v>
      </c>
      <c r="Q116">
        <f t="shared" si="17"/>
        <v>6.9816522344180778E-5</v>
      </c>
      <c r="R116">
        <f>P116 * AD$11 * AA$11 * AC$11 * AE$11</f>
        <v>8.3588548669608228E-4</v>
      </c>
      <c r="S116">
        <f t="shared" si="18"/>
        <v>0.82819849630784437</v>
      </c>
      <c r="T116">
        <f t="shared" si="19"/>
        <v>9.9156915859322758</v>
      </c>
      <c r="AQ116" t="s">
        <v>55</v>
      </c>
      <c r="AR116">
        <v>0.82</v>
      </c>
      <c r="AS116">
        <v>0.55000000000000004</v>
      </c>
      <c r="AT116">
        <v>0.71</v>
      </c>
      <c r="AU116" s="2">
        <v>0.55000000000000004</v>
      </c>
      <c r="AV116" s="2">
        <v>0.99</v>
      </c>
      <c r="AW116" s="2">
        <v>0.99</v>
      </c>
      <c r="AX116" s="2">
        <v>0.77</v>
      </c>
      <c r="AY116" s="2">
        <v>0.5</v>
      </c>
      <c r="AZ116" s="2">
        <v>0.5</v>
      </c>
      <c r="BA116" s="2">
        <v>0.5</v>
      </c>
    </row>
    <row r="117" spans="5:53" x14ac:dyDescent="0.2">
      <c r="F117" t="s">
        <v>56</v>
      </c>
      <c r="G117">
        <v>250</v>
      </c>
      <c r="H117">
        <v>220</v>
      </c>
      <c r="I117">
        <v>0.7</v>
      </c>
      <c r="L117">
        <f t="shared" si="15"/>
        <v>0</v>
      </c>
      <c r="N117">
        <v>1</v>
      </c>
      <c r="O117">
        <f t="shared" si="22"/>
        <v>5.1913799715999973</v>
      </c>
      <c r="P117">
        <f>(O117 * (1 -W$11) + (0.04 * O117)) * ( 1 - AF$11 )</f>
        <v>1.918734037503359</v>
      </c>
      <c r="Q117">
        <f t="shared" si="17"/>
        <v>9.0270757011782037E-5</v>
      </c>
      <c r="R117">
        <f>P117 * AD$11 * AA$11 * AC$11 * AE$11</f>
        <v>1.0807759127164039E-3</v>
      </c>
      <c r="S117">
        <f t="shared" si="18"/>
        <v>2.0593016443312777</v>
      </c>
      <c r="T117">
        <f t="shared" si="19"/>
        <v>24.655200508842963</v>
      </c>
      <c r="AQ117" t="s">
        <v>56</v>
      </c>
      <c r="AR117">
        <v>0.77</v>
      </c>
      <c r="AS117">
        <v>0.5</v>
      </c>
      <c r="AT117">
        <v>0.55000000000000004</v>
      </c>
      <c r="AU117" s="2">
        <v>0.11</v>
      </c>
      <c r="AV117" s="2">
        <v>-0.33</v>
      </c>
      <c r="AW117" s="2">
        <v>-0.33</v>
      </c>
      <c r="AX117" s="2">
        <v>0.6</v>
      </c>
      <c r="AY117" s="2">
        <v>0.33</v>
      </c>
      <c r="AZ117" s="2">
        <v>0.33</v>
      </c>
      <c r="BA117" s="2">
        <v>0.33</v>
      </c>
    </row>
    <row r="118" spans="5:53" x14ac:dyDescent="0.2">
      <c r="F118" t="s">
        <v>57</v>
      </c>
      <c r="G118">
        <v>150</v>
      </c>
      <c r="H118">
        <v>260</v>
      </c>
      <c r="I118">
        <v>0.4</v>
      </c>
      <c r="N118">
        <v>1</v>
      </c>
      <c r="O118">
        <f t="shared" si="22"/>
        <v>5.3621886096000004</v>
      </c>
      <c r="P118">
        <f>(O118 * (1 -X$11) + (0.04 * O118)) * ( 1 - AF$11 )</f>
        <v>2.4322887533145603</v>
      </c>
      <c r="Q118">
        <f t="shared" si="17"/>
        <v>1.1443198626874025E-4</v>
      </c>
      <c r="R118">
        <f>P118 * AD$11 * AA$11 * AC$11 * AE$11</f>
        <v>1.3700487123134107E-3</v>
      </c>
      <c r="S118">
        <f t="shared" si="18"/>
        <v>1.5662878120533821</v>
      </c>
      <c r="T118">
        <f t="shared" si="19"/>
        <v>18.75254174978981</v>
      </c>
      <c r="AQ118" t="s">
        <v>57</v>
      </c>
      <c r="AR118">
        <v>0.11</v>
      </c>
      <c r="AS118">
        <v>-0.27</v>
      </c>
      <c r="AT118">
        <v>0.11</v>
      </c>
      <c r="AU118" s="2">
        <v>0.22</v>
      </c>
      <c r="AV118" s="2">
        <v>-0.44</v>
      </c>
      <c r="AW118" s="2">
        <v>-0.44</v>
      </c>
      <c r="AX118" s="2">
        <v>0.16</v>
      </c>
      <c r="AY118" s="2">
        <v>-0.22</v>
      </c>
      <c r="AZ118" s="2">
        <v>-0.22</v>
      </c>
      <c r="BA118" s="2">
        <v>-0.22</v>
      </c>
    </row>
    <row r="119" spans="5:53" x14ac:dyDescent="0.2">
      <c r="E119" t="s">
        <v>49</v>
      </c>
      <c r="F119" t="s">
        <v>54</v>
      </c>
      <c r="H119" cm="1">
        <f t="array" ref="H119:H122">_xlfn.XLOOKUP(E119, $AR$46:$BA$46, $AR$47:$BA$50)</f>
        <v>380</v>
      </c>
      <c r="I119" cm="1">
        <f t="array" ref="I119:I122">_xlfn.XLOOKUP(E119, $AR$106:$BA$106, $AR$107:$BA$110)</f>
        <v>0.4</v>
      </c>
      <c r="N119">
        <v>1</v>
      </c>
      <c r="O119">
        <f t="shared" si="22"/>
        <v>7.0796437775999967</v>
      </c>
      <c r="P119">
        <f>(O119 * (1 -U$11) + (0.04 * O119)) * ( 1 - AF$11 )</f>
        <v>2.9139813788601581</v>
      </c>
      <c r="Q119">
        <f t="shared" si="17"/>
        <v>1.37094198490489E-4</v>
      </c>
      <c r="R119">
        <f>P119 * AD$11 * AA$11 * AC$11 * AE$11</f>
        <v>1.6413743764477724E-3</v>
      </c>
      <c r="S119">
        <f t="shared" si="18"/>
        <v>0</v>
      </c>
      <c r="T119">
        <f t="shared" si="19"/>
        <v>0</v>
      </c>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5:53" x14ac:dyDescent="0.2">
      <c r="F120" t="s">
        <v>55</v>
      </c>
      <c r="H120">
        <v>420</v>
      </c>
      <c r="I120">
        <v>0.4</v>
      </c>
      <c r="N120">
        <v>1</v>
      </c>
      <c r="O120">
        <f t="shared" si="22"/>
        <v>7.6129639056</v>
      </c>
      <c r="P120">
        <f>(O120 * (1 -V$11) + (0.04 * O120)) * ( 1 - AF$11 )</f>
        <v>2.49400697547456</v>
      </c>
      <c r="Q120">
        <f t="shared" si="17"/>
        <v>1.1733564593543065E-4</v>
      </c>
      <c r="R120">
        <f>P120 * AD$11 * AA$11 * AC$11 * AE$11</f>
        <v>1.4048130759940598E-3</v>
      </c>
      <c r="S120">
        <f t="shared" si="18"/>
        <v>0</v>
      </c>
      <c r="T120">
        <f t="shared" si="19"/>
        <v>0</v>
      </c>
      <c r="AQ120" t="s">
        <v>55</v>
      </c>
      <c r="AR120">
        <v>0.33</v>
      </c>
      <c r="AS120">
        <v>0.33</v>
      </c>
      <c r="AT120">
        <v>0.22</v>
      </c>
      <c r="AU120" s="2">
        <v>0.33</v>
      </c>
      <c r="AV120" s="2">
        <v>-0.1</v>
      </c>
      <c r="AW120" s="2">
        <v>-0.1</v>
      </c>
      <c r="AX120" s="2">
        <v>0.33</v>
      </c>
      <c r="AY120" s="2">
        <v>0.11</v>
      </c>
      <c r="AZ120" s="2">
        <v>0.11</v>
      </c>
      <c r="BA120" s="2">
        <v>0.11</v>
      </c>
    </row>
    <row r="121" spans="5:53" x14ac:dyDescent="0.2">
      <c r="F121" t="s">
        <v>56</v>
      </c>
      <c r="H121">
        <v>450</v>
      </c>
      <c r="I121">
        <v>0.3</v>
      </c>
      <c r="N121">
        <v>1</v>
      </c>
      <c r="O121">
        <f t="shared" si="22"/>
        <v>7.8176159999999992</v>
      </c>
      <c r="P121">
        <f>(O121 * (1 -W$11) + (0.04 * O121)) * ( 1 - AF$11 )</f>
        <v>2.8893908736</v>
      </c>
      <c r="Q121">
        <f t="shared" si="17"/>
        <v>1.3593728800589413E-4</v>
      </c>
      <c r="R121">
        <f>P121 * AD$11 * AA$11 * AC$11 * AE$11</f>
        <v>1.627523146810294E-3</v>
      </c>
      <c r="S121">
        <f t="shared" si="18"/>
        <v>0</v>
      </c>
      <c r="T121">
        <f t="shared" si="19"/>
        <v>0</v>
      </c>
      <c r="AQ121" t="s">
        <v>56</v>
      </c>
      <c r="AR121">
        <v>0.5</v>
      </c>
      <c r="AS121">
        <v>0.2</v>
      </c>
      <c r="AT121">
        <v>0.55000000000000004</v>
      </c>
      <c r="AU121" s="2">
        <v>0.44</v>
      </c>
      <c r="AV121" s="2">
        <v>0.2</v>
      </c>
      <c r="AW121" s="2">
        <v>0.2</v>
      </c>
      <c r="AX121" s="2">
        <v>0.55000000000000004</v>
      </c>
      <c r="AY121" s="2">
        <v>0.2</v>
      </c>
      <c r="AZ121" s="2">
        <v>0.2</v>
      </c>
      <c r="BA121" s="2">
        <v>0.2</v>
      </c>
    </row>
    <row r="122" spans="5:53" x14ac:dyDescent="0.2">
      <c r="F122" t="s">
        <v>57</v>
      </c>
      <c r="H122">
        <v>460</v>
      </c>
      <c r="I122">
        <v>0.1</v>
      </c>
      <c r="N122">
        <v>1</v>
      </c>
      <c r="O122">
        <f t="shared" si="22"/>
        <v>7.5885924675999998</v>
      </c>
      <c r="P122">
        <f>(O122 * (1 -X$11) + (0.04 * O122)) * ( 1 - AF$11 )</f>
        <v>3.4421855433033599</v>
      </c>
      <c r="Q122">
        <f t="shared" si="17"/>
        <v>1.6194464094321492E-4</v>
      </c>
      <c r="R122">
        <f>P122 * AD$11 * AA$11 * AC$11 * AE$11</f>
        <v>1.9388988518406825E-3</v>
      </c>
      <c r="S122">
        <f t="shared" si="18"/>
        <v>0</v>
      </c>
      <c r="T122">
        <f t="shared" si="19"/>
        <v>0</v>
      </c>
      <c r="AQ122" t="s">
        <v>57</v>
      </c>
      <c r="AR122">
        <v>0.55000000000000004</v>
      </c>
      <c r="AS122">
        <v>0.22</v>
      </c>
      <c r="AT122">
        <v>0.49</v>
      </c>
      <c r="AU122" s="2">
        <v>0.22</v>
      </c>
      <c r="AV122" s="2">
        <v>0.22</v>
      </c>
      <c r="AW122" s="2">
        <v>0.22</v>
      </c>
      <c r="AX122" s="2">
        <v>0.49</v>
      </c>
      <c r="AY122" s="2">
        <v>0.33</v>
      </c>
      <c r="AZ122" s="2">
        <v>0.33</v>
      </c>
      <c r="BA122" s="2">
        <v>0.33</v>
      </c>
    </row>
    <row r="123" spans="5:53" x14ac:dyDescent="0.2">
      <c r="E123" t="s">
        <v>50</v>
      </c>
      <c r="F123" t="s">
        <v>54</v>
      </c>
      <c r="H123" cm="1">
        <f t="array" ref="H123:H126">_xlfn.XLOOKUP(E123, $AR$46:$BA$46, $AR$47:$BA$50)</f>
        <v>380</v>
      </c>
      <c r="I123" cm="1">
        <f t="array" ref="I123:I126">_xlfn.XLOOKUP(E123, $AR$106:$BA$106, $AR$107:$BA$110)</f>
        <v>0.4</v>
      </c>
      <c r="N123">
        <v>1</v>
      </c>
      <c r="O123">
        <f t="shared" si="22"/>
        <v>7.0796437775999967</v>
      </c>
      <c r="P123">
        <f>(O123 * (1 -U$11) + (0.04 * O123)) * ( 1 - AF$11 )</f>
        <v>2.9139813788601581</v>
      </c>
      <c r="Q123">
        <f t="shared" si="17"/>
        <v>1.37094198490489E-4</v>
      </c>
      <c r="R123">
        <f>P123 * AD$11 * AA$11 * AC$11 * AE$11</f>
        <v>1.6413743764477724E-3</v>
      </c>
      <c r="S123">
        <f t="shared" si="18"/>
        <v>0</v>
      </c>
      <c r="T123">
        <f t="shared" si="19"/>
        <v>0</v>
      </c>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5:53" x14ac:dyDescent="0.2">
      <c r="F124" t="s">
        <v>55</v>
      </c>
      <c r="H124">
        <v>420</v>
      </c>
      <c r="I124">
        <v>0.4</v>
      </c>
      <c r="N124">
        <v>1</v>
      </c>
      <c r="O124">
        <f t="shared" si="22"/>
        <v>7.6129639056</v>
      </c>
      <c r="P124">
        <f>(O124 * (1 -V$11) + (0.04 * O124)) * ( 1 - AF$11 )</f>
        <v>2.49400697547456</v>
      </c>
      <c r="Q124">
        <f t="shared" si="17"/>
        <v>1.1733564593543065E-4</v>
      </c>
      <c r="R124">
        <f>P124 * AD$11 * AA$11 * AC$11 * AE$11</f>
        <v>1.4048130759940598E-3</v>
      </c>
      <c r="S124">
        <f t="shared" si="18"/>
        <v>0</v>
      </c>
      <c r="T124">
        <f t="shared" si="19"/>
        <v>0</v>
      </c>
      <c r="AQ124" t="s">
        <v>55</v>
      </c>
      <c r="AR124">
        <v>0.44</v>
      </c>
      <c r="AS124">
        <v>-0.22</v>
      </c>
      <c r="AT124">
        <v>0.44</v>
      </c>
      <c r="AU124" s="2">
        <v>0.33</v>
      </c>
      <c r="AV124" s="2">
        <v>-0.22</v>
      </c>
      <c r="AW124" s="2">
        <v>-0.22</v>
      </c>
      <c r="AX124" s="2">
        <v>0.44</v>
      </c>
      <c r="AY124" s="2">
        <v>-0.11</v>
      </c>
      <c r="AZ124" s="2">
        <v>-0.11</v>
      </c>
      <c r="BA124" s="2">
        <v>-0.11</v>
      </c>
    </row>
    <row r="125" spans="5:53" x14ac:dyDescent="0.2">
      <c r="F125" t="s">
        <v>56</v>
      </c>
      <c r="H125">
        <v>450</v>
      </c>
      <c r="I125">
        <v>0.3</v>
      </c>
      <c r="N125">
        <v>1</v>
      </c>
      <c r="O125">
        <f t="shared" si="22"/>
        <v>7.8176159999999992</v>
      </c>
      <c r="P125">
        <f>(O125 * (1 -W$11) + (0.04 * O125)) * ( 1 - AF$11 )</f>
        <v>2.8893908736</v>
      </c>
      <c r="Q125">
        <f t="shared" si="17"/>
        <v>1.3593728800589413E-4</v>
      </c>
      <c r="R125">
        <f>P125 * AD$11 * AA$11 * AC$11 * AE$11</f>
        <v>1.627523146810294E-3</v>
      </c>
      <c r="S125">
        <f t="shared" si="18"/>
        <v>0</v>
      </c>
      <c r="T125">
        <f t="shared" si="19"/>
        <v>0</v>
      </c>
      <c r="AQ125" t="s">
        <v>56</v>
      </c>
      <c r="AR125">
        <v>0.6</v>
      </c>
      <c r="AS125">
        <v>0</v>
      </c>
      <c r="AT125">
        <v>0.6</v>
      </c>
      <c r="AU125" s="2">
        <v>0.22</v>
      </c>
      <c r="AV125" s="2">
        <v>-0.55000000000000004</v>
      </c>
      <c r="AW125" s="2">
        <v>-0.55000000000000004</v>
      </c>
      <c r="AX125" s="2">
        <v>0.6</v>
      </c>
      <c r="AY125" s="2">
        <v>0</v>
      </c>
      <c r="AZ125" s="2">
        <v>0</v>
      </c>
      <c r="BA125" s="2">
        <v>0</v>
      </c>
    </row>
    <row r="126" spans="5:53" x14ac:dyDescent="0.2">
      <c r="F126" t="s">
        <v>57</v>
      </c>
      <c r="H126">
        <v>460</v>
      </c>
      <c r="I126">
        <v>0.1</v>
      </c>
      <c r="N126">
        <v>1</v>
      </c>
      <c r="O126">
        <f t="shared" si="22"/>
        <v>7.5885924675999998</v>
      </c>
      <c r="P126">
        <f>(O126 * (1 -X$11) + (0.04 * O126)) * ( 1 - AF$11 )</f>
        <v>3.4421855433033599</v>
      </c>
      <c r="Q126">
        <f t="shared" si="17"/>
        <v>1.6194464094321492E-4</v>
      </c>
      <c r="R126">
        <f>P126 * AD$11 * AA$11 * AC$11 * AE$11</f>
        <v>1.9388988518406825E-3</v>
      </c>
      <c r="S126">
        <f t="shared" si="18"/>
        <v>0</v>
      </c>
      <c r="T126">
        <f t="shared" si="19"/>
        <v>0</v>
      </c>
      <c r="AQ126" t="s">
        <v>57</v>
      </c>
      <c r="AR126">
        <v>0.99</v>
      </c>
      <c r="AS126">
        <v>0.22</v>
      </c>
      <c r="AT126">
        <v>0.77</v>
      </c>
      <c r="AU126" s="2">
        <v>0.11</v>
      </c>
      <c r="AV126" s="2">
        <v>0.11</v>
      </c>
      <c r="AW126" s="2">
        <v>0.11</v>
      </c>
      <c r="AX126" s="2">
        <v>0.77</v>
      </c>
      <c r="AY126" s="2">
        <v>0.44</v>
      </c>
      <c r="AZ126" s="2">
        <v>0.44</v>
      </c>
      <c r="BA126" s="2">
        <v>0.44</v>
      </c>
    </row>
    <row r="127" spans="5:53" x14ac:dyDescent="0.2">
      <c r="E127" t="s">
        <v>51</v>
      </c>
      <c r="F127" t="s">
        <v>54</v>
      </c>
      <c r="H127" cm="1">
        <f t="array" ref="H127:H130">_xlfn.XLOOKUP(E127, $AR$46:$BA$46, $AR$47:$BA$50)</f>
        <v>380</v>
      </c>
      <c r="I127" cm="1">
        <f t="array" ref="I127:I130">_xlfn.XLOOKUP(E127, $AR$106:$BA$106, $AR$107:$BA$110)</f>
        <v>0.4</v>
      </c>
      <c r="N127">
        <v>1</v>
      </c>
      <c r="O127">
        <f t="shared" si="22"/>
        <v>7.0796437775999967</v>
      </c>
      <c r="P127">
        <f>(O127 * (1 -U$11) + (0.04 * O127)) * ( 1 - AF$11 )</f>
        <v>2.9139813788601581</v>
      </c>
      <c r="Q127">
        <f t="shared" si="17"/>
        <v>1.37094198490489E-4</v>
      </c>
      <c r="R127">
        <f>P127 * AD$11 * AA$11 * AC$11 * AE$11</f>
        <v>1.6413743764477724E-3</v>
      </c>
      <c r="S127">
        <f t="shared" si="18"/>
        <v>0</v>
      </c>
      <c r="T127">
        <f t="shared" si="19"/>
        <v>0</v>
      </c>
      <c r="AO127" t="s">
        <v>65</v>
      </c>
      <c r="AP127" t="s">
        <v>63</v>
      </c>
      <c r="AQ127" t="s">
        <v>54</v>
      </c>
      <c r="AR127">
        <v>0.7</v>
      </c>
      <c r="AS127">
        <v>-0.55000000000000004</v>
      </c>
      <c r="AT127">
        <v>0.7</v>
      </c>
      <c r="AU127" s="2">
        <v>0.22</v>
      </c>
      <c r="AV127" s="2">
        <v>-0.22</v>
      </c>
      <c r="AW127" s="2">
        <v>-0.22</v>
      </c>
      <c r="AX127" s="2">
        <v>0.7</v>
      </c>
      <c r="AY127" s="2">
        <v>-0.22</v>
      </c>
      <c r="AZ127" s="2">
        <v>-0.22</v>
      </c>
      <c r="BA127" s="2">
        <v>-0.22</v>
      </c>
    </row>
    <row r="128" spans="5:53" x14ac:dyDescent="0.2">
      <c r="F128" t="s">
        <v>55</v>
      </c>
      <c r="H128">
        <v>420</v>
      </c>
      <c r="I128">
        <v>0.4</v>
      </c>
      <c r="N128">
        <v>1</v>
      </c>
      <c r="O128">
        <f t="shared" si="22"/>
        <v>7.6129639056</v>
      </c>
      <c r="P128">
        <f>(O128 * (1 -V$11) + (0.04 * O128)) * ( 1 - AF$11 )</f>
        <v>2.49400697547456</v>
      </c>
      <c r="Q128">
        <f t="shared" si="17"/>
        <v>1.1733564593543065E-4</v>
      </c>
      <c r="R128">
        <f>P128 * AD$11 * AA$11 * AC$11 * AE$11</f>
        <v>1.4048130759940598E-3</v>
      </c>
      <c r="S128">
        <f t="shared" si="18"/>
        <v>0</v>
      </c>
      <c r="T128">
        <f t="shared" si="19"/>
        <v>0</v>
      </c>
      <c r="AQ128" t="s">
        <v>55</v>
      </c>
      <c r="AR128">
        <v>0.77</v>
      </c>
      <c r="AS128">
        <v>0.55000000000000004</v>
      </c>
      <c r="AT128">
        <v>0.77</v>
      </c>
      <c r="AU128" s="2">
        <v>0.66</v>
      </c>
      <c r="AV128" s="2">
        <v>0.55000000000000004</v>
      </c>
      <c r="AW128" s="2">
        <v>0.55000000000000004</v>
      </c>
      <c r="AX128" s="2">
        <v>0.77</v>
      </c>
      <c r="AY128" s="2">
        <v>0.33</v>
      </c>
      <c r="AZ128" s="2">
        <v>0.33</v>
      </c>
      <c r="BA128" s="2">
        <v>0.33</v>
      </c>
    </row>
    <row r="129" spans="1:53" x14ac:dyDescent="0.2">
      <c r="F129" t="s">
        <v>56</v>
      </c>
      <c r="H129">
        <v>450</v>
      </c>
      <c r="I129">
        <v>0.3</v>
      </c>
      <c r="N129">
        <v>1</v>
      </c>
      <c r="O129">
        <f t="shared" si="22"/>
        <v>7.8176159999999992</v>
      </c>
      <c r="P129">
        <f>(O129 * (1 -W$11) + (0.04 * O129)) * ( 1 - AF$11 )</f>
        <v>2.8893908736</v>
      </c>
      <c r="Q129">
        <f t="shared" si="17"/>
        <v>1.3593728800589413E-4</v>
      </c>
      <c r="R129">
        <f>P129 * AD$11 * AA$11 * AC$11 * AE$11</f>
        <v>1.627523146810294E-3</v>
      </c>
      <c r="S129">
        <f t="shared" si="18"/>
        <v>0</v>
      </c>
      <c r="T129">
        <f t="shared" si="19"/>
        <v>0</v>
      </c>
      <c r="AQ129" t="s">
        <v>56</v>
      </c>
      <c r="AR129">
        <v>0.88</v>
      </c>
      <c r="AS129">
        <v>0.55000000000000004</v>
      </c>
      <c r="AT129">
        <v>0.88</v>
      </c>
      <c r="AU129" s="2">
        <v>0.22</v>
      </c>
      <c r="AV129" s="2">
        <v>0.22</v>
      </c>
      <c r="AW129" s="2">
        <v>0.22</v>
      </c>
      <c r="AX129" s="2">
        <v>0.88</v>
      </c>
      <c r="AY129" s="2">
        <v>0.22</v>
      </c>
      <c r="AZ129" s="2">
        <v>0.22</v>
      </c>
      <c r="BA129" s="2">
        <v>0.22</v>
      </c>
    </row>
    <row r="130" spans="1:53" x14ac:dyDescent="0.2">
      <c r="F130" t="s">
        <v>57</v>
      </c>
      <c r="H130">
        <v>460</v>
      </c>
      <c r="I130">
        <v>0.1</v>
      </c>
      <c r="N130">
        <v>1</v>
      </c>
      <c r="O130">
        <f t="shared" si="22"/>
        <v>7.5885924675999998</v>
      </c>
      <c r="P130">
        <f>(O130 * (1 -X$11) + (0.04 * O130)) * ( 1 - AF$11 )</f>
        <v>3.4421855433033599</v>
      </c>
      <c r="Q130">
        <f t="shared" si="17"/>
        <v>1.6194464094321492E-4</v>
      </c>
      <c r="R130">
        <f>P130 * AD$11 * AA$11 * AC$11 * AE$11</f>
        <v>1.9388988518406825E-3</v>
      </c>
      <c r="S130">
        <f t="shared" si="18"/>
        <v>0</v>
      </c>
      <c r="T130">
        <f t="shared" si="19"/>
        <v>0</v>
      </c>
      <c r="AQ130" t="s">
        <v>57</v>
      </c>
      <c r="AR130">
        <v>0.22</v>
      </c>
      <c r="AS130">
        <v>-0.55000000000000004</v>
      </c>
      <c r="AT130">
        <v>0.22</v>
      </c>
      <c r="AU130" s="6">
        <v>0.11</v>
      </c>
      <c r="AV130" s="6">
        <v>-0.22</v>
      </c>
      <c r="AW130" s="6">
        <v>-0.22</v>
      </c>
      <c r="AX130" s="6">
        <v>0.22</v>
      </c>
      <c r="AY130" s="6">
        <v>-0.33</v>
      </c>
      <c r="AZ130" s="6">
        <v>-0.33</v>
      </c>
      <c r="BA130" s="6">
        <v>-0.33</v>
      </c>
    </row>
    <row r="131" spans="1:53" x14ac:dyDescent="0.2">
      <c r="AO131" t="s">
        <v>65</v>
      </c>
      <c r="AP131" t="s">
        <v>71</v>
      </c>
      <c r="AQ131" t="s">
        <v>54</v>
      </c>
      <c r="AR131">
        <v>0.22</v>
      </c>
      <c r="AS131">
        <v>-0.55000000000000004</v>
      </c>
      <c r="AT131">
        <v>0.33</v>
      </c>
      <c r="AU131" s="6">
        <v>0.22</v>
      </c>
      <c r="AV131" s="6">
        <v>-0.33</v>
      </c>
      <c r="AW131" s="6">
        <v>-0.33</v>
      </c>
      <c r="AX131" s="6">
        <v>0.22</v>
      </c>
      <c r="AY131" s="6">
        <v>-0.55000000000000004</v>
      </c>
      <c r="AZ131" s="6">
        <v>-0.55000000000000004</v>
      </c>
      <c r="BA131" s="6">
        <v>-0.55000000000000004</v>
      </c>
    </row>
    <row r="132" spans="1:53" x14ac:dyDescent="0.2">
      <c r="AQ132" t="s">
        <v>55</v>
      </c>
      <c r="AR132">
        <v>0.8</v>
      </c>
      <c r="AS132">
        <v>0.55000000000000004</v>
      </c>
      <c r="AT132">
        <v>0.7</v>
      </c>
      <c r="AU132" s="6">
        <v>0.44</v>
      </c>
      <c r="AV132" s="6">
        <v>0.66</v>
      </c>
      <c r="AW132" s="6">
        <v>0.66</v>
      </c>
      <c r="AX132" s="6">
        <v>0.8</v>
      </c>
      <c r="AY132" s="6">
        <v>0.55000000000000004</v>
      </c>
      <c r="AZ132" s="6">
        <v>0.55000000000000004</v>
      </c>
      <c r="BA132" s="6">
        <v>0.55000000000000004</v>
      </c>
    </row>
    <row r="133" spans="1:53" x14ac:dyDescent="0.2">
      <c r="AQ133" t="s">
        <v>56</v>
      </c>
      <c r="AR133">
        <v>0.66</v>
      </c>
      <c r="AS133">
        <v>0.55000000000000004</v>
      </c>
      <c r="AT133">
        <v>0.55000000000000004</v>
      </c>
      <c r="AU133" s="6">
        <v>0.55000000000000004</v>
      </c>
      <c r="AV133" s="6">
        <v>0.11</v>
      </c>
      <c r="AW133" s="6">
        <v>0.11</v>
      </c>
      <c r="AX133" s="6">
        <v>0.66</v>
      </c>
      <c r="AY133" s="6">
        <v>0.55000000000000004</v>
      </c>
      <c r="AZ133" s="6">
        <v>0.55000000000000004</v>
      </c>
      <c r="BA133" s="6">
        <v>0.55000000000000004</v>
      </c>
    </row>
    <row r="134" spans="1:53" x14ac:dyDescent="0.2">
      <c r="AQ134" t="s">
        <v>57</v>
      </c>
      <c r="AR134">
        <v>0.33</v>
      </c>
      <c r="AS134">
        <v>-0.55000000000000004</v>
      </c>
      <c r="AT134">
        <v>0.11</v>
      </c>
      <c r="AU134" s="6">
        <v>0.11</v>
      </c>
      <c r="AV134" s="6">
        <v>-0.44</v>
      </c>
      <c r="AW134" s="6">
        <v>-0.44</v>
      </c>
      <c r="AX134" s="6">
        <v>0.33</v>
      </c>
      <c r="AY134" s="6">
        <v>-0.55000000000000004</v>
      </c>
      <c r="AZ134" s="6">
        <v>-0.55000000000000004</v>
      </c>
      <c r="BA134" s="6">
        <v>-0.55000000000000004</v>
      </c>
    </row>
    <row r="135" spans="1:53" x14ac:dyDescent="0.2">
      <c r="AO135" t="s">
        <v>73</v>
      </c>
      <c r="AP135" t="s">
        <v>74</v>
      </c>
      <c r="AQ135" t="s">
        <v>54</v>
      </c>
      <c r="AR135">
        <v>0.22</v>
      </c>
      <c r="AS135">
        <v>-0.23</v>
      </c>
      <c r="AT135">
        <v>0.25</v>
      </c>
      <c r="AU135" s="6">
        <v>0.17</v>
      </c>
      <c r="AV135" s="6">
        <v>0.18</v>
      </c>
      <c r="AW135" s="6">
        <v>-0.28000000000000003</v>
      </c>
      <c r="AX135" s="6">
        <v>0.32</v>
      </c>
      <c r="AY135" s="6">
        <v>0.24</v>
      </c>
      <c r="AZ135" s="6">
        <v>0.25</v>
      </c>
      <c r="BA135">
        <v>-0.05</v>
      </c>
    </row>
    <row r="136" spans="1:53" x14ac:dyDescent="0.2">
      <c r="AQ136" t="s">
        <v>55</v>
      </c>
      <c r="AR136">
        <v>0.66</v>
      </c>
      <c r="AS136">
        <v>0.2</v>
      </c>
      <c r="AT136">
        <v>0.62</v>
      </c>
      <c r="AU136" s="6">
        <v>0.54</v>
      </c>
      <c r="AV136" s="6">
        <v>0.38</v>
      </c>
      <c r="AW136" s="6">
        <v>0.27</v>
      </c>
      <c r="AX136" s="6">
        <v>0.75</v>
      </c>
      <c r="AY136" s="6">
        <v>0.64</v>
      </c>
      <c r="AZ136" s="6">
        <v>0.55000000000000004</v>
      </c>
      <c r="BA136">
        <v>0.48</v>
      </c>
    </row>
    <row r="137" spans="1:53" x14ac:dyDescent="0.2">
      <c r="AQ137" t="s">
        <v>56</v>
      </c>
      <c r="AR137">
        <v>0.49</v>
      </c>
      <c r="AS137">
        <v>0.13</v>
      </c>
      <c r="AT137">
        <v>0.54</v>
      </c>
      <c r="AU137" s="6">
        <v>0.45</v>
      </c>
      <c r="AV137" s="6">
        <v>0.35</v>
      </c>
      <c r="AW137" s="6">
        <v>0.15</v>
      </c>
      <c r="AX137" s="6">
        <v>0.63</v>
      </c>
      <c r="AY137" s="6">
        <v>0.54</v>
      </c>
      <c r="AZ137" s="6">
        <v>0.42</v>
      </c>
      <c r="BA137">
        <v>0.26</v>
      </c>
    </row>
    <row r="138" spans="1:53" x14ac:dyDescent="0.2">
      <c r="AQ138" t="s">
        <v>57</v>
      </c>
      <c r="AR138">
        <v>0.27</v>
      </c>
      <c r="AS138">
        <v>-0.8</v>
      </c>
      <c r="AT138">
        <v>0.22</v>
      </c>
      <c r="AU138" s="6">
        <v>0.09</v>
      </c>
      <c r="AV138" s="6">
        <v>0.12</v>
      </c>
      <c r="AW138" s="6">
        <v>0.02</v>
      </c>
      <c r="AX138" s="6">
        <v>0.25</v>
      </c>
      <c r="AY138" s="6">
        <v>0.18</v>
      </c>
      <c r="AZ138" s="6">
        <v>0.12</v>
      </c>
      <c r="BA138">
        <v>0.03</v>
      </c>
    </row>
    <row r="139" spans="1:53" x14ac:dyDescent="0.2">
      <c r="AO139" t="s">
        <v>73</v>
      </c>
      <c r="AP139" t="s">
        <v>75</v>
      </c>
      <c r="AQ139" t="s">
        <v>54</v>
      </c>
      <c r="AR139">
        <v>0.22</v>
      </c>
      <c r="AS139">
        <v>-0.44</v>
      </c>
      <c r="AT139">
        <v>0.2</v>
      </c>
      <c r="AU139" s="6">
        <v>0.21</v>
      </c>
      <c r="AV139" s="6">
        <v>0.18</v>
      </c>
      <c r="AW139" s="6">
        <v>0.01</v>
      </c>
      <c r="AX139" s="6">
        <v>0.12</v>
      </c>
      <c r="AY139" s="6">
        <v>0.09</v>
      </c>
      <c r="AZ139" s="6" t="s">
        <v>72</v>
      </c>
      <c r="BA139" t="s">
        <v>72</v>
      </c>
    </row>
    <row r="140" spans="1:53" x14ac:dyDescent="0.2">
      <c r="AQ140" t="s">
        <v>55</v>
      </c>
      <c r="AR140">
        <v>0.66</v>
      </c>
      <c r="AS140">
        <v>0.22</v>
      </c>
      <c r="AT140">
        <v>0.68</v>
      </c>
      <c r="AU140" s="6">
        <v>0.22</v>
      </c>
      <c r="AV140" s="6">
        <v>0.24</v>
      </c>
      <c r="AW140" s="6">
        <v>0.25</v>
      </c>
      <c r="AX140" s="6">
        <v>0.64</v>
      </c>
      <c r="AY140" s="6">
        <v>0.37</v>
      </c>
      <c r="AZ140" s="6" t="s">
        <v>72</v>
      </c>
      <c r="BA140" t="s">
        <v>72</v>
      </c>
    </row>
    <row r="141" spans="1:53" x14ac:dyDescent="0.2">
      <c r="A141" t="s">
        <v>117</v>
      </c>
      <c r="B141" t="s">
        <v>99</v>
      </c>
      <c r="C141" t="s">
        <v>53</v>
      </c>
      <c r="D141" t="s">
        <v>53</v>
      </c>
      <c r="E141" t="s">
        <v>42</v>
      </c>
      <c r="F141" t="s">
        <v>54</v>
      </c>
      <c r="G141">
        <v>100</v>
      </c>
      <c r="H141" s="9">
        <v>80</v>
      </c>
      <c r="I141" s="9">
        <v>0.4</v>
      </c>
      <c r="J141" s="13"/>
      <c r="K141" s="13"/>
      <c r="L141">
        <v>0</v>
      </c>
      <c r="N141">
        <v>1</v>
      </c>
      <c r="O141">
        <f>(1.185 + 0.00454 * H141 - 0.0000026 * H141^2 + 0.315 * I141)^2 * N141</f>
        <v>2.7475051536000006</v>
      </c>
      <c r="P141">
        <f>(O141 * (1 -U$141) + (0.04 * O141)) * ( 1 - AF$141 )</f>
        <v>1.0154779047705602</v>
      </c>
      <c r="Q141">
        <f>P141 * AD$141 * Z$141 * AB$141 * AE$141</f>
        <v>0</v>
      </c>
      <c r="R141">
        <f>P141 * AD$141 * AA$141 * AC$141 * AE$141</f>
        <v>6.0209878406120823E-4</v>
      </c>
      <c r="S141">
        <f>G141*Q141*91.25</f>
        <v>0</v>
      </c>
      <c r="T141">
        <f>G141*R141*91.25</f>
        <v>5.4941514045585258</v>
      </c>
      <c r="U141" s="9">
        <v>0.6</v>
      </c>
      <c r="V141" s="9">
        <v>0.7</v>
      </c>
      <c r="W141" s="9">
        <v>0.5</v>
      </c>
      <c r="X141" s="9">
        <v>0.4</v>
      </c>
      <c r="Y141" s="9" t="s">
        <v>115</v>
      </c>
      <c r="Z141">
        <f>IF(Y141="yes", $AP$6, $AQ$6)</f>
        <v>0</v>
      </c>
      <c r="AA141">
        <f>IF(Y141="yes", $AP$7, $AQ$7)</f>
        <v>1</v>
      </c>
      <c r="AB141">
        <f>VLOOKUP(B141, $BB$17:$BC$26, 2, FALSE)</f>
        <v>7.3000000000000001E-3</v>
      </c>
      <c r="AC141">
        <f>$BC$14</f>
        <v>4.5999999999999999E-3</v>
      </c>
      <c r="AD141">
        <f>$AU$5</f>
        <v>0.19</v>
      </c>
      <c r="AE141">
        <f>$AU$6</f>
        <v>0.6784</v>
      </c>
      <c r="AF141">
        <f>$AU$7</f>
        <v>0.16</v>
      </c>
      <c r="AG141">
        <f>SUM(S141:T180)</f>
        <v>489.76813220845611</v>
      </c>
      <c r="AH141">
        <f>$AU$8</f>
        <v>28</v>
      </c>
      <c r="AI141">
        <f>AG141 * AH141 * 10^-3</f>
        <v>13.71350770183677</v>
      </c>
      <c r="AQ141" t="s">
        <v>56</v>
      </c>
      <c r="AR141">
        <v>0.49</v>
      </c>
      <c r="AS141">
        <v>0.05</v>
      </c>
      <c r="AT141">
        <v>0.64</v>
      </c>
      <c r="AU141" s="6">
        <v>0.25</v>
      </c>
      <c r="AV141" s="6">
        <v>0.28999999999999998</v>
      </c>
      <c r="AW141" s="6">
        <v>0.12</v>
      </c>
      <c r="AX141" s="6">
        <v>0.56999999999999995</v>
      </c>
      <c r="AY141" s="6">
        <v>0.49</v>
      </c>
      <c r="AZ141" s="6" t="s">
        <v>72</v>
      </c>
      <c r="BA141" t="s">
        <v>72</v>
      </c>
    </row>
    <row r="142" spans="1:53" x14ac:dyDescent="0.2">
      <c r="F142" t="s">
        <v>55</v>
      </c>
      <c r="G142">
        <v>110</v>
      </c>
      <c r="H142" s="9">
        <v>90</v>
      </c>
      <c r="I142" s="9">
        <v>0.4</v>
      </c>
      <c r="J142" s="13"/>
      <c r="K142" s="13"/>
      <c r="N142">
        <v>1</v>
      </c>
      <c r="O142">
        <f t="shared" ref="O142:O156" si="23">(1.185 + 0.00454 * H142 - 0.0000026 * H142^2 + 0.315 * I142)^2 * N142</f>
        <v>2.8850381316</v>
      </c>
      <c r="P142">
        <f>(O142 * (1 -V$141) + (0.04 * O142)) * ( 1 - AF$141 )</f>
        <v>0.82396689038496007</v>
      </c>
      <c r="Q142">
        <f t="shared" ref="Q142:Q180" si="24">P142 * AD$141 * Z$141 * AB$141 * AE$141</f>
        <v>0</v>
      </c>
      <c r="R142">
        <f t="shared" ref="R142:R180" si="25">P142 * AD$141 * AA$141 * AC$141 * AE$141</f>
        <v>4.8854776699407511E-4</v>
      </c>
      <c r="S142">
        <f t="shared" ref="S142:S180" si="26">G142*Q142*91.25</f>
        <v>0</v>
      </c>
      <c r="T142">
        <f t="shared" ref="T142:T180" si="27">G142*R142*91.25</f>
        <v>4.9037982112030285</v>
      </c>
      <c r="AQ142" t="s">
        <v>57</v>
      </c>
      <c r="AR142">
        <v>0.27</v>
      </c>
      <c r="AS142">
        <v>-0.27</v>
      </c>
      <c r="AT142">
        <v>0.31</v>
      </c>
      <c r="AU142" s="6">
        <v>0.28999999999999998</v>
      </c>
      <c r="AV142" s="6">
        <v>0.19</v>
      </c>
      <c r="AW142" s="6">
        <v>0.04</v>
      </c>
      <c r="AX142" s="6">
        <v>0.26</v>
      </c>
      <c r="AY142" s="6">
        <v>0.28000000000000003</v>
      </c>
      <c r="AZ142" s="6" t="s">
        <v>72</v>
      </c>
      <c r="BA142" t="s">
        <v>72</v>
      </c>
    </row>
    <row r="143" spans="1:53" x14ac:dyDescent="0.2">
      <c r="F143" t="s">
        <v>56</v>
      </c>
      <c r="G143">
        <v>120</v>
      </c>
      <c r="H143" s="9">
        <v>100</v>
      </c>
      <c r="I143" s="9">
        <v>0.5</v>
      </c>
      <c r="J143" s="13"/>
      <c r="K143" s="13"/>
      <c r="N143">
        <v>1</v>
      </c>
      <c r="O143">
        <f t="shared" si="23"/>
        <v>3.1346702499999997</v>
      </c>
      <c r="P143">
        <f>(O143 * (1 -W$141) + (0.04 * O143)) * ( 1 - AF$141 )</f>
        <v>1.4218864253999999</v>
      </c>
      <c r="Q143">
        <f t="shared" si="24"/>
        <v>0</v>
      </c>
      <c r="R143">
        <f t="shared" si="25"/>
        <v>8.4306717436644866E-4</v>
      </c>
      <c r="S143">
        <f t="shared" si="26"/>
        <v>0</v>
      </c>
      <c r="T143">
        <f t="shared" si="27"/>
        <v>9.231585559312613</v>
      </c>
      <c r="AO143" t="s">
        <v>73</v>
      </c>
      <c r="AP143" t="s">
        <v>76</v>
      </c>
      <c r="AQ143" t="s">
        <v>54</v>
      </c>
      <c r="AR143">
        <v>0.22</v>
      </c>
      <c r="AS143">
        <v>-0.44</v>
      </c>
      <c r="AT143">
        <v>0</v>
      </c>
      <c r="AU143" s="6">
        <v>0.15</v>
      </c>
      <c r="AV143" s="6">
        <v>0.08</v>
      </c>
      <c r="AW143" s="6">
        <v>0.17</v>
      </c>
      <c r="AX143" s="6">
        <v>0.06</v>
      </c>
      <c r="AY143" s="6">
        <v>0.02</v>
      </c>
      <c r="AZ143" s="6">
        <v>-0.14000000000000001</v>
      </c>
      <c r="BA143" t="s">
        <v>72</v>
      </c>
    </row>
    <row r="144" spans="1:53" x14ac:dyDescent="0.2">
      <c r="F144" t="s">
        <v>57</v>
      </c>
      <c r="G144">
        <v>130</v>
      </c>
      <c r="H144" s="9">
        <v>110</v>
      </c>
      <c r="I144" s="9">
        <v>0.8</v>
      </c>
      <c r="J144" s="13"/>
      <c r="K144" s="13"/>
      <c r="N144">
        <v>1</v>
      </c>
      <c r="O144">
        <f t="shared" si="23"/>
        <v>3.6287964036000004</v>
      </c>
      <c r="P144">
        <f>(O144 * (1 -X$141) + (0.04 * O144)) * ( 1 - AF$141 )</f>
        <v>1.95084094657536</v>
      </c>
      <c r="Q144">
        <f t="shared" si="24"/>
        <v>0</v>
      </c>
      <c r="R144">
        <f t="shared" si="25"/>
        <v>1.156695735388977E-3</v>
      </c>
      <c r="S144">
        <f t="shared" si="26"/>
        <v>0</v>
      </c>
      <c r="T144">
        <f t="shared" si="27"/>
        <v>13.72130316105174</v>
      </c>
      <c r="AQ144" t="s">
        <v>55</v>
      </c>
      <c r="AR144">
        <v>0.66</v>
      </c>
      <c r="AS144">
        <v>0.22</v>
      </c>
      <c r="AT144">
        <v>0.79</v>
      </c>
      <c r="AU144" s="6">
        <v>0.4</v>
      </c>
      <c r="AV144" s="6">
        <v>0.38</v>
      </c>
      <c r="AW144" s="6">
        <v>0.27</v>
      </c>
      <c r="AX144" s="6">
        <v>0.8</v>
      </c>
      <c r="AY144" s="6">
        <v>0.16</v>
      </c>
      <c r="AZ144" s="6">
        <v>0.3</v>
      </c>
      <c r="BA144" t="s">
        <v>72</v>
      </c>
    </row>
    <row r="145" spans="5:53" x14ac:dyDescent="0.2">
      <c r="E145" t="s">
        <v>43</v>
      </c>
      <c r="F145" t="s">
        <v>54</v>
      </c>
      <c r="G145">
        <v>50</v>
      </c>
      <c r="H145" s="9">
        <v>470</v>
      </c>
      <c r="I145" s="9">
        <v>0.1</v>
      </c>
      <c r="J145" s="13"/>
      <c r="K145" s="13"/>
      <c r="N145">
        <v>1</v>
      </c>
      <c r="O145">
        <f t="shared" si="23"/>
        <v>7.7059539215999999</v>
      </c>
      <c r="P145">
        <f t="shared" ref="P145" si="28">(O145 * (1 -U$141) + (0.04 * O145)) * ( 1 - AF$141 )</f>
        <v>2.8481205694233598</v>
      </c>
      <c r="Q145">
        <f t="shared" si="24"/>
        <v>0</v>
      </c>
      <c r="R145">
        <f t="shared" si="25"/>
        <v>1.6887122050154094E-3</v>
      </c>
      <c r="S145">
        <f t="shared" si="26"/>
        <v>0</v>
      </c>
      <c r="T145">
        <f t="shared" si="27"/>
        <v>7.704749435382805</v>
      </c>
      <c r="AQ145" t="s">
        <v>56</v>
      </c>
      <c r="AR145">
        <v>0.49</v>
      </c>
      <c r="AS145">
        <v>0.05</v>
      </c>
      <c r="AT145">
        <v>0.55000000000000004</v>
      </c>
      <c r="AU145" s="6">
        <v>0.38</v>
      </c>
      <c r="AV145" s="6">
        <v>0.36</v>
      </c>
      <c r="AW145" s="6">
        <v>0.06</v>
      </c>
      <c r="AX145" s="6">
        <v>0.57999999999999996</v>
      </c>
      <c r="AY145" s="6">
        <v>0.23</v>
      </c>
      <c r="AZ145" s="6">
        <v>0.4</v>
      </c>
      <c r="BA145" t="s">
        <v>72</v>
      </c>
    </row>
    <row r="146" spans="5:53" x14ac:dyDescent="0.2">
      <c r="F146" t="s">
        <v>55</v>
      </c>
      <c r="G146">
        <v>55</v>
      </c>
      <c r="H146" s="9">
        <v>480</v>
      </c>
      <c r="I146" s="9">
        <v>0.2</v>
      </c>
      <c r="J146" s="13"/>
      <c r="K146" s="13"/>
      <c r="N146">
        <v>1</v>
      </c>
      <c r="O146">
        <f t="shared" si="23"/>
        <v>7.9984889855999999</v>
      </c>
      <c r="P146">
        <f t="shared" ref="P146" si="29">(O146 * (1 -V$141) + (0.04 * O146)) * ( 1 - AF$141 )</f>
        <v>2.2843684542873599</v>
      </c>
      <c r="Q146">
        <f t="shared" si="24"/>
        <v>0</v>
      </c>
      <c r="R146">
        <f t="shared" si="25"/>
        <v>1.3544513989055885E-3</v>
      </c>
      <c r="S146">
        <f t="shared" si="26"/>
        <v>0</v>
      </c>
      <c r="T146">
        <f t="shared" si="27"/>
        <v>6.797652958257423</v>
      </c>
      <c r="AQ146" t="s">
        <v>57</v>
      </c>
      <c r="AR146">
        <v>0.27</v>
      </c>
      <c r="AS146">
        <v>-0.27</v>
      </c>
      <c r="AT146">
        <v>0.02</v>
      </c>
      <c r="AU146">
        <v>0.09</v>
      </c>
      <c r="AV146">
        <v>0.16</v>
      </c>
      <c r="AW146">
        <v>-0.04</v>
      </c>
      <c r="AX146">
        <v>0.21</v>
      </c>
      <c r="AY146">
        <v>0.03</v>
      </c>
      <c r="AZ146">
        <v>0.11</v>
      </c>
      <c r="BA146" t="s">
        <v>72</v>
      </c>
    </row>
    <row r="147" spans="5:53" x14ac:dyDescent="0.2">
      <c r="F147" t="s">
        <v>56</v>
      </c>
      <c r="G147">
        <v>60</v>
      </c>
      <c r="H147" s="9">
        <v>490</v>
      </c>
      <c r="I147" s="9">
        <v>1.5</v>
      </c>
      <c r="J147" s="13"/>
      <c r="K147" s="13"/>
      <c r="N147">
        <v>1</v>
      </c>
      <c r="O147">
        <f t="shared" si="23"/>
        <v>10.6135214656</v>
      </c>
      <c r="P147">
        <f t="shared" ref="P147" si="30">(O147 * (1 -W$141) + (0.04 * O147)) * ( 1 - AF$141 )</f>
        <v>4.81429333679616</v>
      </c>
      <c r="Q147">
        <f t="shared" si="24"/>
        <v>0</v>
      </c>
      <c r="R147">
        <f t="shared" si="25"/>
        <v>2.8544985081225176E-3</v>
      </c>
      <c r="S147">
        <f t="shared" si="26"/>
        <v>0</v>
      </c>
      <c r="T147">
        <f t="shared" si="27"/>
        <v>15.628379331970782</v>
      </c>
      <c r="AO147" t="s">
        <v>81</v>
      </c>
      <c r="AP147" t="s">
        <v>77</v>
      </c>
      <c r="AQ147" t="s">
        <v>54</v>
      </c>
      <c r="AR147">
        <v>0.27</v>
      </c>
      <c r="AS147">
        <v>-0.19</v>
      </c>
      <c r="AT147">
        <v>0.38</v>
      </c>
      <c r="AU147" s="7">
        <v>0.25</v>
      </c>
      <c r="AV147">
        <v>7.0000000000000007E-2</v>
      </c>
      <c r="AW147">
        <v>0.05</v>
      </c>
      <c r="AX147">
        <v>0.52</v>
      </c>
      <c r="AY147">
        <v>0.55000000000000004</v>
      </c>
      <c r="AZ147">
        <v>0.19</v>
      </c>
      <c r="BA147">
        <v>0.6</v>
      </c>
    </row>
    <row r="148" spans="5:53" x14ac:dyDescent="0.2">
      <c r="F148" t="s">
        <v>57</v>
      </c>
      <c r="G148">
        <v>65</v>
      </c>
      <c r="H148" s="9">
        <v>500</v>
      </c>
      <c r="I148" s="9">
        <v>1.3</v>
      </c>
      <c r="J148" s="13"/>
      <c r="K148" s="13"/>
      <c r="N148">
        <v>1</v>
      </c>
      <c r="O148">
        <f t="shared" si="23"/>
        <v>10.333010250000001</v>
      </c>
      <c r="P148">
        <f t="shared" ref="P148" si="31">(O148 * (1 -X$141) + (0.04 * O148)) * ( 1 - AF$141 )</f>
        <v>5.5550263103999997</v>
      </c>
      <c r="Q148">
        <f t="shared" si="24"/>
        <v>0</v>
      </c>
      <c r="R148">
        <f t="shared" si="25"/>
        <v>3.2936950880044645E-3</v>
      </c>
      <c r="S148">
        <f t="shared" si="26"/>
        <v>0</v>
      </c>
      <c r="T148">
        <f t="shared" si="27"/>
        <v>19.535728990726483</v>
      </c>
      <c r="AQ148" t="s">
        <v>55</v>
      </c>
      <c r="AR148">
        <v>0.16</v>
      </c>
      <c r="AS148">
        <v>0.16</v>
      </c>
      <c r="AT148">
        <v>0.8</v>
      </c>
      <c r="AU148">
        <v>0.56999999999999995</v>
      </c>
      <c r="AV148">
        <v>0.76</v>
      </c>
      <c r="AW148">
        <v>0.49</v>
      </c>
      <c r="AX148">
        <v>0.84</v>
      </c>
      <c r="AY148">
        <v>0.51</v>
      </c>
      <c r="AZ148">
        <v>0.36</v>
      </c>
      <c r="BA148">
        <v>0.17</v>
      </c>
    </row>
    <row r="149" spans="5:53" x14ac:dyDescent="0.2">
      <c r="E149" t="s">
        <v>44</v>
      </c>
      <c r="F149" t="s">
        <v>54</v>
      </c>
      <c r="G149">
        <v>200</v>
      </c>
      <c r="H149" s="9">
        <v>70</v>
      </c>
      <c r="I149" s="9">
        <v>0.4</v>
      </c>
      <c r="J149" s="13"/>
      <c r="K149" s="13"/>
      <c r="N149">
        <v>1</v>
      </c>
      <c r="O149">
        <f t="shared" si="23"/>
        <v>2.6116499236000004</v>
      </c>
      <c r="P149">
        <f t="shared" ref="P149" si="32">(O149 * (1 -U$141) + (0.04 * O149)) * ( 1 - AF$141 )</f>
        <v>0.96526581176256021</v>
      </c>
      <c r="Q149">
        <f t="shared" si="24"/>
        <v>0</v>
      </c>
      <c r="R149">
        <f t="shared" si="25"/>
        <v>5.7232694953555604E-4</v>
      </c>
      <c r="S149">
        <f t="shared" si="26"/>
        <v>0</v>
      </c>
      <c r="T149">
        <f t="shared" si="27"/>
        <v>10.444966829023898</v>
      </c>
      <c r="AQ149" t="s">
        <v>56</v>
      </c>
      <c r="AR149">
        <v>0.45</v>
      </c>
      <c r="AS149">
        <v>0.1</v>
      </c>
      <c r="AT149">
        <v>0.49</v>
      </c>
      <c r="AU149" s="6">
        <v>0.41</v>
      </c>
      <c r="AV149">
        <v>0.4</v>
      </c>
      <c r="AW149">
        <v>0.17</v>
      </c>
      <c r="AX149">
        <v>0.54</v>
      </c>
      <c r="AY149">
        <v>0.64</v>
      </c>
      <c r="AZ149">
        <v>-0.05</v>
      </c>
      <c r="BA149">
        <v>0.32</v>
      </c>
    </row>
    <row r="150" spans="5:53" x14ac:dyDescent="0.2">
      <c r="F150" t="s">
        <v>55</v>
      </c>
      <c r="G150">
        <v>130</v>
      </c>
      <c r="H150" s="9">
        <v>75</v>
      </c>
      <c r="I150" s="9">
        <v>0.5</v>
      </c>
      <c r="J150" s="13"/>
      <c r="K150" s="13"/>
      <c r="N150">
        <v>1</v>
      </c>
      <c r="O150">
        <f t="shared" si="23"/>
        <v>2.7834751406249998</v>
      </c>
      <c r="P150">
        <f t="shared" ref="P150" si="33">(O150 * (1 -V$141) + (0.04 * O150)) * ( 1 - AF$141 )</f>
        <v>0.79496050016249997</v>
      </c>
      <c r="Q150">
        <f t="shared" si="24"/>
        <v>0</v>
      </c>
      <c r="R150">
        <f t="shared" si="25"/>
        <v>4.7134925169314975E-4</v>
      </c>
      <c r="S150">
        <f t="shared" si="26"/>
        <v>0</v>
      </c>
      <c r="T150">
        <f t="shared" si="27"/>
        <v>5.5913804982099888</v>
      </c>
      <c r="AQ150" t="s">
        <v>57</v>
      </c>
      <c r="AR150">
        <v>0.51</v>
      </c>
      <c r="AS150">
        <v>-7.0000000000000007E-2</v>
      </c>
      <c r="AT150">
        <v>0.13</v>
      </c>
      <c r="AU150" s="6">
        <v>-0.09</v>
      </c>
      <c r="AV150">
        <v>-0.13</v>
      </c>
      <c r="AW150">
        <v>7.0000000000000007E-2</v>
      </c>
      <c r="AX150">
        <v>0.25</v>
      </c>
      <c r="AY150">
        <v>0.71</v>
      </c>
      <c r="AZ150">
        <v>0.17</v>
      </c>
      <c r="BA150">
        <v>0.43</v>
      </c>
    </row>
    <row r="151" spans="5:53" x14ac:dyDescent="0.2">
      <c r="F151" t="s">
        <v>56</v>
      </c>
      <c r="G151">
        <v>250</v>
      </c>
      <c r="H151" s="9">
        <v>80</v>
      </c>
      <c r="I151" s="9">
        <v>0.6</v>
      </c>
      <c r="J151" s="13"/>
      <c r="K151" s="13"/>
      <c r="N151">
        <v>1</v>
      </c>
      <c r="O151">
        <f t="shared" si="23"/>
        <v>2.9603267136000002</v>
      </c>
      <c r="P151">
        <f t="shared" ref="P151" si="34">(O151 * (1 -W$141) + (0.04 * O151)) * ( 1 - AF$141 )</f>
        <v>1.3428041972889599</v>
      </c>
      <c r="Q151">
        <f t="shared" si="24"/>
        <v>0</v>
      </c>
      <c r="R151">
        <f t="shared" si="25"/>
        <v>7.9617761314328584E-4</v>
      </c>
      <c r="S151">
        <f t="shared" si="26"/>
        <v>0</v>
      </c>
      <c r="T151">
        <f t="shared" si="27"/>
        <v>18.162801799831207</v>
      </c>
      <c r="AO151" t="s">
        <v>81</v>
      </c>
      <c r="AP151" t="s">
        <v>78</v>
      </c>
      <c r="AQ151" t="s">
        <v>54</v>
      </c>
      <c r="AR151">
        <v>-0.12</v>
      </c>
      <c r="AS151">
        <v>-0.19</v>
      </c>
      <c r="AT151">
        <v>0.41</v>
      </c>
      <c r="AU151">
        <v>0.09</v>
      </c>
      <c r="AV151">
        <v>0.41</v>
      </c>
      <c r="AW151">
        <v>-0.19</v>
      </c>
      <c r="AX151">
        <v>7.0000000000000007E-2</v>
      </c>
      <c r="AY151">
        <v>1.07</v>
      </c>
      <c r="AZ151">
        <v>-0.08</v>
      </c>
      <c r="BA151">
        <v>0</v>
      </c>
    </row>
    <row r="152" spans="5:53" x14ac:dyDescent="0.2">
      <c r="F152" t="s">
        <v>57</v>
      </c>
      <c r="G152">
        <v>150</v>
      </c>
      <c r="H152" s="9">
        <v>85</v>
      </c>
      <c r="I152" s="9">
        <v>0.7</v>
      </c>
      <c r="J152" s="13"/>
      <c r="K152" s="13"/>
      <c r="N152">
        <v>1</v>
      </c>
      <c r="O152">
        <f t="shared" si="23"/>
        <v>3.1421639382249995</v>
      </c>
      <c r="P152">
        <f t="shared" ref="P152" si="35">(O152 * (1 -X$141) + (0.04 * O152)) * ( 1 - AF$141 )</f>
        <v>1.6892273331897594</v>
      </c>
      <c r="Q152">
        <f t="shared" si="24"/>
        <v>0</v>
      </c>
      <c r="R152">
        <f t="shared" si="25"/>
        <v>1.0015793731586052E-3</v>
      </c>
      <c r="S152">
        <f t="shared" si="26"/>
        <v>0</v>
      </c>
      <c r="T152">
        <f t="shared" si="27"/>
        <v>13.709117670108409</v>
      </c>
      <c r="AQ152" t="s">
        <v>55</v>
      </c>
      <c r="AR152">
        <v>0.65</v>
      </c>
      <c r="AS152">
        <v>0.19</v>
      </c>
      <c r="AT152">
        <v>0.65</v>
      </c>
      <c r="AU152">
        <v>0.51</v>
      </c>
      <c r="AV152">
        <v>0.18</v>
      </c>
      <c r="AW152">
        <v>0.63</v>
      </c>
      <c r="AX152">
        <v>1.3</v>
      </c>
      <c r="AY152">
        <v>0.48</v>
      </c>
      <c r="AZ152">
        <v>1.1200000000000001</v>
      </c>
      <c r="BA152">
        <v>0.38</v>
      </c>
    </row>
    <row r="153" spans="5:53" x14ac:dyDescent="0.2">
      <c r="E153" t="s">
        <v>45</v>
      </c>
      <c r="F153" t="s">
        <v>54</v>
      </c>
      <c r="G153">
        <v>20</v>
      </c>
      <c r="H153" s="9">
        <v>310</v>
      </c>
      <c r="I153" s="9">
        <v>0.5</v>
      </c>
      <c r="J153" s="13"/>
      <c r="K153" s="13"/>
      <c r="N153">
        <v>1</v>
      </c>
      <c r="O153">
        <f t="shared" si="23"/>
        <v>6.2502000016000014</v>
      </c>
      <c r="P153">
        <f t="shared" ref="P153" si="36">(O153 * (1 -U$141) + (0.04 * O153)) * ( 1 - AF$141 )</f>
        <v>2.3100739205913605</v>
      </c>
      <c r="Q153">
        <f t="shared" si="24"/>
        <v>0</v>
      </c>
      <c r="R153">
        <f t="shared" si="25"/>
        <v>1.3696927251153025E-3</v>
      </c>
      <c r="S153">
        <f t="shared" si="26"/>
        <v>0</v>
      </c>
      <c r="T153">
        <f t="shared" si="27"/>
        <v>2.4996892233354271</v>
      </c>
      <c r="AQ153" t="s">
        <v>56</v>
      </c>
      <c r="AR153">
        <v>0.7</v>
      </c>
      <c r="AS153">
        <v>0.13</v>
      </c>
      <c r="AT153">
        <v>0.52</v>
      </c>
      <c r="AU153">
        <v>0.34</v>
      </c>
      <c r="AV153">
        <v>0.02</v>
      </c>
      <c r="AW153">
        <v>0.04</v>
      </c>
      <c r="AX153">
        <v>0.77</v>
      </c>
      <c r="AY153">
        <v>0.42</v>
      </c>
      <c r="AZ153">
        <v>0.12</v>
      </c>
      <c r="BA153">
        <v>0.74</v>
      </c>
    </row>
    <row r="154" spans="5:53" x14ac:dyDescent="0.2">
      <c r="F154" t="s">
        <v>55</v>
      </c>
      <c r="G154">
        <v>30</v>
      </c>
      <c r="H154" s="9">
        <v>320</v>
      </c>
      <c r="I154" s="9">
        <v>0.4</v>
      </c>
      <c r="J154" s="13"/>
      <c r="K154" s="13"/>
      <c r="N154">
        <v>1</v>
      </c>
      <c r="O154">
        <f t="shared" si="23"/>
        <v>6.2378059535999979</v>
      </c>
      <c r="P154">
        <f t="shared" ref="P154" si="37">(O154 * (1 -V$141) + (0.04 * O154)) * ( 1 - AF$141 )</f>
        <v>1.7815173803481597</v>
      </c>
      <c r="Q154">
        <f t="shared" si="24"/>
        <v>0</v>
      </c>
      <c r="R154">
        <f t="shared" si="25"/>
        <v>1.0563001355838395E-3</v>
      </c>
      <c r="S154">
        <f t="shared" si="26"/>
        <v>0</v>
      </c>
      <c r="T154">
        <f t="shared" si="27"/>
        <v>2.8916216211607608</v>
      </c>
      <c r="AQ154" t="s">
        <v>57</v>
      </c>
      <c r="AR154">
        <v>0.32</v>
      </c>
      <c r="AS154">
        <v>-0.06</v>
      </c>
      <c r="AT154">
        <v>0.25</v>
      </c>
      <c r="AU154">
        <v>0.19</v>
      </c>
      <c r="AV154">
        <v>-0.1</v>
      </c>
      <c r="AW154">
        <v>-0.02</v>
      </c>
      <c r="AX154">
        <v>0.02</v>
      </c>
      <c r="AY154">
        <v>0.23</v>
      </c>
      <c r="AZ154">
        <v>-0.13</v>
      </c>
      <c r="BA154">
        <v>0</v>
      </c>
    </row>
    <row r="155" spans="5:53" x14ac:dyDescent="0.2">
      <c r="F155" t="s">
        <v>56</v>
      </c>
      <c r="G155">
        <v>60</v>
      </c>
      <c r="H155" s="9">
        <v>330</v>
      </c>
      <c r="I155" s="9">
        <v>0.3</v>
      </c>
      <c r="J155" s="13"/>
      <c r="K155" s="13"/>
      <c r="N155">
        <v>1</v>
      </c>
      <c r="O155">
        <f t="shared" si="23"/>
        <v>6.222829593600002</v>
      </c>
      <c r="P155">
        <f t="shared" ref="P155" si="38">(O155 * (1 -W$141) + (0.04 * O155)) * ( 1 - AF$141 )</f>
        <v>2.8226755036569608</v>
      </c>
      <c r="Q155">
        <f t="shared" si="24"/>
        <v>0</v>
      </c>
      <c r="R155">
        <f t="shared" si="25"/>
        <v>1.6736252759090909E-3</v>
      </c>
      <c r="S155">
        <f t="shared" si="26"/>
        <v>0</v>
      </c>
      <c r="T155">
        <f t="shared" si="27"/>
        <v>9.1630983856022716</v>
      </c>
      <c r="AO155" t="s">
        <v>81</v>
      </c>
      <c r="AP155" t="s">
        <v>79</v>
      </c>
      <c r="AQ155" t="s">
        <v>54</v>
      </c>
      <c r="AR155">
        <v>0.62</v>
      </c>
      <c r="AS155">
        <v>-0.19</v>
      </c>
      <c r="AT155">
        <v>0.37</v>
      </c>
      <c r="AU155">
        <v>0.41</v>
      </c>
      <c r="AV155">
        <v>0.06</v>
      </c>
      <c r="AW155">
        <v>-0.02</v>
      </c>
      <c r="AX155">
        <v>0.47</v>
      </c>
      <c r="AY155">
        <v>0.44</v>
      </c>
      <c r="AZ155">
        <v>0.3</v>
      </c>
      <c r="BA155">
        <v>0.13</v>
      </c>
    </row>
    <row r="156" spans="5:53" x14ac:dyDescent="0.2">
      <c r="F156" t="s">
        <v>57</v>
      </c>
      <c r="G156">
        <v>30</v>
      </c>
      <c r="H156" s="9">
        <v>340</v>
      </c>
      <c r="I156" s="9">
        <v>0.2</v>
      </c>
      <c r="J156" s="13"/>
      <c r="K156" s="13"/>
      <c r="N156">
        <v>1</v>
      </c>
      <c r="O156">
        <f t="shared" si="23"/>
        <v>6.2052802816000021</v>
      </c>
      <c r="P156">
        <f t="shared" ref="P156" si="39">(O156 * (1 -X$141) + (0.04 * O156)) * ( 1 - AF$141 )</f>
        <v>3.3359586793881606</v>
      </c>
      <c r="Q156">
        <f t="shared" si="24"/>
        <v>0</v>
      </c>
      <c r="R156">
        <f t="shared" si="25"/>
        <v>1.9779619577167153E-3</v>
      </c>
      <c r="S156">
        <f t="shared" si="26"/>
        <v>0</v>
      </c>
      <c r="T156">
        <f t="shared" si="27"/>
        <v>5.4146708592495081</v>
      </c>
      <c r="AQ156" t="s">
        <v>55</v>
      </c>
      <c r="AR156">
        <v>0.05</v>
      </c>
      <c r="AS156">
        <v>0.19</v>
      </c>
      <c r="AT156">
        <v>0.31</v>
      </c>
      <c r="AU156">
        <v>0.54</v>
      </c>
      <c r="AV156">
        <v>0.53</v>
      </c>
      <c r="AW156">
        <v>0.15</v>
      </c>
      <c r="AX156">
        <v>0.28000000000000003</v>
      </c>
      <c r="AY156">
        <v>0.56999999999999995</v>
      </c>
      <c r="AZ156">
        <v>0.42</v>
      </c>
      <c r="BA156">
        <v>0.4</v>
      </c>
    </row>
    <row r="157" spans="5:53" x14ac:dyDescent="0.2">
      <c r="E157" t="s">
        <v>46</v>
      </c>
      <c r="F157" t="s">
        <v>54</v>
      </c>
      <c r="G157">
        <v>100</v>
      </c>
      <c r="H157" s="9">
        <v>450</v>
      </c>
      <c r="I157" s="9" cm="1">
        <f t="array" ref="I157:I160">_xlfn.XLOOKUP(E157, $AR$106:$BA$106, $AR$107:$BA$110)</f>
        <v>0.3</v>
      </c>
      <c r="J157">
        <v>1</v>
      </c>
      <c r="K157" s="13"/>
      <c r="L157">
        <f>J157+K157</f>
        <v>1</v>
      </c>
      <c r="M157">
        <v>1.3</v>
      </c>
      <c r="N157">
        <f>(L157*M157)+(1 - L157)</f>
        <v>1.3</v>
      </c>
      <c r="O157">
        <f>(1.185 + 0.00454 * H157 - 0.0000026 * H157^2 + 0.315 * I157)^2 * N157</f>
        <v>10.162900799999999</v>
      </c>
      <c r="P157">
        <f t="shared" ref="P157" si="40">(O157 * (1 -U$141) + (0.04 * O157)) * ( 1 - AF$141 )</f>
        <v>3.7562081356799992</v>
      </c>
      <c r="Q157">
        <f t="shared" si="24"/>
        <v>0</v>
      </c>
      <c r="R157">
        <f t="shared" si="25"/>
        <v>2.2271369377404025E-3</v>
      </c>
      <c r="S157">
        <f t="shared" si="26"/>
        <v>0</v>
      </c>
      <c r="T157">
        <f t="shared" si="27"/>
        <v>20.322624556881173</v>
      </c>
      <c r="AQ157" t="s">
        <v>56</v>
      </c>
      <c r="AR157">
        <v>0.33</v>
      </c>
      <c r="AS157">
        <v>0.13</v>
      </c>
      <c r="AT157">
        <v>0.39</v>
      </c>
      <c r="AU157">
        <v>0.36</v>
      </c>
      <c r="AV157">
        <v>0.26</v>
      </c>
      <c r="AW157">
        <v>0.11</v>
      </c>
      <c r="AX157">
        <v>0.4</v>
      </c>
      <c r="AY157">
        <v>0.44</v>
      </c>
      <c r="AZ157">
        <v>0.37</v>
      </c>
      <c r="BA157">
        <v>-0.01</v>
      </c>
    </row>
    <row r="158" spans="5:53" x14ac:dyDescent="0.2">
      <c r="F158" t="s">
        <v>55</v>
      </c>
      <c r="G158">
        <v>110</v>
      </c>
      <c r="H158" s="9">
        <v>460</v>
      </c>
      <c r="I158" s="9">
        <v>0.3</v>
      </c>
      <c r="J158">
        <v>0</v>
      </c>
      <c r="K158">
        <v>1</v>
      </c>
      <c r="L158">
        <f t="shared" ref="L158:L164" si="41">J158+K158</f>
        <v>1</v>
      </c>
      <c r="M158">
        <v>1.1000000000000001</v>
      </c>
      <c r="N158">
        <f t="shared" ref="N158:N164" si="42">(L158*M158)+(1 - L158)</f>
        <v>1.1000000000000001</v>
      </c>
      <c r="O158">
        <f t="shared" ref="O158:O180" si="43">(1.185 + 0.00454 * H158 - 0.0000026 * H158^2 + 0.315 * I158)^2 * N158</f>
        <v>8.7336245783600006</v>
      </c>
      <c r="P158">
        <f t="shared" ref="P158" si="44">(O158 * (1 -V$141) + (0.04 * O158)) * ( 1 - AF$141 )</f>
        <v>2.4943231795796161</v>
      </c>
      <c r="Q158">
        <f t="shared" si="24"/>
        <v>0</v>
      </c>
      <c r="R158">
        <f t="shared" si="25"/>
        <v>1.4789380905534332E-3</v>
      </c>
      <c r="S158">
        <f t="shared" si="26"/>
        <v>0</v>
      </c>
      <c r="T158">
        <f t="shared" si="27"/>
        <v>14.844841083930087</v>
      </c>
      <c r="AQ158" t="s">
        <v>57</v>
      </c>
      <c r="AR158">
        <v>0.61</v>
      </c>
      <c r="AS158">
        <v>-0.06</v>
      </c>
      <c r="AT158">
        <v>0.21</v>
      </c>
      <c r="AU158">
        <v>0.18</v>
      </c>
      <c r="AV158">
        <v>0.12</v>
      </c>
      <c r="AW158">
        <v>0.06</v>
      </c>
      <c r="AX158">
        <v>0.28999999999999998</v>
      </c>
      <c r="AY158">
        <v>0.41</v>
      </c>
      <c r="AZ158">
        <v>0.41</v>
      </c>
      <c r="BA158">
        <v>-0.15</v>
      </c>
    </row>
    <row r="159" spans="5:53" x14ac:dyDescent="0.2">
      <c r="F159" t="s">
        <v>56</v>
      </c>
      <c r="G159">
        <v>120</v>
      </c>
      <c r="H159" s="9">
        <v>470</v>
      </c>
      <c r="I159" s="9">
        <v>0.2</v>
      </c>
      <c r="J159">
        <v>0</v>
      </c>
      <c r="K159">
        <v>0</v>
      </c>
      <c r="L159">
        <f t="shared" si="41"/>
        <v>0</v>
      </c>
      <c r="M159">
        <v>1</v>
      </c>
      <c r="N159">
        <f t="shared" si="42"/>
        <v>1</v>
      </c>
      <c r="O159">
        <f t="shared" si="43"/>
        <v>7.8818316516000015</v>
      </c>
      <c r="P159">
        <f t="shared" ref="P159" si="45">(O159 * (1 -W$141) + (0.04 * O159)) * ( 1 - AF$141 )</f>
        <v>3.5751988371657606</v>
      </c>
      <c r="Q159">
        <f t="shared" si="24"/>
        <v>0</v>
      </c>
      <c r="R159">
        <f t="shared" si="25"/>
        <v>2.1198126148504622E-3</v>
      </c>
      <c r="S159">
        <f t="shared" si="26"/>
        <v>0</v>
      </c>
      <c r="T159">
        <f t="shared" si="27"/>
        <v>23.211948132612562</v>
      </c>
      <c r="AO159" t="s">
        <v>81</v>
      </c>
      <c r="AP159" t="s">
        <v>80</v>
      </c>
      <c r="AQ159" t="s">
        <v>54</v>
      </c>
      <c r="AR159">
        <v>-0.2</v>
      </c>
      <c r="AS159">
        <v>0.02</v>
      </c>
      <c r="AT159">
        <v>0.24</v>
      </c>
      <c r="AU159">
        <v>0.3</v>
      </c>
      <c r="AV159">
        <v>0.23</v>
      </c>
      <c r="AW159">
        <v>-0.05</v>
      </c>
      <c r="AX159">
        <v>0.34</v>
      </c>
      <c r="AY159">
        <v>0.3</v>
      </c>
      <c r="AZ159">
        <v>0.56999999999999995</v>
      </c>
      <c r="BA159">
        <v>0.52</v>
      </c>
    </row>
    <row r="160" spans="5:53" x14ac:dyDescent="0.2">
      <c r="F160" t="s">
        <v>57</v>
      </c>
      <c r="G160">
        <v>130</v>
      </c>
      <c r="H160" s="9">
        <v>480</v>
      </c>
      <c r="I160" s="9">
        <v>0.1</v>
      </c>
      <c r="J160">
        <v>0</v>
      </c>
      <c r="K160">
        <v>0</v>
      </c>
      <c r="L160">
        <f t="shared" si="41"/>
        <v>0</v>
      </c>
      <c r="M160">
        <v>1</v>
      </c>
      <c r="N160">
        <f t="shared" si="42"/>
        <v>1</v>
      </c>
      <c r="O160">
        <f t="shared" si="43"/>
        <v>7.8213071555999987</v>
      </c>
      <c r="P160">
        <f t="shared" ref="P160" si="46">(O160 * (1 -X$141) + (0.04 * O160)) * ( 1 - AF$141 )</f>
        <v>4.2047347268505595</v>
      </c>
      <c r="Q160">
        <f t="shared" si="24"/>
        <v>0</v>
      </c>
      <c r="R160">
        <f t="shared" si="25"/>
        <v>2.4930780418197965E-3</v>
      </c>
      <c r="S160">
        <f t="shared" si="26"/>
        <v>0</v>
      </c>
      <c r="T160">
        <f t="shared" si="27"/>
        <v>29.574138271087339</v>
      </c>
      <c r="AQ160" t="s">
        <v>55</v>
      </c>
      <c r="AR160">
        <v>0.62</v>
      </c>
      <c r="AS160">
        <v>0.21</v>
      </c>
      <c r="AT160">
        <v>0.25</v>
      </c>
      <c r="AU160">
        <v>0.32</v>
      </c>
      <c r="AV160">
        <v>0.47</v>
      </c>
      <c r="AW160">
        <v>0.31</v>
      </c>
      <c r="AX160">
        <v>0.14000000000000001</v>
      </c>
      <c r="AY160">
        <v>0.4</v>
      </c>
      <c r="AZ160">
        <v>0.26</v>
      </c>
      <c r="BA160">
        <v>0.43</v>
      </c>
    </row>
    <row r="161" spans="5:53" x14ac:dyDescent="0.2">
      <c r="E161" t="s">
        <v>47</v>
      </c>
      <c r="F161" t="s">
        <v>54</v>
      </c>
      <c r="G161">
        <v>50</v>
      </c>
      <c r="H161" s="9">
        <v>470</v>
      </c>
      <c r="I161" s="9">
        <v>0.3</v>
      </c>
      <c r="J161">
        <v>1</v>
      </c>
      <c r="K161">
        <v>0</v>
      </c>
      <c r="L161">
        <f t="shared" si="41"/>
        <v>1</v>
      </c>
      <c r="M161">
        <v>1.3</v>
      </c>
      <c r="N161">
        <f t="shared" si="42"/>
        <v>1.3</v>
      </c>
      <c r="O161">
        <f t="shared" si="43"/>
        <v>10.477602046080001</v>
      </c>
      <c r="P161">
        <f t="shared" ref="P161" si="47">(O161 * (1 -U$141) + (0.04 * O161)) * ( 1 - AF$141 )</f>
        <v>3.872521716231168</v>
      </c>
      <c r="Q161">
        <f t="shared" si="24"/>
        <v>0</v>
      </c>
      <c r="R161">
        <f t="shared" si="25"/>
        <v>2.2961017720225302E-3</v>
      </c>
      <c r="S161">
        <f t="shared" si="26"/>
        <v>0</v>
      </c>
      <c r="T161">
        <f t="shared" si="27"/>
        <v>10.475964334852794</v>
      </c>
      <c r="AQ161" t="s">
        <v>56</v>
      </c>
      <c r="AR161">
        <v>0.4</v>
      </c>
      <c r="AS161">
        <v>0.13</v>
      </c>
      <c r="AT161">
        <v>0.12</v>
      </c>
      <c r="AU161">
        <v>0.27</v>
      </c>
      <c r="AV161">
        <v>0.3</v>
      </c>
      <c r="AW161">
        <v>0.08</v>
      </c>
      <c r="AX161">
        <v>0.13</v>
      </c>
      <c r="AY161">
        <v>0.24</v>
      </c>
      <c r="AZ161">
        <v>0.15</v>
      </c>
      <c r="BA161">
        <v>0.21</v>
      </c>
    </row>
    <row r="162" spans="5:53" x14ac:dyDescent="0.2">
      <c r="F162" t="s">
        <v>55</v>
      </c>
      <c r="G162">
        <v>55</v>
      </c>
      <c r="H162" s="9">
        <v>480</v>
      </c>
      <c r="I162" s="9">
        <v>0.4</v>
      </c>
      <c r="J162">
        <v>0</v>
      </c>
      <c r="K162">
        <v>1</v>
      </c>
      <c r="L162">
        <f t="shared" si="41"/>
        <v>1</v>
      </c>
      <c r="M162">
        <v>1.1000000000000001</v>
      </c>
      <c r="N162">
        <f t="shared" si="42"/>
        <v>1.1000000000000001</v>
      </c>
      <c r="O162">
        <f t="shared" si="43"/>
        <v>9.1946867601599997</v>
      </c>
      <c r="P162">
        <f t="shared" ref="P162" si="48">(O162 * (1 -V$141) + (0.04 * O162)) * ( 1 - AF$141 )</f>
        <v>2.6260025387016959</v>
      </c>
      <c r="Q162">
        <f t="shared" si="24"/>
        <v>0</v>
      </c>
      <c r="R162">
        <f t="shared" si="25"/>
        <v>1.5570136268510716E-3</v>
      </c>
      <c r="S162">
        <f t="shared" si="26"/>
        <v>0</v>
      </c>
      <c r="T162">
        <f t="shared" si="27"/>
        <v>7.8142621397588155</v>
      </c>
      <c r="AQ162" t="s">
        <v>57</v>
      </c>
      <c r="AR162">
        <v>0.08</v>
      </c>
      <c r="AS162">
        <v>0.04</v>
      </c>
      <c r="AT162">
        <v>0.06</v>
      </c>
      <c r="AU162">
        <v>0.18</v>
      </c>
      <c r="AV162">
        <v>0.11</v>
      </c>
      <c r="AW162">
        <v>-7.0000000000000007E-2</v>
      </c>
      <c r="AX162">
        <v>0.13</v>
      </c>
      <c r="AY162">
        <v>0.16</v>
      </c>
      <c r="AZ162">
        <v>0.4</v>
      </c>
      <c r="BA162">
        <v>0.33</v>
      </c>
    </row>
    <row r="163" spans="5:53" x14ac:dyDescent="0.2">
      <c r="F163" t="s">
        <v>56</v>
      </c>
      <c r="G163">
        <v>60</v>
      </c>
      <c r="H163" s="9">
        <v>490</v>
      </c>
      <c r="I163" s="9">
        <v>0.5</v>
      </c>
      <c r="J163">
        <v>0</v>
      </c>
      <c r="K163">
        <v>0</v>
      </c>
      <c r="L163">
        <f t="shared" si="41"/>
        <v>0</v>
      </c>
      <c r="M163">
        <v>1</v>
      </c>
      <c r="N163">
        <f t="shared" si="42"/>
        <v>1</v>
      </c>
      <c r="O163">
        <f t="shared" si="43"/>
        <v>8.6603072656000002</v>
      </c>
      <c r="P163">
        <f t="shared" ref="P163" si="49">(O163 * (1 -W$141) + (0.04 * O163)) * ( 1 - AF$141 )</f>
        <v>3.9283153756761604</v>
      </c>
      <c r="Q163">
        <f t="shared" si="24"/>
        <v>0</v>
      </c>
      <c r="R163">
        <f t="shared" si="25"/>
        <v>2.3291830378505103E-3</v>
      </c>
      <c r="S163">
        <f t="shared" si="26"/>
        <v>0</v>
      </c>
      <c r="T163">
        <f t="shared" si="27"/>
        <v>12.752277132231542</v>
      </c>
    </row>
    <row r="164" spans="5:53" x14ac:dyDescent="0.2">
      <c r="F164" t="s">
        <v>57</v>
      </c>
      <c r="G164">
        <v>65</v>
      </c>
      <c r="H164" s="9">
        <v>500</v>
      </c>
      <c r="I164" s="9">
        <v>0.6</v>
      </c>
      <c r="J164">
        <v>0</v>
      </c>
      <c r="K164">
        <v>0</v>
      </c>
      <c r="L164">
        <f t="shared" si="41"/>
        <v>0</v>
      </c>
      <c r="M164">
        <v>1</v>
      </c>
      <c r="N164">
        <f t="shared" si="42"/>
        <v>1</v>
      </c>
      <c r="O164">
        <f t="shared" si="43"/>
        <v>8.9640360000000019</v>
      </c>
      <c r="P164">
        <f t="shared" ref="P164" si="50">(O164 * (1 -X$141) + (0.04 * O164)) * ( 1 - AF$141 )</f>
        <v>4.8190657536000003</v>
      </c>
      <c r="Q164">
        <f t="shared" si="24"/>
        <v>0</v>
      </c>
      <c r="R164">
        <f t="shared" si="25"/>
        <v>2.8573281771297177E-3</v>
      </c>
      <c r="S164">
        <f t="shared" si="26"/>
        <v>0</v>
      </c>
      <c r="T164">
        <f t="shared" si="27"/>
        <v>16.947527750600639</v>
      </c>
    </row>
    <row r="165" spans="5:53" x14ac:dyDescent="0.2">
      <c r="E165" t="s">
        <v>48</v>
      </c>
      <c r="F165" t="s">
        <v>54</v>
      </c>
      <c r="G165">
        <v>200</v>
      </c>
      <c r="H165" s="9">
        <v>70</v>
      </c>
      <c r="I165" s="9">
        <v>0.7</v>
      </c>
      <c r="J165" s="13"/>
      <c r="K165">
        <v>0</v>
      </c>
      <c r="N165">
        <v>1</v>
      </c>
      <c r="O165">
        <f t="shared" si="43"/>
        <v>2.9260155136000003</v>
      </c>
      <c r="P165">
        <f t="shared" ref="P165" si="51">(O165 * (1 -U$141) + (0.04 * O165)) * ( 1 - AF$141 )</f>
        <v>1.08145533382656</v>
      </c>
      <c r="Q165">
        <f t="shared" si="24"/>
        <v>0</v>
      </c>
      <c r="R165">
        <f t="shared" si="25"/>
        <v>6.4121822686097807E-4</v>
      </c>
      <c r="S165">
        <f t="shared" si="26"/>
        <v>0</v>
      </c>
      <c r="T165">
        <f t="shared" si="27"/>
        <v>11.70223264021285</v>
      </c>
    </row>
    <row r="166" spans="5:53" x14ac:dyDescent="0.2">
      <c r="F166" t="s">
        <v>55</v>
      </c>
      <c r="G166">
        <v>130</v>
      </c>
      <c r="H166" s="9">
        <v>75</v>
      </c>
      <c r="I166" s="9">
        <v>0.8</v>
      </c>
      <c r="J166" s="13"/>
      <c r="K166" s="13"/>
      <c r="N166">
        <v>1</v>
      </c>
      <c r="O166">
        <f t="shared" si="43"/>
        <v>3.107728265625</v>
      </c>
      <c r="P166">
        <f t="shared" ref="P166" si="52">(O166 * (1 -V$141) + (0.04 * O166)) * ( 1 - AF$141 )</f>
        <v>0.88756719266250006</v>
      </c>
      <c r="Q166">
        <f t="shared" si="24"/>
        <v>0</v>
      </c>
      <c r="R166">
        <f t="shared" si="25"/>
        <v>5.2625775998095775E-4</v>
      </c>
      <c r="S166">
        <f t="shared" si="26"/>
        <v>0</v>
      </c>
      <c r="T166">
        <f t="shared" si="27"/>
        <v>6.2427326777741108</v>
      </c>
    </row>
    <row r="167" spans="5:53" x14ac:dyDescent="0.2">
      <c r="F167" t="s">
        <v>56</v>
      </c>
      <c r="G167">
        <v>250</v>
      </c>
      <c r="H167" s="9">
        <v>100</v>
      </c>
      <c r="I167" s="9">
        <v>0.9</v>
      </c>
      <c r="J167" s="13"/>
      <c r="K167" s="13"/>
      <c r="N167">
        <v>1</v>
      </c>
      <c r="O167">
        <f t="shared" si="43"/>
        <v>3.5967122500000004</v>
      </c>
      <c r="P167">
        <f t="shared" ref="P167" si="53">(O167 * (1 -W$141) + (0.04 * O167)) * ( 1 - AF$141 )</f>
        <v>1.6314686766000002</v>
      </c>
      <c r="Q167">
        <f t="shared" si="24"/>
        <v>0</v>
      </c>
      <c r="R167">
        <f t="shared" si="25"/>
        <v>9.6733301807955458E-4</v>
      </c>
      <c r="S167">
        <f t="shared" si="26"/>
        <v>0</v>
      </c>
      <c r="T167">
        <f t="shared" si="27"/>
        <v>22.067284474939839</v>
      </c>
    </row>
    <row r="168" spans="5:53" x14ac:dyDescent="0.2">
      <c r="F168" t="s">
        <v>57</v>
      </c>
      <c r="G168">
        <v>150</v>
      </c>
      <c r="H168" s="9">
        <v>105</v>
      </c>
      <c r="I168" s="9">
        <v>1</v>
      </c>
      <c r="J168" s="13"/>
      <c r="K168" s="13"/>
      <c r="N168">
        <v>1</v>
      </c>
      <c r="O168">
        <f t="shared" si="43"/>
        <v>3.7948403612249999</v>
      </c>
      <c r="P168">
        <f t="shared" ref="P168" si="54">(O168 * (1 -X$141) + (0.04 * O168)) * ( 1 - AF$141 )</f>
        <v>2.0401061781945597</v>
      </c>
      <c r="Q168">
        <f t="shared" si="24"/>
        <v>0</v>
      </c>
      <c r="R168">
        <f t="shared" si="25"/>
        <v>1.2096230193450034E-3</v>
      </c>
      <c r="S168">
        <f t="shared" si="26"/>
        <v>0</v>
      </c>
      <c r="T168">
        <f t="shared" si="27"/>
        <v>16.556715077284736</v>
      </c>
    </row>
    <row r="169" spans="5:53" x14ac:dyDescent="0.2">
      <c r="E169" t="s">
        <v>49</v>
      </c>
      <c r="F169" t="s">
        <v>54</v>
      </c>
      <c r="G169">
        <v>20</v>
      </c>
      <c r="H169" s="9">
        <v>350</v>
      </c>
      <c r="I169" s="9">
        <v>1.1000000000000001</v>
      </c>
      <c r="J169" s="13"/>
      <c r="K169" s="13"/>
      <c r="N169">
        <v>1</v>
      </c>
      <c r="O169">
        <f t="shared" si="43"/>
        <v>7.8512039999999974</v>
      </c>
      <c r="P169">
        <f t="shared" ref="P169" si="55">(O169 * (1 -U$141) + (0.04 * O169)) * ( 1 - AF$141 )</f>
        <v>2.9018049983999994</v>
      </c>
      <c r="Q169">
        <f t="shared" si="24"/>
        <v>0</v>
      </c>
      <c r="R169">
        <f t="shared" si="25"/>
        <v>1.7205428625393249E-3</v>
      </c>
      <c r="S169">
        <f t="shared" si="26"/>
        <v>0</v>
      </c>
      <c r="T169">
        <f t="shared" si="27"/>
        <v>3.1399907241342682</v>
      </c>
    </row>
    <row r="170" spans="5:53" x14ac:dyDescent="0.2">
      <c r="F170" t="s">
        <v>55</v>
      </c>
      <c r="G170">
        <v>30</v>
      </c>
      <c r="H170" s="9">
        <v>360</v>
      </c>
      <c r="I170" s="9">
        <v>1.2</v>
      </c>
      <c r="J170" s="13"/>
      <c r="K170" s="13"/>
      <c r="N170">
        <v>1</v>
      </c>
      <c r="O170">
        <f t="shared" si="43"/>
        <v>8.1821169936000011</v>
      </c>
      <c r="P170">
        <f t="shared" ref="P170" si="56">(O170 * (1 -V$141) + (0.04 * O170)) * ( 1 - AF$141 )</f>
        <v>2.3368126133721603</v>
      </c>
      <c r="Q170">
        <f t="shared" si="24"/>
        <v>0</v>
      </c>
      <c r="R170">
        <f t="shared" si="25"/>
        <v>1.3855466736208025E-3</v>
      </c>
      <c r="S170">
        <f t="shared" si="26"/>
        <v>0</v>
      </c>
      <c r="T170">
        <f t="shared" si="27"/>
        <v>3.7929340190369465</v>
      </c>
    </row>
    <row r="171" spans="5:53" x14ac:dyDescent="0.2">
      <c r="F171" t="s">
        <v>56</v>
      </c>
      <c r="G171">
        <v>60</v>
      </c>
      <c r="H171" s="9">
        <v>350</v>
      </c>
      <c r="I171" s="9">
        <v>1.3</v>
      </c>
      <c r="J171" s="13"/>
      <c r="K171" s="13"/>
      <c r="N171">
        <v>1</v>
      </c>
      <c r="O171">
        <f t="shared" si="43"/>
        <v>8.2082249999999988</v>
      </c>
      <c r="P171">
        <f t="shared" ref="P171" si="57">(O171 * (1 -W$141) + (0.04 * O171)) * ( 1 - AF$141 )</f>
        <v>3.7232508599999994</v>
      </c>
      <c r="Q171">
        <f t="shared" si="24"/>
        <v>0</v>
      </c>
      <c r="R171">
        <f t="shared" si="25"/>
        <v>2.2075958571125759E-3</v>
      </c>
      <c r="S171">
        <f t="shared" si="26"/>
        <v>0</v>
      </c>
      <c r="T171">
        <f t="shared" si="27"/>
        <v>12.086587317691354</v>
      </c>
    </row>
    <row r="172" spans="5:53" x14ac:dyDescent="0.2">
      <c r="F172" t="s">
        <v>57</v>
      </c>
      <c r="G172">
        <v>30</v>
      </c>
      <c r="H172" s="9">
        <v>340</v>
      </c>
      <c r="I172" s="9">
        <v>1.4</v>
      </c>
      <c r="J172" s="13"/>
      <c r="K172" s="13"/>
      <c r="N172">
        <v>1</v>
      </c>
      <c r="O172">
        <f t="shared" si="43"/>
        <v>8.2313905215999998</v>
      </c>
      <c r="P172">
        <f t="shared" ref="P172" si="58">(O172 * (1 -X$141) + (0.04 * O172)) * ( 1 - AF$141 )</f>
        <v>4.4251955444121602</v>
      </c>
      <c r="Q172">
        <f t="shared" si="24"/>
        <v>0</v>
      </c>
      <c r="R172">
        <f t="shared" si="25"/>
        <v>2.6237940225057291E-3</v>
      </c>
      <c r="S172">
        <f t="shared" si="26"/>
        <v>0</v>
      </c>
      <c r="T172">
        <f t="shared" si="27"/>
        <v>7.1826361366094327</v>
      </c>
    </row>
    <row r="173" spans="5:53" x14ac:dyDescent="0.2">
      <c r="E173" t="s">
        <v>50</v>
      </c>
      <c r="F173" t="s">
        <v>54</v>
      </c>
      <c r="G173">
        <v>100</v>
      </c>
      <c r="H173" s="9">
        <v>400</v>
      </c>
      <c r="I173" s="9">
        <v>0.4</v>
      </c>
      <c r="J173" s="13"/>
      <c r="K173" s="13"/>
      <c r="N173">
        <v>1</v>
      </c>
      <c r="O173">
        <f t="shared" si="43"/>
        <v>7.3495209999999993</v>
      </c>
      <c r="P173">
        <f t="shared" ref="P173" si="59">(O173 * (1 -U$141) + (0.04 * O173)) * ( 1 - AF$141 )</f>
        <v>2.7163829615999999</v>
      </c>
      <c r="Q173">
        <f t="shared" si="24"/>
        <v>0</v>
      </c>
      <c r="R173">
        <f t="shared" si="25"/>
        <v>1.6106021318046105E-3</v>
      </c>
      <c r="S173">
        <f t="shared" si="26"/>
        <v>0</v>
      </c>
      <c r="T173">
        <f t="shared" si="27"/>
        <v>14.69674445271707</v>
      </c>
    </row>
    <row r="174" spans="5:53" x14ac:dyDescent="0.2">
      <c r="F174" t="s">
        <v>55</v>
      </c>
      <c r="G174">
        <v>110</v>
      </c>
      <c r="H174" s="9">
        <v>410</v>
      </c>
      <c r="I174" s="9">
        <v>0.3</v>
      </c>
      <c r="J174" s="13"/>
      <c r="K174" s="13"/>
      <c r="N174">
        <v>1</v>
      </c>
      <c r="O174">
        <f t="shared" si="43"/>
        <v>7.3107507456000027</v>
      </c>
      <c r="P174">
        <f t="shared" ref="P174" si="60">(O174 * (1 -V$141) + (0.04 * O174)) * ( 1 - AF$141 )</f>
        <v>2.087950412943361</v>
      </c>
      <c r="Q174">
        <f t="shared" si="24"/>
        <v>0</v>
      </c>
      <c r="R174">
        <f t="shared" si="25"/>
        <v>1.2379908995630384E-3</v>
      </c>
      <c r="S174">
        <f t="shared" si="26"/>
        <v>0</v>
      </c>
      <c r="T174">
        <f t="shared" si="27"/>
        <v>12.426333654363997</v>
      </c>
    </row>
    <row r="175" spans="5:53" x14ac:dyDescent="0.2">
      <c r="F175" t="s">
        <v>56</v>
      </c>
      <c r="G175">
        <v>120</v>
      </c>
      <c r="H175" s="9">
        <v>420</v>
      </c>
      <c r="I175" s="9">
        <v>0.2</v>
      </c>
      <c r="J175" s="13"/>
      <c r="K175" s="13"/>
      <c r="N175">
        <v>1</v>
      </c>
      <c r="O175">
        <f t="shared" si="43"/>
        <v>7.2692787456000021</v>
      </c>
      <c r="P175">
        <f t="shared" ref="P175" si="61">(O175 * (1 -W$141) + (0.04 * O175)) * ( 1 - AF$141 )</f>
        <v>3.2973448390041611</v>
      </c>
      <c r="Q175">
        <f t="shared" si="24"/>
        <v>0</v>
      </c>
      <c r="R175">
        <f t="shared" si="25"/>
        <v>1.9550669776940898E-3</v>
      </c>
      <c r="S175">
        <f t="shared" si="26"/>
        <v>0</v>
      </c>
      <c r="T175">
        <f t="shared" si="27"/>
        <v>21.407983405750283</v>
      </c>
    </row>
    <row r="176" spans="5:53" x14ac:dyDescent="0.2">
      <c r="F176" t="s">
        <v>57</v>
      </c>
      <c r="G176">
        <v>130</v>
      </c>
      <c r="H176" s="9">
        <v>430</v>
      </c>
      <c r="I176" s="9">
        <v>0.6</v>
      </c>
      <c r="J176" s="13"/>
      <c r="K176" s="13"/>
      <c r="N176">
        <v>1</v>
      </c>
      <c r="O176">
        <f t="shared" si="43"/>
        <v>8.0966426116000001</v>
      </c>
      <c r="P176">
        <f t="shared" ref="P176" si="62">(O176 * (1 -X$141) + (0.04 * O176)) * ( 1 - AF$141 )</f>
        <v>4.35275506799616</v>
      </c>
      <c r="Q176">
        <f t="shared" si="24"/>
        <v>0</v>
      </c>
      <c r="R176">
        <f t="shared" si="25"/>
        <v>2.580842499324392E-3</v>
      </c>
      <c r="S176">
        <f t="shared" si="26"/>
        <v>0</v>
      </c>
      <c r="T176">
        <f t="shared" si="27"/>
        <v>30.6152441482356</v>
      </c>
    </row>
    <row r="177" spans="5:20" x14ac:dyDescent="0.2">
      <c r="E177" t="s">
        <v>51</v>
      </c>
      <c r="F177" t="s">
        <v>54</v>
      </c>
      <c r="G177">
        <v>50</v>
      </c>
      <c r="H177" s="9">
        <v>400</v>
      </c>
      <c r="I177" s="9">
        <v>0.5</v>
      </c>
      <c r="J177" s="13"/>
      <c r="K177" s="13"/>
      <c r="N177">
        <v>1</v>
      </c>
      <c r="O177">
        <f t="shared" si="43"/>
        <v>7.5213062500000012</v>
      </c>
      <c r="P177">
        <f t="shared" ref="P177" si="63">(O177 * (1 -U$141) + (0.04 * O177)) * ( 1 - AF$141 )</f>
        <v>2.7798747900000005</v>
      </c>
      <c r="Q177">
        <f t="shared" si="24"/>
        <v>0</v>
      </c>
      <c r="R177">
        <f t="shared" si="25"/>
        <v>1.6482478082864641E-3</v>
      </c>
      <c r="S177">
        <f t="shared" si="26"/>
        <v>0</v>
      </c>
      <c r="T177">
        <f t="shared" si="27"/>
        <v>7.5201306253069919</v>
      </c>
    </row>
    <row r="178" spans="5:20" x14ac:dyDescent="0.2">
      <c r="F178" t="s">
        <v>55</v>
      </c>
      <c r="G178">
        <v>55</v>
      </c>
      <c r="H178" s="9">
        <v>420</v>
      </c>
      <c r="I178" s="9">
        <v>0.5</v>
      </c>
      <c r="J178" s="13"/>
      <c r="K178" s="13"/>
      <c r="N178">
        <v>1</v>
      </c>
      <c r="O178">
        <f t="shared" si="43"/>
        <v>7.7877832356000019</v>
      </c>
      <c r="P178">
        <f t="shared" ref="P178" si="64">(O178 * (1 -V$141) + (0.04 * O178)) * ( 1 - AF$141 )</f>
        <v>2.2241908920873605</v>
      </c>
      <c r="Q178">
        <f t="shared" si="24"/>
        <v>0</v>
      </c>
      <c r="R178">
        <f t="shared" si="25"/>
        <v>1.3187708224418652E-3</v>
      </c>
      <c r="S178">
        <f t="shared" si="26"/>
        <v>0</v>
      </c>
      <c r="T178">
        <f t="shared" si="27"/>
        <v>6.6185810651301118</v>
      </c>
    </row>
    <row r="179" spans="5:20" x14ac:dyDescent="0.2">
      <c r="F179" t="s">
        <v>56</v>
      </c>
      <c r="G179">
        <v>60</v>
      </c>
      <c r="H179" s="9">
        <v>430</v>
      </c>
      <c r="I179" s="9">
        <v>0.5</v>
      </c>
      <c r="J179" s="13"/>
      <c r="K179" s="13"/>
      <c r="N179">
        <v>1</v>
      </c>
      <c r="O179">
        <f t="shared" si="43"/>
        <v>7.9183708816000014</v>
      </c>
      <c r="P179">
        <f t="shared" ref="P179" si="65">(O179 * (1 -W$141) + (0.04 * O179)) * ( 1 - AF$141 )</f>
        <v>3.5917730318937608</v>
      </c>
      <c r="Q179">
        <f t="shared" si="24"/>
        <v>0</v>
      </c>
      <c r="R179">
        <f t="shared" si="25"/>
        <v>2.1296398129073001E-3</v>
      </c>
      <c r="S179">
        <f t="shared" si="26"/>
        <v>0</v>
      </c>
      <c r="T179">
        <f t="shared" si="27"/>
        <v>11.659777975667469</v>
      </c>
    </row>
    <row r="180" spans="5:20" x14ac:dyDescent="0.2">
      <c r="F180" t="s">
        <v>57</v>
      </c>
      <c r="G180">
        <v>65</v>
      </c>
      <c r="H180" s="9">
        <v>440</v>
      </c>
      <c r="I180" s="9">
        <v>0.5</v>
      </c>
      <c r="J180" s="13"/>
      <c r="K180" s="13"/>
      <c r="N180">
        <v>1</v>
      </c>
      <c r="O180">
        <f t="shared" si="43"/>
        <v>8.0470938276000012</v>
      </c>
      <c r="P180">
        <f t="shared" ref="P180" si="66">(O180 * (1 -X$141) + (0.04 * O180)) * ( 1 - AF$141 )</f>
        <v>4.3261176417177598</v>
      </c>
      <c r="Q180">
        <f t="shared" si="24"/>
        <v>0</v>
      </c>
      <c r="R180">
        <f t="shared" si="25"/>
        <v>2.5650485939155208E-3</v>
      </c>
      <c r="S180">
        <f t="shared" si="26"/>
        <v>0</v>
      </c>
      <c r="T180">
        <f t="shared" si="27"/>
        <v>15.213944472661431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9A19E-DAFF-6F4D-A2EC-7D0A804FFFA7}">
  <dimension ref="A5:BC162"/>
  <sheetViews>
    <sheetView topLeftCell="D6" workbookViewId="0">
      <pane xSplit="4720" ySplit="3080" topLeftCell="D8" activePane="bottomRight"/>
      <selection activeCell="W64" sqref="V63:W64"/>
      <selection pane="topRight" activeCell="O10" sqref="O10"/>
      <selection pane="bottomLeft" activeCell="D52" sqref="D52"/>
      <selection pane="bottomRight" activeCell="M27" sqref="M27"/>
    </sheetView>
  </sheetViews>
  <sheetFormatPr baseColWidth="10" defaultRowHeight="16" x14ac:dyDescent="0.2"/>
  <cols>
    <col min="1" max="1" width="27.33203125" customWidth="1"/>
    <col min="5" max="5" width="13.83203125" customWidth="1"/>
    <col min="14" max="14" width="14" customWidth="1"/>
    <col min="15" max="15" width="15" customWidth="1"/>
    <col min="17" max="17" width="12.1640625" bestFit="1" customWidth="1"/>
    <col min="36" max="36" width="18" customWidth="1"/>
  </cols>
  <sheetData>
    <row r="5" spans="1:55" x14ac:dyDescent="0.2">
      <c r="N5" t="s">
        <v>0</v>
      </c>
      <c r="O5" t="s">
        <v>1</v>
      </c>
      <c r="P5" t="s">
        <v>2</v>
      </c>
      <c r="Q5" t="s">
        <v>3</v>
      </c>
      <c r="S5" t="s">
        <v>4</v>
      </c>
      <c r="AI5" t="s">
        <v>5</v>
      </c>
      <c r="AP5" t="s">
        <v>88</v>
      </c>
      <c r="AQ5" t="s">
        <v>89</v>
      </c>
      <c r="AT5" t="s">
        <v>110</v>
      </c>
      <c r="AU5">
        <v>0.19</v>
      </c>
    </row>
    <row r="6" spans="1:55" ht="68" x14ac:dyDescent="0.2">
      <c r="A6" s="8" t="s">
        <v>119</v>
      </c>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N8" t="s">
        <v>132</v>
      </c>
      <c r="O8" t="s">
        <v>134</v>
      </c>
      <c r="U8" t="s">
        <v>23</v>
      </c>
      <c r="Z8" t="s">
        <v>23</v>
      </c>
      <c r="AT8" t="s">
        <v>112</v>
      </c>
      <c r="AU8">
        <v>28</v>
      </c>
    </row>
    <row r="9" spans="1:55" x14ac:dyDescent="0.2">
      <c r="H9" t="s">
        <v>23</v>
      </c>
      <c r="I9" t="s">
        <v>23</v>
      </c>
      <c r="N9" t="s">
        <v>133</v>
      </c>
      <c r="O9" t="s">
        <v>135</v>
      </c>
      <c r="U9" t="s">
        <v>35</v>
      </c>
      <c r="Z9" t="s">
        <v>86</v>
      </c>
      <c r="AA9" t="s">
        <v>87</v>
      </c>
    </row>
    <row r="10" spans="1:55" x14ac:dyDescent="0.2">
      <c r="A10" t="s">
        <v>41</v>
      </c>
      <c r="B10" s="9" t="s">
        <v>98</v>
      </c>
      <c r="C10" s="9" t="s">
        <v>64</v>
      </c>
      <c r="D10" s="9" t="s">
        <v>58</v>
      </c>
      <c r="G10" s="9" t="s">
        <v>26</v>
      </c>
      <c r="H10" t="s">
        <v>29</v>
      </c>
      <c r="I10" t="s">
        <v>30</v>
      </c>
      <c r="J10" s="9" t="s">
        <v>122</v>
      </c>
      <c r="K10" s="9" t="s">
        <v>123</v>
      </c>
      <c r="L10" s="13" t="s">
        <v>31</v>
      </c>
      <c r="M10" t="s">
        <v>32</v>
      </c>
      <c r="N10" t="s">
        <v>33</v>
      </c>
      <c r="O10" t="s">
        <v>34</v>
      </c>
      <c r="P10" t="s">
        <v>37</v>
      </c>
      <c r="Q10" t="s">
        <v>83</v>
      </c>
      <c r="R10" t="s">
        <v>82</v>
      </c>
      <c r="S10" t="s">
        <v>113</v>
      </c>
      <c r="T10" t="s">
        <v>114</v>
      </c>
      <c r="U10" t="s">
        <v>54</v>
      </c>
      <c r="V10" t="s">
        <v>55</v>
      </c>
      <c r="W10" t="s">
        <v>56</v>
      </c>
      <c r="X10" t="s">
        <v>57</v>
      </c>
      <c r="Y10" s="9" t="s">
        <v>90</v>
      </c>
      <c r="Z10" t="s">
        <v>84</v>
      </c>
      <c r="AA10" t="s">
        <v>85</v>
      </c>
      <c r="AB10" t="s">
        <v>96</v>
      </c>
      <c r="AC10" t="s">
        <v>97</v>
      </c>
      <c r="AD10" t="s">
        <v>27</v>
      </c>
      <c r="AE10" t="s">
        <v>28</v>
      </c>
      <c r="AF10" t="s">
        <v>36</v>
      </c>
      <c r="AG10" t="s">
        <v>38</v>
      </c>
      <c r="AH10" t="s">
        <v>39</v>
      </c>
      <c r="AI10" s="1" t="s">
        <v>40</v>
      </c>
    </row>
    <row r="11" spans="1:55" x14ac:dyDescent="0.2">
      <c r="A11" s="10" t="s">
        <v>120</v>
      </c>
      <c r="B11" s="10" t="s">
        <v>99</v>
      </c>
      <c r="C11" s="10" t="s">
        <v>53</v>
      </c>
      <c r="D11" s="10" t="s">
        <v>53</v>
      </c>
      <c r="E11" s="10" t="s">
        <v>42</v>
      </c>
      <c r="F11" s="10" t="s">
        <v>54</v>
      </c>
      <c r="G11" s="10">
        <v>100</v>
      </c>
      <c r="H11" s="10" cm="1">
        <f t="array" ref="H11:H14">_xlfn.XLOOKUP(E11, $AR$46:$BA$46, $AR$47:$BA$50)</f>
        <v>80</v>
      </c>
      <c r="I11" s="10" cm="1">
        <f t="array" ref="I11:I14">_xlfn.XLOOKUP(E11, $AR$106:$BA$106, $AR$107:$BA$110)</f>
        <v>0.5</v>
      </c>
      <c r="J11" s="10"/>
      <c r="K11" s="10"/>
      <c r="L11" s="10">
        <v>0</v>
      </c>
      <c r="M11" s="10"/>
      <c r="N11" s="10">
        <v>1</v>
      </c>
      <c r="O11" s="10">
        <f>(1.185 + 0.00454 * H11 - 0.0000026 * H11^2 + 0.315 * I11)^2 * N11</f>
        <v>2.8529236835999998</v>
      </c>
      <c r="P11" s="10">
        <f>(O11 * (1 -U11) + (0.04 * O11)) * ( 1 - AF$11 )</f>
        <v>1.1742633881697597</v>
      </c>
      <c r="Q11" s="11">
        <f>P11 * AD$11 * Z$11 * AB$11 * AE$11</f>
        <v>5.5245616593758213E-5</v>
      </c>
      <c r="R11" s="10">
        <f>P11 * AD$11 * AA$11 * AC$11 * AE$11</f>
        <v>6.6143382058828331E-4</v>
      </c>
      <c r="S11" s="10">
        <f>G11*Q11*91.25</f>
        <v>0.50411625141804373</v>
      </c>
      <c r="T11" s="10">
        <f>G11*R11*91.25</f>
        <v>6.0355836128680851</v>
      </c>
      <c r="U11" s="10" cm="1">
        <f t="array" ref="U11:X11">_xlfn.XLOOKUP(C11,$AT$18:$AT$26,$AU$18:$AX$26)</f>
        <v>0.55000000000000004</v>
      </c>
      <c r="V11" s="10">
        <v>0.65</v>
      </c>
      <c r="W11" s="10">
        <v>0.6</v>
      </c>
      <c r="X11" s="10">
        <v>0.5</v>
      </c>
      <c r="Y11" s="10" t="s">
        <v>91</v>
      </c>
      <c r="Z11" s="10">
        <f>IF(Y11="yes", $AP$6, $AQ$6)</f>
        <v>0.05</v>
      </c>
      <c r="AA11" s="10">
        <f>IF(Y11="yes", $AP$7, $AQ$7)</f>
        <v>0.95</v>
      </c>
      <c r="AB11" s="10">
        <f>VLOOKUP(B11, $BB$17:$BC$26, 2, FALSE)</f>
        <v>7.3000000000000001E-3</v>
      </c>
      <c r="AC11" s="10">
        <f>$BC$14</f>
        <v>4.5999999999999999E-3</v>
      </c>
      <c r="AD11" s="10">
        <f>$AU$5</f>
        <v>0.19</v>
      </c>
      <c r="AE11" s="10">
        <f>$AU$6</f>
        <v>0.6784</v>
      </c>
      <c r="AF11" s="10">
        <f>$AU$7</f>
        <v>0.16</v>
      </c>
      <c r="AG11" s="10">
        <f>SUM(S11:T38)</f>
        <v>253.55531996355981</v>
      </c>
      <c r="AH11" s="10">
        <f>$AU$8</f>
        <v>28</v>
      </c>
      <c r="AI11" s="10">
        <f>AG11 * AH11 * 10^-3</f>
        <v>7.0995489589796748</v>
      </c>
    </row>
    <row r="12" spans="1:55" x14ac:dyDescent="0.2">
      <c r="A12" s="10"/>
      <c r="B12" s="10"/>
      <c r="C12" s="10"/>
      <c r="D12" s="10"/>
      <c r="E12" s="10"/>
      <c r="F12" s="10" t="s">
        <v>55</v>
      </c>
      <c r="G12" s="10">
        <v>110</v>
      </c>
      <c r="H12" s="10">
        <v>170</v>
      </c>
      <c r="I12" s="10">
        <v>1</v>
      </c>
      <c r="J12" s="10"/>
      <c r="K12" s="10"/>
      <c r="L12" s="10"/>
      <c r="M12" s="10"/>
      <c r="N12" s="10">
        <v>1</v>
      </c>
      <c r="O12" s="10">
        <f t="shared" ref="O12:O26" si="0">(1.185 + 0.00454 * H12 - 0.0000026 * H12^2 + 0.315 * I12)^2 * N12</f>
        <v>4.8253151556000002</v>
      </c>
      <c r="P12" s="10">
        <f>(O12 * (1 -V$11) + (0.04 * O12)) * ( 1 - AF$11 )</f>
        <v>1.58077324497456</v>
      </c>
      <c r="Q12" s="11">
        <f t="shared" ref="Q12:Q38" si="1">P12 * AD$11 * Z$11 * AB$11 * AE$11</f>
        <v>7.4370702087247912E-5</v>
      </c>
      <c r="R12" s="10">
        <f>P12 * AD$11 * AA$11 * AC$11 * AE$11</f>
        <v>8.9041087156513257E-4</v>
      </c>
      <c r="S12" s="10">
        <f t="shared" ref="S12:S50" si="2">G12*Q12*91.25</f>
        <v>0.74649592220075089</v>
      </c>
      <c r="T12" s="10">
        <f t="shared" ref="T12:T50" si="3">G12*R12*91.25</f>
        <v>8.9374991233350194</v>
      </c>
      <c r="U12" s="10"/>
      <c r="V12" s="10"/>
      <c r="W12" s="10"/>
      <c r="X12" s="10"/>
      <c r="Y12" s="10"/>
      <c r="Z12" s="10"/>
      <c r="AA12" s="10"/>
      <c r="AB12" s="10"/>
      <c r="AC12" s="10"/>
      <c r="AD12" s="10"/>
      <c r="AE12" s="10"/>
      <c r="AF12" s="10"/>
      <c r="AG12" s="10"/>
      <c r="AH12" s="10"/>
      <c r="AI12" s="10"/>
    </row>
    <row r="13" spans="1:55" x14ac:dyDescent="0.2">
      <c r="A13" s="10"/>
      <c r="B13" s="10"/>
      <c r="C13" s="10"/>
      <c r="D13" s="10"/>
      <c r="E13" s="10"/>
      <c r="F13" s="10" t="s">
        <v>56</v>
      </c>
      <c r="G13" s="10">
        <v>120</v>
      </c>
      <c r="H13" s="10">
        <v>240</v>
      </c>
      <c r="I13" s="10">
        <v>0.8</v>
      </c>
      <c r="J13" s="10"/>
      <c r="K13" s="10"/>
      <c r="L13" s="10"/>
      <c r="M13" s="10"/>
      <c r="N13" s="10">
        <v>1</v>
      </c>
      <c r="O13" s="10">
        <f t="shared" si="0"/>
        <v>5.6493683855999981</v>
      </c>
      <c r="P13" s="10">
        <f>(O13 * (1 -W$11) + (0.04 * O13)) * ( 1 - AF$11 )</f>
        <v>2.0880065553177594</v>
      </c>
      <c r="Q13" s="11">
        <f t="shared" si="1"/>
        <v>9.8234527928296858E-5</v>
      </c>
      <c r="R13" s="10">
        <f>P13 * AD$11 * AA$11 * AC$11 * AE$11</f>
        <v>1.1761229782100196E-3</v>
      </c>
      <c r="S13" s="10">
        <f t="shared" si="2"/>
        <v>1.0756680808148507</v>
      </c>
      <c r="T13" s="10">
        <f t="shared" si="3"/>
        <v>12.878546611399717</v>
      </c>
      <c r="U13" s="10"/>
      <c r="V13" s="10"/>
      <c r="W13" s="10"/>
      <c r="X13" s="10"/>
      <c r="Y13" s="10"/>
      <c r="Z13" s="10"/>
      <c r="AA13" s="10"/>
      <c r="AB13" s="10"/>
      <c r="AC13" s="10"/>
      <c r="AD13" s="10"/>
      <c r="AE13" s="10"/>
      <c r="AF13" s="10"/>
      <c r="AG13" s="10"/>
      <c r="AH13" s="10"/>
      <c r="AI13" s="10"/>
    </row>
    <row r="14" spans="1:55" x14ac:dyDescent="0.2">
      <c r="A14" s="10"/>
      <c r="B14" s="10"/>
      <c r="C14" s="10"/>
      <c r="D14" s="10"/>
      <c r="E14" s="10"/>
      <c r="F14" s="10" t="s">
        <v>57</v>
      </c>
      <c r="G14" s="10">
        <v>130</v>
      </c>
      <c r="H14" s="10">
        <v>280</v>
      </c>
      <c r="I14" s="10">
        <v>0.4</v>
      </c>
      <c r="J14" s="10"/>
      <c r="K14" s="10"/>
      <c r="L14" s="10"/>
      <c r="M14" s="10"/>
      <c r="N14" s="10">
        <v>1</v>
      </c>
      <c r="O14" s="10">
        <f t="shared" si="0"/>
        <v>5.6565962895999995</v>
      </c>
      <c r="P14" s="10">
        <f>(O14 * (1 -X$11) + (0.04 * O14)) * ( 1 - AF$11 )</f>
        <v>2.5658320769625598</v>
      </c>
      <c r="Q14" s="11">
        <f t="shared" si="1"/>
        <v>1.2071480435814064E-4</v>
      </c>
      <c r="R14" s="10">
        <f>P14 * AD$11 * AA$11 * AC$11 * AE$11</f>
        <v>1.4452703973837659E-3</v>
      </c>
      <c r="S14" s="10">
        <f t="shared" si="2"/>
        <v>1.4319793666984433</v>
      </c>
      <c r="T14" s="10">
        <f t="shared" si="3"/>
        <v>17.144520088964921</v>
      </c>
      <c r="U14" s="10"/>
      <c r="V14" s="10"/>
      <c r="W14" s="10"/>
      <c r="X14" s="10"/>
      <c r="Y14" s="10"/>
      <c r="Z14" s="10"/>
      <c r="AA14" s="10"/>
      <c r="AB14" s="10"/>
      <c r="AC14" s="10"/>
      <c r="AD14" s="10"/>
      <c r="AE14" s="10"/>
      <c r="AF14" s="10"/>
      <c r="AG14" s="10"/>
      <c r="AH14" s="10"/>
      <c r="AI14" s="10"/>
      <c r="BB14" t="s">
        <v>97</v>
      </c>
      <c r="BC14">
        <v>4.5999999999999999E-3</v>
      </c>
    </row>
    <row r="15" spans="1:55" x14ac:dyDescent="0.2">
      <c r="A15" s="10"/>
      <c r="B15" s="10"/>
      <c r="C15" s="10"/>
      <c r="D15" s="10"/>
      <c r="E15" s="10" t="s">
        <v>43</v>
      </c>
      <c r="F15" s="10" t="s">
        <v>54</v>
      </c>
      <c r="G15" s="10"/>
      <c r="H15" s="10" cm="1">
        <f t="array" ref="H15:H18">_xlfn.XLOOKUP(E15, $AR$46:$BA$46, $AR$47:$BA$50)</f>
        <v>480</v>
      </c>
      <c r="I15" s="10" cm="1">
        <f t="array" ref="I15:I18">_xlfn.XLOOKUP(E15, $AR$106:$BA$106, $AR$107:$BA$110)</f>
        <v>0.2</v>
      </c>
      <c r="J15" s="10"/>
      <c r="K15" s="10"/>
      <c r="L15" s="10"/>
      <c r="M15" s="10"/>
      <c r="N15" s="10">
        <v>1</v>
      </c>
      <c r="O15" s="10">
        <f t="shared" si="0"/>
        <v>7.9984889855999999</v>
      </c>
      <c r="P15" s="10">
        <f>(O15 * (1 -U$11) + (0.04 * O15)) * ( 1 - AF$11 )</f>
        <v>3.2921780664729599</v>
      </c>
      <c r="Q15" s="11">
        <f t="shared" si="1"/>
        <v>1.5488723318047602E-4</v>
      </c>
      <c r="R15" s="10">
        <f>P15 * AD$11 * AA$11 * AC$11 * AE$11</f>
        <v>1.8544033123251509E-3</v>
      </c>
      <c r="S15" s="10">
        <f t="shared" si="2"/>
        <v>0</v>
      </c>
      <c r="T15" s="10">
        <f t="shared" si="3"/>
        <v>0</v>
      </c>
      <c r="U15" s="10"/>
      <c r="V15" s="10"/>
      <c r="W15" s="10"/>
      <c r="X15" s="10"/>
      <c r="Y15" s="10"/>
      <c r="Z15" s="10"/>
      <c r="AA15" s="10"/>
      <c r="AB15" s="10"/>
      <c r="AC15" s="10"/>
      <c r="AD15" s="10"/>
      <c r="AE15" s="10"/>
      <c r="AF15" s="10"/>
      <c r="AG15" s="10"/>
      <c r="AH15" s="10"/>
      <c r="AI15" s="10"/>
    </row>
    <row r="16" spans="1:55" x14ac:dyDescent="0.2">
      <c r="A16" s="10"/>
      <c r="B16" s="10"/>
      <c r="C16" s="10"/>
      <c r="D16" s="10"/>
      <c r="E16" s="10"/>
      <c r="F16" s="10" t="s">
        <v>55</v>
      </c>
      <c r="G16" s="10"/>
      <c r="H16" s="10">
        <v>520</v>
      </c>
      <c r="I16" s="10">
        <v>0.4</v>
      </c>
      <c r="J16" s="10"/>
      <c r="K16" s="10"/>
      <c r="L16" s="10"/>
      <c r="M16" s="10"/>
      <c r="N16" s="10">
        <v>1</v>
      </c>
      <c r="O16" s="10">
        <f t="shared" si="0"/>
        <v>8.8135359375999975</v>
      </c>
      <c r="P16" s="10">
        <f>(O16 * (1 -V$11) + (0.04 * O16)) * ( 1 - AF$11 )</f>
        <v>2.8873143731577593</v>
      </c>
      <c r="Q16" s="11">
        <f t="shared" si="1"/>
        <v>1.3583959480652805E-4</v>
      </c>
      <c r="R16" s="10">
        <f>P16 * AD$11 * AA$11 * AC$11 * AE$11</f>
        <v>1.626353504943911E-3</v>
      </c>
      <c r="S16" s="10">
        <f t="shared" si="2"/>
        <v>0</v>
      </c>
      <c r="T16" s="10">
        <f t="shared" si="3"/>
        <v>0</v>
      </c>
      <c r="U16" s="10"/>
      <c r="V16" s="10"/>
      <c r="W16" s="10"/>
      <c r="X16" s="10"/>
      <c r="Y16" s="10"/>
      <c r="Z16" s="10"/>
      <c r="AA16" s="10"/>
      <c r="AB16" s="10"/>
      <c r="AC16" s="10"/>
      <c r="AD16" s="10"/>
      <c r="AE16" s="10"/>
      <c r="AF16" s="10"/>
      <c r="AG16" s="10"/>
      <c r="AH16" s="10"/>
      <c r="AI16" s="10"/>
      <c r="AS16" t="s">
        <v>61</v>
      </c>
      <c r="BB16" t="s">
        <v>96</v>
      </c>
    </row>
    <row r="17" spans="1:55" x14ac:dyDescent="0.2">
      <c r="A17" s="10"/>
      <c r="B17" s="10"/>
      <c r="C17" s="10"/>
      <c r="D17" s="10"/>
      <c r="E17" s="10"/>
      <c r="F17" s="10" t="s">
        <v>56</v>
      </c>
      <c r="G17" s="10"/>
      <c r="H17" s="10">
        <v>550</v>
      </c>
      <c r="I17" s="10">
        <v>0.3</v>
      </c>
      <c r="J17" s="10"/>
      <c r="K17" s="10"/>
      <c r="L17" s="10"/>
      <c r="M17" s="10"/>
      <c r="N17" s="10">
        <v>1</v>
      </c>
      <c r="O17" s="10">
        <f t="shared" si="0"/>
        <v>8.940100000000001</v>
      </c>
      <c r="P17" s="10">
        <f>(O17 * (1 -W$11) + (0.04 * O17)) * ( 1 - AF$11 )</f>
        <v>3.3042609600000006</v>
      </c>
      <c r="Q17" s="11">
        <f t="shared" si="1"/>
        <v>1.5545569755555841E-4</v>
      </c>
      <c r="R17" s="10">
        <f>P17 * AD$11 * AA$11 * AC$11 * AE$11</f>
        <v>1.8612093104596994E-3</v>
      </c>
      <c r="S17" s="10">
        <f t="shared" si="2"/>
        <v>0</v>
      </c>
      <c r="T17" s="10">
        <f t="shared" si="3"/>
        <v>0</v>
      </c>
      <c r="U17" s="10"/>
      <c r="V17" s="10"/>
      <c r="W17" s="10"/>
      <c r="X17" s="10"/>
      <c r="Y17" s="10"/>
      <c r="Z17" s="10"/>
      <c r="AA17" s="10"/>
      <c r="AB17" s="10"/>
      <c r="AC17" s="10"/>
      <c r="AD17" s="10"/>
      <c r="AE17" s="10"/>
      <c r="AF17" s="10"/>
      <c r="AG17" s="10"/>
      <c r="AH17" s="10"/>
      <c r="AI17" s="10"/>
      <c r="AU17" s="2" t="s">
        <v>54</v>
      </c>
      <c r="AV17" s="2" t="s">
        <v>55</v>
      </c>
      <c r="AW17" t="s">
        <v>56</v>
      </c>
      <c r="AX17" t="s">
        <v>57</v>
      </c>
      <c r="BB17" t="s">
        <v>106</v>
      </c>
      <c r="BC17">
        <v>6.0000000000000001E-3</v>
      </c>
    </row>
    <row r="18" spans="1:55" x14ac:dyDescent="0.2">
      <c r="A18" s="10"/>
      <c r="B18" s="10"/>
      <c r="C18" s="10"/>
      <c r="D18" s="10"/>
      <c r="E18" s="10"/>
      <c r="F18" s="10" t="s">
        <v>57</v>
      </c>
      <c r="G18" s="10"/>
      <c r="H18" s="10">
        <v>560</v>
      </c>
      <c r="I18" s="10">
        <v>0.1</v>
      </c>
      <c r="J18" s="10"/>
      <c r="K18" s="10"/>
      <c r="L18" s="10"/>
      <c r="M18" s="10"/>
      <c r="N18" s="10">
        <v>1</v>
      </c>
      <c r="O18" s="10">
        <f t="shared" si="0"/>
        <v>8.6644277315999982</v>
      </c>
      <c r="P18" s="10">
        <f>(O18 * (1 -X$11) + (0.04 * O18)) * ( 1 - AF$11 )</f>
        <v>3.9301844190537589</v>
      </c>
      <c r="Q18" s="11">
        <f t="shared" si="1"/>
        <v>1.8490354357059897E-4</v>
      </c>
      <c r="R18" s="10">
        <f>P18 * AD$11 * AA$11 * AC$11 * AE$11</f>
        <v>2.2137766723384039E-3</v>
      </c>
      <c r="S18" s="10">
        <f t="shared" si="2"/>
        <v>0</v>
      </c>
      <c r="T18" s="10">
        <f t="shared" si="3"/>
        <v>0</v>
      </c>
      <c r="U18" s="10"/>
      <c r="V18" s="10"/>
      <c r="W18" s="10"/>
      <c r="X18" s="10"/>
      <c r="Y18" s="10"/>
      <c r="Z18" s="10"/>
      <c r="AA18" s="10"/>
      <c r="AB18" s="10"/>
      <c r="AC18" s="10"/>
      <c r="AD18" s="10"/>
      <c r="AE18" s="10"/>
      <c r="AF18" s="10"/>
      <c r="AG18" s="10"/>
      <c r="AH18" s="10"/>
      <c r="AI18" s="10"/>
      <c r="AT18" t="s">
        <v>53</v>
      </c>
      <c r="AU18" s="2">
        <v>0.55000000000000004</v>
      </c>
      <c r="AV18" s="2">
        <v>0.65</v>
      </c>
      <c r="AW18">
        <v>0.6</v>
      </c>
      <c r="AX18">
        <v>0.5</v>
      </c>
      <c r="BB18" t="s">
        <v>107</v>
      </c>
      <c r="BC18">
        <v>6.7000000000000002E-3</v>
      </c>
    </row>
    <row r="19" spans="1:55" x14ac:dyDescent="0.2">
      <c r="A19" s="10"/>
      <c r="B19" s="10"/>
      <c r="C19" s="10"/>
      <c r="D19" s="10"/>
      <c r="E19" s="10" t="s">
        <v>44</v>
      </c>
      <c r="F19" s="10" t="s">
        <v>54</v>
      </c>
      <c r="G19" s="10"/>
      <c r="H19" s="10" cm="1">
        <f t="array" ref="H19:H22">_xlfn.XLOOKUP(E19, $AR$46:$BA$46, $AR$47:$BA$50)</f>
        <v>75</v>
      </c>
      <c r="I19" s="10" cm="1">
        <f t="array" ref="I19:I22">_xlfn.XLOOKUP(E19, $AR$106:$BA$106, $AR$107:$BA$110)</f>
        <v>0.5</v>
      </c>
      <c r="J19" s="10"/>
      <c r="K19" s="10"/>
      <c r="L19" s="10"/>
      <c r="M19" s="10"/>
      <c r="N19" s="10">
        <v>1</v>
      </c>
      <c r="O19" s="10">
        <f t="shared" si="0"/>
        <v>2.7834751406249998</v>
      </c>
      <c r="P19" s="10">
        <f>(O19 * (1 -U$11) + (0.04 * O19)) * ( 1 - AF$11 )</f>
        <v>1.1456783678812499</v>
      </c>
      <c r="Q19" s="11">
        <f t="shared" si="1"/>
        <v>5.390077600084388E-5</v>
      </c>
      <c r="R19" s="10">
        <f>P19 * AD$11 * AA$11 * AC$11 * AE$11</f>
        <v>6.4533257842106233E-4</v>
      </c>
      <c r="S19" s="10">
        <f t="shared" si="2"/>
        <v>0</v>
      </c>
      <c r="T19" s="10">
        <f t="shared" si="3"/>
        <v>0</v>
      </c>
      <c r="U19" s="10"/>
      <c r="V19" s="10"/>
      <c r="W19" s="10"/>
      <c r="X19" s="10"/>
      <c r="Y19" s="10"/>
      <c r="Z19" s="10"/>
      <c r="AA19" s="10"/>
      <c r="AB19" s="10"/>
      <c r="AC19" s="10"/>
      <c r="AD19" s="10"/>
      <c r="AE19" s="10"/>
      <c r="AF19" s="10"/>
      <c r="AG19" s="10"/>
      <c r="AH19" s="10"/>
      <c r="AI19" s="10"/>
      <c r="AT19" t="s">
        <v>73</v>
      </c>
      <c r="AU19" s="2">
        <v>0.55000000000000004</v>
      </c>
      <c r="AV19" s="2">
        <v>0.61</v>
      </c>
      <c r="AW19" s="2">
        <v>0.56999999999999995</v>
      </c>
      <c r="AX19">
        <v>0.54</v>
      </c>
      <c r="BB19" t="s">
        <v>100</v>
      </c>
      <c r="BC19">
        <v>5.0000000000000001E-3</v>
      </c>
    </row>
    <row r="20" spans="1:55" x14ac:dyDescent="0.2">
      <c r="A20" s="10"/>
      <c r="B20" s="10"/>
      <c r="C20" s="10"/>
      <c r="D20" s="10"/>
      <c r="E20" s="10"/>
      <c r="F20" s="10" t="s">
        <v>55</v>
      </c>
      <c r="G20" s="10"/>
      <c r="H20" s="10">
        <v>160</v>
      </c>
      <c r="I20" s="10">
        <v>0.9</v>
      </c>
      <c r="J20" s="10"/>
      <c r="K20" s="10"/>
      <c r="L20" s="10"/>
      <c r="M20" s="10"/>
      <c r="N20" s="10">
        <v>1</v>
      </c>
      <c r="O20" s="10">
        <f t="shared" si="0"/>
        <v>4.5298311556000002</v>
      </c>
      <c r="P20" s="10">
        <f>(O20 * (1 -V$11) + (0.04 * O20)) * ( 1 - AF$11 )</f>
        <v>1.4839726865745599</v>
      </c>
      <c r="Q20" s="11">
        <f t="shared" si="1"/>
        <v>6.9816522344180778E-5</v>
      </c>
      <c r="R20" s="10">
        <f>P20 * AD$11 * AA$11 * AC$11 * AE$11</f>
        <v>8.3588548669608228E-4</v>
      </c>
      <c r="S20" s="10">
        <f t="shared" si="2"/>
        <v>0</v>
      </c>
      <c r="T20" s="10">
        <f t="shared" si="3"/>
        <v>0</v>
      </c>
      <c r="U20" s="10"/>
      <c r="V20" s="10"/>
      <c r="W20" s="10"/>
      <c r="X20" s="10"/>
      <c r="Y20" s="10"/>
      <c r="Z20" s="10"/>
      <c r="AA20" s="10"/>
      <c r="AB20" s="10"/>
      <c r="AC20" s="10"/>
      <c r="AD20" s="10"/>
      <c r="AE20" s="10"/>
      <c r="AF20" s="10"/>
      <c r="AG20" s="10"/>
      <c r="AH20" s="10"/>
      <c r="AI20" s="10"/>
      <c r="AT20" t="s">
        <v>92</v>
      </c>
      <c r="AU20" s="2">
        <v>0.53</v>
      </c>
      <c r="AV20" s="2">
        <v>0.56999999999999995</v>
      </c>
      <c r="AW20" s="2">
        <v>0.55000000000000004</v>
      </c>
      <c r="AX20">
        <v>0.51</v>
      </c>
      <c r="BB20" t="s">
        <v>101</v>
      </c>
      <c r="BC20">
        <v>4.8999999999999998E-3</v>
      </c>
    </row>
    <row r="21" spans="1:55" x14ac:dyDescent="0.2">
      <c r="A21" s="10"/>
      <c r="B21" s="10"/>
      <c r="C21" s="10"/>
      <c r="D21" s="10"/>
      <c r="E21" s="10"/>
      <c r="F21" s="10" t="s">
        <v>56</v>
      </c>
      <c r="G21" s="10"/>
      <c r="H21" s="10">
        <v>220</v>
      </c>
      <c r="I21" s="10">
        <v>0.7</v>
      </c>
      <c r="J21" s="10"/>
      <c r="K21" s="10"/>
      <c r="L21" s="10"/>
      <c r="M21" s="10"/>
      <c r="N21" s="10">
        <v>1</v>
      </c>
      <c r="O21" s="10">
        <f t="shared" si="0"/>
        <v>5.1913799715999973</v>
      </c>
      <c r="P21" s="10">
        <f>(O21 * (1 -W$11) + (0.04 * O21)) * ( 1 - AF$11 )</f>
        <v>1.918734037503359</v>
      </c>
      <c r="Q21" s="11">
        <f t="shared" si="1"/>
        <v>9.0270757011782037E-5</v>
      </c>
      <c r="R21" s="10">
        <f>P21 * AD$11 * AA$11 * AC$11 * AE$11</f>
        <v>1.0807759127164039E-3</v>
      </c>
      <c r="S21" s="10">
        <f t="shared" si="2"/>
        <v>0</v>
      </c>
      <c r="T21" s="10">
        <f t="shared" si="3"/>
        <v>0</v>
      </c>
      <c r="U21" s="10"/>
      <c r="V21" s="10"/>
      <c r="W21" s="10"/>
      <c r="X21" s="10"/>
      <c r="Y21" s="10"/>
      <c r="Z21" s="10"/>
      <c r="AA21" s="10"/>
      <c r="AB21" s="10"/>
      <c r="AC21" s="10"/>
      <c r="AD21" s="10"/>
      <c r="AE21" s="10"/>
      <c r="AF21" s="10"/>
      <c r="AG21" s="10"/>
      <c r="AH21" s="10"/>
      <c r="AI21" s="10"/>
      <c r="AT21" t="s">
        <v>93</v>
      </c>
      <c r="AU21" s="2">
        <v>0.7</v>
      </c>
      <c r="AV21" s="2">
        <v>0.55000000000000004</v>
      </c>
      <c r="AW21" s="2">
        <v>0.55000000000000004</v>
      </c>
      <c r="AX21">
        <v>0.75</v>
      </c>
      <c r="BB21" t="s">
        <v>108</v>
      </c>
      <c r="BC21">
        <v>7.3000000000000001E-3</v>
      </c>
    </row>
    <row r="22" spans="1:55" x14ac:dyDescent="0.2">
      <c r="A22" s="10"/>
      <c r="B22" s="10"/>
      <c r="C22" s="10"/>
      <c r="D22" s="10"/>
      <c r="E22" s="10"/>
      <c r="F22" s="10" t="s">
        <v>57</v>
      </c>
      <c r="G22" s="10"/>
      <c r="H22" s="10">
        <v>260</v>
      </c>
      <c r="I22" s="10">
        <v>0.4</v>
      </c>
      <c r="J22" s="10"/>
      <c r="K22" s="10"/>
      <c r="L22" s="10"/>
      <c r="M22" s="10"/>
      <c r="N22" s="10">
        <v>1</v>
      </c>
      <c r="O22" s="10">
        <f t="shared" si="0"/>
        <v>5.3621886096000004</v>
      </c>
      <c r="P22" s="10">
        <f>(O22 * (1 -X$11) + (0.04 * O22)) * ( 1 - AF$11 )</f>
        <v>2.4322887533145603</v>
      </c>
      <c r="Q22" s="11">
        <f t="shared" si="1"/>
        <v>1.1443198626874025E-4</v>
      </c>
      <c r="R22" s="10">
        <f>P22 * AD$11 * AA$11 * AC$11 * AE$11</f>
        <v>1.3700487123134107E-3</v>
      </c>
      <c r="S22" s="10">
        <f t="shared" si="2"/>
        <v>0</v>
      </c>
      <c r="T22" s="10">
        <f t="shared" si="3"/>
        <v>0</v>
      </c>
      <c r="U22" s="10"/>
      <c r="V22" s="10"/>
      <c r="W22" s="10"/>
      <c r="X22" s="10"/>
      <c r="Y22" s="10"/>
      <c r="Z22" s="10"/>
      <c r="AA22" s="10"/>
      <c r="AB22" s="10"/>
      <c r="AC22" s="10"/>
      <c r="AD22" s="10"/>
      <c r="AE22" s="10"/>
      <c r="AF22" s="10"/>
      <c r="AG22" s="10"/>
      <c r="AH22" s="10"/>
      <c r="AI22" s="10"/>
      <c r="AT22" t="s">
        <v>94</v>
      </c>
      <c r="AU22" s="2">
        <v>0.75</v>
      </c>
      <c r="AV22" s="2">
        <v>0.6</v>
      </c>
      <c r="AW22" s="2">
        <v>0.7</v>
      </c>
      <c r="AX22">
        <v>0.75</v>
      </c>
      <c r="BB22" t="s">
        <v>109</v>
      </c>
      <c r="BC22">
        <v>7.6E-3</v>
      </c>
    </row>
    <row r="23" spans="1:55" x14ac:dyDescent="0.2">
      <c r="A23" s="10"/>
      <c r="B23" s="10"/>
      <c r="C23" s="10"/>
      <c r="D23" s="10"/>
      <c r="E23" s="10" t="s">
        <v>45</v>
      </c>
      <c r="F23" s="10" t="s">
        <v>54</v>
      </c>
      <c r="G23" s="10"/>
      <c r="H23" s="10" cm="1">
        <f t="array" ref="H23:H26">_xlfn.XLOOKUP(E23, $AR$46:$BA$46, $AR$47:$BA$50)</f>
        <v>300</v>
      </c>
      <c r="I23" s="10" cm="1">
        <f t="array" ref="I23:I26">_xlfn.XLOOKUP(E23, $AR$106:$BA$106, $AR$107:$BA$110)</f>
        <v>0.4</v>
      </c>
      <c r="J23" s="10"/>
      <c r="K23" s="10"/>
      <c r="L23" s="10"/>
      <c r="M23" s="10"/>
      <c r="N23" s="10">
        <v>1</v>
      </c>
      <c r="O23" s="10">
        <f t="shared" si="0"/>
        <v>5.9487209999999981</v>
      </c>
      <c r="P23" s="10">
        <f>(O23 * (1 -U$11) + (0.04 * O23)) * ( 1 - AF$11 )</f>
        <v>2.4484935635999991</v>
      </c>
      <c r="Q23" s="11">
        <f t="shared" si="1"/>
        <v>1.1519437462643171E-4</v>
      </c>
      <c r="R23" s="10">
        <f>P23 * AD$11 * AA$11 * AC$11 * AE$11</f>
        <v>1.3791764852534424E-3</v>
      </c>
      <c r="S23" s="10">
        <f t="shared" si="2"/>
        <v>0</v>
      </c>
      <c r="T23" s="10">
        <f t="shared" si="3"/>
        <v>0</v>
      </c>
      <c r="U23" s="10"/>
      <c r="V23" s="10"/>
      <c r="W23" s="10"/>
      <c r="X23" s="10"/>
      <c r="Y23" s="10"/>
      <c r="Z23" s="10"/>
      <c r="AA23" s="10"/>
      <c r="AB23" s="10"/>
      <c r="AC23" s="10"/>
      <c r="AD23" s="10"/>
      <c r="AE23" s="10"/>
      <c r="AF23" s="10"/>
      <c r="AG23" s="10"/>
      <c r="AH23" s="10"/>
      <c r="AI23" s="10"/>
      <c r="AT23" t="s">
        <v>95</v>
      </c>
      <c r="AU23" s="2">
        <v>0.8</v>
      </c>
      <c r="AV23" s="2">
        <v>0.55000000000000004</v>
      </c>
      <c r="AW23" s="2">
        <v>0.6</v>
      </c>
      <c r="AX23">
        <v>0.76</v>
      </c>
      <c r="BB23" t="s">
        <v>102</v>
      </c>
      <c r="BC23">
        <v>7.6E-3</v>
      </c>
    </row>
    <row r="24" spans="1:55" x14ac:dyDescent="0.2">
      <c r="A24" s="10"/>
      <c r="B24" s="10"/>
      <c r="C24" s="10"/>
      <c r="D24" s="10"/>
      <c r="E24" s="10"/>
      <c r="F24" s="10" t="s">
        <v>55</v>
      </c>
      <c r="G24" s="10"/>
      <c r="H24" s="10">
        <v>360</v>
      </c>
      <c r="I24" s="10">
        <v>0.7</v>
      </c>
      <c r="J24" s="10"/>
      <c r="K24" s="10"/>
      <c r="L24" s="10"/>
      <c r="M24" s="10"/>
      <c r="N24" s="10">
        <v>1</v>
      </c>
      <c r="O24" s="10">
        <f t="shared" si="0"/>
        <v>7.3058846435999998</v>
      </c>
      <c r="P24" s="10">
        <f>(O24 * (1 -V$11) + (0.04 * O24)) * ( 1 - AF$11 )</f>
        <v>2.3934078092433602</v>
      </c>
      <c r="Q24" s="11">
        <f t="shared" si="1"/>
        <v>1.1260275293778476E-4</v>
      </c>
      <c r="R24" s="10">
        <f>P24 * AD$11 * AA$11 * AC$11 * AE$11</f>
        <v>1.3481480283236143E-3</v>
      </c>
      <c r="S24" s="10">
        <f t="shared" si="2"/>
        <v>0</v>
      </c>
      <c r="T24" s="10">
        <f t="shared" si="3"/>
        <v>0</v>
      </c>
      <c r="U24" s="10"/>
      <c r="V24" s="10"/>
      <c r="W24" s="10"/>
      <c r="X24" s="10"/>
      <c r="Y24" s="10"/>
      <c r="Z24" s="10"/>
      <c r="AA24" s="10"/>
      <c r="AB24" s="10"/>
      <c r="AC24" s="10"/>
      <c r="AD24" s="10"/>
      <c r="AE24" s="10"/>
      <c r="AF24" s="10"/>
      <c r="AG24" s="10"/>
      <c r="AH24" s="10"/>
      <c r="AI24" s="10"/>
      <c r="AS24" t="s">
        <v>65</v>
      </c>
      <c r="AT24" t="s">
        <v>62</v>
      </c>
      <c r="AU24" s="2">
        <v>0.8</v>
      </c>
      <c r="AV24" s="2">
        <v>0.57999999999999996</v>
      </c>
      <c r="AW24" s="2">
        <v>0.5</v>
      </c>
      <c r="AX24">
        <v>0.75</v>
      </c>
      <c r="BB24" t="s">
        <v>103</v>
      </c>
      <c r="BC24">
        <v>8.0000000000000002E-3</v>
      </c>
    </row>
    <row r="25" spans="1:55" x14ac:dyDescent="0.2">
      <c r="A25" s="10"/>
      <c r="B25" s="10"/>
      <c r="C25" s="10"/>
      <c r="D25" s="10"/>
      <c r="E25" s="10"/>
      <c r="F25" s="10" t="s">
        <v>56</v>
      </c>
      <c r="G25" s="10"/>
      <c r="H25" s="10">
        <v>390</v>
      </c>
      <c r="I25" s="10">
        <v>0.3</v>
      </c>
      <c r="J25" s="10"/>
      <c r="K25" s="10"/>
      <c r="L25" s="10"/>
      <c r="M25" s="10"/>
      <c r="N25" s="10">
        <v>1</v>
      </c>
      <c r="O25" s="10">
        <f t="shared" si="0"/>
        <v>7.0471135296000007</v>
      </c>
      <c r="P25" s="10">
        <f>(O25 * (1 -W$11) + (0.04 * O25)) * ( 1 - AF$11 )</f>
        <v>2.6046131605401603</v>
      </c>
      <c r="Q25" s="11">
        <f t="shared" si="1"/>
        <v>1.2253933954845938E-4</v>
      </c>
      <c r="R25" s="10">
        <f>P25 * AD$11 * AA$11 * AC$11 * AE$11</f>
        <v>1.4671148324021022E-3</v>
      </c>
      <c r="S25" s="10">
        <f t="shared" si="2"/>
        <v>0</v>
      </c>
      <c r="T25" s="10">
        <f t="shared" si="3"/>
        <v>0</v>
      </c>
      <c r="U25" s="10"/>
      <c r="V25" s="10"/>
      <c r="W25" s="10"/>
      <c r="X25" s="10"/>
      <c r="Y25" s="10"/>
      <c r="Z25" s="10"/>
      <c r="AA25" s="10"/>
      <c r="AB25" s="10"/>
      <c r="AC25" s="10"/>
      <c r="AD25" s="10"/>
      <c r="AE25" s="10"/>
      <c r="AF25" s="10"/>
      <c r="AG25" s="10"/>
      <c r="AH25" s="10"/>
      <c r="AI25" s="10"/>
      <c r="AS25" t="s">
        <v>65</v>
      </c>
      <c r="AT25" t="s">
        <v>63</v>
      </c>
      <c r="AU25" s="2">
        <v>0.4</v>
      </c>
      <c r="AV25" s="2">
        <v>0.65</v>
      </c>
      <c r="AW25">
        <v>0.55000000000000004</v>
      </c>
      <c r="AX25">
        <v>0.45</v>
      </c>
      <c r="BB25" t="s">
        <v>104</v>
      </c>
      <c r="BC25">
        <v>8.0000000000000002E-3</v>
      </c>
    </row>
    <row r="26" spans="1:55" x14ac:dyDescent="0.2">
      <c r="A26" s="10"/>
      <c r="B26" s="10"/>
      <c r="C26" s="10"/>
      <c r="D26" s="10"/>
      <c r="E26" s="10"/>
      <c r="F26" s="10" t="s">
        <v>57</v>
      </c>
      <c r="G26" s="10"/>
      <c r="H26" s="10">
        <v>410</v>
      </c>
      <c r="I26" s="10">
        <v>0.2</v>
      </c>
      <c r="J26" s="10"/>
      <c r="K26" s="10"/>
      <c r="L26" s="10"/>
      <c r="M26" s="10"/>
      <c r="N26" s="10">
        <v>1</v>
      </c>
      <c r="O26" s="10">
        <f t="shared" si="0"/>
        <v>7.1414010756000028</v>
      </c>
      <c r="P26" s="10">
        <f>(O26 * (1 -X$11) + (0.04 * O26)) * ( 1 - AF$11 )</f>
        <v>3.2393395278921613</v>
      </c>
      <c r="Q26" s="11">
        <f t="shared" si="1"/>
        <v>1.5240133634232363E-4</v>
      </c>
      <c r="R26" s="10">
        <f>P26 * AD$11 * AA$11 * AC$11 * AE$11</f>
        <v>1.8246406570300113E-3</v>
      </c>
      <c r="S26" s="10">
        <f t="shared" si="2"/>
        <v>0</v>
      </c>
      <c r="T26" s="10">
        <f t="shared" si="3"/>
        <v>0</v>
      </c>
      <c r="U26" s="10"/>
      <c r="V26" s="10"/>
      <c r="W26" s="10"/>
      <c r="X26" s="10"/>
      <c r="Y26" s="10"/>
      <c r="Z26" s="10"/>
      <c r="AA26" s="10"/>
      <c r="AB26" s="10"/>
      <c r="AC26" s="10"/>
      <c r="AD26" s="10"/>
      <c r="AE26" s="10"/>
      <c r="AF26" s="10"/>
      <c r="AG26" s="10"/>
      <c r="AH26" s="10"/>
      <c r="AI26" s="10"/>
      <c r="AS26" t="s">
        <v>65</v>
      </c>
      <c r="AT26" t="s">
        <v>71</v>
      </c>
      <c r="AU26" s="2">
        <v>0.4</v>
      </c>
      <c r="AV26" s="2">
        <v>0.65</v>
      </c>
      <c r="AW26" s="2">
        <v>0.55000000000000004</v>
      </c>
      <c r="AX26">
        <v>0.45</v>
      </c>
      <c r="BB26" t="s">
        <v>105</v>
      </c>
      <c r="BC26">
        <v>8.0000000000000002E-3</v>
      </c>
    </row>
    <row r="27" spans="1:55" x14ac:dyDescent="0.2">
      <c r="A27" s="10"/>
      <c r="B27" s="10"/>
      <c r="C27" s="10"/>
      <c r="D27" s="10"/>
      <c r="E27" s="10" t="s">
        <v>46</v>
      </c>
      <c r="F27" s="10" t="s">
        <v>54</v>
      </c>
      <c r="G27" s="10">
        <v>100</v>
      </c>
      <c r="H27" s="10" cm="1">
        <f t="array" ref="H27:H30">_xlfn.XLOOKUP(E27, $AR$46:$BA$46, $AR$47:$BA$50)</f>
        <v>440</v>
      </c>
      <c r="I27" s="10" cm="1">
        <f t="array" ref="I27:I30">_xlfn.XLOOKUP(E27, $AR$106:$BA$106, $AR$107:$BA$110)</f>
        <v>0.3</v>
      </c>
      <c r="J27" s="10">
        <v>0.7</v>
      </c>
      <c r="K27" s="10">
        <v>0</v>
      </c>
      <c r="L27" s="10">
        <f>J27+K27</f>
        <v>0.7</v>
      </c>
      <c r="M27" s="10">
        <f>1+(0.3*J27) + (0.1*K27)</f>
        <v>1.21</v>
      </c>
      <c r="N27" s="10">
        <f>(L27*M27)+(1 - L27)</f>
        <v>1.147</v>
      </c>
      <c r="O27" s="10">
        <f>(1.185 + 0.00454 * H27 - 0.0000026 * H27^2 + 0.315 * I27)^2 * N27</f>
        <v>8.8245977249772007</v>
      </c>
      <c r="P27" s="10">
        <f>(O27 * (1 -U$11) + (0.04 * O27)) * ( 1 - AF$11 )</f>
        <v>3.6322044236006152</v>
      </c>
      <c r="Q27" s="11">
        <f t="shared" si="1"/>
        <v>1.7088446680531508E-4</v>
      </c>
      <c r="R27" s="10">
        <f>P27 * AD$11 * AA$11 * AC$11 * AE$11</f>
        <v>2.0459318354499366E-3</v>
      </c>
      <c r="S27" s="10">
        <f t="shared" si="2"/>
        <v>1.5593207595984999</v>
      </c>
      <c r="T27" s="10">
        <f>G27*R27*91.25</f>
        <v>18.669127998480672</v>
      </c>
      <c r="U27" s="10"/>
      <c r="V27" s="10"/>
      <c r="W27" s="10">
        <f>(1.185 + 0.00454 * H27 - 0.0000026 * H27^2 + 0.315 * I27)^2</f>
        <v>7.6936335876000008</v>
      </c>
      <c r="X27" s="10">
        <f>(1.185 + 0.00454 * H27 - 0.0000026 * H27^2 + 0.315 * I27)^2 * N27</f>
        <v>8.8245977249772007</v>
      </c>
    </row>
    <row r="28" spans="1:55" x14ac:dyDescent="0.2">
      <c r="A28" s="10"/>
      <c r="B28" s="10"/>
      <c r="C28" s="10"/>
      <c r="D28" s="10"/>
      <c r="E28" s="10"/>
      <c r="F28" s="10" t="s">
        <v>55</v>
      </c>
      <c r="G28" s="10">
        <v>110</v>
      </c>
      <c r="H28" s="10">
        <v>470</v>
      </c>
      <c r="I28" s="10">
        <v>0.3</v>
      </c>
      <c r="J28" s="10">
        <v>0.3</v>
      </c>
      <c r="K28" s="10">
        <v>0.7</v>
      </c>
      <c r="L28" s="10">
        <f t="shared" ref="L28:L60" si="4">J28+K28</f>
        <v>1</v>
      </c>
      <c r="M28" s="10">
        <f>1+(0.3*J28) + (0.1*K28)</f>
        <v>1.1600000000000001</v>
      </c>
      <c r="N28" s="10">
        <f t="shared" ref="N28:N34" si="5">(L28*M28)+(1 - L28)</f>
        <v>1.1600000000000001</v>
      </c>
      <c r="O28" s="10">
        <f t="shared" ref="O28:O50" si="6">(1.185 + 0.00454 * H28 - 0.0000026 * H28^2 + 0.315 * I28)^2 * N28</f>
        <v>9.3492449026560021</v>
      </c>
      <c r="P28" s="10">
        <f>(O28 * (1 -V$11) + (0.04 * O28)) * ( 1 - AF$11 )</f>
        <v>3.0628126301101064</v>
      </c>
      <c r="Q28" s="11">
        <f t="shared" si="1"/>
        <v>1.4409626832129538E-4</v>
      </c>
      <c r="R28" s="10">
        <f>P28 * AD$11 * AA$11 * AC$11 * AE$11</f>
        <v>1.7252073768878379E-3</v>
      </c>
      <c r="S28" s="10">
        <f t="shared" si="2"/>
        <v>1.4463662932750025</v>
      </c>
      <c r="T28" s="10">
        <f t="shared" si="3"/>
        <v>17.316769045511673</v>
      </c>
      <c r="U28" s="10"/>
      <c r="V28" s="10"/>
      <c r="W28" s="10"/>
      <c r="X28" s="10"/>
      <c r="Y28" s="10"/>
      <c r="Z28" s="10"/>
      <c r="AA28" s="10"/>
      <c r="AB28" s="10"/>
      <c r="AC28" s="10"/>
      <c r="AD28" s="10"/>
      <c r="AE28" s="10"/>
      <c r="AF28" s="10"/>
      <c r="AG28" s="10"/>
      <c r="AH28" s="10"/>
      <c r="AI28" s="10"/>
    </row>
    <row r="29" spans="1:55" x14ac:dyDescent="0.2">
      <c r="A29" s="10"/>
      <c r="B29" s="10"/>
      <c r="C29" s="10"/>
      <c r="D29" s="10"/>
      <c r="E29" s="10"/>
      <c r="F29" s="10" t="s">
        <v>56</v>
      </c>
      <c r="G29" s="10">
        <v>120</v>
      </c>
      <c r="H29" s="10">
        <v>490</v>
      </c>
      <c r="I29" s="10">
        <v>0.2</v>
      </c>
      <c r="J29" s="10">
        <v>0</v>
      </c>
      <c r="K29" s="10">
        <v>0.3</v>
      </c>
      <c r="L29" s="10">
        <f t="shared" si="4"/>
        <v>0.3</v>
      </c>
      <c r="M29" s="10">
        <f t="shared" ref="M29:M64" si="7">1+(0.3*J29) + (0.1*K29)</f>
        <v>1.03</v>
      </c>
      <c r="N29" s="10">
        <f t="shared" si="5"/>
        <v>1.0089999999999999</v>
      </c>
      <c r="O29" s="10">
        <f t="shared" si="6"/>
        <v>8.1860581224004001</v>
      </c>
      <c r="P29" s="10">
        <f>(O29 * (1 -W$11) + (0.04 * O29)) * ( 1 - AF$11 )</f>
        <v>3.0255670820391876</v>
      </c>
      <c r="Q29" s="11">
        <f t="shared" si="1"/>
        <v>1.4234397553138095E-4</v>
      </c>
      <c r="R29" s="10">
        <f>P29 * AD$11 * AA$11 * AC$11 * AE$11</f>
        <v>1.7042278714305059E-3</v>
      </c>
      <c r="S29" s="10">
        <f t="shared" si="2"/>
        <v>1.5586665320686215</v>
      </c>
      <c r="T29" s="10">
        <f t="shared" si="3"/>
        <v>18.66129519216404</v>
      </c>
      <c r="U29" s="10"/>
      <c r="V29" s="10"/>
      <c r="W29" s="10"/>
      <c r="X29" s="10"/>
      <c r="Y29" s="10"/>
      <c r="Z29" s="10"/>
      <c r="AA29" s="10"/>
      <c r="AB29" s="10"/>
      <c r="AC29" s="10"/>
      <c r="AD29" s="10"/>
      <c r="AE29" s="10"/>
      <c r="AF29" s="10"/>
      <c r="AG29" s="10"/>
      <c r="AH29" s="10"/>
      <c r="AI29" s="10"/>
    </row>
    <row r="30" spans="1:55" x14ac:dyDescent="0.2">
      <c r="A30" s="10"/>
      <c r="B30" s="10"/>
      <c r="C30" s="10"/>
      <c r="D30" s="10"/>
      <c r="E30" s="10"/>
      <c r="F30" s="10" t="s">
        <v>57</v>
      </c>
      <c r="G30" s="10">
        <v>130</v>
      </c>
      <c r="H30" s="10">
        <v>500</v>
      </c>
      <c r="I30" s="10">
        <v>0.1</v>
      </c>
      <c r="J30" s="10">
        <v>0</v>
      </c>
      <c r="K30" s="10">
        <v>0</v>
      </c>
      <c r="L30" s="10">
        <f t="shared" si="4"/>
        <v>0</v>
      </c>
      <c r="M30" s="10">
        <f t="shared" si="7"/>
        <v>1</v>
      </c>
      <c r="N30" s="10">
        <f t="shared" si="5"/>
        <v>1</v>
      </c>
      <c r="O30" s="10">
        <f t="shared" si="6"/>
        <v>8.0457322500000004</v>
      </c>
      <c r="P30" s="10">
        <f>(O30 * (1 -X$11) + (0.04 * O30)) * ( 1 - AF$11 )</f>
        <v>3.6495441486</v>
      </c>
      <c r="Q30" s="11">
        <f t="shared" si="1"/>
        <v>1.7170024954095013E-4</v>
      </c>
      <c r="R30" s="10">
        <f>P30 * AD$11 * AA$11 * AC$11 * AE$11</f>
        <v>2.0556988780656223E-3</v>
      </c>
      <c r="S30" s="10">
        <f t="shared" si="2"/>
        <v>2.0367942101795209</v>
      </c>
      <c r="T30" s="10">
        <f t="shared" si="3"/>
        <v>24.385727941053442</v>
      </c>
      <c r="U30" s="10"/>
      <c r="V30" s="10"/>
      <c r="W30" s="10"/>
      <c r="X30" s="10"/>
      <c r="Y30" s="10"/>
      <c r="Z30" s="10"/>
      <c r="AA30" s="10"/>
      <c r="AB30" s="10"/>
      <c r="AC30" s="10"/>
      <c r="AD30" s="10"/>
      <c r="AE30" s="10"/>
      <c r="AF30" s="10"/>
      <c r="AG30" s="10"/>
      <c r="AH30" s="10"/>
      <c r="AI30" s="10"/>
    </row>
    <row r="31" spans="1:55" x14ac:dyDescent="0.2">
      <c r="A31" s="10"/>
      <c r="B31" s="10"/>
      <c r="C31" s="10"/>
      <c r="D31" s="10"/>
      <c r="E31" s="10" t="s">
        <v>47</v>
      </c>
      <c r="F31" s="10" t="s">
        <v>54</v>
      </c>
      <c r="G31" s="10">
        <v>50</v>
      </c>
      <c r="H31" s="10" cm="1">
        <f t="array" ref="H31:H34">_xlfn.XLOOKUP(E31, $AR$46:$BA$46, $AR$47:$BA$50)</f>
        <v>440</v>
      </c>
      <c r="I31" s="10" cm="1">
        <f t="array" ref="I31:I34">_xlfn.XLOOKUP(E31, $AR$106:$BA$106, $AR$107:$BA$110)</f>
        <v>0.3</v>
      </c>
      <c r="J31" s="10">
        <v>0.6</v>
      </c>
      <c r="K31" s="10">
        <v>0.4</v>
      </c>
      <c r="L31" s="10">
        <f t="shared" si="4"/>
        <v>1</v>
      </c>
      <c r="M31" s="10">
        <f t="shared" si="7"/>
        <v>1.22</v>
      </c>
      <c r="N31" s="10">
        <f t="shared" si="5"/>
        <v>1.22</v>
      </c>
      <c r="O31" s="10">
        <f t="shared" si="6"/>
        <v>9.3862329768720016</v>
      </c>
      <c r="P31" s="10">
        <f>(O31 * (1 -U$11) + (0.04 * O31)) * ( 1 - AF$11 )</f>
        <v>3.8633734932805153</v>
      </c>
      <c r="Q31" s="11">
        <f t="shared" si="1"/>
        <v>1.8176028727330814E-4</v>
      </c>
      <c r="R31" s="10">
        <f>P31 * AD$11 * AA$11 * AC$11 * AE$11</f>
        <v>2.1761437133817987E-3</v>
      </c>
      <c r="S31" s="10">
        <f t="shared" si="2"/>
        <v>0.82928131068446842</v>
      </c>
      <c r="T31" s="10">
        <f t="shared" si="3"/>
        <v>9.9286556923044564</v>
      </c>
      <c r="U31" s="10"/>
      <c r="V31" s="10"/>
      <c r="W31" s="10"/>
      <c r="X31" s="10"/>
      <c r="Y31" s="10"/>
      <c r="Z31" s="10"/>
      <c r="AA31" s="10"/>
      <c r="AB31" s="10"/>
      <c r="AC31" s="10"/>
      <c r="AD31" s="10"/>
      <c r="AE31" s="10"/>
      <c r="AF31" s="10"/>
      <c r="AG31" s="10"/>
      <c r="AH31" s="10"/>
      <c r="AI31" s="10"/>
    </row>
    <row r="32" spans="1:55" x14ac:dyDescent="0.2">
      <c r="A32" s="10"/>
      <c r="B32" s="10"/>
      <c r="C32" s="10"/>
      <c r="D32" s="10"/>
      <c r="E32" s="10"/>
      <c r="F32" s="10" t="s">
        <v>55</v>
      </c>
      <c r="G32" s="10">
        <v>60</v>
      </c>
      <c r="H32" s="10">
        <v>470</v>
      </c>
      <c r="I32" s="10">
        <v>0.3</v>
      </c>
      <c r="J32" s="10">
        <v>0</v>
      </c>
      <c r="K32" s="10">
        <v>0.6</v>
      </c>
      <c r="L32" s="10">
        <f t="shared" si="4"/>
        <v>0.6</v>
      </c>
      <c r="M32" s="10">
        <f t="shared" si="7"/>
        <v>1.06</v>
      </c>
      <c r="N32" s="10">
        <f t="shared" si="5"/>
        <v>1.036</v>
      </c>
      <c r="O32" s="10">
        <f t="shared" si="6"/>
        <v>8.349842861337601</v>
      </c>
      <c r="P32" s="10">
        <f>(O32 * (1 -V$11) + (0.04 * O32)) * ( 1 - AF$11 )</f>
        <v>2.7354085213741977</v>
      </c>
      <c r="Q32" s="11">
        <f t="shared" si="1"/>
        <v>1.2869287412143273E-4</v>
      </c>
      <c r="R32" s="10">
        <f>P32 * AD$11 * AA$11 * AC$11 * AE$11</f>
        <v>1.5407886572894824E-3</v>
      </c>
      <c r="S32" s="10">
        <f t="shared" si="2"/>
        <v>0.70459348581484416</v>
      </c>
      <c r="T32" s="10">
        <f t="shared" si="3"/>
        <v>8.4358178986599164</v>
      </c>
      <c r="U32" s="10"/>
      <c r="V32" s="10"/>
      <c r="W32" s="10"/>
      <c r="X32" s="10"/>
      <c r="Y32" s="10"/>
      <c r="Z32" s="10"/>
      <c r="AA32" s="10"/>
      <c r="AB32" s="10"/>
      <c r="AC32" s="10"/>
      <c r="AD32" s="10"/>
      <c r="AE32" s="10"/>
      <c r="AF32" s="10"/>
      <c r="AG32" s="10"/>
      <c r="AH32" s="10"/>
      <c r="AI32" s="10"/>
    </row>
    <row r="33" spans="1:53" x14ac:dyDescent="0.2">
      <c r="A33" s="10"/>
      <c r="B33" s="10"/>
      <c r="C33" s="10"/>
      <c r="D33" s="10"/>
      <c r="E33" s="10"/>
      <c r="F33" s="10" t="s">
        <v>56</v>
      </c>
      <c r="G33" s="10">
        <v>70</v>
      </c>
      <c r="H33" s="10">
        <v>490</v>
      </c>
      <c r="I33" s="10">
        <v>0.2</v>
      </c>
      <c r="J33" s="10">
        <v>0</v>
      </c>
      <c r="K33" s="10">
        <v>0</v>
      </c>
      <c r="L33" s="10">
        <f t="shared" si="4"/>
        <v>0</v>
      </c>
      <c r="M33" s="10">
        <f t="shared" si="7"/>
        <v>1</v>
      </c>
      <c r="N33" s="10">
        <f t="shared" si="5"/>
        <v>1</v>
      </c>
      <c r="O33" s="10">
        <f t="shared" si="6"/>
        <v>8.1130407556000002</v>
      </c>
      <c r="P33" s="10">
        <f>(O33 * (1 -W$11) + (0.04 * O33)) * ( 1 - AF$11 )</f>
        <v>2.99857986326976</v>
      </c>
      <c r="Q33" s="11">
        <f t="shared" si="1"/>
        <v>1.4107430677044692E-4</v>
      </c>
      <c r="R33" s="10">
        <f>P33 * AD$11 * AA$11 * AC$11 * AE$11</f>
        <v>1.6890266317448027E-3</v>
      </c>
      <c r="S33" s="10">
        <f t="shared" si="2"/>
        <v>0.90111213449622973</v>
      </c>
      <c r="T33" s="10">
        <f t="shared" si="3"/>
        <v>10.788657610269928</v>
      </c>
      <c r="U33" s="10"/>
      <c r="V33" s="10"/>
      <c r="W33" s="10"/>
      <c r="X33" s="10"/>
      <c r="Y33" s="10"/>
      <c r="Z33" s="10"/>
      <c r="AA33" s="10"/>
      <c r="AB33" s="10"/>
      <c r="AC33" s="10"/>
      <c r="AD33" s="10"/>
      <c r="AE33" s="10"/>
      <c r="AF33" s="10"/>
      <c r="AG33" s="10"/>
      <c r="AH33" s="10"/>
      <c r="AI33" s="10"/>
    </row>
    <row r="34" spans="1:53" x14ac:dyDescent="0.2">
      <c r="A34" s="10"/>
      <c r="B34" s="10"/>
      <c r="C34" s="10"/>
      <c r="D34" s="10"/>
      <c r="E34" s="10"/>
      <c r="F34" s="10" t="s">
        <v>57</v>
      </c>
      <c r="G34" s="10">
        <v>80</v>
      </c>
      <c r="H34" s="10">
        <v>500</v>
      </c>
      <c r="I34" s="10">
        <v>0.1</v>
      </c>
      <c r="J34" s="10">
        <v>0.4</v>
      </c>
      <c r="K34" s="10">
        <v>0</v>
      </c>
      <c r="L34" s="10">
        <f t="shared" si="4"/>
        <v>0.4</v>
      </c>
      <c r="M34" s="10">
        <f t="shared" si="7"/>
        <v>1.1200000000000001</v>
      </c>
      <c r="N34" s="10">
        <f t="shared" si="5"/>
        <v>1.048</v>
      </c>
      <c r="O34" s="10">
        <f t="shared" si="6"/>
        <v>8.4319273980000009</v>
      </c>
      <c r="P34" s="10">
        <f>(O34 * (1 -X$11) + (0.04 * O34)) * ( 1 - AF$11 )</f>
        <v>3.8247222677328003</v>
      </c>
      <c r="Q34" s="11">
        <f t="shared" si="1"/>
        <v>1.7994186151891575E-4</v>
      </c>
      <c r="R34" s="10">
        <f>P34 * AD$11 * AA$11 * AC$11 * AE$11</f>
        <v>2.154372424212772E-3</v>
      </c>
      <c r="S34" s="10">
        <f t="shared" si="2"/>
        <v>1.3135755890880849</v>
      </c>
      <c r="T34" s="10">
        <f t="shared" si="3"/>
        <v>15.726918696753236</v>
      </c>
      <c r="U34" s="10"/>
      <c r="V34" s="10"/>
      <c r="W34" s="10"/>
      <c r="X34" s="10"/>
      <c r="Y34" s="10"/>
      <c r="Z34" s="10"/>
      <c r="AA34" s="10"/>
      <c r="AB34" s="10"/>
      <c r="AC34" s="10"/>
      <c r="AD34" s="10"/>
      <c r="AE34" s="10"/>
      <c r="AF34" s="10"/>
      <c r="AG34" s="10"/>
      <c r="AH34" s="10"/>
      <c r="AI34" s="10"/>
    </row>
    <row r="35" spans="1:53" x14ac:dyDescent="0.2">
      <c r="A35" s="10"/>
      <c r="B35" s="10"/>
      <c r="C35" s="10"/>
      <c r="D35" s="10"/>
      <c r="E35" s="10" t="s">
        <v>48</v>
      </c>
      <c r="F35" s="10" t="s">
        <v>54</v>
      </c>
      <c r="G35" s="10">
        <v>200</v>
      </c>
      <c r="H35" s="10" cm="1">
        <f t="array" ref="H35:H38">_xlfn.XLOOKUP(E35, $AR$46:$BA$46, $AR$47:$BA$50)</f>
        <v>75</v>
      </c>
      <c r="I35" s="10" cm="1">
        <f t="array" ref="I35:I38">_xlfn.XLOOKUP(E35, $AR$106:$BA$106, $AR$107:$BA$110)</f>
        <v>0.5</v>
      </c>
      <c r="J35" s="10"/>
      <c r="K35" s="10"/>
      <c r="L35" s="10">
        <f t="shared" si="4"/>
        <v>0</v>
      </c>
      <c r="M35" s="10">
        <f t="shared" si="7"/>
        <v>1</v>
      </c>
      <c r="N35" s="10">
        <v>1</v>
      </c>
      <c r="O35" s="10">
        <f t="shared" si="6"/>
        <v>2.7834751406249998</v>
      </c>
      <c r="P35" s="10">
        <f>(O35 * (1 -U$11) + (0.04 * O35)) * ( 1 - AF$11 )</f>
        <v>1.1456783678812499</v>
      </c>
      <c r="Q35" s="11">
        <f t="shared" si="1"/>
        <v>5.390077600084388E-5</v>
      </c>
      <c r="R35" s="10">
        <f>P35 * AD$11 * AA$11 * AC$11 * AE$11</f>
        <v>6.4533257842106233E-4</v>
      </c>
      <c r="S35" s="10">
        <f t="shared" si="2"/>
        <v>0.98368916201540069</v>
      </c>
      <c r="T35" s="10">
        <f t="shared" si="3"/>
        <v>11.777319556184386</v>
      </c>
      <c r="U35" s="10"/>
      <c r="V35" s="10"/>
      <c r="W35" s="10"/>
      <c r="X35" s="10"/>
      <c r="Y35" s="10"/>
      <c r="Z35" s="10"/>
      <c r="AA35" s="10"/>
      <c r="AB35" s="10"/>
      <c r="AC35" s="10"/>
      <c r="AD35" s="10"/>
      <c r="AE35" s="10"/>
      <c r="AF35" s="10"/>
      <c r="AG35" s="10"/>
      <c r="AH35" s="10"/>
      <c r="AI35" s="10"/>
    </row>
    <row r="36" spans="1:53" x14ac:dyDescent="0.2">
      <c r="A36" s="10"/>
      <c r="B36" s="10"/>
      <c r="C36" s="10"/>
      <c r="D36" s="10"/>
      <c r="E36" s="10"/>
      <c r="F36" s="10" t="s">
        <v>55</v>
      </c>
      <c r="G36" s="10">
        <v>130</v>
      </c>
      <c r="H36" s="10">
        <v>160</v>
      </c>
      <c r="I36" s="10">
        <v>0.9</v>
      </c>
      <c r="J36" s="10"/>
      <c r="K36" s="10"/>
      <c r="L36" s="10">
        <f t="shared" si="4"/>
        <v>0</v>
      </c>
      <c r="M36" s="10">
        <f t="shared" si="7"/>
        <v>1</v>
      </c>
      <c r="N36" s="10">
        <v>1</v>
      </c>
      <c r="O36" s="10">
        <f t="shared" si="6"/>
        <v>4.5298311556000002</v>
      </c>
      <c r="P36" s="10">
        <f>(O36 * (1 -V$11) + (0.04 * O36)) * ( 1 - AF$11 )</f>
        <v>1.4839726865745599</v>
      </c>
      <c r="Q36" s="11">
        <f t="shared" si="1"/>
        <v>6.9816522344180778E-5</v>
      </c>
      <c r="R36" s="10">
        <f>P36 * AD$11 * AA$11 * AC$11 * AE$11</f>
        <v>8.3588548669608228E-4</v>
      </c>
      <c r="S36" s="10">
        <f t="shared" si="2"/>
        <v>0.82819849630784437</v>
      </c>
      <c r="T36" s="10">
        <f t="shared" si="3"/>
        <v>9.9156915859322758</v>
      </c>
      <c r="U36" s="10"/>
      <c r="V36" s="10"/>
      <c r="W36" s="10"/>
      <c r="X36" s="10"/>
      <c r="Y36" s="10"/>
      <c r="Z36" s="10"/>
      <c r="AA36" s="10"/>
      <c r="AB36" s="10"/>
      <c r="AC36" s="10"/>
      <c r="AD36" s="10"/>
      <c r="AE36" s="10"/>
      <c r="AF36" s="10"/>
      <c r="AG36" s="10"/>
      <c r="AH36" s="10"/>
      <c r="AI36" s="10"/>
    </row>
    <row r="37" spans="1:53" x14ac:dyDescent="0.2">
      <c r="A37" s="10"/>
      <c r="B37" s="10"/>
      <c r="C37" s="10"/>
      <c r="D37" s="10"/>
      <c r="E37" s="10"/>
      <c r="F37" s="10" t="s">
        <v>56</v>
      </c>
      <c r="G37" s="10">
        <v>250</v>
      </c>
      <c r="H37" s="10">
        <v>220</v>
      </c>
      <c r="I37" s="10">
        <v>0.7</v>
      </c>
      <c r="J37" s="10"/>
      <c r="K37" s="10"/>
      <c r="L37" s="10">
        <f t="shared" si="4"/>
        <v>0</v>
      </c>
      <c r="M37" s="10">
        <f t="shared" si="7"/>
        <v>1</v>
      </c>
      <c r="N37" s="10">
        <v>1</v>
      </c>
      <c r="O37" s="10">
        <f t="shared" si="6"/>
        <v>5.1913799715999973</v>
      </c>
      <c r="P37" s="10">
        <f>(O37 * (1 -W$11) + (0.04 * O37)) * ( 1 - AF$11 )</f>
        <v>1.918734037503359</v>
      </c>
      <c r="Q37" s="11">
        <f t="shared" si="1"/>
        <v>9.0270757011782037E-5</v>
      </c>
      <c r="R37" s="10">
        <f>P37 * AD$11 * AA$11 * AC$11 * AE$11</f>
        <v>1.0807759127164039E-3</v>
      </c>
      <c r="S37" s="10">
        <f t="shared" si="2"/>
        <v>2.0593016443312777</v>
      </c>
      <c r="T37" s="10">
        <f t="shared" si="3"/>
        <v>24.655200508842963</v>
      </c>
      <c r="U37" s="10"/>
      <c r="V37" s="10"/>
      <c r="W37" s="10"/>
      <c r="X37" s="10"/>
      <c r="Y37" s="10"/>
      <c r="Z37" s="10"/>
      <c r="AA37" s="10"/>
      <c r="AB37" s="10"/>
      <c r="AC37" s="10"/>
      <c r="AD37" s="10"/>
      <c r="AE37" s="10"/>
      <c r="AF37" s="10"/>
      <c r="AG37" s="10"/>
      <c r="AH37" s="10"/>
      <c r="AI37" s="10"/>
    </row>
    <row r="38" spans="1:53" x14ac:dyDescent="0.2">
      <c r="A38" s="10"/>
      <c r="B38" s="10"/>
      <c r="C38" s="10"/>
      <c r="D38" s="10"/>
      <c r="E38" s="10"/>
      <c r="F38" s="10" t="s">
        <v>57</v>
      </c>
      <c r="G38" s="10">
        <v>150</v>
      </c>
      <c r="H38" s="10">
        <v>260</v>
      </c>
      <c r="I38" s="10">
        <v>0.4</v>
      </c>
      <c r="J38" s="10"/>
      <c r="K38" s="10"/>
      <c r="L38" s="10">
        <f t="shared" si="4"/>
        <v>0</v>
      </c>
      <c r="M38" s="10">
        <f t="shared" si="7"/>
        <v>1</v>
      </c>
      <c r="N38" s="10">
        <v>1</v>
      </c>
      <c r="O38" s="10">
        <f t="shared" si="6"/>
        <v>5.3621886096000004</v>
      </c>
      <c r="P38" s="10">
        <f>(O38 * (1 -X$11) + (0.04 * O38)) * ( 1 - AF$11 )</f>
        <v>2.4322887533145603</v>
      </c>
      <c r="Q38" s="11">
        <f t="shared" si="1"/>
        <v>1.1443198626874025E-4</v>
      </c>
      <c r="R38" s="10">
        <f>P38 * AD$11 * AA$11 * AC$11 * AE$11</f>
        <v>1.3700487123134107E-3</v>
      </c>
      <c r="S38" s="10">
        <f t="shared" si="2"/>
        <v>1.5662878120533821</v>
      </c>
      <c r="T38" s="10">
        <f t="shared" si="3"/>
        <v>18.75254174978981</v>
      </c>
      <c r="U38" s="10"/>
      <c r="V38" s="10"/>
      <c r="W38" s="10"/>
      <c r="X38" s="10"/>
      <c r="Y38" s="10"/>
      <c r="Z38" s="10"/>
      <c r="AA38" s="10"/>
      <c r="AB38" s="10"/>
      <c r="AC38" s="10"/>
      <c r="AD38" s="10"/>
      <c r="AE38" s="10"/>
      <c r="AF38" s="10"/>
      <c r="AG38" s="10"/>
      <c r="AH38" s="10"/>
      <c r="AI38" s="10"/>
    </row>
    <row r="39" spans="1:53" x14ac:dyDescent="0.2">
      <c r="L39" s="10">
        <f t="shared" si="4"/>
        <v>0</v>
      </c>
      <c r="M39" s="10">
        <f t="shared" si="7"/>
        <v>1</v>
      </c>
    </row>
    <row r="40" spans="1:53" x14ac:dyDescent="0.2">
      <c r="L40" s="10">
        <f t="shared" si="4"/>
        <v>0</v>
      </c>
      <c r="M40" s="10">
        <f t="shared" si="7"/>
        <v>1</v>
      </c>
      <c r="AJ40" s="10" t="s">
        <v>136</v>
      </c>
    </row>
    <row r="41" spans="1:53" x14ac:dyDescent="0.2">
      <c r="A41" s="10" t="s">
        <v>121</v>
      </c>
      <c r="B41" s="10" t="s">
        <v>99</v>
      </c>
      <c r="C41" s="10" t="s">
        <v>53</v>
      </c>
      <c r="D41" s="10" t="s">
        <v>53</v>
      </c>
      <c r="E41" s="10" t="s">
        <v>42</v>
      </c>
      <c r="F41" s="10" t="s">
        <v>54</v>
      </c>
      <c r="G41" s="10">
        <v>100</v>
      </c>
      <c r="H41" s="10" cm="1">
        <f t="array" ref="H41:H44">_xlfn.XLOOKUP(E41, $AR$46:$BA$46, $AR$47:$BA$50)</f>
        <v>80</v>
      </c>
      <c r="I41" s="10" cm="1">
        <f t="array" ref="I41:I44">_xlfn.XLOOKUP(E41, $AR$106:$BA$106, $AR$107:$BA$110)</f>
        <v>0.5</v>
      </c>
      <c r="J41" s="10"/>
      <c r="K41" s="10"/>
      <c r="L41" s="10">
        <f t="shared" si="4"/>
        <v>0</v>
      </c>
      <c r="M41" s="10">
        <f t="shared" si="7"/>
        <v>1</v>
      </c>
      <c r="N41" s="10">
        <v>1</v>
      </c>
      <c r="O41" s="10">
        <f>(1.185 + 0.00454 * H41 - 0.0000026 * H41^2 + 0.315 * I41)^2 * N41</f>
        <v>2.8529236835999998</v>
      </c>
      <c r="P41" s="10">
        <f>(O41 * (1 -U$41) + (0.04 * O41)) * ( 1 - AF$41 )</f>
        <v>1.1742633881697597</v>
      </c>
      <c r="Q41" s="12">
        <f>P41 * AD$41 * Z$41 * AB$41 * AE$41</f>
        <v>5.5245616593758213E-5</v>
      </c>
      <c r="R41" s="10">
        <f>P41 * AD$41 * AA$41 * AC$41 * AE$41</f>
        <v>6.6143382058828331E-4</v>
      </c>
      <c r="S41" s="10">
        <f>G41*Q41*91.25</f>
        <v>0.50411625141804373</v>
      </c>
      <c r="T41" s="10">
        <f>G41*R41*91.25</f>
        <v>6.0355836128680851</v>
      </c>
      <c r="U41" s="10" cm="1">
        <f t="array" ref="U41:X41">_xlfn.XLOOKUP(C41,$AT$18:$AT$26,$AU$18:$AX$26)</f>
        <v>0.55000000000000004</v>
      </c>
      <c r="V41" s="10">
        <v>0.65</v>
      </c>
      <c r="W41" s="10">
        <v>0.6</v>
      </c>
      <c r="X41" s="10">
        <v>0.5</v>
      </c>
      <c r="Y41" s="10" t="s">
        <v>91</v>
      </c>
      <c r="Z41" s="10">
        <f>IF(Y41="yes", $AP$6, $AQ$6)</f>
        <v>0.05</v>
      </c>
      <c r="AA41" s="10">
        <f>IF(Y41="yes", $AP$7, $AQ$7)</f>
        <v>0.95</v>
      </c>
      <c r="AB41" s="10">
        <f>VLOOKUP(B41, $BB$17:$BC$26, 2, FALSE)</f>
        <v>7.3000000000000001E-3</v>
      </c>
      <c r="AC41" s="10">
        <f>$BC$14</f>
        <v>4.5999999999999999E-3</v>
      </c>
      <c r="AD41" s="10">
        <f>$AU$5</f>
        <v>0.19</v>
      </c>
      <c r="AE41" s="10">
        <f>$AU$6</f>
        <v>0.6784</v>
      </c>
      <c r="AF41" s="10">
        <f>$AU$7</f>
        <v>0.16</v>
      </c>
      <c r="AG41" s="10">
        <f>SUM(S41:T64)</f>
        <v>256.46968526261992</v>
      </c>
      <c r="AH41" s="10">
        <f>$AU$8</f>
        <v>28</v>
      </c>
      <c r="AI41" s="10">
        <f>AG41 * AH41 * 10^-3</f>
        <v>7.1811511873533584</v>
      </c>
    </row>
    <row r="42" spans="1:53" x14ac:dyDescent="0.2">
      <c r="A42" s="10"/>
      <c r="B42" s="10"/>
      <c r="C42" s="10"/>
      <c r="D42" s="10"/>
      <c r="E42" s="10"/>
      <c r="F42" s="10" t="s">
        <v>55</v>
      </c>
      <c r="G42" s="10">
        <v>110</v>
      </c>
      <c r="H42" s="10">
        <v>170</v>
      </c>
      <c r="I42" s="10">
        <v>1</v>
      </c>
      <c r="J42" s="10"/>
      <c r="K42" s="10"/>
      <c r="L42" s="10">
        <f t="shared" si="4"/>
        <v>0</v>
      </c>
      <c r="M42" s="10">
        <f t="shared" si="7"/>
        <v>1</v>
      </c>
      <c r="N42" s="10">
        <v>1</v>
      </c>
      <c r="O42" s="10">
        <f t="shared" ref="O42:O56" si="8">(1.185 + 0.00454 * H42 - 0.0000026 * H42^2 + 0.315 * I42)^2 * N42</f>
        <v>4.8253151556000002</v>
      </c>
      <c r="P42" s="10">
        <f>(O42 * (1 -V$41) + (0.04 * O42)) * ( 1 - AF$41 )</f>
        <v>1.58077324497456</v>
      </c>
      <c r="Q42" s="12">
        <f t="shared" ref="Q42:Q64" si="9">P42 * AD$41 * Z$41 * AB$41 * AE$41</f>
        <v>7.4370702087247912E-5</v>
      </c>
      <c r="R42" s="10">
        <f t="shared" ref="R42:R64" si="10">P42 * AD$41 * AA$41 * AC$41 * AE$41</f>
        <v>8.9041087156513257E-4</v>
      </c>
      <c r="S42" s="10">
        <f>G42*Q42*91.25</f>
        <v>0.74649592220075089</v>
      </c>
      <c r="T42" s="10">
        <f>G42*R42*91.25</f>
        <v>8.9374991233350194</v>
      </c>
      <c r="U42" s="10"/>
      <c r="V42" s="10"/>
      <c r="W42" s="10"/>
      <c r="X42" s="10"/>
      <c r="Y42" s="10"/>
      <c r="Z42" s="10"/>
      <c r="AA42" s="10"/>
      <c r="AB42" s="10"/>
      <c r="AC42" s="10"/>
      <c r="AD42" s="10"/>
      <c r="AE42" s="10"/>
      <c r="AF42" s="10"/>
      <c r="AG42" s="10"/>
      <c r="AH42" s="10"/>
      <c r="AI42" s="10"/>
    </row>
    <row r="43" spans="1:53" x14ac:dyDescent="0.2">
      <c r="A43" s="10"/>
      <c r="B43" s="10"/>
      <c r="C43" s="10"/>
      <c r="D43" s="10"/>
      <c r="E43" s="10"/>
      <c r="F43" s="10" t="s">
        <v>56</v>
      </c>
      <c r="G43" s="10">
        <v>120</v>
      </c>
      <c r="H43" s="10">
        <v>240</v>
      </c>
      <c r="I43" s="10">
        <v>0.8</v>
      </c>
      <c r="J43" s="10"/>
      <c r="K43" s="10"/>
      <c r="L43" s="10">
        <f t="shared" si="4"/>
        <v>0</v>
      </c>
      <c r="M43" s="10">
        <f t="shared" si="7"/>
        <v>1</v>
      </c>
      <c r="N43" s="10">
        <v>1</v>
      </c>
      <c r="O43" s="10">
        <f t="shared" si="8"/>
        <v>5.6493683855999981</v>
      </c>
      <c r="P43" s="10">
        <f>(O43 * (1 -W$41) + (0.04 * O43)) * ( 1 - AF$41 )</f>
        <v>2.0880065553177594</v>
      </c>
      <c r="Q43" s="12">
        <f t="shared" si="9"/>
        <v>9.8234527928296858E-5</v>
      </c>
      <c r="R43" s="10">
        <f t="shared" si="10"/>
        <v>1.1761229782100196E-3</v>
      </c>
      <c r="S43" s="10">
        <f>G43*Q43*91.25</f>
        <v>1.0756680808148507</v>
      </c>
      <c r="T43" s="10">
        <f>G43*R43*91.25</f>
        <v>12.878546611399717</v>
      </c>
      <c r="U43" s="10"/>
      <c r="V43" s="10"/>
      <c r="W43" s="10"/>
      <c r="X43" s="10"/>
      <c r="Y43" s="10"/>
      <c r="Z43" s="10"/>
      <c r="AA43" s="10"/>
      <c r="AB43" s="10"/>
      <c r="AC43" s="10"/>
      <c r="AD43" s="10"/>
      <c r="AE43" s="10"/>
      <c r="AF43" s="10"/>
      <c r="AG43" s="10"/>
      <c r="AH43" s="10"/>
      <c r="AI43" s="10"/>
    </row>
    <row r="44" spans="1:53" x14ac:dyDescent="0.2">
      <c r="A44" s="10"/>
      <c r="B44" s="10"/>
      <c r="C44" s="10"/>
      <c r="D44" s="10"/>
      <c r="E44" s="10"/>
      <c r="F44" s="10" t="s">
        <v>57</v>
      </c>
      <c r="G44" s="10">
        <v>130</v>
      </c>
      <c r="H44" s="10">
        <v>280</v>
      </c>
      <c r="I44" s="10">
        <v>0.4</v>
      </c>
      <c r="J44" s="10"/>
      <c r="K44" s="10"/>
      <c r="L44" s="10">
        <f t="shared" si="4"/>
        <v>0</v>
      </c>
      <c r="M44" s="10">
        <f t="shared" si="7"/>
        <v>1</v>
      </c>
      <c r="N44" s="10">
        <v>1</v>
      </c>
      <c r="O44" s="10">
        <f t="shared" si="8"/>
        <v>5.6565962895999995</v>
      </c>
      <c r="P44" s="10">
        <f>(O44 * (1 -X$41) + (0.04 * O44)) * ( 1 - AF$41 )</f>
        <v>2.5658320769625598</v>
      </c>
      <c r="Q44" s="12">
        <f t="shared" si="9"/>
        <v>1.2071480435814064E-4</v>
      </c>
      <c r="R44" s="10">
        <f t="shared" si="10"/>
        <v>1.4452703973837659E-3</v>
      </c>
      <c r="S44" s="10">
        <f>G44*Q44*91.25</f>
        <v>1.4319793666984433</v>
      </c>
      <c r="T44" s="10">
        <f>G44*R44*91.25</f>
        <v>17.144520088964921</v>
      </c>
      <c r="U44" s="10"/>
      <c r="V44" s="10"/>
      <c r="W44" s="10"/>
      <c r="X44" s="10"/>
      <c r="Y44" s="10"/>
      <c r="Z44" s="10"/>
      <c r="AA44" s="10"/>
      <c r="AB44" s="10"/>
      <c r="AC44" s="10"/>
      <c r="AD44" s="10"/>
      <c r="AE44" s="10"/>
      <c r="AF44" s="10"/>
      <c r="AG44" s="10"/>
      <c r="AH44" s="10"/>
    </row>
    <row r="45" spans="1:53" x14ac:dyDescent="0.2">
      <c r="A45" s="10"/>
      <c r="B45" s="10"/>
      <c r="C45" s="10"/>
      <c r="D45" s="10"/>
      <c r="E45" s="10" t="s">
        <v>46</v>
      </c>
      <c r="F45" s="10" t="s">
        <v>54</v>
      </c>
      <c r="G45" s="10">
        <v>70</v>
      </c>
      <c r="H45" s="10" cm="1">
        <f t="array" ref="H45:H48">_xlfn.XLOOKUP(E45, $AR$46:$BA$46, $AR$47:$BA$50)</f>
        <v>440</v>
      </c>
      <c r="I45" s="10" cm="1">
        <f t="array" ref="I45:I48">_xlfn.XLOOKUP(E45, $AR$106:$BA$106, $AR$107:$BA$110)</f>
        <v>0.3</v>
      </c>
      <c r="J45" s="10">
        <v>1</v>
      </c>
      <c r="K45" s="10">
        <v>0</v>
      </c>
      <c r="L45" s="10">
        <f t="shared" si="4"/>
        <v>1</v>
      </c>
      <c r="M45" s="10">
        <f t="shared" si="7"/>
        <v>1.3</v>
      </c>
      <c r="N45" s="10">
        <f>(L45*M45)+(1 - L45)</f>
        <v>1.3</v>
      </c>
      <c r="O45" s="10">
        <f>(1.185 + 0.00454 * H45 - 0.0000026 * H45^2 + 0.315 * I45)^2 * N45</f>
        <v>10.001723663880002</v>
      </c>
      <c r="P45" s="10">
        <f t="shared" ref="P45" si="11">(O45 * (1 -U$41) + (0.04 * O45)) * ( 1 - AF$41 )</f>
        <v>4.1167094600530074</v>
      </c>
      <c r="Q45" s="12">
        <f t="shared" si="9"/>
        <v>1.9367899463549227E-4</v>
      </c>
      <c r="R45" s="10">
        <f t="shared" si="10"/>
        <v>2.3188416618002772E-3</v>
      </c>
      <c r="S45" s="10">
        <f t="shared" ref="S45:S64" si="12">G45*Q45*91.25</f>
        <v>1.2371245782342069</v>
      </c>
      <c r="T45" s="10">
        <f t="shared" ref="T45:T64" si="13">G45*R45*91.25</f>
        <v>14.811601114749271</v>
      </c>
      <c r="U45" s="10"/>
      <c r="V45" s="10"/>
      <c r="W45" s="10">
        <f>(1.185 + 0.00454 * H45 - 0.0000026 * H45^2 + 0.315 * I45)^2</f>
        <v>7.6936335876000008</v>
      </c>
      <c r="X45" s="10">
        <f>(1.185 + 0.00454 * H45 - 0.0000026 * H45^2 + 0.315 * I45)^2 * N45</f>
        <v>10.001723663880002</v>
      </c>
      <c r="Y45" s="10"/>
      <c r="Z45" s="10"/>
      <c r="AA45" s="10"/>
      <c r="AB45" s="10"/>
      <c r="AC45" s="10"/>
      <c r="AD45" s="10"/>
      <c r="AE45" s="10"/>
      <c r="AF45" s="10"/>
      <c r="AG45" s="10"/>
      <c r="AH45" s="10"/>
      <c r="AI45" s="10"/>
      <c r="AR45" s="4" t="s">
        <v>66</v>
      </c>
      <c r="AS45" s="4" t="s">
        <v>66</v>
      </c>
      <c r="AT45" s="4" t="s">
        <v>67</v>
      </c>
      <c r="AU45" s="4" t="s">
        <v>67</v>
      </c>
      <c r="AV45" s="4" t="s">
        <v>67</v>
      </c>
      <c r="AW45" s="4" t="s">
        <v>67</v>
      </c>
      <c r="AX45" s="4" t="s">
        <v>68</v>
      </c>
      <c r="AY45" s="4" t="s">
        <v>68</v>
      </c>
      <c r="AZ45" s="4" t="s">
        <v>68</v>
      </c>
      <c r="BA45" s="4" t="s">
        <v>68</v>
      </c>
    </row>
    <row r="46" spans="1:53" x14ac:dyDescent="0.2">
      <c r="A46" s="10"/>
      <c r="B46" s="10"/>
      <c r="C46" s="10"/>
      <c r="D46" s="10"/>
      <c r="E46" s="10"/>
      <c r="F46" s="10" t="s">
        <v>55</v>
      </c>
      <c r="G46" s="10">
        <v>77</v>
      </c>
      <c r="H46" s="10">
        <v>470</v>
      </c>
      <c r="I46" s="10">
        <v>0.3</v>
      </c>
      <c r="J46" s="10">
        <v>0</v>
      </c>
      <c r="K46" s="10">
        <v>1</v>
      </c>
      <c r="L46" s="10">
        <f t="shared" si="4"/>
        <v>1</v>
      </c>
      <c r="M46" s="10">
        <f t="shared" si="7"/>
        <v>1.1000000000000001</v>
      </c>
      <c r="N46" s="10">
        <f t="shared" ref="N46:N48" si="14">(L46*M46)+(1 - L46)</f>
        <v>1.1000000000000001</v>
      </c>
      <c r="O46" s="10">
        <f t="shared" ref="O46:O48" si="15">(1.185 + 0.00454 * H46 - 0.0000026 * H46^2 + 0.315 * I46)^2 * N46</f>
        <v>8.8656632697600024</v>
      </c>
      <c r="P46" s="10">
        <f t="shared" ref="P46" si="16">(O46 * (1 -V$41) + (0.04 * O46)) * ( 1 - AF$41 )</f>
        <v>2.9043912871733766</v>
      </c>
      <c r="Q46" s="12">
        <f t="shared" si="9"/>
        <v>1.3664301306329734E-4</v>
      </c>
      <c r="R46" s="10">
        <f t="shared" si="10"/>
        <v>1.6359725125660528E-3</v>
      </c>
      <c r="S46" s="10">
        <f t="shared" si="12"/>
        <v>0.96008797053599293</v>
      </c>
      <c r="T46" s="10">
        <f t="shared" si="13"/>
        <v>11.494751866417229</v>
      </c>
      <c r="U46" s="10"/>
      <c r="V46" s="10"/>
      <c r="W46" s="10"/>
      <c r="X46" s="10"/>
      <c r="Y46" s="10"/>
      <c r="Z46" s="10"/>
      <c r="AA46" s="10"/>
      <c r="AB46" s="10"/>
      <c r="AC46" s="10"/>
      <c r="AD46" s="10"/>
      <c r="AE46" s="10"/>
      <c r="AF46" s="10"/>
      <c r="AG46" s="10"/>
      <c r="AH46" s="10"/>
      <c r="AR46" s="4" t="s">
        <v>42</v>
      </c>
      <c r="AS46" s="4" t="s">
        <v>43</v>
      </c>
      <c r="AT46" s="4" t="s">
        <v>44</v>
      </c>
      <c r="AU46" s="5" t="s">
        <v>45</v>
      </c>
      <c r="AV46" s="4" t="s">
        <v>46</v>
      </c>
      <c r="AW46" s="4" t="s">
        <v>47</v>
      </c>
      <c r="AX46" s="4" t="s">
        <v>48</v>
      </c>
      <c r="AY46" s="4" t="s">
        <v>49</v>
      </c>
      <c r="AZ46" s="4" t="s">
        <v>50</v>
      </c>
      <c r="BA46" s="4" t="s">
        <v>51</v>
      </c>
    </row>
    <row r="47" spans="1:53" x14ac:dyDescent="0.2">
      <c r="A47" s="10"/>
      <c r="B47" s="10"/>
      <c r="C47" s="10"/>
      <c r="D47" s="10"/>
      <c r="E47" s="10"/>
      <c r="F47" s="10" t="s">
        <v>56</v>
      </c>
      <c r="G47" s="10">
        <v>84</v>
      </c>
      <c r="H47" s="10">
        <v>490</v>
      </c>
      <c r="I47" s="10">
        <v>0.2</v>
      </c>
      <c r="J47" s="10">
        <v>0</v>
      </c>
      <c r="K47" s="10">
        <v>0</v>
      </c>
      <c r="L47" s="10">
        <f t="shared" si="4"/>
        <v>0</v>
      </c>
      <c r="M47" s="10">
        <f t="shared" si="7"/>
        <v>1</v>
      </c>
      <c r="N47" s="10">
        <f t="shared" si="14"/>
        <v>1</v>
      </c>
      <c r="O47" s="10">
        <f t="shared" si="15"/>
        <v>8.1130407556000002</v>
      </c>
      <c r="P47" s="10">
        <f t="shared" ref="P47" si="17">(O47 * (1 -W$41) + (0.04 * O47)) * ( 1 - AF$41 )</f>
        <v>2.99857986326976</v>
      </c>
      <c r="Q47" s="12">
        <f t="shared" si="9"/>
        <v>1.4107430677044692E-4</v>
      </c>
      <c r="R47" s="10">
        <f t="shared" si="10"/>
        <v>1.6890266317448027E-3</v>
      </c>
      <c r="S47" s="10">
        <f t="shared" si="12"/>
        <v>1.0813345613954757</v>
      </c>
      <c r="T47" s="10">
        <f t="shared" si="13"/>
        <v>12.946389132323912</v>
      </c>
      <c r="U47" s="10"/>
      <c r="V47" s="10"/>
      <c r="W47" s="10"/>
      <c r="X47" s="10"/>
      <c r="Y47" s="10"/>
      <c r="Z47" s="10"/>
      <c r="AA47" s="10"/>
      <c r="AB47" s="10"/>
      <c r="AC47" s="10"/>
      <c r="AD47" s="10"/>
      <c r="AE47" s="10"/>
      <c r="AF47" s="10"/>
      <c r="AG47" s="10"/>
      <c r="AH47" s="10"/>
      <c r="AI47" s="10"/>
      <c r="AO47" t="s">
        <v>53</v>
      </c>
      <c r="AQ47" s="2" t="s">
        <v>54</v>
      </c>
      <c r="AR47" s="2">
        <v>80</v>
      </c>
      <c r="AS47" s="2">
        <v>480</v>
      </c>
      <c r="AT47" s="2">
        <v>75</v>
      </c>
      <c r="AU47" s="2">
        <v>300</v>
      </c>
      <c r="AV47" s="2">
        <v>440</v>
      </c>
      <c r="AW47" s="2">
        <v>440</v>
      </c>
      <c r="AX47" s="2">
        <v>75</v>
      </c>
      <c r="AY47">
        <v>380</v>
      </c>
      <c r="AZ47">
        <v>380</v>
      </c>
      <c r="BA47">
        <v>380</v>
      </c>
    </row>
    <row r="48" spans="1:53" x14ac:dyDescent="0.2">
      <c r="A48" s="10"/>
      <c r="B48" s="10"/>
      <c r="C48" s="10"/>
      <c r="D48" s="10"/>
      <c r="E48" s="10"/>
      <c r="F48" s="10" t="s">
        <v>57</v>
      </c>
      <c r="G48" s="10">
        <v>91</v>
      </c>
      <c r="H48" s="10">
        <v>500</v>
      </c>
      <c r="I48" s="10">
        <v>0.1</v>
      </c>
      <c r="J48" s="10">
        <v>0</v>
      </c>
      <c r="K48" s="10">
        <v>0</v>
      </c>
      <c r="L48" s="10">
        <f t="shared" si="4"/>
        <v>0</v>
      </c>
      <c r="M48" s="10">
        <f t="shared" si="7"/>
        <v>1</v>
      </c>
      <c r="N48" s="10">
        <f t="shared" si="14"/>
        <v>1</v>
      </c>
      <c r="O48" s="10">
        <f t="shared" si="15"/>
        <v>8.0457322500000004</v>
      </c>
      <c r="P48" s="10">
        <f t="shared" ref="P48" si="18">(O48 * (1 -X$41) + (0.04 * O48)) * ( 1 - AF$41 )</f>
        <v>3.6495441486</v>
      </c>
      <c r="Q48" s="12">
        <f t="shared" si="9"/>
        <v>1.7170024954095013E-4</v>
      </c>
      <c r="R48" s="10">
        <f t="shared" si="10"/>
        <v>2.0556988780656223E-3</v>
      </c>
      <c r="S48" s="10">
        <f t="shared" si="12"/>
        <v>1.4257559471256647</v>
      </c>
      <c r="T48" s="10">
        <f t="shared" si="13"/>
        <v>17.070009558737411</v>
      </c>
      <c r="U48" s="10"/>
      <c r="V48" s="10"/>
      <c r="W48" s="10"/>
      <c r="X48" s="10"/>
      <c r="Y48" s="10"/>
      <c r="Z48" s="10"/>
      <c r="AA48" s="10"/>
      <c r="AB48" s="10"/>
      <c r="AC48" s="10"/>
      <c r="AD48" s="10"/>
      <c r="AE48" s="10"/>
      <c r="AF48" s="10"/>
      <c r="AG48" s="10"/>
      <c r="AH48" s="10"/>
      <c r="AI48" s="10"/>
      <c r="AQ48" s="2" t="s">
        <v>55</v>
      </c>
      <c r="AR48" s="2">
        <v>170</v>
      </c>
      <c r="AS48" s="2">
        <v>520</v>
      </c>
      <c r="AT48" s="2">
        <v>160</v>
      </c>
      <c r="AU48" s="2">
        <v>360</v>
      </c>
      <c r="AV48">
        <v>470</v>
      </c>
      <c r="AW48">
        <v>470</v>
      </c>
      <c r="AX48">
        <v>160</v>
      </c>
      <c r="AY48">
        <v>420</v>
      </c>
      <c r="AZ48">
        <v>420</v>
      </c>
      <c r="BA48">
        <v>420</v>
      </c>
    </row>
    <row r="49" spans="1:53" x14ac:dyDescent="0.2">
      <c r="A49" s="10"/>
      <c r="B49" s="10"/>
      <c r="C49" s="10"/>
      <c r="D49" s="10"/>
      <c r="E49" s="10" t="s">
        <v>46</v>
      </c>
      <c r="F49" s="10" t="s">
        <v>54</v>
      </c>
      <c r="G49" s="10">
        <v>30</v>
      </c>
      <c r="H49" s="10" cm="1">
        <f t="array" ref="H49:H52">_xlfn.XLOOKUP(E49, $AR$46:$BA$46, $AR$47:$BA$50)</f>
        <v>440</v>
      </c>
      <c r="I49" s="10" cm="1">
        <f t="array" ref="I49:I52">_xlfn.XLOOKUP(E49, $AR$106:$BA$106, $AR$107:$BA$110)</f>
        <v>0.3</v>
      </c>
      <c r="J49" s="10">
        <v>0</v>
      </c>
      <c r="K49" s="10">
        <v>0</v>
      </c>
      <c r="L49" s="10">
        <f t="shared" si="4"/>
        <v>0</v>
      </c>
      <c r="M49" s="10">
        <f t="shared" si="7"/>
        <v>1</v>
      </c>
      <c r="N49" s="10">
        <f>(L49*M49)+(1 - L49)</f>
        <v>1</v>
      </c>
      <c r="O49" s="10">
        <f>(1.185 + 0.00454 * H49 - 0.0000026 * H49^2 + 0.315 * I49)^2 * N49</f>
        <v>7.6936335876000008</v>
      </c>
      <c r="P49" s="10">
        <f t="shared" ref="P49" si="19">(O49 * (1 -U$41) + (0.04 * O49)) * ( 1 - AF$41 )</f>
        <v>3.1666995846561599</v>
      </c>
      <c r="Q49" s="12">
        <f t="shared" si="9"/>
        <v>1.4898384202730175E-4</v>
      </c>
      <c r="R49" s="10">
        <f t="shared" si="10"/>
        <v>1.7837243552309826E-3</v>
      </c>
      <c r="S49" s="10">
        <f t="shared" si="12"/>
        <v>0.40784326754973854</v>
      </c>
      <c r="T49" s="10">
        <f t="shared" si="13"/>
        <v>4.8829454224448146</v>
      </c>
      <c r="U49" s="10"/>
      <c r="V49" s="10"/>
      <c r="W49" s="10"/>
      <c r="X49" s="10"/>
      <c r="Y49" s="10"/>
      <c r="Z49" s="10"/>
      <c r="AA49" s="10"/>
      <c r="AB49" s="10"/>
      <c r="AC49" s="10"/>
      <c r="AD49" s="10"/>
      <c r="AE49" s="10"/>
      <c r="AF49" s="10"/>
      <c r="AG49" s="10"/>
      <c r="AH49" s="10"/>
      <c r="AI49" s="10"/>
      <c r="AQ49" s="2" t="s">
        <v>56</v>
      </c>
      <c r="AR49" s="2">
        <v>240</v>
      </c>
      <c r="AS49" s="2">
        <v>550</v>
      </c>
      <c r="AT49" s="2">
        <v>220</v>
      </c>
      <c r="AU49" s="2">
        <v>390</v>
      </c>
      <c r="AV49">
        <v>490</v>
      </c>
      <c r="AW49">
        <v>490</v>
      </c>
      <c r="AX49">
        <v>220</v>
      </c>
      <c r="AY49">
        <v>450</v>
      </c>
      <c r="AZ49">
        <v>450</v>
      </c>
      <c r="BA49">
        <v>450</v>
      </c>
    </row>
    <row r="50" spans="1:53" x14ac:dyDescent="0.2">
      <c r="A50" s="10"/>
      <c r="B50" s="10"/>
      <c r="C50" s="10"/>
      <c r="D50" s="10"/>
      <c r="E50" s="10"/>
      <c r="F50" s="10" t="s">
        <v>55</v>
      </c>
      <c r="G50" s="10">
        <v>33</v>
      </c>
      <c r="H50" s="10">
        <v>470</v>
      </c>
      <c r="I50" s="10">
        <v>0.3</v>
      </c>
      <c r="J50" s="10">
        <v>1</v>
      </c>
      <c r="K50" s="10">
        <v>0</v>
      </c>
      <c r="L50" s="10">
        <f t="shared" si="4"/>
        <v>1</v>
      </c>
      <c r="M50" s="10">
        <f t="shared" si="7"/>
        <v>1.3</v>
      </c>
      <c r="N50" s="10">
        <f t="shared" ref="N50:N60" si="20">(L50*M50)+(1 - L50)</f>
        <v>1.3</v>
      </c>
      <c r="O50" s="10">
        <f t="shared" ref="O50:O64" si="21">(1.185 + 0.00454 * H50 - 0.0000026 * H50^2 + 0.315 * I50)^2 * N50</f>
        <v>10.477602046080001</v>
      </c>
      <c r="P50" s="10">
        <f t="shared" ref="P50" si="22">(O50 * (1 -V$41) + (0.04 * O50)) * ( 1 - AF$41 )</f>
        <v>3.432462430295808</v>
      </c>
      <c r="Q50" s="12">
        <f t="shared" si="9"/>
        <v>1.6148719725662413E-4</v>
      </c>
      <c r="R50" s="10">
        <f t="shared" si="10"/>
        <v>1.9334220603053353E-3</v>
      </c>
      <c r="S50" s="10">
        <f t="shared" si="12"/>
        <v>0.48627832273900945</v>
      </c>
      <c r="T50" s="10">
        <f t="shared" si="13"/>
        <v>5.8220171790944413</v>
      </c>
      <c r="U50" s="10"/>
      <c r="V50" s="10"/>
      <c r="W50" s="10"/>
      <c r="X50" s="10"/>
      <c r="Y50" s="10"/>
      <c r="Z50" s="10"/>
      <c r="AA50" s="10"/>
      <c r="AB50" s="10"/>
      <c r="AC50" s="10"/>
      <c r="AD50" s="10"/>
      <c r="AE50" s="10"/>
      <c r="AF50" s="10"/>
      <c r="AG50" s="10"/>
      <c r="AH50" s="10"/>
      <c r="AI50" s="10"/>
      <c r="AQ50" s="2" t="s">
        <v>57</v>
      </c>
      <c r="AR50" s="2">
        <v>280</v>
      </c>
      <c r="AS50" s="2">
        <v>560</v>
      </c>
      <c r="AT50" s="2">
        <v>260</v>
      </c>
      <c r="AU50" s="2">
        <v>410</v>
      </c>
      <c r="AV50">
        <v>500</v>
      </c>
      <c r="AW50">
        <v>500</v>
      </c>
      <c r="AX50">
        <v>260</v>
      </c>
      <c r="AY50">
        <v>460</v>
      </c>
      <c r="AZ50">
        <v>460</v>
      </c>
      <c r="BA50">
        <v>460</v>
      </c>
    </row>
    <row r="51" spans="1:53" x14ac:dyDescent="0.2">
      <c r="A51" s="10"/>
      <c r="B51" s="10"/>
      <c r="C51" s="10"/>
      <c r="D51" s="10"/>
      <c r="E51" s="10"/>
      <c r="F51" s="10" t="s">
        <v>56</v>
      </c>
      <c r="G51" s="10">
        <v>36</v>
      </c>
      <c r="H51" s="10">
        <v>490</v>
      </c>
      <c r="I51" s="10">
        <v>0.2</v>
      </c>
      <c r="J51" s="10">
        <v>0</v>
      </c>
      <c r="K51" s="10">
        <v>1</v>
      </c>
      <c r="L51" s="10">
        <f t="shared" si="4"/>
        <v>1</v>
      </c>
      <c r="M51" s="10">
        <f t="shared" si="7"/>
        <v>1.1000000000000001</v>
      </c>
      <c r="N51" s="10">
        <f t="shared" si="20"/>
        <v>1.1000000000000001</v>
      </c>
      <c r="O51" s="10">
        <f t="shared" si="21"/>
        <v>8.9243448311600009</v>
      </c>
      <c r="P51" s="10">
        <f t="shared" ref="P51" si="23">(O51 * (1 -W$41) + (0.04 * O51)) * ( 1 - AF$41 )</f>
        <v>3.2984378495967364</v>
      </c>
      <c r="Q51" s="12">
        <f t="shared" si="9"/>
        <v>1.5518173744749164E-4</v>
      </c>
      <c r="R51" s="10">
        <f t="shared" si="10"/>
        <v>1.8579292949192834E-3</v>
      </c>
      <c r="S51" s="10">
        <f t="shared" si="12"/>
        <v>0.50977200751501006</v>
      </c>
      <c r="T51" s="10">
        <f t="shared" si="13"/>
        <v>6.1032977338098462</v>
      </c>
      <c r="U51" s="10"/>
      <c r="V51" s="10"/>
      <c r="W51" s="10"/>
      <c r="X51" s="10" t="s">
        <v>126</v>
      </c>
      <c r="Y51" s="10" t="s">
        <v>127</v>
      </c>
      <c r="Z51" s="10" t="s">
        <v>128</v>
      </c>
      <c r="AA51" s="10" t="s">
        <v>129</v>
      </c>
      <c r="AB51" s="10" t="s">
        <v>130</v>
      </c>
      <c r="AC51" s="10" t="s">
        <v>131</v>
      </c>
      <c r="AD51" s="10" t="s">
        <v>124</v>
      </c>
      <c r="AE51" s="10" t="s">
        <v>125</v>
      </c>
      <c r="AF51" s="10"/>
      <c r="AG51" s="10"/>
      <c r="AH51" s="10"/>
      <c r="AI51" s="10"/>
      <c r="AO51" t="s">
        <v>59</v>
      </c>
      <c r="AQ51" s="2" t="s">
        <v>54</v>
      </c>
      <c r="AR51" s="2">
        <v>250</v>
      </c>
      <c r="AS51" s="2">
        <v>800</v>
      </c>
      <c r="AT51" s="2">
        <v>220</v>
      </c>
      <c r="AU51" s="2">
        <v>400</v>
      </c>
      <c r="AV51">
        <v>500</v>
      </c>
      <c r="AW51">
        <v>500</v>
      </c>
      <c r="AX51">
        <v>230</v>
      </c>
      <c r="AY51">
        <v>420</v>
      </c>
      <c r="AZ51">
        <v>420</v>
      </c>
      <c r="BA51">
        <v>420</v>
      </c>
    </row>
    <row r="52" spans="1:53" x14ac:dyDescent="0.2">
      <c r="A52" s="10"/>
      <c r="B52" s="10"/>
      <c r="C52" s="10"/>
      <c r="D52" s="10"/>
      <c r="E52" s="10"/>
      <c r="F52" s="10" t="s">
        <v>57</v>
      </c>
      <c r="G52" s="10">
        <v>39</v>
      </c>
      <c r="H52" s="10">
        <v>500</v>
      </c>
      <c r="I52" s="10">
        <v>0.1</v>
      </c>
      <c r="J52" s="10">
        <v>0</v>
      </c>
      <c r="K52" s="10">
        <v>0</v>
      </c>
      <c r="L52" s="10">
        <f t="shared" si="4"/>
        <v>0</v>
      </c>
      <c r="M52" s="10">
        <f t="shared" si="7"/>
        <v>1</v>
      </c>
      <c r="N52" s="10">
        <f t="shared" si="20"/>
        <v>1</v>
      </c>
      <c r="O52" s="10">
        <f t="shared" si="21"/>
        <v>8.0457322500000004</v>
      </c>
      <c r="P52" s="10">
        <f t="shared" ref="P52" si="24">(O52 * (1 -X$41) + (0.04 * O52)) * ( 1 - AF$41 )</f>
        <v>3.6495441486</v>
      </c>
      <c r="Q52" s="12">
        <f t="shared" si="9"/>
        <v>1.7170024954095013E-4</v>
      </c>
      <c r="R52" s="10">
        <f t="shared" si="10"/>
        <v>2.0556988780656223E-3</v>
      </c>
      <c r="S52" s="10">
        <f t="shared" si="12"/>
        <v>0.61103826305385622</v>
      </c>
      <c r="T52" s="10">
        <f t="shared" si="13"/>
        <v>7.3157183823160334</v>
      </c>
      <c r="U52" s="10"/>
      <c r="V52" s="10"/>
      <c r="W52" s="10"/>
      <c r="X52" s="10">
        <f>G45*Q45*91.25</f>
        <v>1.2371245782342069</v>
      </c>
      <c r="Y52" s="10">
        <f>G45*R45*91.25</f>
        <v>14.811601114749271</v>
      </c>
      <c r="Z52" s="10">
        <f>G49*Q49*91.25</f>
        <v>0.40784326754973854</v>
      </c>
      <c r="AA52" s="10">
        <f>G49*R49*91.25</f>
        <v>4.8829454224448146</v>
      </c>
      <c r="AB52">
        <f>X52+Z52</f>
        <v>1.6449678457839454</v>
      </c>
      <c r="AC52">
        <f>Y52+AA52</f>
        <v>19.694546537194086</v>
      </c>
      <c r="AD52" s="10">
        <f>G27*Q27*91.25</f>
        <v>1.5593207595984999</v>
      </c>
      <c r="AE52" s="10">
        <f>G27*R27*91.25</f>
        <v>18.669127998480672</v>
      </c>
      <c r="AF52" s="10"/>
      <c r="AG52" s="10"/>
      <c r="AH52" s="10"/>
      <c r="AI52" s="10"/>
      <c r="AQ52" s="2" t="s">
        <v>55</v>
      </c>
      <c r="AR52" s="2">
        <v>320</v>
      </c>
      <c r="AS52" s="2">
        <v>800</v>
      </c>
      <c r="AT52" s="2">
        <v>280</v>
      </c>
      <c r="AU52" s="2">
        <v>420</v>
      </c>
      <c r="AV52">
        <v>500</v>
      </c>
      <c r="AW52">
        <v>500</v>
      </c>
      <c r="AX52">
        <v>290</v>
      </c>
      <c r="AY52">
        <v>420</v>
      </c>
      <c r="AZ52">
        <v>420</v>
      </c>
      <c r="BA52">
        <v>420</v>
      </c>
    </row>
    <row r="53" spans="1:53" x14ac:dyDescent="0.2">
      <c r="A53" s="10"/>
      <c r="B53" s="10"/>
      <c r="C53" s="10"/>
      <c r="D53" s="10"/>
      <c r="E53" s="10" t="s">
        <v>47</v>
      </c>
      <c r="F53" s="10" t="s">
        <v>54</v>
      </c>
      <c r="G53" s="10">
        <v>30</v>
      </c>
      <c r="H53" s="10" cm="1">
        <f t="array" ref="H53:H56">_xlfn.XLOOKUP(E53, $AR$46:$BA$46, $AR$47:$BA$50)</f>
        <v>440</v>
      </c>
      <c r="I53" s="10" cm="1">
        <f t="array" ref="I53:I56">_xlfn.XLOOKUP(E53, $AR$106:$BA$106, $AR$107:$BA$110)</f>
        <v>0.3</v>
      </c>
      <c r="J53" s="10">
        <v>1</v>
      </c>
      <c r="K53" s="10">
        <v>0</v>
      </c>
      <c r="L53" s="10">
        <f t="shared" si="4"/>
        <v>1</v>
      </c>
      <c r="M53" s="10">
        <f t="shared" si="7"/>
        <v>1.3</v>
      </c>
      <c r="N53" s="10">
        <f t="shared" si="20"/>
        <v>1.3</v>
      </c>
      <c r="O53" s="10">
        <f t="shared" si="21"/>
        <v>10.001723663880002</v>
      </c>
      <c r="P53" s="10">
        <f t="shared" ref="P53" si="25">(O53 * (1 -U$41) + (0.04 * O53)) * ( 1 - AF$41 )</f>
        <v>4.1167094600530074</v>
      </c>
      <c r="Q53" s="12">
        <f t="shared" si="9"/>
        <v>1.9367899463549227E-4</v>
      </c>
      <c r="R53" s="10">
        <f t="shared" si="10"/>
        <v>2.3188416618002772E-3</v>
      </c>
      <c r="S53" s="10">
        <f t="shared" si="12"/>
        <v>0.53019624781466013</v>
      </c>
      <c r="T53" s="10">
        <f t="shared" si="13"/>
        <v>6.3478290491782587</v>
      </c>
      <c r="U53" s="10"/>
      <c r="V53" s="10"/>
      <c r="W53" s="10"/>
      <c r="X53" s="10">
        <f t="shared" ref="X53:X55" si="26">G46*Q46*91.25</f>
        <v>0.96008797053599293</v>
      </c>
      <c r="Y53" s="10">
        <f t="shared" ref="Y53:Y55" si="27">G46*R46*91.25</f>
        <v>11.494751866417229</v>
      </c>
      <c r="Z53" s="10">
        <f t="shared" ref="Z53:Z55" si="28">G50*Q50*91.25</f>
        <v>0.48627832273900945</v>
      </c>
      <c r="AA53" s="10">
        <f t="shared" ref="AA53:AA55" si="29">G50*R50*91.25</f>
        <v>5.8220171790944413</v>
      </c>
      <c r="AB53">
        <f t="shared" ref="AB53:AC55" si="30">X53+Z53</f>
        <v>1.4463662932750023</v>
      </c>
      <c r="AC53">
        <f t="shared" si="30"/>
        <v>17.31676904551167</v>
      </c>
      <c r="AD53" s="10">
        <f>G28*Q28*91.25</f>
        <v>1.4463662932750025</v>
      </c>
      <c r="AE53" s="10">
        <f>G28*R28*91.25</f>
        <v>17.316769045511673</v>
      </c>
      <c r="AF53" s="10"/>
      <c r="AG53" s="10"/>
      <c r="AH53" s="10"/>
      <c r="AI53" s="10"/>
      <c r="AQ53" s="2" t="s">
        <v>56</v>
      </c>
      <c r="AR53" s="2">
        <v>80</v>
      </c>
      <c r="AS53" s="2">
        <v>700</v>
      </c>
      <c r="AT53" s="2">
        <v>70</v>
      </c>
      <c r="AU53" s="2">
        <v>300</v>
      </c>
      <c r="AV53">
        <v>450</v>
      </c>
      <c r="AW53">
        <v>450</v>
      </c>
      <c r="AX53">
        <v>75</v>
      </c>
      <c r="AY53">
        <v>400</v>
      </c>
      <c r="AZ53">
        <v>400</v>
      </c>
      <c r="BA53">
        <v>400</v>
      </c>
    </row>
    <row r="54" spans="1:53" x14ac:dyDescent="0.2">
      <c r="A54" s="10"/>
      <c r="B54" s="10"/>
      <c r="C54" s="10"/>
      <c r="D54" s="10"/>
      <c r="E54" s="10"/>
      <c r="F54" s="10" t="s">
        <v>55</v>
      </c>
      <c r="G54" s="10">
        <v>36</v>
      </c>
      <c r="H54" s="10">
        <v>470</v>
      </c>
      <c r="I54" s="10">
        <v>0.3</v>
      </c>
      <c r="J54" s="10">
        <v>0</v>
      </c>
      <c r="K54" s="10">
        <v>1</v>
      </c>
      <c r="L54" s="10">
        <f t="shared" si="4"/>
        <v>1</v>
      </c>
      <c r="M54" s="10">
        <f t="shared" si="7"/>
        <v>1.1000000000000001</v>
      </c>
      <c r="N54" s="10">
        <f t="shared" si="20"/>
        <v>1.1000000000000001</v>
      </c>
      <c r="O54" s="10">
        <f t="shared" si="21"/>
        <v>8.8656632697600024</v>
      </c>
      <c r="P54" s="10">
        <f t="shared" ref="P54" si="31">(O54 * (1 -V$41) + (0.04 * O54)) * ( 1 - AF$41 )</f>
        <v>2.9043912871733766</v>
      </c>
      <c r="Q54" s="12">
        <f t="shared" si="9"/>
        <v>1.3664301306329734E-4</v>
      </c>
      <c r="R54" s="10">
        <f t="shared" si="10"/>
        <v>1.6359725125660528E-3</v>
      </c>
      <c r="S54" s="10">
        <f t="shared" si="12"/>
        <v>0.44887229791293171</v>
      </c>
      <c r="T54" s="10">
        <f t="shared" si="13"/>
        <v>5.3741697037794838</v>
      </c>
      <c r="U54" s="10"/>
      <c r="V54" s="10"/>
      <c r="W54" s="10"/>
      <c r="X54" s="10">
        <f t="shared" si="26"/>
        <v>1.0813345613954757</v>
      </c>
      <c r="Y54" s="10">
        <f t="shared" si="27"/>
        <v>12.946389132323912</v>
      </c>
      <c r="Z54" s="10">
        <f t="shared" si="28"/>
        <v>0.50977200751501006</v>
      </c>
      <c r="AA54" s="10">
        <f t="shared" si="29"/>
        <v>6.1032977338098462</v>
      </c>
      <c r="AB54">
        <f t="shared" si="30"/>
        <v>1.5911065689104857</v>
      </c>
      <c r="AC54">
        <f t="shared" si="30"/>
        <v>19.049686866133758</v>
      </c>
      <c r="AD54" s="10">
        <f>G29*Q29*91.25</f>
        <v>1.5586665320686215</v>
      </c>
      <c r="AE54" s="10">
        <f>G29*R29*91.25</f>
        <v>18.66129519216404</v>
      </c>
      <c r="AF54" s="10"/>
      <c r="AG54" s="10"/>
      <c r="AH54" s="10"/>
      <c r="AI54" s="10"/>
      <c r="AQ54" s="2" t="s">
        <v>57</v>
      </c>
      <c r="AR54" s="2">
        <v>160</v>
      </c>
      <c r="AS54" s="2">
        <v>700</v>
      </c>
      <c r="AT54" s="2">
        <v>140</v>
      </c>
      <c r="AU54" s="2">
        <v>350</v>
      </c>
      <c r="AV54" s="2">
        <v>450</v>
      </c>
      <c r="AW54" s="2">
        <v>450</v>
      </c>
      <c r="AX54" s="2">
        <v>150</v>
      </c>
      <c r="AY54">
        <v>400</v>
      </c>
      <c r="AZ54">
        <v>400</v>
      </c>
      <c r="BA54">
        <v>400</v>
      </c>
    </row>
    <row r="55" spans="1:53" x14ac:dyDescent="0.2">
      <c r="A55" s="10"/>
      <c r="B55" s="10"/>
      <c r="C55" s="10"/>
      <c r="D55" s="10"/>
      <c r="E55" s="10"/>
      <c r="F55" s="10" t="s">
        <v>56</v>
      </c>
      <c r="G55" s="10">
        <v>42</v>
      </c>
      <c r="H55" s="10">
        <v>490</v>
      </c>
      <c r="I55" s="10">
        <v>0.2</v>
      </c>
      <c r="J55" s="10">
        <v>0</v>
      </c>
      <c r="K55" s="10">
        <v>0</v>
      </c>
      <c r="L55" s="10">
        <f t="shared" si="4"/>
        <v>0</v>
      </c>
      <c r="M55" s="10">
        <f t="shared" si="7"/>
        <v>1</v>
      </c>
      <c r="N55" s="10">
        <f t="shared" si="20"/>
        <v>1</v>
      </c>
      <c r="O55" s="10">
        <f t="shared" si="21"/>
        <v>8.1130407556000002</v>
      </c>
      <c r="P55" s="10">
        <f t="shared" ref="P55" si="32">(O55 * (1 -W$41) + (0.04 * O55)) * ( 1 - AF$41 )</f>
        <v>2.99857986326976</v>
      </c>
      <c r="Q55" s="12">
        <f t="shared" si="9"/>
        <v>1.4107430677044692E-4</v>
      </c>
      <c r="R55" s="10">
        <f t="shared" si="10"/>
        <v>1.6890266317448027E-3</v>
      </c>
      <c r="S55" s="10">
        <f t="shared" si="12"/>
        <v>0.54066728069773784</v>
      </c>
      <c r="T55" s="10">
        <f t="shared" si="13"/>
        <v>6.4731945661619559</v>
      </c>
      <c r="U55" s="10"/>
      <c r="V55" s="10"/>
      <c r="W55" s="10"/>
      <c r="X55" s="10">
        <f t="shared" si="26"/>
        <v>1.4257559471256647</v>
      </c>
      <c r="Y55" s="10">
        <f t="shared" si="27"/>
        <v>17.070009558737411</v>
      </c>
      <c r="Z55" s="10">
        <f t="shared" si="28"/>
        <v>0.61103826305385622</v>
      </c>
      <c r="AA55" s="10">
        <f t="shared" si="29"/>
        <v>7.3157183823160334</v>
      </c>
      <c r="AB55">
        <f t="shared" si="30"/>
        <v>2.0367942101795209</v>
      </c>
      <c r="AC55">
        <f t="shared" si="30"/>
        <v>24.385727941053446</v>
      </c>
      <c r="AD55" s="10">
        <f>G30*Q30*91.25</f>
        <v>2.0367942101795209</v>
      </c>
      <c r="AE55" s="10">
        <f>G30*R30*91.25</f>
        <v>24.385727941053442</v>
      </c>
      <c r="AF55" s="10"/>
      <c r="AG55" s="10"/>
      <c r="AH55" s="10"/>
      <c r="AI55" s="10"/>
      <c r="AO55" t="s">
        <v>69</v>
      </c>
      <c r="AQ55" s="2" t="s">
        <v>54</v>
      </c>
      <c r="AR55" s="2">
        <v>105</v>
      </c>
      <c r="AS55" s="2">
        <v>700</v>
      </c>
      <c r="AT55" s="2">
        <v>85</v>
      </c>
      <c r="AU55" s="2">
        <v>300</v>
      </c>
      <c r="AV55">
        <v>490</v>
      </c>
      <c r="AW55">
        <v>490</v>
      </c>
      <c r="AX55">
        <v>90</v>
      </c>
      <c r="AY55">
        <v>480</v>
      </c>
      <c r="AZ55">
        <v>480</v>
      </c>
      <c r="BA55">
        <v>480</v>
      </c>
    </row>
    <row r="56" spans="1:53" x14ac:dyDescent="0.2">
      <c r="A56" s="10"/>
      <c r="B56" s="10"/>
      <c r="C56" s="10"/>
      <c r="D56" s="10"/>
      <c r="E56" s="10"/>
      <c r="F56" s="10" t="s">
        <v>57</v>
      </c>
      <c r="G56" s="10">
        <v>48</v>
      </c>
      <c r="H56" s="10">
        <v>500</v>
      </c>
      <c r="I56" s="10">
        <v>0.1</v>
      </c>
      <c r="J56" s="10">
        <v>0</v>
      </c>
      <c r="K56" s="10">
        <v>0</v>
      </c>
      <c r="L56" s="10">
        <f t="shared" si="4"/>
        <v>0</v>
      </c>
      <c r="M56" s="10">
        <f t="shared" si="7"/>
        <v>1</v>
      </c>
      <c r="N56" s="10">
        <f t="shared" si="20"/>
        <v>1</v>
      </c>
      <c r="O56" s="10">
        <f t="shared" si="21"/>
        <v>8.0457322500000004</v>
      </c>
      <c r="P56" s="10">
        <f t="shared" ref="P56" si="33">(O56 * (1 -X$41) + (0.04 * O56)) * ( 1 - AF$41 )</f>
        <v>3.6495441486</v>
      </c>
      <c r="Q56" s="12">
        <f t="shared" si="9"/>
        <v>1.7170024954095013E-4</v>
      </c>
      <c r="R56" s="10">
        <f t="shared" si="10"/>
        <v>2.0556988780656223E-3</v>
      </c>
      <c r="S56" s="10">
        <f t="shared" si="12"/>
        <v>0.75204709298936168</v>
      </c>
      <c r="T56" s="10">
        <f t="shared" si="13"/>
        <v>9.0039610859274255</v>
      </c>
      <c r="U56" s="10"/>
      <c r="V56" s="10"/>
      <c r="W56" s="10"/>
      <c r="X56" s="10"/>
      <c r="Y56" s="10"/>
      <c r="Z56" s="10"/>
      <c r="AA56" s="10"/>
      <c r="AB56" s="10"/>
      <c r="AC56" s="10"/>
      <c r="AD56" s="10"/>
      <c r="AE56" s="10"/>
      <c r="AF56" s="10"/>
      <c r="AG56" s="10"/>
      <c r="AH56" s="10"/>
      <c r="AI56" s="10"/>
      <c r="AQ56" s="2" t="s">
        <v>55</v>
      </c>
      <c r="AR56" s="2">
        <v>480</v>
      </c>
      <c r="AS56" s="2">
        <v>750</v>
      </c>
      <c r="AT56" s="2">
        <v>150</v>
      </c>
      <c r="AU56" s="2">
        <v>350</v>
      </c>
      <c r="AV56">
        <v>530</v>
      </c>
      <c r="AW56">
        <v>530</v>
      </c>
      <c r="AX56">
        <v>160</v>
      </c>
      <c r="AY56">
        <v>460</v>
      </c>
      <c r="AZ56">
        <v>460</v>
      </c>
      <c r="BA56">
        <v>460</v>
      </c>
    </row>
    <row r="57" spans="1:53" x14ac:dyDescent="0.2">
      <c r="A57" s="10"/>
      <c r="B57" s="10"/>
      <c r="C57" s="10"/>
      <c r="D57" s="10"/>
      <c r="E57" s="10" t="s">
        <v>47</v>
      </c>
      <c r="F57" s="10" t="s">
        <v>54</v>
      </c>
      <c r="G57" s="10">
        <v>20</v>
      </c>
      <c r="H57" s="10" cm="1">
        <f t="array" ref="H57:H60">_xlfn.XLOOKUP(E57, $AR$46:$BA$46, $AR$47:$BA$50)</f>
        <v>440</v>
      </c>
      <c r="I57" s="10" cm="1">
        <f t="array" ref="I57:I60">_xlfn.XLOOKUP(E57, $AR$106:$BA$106, $AR$107:$BA$110)</f>
        <v>0.3</v>
      </c>
      <c r="J57" s="10">
        <v>0</v>
      </c>
      <c r="K57" s="10">
        <v>1</v>
      </c>
      <c r="L57" s="10">
        <f t="shared" si="4"/>
        <v>1</v>
      </c>
      <c r="M57" s="10">
        <f t="shared" si="7"/>
        <v>1.1000000000000001</v>
      </c>
      <c r="N57" s="10">
        <f t="shared" si="20"/>
        <v>1.1000000000000001</v>
      </c>
      <c r="O57" s="10">
        <f t="shared" si="21"/>
        <v>8.4629969463600023</v>
      </c>
      <c r="P57" s="10">
        <f t="shared" ref="P57" si="34">(O57 * (1 -U$41) + (0.04 * O57)) * ( 1 - AF$41 )</f>
        <v>3.4833695431217762</v>
      </c>
      <c r="Q57" s="12">
        <f t="shared" si="9"/>
        <v>1.6388222623003193E-4</v>
      </c>
      <c r="R57" s="10">
        <f t="shared" si="10"/>
        <v>1.9620967907540807E-3</v>
      </c>
      <c r="S57" s="10">
        <f t="shared" si="12"/>
        <v>0.29908506286980829</v>
      </c>
      <c r="T57" s="10">
        <f t="shared" si="13"/>
        <v>3.5808266431261973</v>
      </c>
      <c r="U57" s="10"/>
      <c r="V57" s="10"/>
      <c r="W57" s="10"/>
      <c r="X57" s="10"/>
      <c r="Y57" s="10"/>
      <c r="Z57" s="10"/>
      <c r="AA57" s="10"/>
      <c r="AB57" s="10"/>
      <c r="AC57" s="10"/>
      <c r="AD57" s="10"/>
      <c r="AE57" s="10"/>
      <c r="AF57" s="10"/>
      <c r="AG57" s="10"/>
      <c r="AH57" s="10"/>
      <c r="AI57" s="10"/>
      <c r="AQ57" s="2" t="s">
        <v>56</v>
      </c>
      <c r="AR57" s="2">
        <v>250</v>
      </c>
      <c r="AS57" s="2">
        <v>725</v>
      </c>
      <c r="AT57" s="2">
        <v>200</v>
      </c>
      <c r="AU57" s="2">
        <v>360</v>
      </c>
      <c r="AV57" s="2">
        <v>500</v>
      </c>
      <c r="AW57" s="2">
        <v>500</v>
      </c>
      <c r="AX57">
        <v>215</v>
      </c>
      <c r="AY57">
        <v>490</v>
      </c>
      <c r="AZ57">
        <v>490</v>
      </c>
      <c r="BA57">
        <v>490</v>
      </c>
    </row>
    <row r="58" spans="1:53" x14ac:dyDescent="0.2">
      <c r="A58" s="10"/>
      <c r="B58" s="10"/>
      <c r="C58" s="10"/>
      <c r="D58" s="10"/>
      <c r="E58" s="10"/>
      <c r="F58" s="10" t="s">
        <v>55</v>
      </c>
      <c r="G58" s="10">
        <v>24</v>
      </c>
      <c r="H58" s="10">
        <v>470</v>
      </c>
      <c r="I58" s="10">
        <v>0.3</v>
      </c>
      <c r="J58" s="10">
        <v>0</v>
      </c>
      <c r="K58" s="10">
        <v>0</v>
      </c>
      <c r="L58" s="10">
        <f t="shared" si="4"/>
        <v>0</v>
      </c>
      <c r="M58" s="10">
        <f t="shared" si="7"/>
        <v>1</v>
      </c>
      <c r="N58" s="10">
        <f t="shared" si="20"/>
        <v>1</v>
      </c>
      <c r="O58" s="10">
        <f t="shared" si="21"/>
        <v>8.0596938816000012</v>
      </c>
      <c r="P58" s="10">
        <f t="shared" ref="P58" si="35">(O58 * (1 -V$41) + (0.04 * O58)) * ( 1 - AF$41 )</f>
        <v>2.6403557156121602</v>
      </c>
      <c r="Q58" s="12">
        <f t="shared" si="9"/>
        <v>1.2422092096663393E-4</v>
      </c>
      <c r="R58" s="10">
        <f t="shared" si="10"/>
        <v>1.4872477386964117E-3</v>
      </c>
      <c r="S58" s="10">
        <f t="shared" si="12"/>
        <v>0.2720438169169283</v>
      </c>
      <c r="T58" s="10">
        <f t="shared" si="13"/>
        <v>3.2570725477451412</v>
      </c>
      <c r="U58" s="10"/>
      <c r="V58" s="10"/>
      <c r="W58" s="10"/>
      <c r="X58" s="10"/>
      <c r="Y58" s="10"/>
      <c r="Z58" s="10"/>
      <c r="AA58" s="10"/>
      <c r="AB58" s="10"/>
      <c r="AC58" s="10"/>
      <c r="AD58" s="10"/>
      <c r="AE58" s="10"/>
      <c r="AF58" s="10"/>
      <c r="AG58" s="10"/>
      <c r="AH58" s="10"/>
      <c r="AI58" s="10"/>
      <c r="AQ58" s="2" t="s">
        <v>57</v>
      </c>
      <c r="AR58" s="2">
        <v>260</v>
      </c>
      <c r="AS58" s="2">
        <v>700</v>
      </c>
      <c r="AT58" s="2">
        <v>210</v>
      </c>
      <c r="AU58" s="2">
        <v>380</v>
      </c>
      <c r="AV58" s="2">
        <v>460</v>
      </c>
      <c r="AW58" s="2">
        <v>460</v>
      </c>
      <c r="AX58" s="2">
        <v>230</v>
      </c>
      <c r="AY58">
        <v>470</v>
      </c>
      <c r="AZ58">
        <v>470</v>
      </c>
      <c r="BA58">
        <v>470</v>
      </c>
    </row>
    <row r="59" spans="1:53" x14ac:dyDescent="0.2">
      <c r="A59" s="10"/>
      <c r="B59" s="10"/>
      <c r="C59" s="10"/>
      <c r="D59" s="10"/>
      <c r="E59" s="10"/>
      <c r="F59" s="10" t="s">
        <v>56</v>
      </c>
      <c r="G59" s="10">
        <v>28</v>
      </c>
      <c r="H59" s="10">
        <v>490</v>
      </c>
      <c r="I59" s="10">
        <v>0.2</v>
      </c>
      <c r="J59" s="10">
        <v>0</v>
      </c>
      <c r="K59" s="10">
        <v>0</v>
      </c>
      <c r="L59" s="10">
        <f t="shared" si="4"/>
        <v>0</v>
      </c>
      <c r="M59" s="10">
        <f t="shared" si="7"/>
        <v>1</v>
      </c>
      <c r="N59" s="10">
        <f t="shared" si="20"/>
        <v>1</v>
      </c>
      <c r="O59" s="10">
        <f t="shared" si="21"/>
        <v>8.1130407556000002</v>
      </c>
      <c r="P59" s="10">
        <f t="shared" ref="P59" si="36">(O59 * (1 -W$41) + (0.04 * O59)) * ( 1 - AF$41 )</f>
        <v>2.99857986326976</v>
      </c>
      <c r="Q59" s="12">
        <f t="shared" si="9"/>
        <v>1.4107430677044692E-4</v>
      </c>
      <c r="R59" s="10">
        <f t="shared" si="10"/>
        <v>1.6890266317448027E-3</v>
      </c>
      <c r="S59" s="10">
        <f t="shared" si="12"/>
        <v>0.36044485379849189</v>
      </c>
      <c r="T59" s="10">
        <f t="shared" si="13"/>
        <v>4.3154630441079709</v>
      </c>
      <c r="U59" s="10"/>
      <c r="V59" s="10"/>
      <c r="W59" s="10"/>
      <c r="X59" s="10"/>
      <c r="Y59" s="10"/>
      <c r="Z59" s="10"/>
      <c r="AA59" s="10"/>
      <c r="AB59" s="10"/>
      <c r="AC59" s="10"/>
      <c r="AD59" s="10"/>
      <c r="AE59" s="10"/>
      <c r="AF59" s="10"/>
      <c r="AG59" s="10"/>
      <c r="AH59" s="10"/>
      <c r="AI59" s="10"/>
      <c r="AO59" t="s">
        <v>70</v>
      </c>
      <c r="AQ59" s="2" t="s">
        <v>54</v>
      </c>
      <c r="AR59" s="2">
        <v>250</v>
      </c>
      <c r="AS59" s="2">
        <v>820</v>
      </c>
      <c r="AT59" s="2">
        <v>240</v>
      </c>
      <c r="AU59" s="2">
        <v>410</v>
      </c>
      <c r="AV59">
        <v>560</v>
      </c>
      <c r="AW59">
        <v>560</v>
      </c>
      <c r="AX59">
        <v>240</v>
      </c>
      <c r="AY59">
        <v>510</v>
      </c>
      <c r="AZ59">
        <v>510</v>
      </c>
      <c r="BA59">
        <v>510</v>
      </c>
    </row>
    <row r="60" spans="1:53" x14ac:dyDescent="0.2">
      <c r="A60" s="10"/>
      <c r="B60" s="10"/>
      <c r="C60" s="10"/>
      <c r="D60" s="10"/>
      <c r="E60" s="10"/>
      <c r="F60" s="10" t="s">
        <v>57</v>
      </c>
      <c r="G60" s="10">
        <v>32</v>
      </c>
      <c r="H60" s="10">
        <v>500</v>
      </c>
      <c r="I60" s="10">
        <v>0.1</v>
      </c>
      <c r="J60" s="10">
        <v>1</v>
      </c>
      <c r="K60" s="10">
        <v>0</v>
      </c>
      <c r="L60" s="10">
        <f t="shared" si="4"/>
        <v>1</v>
      </c>
      <c r="M60" s="10">
        <f t="shared" si="7"/>
        <v>1.3</v>
      </c>
      <c r="N60" s="10">
        <f t="shared" si="20"/>
        <v>1.3</v>
      </c>
      <c r="O60" s="10">
        <f t="shared" si="21"/>
        <v>10.459451925000002</v>
      </c>
      <c r="P60" s="10">
        <f t="shared" ref="P60" si="37">(O60 * (1 -X$41) + (0.04 * O60)) * ( 1 - AF$41 )</f>
        <v>4.7444073931800004</v>
      </c>
      <c r="Q60" s="12">
        <f t="shared" si="9"/>
        <v>2.232103244032352E-4</v>
      </c>
      <c r="R60" s="10">
        <f t="shared" si="10"/>
        <v>2.6724085414853087E-3</v>
      </c>
      <c r="S60" s="10">
        <f t="shared" si="12"/>
        <v>0.65177414725744676</v>
      </c>
      <c r="T60" s="10">
        <f t="shared" si="13"/>
        <v>7.8034329411371015</v>
      </c>
      <c r="U60" s="10"/>
      <c r="V60" s="10"/>
      <c r="W60" s="10"/>
      <c r="X60" s="10"/>
      <c r="Y60" s="10"/>
      <c r="Z60" s="10"/>
      <c r="AA60" s="10"/>
      <c r="AB60" s="10"/>
      <c r="AC60" s="10"/>
      <c r="AD60" s="10"/>
      <c r="AE60" s="10"/>
      <c r="AF60" s="10"/>
      <c r="AG60" s="10"/>
      <c r="AH60" s="10"/>
      <c r="AI60" s="10"/>
      <c r="AQ60" s="2" t="s">
        <v>55</v>
      </c>
      <c r="AR60" s="2">
        <v>280</v>
      </c>
      <c r="AS60" s="2">
        <v>850</v>
      </c>
      <c r="AT60" s="2">
        <v>260</v>
      </c>
      <c r="AU60" s="2">
        <v>440</v>
      </c>
      <c r="AV60">
        <v>550</v>
      </c>
      <c r="AW60">
        <v>550</v>
      </c>
      <c r="AX60">
        <v>270</v>
      </c>
      <c r="AY60">
        <v>520</v>
      </c>
      <c r="AZ60">
        <v>520</v>
      </c>
      <c r="BA60">
        <v>520</v>
      </c>
    </row>
    <row r="61" spans="1:53" x14ac:dyDescent="0.2">
      <c r="A61" s="10"/>
      <c r="B61" s="10"/>
      <c r="C61" s="10"/>
      <c r="D61" s="10"/>
      <c r="E61" s="10" t="s">
        <v>48</v>
      </c>
      <c r="F61" s="10" t="s">
        <v>54</v>
      </c>
      <c r="G61" s="10">
        <v>200</v>
      </c>
      <c r="H61" s="10" cm="1">
        <f t="array" ref="H61:H64">_xlfn.XLOOKUP(E61, $AR$46:$BA$46, $AR$47:$BA$50)</f>
        <v>75</v>
      </c>
      <c r="I61" s="10" cm="1">
        <f t="array" ref="I61:I64">_xlfn.XLOOKUP(E61, $AR$106:$BA$106, $AR$107:$BA$110)</f>
        <v>0.5</v>
      </c>
      <c r="J61" s="10"/>
      <c r="K61" s="10"/>
      <c r="L61" s="10"/>
      <c r="M61" s="10">
        <f t="shared" si="7"/>
        <v>1</v>
      </c>
      <c r="N61" s="10">
        <v>1</v>
      </c>
      <c r="O61" s="10">
        <f t="shared" si="21"/>
        <v>2.7834751406249998</v>
      </c>
      <c r="P61" s="10">
        <f t="shared" ref="P61" si="38">(O61 * (1 -U$41) + (0.04 * O61)) * ( 1 - AF$41 )</f>
        <v>1.1456783678812499</v>
      </c>
      <c r="Q61" s="12">
        <f t="shared" si="9"/>
        <v>5.390077600084388E-5</v>
      </c>
      <c r="R61" s="10">
        <f t="shared" si="10"/>
        <v>6.4533257842106233E-4</v>
      </c>
      <c r="S61" s="10">
        <f t="shared" si="12"/>
        <v>0.98368916201540069</v>
      </c>
      <c r="T61" s="10">
        <f t="shared" si="13"/>
        <v>11.777319556184386</v>
      </c>
      <c r="U61" s="10"/>
      <c r="V61" s="10"/>
      <c r="W61" s="10"/>
      <c r="X61" s="10"/>
      <c r="Y61" s="10"/>
      <c r="Z61" s="10"/>
      <c r="AA61" s="10"/>
      <c r="AB61" s="10"/>
      <c r="AC61" s="10"/>
      <c r="AD61" s="10"/>
      <c r="AE61" s="10"/>
      <c r="AF61" s="10"/>
      <c r="AG61" s="10"/>
      <c r="AH61" s="10"/>
      <c r="AI61" s="10"/>
      <c r="AQ61" s="2" t="s">
        <v>56</v>
      </c>
      <c r="AR61" s="2">
        <v>100</v>
      </c>
      <c r="AS61" s="2">
        <v>700</v>
      </c>
      <c r="AT61" s="2">
        <v>95</v>
      </c>
      <c r="AU61" s="2">
        <v>300</v>
      </c>
      <c r="AV61">
        <v>450</v>
      </c>
      <c r="AW61">
        <v>450</v>
      </c>
      <c r="AX61">
        <v>95</v>
      </c>
      <c r="AY61">
        <v>410</v>
      </c>
      <c r="AZ61">
        <v>410</v>
      </c>
      <c r="BA61">
        <v>410</v>
      </c>
    </row>
    <row r="62" spans="1:53" x14ac:dyDescent="0.2">
      <c r="A62" s="10"/>
      <c r="B62" s="10"/>
      <c r="C62" s="10"/>
      <c r="D62" s="10"/>
      <c r="E62" s="10"/>
      <c r="F62" s="10" t="s">
        <v>55</v>
      </c>
      <c r="G62" s="10">
        <v>130</v>
      </c>
      <c r="H62" s="10">
        <v>160</v>
      </c>
      <c r="I62" s="10">
        <v>0.9</v>
      </c>
      <c r="J62" s="10"/>
      <c r="K62" s="10"/>
      <c r="L62" s="10"/>
      <c r="M62" s="10">
        <f t="shared" si="7"/>
        <v>1</v>
      </c>
      <c r="N62" s="10">
        <v>1</v>
      </c>
      <c r="O62" s="10">
        <f t="shared" si="21"/>
        <v>4.5298311556000002</v>
      </c>
      <c r="P62" s="10">
        <f t="shared" ref="P62" si="39">(O62 * (1 -V$41) + (0.04 * O62)) * ( 1 - AF$41 )</f>
        <v>1.4839726865745599</v>
      </c>
      <c r="Q62" s="12">
        <f t="shared" si="9"/>
        <v>6.9816522344180778E-5</v>
      </c>
      <c r="R62" s="10">
        <f t="shared" si="10"/>
        <v>8.3588548669608228E-4</v>
      </c>
      <c r="S62" s="10">
        <f t="shared" si="12"/>
        <v>0.82819849630784437</v>
      </c>
      <c r="T62" s="10">
        <f t="shared" si="13"/>
        <v>9.9156915859322758</v>
      </c>
      <c r="U62" s="10"/>
      <c r="V62" s="10"/>
      <c r="W62" s="10"/>
      <c r="X62" s="10"/>
      <c r="Y62" s="10"/>
      <c r="Z62" s="10"/>
      <c r="AA62" s="10"/>
      <c r="AB62" s="10"/>
      <c r="AC62" s="10"/>
      <c r="AD62" s="10"/>
      <c r="AE62" s="10"/>
      <c r="AF62" s="10"/>
      <c r="AG62" s="10"/>
      <c r="AH62" s="10"/>
      <c r="AI62" s="10"/>
      <c r="AQ62" s="2" t="s">
        <v>57</v>
      </c>
      <c r="AR62" s="2">
        <v>150</v>
      </c>
      <c r="AS62" s="2">
        <v>720</v>
      </c>
      <c r="AT62" s="2">
        <v>140</v>
      </c>
      <c r="AU62" s="2">
        <v>320</v>
      </c>
      <c r="AV62" s="2">
        <v>470</v>
      </c>
      <c r="AW62" s="2">
        <v>470</v>
      </c>
      <c r="AX62">
        <v>140</v>
      </c>
      <c r="AY62">
        <v>440</v>
      </c>
      <c r="AZ62">
        <v>440</v>
      </c>
      <c r="BA62">
        <v>440</v>
      </c>
    </row>
    <row r="63" spans="1:53" x14ac:dyDescent="0.2">
      <c r="A63" s="10"/>
      <c r="B63" s="10"/>
      <c r="C63" s="10"/>
      <c r="D63" s="10"/>
      <c r="E63" s="10"/>
      <c r="F63" s="10" t="s">
        <v>56</v>
      </c>
      <c r="G63" s="10">
        <v>250</v>
      </c>
      <c r="H63" s="10">
        <v>220</v>
      </c>
      <c r="I63" s="10">
        <v>0.7</v>
      </c>
      <c r="J63" s="10"/>
      <c r="K63" s="10"/>
      <c r="L63" s="10"/>
      <c r="M63" s="10">
        <f t="shared" si="7"/>
        <v>1</v>
      </c>
      <c r="N63" s="10">
        <v>1</v>
      </c>
      <c r="O63" s="10">
        <f t="shared" si="21"/>
        <v>5.1913799715999973</v>
      </c>
      <c r="P63" s="10">
        <f t="shared" ref="P63" si="40">(O63 * (1 -W$41) + (0.04 * O63)) * ( 1 - AF$41 )</f>
        <v>1.918734037503359</v>
      </c>
      <c r="Q63" s="12">
        <f t="shared" si="9"/>
        <v>9.0270757011782037E-5</v>
      </c>
      <c r="R63" s="10">
        <f t="shared" si="10"/>
        <v>1.0807759127164039E-3</v>
      </c>
      <c r="S63" s="10">
        <f t="shared" si="12"/>
        <v>2.0593016443312777</v>
      </c>
      <c r="T63" s="10">
        <f t="shared" si="13"/>
        <v>24.655200508842963</v>
      </c>
      <c r="U63" s="10"/>
      <c r="V63" s="10"/>
      <c r="W63" s="10"/>
      <c r="X63" s="10"/>
      <c r="Y63" s="10"/>
      <c r="Z63" s="10"/>
      <c r="AA63" s="10"/>
      <c r="AB63" s="10"/>
      <c r="AC63" s="10"/>
      <c r="AD63" s="10"/>
      <c r="AE63" s="10"/>
      <c r="AF63" s="10"/>
      <c r="AG63" s="10"/>
      <c r="AH63" s="10"/>
      <c r="AI63" s="10"/>
      <c r="AO63" t="s">
        <v>65</v>
      </c>
      <c r="AP63" t="s">
        <v>62</v>
      </c>
      <c r="AQ63" s="2" t="s">
        <v>54</v>
      </c>
      <c r="AR63" s="2">
        <v>340</v>
      </c>
      <c r="AS63" s="2">
        <v>800</v>
      </c>
      <c r="AT63" s="2">
        <v>260</v>
      </c>
      <c r="AU63" s="2">
        <v>420</v>
      </c>
      <c r="AV63" s="2">
        <v>550</v>
      </c>
      <c r="AW63" s="2">
        <v>550</v>
      </c>
      <c r="AX63">
        <v>300</v>
      </c>
      <c r="AY63">
        <v>480</v>
      </c>
      <c r="AZ63">
        <v>480</v>
      </c>
      <c r="BA63">
        <v>480</v>
      </c>
    </row>
    <row r="64" spans="1:53" x14ac:dyDescent="0.2">
      <c r="A64" s="10"/>
      <c r="B64" s="10"/>
      <c r="C64" s="10"/>
      <c r="D64" s="10"/>
      <c r="E64" s="10"/>
      <c r="F64" s="10" t="s">
        <v>57</v>
      </c>
      <c r="G64" s="10">
        <v>150</v>
      </c>
      <c r="H64" s="10">
        <v>260</v>
      </c>
      <c r="I64" s="10">
        <v>0.4</v>
      </c>
      <c r="J64" s="10"/>
      <c r="K64" s="10"/>
      <c r="L64" s="10"/>
      <c r="M64" s="10">
        <f t="shared" si="7"/>
        <v>1</v>
      </c>
      <c r="N64" s="10">
        <v>1</v>
      </c>
      <c r="O64" s="10">
        <f t="shared" si="21"/>
        <v>5.3621886096000004</v>
      </c>
      <c r="P64" s="10">
        <f t="shared" ref="P64" si="41">(O64 * (1 -X$41) + (0.04 * O64)) * ( 1 - AF$41 )</f>
        <v>2.4322887533145603</v>
      </c>
      <c r="Q64" s="12">
        <f t="shared" si="9"/>
        <v>1.1443198626874025E-4</v>
      </c>
      <c r="R64" s="10">
        <f t="shared" si="10"/>
        <v>1.3700487123134107E-3</v>
      </c>
      <c r="S64" s="10">
        <f t="shared" si="12"/>
        <v>1.5662878120533821</v>
      </c>
      <c r="T64" s="10">
        <f t="shared" si="13"/>
        <v>18.75254174978981</v>
      </c>
      <c r="U64" s="10"/>
      <c r="V64" s="10"/>
      <c r="W64" s="10"/>
      <c r="X64" s="10"/>
      <c r="Y64" s="10"/>
      <c r="Z64" s="10"/>
      <c r="AA64" s="10"/>
      <c r="AB64" s="10"/>
      <c r="AC64" s="10"/>
      <c r="AD64" s="10"/>
      <c r="AE64" s="10"/>
      <c r="AF64" s="10"/>
      <c r="AG64" s="10"/>
      <c r="AH64" s="10"/>
      <c r="AI64" s="10"/>
      <c r="AQ64" s="2" t="s">
        <v>55</v>
      </c>
      <c r="AR64" s="2">
        <v>380</v>
      </c>
      <c r="AS64" s="2">
        <v>780</v>
      </c>
      <c r="AT64" s="2">
        <v>300</v>
      </c>
      <c r="AU64" s="2">
        <v>450</v>
      </c>
      <c r="AV64" s="2">
        <v>530</v>
      </c>
      <c r="AW64" s="2">
        <v>530</v>
      </c>
      <c r="AX64" s="2">
        <v>340</v>
      </c>
      <c r="AY64">
        <v>470</v>
      </c>
      <c r="AZ64">
        <v>470</v>
      </c>
      <c r="BA64">
        <v>470</v>
      </c>
    </row>
    <row r="65" spans="1:53" x14ac:dyDescent="0.2">
      <c r="A65" s="10"/>
      <c r="B65" s="10"/>
      <c r="C65" s="10"/>
      <c r="D65" s="10"/>
      <c r="E65" s="10"/>
      <c r="F65" s="10"/>
      <c r="G65" s="10"/>
      <c r="H65" s="10"/>
      <c r="I65" s="10"/>
      <c r="J65" s="10"/>
      <c r="K65" s="10"/>
      <c r="L65" s="10"/>
      <c r="M65" s="10"/>
      <c r="N65" s="10"/>
      <c r="O65" s="10"/>
      <c r="P65" s="10"/>
      <c r="Q65" s="11"/>
      <c r="R65" s="10"/>
      <c r="S65" s="10"/>
      <c r="T65" s="10"/>
      <c r="U65" s="10"/>
      <c r="V65" s="10"/>
      <c r="W65" s="10"/>
      <c r="X65" s="10"/>
      <c r="Y65" s="10"/>
      <c r="Z65" s="10"/>
      <c r="AA65" s="10"/>
      <c r="AB65" s="10"/>
      <c r="AC65" s="10"/>
      <c r="AD65" s="10"/>
      <c r="AE65" s="10"/>
      <c r="AF65" s="10"/>
      <c r="AG65" s="10"/>
      <c r="AH65" s="10"/>
      <c r="AI65" s="10"/>
      <c r="AQ65" s="2" t="s">
        <v>56</v>
      </c>
      <c r="AR65" s="2">
        <v>100</v>
      </c>
      <c r="AS65" s="2">
        <v>680</v>
      </c>
      <c r="AT65" s="2">
        <v>80</v>
      </c>
      <c r="AU65" s="2">
        <v>320</v>
      </c>
      <c r="AV65" s="2">
        <v>480</v>
      </c>
      <c r="AW65" s="2">
        <v>480</v>
      </c>
      <c r="AX65">
        <v>100</v>
      </c>
      <c r="AY65">
        <v>340</v>
      </c>
      <c r="AZ65">
        <v>340</v>
      </c>
      <c r="BA65">
        <v>340</v>
      </c>
    </row>
    <row r="66" spans="1:53" x14ac:dyDescent="0.2">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Q66" s="2" t="s">
        <v>57</v>
      </c>
      <c r="AR66" s="2">
        <v>190</v>
      </c>
      <c r="AS66" s="2">
        <v>700</v>
      </c>
      <c r="AT66" s="2">
        <v>150</v>
      </c>
      <c r="AU66" s="2">
        <v>330</v>
      </c>
      <c r="AV66" s="2">
        <v>490</v>
      </c>
      <c r="AW66" s="2">
        <v>490</v>
      </c>
      <c r="AX66">
        <v>170</v>
      </c>
      <c r="AY66">
        <v>360</v>
      </c>
      <c r="AZ66">
        <v>360</v>
      </c>
      <c r="BA66">
        <v>360</v>
      </c>
    </row>
    <row r="67" spans="1:53" x14ac:dyDescent="0.2">
      <c r="AO67" t="s">
        <v>65</v>
      </c>
      <c r="AP67" t="s">
        <v>63</v>
      </c>
      <c r="AQ67" s="2" t="s">
        <v>54</v>
      </c>
      <c r="AR67" s="2">
        <v>80</v>
      </c>
      <c r="AS67" s="2">
        <v>450</v>
      </c>
      <c r="AT67" s="2">
        <v>70</v>
      </c>
      <c r="AU67" s="2">
        <v>260</v>
      </c>
      <c r="AV67" s="2">
        <v>340</v>
      </c>
      <c r="AW67" s="2">
        <v>340</v>
      </c>
      <c r="AX67" s="2">
        <v>80</v>
      </c>
      <c r="AY67">
        <v>370</v>
      </c>
      <c r="AZ67">
        <v>370</v>
      </c>
      <c r="BA67">
        <v>370</v>
      </c>
    </row>
    <row r="68" spans="1:53" x14ac:dyDescent="0.2">
      <c r="AQ68" s="2" t="s">
        <v>55</v>
      </c>
      <c r="AR68" s="2">
        <v>150</v>
      </c>
      <c r="AS68" s="2">
        <v>500</v>
      </c>
      <c r="AT68" s="2">
        <v>140</v>
      </c>
      <c r="AU68" s="2">
        <v>310</v>
      </c>
      <c r="AV68" s="2">
        <v>360</v>
      </c>
      <c r="AW68" s="2">
        <v>360</v>
      </c>
      <c r="AX68" s="2">
        <v>150</v>
      </c>
      <c r="AY68">
        <v>400</v>
      </c>
      <c r="AZ68">
        <v>400</v>
      </c>
      <c r="BA68">
        <v>400</v>
      </c>
    </row>
    <row r="69" spans="1:53" x14ac:dyDescent="0.2">
      <c r="AQ69" s="2" t="s">
        <v>56</v>
      </c>
      <c r="AR69" s="2">
        <v>230</v>
      </c>
      <c r="AS69" s="2">
        <v>550</v>
      </c>
      <c r="AT69" s="2">
        <v>220</v>
      </c>
      <c r="AU69" s="2">
        <v>330</v>
      </c>
      <c r="AV69" s="2">
        <v>380</v>
      </c>
      <c r="AW69" s="2">
        <v>380</v>
      </c>
      <c r="AX69" s="2">
        <v>230</v>
      </c>
      <c r="AY69">
        <v>420</v>
      </c>
      <c r="AZ69">
        <v>420</v>
      </c>
      <c r="BA69">
        <v>420</v>
      </c>
    </row>
    <row r="70" spans="1:53" x14ac:dyDescent="0.2">
      <c r="AQ70" s="2" t="s">
        <v>57</v>
      </c>
      <c r="AR70" s="2">
        <v>250</v>
      </c>
      <c r="AS70" s="2">
        <v>500</v>
      </c>
      <c r="AT70" s="2">
        <v>240</v>
      </c>
      <c r="AU70" s="2">
        <v>340</v>
      </c>
      <c r="AV70" s="2">
        <v>360</v>
      </c>
      <c r="AW70" s="2">
        <v>360</v>
      </c>
      <c r="AX70" s="2">
        <v>250</v>
      </c>
      <c r="AY70">
        <v>390</v>
      </c>
      <c r="AZ70">
        <v>390</v>
      </c>
      <c r="BA70">
        <v>390</v>
      </c>
    </row>
    <row r="71" spans="1:53" x14ac:dyDescent="0.2">
      <c r="AO71" t="s">
        <v>65</v>
      </c>
      <c r="AP71" t="s">
        <v>71</v>
      </c>
      <c r="AQ71" s="2" t="s">
        <v>54</v>
      </c>
      <c r="AR71" s="2">
        <v>220</v>
      </c>
      <c r="AS71" s="2">
        <v>500</v>
      </c>
      <c r="AT71" s="2">
        <v>180</v>
      </c>
      <c r="AU71" s="2">
        <v>300</v>
      </c>
      <c r="AV71" s="2">
        <v>320</v>
      </c>
      <c r="AW71" s="2">
        <v>320</v>
      </c>
      <c r="AX71" s="2">
        <v>210</v>
      </c>
      <c r="AY71" s="2">
        <v>340</v>
      </c>
      <c r="AZ71" s="2">
        <v>340</v>
      </c>
      <c r="BA71" s="2">
        <v>340</v>
      </c>
    </row>
    <row r="72" spans="1:53" x14ac:dyDescent="0.2">
      <c r="AQ72" s="2" t="s">
        <v>55</v>
      </c>
      <c r="AR72" s="2">
        <v>110</v>
      </c>
      <c r="AS72" s="2">
        <v>550</v>
      </c>
      <c r="AT72" s="2">
        <v>90</v>
      </c>
      <c r="AU72" s="2">
        <v>220</v>
      </c>
      <c r="AV72" s="2">
        <v>380</v>
      </c>
      <c r="AW72" s="2">
        <v>380</v>
      </c>
      <c r="AX72" s="2">
        <v>100</v>
      </c>
      <c r="AY72" s="2">
        <v>390</v>
      </c>
      <c r="AZ72" s="2">
        <v>390</v>
      </c>
      <c r="BA72" s="2">
        <v>390</v>
      </c>
    </row>
    <row r="73" spans="1:53" x14ac:dyDescent="0.2">
      <c r="AQ73" s="2" t="s">
        <v>56</v>
      </c>
      <c r="AR73" s="2">
        <v>170</v>
      </c>
      <c r="AS73" s="2">
        <v>600</v>
      </c>
      <c r="AT73" s="2">
        <v>140</v>
      </c>
      <c r="AU73" s="2">
        <v>270</v>
      </c>
      <c r="AV73" s="2">
        <v>390</v>
      </c>
      <c r="AW73" s="2">
        <v>390</v>
      </c>
      <c r="AX73" s="2">
        <v>160</v>
      </c>
      <c r="AY73" s="2">
        <v>430</v>
      </c>
      <c r="AZ73" s="2">
        <v>430</v>
      </c>
      <c r="BA73" s="2">
        <v>430</v>
      </c>
    </row>
    <row r="74" spans="1:53" x14ac:dyDescent="0.2">
      <c r="AQ74" s="2" t="s">
        <v>57</v>
      </c>
      <c r="AR74" s="2">
        <v>200</v>
      </c>
      <c r="AS74" s="2">
        <v>550</v>
      </c>
      <c r="AT74" s="2">
        <v>150</v>
      </c>
      <c r="AU74" s="2">
        <v>280</v>
      </c>
      <c r="AV74" s="2">
        <v>350</v>
      </c>
      <c r="AW74" s="2">
        <v>350</v>
      </c>
      <c r="AX74" s="2">
        <v>190</v>
      </c>
      <c r="AY74" s="2">
        <v>400</v>
      </c>
      <c r="AZ74" s="2">
        <v>400</v>
      </c>
      <c r="BA74" s="2">
        <v>400</v>
      </c>
    </row>
    <row r="75" spans="1:53" x14ac:dyDescent="0.2">
      <c r="AO75" t="s">
        <v>73</v>
      </c>
      <c r="AP75" t="s">
        <v>74</v>
      </c>
      <c r="AQ75" s="2" t="s">
        <v>54</v>
      </c>
      <c r="AR75">
        <v>220</v>
      </c>
      <c r="AS75">
        <v>706</v>
      </c>
      <c r="AT75">
        <v>208</v>
      </c>
      <c r="AU75">
        <v>323</v>
      </c>
      <c r="AV75">
        <v>415</v>
      </c>
      <c r="AW75">
        <v>467</v>
      </c>
      <c r="AX75">
        <v>223</v>
      </c>
      <c r="AY75">
        <v>371</v>
      </c>
      <c r="AZ75">
        <v>493</v>
      </c>
      <c r="BA75">
        <v>585</v>
      </c>
    </row>
    <row r="76" spans="1:53" x14ac:dyDescent="0.2">
      <c r="AQ76" s="2" t="s">
        <v>55</v>
      </c>
      <c r="AR76">
        <v>110</v>
      </c>
      <c r="AS76">
        <v>703</v>
      </c>
      <c r="AT76">
        <v>112</v>
      </c>
      <c r="AU76">
        <v>256</v>
      </c>
      <c r="AV76">
        <v>368</v>
      </c>
      <c r="AW76">
        <v>465</v>
      </c>
      <c r="AX76">
        <v>108</v>
      </c>
      <c r="AY76">
        <v>280</v>
      </c>
      <c r="AZ76">
        <v>421</v>
      </c>
      <c r="BA76">
        <v>543</v>
      </c>
    </row>
    <row r="77" spans="1:53" x14ac:dyDescent="0.2">
      <c r="AQ77" s="2" t="s">
        <v>56</v>
      </c>
      <c r="AR77">
        <v>170</v>
      </c>
      <c r="AS77">
        <v>721</v>
      </c>
      <c r="AT77">
        <v>169</v>
      </c>
      <c r="AU77">
        <v>306</v>
      </c>
      <c r="AV77">
        <v>392</v>
      </c>
      <c r="AW77">
        <v>464</v>
      </c>
      <c r="AX77">
        <v>176</v>
      </c>
      <c r="AY77">
        <v>339</v>
      </c>
      <c r="AZ77">
        <v>470</v>
      </c>
      <c r="BA77">
        <v>580</v>
      </c>
    </row>
    <row r="78" spans="1:53" x14ac:dyDescent="0.2">
      <c r="AQ78" s="2" t="s">
        <v>57</v>
      </c>
      <c r="AR78">
        <v>200</v>
      </c>
      <c r="AS78">
        <v>727</v>
      </c>
      <c r="AT78">
        <v>211</v>
      </c>
      <c r="AU78">
        <v>338</v>
      </c>
      <c r="AV78">
        <v>432</v>
      </c>
      <c r="AW78">
        <v>492</v>
      </c>
      <c r="AX78">
        <v>222</v>
      </c>
      <c r="AY78">
        <v>377</v>
      </c>
      <c r="AZ78">
        <v>498</v>
      </c>
      <c r="BA78">
        <v>590</v>
      </c>
    </row>
    <row r="79" spans="1:53" x14ac:dyDescent="0.2">
      <c r="AO79" t="s">
        <v>73</v>
      </c>
      <c r="AP79" t="s">
        <v>75</v>
      </c>
      <c r="AQ79" s="2" t="s">
        <v>54</v>
      </c>
      <c r="AR79">
        <v>220</v>
      </c>
      <c r="AS79">
        <v>620</v>
      </c>
      <c r="AT79">
        <v>227</v>
      </c>
      <c r="AU79">
        <v>319</v>
      </c>
      <c r="AV79">
        <v>398</v>
      </c>
      <c r="AW79">
        <v>452</v>
      </c>
      <c r="AX79">
        <v>216</v>
      </c>
      <c r="AY79">
        <v>334</v>
      </c>
      <c r="AZ79" t="s">
        <v>72</v>
      </c>
      <c r="BA79" t="s">
        <v>72</v>
      </c>
    </row>
    <row r="80" spans="1:53" x14ac:dyDescent="0.2">
      <c r="AQ80" s="2" t="s">
        <v>55</v>
      </c>
      <c r="AR80">
        <v>110</v>
      </c>
      <c r="AS80">
        <v>650</v>
      </c>
      <c r="AT80">
        <v>108</v>
      </c>
      <c r="AU80">
        <v>262</v>
      </c>
      <c r="AV80">
        <v>346</v>
      </c>
      <c r="AW80">
        <v>430</v>
      </c>
      <c r="AX80">
        <v>111</v>
      </c>
      <c r="AY80">
        <v>236</v>
      </c>
      <c r="AZ80" t="s">
        <v>72</v>
      </c>
      <c r="BA80" t="s">
        <v>72</v>
      </c>
    </row>
    <row r="81" spans="41:53" x14ac:dyDescent="0.2">
      <c r="AQ81" s="2" t="s">
        <v>56</v>
      </c>
      <c r="AR81">
        <v>170</v>
      </c>
      <c r="AS81">
        <v>670</v>
      </c>
      <c r="AT81">
        <v>170</v>
      </c>
      <c r="AU81">
        <v>266</v>
      </c>
      <c r="AV81">
        <v>363</v>
      </c>
      <c r="AW81">
        <v>444</v>
      </c>
      <c r="AX81">
        <v>169</v>
      </c>
      <c r="AY81">
        <v>282</v>
      </c>
      <c r="AZ81" t="s">
        <v>72</v>
      </c>
      <c r="BA81" t="s">
        <v>72</v>
      </c>
    </row>
    <row r="82" spans="41:53" x14ac:dyDescent="0.2">
      <c r="AQ82" s="2" t="s">
        <v>57</v>
      </c>
      <c r="AR82">
        <v>200</v>
      </c>
      <c r="AS82">
        <v>660</v>
      </c>
      <c r="AT82">
        <v>225</v>
      </c>
      <c r="AU82">
        <v>307</v>
      </c>
      <c r="AV82">
        <v>398</v>
      </c>
      <c r="AW82">
        <v>452</v>
      </c>
      <c r="AX82">
        <v>214</v>
      </c>
      <c r="AY82">
        <v>326</v>
      </c>
      <c r="AZ82" t="s">
        <v>72</v>
      </c>
      <c r="BA82" t="s">
        <v>72</v>
      </c>
    </row>
    <row r="83" spans="41:53" x14ac:dyDescent="0.2">
      <c r="AO83" t="s">
        <v>73</v>
      </c>
      <c r="AP83" t="s">
        <v>76</v>
      </c>
      <c r="AQ83" s="2" t="s">
        <v>54</v>
      </c>
      <c r="AR83">
        <v>220</v>
      </c>
      <c r="AS83">
        <v>620</v>
      </c>
      <c r="AT83">
        <v>177</v>
      </c>
      <c r="AU83">
        <v>267</v>
      </c>
      <c r="AV83">
        <v>365</v>
      </c>
      <c r="AW83">
        <v>406</v>
      </c>
      <c r="AX83">
        <v>231</v>
      </c>
      <c r="AY83">
        <v>249</v>
      </c>
      <c r="AZ83">
        <v>324</v>
      </c>
      <c r="BA83" t="s">
        <v>72</v>
      </c>
    </row>
    <row r="84" spans="41:53" x14ac:dyDescent="0.2">
      <c r="AQ84" s="2" t="s">
        <v>55</v>
      </c>
      <c r="AR84">
        <v>110</v>
      </c>
      <c r="AS84">
        <v>650</v>
      </c>
      <c r="AT84">
        <v>102</v>
      </c>
      <c r="AU84">
        <v>203</v>
      </c>
      <c r="AV84">
        <v>299</v>
      </c>
      <c r="AW84">
        <v>380</v>
      </c>
      <c r="AX84">
        <v>102</v>
      </c>
      <c r="AY84">
        <v>218</v>
      </c>
      <c r="AZ84">
        <v>263</v>
      </c>
      <c r="BA84" t="s">
        <v>72</v>
      </c>
    </row>
    <row r="85" spans="41:53" x14ac:dyDescent="0.2">
      <c r="AQ85" s="2" t="s">
        <v>56</v>
      </c>
      <c r="AR85">
        <v>170</v>
      </c>
      <c r="AS85">
        <v>670</v>
      </c>
      <c r="AT85">
        <v>173</v>
      </c>
      <c r="AU85">
        <v>250</v>
      </c>
      <c r="AV85">
        <v>336</v>
      </c>
      <c r="AW85">
        <v>414</v>
      </c>
      <c r="AX85">
        <v>175</v>
      </c>
      <c r="AY85">
        <v>243</v>
      </c>
      <c r="AZ85">
        <v>304</v>
      </c>
      <c r="BA85" t="s">
        <v>72</v>
      </c>
    </row>
    <row r="86" spans="41:53" x14ac:dyDescent="0.2">
      <c r="AQ86" s="2" t="s">
        <v>57</v>
      </c>
      <c r="AR86">
        <v>200</v>
      </c>
      <c r="AS86">
        <v>660</v>
      </c>
      <c r="AT86">
        <v>202</v>
      </c>
      <c r="AU86">
        <v>272</v>
      </c>
      <c r="AV86">
        <v>365</v>
      </c>
      <c r="AW86">
        <v>390</v>
      </c>
      <c r="AX86">
        <v>208</v>
      </c>
      <c r="AY86">
        <v>260</v>
      </c>
      <c r="AZ86">
        <v>337</v>
      </c>
      <c r="BA86" t="s">
        <v>72</v>
      </c>
    </row>
    <row r="87" spans="41:53" x14ac:dyDescent="0.2">
      <c r="AO87" t="s">
        <v>81</v>
      </c>
      <c r="AP87" t="s">
        <v>77</v>
      </c>
      <c r="AQ87" s="2" t="s">
        <v>54</v>
      </c>
      <c r="AR87">
        <v>260</v>
      </c>
      <c r="AS87" s="2">
        <v>705</v>
      </c>
      <c r="AT87" s="2">
        <v>215</v>
      </c>
      <c r="AU87">
        <v>302</v>
      </c>
      <c r="AV87">
        <v>416</v>
      </c>
      <c r="AW87">
        <v>519</v>
      </c>
      <c r="AX87">
        <v>234</v>
      </c>
      <c r="AY87">
        <v>455</v>
      </c>
      <c r="AZ87">
        <v>551</v>
      </c>
      <c r="BA87" s="2">
        <v>660</v>
      </c>
    </row>
    <row r="88" spans="41:53" x14ac:dyDescent="0.2">
      <c r="AQ88" s="2" t="s">
        <v>55</v>
      </c>
      <c r="AR88">
        <v>153</v>
      </c>
      <c r="AS88">
        <v>703</v>
      </c>
      <c r="AT88" s="2">
        <v>118</v>
      </c>
      <c r="AU88">
        <v>277</v>
      </c>
      <c r="AV88">
        <v>397</v>
      </c>
      <c r="AW88">
        <v>483</v>
      </c>
      <c r="AX88">
        <v>111</v>
      </c>
      <c r="AY88">
        <v>304</v>
      </c>
      <c r="AZ88">
        <v>521</v>
      </c>
      <c r="BA88" s="2">
        <v>547</v>
      </c>
    </row>
    <row r="89" spans="41:53" x14ac:dyDescent="0.2">
      <c r="AQ89" s="2" t="s">
        <v>56</v>
      </c>
      <c r="AR89">
        <v>168</v>
      </c>
      <c r="AS89">
        <v>718</v>
      </c>
      <c r="AT89" s="2">
        <v>191</v>
      </c>
      <c r="AU89">
        <v>319</v>
      </c>
      <c r="AV89">
        <v>440</v>
      </c>
      <c r="AW89">
        <v>506</v>
      </c>
      <c r="AX89">
        <v>188</v>
      </c>
      <c r="AY89">
        <v>326</v>
      </c>
      <c r="AZ89">
        <v>520</v>
      </c>
      <c r="BA89" s="2">
        <v>582</v>
      </c>
    </row>
    <row r="90" spans="41:53" x14ac:dyDescent="0.2">
      <c r="AQ90" s="2" t="s">
        <v>57</v>
      </c>
      <c r="AR90">
        <v>235</v>
      </c>
      <c r="AS90">
        <v>722</v>
      </c>
      <c r="AT90" s="2">
        <v>207</v>
      </c>
      <c r="AU90">
        <v>352</v>
      </c>
      <c r="AV90">
        <v>470</v>
      </c>
      <c r="AW90">
        <v>514</v>
      </c>
      <c r="AX90">
        <v>209</v>
      </c>
      <c r="AY90">
        <v>421</v>
      </c>
      <c r="AZ90">
        <v>512</v>
      </c>
      <c r="BA90" s="2">
        <v>605</v>
      </c>
    </row>
    <row r="91" spans="41:53" x14ac:dyDescent="0.2">
      <c r="AO91" t="s">
        <v>81</v>
      </c>
      <c r="AP91" t="s">
        <v>78</v>
      </c>
      <c r="AQ91" s="2" t="s">
        <v>54</v>
      </c>
      <c r="AR91">
        <v>230</v>
      </c>
      <c r="AS91" s="2">
        <v>674</v>
      </c>
      <c r="AT91" s="2">
        <v>217</v>
      </c>
      <c r="AU91">
        <v>344</v>
      </c>
      <c r="AV91">
        <v>357</v>
      </c>
      <c r="AW91">
        <v>467</v>
      </c>
      <c r="AX91">
        <v>242</v>
      </c>
      <c r="AY91">
        <v>370</v>
      </c>
      <c r="AZ91">
        <v>550</v>
      </c>
      <c r="BA91" s="2">
        <v>620</v>
      </c>
    </row>
    <row r="92" spans="41:53" x14ac:dyDescent="0.2">
      <c r="AQ92" s="2" t="s">
        <v>55</v>
      </c>
      <c r="AR92">
        <v>113</v>
      </c>
      <c r="AS92" s="2">
        <v>669</v>
      </c>
      <c r="AT92" s="2">
        <v>113</v>
      </c>
      <c r="AU92">
        <v>283</v>
      </c>
      <c r="AV92">
        <v>361</v>
      </c>
      <c r="AW92">
        <v>477</v>
      </c>
      <c r="AX92">
        <v>120</v>
      </c>
      <c r="AY92">
        <v>273</v>
      </c>
      <c r="AZ92">
        <v>545</v>
      </c>
      <c r="BA92" s="2">
        <v>553</v>
      </c>
    </row>
    <row r="93" spans="41:53" x14ac:dyDescent="0.2">
      <c r="AQ93" s="2" t="s">
        <v>56</v>
      </c>
      <c r="AR93">
        <v>172</v>
      </c>
      <c r="AS93" s="2">
        <v>685</v>
      </c>
      <c r="AT93" s="2">
        <v>172</v>
      </c>
      <c r="AU93">
        <v>309</v>
      </c>
      <c r="AV93">
        <v>376</v>
      </c>
      <c r="AW93">
        <v>471</v>
      </c>
      <c r="AX93">
        <v>238</v>
      </c>
      <c r="AY93">
        <v>329</v>
      </c>
      <c r="AZ93">
        <v>573</v>
      </c>
      <c r="BA93" s="2">
        <v>620</v>
      </c>
    </row>
    <row r="94" spans="41:53" x14ac:dyDescent="0.2">
      <c r="AQ94" s="2" t="s">
        <v>57</v>
      </c>
      <c r="AR94">
        <v>241</v>
      </c>
      <c r="AS94" s="2">
        <v>692</v>
      </c>
      <c r="AT94" s="2">
        <v>208</v>
      </c>
      <c r="AU94">
        <v>344</v>
      </c>
      <c r="AV94">
        <v>364</v>
      </c>
      <c r="AW94">
        <v>484</v>
      </c>
      <c r="AX94">
        <v>260</v>
      </c>
      <c r="AY94">
        <v>350</v>
      </c>
      <c r="AZ94">
        <v>567</v>
      </c>
      <c r="BA94" s="2">
        <v>620</v>
      </c>
    </row>
    <row r="95" spans="41:53" x14ac:dyDescent="0.2">
      <c r="AO95" t="s">
        <v>81</v>
      </c>
      <c r="AP95" t="s">
        <v>79</v>
      </c>
      <c r="AQ95" s="2" t="s">
        <v>54</v>
      </c>
      <c r="AR95">
        <v>236</v>
      </c>
      <c r="AS95" s="2">
        <v>674</v>
      </c>
      <c r="AT95" s="2">
        <v>178</v>
      </c>
      <c r="AU95">
        <v>310</v>
      </c>
      <c r="AV95">
        <v>428</v>
      </c>
      <c r="AW95">
        <v>466</v>
      </c>
      <c r="AX95">
        <v>193</v>
      </c>
      <c r="AY95">
        <v>370</v>
      </c>
      <c r="AZ95">
        <v>519</v>
      </c>
      <c r="BA95" s="2">
        <v>565</v>
      </c>
    </row>
    <row r="96" spans="41:53" x14ac:dyDescent="0.2">
      <c r="AQ96" s="2" t="s">
        <v>55</v>
      </c>
      <c r="AR96">
        <v>120</v>
      </c>
      <c r="AS96" s="2">
        <v>669</v>
      </c>
      <c r="AT96" s="2">
        <v>112</v>
      </c>
      <c r="AU96">
        <v>250</v>
      </c>
      <c r="AV96">
        <v>390</v>
      </c>
      <c r="AW96">
        <v>448</v>
      </c>
      <c r="AX96">
        <v>115</v>
      </c>
      <c r="AY96">
        <v>273</v>
      </c>
      <c r="AZ96">
        <v>433</v>
      </c>
      <c r="BA96" s="2">
        <v>556</v>
      </c>
    </row>
    <row r="97" spans="41:53" x14ac:dyDescent="0.2">
      <c r="AQ97" s="2" t="s">
        <v>56</v>
      </c>
      <c r="AR97">
        <v>125</v>
      </c>
      <c r="AS97" s="2">
        <v>685</v>
      </c>
      <c r="AT97" s="2">
        <v>140</v>
      </c>
      <c r="AU97">
        <v>277</v>
      </c>
      <c r="AV97">
        <v>407</v>
      </c>
      <c r="AW97">
        <v>455</v>
      </c>
      <c r="AX97">
        <v>141</v>
      </c>
      <c r="AY97">
        <v>296</v>
      </c>
      <c r="AZ97">
        <v>445</v>
      </c>
      <c r="BA97" s="2">
        <v>593</v>
      </c>
    </row>
    <row r="98" spans="41:53" x14ac:dyDescent="0.2">
      <c r="AQ98" s="2" t="s">
        <v>57</v>
      </c>
      <c r="AR98" s="2">
        <v>180</v>
      </c>
      <c r="AS98" s="2">
        <v>692</v>
      </c>
      <c r="AT98" s="2">
        <v>183</v>
      </c>
      <c r="AU98">
        <v>316</v>
      </c>
      <c r="AV98">
        <v>438</v>
      </c>
      <c r="AW98">
        <v>468</v>
      </c>
      <c r="AX98">
        <v>189</v>
      </c>
      <c r="AY98">
        <v>354</v>
      </c>
      <c r="AZ98">
        <v>500</v>
      </c>
      <c r="BA98" s="2">
        <v>553</v>
      </c>
    </row>
    <row r="99" spans="41:53" x14ac:dyDescent="0.2">
      <c r="AO99" t="s">
        <v>81</v>
      </c>
      <c r="AP99" t="s">
        <v>80</v>
      </c>
      <c r="AQ99" s="2" t="s">
        <v>54</v>
      </c>
      <c r="AR99" s="2">
        <v>190</v>
      </c>
      <c r="AS99" s="2">
        <v>617</v>
      </c>
      <c r="AT99" s="2">
        <v>174</v>
      </c>
      <c r="AU99">
        <v>265</v>
      </c>
      <c r="AV99">
        <v>371</v>
      </c>
      <c r="AW99">
        <v>415</v>
      </c>
      <c r="AX99">
        <v>170</v>
      </c>
      <c r="AY99">
        <v>272</v>
      </c>
      <c r="AZ99">
        <v>392</v>
      </c>
      <c r="BA99" s="2">
        <v>531</v>
      </c>
    </row>
    <row r="100" spans="41:53" x14ac:dyDescent="0.2">
      <c r="AQ100" s="2" t="s">
        <v>55</v>
      </c>
      <c r="AR100">
        <v>119</v>
      </c>
      <c r="AS100" s="2">
        <v>591</v>
      </c>
      <c r="AT100" s="2">
        <v>140</v>
      </c>
      <c r="AU100">
        <v>205</v>
      </c>
      <c r="AV100">
        <v>310</v>
      </c>
      <c r="AW100">
        <v>405</v>
      </c>
      <c r="AX100">
        <v>133</v>
      </c>
      <c r="AY100">
        <v>218</v>
      </c>
      <c r="AZ100">
        <v>315</v>
      </c>
      <c r="BA100" s="2">
        <v>445</v>
      </c>
    </row>
    <row r="101" spans="41:53" x14ac:dyDescent="0.2">
      <c r="AQ101" s="2" t="s">
        <v>56</v>
      </c>
      <c r="AR101">
        <v>175</v>
      </c>
      <c r="AS101" s="2">
        <v>610</v>
      </c>
      <c r="AT101" s="2">
        <v>163</v>
      </c>
      <c r="AU101">
        <v>232</v>
      </c>
      <c r="AV101">
        <v>351</v>
      </c>
      <c r="AW101">
        <v>427</v>
      </c>
      <c r="AX101">
        <v>146</v>
      </c>
      <c r="AY101">
        <v>242</v>
      </c>
      <c r="AZ101">
        <v>320</v>
      </c>
      <c r="BA101" s="2">
        <v>471</v>
      </c>
    </row>
    <row r="102" spans="41:53" x14ac:dyDescent="0.2">
      <c r="AQ102" s="2" t="s">
        <v>57</v>
      </c>
      <c r="AR102">
        <v>192</v>
      </c>
      <c r="AS102" s="2">
        <v>615</v>
      </c>
      <c r="AT102" s="2">
        <v>162</v>
      </c>
      <c r="AU102">
        <v>255</v>
      </c>
      <c r="AV102">
        <v>364</v>
      </c>
      <c r="AW102">
        <v>420</v>
      </c>
      <c r="AX102">
        <v>157</v>
      </c>
      <c r="AY102">
        <v>261</v>
      </c>
      <c r="AZ102">
        <v>342</v>
      </c>
      <c r="BA102" s="2">
        <v>484</v>
      </c>
    </row>
    <row r="106" spans="41:53" x14ac:dyDescent="0.2">
      <c r="AO106" t="s">
        <v>60</v>
      </c>
      <c r="AR106" s="4" t="s">
        <v>42</v>
      </c>
      <c r="AS106" s="4" t="s">
        <v>43</v>
      </c>
      <c r="AT106" s="4" t="s">
        <v>44</v>
      </c>
      <c r="AU106" s="5" t="s">
        <v>45</v>
      </c>
      <c r="AV106" s="4" t="s">
        <v>46</v>
      </c>
      <c r="AW106" s="4" t="s">
        <v>47</v>
      </c>
      <c r="AX106" s="4" t="s">
        <v>48</v>
      </c>
      <c r="AY106" s="4" t="s">
        <v>49</v>
      </c>
      <c r="AZ106" s="4" t="s">
        <v>50</v>
      </c>
      <c r="BA106" s="4" t="s">
        <v>51</v>
      </c>
    </row>
    <row r="107" spans="41:53" x14ac:dyDescent="0.2">
      <c r="AO107" t="s">
        <v>53</v>
      </c>
      <c r="AQ107" t="s">
        <v>54</v>
      </c>
      <c r="AR107">
        <v>0.5</v>
      </c>
      <c r="AS107">
        <v>0.2</v>
      </c>
      <c r="AT107">
        <v>0.5</v>
      </c>
      <c r="AU107">
        <v>0.4</v>
      </c>
      <c r="AV107">
        <v>0.3</v>
      </c>
      <c r="AW107">
        <v>0.3</v>
      </c>
      <c r="AX107">
        <v>0.5</v>
      </c>
      <c r="AY107">
        <v>0.4</v>
      </c>
      <c r="AZ107">
        <v>0.4</v>
      </c>
      <c r="BA107">
        <v>0.4</v>
      </c>
    </row>
    <row r="108" spans="41:53" x14ac:dyDescent="0.2">
      <c r="AQ108" t="s">
        <v>55</v>
      </c>
      <c r="AR108">
        <v>1</v>
      </c>
      <c r="AS108">
        <v>0.4</v>
      </c>
      <c r="AT108">
        <v>0.9</v>
      </c>
      <c r="AU108">
        <v>0.7</v>
      </c>
      <c r="AV108">
        <v>0.3</v>
      </c>
      <c r="AW108">
        <v>0.3</v>
      </c>
      <c r="AX108">
        <v>0.9</v>
      </c>
      <c r="AY108">
        <v>0.4</v>
      </c>
      <c r="AZ108">
        <v>0.4</v>
      </c>
      <c r="BA108">
        <v>0.4</v>
      </c>
    </row>
    <row r="109" spans="41:53" x14ac:dyDescent="0.2">
      <c r="AQ109" t="s">
        <v>56</v>
      </c>
      <c r="AR109">
        <v>0.8</v>
      </c>
      <c r="AS109">
        <v>0.3</v>
      </c>
      <c r="AT109">
        <v>0.7</v>
      </c>
      <c r="AU109">
        <v>0.3</v>
      </c>
      <c r="AV109">
        <v>0.2</v>
      </c>
      <c r="AW109">
        <v>0.2</v>
      </c>
      <c r="AX109">
        <v>0.7</v>
      </c>
      <c r="AY109">
        <v>0.3</v>
      </c>
      <c r="AZ109">
        <v>0.3</v>
      </c>
      <c r="BA109">
        <v>0.3</v>
      </c>
    </row>
    <row r="110" spans="41:53" x14ac:dyDescent="0.2">
      <c r="AQ110" t="s">
        <v>57</v>
      </c>
      <c r="AR110">
        <v>0.4</v>
      </c>
      <c r="AS110">
        <v>0.1</v>
      </c>
      <c r="AT110">
        <v>0.4</v>
      </c>
      <c r="AU110">
        <v>0.2</v>
      </c>
      <c r="AV110">
        <v>0.1</v>
      </c>
      <c r="AW110">
        <v>0.1</v>
      </c>
      <c r="AX110">
        <v>0.4</v>
      </c>
      <c r="AY110">
        <v>0.1</v>
      </c>
      <c r="AZ110">
        <v>0.1</v>
      </c>
      <c r="BA110">
        <v>0.1</v>
      </c>
    </row>
    <row r="111" spans="41:53" x14ac:dyDescent="0.2">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41:53" x14ac:dyDescent="0.2">
      <c r="AQ112" t="s">
        <v>55</v>
      </c>
      <c r="AR112">
        <v>0.77</v>
      </c>
      <c r="AS112">
        <v>0</v>
      </c>
      <c r="AT112">
        <v>0.66</v>
      </c>
      <c r="AU112">
        <v>0.22</v>
      </c>
      <c r="AV112">
        <v>0</v>
      </c>
      <c r="AW112">
        <v>0</v>
      </c>
      <c r="AX112">
        <v>0.66</v>
      </c>
      <c r="AY112">
        <v>0</v>
      </c>
      <c r="AZ112">
        <v>0</v>
      </c>
      <c r="BA112">
        <v>0</v>
      </c>
    </row>
    <row r="113" spans="41:53" x14ac:dyDescent="0.2">
      <c r="AQ113" t="s">
        <v>56</v>
      </c>
      <c r="AR113">
        <v>0.9</v>
      </c>
      <c r="AS113">
        <v>-1.1000000000000001</v>
      </c>
      <c r="AT113">
        <v>0.7</v>
      </c>
      <c r="AU113">
        <v>0.22</v>
      </c>
      <c r="AV113">
        <v>-0.55000000000000004</v>
      </c>
      <c r="AW113">
        <v>-0.55000000000000004</v>
      </c>
      <c r="AX113">
        <v>0.8</v>
      </c>
      <c r="AY113">
        <v>-0.22</v>
      </c>
      <c r="AZ113">
        <v>-0.22</v>
      </c>
      <c r="BA113">
        <v>-0.22</v>
      </c>
    </row>
    <row r="114" spans="41:53" x14ac:dyDescent="0.2">
      <c r="AQ114" t="s">
        <v>57</v>
      </c>
      <c r="AR114">
        <v>0.88</v>
      </c>
      <c r="AS114">
        <v>0</v>
      </c>
      <c r="AT114">
        <v>0.77</v>
      </c>
      <c r="AU114" s="2">
        <v>0.55000000000000004</v>
      </c>
      <c r="AV114" s="2">
        <v>0</v>
      </c>
      <c r="AW114" s="2">
        <v>0</v>
      </c>
      <c r="AX114" s="2">
        <v>0.82</v>
      </c>
      <c r="AY114" s="2">
        <v>0</v>
      </c>
      <c r="AZ114" s="2">
        <v>0</v>
      </c>
      <c r="BA114" s="2">
        <v>0</v>
      </c>
    </row>
    <row r="115" spans="41:53" x14ac:dyDescent="0.2">
      <c r="AO115" t="s">
        <v>69</v>
      </c>
      <c r="AQ115" t="s">
        <v>54</v>
      </c>
      <c r="AR115">
        <v>1</v>
      </c>
      <c r="AS115">
        <v>0.5</v>
      </c>
      <c r="AT115">
        <v>1</v>
      </c>
      <c r="AU115" s="2">
        <v>1</v>
      </c>
      <c r="AV115" s="2">
        <v>-0.44</v>
      </c>
      <c r="AW115" s="2">
        <v>-0.44</v>
      </c>
      <c r="AX115" s="2">
        <v>1</v>
      </c>
      <c r="AY115" s="2">
        <v>0.5</v>
      </c>
      <c r="AZ115" s="2">
        <v>0.5</v>
      </c>
      <c r="BA115" s="2">
        <v>0.5</v>
      </c>
    </row>
    <row r="116" spans="41:53" x14ac:dyDescent="0.2">
      <c r="AQ116" t="s">
        <v>55</v>
      </c>
      <c r="AR116">
        <v>0.82</v>
      </c>
      <c r="AS116">
        <v>0.55000000000000004</v>
      </c>
      <c r="AT116">
        <v>0.71</v>
      </c>
      <c r="AU116" s="2">
        <v>0.55000000000000004</v>
      </c>
      <c r="AV116" s="2">
        <v>0.99</v>
      </c>
      <c r="AW116" s="2">
        <v>0.99</v>
      </c>
      <c r="AX116" s="2">
        <v>0.77</v>
      </c>
      <c r="AY116" s="2">
        <v>0.5</v>
      </c>
      <c r="AZ116" s="2">
        <v>0.5</v>
      </c>
      <c r="BA116" s="2">
        <v>0.5</v>
      </c>
    </row>
    <row r="117" spans="41:53" x14ac:dyDescent="0.2">
      <c r="AQ117" t="s">
        <v>56</v>
      </c>
      <c r="AR117">
        <v>0.77</v>
      </c>
      <c r="AS117">
        <v>0.5</v>
      </c>
      <c r="AT117">
        <v>0.55000000000000004</v>
      </c>
      <c r="AU117" s="2">
        <v>0.11</v>
      </c>
      <c r="AV117" s="2">
        <v>-0.33</v>
      </c>
      <c r="AW117" s="2">
        <v>-0.33</v>
      </c>
      <c r="AX117" s="2">
        <v>0.6</v>
      </c>
      <c r="AY117" s="2">
        <v>0.33</v>
      </c>
      <c r="AZ117" s="2">
        <v>0.33</v>
      </c>
      <c r="BA117" s="2">
        <v>0.33</v>
      </c>
    </row>
    <row r="118" spans="41:53" x14ac:dyDescent="0.2">
      <c r="AQ118" t="s">
        <v>57</v>
      </c>
      <c r="AR118">
        <v>0.11</v>
      </c>
      <c r="AS118">
        <v>-0.27</v>
      </c>
      <c r="AT118">
        <v>0.11</v>
      </c>
      <c r="AU118" s="2">
        <v>0.22</v>
      </c>
      <c r="AV118" s="2">
        <v>-0.44</v>
      </c>
      <c r="AW118" s="2">
        <v>-0.44</v>
      </c>
      <c r="AX118" s="2">
        <v>0.16</v>
      </c>
      <c r="AY118" s="2">
        <v>-0.22</v>
      </c>
      <c r="AZ118" s="2">
        <v>-0.22</v>
      </c>
      <c r="BA118" s="2">
        <v>-0.22</v>
      </c>
    </row>
    <row r="119" spans="41:53" x14ac:dyDescent="0.2">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41:53" x14ac:dyDescent="0.2">
      <c r="AQ120" t="s">
        <v>55</v>
      </c>
      <c r="AR120">
        <v>0.33</v>
      </c>
      <c r="AS120">
        <v>0.33</v>
      </c>
      <c r="AT120">
        <v>0.22</v>
      </c>
      <c r="AU120" s="2">
        <v>0.33</v>
      </c>
      <c r="AV120" s="2">
        <v>-0.1</v>
      </c>
      <c r="AW120" s="2">
        <v>-0.1</v>
      </c>
      <c r="AX120" s="2">
        <v>0.33</v>
      </c>
      <c r="AY120" s="2">
        <v>0.11</v>
      </c>
      <c r="AZ120" s="2">
        <v>0.11</v>
      </c>
      <c r="BA120" s="2">
        <v>0.11</v>
      </c>
    </row>
    <row r="121" spans="41:53" x14ac:dyDescent="0.2">
      <c r="AQ121" t="s">
        <v>56</v>
      </c>
      <c r="AR121">
        <v>0.5</v>
      </c>
      <c r="AS121">
        <v>0.2</v>
      </c>
      <c r="AT121">
        <v>0.55000000000000004</v>
      </c>
      <c r="AU121" s="2">
        <v>0.44</v>
      </c>
      <c r="AV121" s="2">
        <v>0.2</v>
      </c>
      <c r="AW121" s="2">
        <v>0.2</v>
      </c>
      <c r="AX121" s="2">
        <v>0.55000000000000004</v>
      </c>
      <c r="AY121" s="2">
        <v>0.2</v>
      </c>
      <c r="AZ121" s="2">
        <v>0.2</v>
      </c>
      <c r="BA121" s="2">
        <v>0.2</v>
      </c>
    </row>
    <row r="122" spans="41:53" x14ac:dyDescent="0.2">
      <c r="AQ122" t="s">
        <v>57</v>
      </c>
      <c r="AR122">
        <v>0.55000000000000004</v>
      </c>
      <c r="AS122">
        <v>0.22</v>
      </c>
      <c r="AT122">
        <v>0.49</v>
      </c>
      <c r="AU122" s="2">
        <v>0.22</v>
      </c>
      <c r="AV122" s="2">
        <v>0.22</v>
      </c>
      <c r="AW122" s="2">
        <v>0.22</v>
      </c>
      <c r="AX122" s="2">
        <v>0.49</v>
      </c>
      <c r="AY122" s="2">
        <v>0.33</v>
      </c>
      <c r="AZ122" s="2">
        <v>0.33</v>
      </c>
      <c r="BA122" s="2">
        <v>0.33</v>
      </c>
    </row>
    <row r="123" spans="41:53" x14ac:dyDescent="0.2">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41:53" x14ac:dyDescent="0.2">
      <c r="AQ124" t="s">
        <v>55</v>
      </c>
      <c r="AR124">
        <v>0.44</v>
      </c>
      <c r="AS124">
        <v>-0.22</v>
      </c>
      <c r="AT124">
        <v>0.44</v>
      </c>
      <c r="AU124" s="2">
        <v>0.33</v>
      </c>
      <c r="AV124" s="2">
        <v>-0.22</v>
      </c>
      <c r="AW124" s="2">
        <v>-0.22</v>
      </c>
      <c r="AX124" s="2">
        <v>0.44</v>
      </c>
      <c r="AY124" s="2">
        <v>-0.11</v>
      </c>
      <c r="AZ124" s="2">
        <v>-0.11</v>
      </c>
      <c r="BA124" s="2">
        <v>-0.11</v>
      </c>
    </row>
    <row r="125" spans="41:53" x14ac:dyDescent="0.2">
      <c r="AQ125" t="s">
        <v>56</v>
      </c>
      <c r="AR125">
        <v>0.6</v>
      </c>
      <c r="AS125">
        <v>0</v>
      </c>
      <c r="AT125">
        <v>0.6</v>
      </c>
      <c r="AU125" s="2">
        <v>0.22</v>
      </c>
      <c r="AV125" s="2">
        <v>-0.55000000000000004</v>
      </c>
      <c r="AW125" s="2">
        <v>-0.55000000000000004</v>
      </c>
      <c r="AX125" s="2">
        <v>0.6</v>
      </c>
      <c r="AY125" s="2">
        <v>0</v>
      </c>
      <c r="AZ125" s="2">
        <v>0</v>
      </c>
      <c r="BA125" s="2">
        <v>0</v>
      </c>
    </row>
    <row r="126" spans="41:53" x14ac:dyDescent="0.2">
      <c r="AQ126" t="s">
        <v>57</v>
      </c>
      <c r="AR126">
        <v>0.99</v>
      </c>
      <c r="AS126">
        <v>0.22</v>
      </c>
      <c r="AT126">
        <v>0.77</v>
      </c>
      <c r="AU126" s="2">
        <v>0.11</v>
      </c>
      <c r="AV126" s="2">
        <v>0.11</v>
      </c>
      <c r="AW126" s="2">
        <v>0.11</v>
      </c>
      <c r="AX126" s="2">
        <v>0.77</v>
      </c>
      <c r="AY126" s="2">
        <v>0.44</v>
      </c>
      <c r="AZ126" s="2">
        <v>0.44</v>
      </c>
      <c r="BA126" s="2">
        <v>0.44</v>
      </c>
    </row>
    <row r="127" spans="41:53" x14ac:dyDescent="0.2">
      <c r="AO127" t="s">
        <v>65</v>
      </c>
      <c r="AP127" t="s">
        <v>63</v>
      </c>
      <c r="AQ127" t="s">
        <v>54</v>
      </c>
      <c r="AR127">
        <v>0.7</v>
      </c>
      <c r="AS127">
        <v>-0.55000000000000004</v>
      </c>
      <c r="AT127">
        <v>0.7</v>
      </c>
      <c r="AU127" s="2">
        <v>0.22</v>
      </c>
      <c r="AV127" s="2">
        <v>-0.22</v>
      </c>
      <c r="AW127" s="2">
        <v>-0.22</v>
      </c>
      <c r="AX127" s="2">
        <v>0.7</v>
      </c>
      <c r="AY127" s="2">
        <v>-0.22</v>
      </c>
      <c r="AZ127" s="2">
        <v>-0.22</v>
      </c>
      <c r="BA127" s="2">
        <v>-0.22</v>
      </c>
    </row>
    <row r="128" spans="41:53" x14ac:dyDescent="0.2">
      <c r="AQ128" t="s">
        <v>55</v>
      </c>
      <c r="AR128">
        <v>0.77</v>
      </c>
      <c r="AS128">
        <v>0.55000000000000004</v>
      </c>
      <c r="AT128">
        <v>0.77</v>
      </c>
      <c r="AU128" s="2">
        <v>0.66</v>
      </c>
      <c r="AV128" s="2">
        <v>0.55000000000000004</v>
      </c>
      <c r="AW128" s="2">
        <v>0.55000000000000004</v>
      </c>
      <c r="AX128" s="2">
        <v>0.77</v>
      </c>
      <c r="AY128" s="2">
        <v>0.33</v>
      </c>
      <c r="AZ128" s="2">
        <v>0.33</v>
      </c>
      <c r="BA128" s="2">
        <v>0.33</v>
      </c>
    </row>
    <row r="129" spans="41:53" x14ac:dyDescent="0.2">
      <c r="AQ129" t="s">
        <v>56</v>
      </c>
      <c r="AR129">
        <v>0.88</v>
      </c>
      <c r="AS129">
        <v>0.55000000000000004</v>
      </c>
      <c r="AT129">
        <v>0.88</v>
      </c>
      <c r="AU129" s="2">
        <v>0.22</v>
      </c>
      <c r="AV129" s="2">
        <v>0.22</v>
      </c>
      <c r="AW129" s="2">
        <v>0.22</v>
      </c>
      <c r="AX129" s="2">
        <v>0.88</v>
      </c>
      <c r="AY129" s="2">
        <v>0.22</v>
      </c>
      <c r="AZ129" s="2">
        <v>0.22</v>
      </c>
      <c r="BA129" s="2">
        <v>0.22</v>
      </c>
    </row>
    <row r="130" spans="41:53" x14ac:dyDescent="0.2">
      <c r="AQ130" t="s">
        <v>57</v>
      </c>
      <c r="AR130">
        <v>0.22</v>
      </c>
      <c r="AS130">
        <v>-0.55000000000000004</v>
      </c>
      <c r="AT130">
        <v>0.22</v>
      </c>
      <c r="AU130" s="6">
        <v>0.11</v>
      </c>
      <c r="AV130" s="6">
        <v>-0.22</v>
      </c>
      <c r="AW130" s="6">
        <v>-0.22</v>
      </c>
      <c r="AX130" s="6">
        <v>0.22</v>
      </c>
      <c r="AY130" s="6">
        <v>-0.33</v>
      </c>
      <c r="AZ130" s="6">
        <v>-0.33</v>
      </c>
      <c r="BA130" s="6">
        <v>-0.33</v>
      </c>
    </row>
    <row r="131" spans="41:53" x14ac:dyDescent="0.2">
      <c r="AO131" t="s">
        <v>65</v>
      </c>
      <c r="AP131" t="s">
        <v>71</v>
      </c>
      <c r="AQ131" t="s">
        <v>54</v>
      </c>
      <c r="AR131">
        <v>0.22</v>
      </c>
      <c r="AS131">
        <v>-0.55000000000000004</v>
      </c>
      <c r="AT131">
        <v>0.33</v>
      </c>
      <c r="AU131" s="6">
        <v>0.22</v>
      </c>
      <c r="AV131" s="6">
        <v>-0.33</v>
      </c>
      <c r="AW131" s="6">
        <v>-0.33</v>
      </c>
      <c r="AX131" s="6">
        <v>0.22</v>
      </c>
      <c r="AY131" s="6">
        <v>-0.55000000000000004</v>
      </c>
      <c r="AZ131" s="6">
        <v>-0.55000000000000004</v>
      </c>
      <c r="BA131" s="6">
        <v>-0.55000000000000004</v>
      </c>
    </row>
    <row r="132" spans="41:53" x14ac:dyDescent="0.2">
      <c r="AQ132" t="s">
        <v>55</v>
      </c>
      <c r="AR132">
        <v>0.8</v>
      </c>
      <c r="AS132">
        <v>0.55000000000000004</v>
      </c>
      <c r="AT132">
        <v>0.7</v>
      </c>
      <c r="AU132" s="6">
        <v>0.44</v>
      </c>
      <c r="AV132" s="6">
        <v>0.66</v>
      </c>
      <c r="AW132" s="6">
        <v>0.66</v>
      </c>
      <c r="AX132" s="6">
        <v>0.8</v>
      </c>
      <c r="AY132" s="6">
        <v>0.55000000000000004</v>
      </c>
      <c r="AZ132" s="6">
        <v>0.55000000000000004</v>
      </c>
      <c r="BA132" s="6">
        <v>0.55000000000000004</v>
      </c>
    </row>
    <row r="133" spans="41:53" x14ac:dyDescent="0.2">
      <c r="AQ133" t="s">
        <v>56</v>
      </c>
      <c r="AR133">
        <v>0.66</v>
      </c>
      <c r="AS133">
        <v>0.55000000000000004</v>
      </c>
      <c r="AT133">
        <v>0.55000000000000004</v>
      </c>
      <c r="AU133" s="6">
        <v>0.55000000000000004</v>
      </c>
      <c r="AV133" s="6">
        <v>0.11</v>
      </c>
      <c r="AW133" s="6">
        <v>0.11</v>
      </c>
      <c r="AX133" s="6">
        <v>0.66</v>
      </c>
      <c r="AY133" s="6">
        <v>0.55000000000000004</v>
      </c>
      <c r="AZ133" s="6">
        <v>0.55000000000000004</v>
      </c>
      <c r="BA133" s="6">
        <v>0.55000000000000004</v>
      </c>
    </row>
    <row r="134" spans="41:53" x14ac:dyDescent="0.2">
      <c r="AQ134" t="s">
        <v>57</v>
      </c>
      <c r="AR134">
        <v>0.33</v>
      </c>
      <c r="AS134">
        <v>-0.55000000000000004</v>
      </c>
      <c r="AT134">
        <v>0.11</v>
      </c>
      <c r="AU134" s="6">
        <v>0.11</v>
      </c>
      <c r="AV134" s="6">
        <v>-0.44</v>
      </c>
      <c r="AW134" s="6">
        <v>-0.44</v>
      </c>
      <c r="AX134" s="6">
        <v>0.33</v>
      </c>
      <c r="AY134" s="6">
        <v>-0.55000000000000004</v>
      </c>
      <c r="AZ134" s="6">
        <v>-0.55000000000000004</v>
      </c>
      <c r="BA134" s="6">
        <v>-0.55000000000000004</v>
      </c>
    </row>
    <row r="135" spans="41:53" x14ac:dyDescent="0.2">
      <c r="AO135" t="s">
        <v>73</v>
      </c>
      <c r="AP135" t="s">
        <v>74</v>
      </c>
      <c r="AQ135" t="s">
        <v>54</v>
      </c>
      <c r="AR135">
        <v>0.22</v>
      </c>
      <c r="AS135">
        <v>-0.23</v>
      </c>
      <c r="AT135">
        <v>0.25</v>
      </c>
      <c r="AU135" s="6">
        <v>0.17</v>
      </c>
      <c r="AV135" s="6">
        <v>0.18</v>
      </c>
      <c r="AW135" s="6">
        <v>-0.28000000000000003</v>
      </c>
      <c r="AX135" s="6">
        <v>0.32</v>
      </c>
      <c r="AY135" s="6">
        <v>0.24</v>
      </c>
      <c r="AZ135" s="6">
        <v>0.25</v>
      </c>
      <c r="BA135">
        <v>-0.05</v>
      </c>
    </row>
    <row r="136" spans="41:53" x14ac:dyDescent="0.2">
      <c r="AQ136" t="s">
        <v>55</v>
      </c>
      <c r="AR136">
        <v>0.66</v>
      </c>
      <c r="AS136">
        <v>0.2</v>
      </c>
      <c r="AT136">
        <v>0.62</v>
      </c>
      <c r="AU136" s="6">
        <v>0.54</v>
      </c>
      <c r="AV136" s="6">
        <v>0.38</v>
      </c>
      <c r="AW136" s="6">
        <v>0.27</v>
      </c>
      <c r="AX136" s="6">
        <v>0.75</v>
      </c>
      <c r="AY136" s="6">
        <v>0.64</v>
      </c>
      <c r="AZ136" s="6">
        <v>0.55000000000000004</v>
      </c>
      <c r="BA136">
        <v>0.48</v>
      </c>
    </row>
    <row r="137" spans="41:53" x14ac:dyDescent="0.2">
      <c r="AQ137" t="s">
        <v>56</v>
      </c>
      <c r="AR137">
        <v>0.49</v>
      </c>
      <c r="AS137">
        <v>0.13</v>
      </c>
      <c r="AT137">
        <v>0.54</v>
      </c>
      <c r="AU137" s="6">
        <v>0.45</v>
      </c>
      <c r="AV137" s="6">
        <v>0.35</v>
      </c>
      <c r="AW137" s="6">
        <v>0.15</v>
      </c>
      <c r="AX137" s="6">
        <v>0.63</v>
      </c>
      <c r="AY137" s="6">
        <v>0.54</v>
      </c>
      <c r="AZ137" s="6">
        <v>0.42</v>
      </c>
      <c r="BA137">
        <v>0.26</v>
      </c>
    </row>
    <row r="138" spans="41:53" x14ac:dyDescent="0.2">
      <c r="AQ138" t="s">
        <v>57</v>
      </c>
      <c r="AR138">
        <v>0.27</v>
      </c>
      <c r="AS138">
        <v>-0.8</v>
      </c>
      <c r="AT138">
        <v>0.22</v>
      </c>
      <c r="AU138" s="6">
        <v>0.09</v>
      </c>
      <c r="AV138" s="6">
        <v>0.12</v>
      </c>
      <c r="AW138" s="6">
        <v>0.02</v>
      </c>
      <c r="AX138" s="6">
        <v>0.25</v>
      </c>
      <c r="AY138" s="6">
        <v>0.18</v>
      </c>
      <c r="AZ138" s="6">
        <v>0.12</v>
      </c>
      <c r="BA138">
        <v>0.03</v>
      </c>
    </row>
    <row r="139" spans="41:53" x14ac:dyDescent="0.2">
      <c r="AO139" t="s">
        <v>73</v>
      </c>
      <c r="AP139" t="s">
        <v>75</v>
      </c>
      <c r="AQ139" t="s">
        <v>54</v>
      </c>
      <c r="AR139">
        <v>0.22</v>
      </c>
      <c r="AS139">
        <v>-0.44</v>
      </c>
      <c r="AT139">
        <v>0.2</v>
      </c>
      <c r="AU139" s="6">
        <v>0.21</v>
      </c>
      <c r="AV139" s="6">
        <v>0.18</v>
      </c>
      <c r="AW139" s="6">
        <v>0.01</v>
      </c>
      <c r="AX139" s="6">
        <v>0.12</v>
      </c>
      <c r="AY139" s="6">
        <v>0.09</v>
      </c>
      <c r="AZ139" s="6" t="s">
        <v>72</v>
      </c>
      <c r="BA139" t="s">
        <v>72</v>
      </c>
    </row>
    <row r="140" spans="41:53" x14ac:dyDescent="0.2">
      <c r="AQ140" t="s">
        <v>55</v>
      </c>
      <c r="AR140">
        <v>0.66</v>
      </c>
      <c r="AS140">
        <v>0.22</v>
      </c>
      <c r="AT140">
        <v>0.68</v>
      </c>
      <c r="AU140" s="6">
        <v>0.22</v>
      </c>
      <c r="AV140" s="6">
        <v>0.24</v>
      </c>
      <c r="AW140" s="6">
        <v>0.25</v>
      </c>
      <c r="AX140" s="6">
        <v>0.64</v>
      </c>
      <c r="AY140" s="6">
        <v>0.37</v>
      </c>
      <c r="AZ140" s="6" t="s">
        <v>72</v>
      </c>
      <c r="BA140" t="s">
        <v>72</v>
      </c>
    </row>
    <row r="141" spans="41:53" x14ac:dyDescent="0.2">
      <c r="AQ141" t="s">
        <v>56</v>
      </c>
      <c r="AR141">
        <v>0.49</v>
      </c>
      <c r="AS141">
        <v>0.05</v>
      </c>
      <c r="AT141">
        <v>0.64</v>
      </c>
      <c r="AU141" s="6">
        <v>0.25</v>
      </c>
      <c r="AV141" s="6">
        <v>0.28999999999999998</v>
      </c>
      <c r="AW141" s="6">
        <v>0.12</v>
      </c>
      <c r="AX141" s="6">
        <v>0.56999999999999995</v>
      </c>
      <c r="AY141" s="6">
        <v>0.49</v>
      </c>
      <c r="AZ141" s="6" t="s">
        <v>72</v>
      </c>
      <c r="BA141" t="s">
        <v>72</v>
      </c>
    </row>
    <row r="142" spans="41:53" x14ac:dyDescent="0.2">
      <c r="AQ142" t="s">
        <v>57</v>
      </c>
      <c r="AR142">
        <v>0.27</v>
      </c>
      <c r="AS142">
        <v>-0.27</v>
      </c>
      <c r="AT142">
        <v>0.31</v>
      </c>
      <c r="AU142" s="6">
        <v>0.28999999999999998</v>
      </c>
      <c r="AV142" s="6">
        <v>0.19</v>
      </c>
      <c r="AW142" s="6">
        <v>0.04</v>
      </c>
      <c r="AX142" s="6">
        <v>0.26</v>
      </c>
      <c r="AY142" s="6">
        <v>0.28000000000000003</v>
      </c>
      <c r="AZ142" s="6" t="s">
        <v>72</v>
      </c>
      <c r="BA142" t="s">
        <v>72</v>
      </c>
    </row>
    <row r="143" spans="41:53" x14ac:dyDescent="0.2">
      <c r="AO143" t="s">
        <v>73</v>
      </c>
      <c r="AP143" t="s">
        <v>76</v>
      </c>
      <c r="AQ143" t="s">
        <v>54</v>
      </c>
      <c r="AR143">
        <v>0.22</v>
      </c>
      <c r="AS143">
        <v>-0.44</v>
      </c>
      <c r="AT143">
        <v>0</v>
      </c>
      <c r="AU143" s="6">
        <v>0.15</v>
      </c>
      <c r="AV143" s="6">
        <v>0.08</v>
      </c>
      <c r="AW143" s="6">
        <v>0.17</v>
      </c>
      <c r="AX143" s="6">
        <v>0.06</v>
      </c>
      <c r="AY143" s="6">
        <v>0.02</v>
      </c>
      <c r="AZ143" s="6">
        <v>-0.14000000000000001</v>
      </c>
      <c r="BA143" t="s">
        <v>72</v>
      </c>
    </row>
    <row r="144" spans="41:53" x14ac:dyDescent="0.2">
      <c r="AQ144" t="s">
        <v>55</v>
      </c>
      <c r="AR144">
        <v>0.66</v>
      </c>
      <c r="AS144">
        <v>0.22</v>
      </c>
      <c r="AT144">
        <v>0.79</v>
      </c>
      <c r="AU144" s="6">
        <v>0.4</v>
      </c>
      <c r="AV144" s="6">
        <v>0.38</v>
      </c>
      <c r="AW144" s="6">
        <v>0.27</v>
      </c>
      <c r="AX144" s="6">
        <v>0.8</v>
      </c>
      <c r="AY144" s="6">
        <v>0.16</v>
      </c>
      <c r="AZ144" s="6">
        <v>0.3</v>
      </c>
      <c r="BA144" t="s">
        <v>72</v>
      </c>
    </row>
    <row r="145" spans="41:53" x14ac:dyDescent="0.2">
      <c r="AQ145" t="s">
        <v>56</v>
      </c>
      <c r="AR145">
        <v>0.49</v>
      </c>
      <c r="AS145">
        <v>0.05</v>
      </c>
      <c r="AT145">
        <v>0.55000000000000004</v>
      </c>
      <c r="AU145" s="6">
        <v>0.38</v>
      </c>
      <c r="AV145" s="6">
        <v>0.36</v>
      </c>
      <c r="AW145" s="6">
        <v>0.06</v>
      </c>
      <c r="AX145" s="6">
        <v>0.57999999999999996</v>
      </c>
      <c r="AY145" s="6">
        <v>0.23</v>
      </c>
      <c r="AZ145" s="6">
        <v>0.4</v>
      </c>
      <c r="BA145" t="s">
        <v>72</v>
      </c>
    </row>
    <row r="146" spans="41:53" x14ac:dyDescent="0.2">
      <c r="AQ146" t="s">
        <v>57</v>
      </c>
      <c r="AR146">
        <v>0.27</v>
      </c>
      <c r="AS146">
        <v>-0.27</v>
      </c>
      <c r="AT146">
        <v>0.02</v>
      </c>
      <c r="AU146">
        <v>0.09</v>
      </c>
      <c r="AV146">
        <v>0.16</v>
      </c>
      <c r="AW146">
        <v>-0.04</v>
      </c>
      <c r="AX146">
        <v>0.21</v>
      </c>
      <c r="AY146">
        <v>0.03</v>
      </c>
      <c r="AZ146">
        <v>0.11</v>
      </c>
      <c r="BA146" t="s">
        <v>72</v>
      </c>
    </row>
    <row r="147" spans="41:53" x14ac:dyDescent="0.2">
      <c r="AO147" t="s">
        <v>81</v>
      </c>
      <c r="AP147" t="s">
        <v>77</v>
      </c>
      <c r="AQ147" t="s">
        <v>54</v>
      </c>
      <c r="AR147">
        <v>0.27</v>
      </c>
      <c r="AS147">
        <v>-0.19</v>
      </c>
      <c r="AT147">
        <v>0.38</v>
      </c>
      <c r="AU147" s="7">
        <v>0.25</v>
      </c>
      <c r="AV147">
        <v>7.0000000000000007E-2</v>
      </c>
      <c r="AW147">
        <v>0.05</v>
      </c>
      <c r="AX147">
        <v>0.52</v>
      </c>
      <c r="AY147">
        <v>0.55000000000000004</v>
      </c>
      <c r="AZ147">
        <v>0.19</v>
      </c>
      <c r="BA147">
        <v>0.6</v>
      </c>
    </row>
    <row r="148" spans="41:53" x14ac:dyDescent="0.2">
      <c r="AQ148" t="s">
        <v>55</v>
      </c>
      <c r="AR148">
        <v>0.16</v>
      </c>
      <c r="AS148">
        <v>0.16</v>
      </c>
      <c r="AT148">
        <v>0.8</v>
      </c>
      <c r="AU148">
        <v>0.56999999999999995</v>
      </c>
      <c r="AV148">
        <v>0.76</v>
      </c>
      <c r="AW148">
        <v>0.49</v>
      </c>
      <c r="AX148">
        <v>0.84</v>
      </c>
      <c r="AY148">
        <v>0.51</v>
      </c>
      <c r="AZ148">
        <v>0.36</v>
      </c>
      <c r="BA148">
        <v>0.17</v>
      </c>
    </row>
    <row r="149" spans="41:53" x14ac:dyDescent="0.2">
      <c r="AQ149" t="s">
        <v>56</v>
      </c>
      <c r="AR149">
        <v>0.45</v>
      </c>
      <c r="AS149">
        <v>0.1</v>
      </c>
      <c r="AT149">
        <v>0.49</v>
      </c>
      <c r="AU149" s="6">
        <v>0.41</v>
      </c>
      <c r="AV149">
        <v>0.4</v>
      </c>
      <c r="AW149">
        <v>0.17</v>
      </c>
      <c r="AX149">
        <v>0.54</v>
      </c>
      <c r="AY149">
        <v>0.64</v>
      </c>
      <c r="AZ149">
        <v>-0.05</v>
      </c>
      <c r="BA149">
        <v>0.32</v>
      </c>
    </row>
    <row r="150" spans="41:53" x14ac:dyDescent="0.2">
      <c r="AQ150" t="s">
        <v>57</v>
      </c>
      <c r="AR150">
        <v>0.51</v>
      </c>
      <c r="AS150">
        <v>-7.0000000000000007E-2</v>
      </c>
      <c r="AT150">
        <v>0.13</v>
      </c>
      <c r="AU150" s="6">
        <v>-0.09</v>
      </c>
      <c r="AV150">
        <v>-0.13</v>
      </c>
      <c r="AW150">
        <v>7.0000000000000007E-2</v>
      </c>
      <c r="AX150">
        <v>0.25</v>
      </c>
      <c r="AY150">
        <v>0.71</v>
      </c>
      <c r="AZ150">
        <v>0.17</v>
      </c>
      <c r="BA150">
        <v>0.43</v>
      </c>
    </row>
    <row r="151" spans="41:53" x14ac:dyDescent="0.2">
      <c r="AO151" t="s">
        <v>81</v>
      </c>
      <c r="AP151" t="s">
        <v>78</v>
      </c>
      <c r="AQ151" t="s">
        <v>54</v>
      </c>
      <c r="AR151">
        <v>-0.12</v>
      </c>
      <c r="AS151">
        <v>-0.19</v>
      </c>
      <c r="AT151">
        <v>0.41</v>
      </c>
      <c r="AU151">
        <v>0.09</v>
      </c>
      <c r="AV151">
        <v>0.41</v>
      </c>
      <c r="AW151">
        <v>-0.19</v>
      </c>
      <c r="AX151">
        <v>7.0000000000000007E-2</v>
      </c>
      <c r="AY151">
        <v>1.07</v>
      </c>
      <c r="AZ151">
        <v>-0.08</v>
      </c>
      <c r="BA151">
        <v>0</v>
      </c>
    </row>
    <row r="152" spans="41:53" x14ac:dyDescent="0.2">
      <c r="AQ152" t="s">
        <v>55</v>
      </c>
      <c r="AR152">
        <v>0.65</v>
      </c>
      <c r="AS152">
        <v>0.19</v>
      </c>
      <c r="AT152">
        <v>0.65</v>
      </c>
      <c r="AU152">
        <v>0.51</v>
      </c>
      <c r="AV152">
        <v>0.18</v>
      </c>
      <c r="AW152">
        <v>0.63</v>
      </c>
      <c r="AX152">
        <v>1.3</v>
      </c>
      <c r="AY152">
        <v>0.48</v>
      </c>
      <c r="AZ152">
        <v>1.1200000000000001</v>
      </c>
      <c r="BA152">
        <v>0.38</v>
      </c>
    </row>
    <row r="153" spans="41:53" x14ac:dyDescent="0.2">
      <c r="AQ153" t="s">
        <v>56</v>
      </c>
      <c r="AR153">
        <v>0.7</v>
      </c>
      <c r="AS153">
        <v>0.13</v>
      </c>
      <c r="AT153">
        <v>0.52</v>
      </c>
      <c r="AU153">
        <v>0.34</v>
      </c>
      <c r="AV153">
        <v>0.02</v>
      </c>
      <c r="AW153">
        <v>0.04</v>
      </c>
      <c r="AX153">
        <v>0.77</v>
      </c>
      <c r="AY153">
        <v>0.42</v>
      </c>
      <c r="AZ153">
        <v>0.12</v>
      </c>
      <c r="BA153">
        <v>0.74</v>
      </c>
    </row>
    <row r="154" spans="41:53" x14ac:dyDescent="0.2">
      <c r="AQ154" t="s">
        <v>57</v>
      </c>
      <c r="AR154">
        <v>0.32</v>
      </c>
      <c r="AS154">
        <v>-0.06</v>
      </c>
      <c r="AT154">
        <v>0.25</v>
      </c>
      <c r="AU154">
        <v>0.19</v>
      </c>
      <c r="AV154">
        <v>-0.1</v>
      </c>
      <c r="AW154">
        <v>-0.02</v>
      </c>
      <c r="AX154">
        <v>0.02</v>
      </c>
      <c r="AY154">
        <v>0.23</v>
      </c>
      <c r="AZ154">
        <v>-0.13</v>
      </c>
      <c r="BA154">
        <v>0</v>
      </c>
    </row>
    <row r="155" spans="41:53" x14ac:dyDescent="0.2">
      <c r="AO155" t="s">
        <v>81</v>
      </c>
      <c r="AP155" t="s">
        <v>79</v>
      </c>
      <c r="AQ155" t="s">
        <v>54</v>
      </c>
      <c r="AR155">
        <v>0.62</v>
      </c>
      <c r="AS155">
        <v>-0.19</v>
      </c>
      <c r="AT155">
        <v>0.37</v>
      </c>
      <c r="AU155">
        <v>0.41</v>
      </c>
      <c r="AV155">
        <v>0.06</v>
      </c>
      <c r="AW155">
        <v>-0.02</v>
      </c>
      <c r="AX155">
        <v>0.47</v>
      </c>
      <c r="AY155">
        <v>0.44</v>
      </c>
      <c r="AZ155">
        <v>0.3</v>
      </c>
      <c r="BA155">
        <v>0.13</v>
      </c>
    </row>
    <row r="156" spans="41:53" x14ac:dyDescent="0.2">
      <c r="AQ156" t="s">
        <v>55</v>
      </c>
      <c r="AR156">
        <v>0.05</v>
      </c>
      <c r="AS156">
        <v>0.19</v>
      </c>
      <c r="AT156">
        <v>0.31</v>
      </c>
      <c r="AU156">
        <v>0.54</v>
      </c>
      <c r="AV156">
        <v>0.53</v>
      </c>
      <c r="AW156">
        <v>0.15</v>
      </c>
      <c r="AX156">
        <v>0.28000000000000003</v>
      </c>
      <c r="AY156">
        <v>0.56999999999999995</v>
      </c>
      <c r="AZ156">
        <v>0.42</v>
      </c>
      <c r="BA156">
        <v>0.4</v>
      </c>
    </row>
    <row r="157" spans="41:53" x14ac:dyDescent="0.2">
      <c r="AQ157" t="s">
        <v>56</v>
      </c>
      <c r="AR157">
        <v>0.33</v>
      </c>
      <c r="AS157">
        <v>0.13</v>
      </c>
      <c r="AT157">
        <v>0.39</v>
      </c>
      <c r="AU157">
        <v>0.36</v>
      </c>
      <c r="AV157">
        <v>0.26</v>
      </c>
      <c r="AW157">
        <v>0.11</v>
      </c>
      <c r="AX157">
        <v>0.4</v>
      </c>
      <c r="AY157">
        <v>0.44</v>
      </c>
      <c r="AZ157">
        <v>0.37</v>
      </c>
      <c r="BA157">
        <v>-0.01</v>
      </c>
    </row>
    <row r="158" spans="41:53" x14ac:dyDescent="0.2">
      <c r="AQ158" t="s">
        <v>57</v>
      </c>
      <c r="AR158">
        <v>0.61</v>
      </c>
      <c r="AS158">
        <v>-0.06</v>
      </c>
      <c r="AT158">
        <v>0.21</v>
      </c>
      <c r="AU158">
        <v>0.18</v>
      </c>
      <c r="AV158">
        <v>0.12</v>
      </c>
      <c r="AW158">
        <v>0.06</v>
      </c>
      <c r="AX158">
        <v>0.28999999999999998</v>
      </c>
      <c r="AY158">
        <v>0.41</v>
      </c>
      <c r="AZ158">
        <v>0.41</v>
      </c>
      <c r="BA158">
        <v>-0.15</v>
      </c>
    </row>
    <row r="159" spans="41:53" x14ac:dyDescent="0.2">
      <c r="AO159" t="s">
        <v>81</v>
      </c>
      <c r="AP159" t="s">
        <v>80</v>
      </c>
      <c r="AQ159" t="s">
        <v>54</v>
      </c>
      <c r="AR159">
        <v>-0.2</v>
      </c>
      <c r="AS159">
        <v>0.02</v>
      </c>
      <c r="AT159">
        <v>0.24</v>
      </c>
      <c r="AU159">
        <v>0.3</v>
      </c>
      <c r="AV159">
        <v>0.23</v>
      </c>
      <c r="AW159">
        <v>-0.05</v>
      </c>
      <c r="AX159">
        <v>0.34</v>
      </c>
      <c r="AY159">
        <v>0.3</v>
      </c>
      <c r="AZ159">
        <v>0.56999999999999995</v>
      </c>
      <c r="BA159">
        <v>0.52</v>
      </c>
    </row>
    <row r="160" spans="41:53" x14ac:dyDescent="0.2">
      <c r="AQ160" t="s">
        <v>55</v>
      </c>
      <c r="AR160">
        <v>0.62</v>
      </c>
      <c r="AS160">
        <v>0.21</v>
      </c>
      <c r="AT160">
        <v>0.25</v>
      </c>
      <c r="AU160">
        <v>0.32</v>
      </c>
      <c r="AV160">
        <v>0.47</v>
      </c>
      <c r="AW160">
        <v>0.31</v>
      </c>
      <c r="AX160">
        <v>0.14000000000000001</v>
      </c>
      <c r="AY160">
        <v>0.4</v>
      </c>
      <c r="AZ160">
        <v>0.26</v>
      </c>
      <c r="BA160">
        <v>0.43</v>
      </c>
    </row>
    <row r="161" spans="43:53" x14ac:dyDescent="0.2">
      <c r="AQ161" t="s">
        <v>56</v>
      </c>
      <c r="AR161">
        <v>0.4</v>
      </c>
      <c r="AS161">
        <v>0.13</v>
      </c>
      <c r="AT161">
        <v>0.12</v>
      </c>
      <c r="AU161">
        <v>0.27</v>
      </c>
      <c r="AV161">
        <v>0.3</v>
      </c>
      <c r="AW161">
        <v>0.08</v>
      </c>
      <c r="AX161">
        <v>0.13</v>
      </c>
      <c r="AY161">
        <v>0.24</v>
      </c>
      <c r="AZ161">
        <v>0.15</v>
      </c>
      <c r="BA161">
        <v>0.21</v>
      </c>
    </row>
    <row r="162" spans="43:53" x14ac:dyDescent="0.2">
      <c r="AQ162" t="s">
        <v>57</v>
      </c>
      <c r="AR162">
        <v>0.08</v>
      </c>
      <c r="AS162">
        <v>0.04</v>
      </c>
      <c r="AT162">
        <v>0.06</v>
      </c>
      <c r="AU162">
        <v>0.18</v>
      </c>
      <c r="AV162">
        <v>0.11</v>
      </c>
      <c r="AW162">
        <v>-7.0000000000000007E-2</v>
      </c>
      <c r="AX162">
        <v>0.13</v>
      </c>
      <c r="AY162">
        <v>0.16</v>
      </c>
      <c r="AZ162">
        <v>0.4</v>
      </c>
      <c r="BA162">
        <v>0.33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4.2.1 methane</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Eddie Sholl</dc:creator>
  <cp:lastModifiedBy>Eddie Sholl</cp:lastModifiedBy>
  <dcterms:created xsi:type="dcterms:W3CDTF">2026-02-18T00:55:42Z</dcterms:created>
  <dcterms:modified xsi:type="dcterms:W3CDTF">2026-04-02T03:39:50Z</dcterms:modified>
</cp:coreProperties>
</file>