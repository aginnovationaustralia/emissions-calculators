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5.6.1.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<sst xmlns="http://schemas.openxmlformats.org/spreadsheetml/2006/main" count="22" uniqueCount="13">
  <si>
    <t xml:space="preserve">Method 1</t>
  </si>
  <si>
    <t xml:space="preserve">𝐸 = Σ [(𝑀𝑎 × 𝐹𝑟𝑎𝑐𝐿𝑖𝑚𝑒 × 𝐸𝐹𝑙𝑖𝑚𝑒) + (𝑀𝑎 × (1 − 𝐹𝑟𝑎𝑐𝐿𝑖𝑚𝑒) × 𝐸𝐹𝑑𝑜𝑙)]  (Gypsum: 𝑀𝑎 × 𝐸𝐹𝑔𝑦𝑝)</t>
  </si>
  <si>
    <t xml:space="preserve">Method 2: 𝐸 = 𝑀𝑎 × 𝐸𝐹custom (custom EF applies to whole product)</t>
  </si>
  <si>
    <t xml:space="preserve">Total quantity of soil ameliorant in kg</t>
  </si>
  <si>
    <t xml:space="preserve">M</t>
  </si>
  <si>
    <t xml:space="preserve">FracLime</t>
  </si>
  <si>
    <t xml:space="preserve">Type</t>
  </si>
  <si>
    <t xml:space="preserve">EF custom</t>
  </si>
  <si>
    <t xml:space="preserve">E</t>
  </si>
  <si>
    <t xml:space="preserve">EFa</t>
  </si>
  <si>
    <t xml:space="preserve">Limestone</t>
  </si>
  <si>
    <t xml:space="preserve">Dolomite</t>
  </si>
  <si>
    <t xml:space="preserve">Gypsum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</si>
</sst>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000"/>
    <numFmt numFmtId="167" formatCode="0.00"/>
  </numFmts>
  <fonts count="10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ptos Narrow"/>
      <family val="0"/>
      <charset val="1"/>
    </font>
    <font>
      <sz val="11"/>
      <color rgb="FF000000"/>
      <name val="Arial"/>
      <family val="2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rial"/>
      <family val="2"/>
      <charset val="1"/>
    </font>
    <font>
      <sz val="12"/>
      <name val="Menlo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"/>
        <bgColor rgb="FFCCFFFF"/>
      </patternFill>
    </fill>
    <fill>
      <patternFill patternType="solid">
        <fgColor theme="5" tint="0.599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6C6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0.69140625" defaultRowHeight="15.75" customHeight="false" zeroHeight="false" outlineLevelRow="0" outlineLevelCol="0"/>
  <cols>
    <col collapsed="false" customWidth="true" hidden="false" outlineLevel="0" max="1" min="1" style="0" width="17.51"/>
    <col collapsed="false" customWidth="true" hidden="false" outlineLevel="0" max="2" min="2" style="0" width="7.66"/>
    <col collapsed="false" customWidth="true" hidden="false" outlineLevel="0" max="4" min="4" style="0" width="15.33"/>
    <col collapsed="false" customWidth="true" hidden="false" outlineLevel="0" max="5" min="5" style="0" width="24.84"/>
    <col collapsed="false" customWidth="true" hidden="false" outlineLevel="0" max="6" min="6" style="0" width="10.16"/>
    <col collapsed="false" customWidth="true" hidden="false" outlineLevel="0" max="7" min="7" style="0" width="37.51"/>
    <col collapsed="false" customWidth="true" hidden="false" outlineLevel="0" max="8" min="8" style="0" width="30.83"/>
    <col collapsed="false" customWidth="true" hidden="false" outlineLevel="0" max="9" min="9" style="0" width="17.83"/>
    <col collapsed="false" customWidth="true" hidden="false" outlineLevel="0" max="10" min="10" style="0" width="14.83"/>
    <col collapsed="false" customWidth="true" hidden="false" outlineLevel="0" max="11" min="11" style="0" width="18.33"/>
    <col collapsed="false" customWidth="true" hidden="false" outlineLevel="0" max="12" min="12" style="0" width="17.66"/>
    <col collapsed="false" customWidth="true" hidden="false" outlineLevel="0" max="13" min="13" style="0" width="17"/>
    <col collapsed="false" customWidth="true" hidden="false" outlineLevel="0" max="14" min="14" style="0" width="16.5"/>
  </cols>
  <sheetData>
    <row r="1" customFormat="false" ht="15.75" hidden="false" customHeight="false" outlineLevel="0" collapsed="false">
      <c r="A1" s="1" t="s">
        <v>0</v>
      </c>
      <c r="D1" s="2"/>
      <c r="E1" s="0" t="s">
        <v>1</v>
      </c>
    </row>
    <row r="2" customFormat="false" ht="49.5" hidden="false" customHeight="true" outlineLevel="0" collapsed="false">
      <c r="E2" s="3" t="s">
        <v>2</v>
      </c>
    </row>
    <row r="3" customFormat="false" ht="15.75" hidden="false" customHeight="false" outlineLevel="0" collapsed="false">
      <c r="A3" s="2" t="s">
        <v>3</v>
      </c>
      <c r="B3" s="4"/>
      <c r="C3" s="4"/>
      <c r="D3" s="2"/>
      <c r="F3" s="2"/>
      <c r="H3" s="2"/>
    </row>
    <row r="4" customFormat="false" ht="15.75" hidden="false" customHeight="false" outlineLevel="0" collapsed="false">
      <c r="A4" s="5" t="s">
        <v>4</v>
      </c>
      <c r="B4" s="6" t="s">
        <v>5</v>
      </c>
      <c r="C4" s="6" t="s">
        <v>6</v>
      </c>
      <c r="D4" s="7" t="s">
        <v>7</v>
      </c>
      <c r="E4" s="0" t="s">
        <v>8</v>
      </c>
      <c r="G4" s="0" t="s">
        <v>6</v>
      </c>
      <c r="H4" s="0" t="s">
        <v>9</v>
      </c>
      <c r="I4" s="8"/>
    </row>
    <row r="5" customFormat="false" ht="15.75" hidden="false" customHeight="false" outlineLevel="0" collapsed="false">
      <c r="A5" s="0" t="n">
        <v>1000</v>
      </c>
      <c r="B5" s="0" t="n">
        <v>1</v>
      </c>
      <c r="C5" s="9" t="s">
        <v>10</v>
      </c>
      <c r="D5" s="9"/>
      <c r="E5" s="9" t="n">
        <f aca="false">IF(ISBLANK(A5),"",IF(C5="Gypsum",A5*VLOOKUP(C5,$G$5:$H$7,2,FALSE()),A5*B5*$H$5+A5*(1-B5)*$H$6)/1000)</f>
        <v>0.0485</v>
      </c>
      <c r="F5" s="9"/>
      <c r="G5" s="0" t="s">
        <v>10</v>
      </c>
      <c r="H5" s="0" t="n">
        <v>0.0485</v>
      </c>
    </row>
    <row r="6" customFormat="false" ht="15.75" hidden="false" customHeight="false" outlineLevel="0" collapsed="false">
      <c r="A6" s="0" t="n">
        <v>1100</v>
      </c>
      <c r="B6" s="0" t="n">
        <v>0</v>
      </c>
      <c r="C6" s="9" t="s">
        <v>11</v>
      </c>
      <c r="D6" s="9"/>
      <c r="E6" s="9" t="n">
        <f aca="false">IF(ISBLANK(A6),"",IF(C6="Gypsum",A6*VLOOKUP(C6,$G$5:$H$7,2,FALSE()),A6*B6*$H$5+A6*(1-B6)*$H$6)/1000)</f>
        <v>0.07172</v>
      </c>
      <c r="F6" s="9"/>
      <c r="G6" s="0" t="s">
        <v>11</v>
      </c>
      <c r="H6" s="0" t="n">
        <v>0.0652</v>
      </c>
    </row>
    <row r="7" customFormat="false" ht="15.75" hidden="false" customHeight="false" outlineLevel="0" collapsed="false">
      <c r="A7" s="0" t="n">
        <v>1200</v>
      </c>
      <c r="C7" s="9" t="s">
        <v>12</v>
      </c>
      <c r="D7" s="9"/>
      <c r="E7" s="9" t="n">
        <f aca="false">IF(ISBLANK(A7),"",IF(C7="Gypsum",A7*VLOOKUP(C7,$G$5:$H$7,2,FALSE()),A7*B7*$H$5+A7*(1-B7)*$H$6)/1000)</f>
        <v>0.07824</v>
      </c>
      <c r="F7" s="9"/>
      <c r="G7" s="0" t="s">
        <v>12</v>
      </c>
      <c r="H7" s="0" t="n">
        <v>0.0652</v>
      </c>
    </row>
    <row r="8" customFormat="false" ht="15.75" hidden="false" customHeight="false" outlineLevel="0" collapsed="false">
      <c r="A8" s="0" t="n">
        <v>1300</v>
      </c>
      <c r="B8" s="0" t="n">
        <v>0.6</v>
      </c>
      <c r="C8" s="9" t="s">
        <v>10</v>
      </c>
      <c r="D8" s="9"/>
      <c r="E8" s="9" t="n">
        <f aca="false">IF(ISBLANK(A8),"",IF(C8="Gypsum",A8*VLOOKUP(C8,$G$5:$H$7,2,FALSE()),A8*B8*$H$5+A8*(1-B8)*$H$6)/1000)</f>
        <v>0.071734</v>
      </c>
      <c r="F8" s="9"/>
    </row>
    <row r="9" customFormat="false" ht="15.75" hidden="false" customHeight="false" outlineLevel="0" collapsed="false">
      <c r="A9" s="0" t="n">
        <v>1400</v>
      </c>
      <c r="B9" s="0" t="n">
        <v>0.25</v>
      </c>
      <c r="C9" s="9" t="s">
        <v>11</v>
      </c>
      <c r="D9" s="9"/>
      <c r="E9" s="9" t="n">
        <f aca="false">IF(ISBLANK(A9),"",IF(C9="Gypsum",A9*VLOOKUP(C9,$G$5:$H$7,2,FALSE()),A9*B9*$H$5+A9*(1-B9)*$H$6)/1000)</f>
        <v>0.085435</v>
      </c>
    </row>
    <row r="10" customFormat="false" ht="15.75" hidden="false" customHeight="false" outlineLevel="0" collapsed="false">
      <c r="C10" s="9"/>
      <c r="D10" s="9"/>
      <c r="E10" s="9"/>
    </row>
    <row r="11" customFormat="false" ht="15.75" hidden="false" customHeight="false" outlineLevel="0" collapsed="false">
      <c r="A11" s="0" t="n">
        <v>750</v>
      </c>
      <c r="B11" s="0" t="n">
        <v>0.3</v>
      </c>
      <c r="C11" s="9" t="s">
        <v>10</v>
      </c>
      <c r="D11" s="9" t="n">
        <v>0.2</v>
      </c>
      <c r="E11" s="9" t="n">
        <f aca="false">IF(ISBLANK(A11),"",A11*D11/1000)</f>
        <v>0.15</v>
      </c>
    </row>
    <row r="12" customFormat="false" ht="15.75" hidden="false" customHeight="false" outlineLevel="0" collapsed="false">
      <c r="A12" s="0" t="n">
        <v>850</v>
      </c>
      <c r="B12" s="0" t="n">
        <v>0.8</v>
      </c>
      <c r="C12" s="9" t="s">
        <v>11</v>
      </c>
      <c r="D12" s="9" t="n">
        <v>0.5</v>
      </c>
      <c r="E12" s="9" t="n">
        <f aca="false">IF(ISBLANK(A12),"",A12*D12/1000)</f>
        <v>0.425</v>
      </c>
    </row>
    <row r="13" customFormat="false" ht="15.75" hidden="false" customHeight="false" outlineLevel="0" collapsed="false">
      <c r="A13" s="0" t="n">
        <v>950</v>
      </c>
      <c r="C13" s="9" t="s">
        <v>12</v>
      </c>
      <c r="D13" s="9" t="n">
        <v>1</v>
      </c>
      <c r="E13" s="9" t="n">
        <f aca="false">IF(ISBLANK(A13),"",A13*D13/1000)</f>
        <v>0.95</v>
      </c>
      <c r="F13" s="9"/>
    </row>
    <row r="14" customFormat="false" ht="15.75" hidden="false" customHeight="false" outlineLevel="0" collapsed="false">
      <c r="C14" s="9"/>
      <c r="D14" s="9"/>
      <c r="E14" s="9"/>
      <c r="F14" s="9"/>
    </row>
    <row r="15" customFormat="false" ht="15.75" hidden="false" customHeight="false" outlineLevel="0" collapsed="false">
      <c r="C15" s="9"/>
      <c r="D15" s="9"/>
      <c r="E15" s="9"/>
      <c r="F15" s="9"/>
    </row>
    <row r="16" customFormat="false" ht="15.75" hidden="false" customHeight="false" outlineLevel="0" collapsed="false">
      <c r="C16" s="9"/>
      <c r="D16" s="9"/>
      <c r="E16" s="9"/>
      <c r="F16" s="9"/>
    </row>
    <row r="17" customFormat="false" ht="15.75" hidden="false" customHeight="false" outlineLevel="0" collapsed="false">
      <c r="C17" s="9"/>
      <c r="D17" s="9"/>
      <c r="E17" s="9"/>
      <c r="F17" s="9"/>
    </row>
    <row r="18" customFormat="false" ht="15.75" hidden="false" customHeight="false" outlineLevel="0" collapsed="false">
      <c r="C18" s="9"/>
      <c r="D18" s="9"/>
      <c r="E18" s="9"/>
      <c r="F18" s="9"/>
    </row>
    <row r="19" customFormat="false" ht="15.75" hidden="false" customHeight="false" outlineLevel="0" collapsed="false">
      <c r="C19" s="9"/>
      <c r="D19" s="9"/>
      <c r="E19" s="9"/>
      <c r="F19" s="9"/>
      <c r="G19" s="10"/>
      <c r="H19" s="10"/>
      <c r="I19" s="4"/>
      <c r="J19" s="4"/>
      <c r="K19" s="4"/>
      <c r="N19" s="4"/>
    </row>
    <row r="20" customFormat="false" ht="15.75" hidden="false" customHeight="false" outlineLevel="0" collapsed="false">
      <c r="C20" s="9"/>
      <c r="D20" s="9"/>
      <c r="E20" s="9"/>
      <c r="F20" s="9"/>
      <c r="G20" s="10"/>
      <c r="H20" s="10"/>
    </row>
    <row r="21" customFormat="false" ht="15.75" hidden="false" customHeight="false" outlineLevel="0" collapsed="false">
      <c r="C21" s="9"/>
      <c r="D21" s="9"/>
      <c r="E21" s="9"/>
      <c r="F21" s="9"/>
      <c r="G21" s="10"/>
      <c r="H21" s="10"/>
    </row>
    <row r="22" customFormat="false" ht="15.75" hidden="false" customHeight="false" outlineLevel="0" collapsed="false">
      <c r="C22" s="9"/>
      <c r="D22" s="9"/>
      <c r="E22" s="9"/>
      <c r="G22" s="10"/>
      <c r="H22" s="10"/>
    </row>
    <row r="23" customFormat="false" ht="15.75" hidden="false" customHeight="false" outlineLevel="0" collapsed="false">
      <c r="B23" s="9"/>
      <c r="C23" s="9"/>
      <c r="D23" s="9"/>
      <c r="E23" s="9"/>
      <c r="G23" s="10"/>
      <c r="H23" s="10"/>
    </row>
    <row r="24" customFormat="false" ht="15.75" hidden="false" customHeight="false" outlineLevel="0" collapsed="false">
      <c r="G24" s="10"/>
      <c r="H24" s="10"/>
    </row>
    <row r="25" customFormat="false" ht="15.75" hidden="false" customHeight="false" outlineLevel="0" collapsed="false">
      <c r="F25" s="9"/>
      <c r="G25" s="11"/>
    </row>
    <row r="26" customFormat="false" ht="15.75" hidden="false" customHeight="false" outlineLevel="0" collapsed="false">
      <c r="F26" s="9"/>
      <c r="G26" s="11"/>
    </row>
    <row r="27" customFormat="false" ht="15.75" hidden="false" customHeight="false" outlineLevel="0" collapsed="false">
      <c r="F27" s="9"/>
      <c r="G27" s="11"/>
    </row>
    <row r="28" customFormat="false" ht="15.75" hidden="false" customHeight="false" outlineLevel="0" collapsed="false">
      <c r="F28" s="9"/>
      <c r="G28" s="11"/>
    </row>
    <row r="29" customFormat="false" ht="15.75" hidden="false" customHeight="false" outlineLevel="0" collapsed="false">
      <c r="F29" s="9"/>
      <c r="G29" s="11"/>
    </row>
    <row r="30" customFormat="false" ht="15.75" hidden="false" customHeight="false" outlineLevel="0" collapsed="false">
      <c r="F30" s="9"/>
    </row>
    <row r="31" customFormat="false" ht="15.75" hidden="false" customHeight="false" outlineLevel="0" collapsed="false">
      <c r="F31" s="9"/>
    </row>
    <row r="32" customFormat="false" ht="15.75" hidden="false" customHeight="false" outlineLevel="0" collapsed="false">
      <c r="B32" s="9"/>
      <c r="C32" s="9"/>
      <c r="D32" s="9"/>
      <c r="E32" s="9"/>
      <c r="F32" s="9"/>
      <c r="I32" s="10"/>
      <c r="J32" s="10"/>
    </row>
    <row r="33" customFormat="false" ht="15.75" hidden="false" customHeight="false" outlineLevel="0" collapsed="false">
      <c r="B33" s="9"/>
      <c r="C33" s="9"/>
      <c r="D33" s="9"/>
      <c r="E33" s="9"/>
      <c r="F33" s="9"/>
      <c r="I33" s="10"/>
      <c r="J33" s="10"/>
    </row>
    <row r="34" customFormat="false" ht="15.75" hidden="false" customHeight="false" outlineLevel="0" collapsed="false">
      <c r="B34" s="9"/>
      <c r="C34" s="9"/>
      <c r="D34" s="9"/>
      <c r="E34" s="9"/>
      <c r="F34" s="9"/>
    </row>
    <row r="35" customFormat="false" ht="15.75" hidden="false" customHeight="false" outlineLevel="0" collapsed="false">
      <c r="B35" s="9"/>
      <c r="C35" s="9"/>
      <c r="D35" s="9"/>
      <c r="E35" s="9"/>
      <c r="F35" s="9"/>
      <c r="I35" s="10"/>
      <c r="J35" s="10"/>
      <c r="K35" s="12"/>
    </row>
    <row r="36" customFormat="false" ht="15.75" hidden="false" customHeight="false" outlineLevel="0" collapsed="false">
      <c r="B36" s="9"/>
      <c r="C36" s="9"/>
      <c r="D36" s="9"/>
      <c r="E36" s="9"/>
      <c r="F36" s="9"/>
      <c r="G36" s="4"/>
      <c r="H36" s="4"/>
      <c r="I36" s="13"/>
      <c r="K36" s="13"/>
      <c r="L36" s="14"/>
      <c r="M36" s="4"/>
      <c r="N36" s="4"/>
      <c r="O36" s="4"/>
    </row>
    <row r="37" customFormat="false" ht="15.75" hidden="false" customHeight="false" outlineLevel="0" collapsed="false">
      <c r="B37" s="9"/>
      <c r="C37" s="9"/>
      <c r="D37" s="9"/>
      <c r="E37" s="9"/>
      <c r="F37" s="9"/>
      <c r="I37" s="10"/>
      <c r="K37" s="10"/>
      <c r="L37" s="12"/>
    </row>
    <row r="38" customFormat="false" ht="15.75" hidden="false" customHeight="false" outlineLevel="0" collapsed="false">
      <c r="B38" s="9"/>
      <c r="C38" s="9"/>
      <c r="D38" s="9"/>
      <c r="E38" s="9"/>
      <c r="F38" s="9"/>
    </row>
    <row r="39" customFormat="false" ht="15.75" hidden="false" customHeight="false" outlineLevel="0" collapsed="false">
      <c r="B39" s="9"/>
      <c r="C39" s="9"/>
      <c r="D39" s="9"/>
      <c r="E39" s="9"/>
      <c r="F39" s="9"/>
      <c r="I39" s="10"/>
      <c r="K39" s="10"/>
    </row>
    <row r="40" customFormat="false" ht="15.75" hidden="false" customHeight="false" outlineLevel="0" collapsed="false">
      <c r="B40" s="9"/>
      <c r="C40" s="9"/>
      <c r="D40" s="9"/>
      <c r="E40" s="9"/>
      <c r="F40" s="9"/>
      <c r="I40" s="10"/>
      <c r="K40" s="10"/>
    </row>
    <row r="41" customFormat="false" ht="15.75" hidden="false" customHeight="false" outlineLevel="0" collapsed="false">
      <c r="B41" s="9"/>
      <c r="C41" s="9"/>
      <c r="D41" s="9"/>
      <c r="E41" s="9"/>
      <c r="F41" s="9"/>
      <c r="I41" s="10"/>
      <c r="K41" s="10"/>
      <c r="N41" s="4"/>
    </row>
    <row r="42" customFormat="false" ht="15.75" hidden="false" customHeight="false" outlineLevel="0" collapsed="false">
      <c r="B42" s="9"/>
      <c r="C42" s="9"/>
      <c r="D42" s="9"/>
      <c r="E42" s="9"/>
      <c r="F42" s="9"/>
      <c r="I42" s="10"/>
      <c r="K42" s="10"/>
      <c r="N42" s="4"/>
    </row>
    <row r="43" customFormat="false" ht="15.75" hidden="false" customHeight="false" outlineLevel="0" collapsed="false">
      <c r="B43" s="9"/>
      <c r="C43" s="9"/>
      <c r="D43" s="9"/>
      <c r="E43" s="9"/>
      <c r="F43" s="9"/>
      <c r="I43" s="10"/>
      <c r="K43" s="15"/>
      <c r="L43" s="16"/>
      <c r="M43" s="16"/>
      <c r="N43" s="16"/>
      <c r="O43" s="16"/>
      <c r="P43" s="16"/>
      <c r="Q43" s="16"/>
    </row>
    <row r="44" customFormat="false" ht="15.75" hidden="false" customHeight="false" outlineLevel="0" collapsed="false">
      <c r="I44" s="10"/>
      <c r="K44" s="15"/>
      <c r="L44" s="16"/>
      <c r="M44" s="16"/>
      <c r="N44" s="16"/>
      <c r="O44" s="16"/>
      <c r="P44" s="16"/>
      <c r="Q44" s="16"/>
    </row>
    <row r="45" customFormat="false" ht="15.75" hidden="false" customHeight="false" outlineLevel="0" collapsed="false">
      <c r="I45" s="10"/>
      <c r="K45" s="10"/>
      <c r="L45" s="12"/>
      <c r="P45" s="16"/>
      <c r="Q45" s="16"/>
    </row>
    <row r="46" customFormat="false" ht="15.75" hidden="false" customHeight="false" outlineLevel="0" collapsed="false">
      <c r="P46" s="16"/>
      <c r="Q46" s="16"/>
    </row>
    <row r="47" customFormat="false" ht="15.75" hidden="false" customHeight="false" outlineLevel="0" collapsed="false">
      <c r="I47" s="10"/>
      <c r="K47" s="10"/>
      <c r="P47" s="16"/>
      <c r="Q47" s="16"/>
    </row>
    <row r="48" customFormat="false" ht="15.75" hidden="false" customHeight="false" outlineLevel="0" collapsed="false">
      <c r="I48" s="10"/>
      <c r="K48" s="10"/>
      <c r="N48" s="4"/>
      <c r="P48" s="16"/>
      <c r="Q48" s="16"/>
    </row>
    <row r="49" customFormat="false" ht="15.75" hidden="false" customHeight="false" outlineLevel="0" collapsed="false">
      <c r="I49" s="10"/>
      <c r="K49" s="15"/>
      <c r="L49" s="16"/>
      <c r="M49" s="16"/>
      <c r="N49" s="16"/>
      <c r="O49" s="16"/>
      <c r="P49" s="16"/>
      <c r="Q49" s="16"/>
    </row>
    <row r="50" customFormat="false" ht="15.75" hidden="false" customHeight="false" outlineLevel="0" collapsed="false">
      <c r="I50" s="10"/>
      <c r="K50" s="15"/>
      <c r="L50" s="16"/>
      <c r="M50" s="16"/>
      <c r="N50" s="16"/>
      <c r="O50" s="16"/>
      <c r="P50" s="16"/>
      <c r="Q50" s="16"/>
    </row>
    <row r="51" customFormat="false" ht="15.75" hidden="false" customHeight="false" outlineLevel="0" collapsed="false">
      <c r="I51" s="10"/>
      <c r="K51" s="15"/>
      <c r="L51" s="16"/>
      <c r="M51" s="16"/>
      <c r="N51" s="16"/>
      <c r="O51" s="16"/>
      <c r="P51" s="16"/>
      <c r="Q51" s="16"/>
    </row>
    <row r="52" customFormat="false" ht="15.75" hidden="false" customHeight="false" outlineLevel="0" collapsed="false">
      <c r="I52" s="10"/>
      <c r="K52" s="15"/>
      <c r="L52" s="16"/>
      <c r="M52" s="16"/>
      <c r="N52" s="16"/>
      <c r="O52" s="16"/>
      <c r="P52" s="16"/>
      <c r="Q52" s="16"/>
    </row>
    <row r="53" customFormat="false" ht="15.75" hidden="false" customHeight="false" outlineLevel="0" collapsed="false">
      <c r="I53" s="10"/>
      <c r="K53" s="15"/>
      <c r="L53" s="16"/>
      <c r="M53" s="16"/>
      <c r="N53" s="16"/>
      <c r="O53" s="16"/>
      <c r="P53" s="16"/>
      <c r="Q53" s="16"/>
    </row>
    <row r="54" customFormat="false" ht="15.75" hidden="false" customHeight="false" outlineLevel="0" collapsed="false">
      <c r="I54" s="10"/>
      <c r="K54" s="15"/>
      <c r="L54" s="16"/>
      <c r="M54" s="16"/>
      <c r="N54" s="16"/>
      <c r="O54" s="16"/>
      <c r="P54" s="16"/>
      <c r="Q54" s="16"/>
    </row>
    <row r="55" customFormat="false" ht="15.75" hidden="false" customHeight="false" outlineLevel="0" collapsed="false">
      <c r="I55" s="10"/>
      <c r="K55" s="15"/>
      <c r="L55" s="16"/>
      <c r="M55" s="16"/>
      <c r="N55" s="16"/>
      <c r="O55" s="16"/>
      <c r="P55" s="16"/>
      <c r="Q55" s="16"/>
    </row>
    <row r="56" customFormat="false" ht="15.75" hidden="false" customHeight="false" outlineLevel="0" collapsed="false">
      <c r="I56" s="10"/>
      <c r="K56" s="15"/>
      <c r="L56" s="16"/>
      <c r="M56" s="16"/>
      <c r="N56" s="16"/>
      <c r="O56" s="16"/>
      <c r="P56" s="16"/>
      <c r="Q56" s="16"/>
    </row>
    <row r="57" customFormat="false" ht="15.75" hidden="false" customHeight="false" outlineLevel="0" collapsed="false">
      <c r="I57" s="10"/>
      <c r="K57" s="15"/>
      <c r="L57" s="16"/>
      <c r="M57" s="16"/>
      <c r="N57" s="16"/>
      <c r="O57" s="16"/>
      <c r="P57" s="16"/>
      <c r="Q57" s="16"/>
    </row>
    <row r="58" customFormat="false" ht="15.75" hidden="false" customHeight="false" outlineLevel="0" collapsed="false">
      <c r="I58" s="10"/>
      <c r="K58" s="15"/>
      <c r="L58" s="16"/>
      <c r="M58" s="16"/>
      <c r="N58" s="16"/>
      <c r="O58" s="16"/>
      <c r="P58" s="16"/>
      <c r="Q58" s="16"/>
    </row>
    <row r="59" customFormat="false" ht="15.75" hidden="false" customHeight="false" outlineLevel="0" collapsed="false">
      <c r="I59" s="10"/>
      <c r="K59" s="15"/>
      <c r="L59" s="16"/>
      <c r="M59" s="16"/>
      <c r="N59" s="16"/>
      <c r="O59" s="16"/>
      <c r="P59" s="16"/>
      <c r="Q59" s="16"/>
    </row>
    <row r="60" customFormat="false" ht="15.75" hidden="false" customHeight="false" outlineLevel="0" collapsed="false">
      <c r="I60" s="10"/>
      <c r="K60" s="15"/>
      <c r="L60" s="16"/>
      <c r="M60" s="16"/>
      <c r="N60" s="16"/>
      <c r="O60" s="16"/>
      <c r="P60" s="16"/>
      <c r="Q60" s="16"/>
    </row>
    <row r="61" customFormat="false" ht="15.75" hidden="false" customHeight="false" outlineLevel="0" collapsed="false">
      <c r="I61" s="10"/>
      <c r="K61" s="15"/>
      <c r="L61" s="16"/>
      <c r="M61" s="16"/>
      <c r="N61" s="16"/>
      <c r="O61" s="16"/>
      <c r="P61" s="16"/>
      <c r="Q61" s="16"/>
    </row>
    <row r="62" customFormat="false" ht="15.75" hidden="false" customHeight="false" outlineLevel="0" collapsed="false">
      <c r="I62" s="10"/>
      <c r="K62" s="15"/>
      <c r="L62" s="16"/>
      <c r="M62" s="16"/>
      <c r="N62" s="16"/>
      <c r="O62" s="16"/>
      <c r="P62" s="16"/>
      <c r="Q62" s="16"/>
    </row>
    <row r="63" customFormat="false" ht="15.75" hidden="false" customHeight="false" outlineLevel="0" collapsed="false">
      <c r="I63" s="10"/>
      <c r="K63" s="15"/>
      <c r="L63" s="16"/>
      <c r="M63" s="16"/>
      <c r="N63" s="16"/>
      <c r="O63" s="16"/>
      <c r="P63" s="16"/>
      <c r="Q63" s="16"/>
    </row>
    <row r="64" customFormat="false" ht="15.75" hidden="false" customHeight="false" outlineLevel="0" collapsed="false">
      <c r="I64" s="10"/>
      <c r="K64" s="17"/>
      <c r="L64" s="17"/>
      <c r="M64" s="17"/>
      <c r="O64" s="17"/>
      <c r="P64" s="17"/>
      <c r="Q64" s="17"/>
    </row>
    <row r="65" customFormat="false" ht="15.75" hidden="false" customHeight="false" outlineLevel="0" collapsed="false">
      <c r="K65" s="10"/>
      <c r="L65" s="15"/>
      <c r="M65" s="16"/>
      <c r="P65" s="17"/>
      <c r="Q65" s="17"/>
    </row>
    <row r="66" customFormat="false" ht="15.75" hidden="false" customHeight="false" outlineLevel="0" collapsed="false">
      <c r="K66" s="10"/>
      <c r="L66" s="10"/>
    </row>
    <row r="67" customFormat="false" ht="15.75" hidden="false" customHeight="false" outlineLevel="0" collapsed="false">
      <c r="I67" s="10"/>
      <c r="K67" s="10"/>
      <c r="L67" s="10"/>
    </row>
    <row r="69" customFormat="false" ht="15.75" hidden="false" customHeight="false" outlineLevel="0" collapsed="false">
      <c r="I69" s="10"/>
      <c r="J69" s="10"/>
    </row>
    <row r="70" customFormat="false" ht="15.75" hidden="false" customHeight="false" outlineLevel="0" collapsed="false">
      <c r="I70" s="10"/>
      <c r="J70" s="10"/>
    </row>
    <row r="71" customFormat="false" ht="15.75" hidden="false" customHeight="false" outlineLevel="0" collapsed="false">
      <c r="J71" s="10"/>
    </row>
    <row r="72" customFormat="false" ht="15.75" hidden="false" customHeight="false" outlineLevel="0" collapsed="false">
      <c r="I72" s="10"/>
      <c r="J72" s="10"/>
    </row>
    <row r="73" customFormat="false" ht="15.75" hidden="false" customHeight="false" outlineLevel="0" collapsed="false">
      <c r="I73" s="10"/>
      <c r="J73" s="10"/>
    </row>
    <row r="74" customFormat="false" ht="15.75" hidden="false" customHeight="false" outlineLevel="0" collapsed="false">
      <c r="I74" s="10"/>
      <c r="J74" s="10"/>
    </row>
    <row r="75" customFormat="false" ht="15.75" hidden="false" customHeight="false" outlineLevel="0" collapsed="false">
      <c r="I75" s="10"/>
      <c r="J75" s="10"/>
    </row>
    <row r="76" customFormat="false" ht="15.75" hidden="false" customHeight="false" outlineLevel="0" collapsed="false">
      <c r="I76" s="10"/>
      <c r="J76" s="10"/>
    </row>
    <row r="77" customFormat="false" ht="15.75" hidden="false" customHeight="false" outlineLevel="0" collapsed="false">
      <c r="I77" s="10"/>
      <c r="J77" s="10"/>
    </row>
    <row r="78" customFormat="false" ht="15.75" hidden="false" customHeight="false" outlineLevel="0" collapsed="false">
      <c r="I78" s="10"/>
      <c r="J78" s="10"/>
    </row>
    <row r="79" customFormat="false" ht="15.75" hidden="false" customHeight="false" outlineLevel="0" collapsed="false">
      <c r="I79" s="10"/>
      <c r="J79" s="10"/>
    </row>
    <row r="80" customFormat="false" ht="15.75" hidden="false" customHeight="false" outlineLevel="0" collapsed="false">
      <c r="I80" s="10"/>
      <c r="J80" s="10"/>
    </row>
    <row r="81" customFormat="false" ht="15.75" hidden="false" customHeight="false" outlineLevel="0" collapsed="false">
      <c r="I81" s="10"/>
      <c r="J81" s="10"/>
    </row>
    <row r="82" customFormat="false" ht="15.75" hidden="false" customHeight="false" outlineLevel="0" collapsed="false">
      <c r="I82" s="10"/>
      <c r="J82" s="10"/>
    </row>
    <row r="83" customFormat="false" ht="15.75" hidden="false" customHeight="false" outlineLevel="0" collapsed="false">
      <c r="I83" s="10"/>
      <c r="J83" s="10"/>
    </row>
    <row r="84" customFormat="false" ht="15.75" hidden="false" customHeight="false" outlineLevel="0" collapsed="false">
      <c r="I84" s="10"/>
      <c r="J84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2026-02-18T00:55:42Z</dcterms:created>
  <dc:creator>Eddie Sholl</dc:creator>
  <dc:description/>
  <dc:language>en-AU</dc:language>
  <cp:lastModifiedBy>Eddie Sholl</cp:lastModifiedBy>
  <dcterms:modified xsi:type="dcterms:W3CDTF">2026-10-01T10:20:16Z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