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eddiesholl/Code/aginnovationaustralia/emissions-calculators-internal/packages/calculators/src/modules/test/"/>
    </mc:Choice>
  </mc:AlternateContent>
  <xr:revisionPtr revIDLastSave="0" documentId="13_ncr:1_{B71EBA73-7AB8-EA47-91FF-C0EC3B642A19}" xr6:coauthVersionLast="47" xr6:coauthVersionMax="47" xr10:uidLastSave="{00000000-0000-0000-0000-000000000000}"/>
  <bookViews>
    <workbookView xWindow="-28320" yWindow="8600" windowWidth="27260" windowHeight="17640" activeTab="1" xr2:uid="{00000000-000D-0000-FFFF-FFFF00000000}"/>
  </bookViews>
  <sheets>
    <sheet name="15.13.1 (method 1)" sheetId="1" r:id="rId1"/>
    <sheet name="15.13.1 (method 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E15" i="1"/>
  <c r="E16" i="1"/>
  <c r="E17" i="1"/>
  <c r="E18" i="1"/>
  <c r="E19" i="1"/>
  <c r="E20" i="1"/>
  <c r="E21" i="1"/>
  <c r="E22" i="1"/>
  <c r="E23" i="1"/>
  <c r="E24" i="1"/>
  <c r="E25" i="1"/>
  <c r="E26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11" i="1"/>
  <c r="U64" i="2"/>
  <c r="U65" i="2"/>
  <c r="U66" i="2"/>
  <c r="U63" i="2"/>
  <c r="U45" i="2"/>
  <c r="U46" i="2"/>
  <c r="U47" i="2"/>
  <c r="U48" i="2"/>
  <c r="U44" i="2"/>
  <c r="G15" i="2" s="1"/>
  <c r="H22" i="2"/>
  <c r="G12" i="2"/>
  <c r="G13" i="2"/>
  <c r="G14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11" i="2"/>
  <c r="E12" i="2"/>
  <c r="E13" i="2"/>
  <c r="E14" i="2"/>
  <c r="E15" i="2"/>
  <c r="E16" i="2"/>
  <c r="H16" i="2" s="1"/>
  <c r="E17" i="2"/>
  <c r="E18" i="2"/>
  <c r="E19" i="2"/>
  <c r="E20" i="2"/>
  <c r="H20" i="2" s="1"/>
  <c r="E21" i="2"/>
  <c r="E22" i="2"/>
  <c r="E23" i="2"/>
  <c r="H23" i="2" s="1"/>
  <c r="E24" i="2"/>
  <c r="E25" i="2"/>
  <c r="E26" i="2"/>
  <c r="E27" i="2"/>
  <c r="H27" i="2" s="1"/>
  <c r="E28" i="2"/>
  <c r="H28" i="2" s="1"/>
  <c r="E11" i="2"/>
  <c r="H11" i="2" s="1"/>
  <c r="H21" i="2" l="1"/>
  <c r="H18" i="2"/>
  <c r="H17" i="2"/>
  <c r="H19" i="2"/>
  <c r="H25" i="2"/>
  <c r="H12" i="2"/>
  <c r="H14" i="2"/>
  <c r="H26" i="2"/>
  <c r="H24" i="2"/>
  <c r="H13" i="2"/>
  <c r="H15" i="2"/>
  <c r="E11" i="1"/>
  <c r="E13" i="1"/>
  <c r="E12" i="1"/>
</calcChain>
</file>

<file path=xl/sharedStrings.xml><?xml version="1.0" encoding="utf-8"?>
<sst xmlns="http://schemas.openxmlformats.org/spreadsheetml/2006/main" count="239" uniqueCount="74">
  <si>
    <t/>
  </si>
  <si>
    <t>input</t>
  </si>
  <si>
    <t>constant</t>
  </si>
  <si>
    <t>expression</t>
  </si>
  <si>
    <t>m</t>
  </si>
  <si>
    <t>E</t>
  </si>
  <si>
    <t>Method 1</t>
  </si>
  <si>
    <t>E = SUMf ((Wf * Df) * EFf)</t>
  </si>
  <si>
    <t>Wf</t>
  </si>
  <si>
    <t>Df</t>
  </si>
  <si>
    <t>EFf</t>
  </si>
  <si>
    <t>Cars and light commercial vehicles</t>
  </si>
  <si>
    <t>Gasoline</t>
  </si>
  <si>
    <t>Diesel oil</t>
  </si>
  <si>
    <t>Liquefied petroleum gas (LPG)</t>
  </si>
  <si>
    <t>Fuel oil</t>
  </si>
  <si>
    <t>Cars and light commercial vehicles (pre 2004)</t>
  </si>
  <si>
    <t>Light duty vehicles</t>
  </si>
  <si>
    <t>Liquefied natural gas</t>
  </si>
  <si>
    <t>Compressed natural gas</t>
  </si>
  <si>
    <t>Heavy duty vehicles</t>
  </si>
  <si>
    <t>Diesel oil - Euro iv or higher</t>
  </si>
  <si>
    <t>Diesel oil - Euro iii</t>
  </si>
  <si>
    <t>Diesel oil - Euro i</t>
  </si>
  <si>
    <t>Aviation</t>
  </si>
  <si>
    <t>Gasoline for use as fuel in an aircraft</t>
  </si>
  <si>
    <t>Kerosene for use as fuel in an aircraft</t>
  </si>
  <si>
    <t>Vessel</t>
  </si>
  <si>
    <t>Petrol</t>
  </si>
  <si>
    <t>Diesel</t>
  </si>
  <si>
    <t>Fuel Oil</t>
  </si>
  <si>
    <t>Off-road Agriculture and forestry equipment</t>
  </si>
  <si>
    <t>Transport type</t>
  </si>
  <si>
    <t>Fuel type</t>
  </si>
  <si>
    <t>Q</t>
  </si>
  <si>
    <t>Amount combusted kL</t>
  </si>
  <si>
    <t>EC</t>
  </si>
  <si>
    <t>EC units</t>
  </si>
  <si>
    <t>EF trans combined</t>
  </si>
  <si>
    <t>Fuel combusted</t>
  </si>
  <si>
    <t>Energy Content factor (GJ per unit of fuel)</t>
  </si>
  <si>
    <t xml:space="preserve">Scope 1 EF CO2 (kg CO2-e/GJ) </t>
  </si>
  <si>
    <t xml:space="preserve">Scope 1 EF CH4 (kg CH4-e/GJ) </t>
  </si>
  <si>
    <t>Scope 1 EF N2O (kg N2O-e/GJ)</t>
  </si>
  <si>
    <t>Scope 1 Emission Factor (kg CO2-e/GJ) Combined gases</t>
  </si>
  <si>
    <t>Scope 3 EF (kg CO2-e/GJ)</t>
  </si>
  <si>
    <t>GJ/kL</t>
  </si>
  <si>
    <t>Ethanol</t>
  </si>
  <si>
    <t>NE</t>
  </si>
  <si>
    <t>Biodiesel</t>
  </si>
  <si>
    <t>Renewable diesel</t>
  </si>
  <si>
    <t>Other biofuels</t>
  </si>
  <si>
    <t>GJ/m3</t>
  </si>
  <si>
    <t>Renewable diesel - Euro iv or higher</t>
  </si>
  <si>
    <t>Renewable diesel - Euro iii</t>
  </si>
  <si>
    <t>Renewable diesel - Euro i</t>
  </si>
  <si>
    <t>Renewable aviation kerosene</t>
  </si>
  <si>
    <t>Van &lt; 3.5 tonnes (diesel)</t>
  </si>
  <si>
    <t>Van &lt; 3.5 tonnes (petrol)</t>
  </si>
  <si>
    <t>Van &lt; 3.5 tonnes (CNG)</t>
  </si>
  <si>
    <t>Van &lt; 3.5 tonnes (LPG)</t>
  </si>
  <si>
    <t>Van &lt; 3.5 tonnes (PHEV)</t>
  </si>
  <si>
    <t>Van &lt; 3.5 tonnes (BEV)</t>
  </si>
  <si>
    <t>Truck &gt; 3.5 tonnes non-refrigerated (diesel)</t>
  </si>
  <si>
    <t>Truck &gt; 3.5 tonnes refrigerated (diesel)</t>
  </si>
  <si>
    <t>Freight flight (domestic)</t>
  </si>
  <si>
    <t>Freight flight (short haul)</t>
  </si>
  <si>
    <t>Freight flight (international)</t>
  </si>
  <si>
    <t>Rail</t>
  </si>
  <si>
    <t>Cargo ship (bulk carrier)</t>
  </si>
  <si>
    <t>Cargo ship (general cargo)</t>
  </si>
  <si>
    <t>Cargo ship (container)</t>
  </si>
  <si>
    <t>Cargo ship (refrigerated)</t>
  </si>
  <si>
    <t>Freight types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</si>
</sst>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Helvetica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164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165" fontId="2" fillId="0" borderId="0" xfId="0" applyNumberFormat="1" applyFont="1"/>
    <xf numFmtId="164" fontId="2" fillId="0" borderId="0" xfId="0" applyNumberFormat="1" applyFont="1"/>
    <xf numFmtId="2" fontId="2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H26"/>
  <sheetViews>
    <sheetView workbookViewId="0">
      <selection activeCell="G6" sqref="G6:H22"/>
    </sheetView>
  </sheetViews>
  <sheetFormatPr baseColWidth="10" defaultRowHeight="16" x14ac:dyDescent="0.2"/>
  <cols>
    <col min="1" max="1" width="23.1640625" customWidth="1"/>
    <col min="7" max="7" width="34.33203125" customWidth="1"/>
  </cols>
  <sheetData>
    <row r="4" spans="1:8" x14ac:dyDescent="0.2">
      <c r="A4" t="s">
        <v>6</v>
      </c>
    </row>
    <row r="5" spans="1:8" x14ac:dyDescent="0.2">
      <c r="D5" t="s">
        <v>7</v>
      </c>
    </row>
    <row r="6" spans="1:8" x14ac:dyDescent="0.2">
      <c r="A6" t="s">
        <v>0</v>
      </c>
      <c r="G6" t="s">
        <v>73</v>
      </c>
      <c r="H6" t="s">
        <v>10</v>
      </c>
    </row>
    <row r="7" spans="1:8" x14ac:dyDescent="0.2">
      <c r="A7" t="s">
        <v>1</v>
      </c>
      <c r="B7" t="s">
        <v>1</v>
      </c>
      <c r="C7" t="s">
        <v>2</v>
      </c>
      <c r="E7" t="s">
        <v>3</v>
      </c>
      <c r="G7" t="s">
        <v>57</v>
      </c>
      <c r="H7">
        <v>0.63510999999999995</v>
      </c>
    </row>
    <row r="8" spans="1:8" x14ac:dyDescent="0.2">
      <c r="G8" t="s">
        <v>58</v>
      </c>
      <c r="H8">
        <v>0.83809999999999996</v>
      </c>
    </row>
    <row r="9" spans="1:8" x14ac:dyDescent="0.2">
      <c r="G9" t="s">
        <v>59</v>
      </c>
      <c r="H9">
        <v>0.62502999999999997</v>
      </c>
    </row>
    <row r="10" spans="1:8" x14ac:dyDescent="0.2">
      <c r="A10" s="1" t="s">
        <v>4</v>
      </c>
      <c r="B10" s="1" t="s">
        <v>8</v>
      </c>
      <c r="C10" s="1" t="s">
        <v>9</v>
      </c>
      <c r="D10" s="1" t="s">
        <v>10</v>
      </c>
      <c r="E10" s="2" t="s">
        <v>5</v>
      </c>
      <c r="G10" t="s">
        <v>60</v>
      </c>
      <c r="H10">
        <v>0.68715000000000004</v>
      </c>
    </row>
    <row r="11" spans="1:8" x14ac:dyDescent="0.2">
      <c r="A11" t="s">
        <v>57</v>
      </c>
      <c r="B11">
        <v>50</v>
      </c>
      <c r="C11">
        <v>1000</v>
      </c>
      <c r="D11">
        <f xml:space="preserve"> _xlfn.XLOOKUP(A11, $G$7:$G$22,$H$7:$H$22)</f>
        <v>0.63510999999999995</v>
      </c>
      <c r="E11">
        <f>B11 * C11 * D11</f>
        <v>31755.499999999996</v>
      </c>
      <c r="G11" t="s">
        <v>61</v>
      </c>
      <c r="H11">
        <v>0.39716000000000001</v>
      </c>
    </row>
    <row r="12" spans="1:8" x14ac:dyDescent="0.2">
      <c r="A12" t="s">
        <v>58</v>
      </c>
      <c r="B12">
        <v>60</v>
      </c>
      <c r="C12">
        <v>1100</v>
      </c>
      <c r="D12">
        <f t="shared" ref="D12:D26" si="0" xml:space="preserve"> _xlfn.XLOOKUP(A12, $G$7:$G$22,$H$7:$H$22)</f>
        <v>0.83809999999999996</v>
      </c>
      <c r="E12">
        <f t="shared" ref="E12:E26" si="1">B12 * C12 * D12</f>
        <v>55314.6</v>
      </c>
      <c r="G12" t="s">
        <v>62</v>
      </c>
      <c r="H12">
        <v>0.14699000000000001</v>
      </c>
    </row>
    <row r="13" spans="1:8" x14ac:dyDescent="0.2">
      <c r="A13" t="s">
        <v>59</v>
      </c>
      <c r="B13">
        <v>70</v>
      </c>
      <c r="C13">
        <v>1200</v>
      </c>
      <c r="D13">
        <f t="shared" si="0"/>
        <v>0.62502999999999997</v>
      </c>
      <c r="E13">
        <f t="shared" si="1"/>
        <v>52502.52</v>
      </c>
      <c r="G13" t="s">
        <v>63</v>
      </c>
      <c r="H13">
        <v>0.10356</v>
      </c>
    </row>
    <row r="14" spans="1:8" x14ac:dyDescent="0.2">
      <c r="A14" t="s">
        <v>60</v>
      </c>
      <c r="B14">
        <v>80</v>
      </c>
      <c r="C14">
        <v>1300</v>
      </c>
      <c r="D14">
        <f t="shared" si="0"/>
        <v>0.68715000000000004</v>
      </c>
      <c r="E14">
        <f t="shared" si="1"/>
        <v>71463.600000000006</v>
      </c>
      <c r="G14" t="s">
        <v>64</v>
      </c>
      <c r="H14">
        <v>0.12121999999999999</v>
      </c>
    </row>
    <row r="15" spans="1:8" x14ac:dyDescent="0.2">
      <c r="A15" t="s">
        <v>61</v>
      </c>
      <c r="B15">
        <v>90</v>
      </c>
      <c r="C15">
        <v>1400</v>
      </c>
      <c r="D15">
        <f t="shared" si="0"/>
        <v>0.39716000000000001</v>
      </c>
      <c r="E15">
        <f t="shared" si="1"/>
        <v>50042.16</v>
      </c>
      <c r="G15" t="s">
        <v>65</v>
      </c>
      <c r="H15">
        <v>4.6039700000000003</v>
      </c>
    </row>
    <row r="16" spans="1:8" x14ac:dyDescent="0.2">
      <c r="A16" t="s">
        <v>62</v>
      </c>
      <c r="B16">
        <v>100</v>
      </c>
      <c r="C16">
        <v>1500</v>
      </c>
      <c r="D16">
        <f t="shared" si="0"/>
        <v>0.14699000000000001</v>
      </c>
      <c r="E16">
        <f t="shared" si="1"/>
        <v>22048.5</v>
      </c>
      <c r="G16" t="s">
        <v>66</v>
      </c>
      <c r="H16">
        <v>1.2783500000000001</v>
      </c>
    </row>
    <row r="17" spans="1:8" x14ac:dyDescent="0.2">
      <c r="A17" t="s">
        <v>63</v>
      </c>
      <c r="B17">
        <v>110</v>
      </c>
      <c r="C17">
        <v>1600</v>
      </c>
      <c r="D17">
        <f t="shared" si="0"/>
        <v>0.10356</v>
      </c>
      <c r="E17">
        <f t="shared" si="1"/>
        <v>18226.560000000001</v>
      </c>
      <c r="G17" t="s">
        <v>67</v>
      </c>
      <c r="H17">
        <v>0.89939000000000002</v>
      </c>
    </row>
    <row r="18" spans="1:8" x14ac:dyDescent="0.2">
      <c r="A18" t="s">
        <v>64</v>
      </c>
      <c r="B18">
        <v>120</v>
      </c>
      <c r="C18">
        <v>1700</v>
      </c>
      <c r="D18">
        <f t="shared" si="0"/>
        <v>0.12121999999999999</v>
      </c>
      <c r="E18">
        <f t="shared" si="1"/>
        <v>24728.879999999997</v>
      </c>
      <c r="G18" t="s">
        <v>68</v>
      </c>
      <c r="H18">
        <v>2.5829999999999999E-2</v>
      </c>
    </row>
    <row r="19" spans="1:8" x14ac:dyDescent="0.2">
      <c r="A19" t="s">
        <v>65</v>
      </c>
      <c r="B19">
        <v>130</v>
      </c>
      <c r="C19">
        <v>1800</v>
      </c>
      <c r="D19">
        <f t="shared" si="0"/>
        <v>4.6039700000000003</v>
      </c>
      <c r="E19">
        <f t="shared" si="1"/>
        <v>1077328.98</v>
      </c>
      <c r="G19" t="s">
        <v>69</v>
      </c>
      <c r="H19">
        <v>3.5300000000000002E-3</v>
      </c>
    </row>
    <row r="20" spans="1:8" x14ac:dyDescent="0.2">
      <c r="A20" t="s">
        <v>66</v>
      </c>
      <c r="B20">
        <v>140</v>
      </c>
      <c r="C20">
        <v>1900</v>
      </c>
      <c r="D20">
        <f t="shared" si="0"/>
        <v>1.2783500000000001</v>
      </c>
      <c r="E20">
        <f t="shared" si="1"/>
        <v>340041.10000000003</v>
      </c>
      <c r="G20" t="s">
        <v>70</v>
      </c>
      <c r="H20">
        <v>1.321E-2</v>
      </c>
    </row>
    <row r="21" spans="1:8" x14ac:dyDescent="0.2">
      <c r="A21" t="s">
        <v>67</v>
      </c>
      <c r="B21">
        <v>150</v>
      </c>
      <c r="C21">
        <v>2000</v>
      </c>
      <c r="D21">
        <f t="shared" si="0"/>
        <v>0.89939000000000002</v>
      </c>
      <c r="E21">
        <f t="shared" si="1"/>
        <v>269817</v>
      </c>
      <c r="G21" t="s">
        <v>71</v>
      </c>
      <c r="H21">
        <v>1.6119999999999999E-2</v>
      </c>
    </row>
    <row r="22" spans="1:8" x14ac:dyDescent="0.2">
      <c r="A22" t="s">
        <v>68</v>
      </c>
      <c r="B22">
        <v>160</v>
      </c>
      <c r="C22">
        <v>2100</v>
      </c>
      <c r="D22">
        <f t="shared" si="0"/>
        <v>2.5829999999999999E-2</v>
      </c>
      <c r="E22">
        <f t="shared" si="1"/>
        <v>8678.8799999999992</v>
      </c>
      <c r="G22" t="s">
        <v>72</v>
      </c>
      <c r="H22">
        <v>1.306E-2</v>
      </c>
    </row>
    <row r="23" spans="1:8" x14ac:dyDescent="0.2">
      <c r="A23" t="s">
        <v>69</v>
      </c>
      <c r="B23">
        <v>170</v>
      </c>
      <c r="C23">
        <v>2200</v>
      </c>
      <c r="D23">
        <f t="shared" si="0"/>
        <v>3.5300000000000002E-3</v>
      </c>
      <c r="E23">
        <f t="shared" si="1"/>
        <v>1320.22</v>
      </c>
    </row>
    <row r="24" spans="1:8" x14ac:dyDescent="0.2">
      <c r="A24" t="s">
        <v>70</v>
      </c>
      <c r="B24">
        <v>180</v>
      </c>
      <c r="C24">
        <v>2300</v>
      </c>
      <c r="D24">
        <f t="shared" si="0"/>
        <v>1.321E-2</v>
      </c>
      <c r="E24">
        <f t="shared" si="1"/>
        <v>5468.94</v>
      </c>
    </row>
    <row r="25" spans="1:8" x14ac:dyDescent="0.2">
      <c r="A25" t="s">
        <v>71</v>
      </c>
      <c r="B25">
        <v>190</v>
      </c>
      <c r="C25">
        <v>2400</v>
      </c>
      <c r="D25">
        <f t="shared" si="0"/>
        <v>1.6119999999999999E-2</v>
      </c>
      <c r="E25">
        <f t="shared" si="1"/>
        <v>7350.7199999999993</v>
      </c>
    </row>
    <row r="26" spans="1:8" x14ac:dyDescent="0.2">
      <c r="A26" t="s">
        <v>72</v>
      </c>
      <c r="B26">
        <v>200</v>
      </c>
      <c r="C26">
        <v>2500</v>
      </c>
      <c r="D26">
        <f t="shared" si="0"/>
        <v>1.306E-2</v>
      </c>
      <c r="E26">
        <f t="shared" si="1"/>
        <v>6530</v>
      </c>
    </row>
  </sheetData>
  <pageMargins left="0.7" right="0.7" top="0.75" bottom="0.75" header="0.3" footer="0.3"/>
  <ignoredErrors>
    <ignoredError sqref="A7:C8 A5:C5 A10 A9 C9 A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6CAEC-6886-B04B-A5CF-C1C265E98839}">
  <dimension ref="A4:V66"/>
  <sheetViews>
    <sheetView tabSelected="1" workbookViewId="0">
      <selection activeCell="A14" sqref="A14"/>
    </sheetView>
  </sheetViews>
  <sheetFormatPr baseColWidth="10" defaultRowHeight="16" x14ac:dyDescent="0.2"/>
  <cols>
    <col min="1" max="1" width="23.1640625" customWidth="1"/>
    <col min="2" max="2" width="37.33203125" customWidth="1"/>
    <col min="3" max="3" width="22.83203125" customWidth="1"/>
    <col min="10" max="10" width="34.33203125" customWidth="1"/>
    <col min="14" max="14" width="38.6640625" bestFit="1" customWidth="1"/>
    <col min="15" max="15" width="30.83203125" bestFit="1" customWidth="1"/>
  </cols>
  <sheetData>
    <row r="4" spans="1:11" x14ac:dyDescent="0.2">
      <c r="A4" t="s">
        <v>6</v>
      </c>
    </row>
    <row r="6" spans="1:11" x14ac:dyDescent="0.2">
      <c r="A6" t="s">
        <v>0</v>
      </c>
      <c r="J6" t="s">
        <v>73</v>
      </c>
      <c r="K6" t="s">
        <v>10</v>
      </c>
    </row>
    <row r="7" spans="1:11" x14ac:dyDescent="0.2">
      <c r="A7" t="s">
        <v>1</v>
      </c>
      <c r="J7" t="s">
        <v>57</v>
      </c>
      <c r="K7">
        <v>0.63510999999999995</v>
      </c>
    </row>
    <row r="8" spans="1:11" x14ac:dyDescent="0.2">
      <c r="J8" t="s">
        <v>58</v>
      </c>
      <c r="K8">
        <v>0.83809999999999996</v>
      </c>
    </row>
    <row r="9" spans="1:11" x14ac:dyDescent="0.2">
      <c r="D9" t="s">
        <v>35</v>
      </c>
      <c r="J9" t="s">
        <v>59</v>
      </c>
      <c r="K9">
        <v>0.62502999999999997</v>
      </c>
    </row>
    <row r="10" spans="1:11" x14ac:dyDescent="0.2">
      <c r="A10" s="1" t="s">
        <v>4</v>
      </c>
      <c r="B10" s="1" t="s">
        <v>32</v>
      </c>
      <c r="C10" s="1" t="s">
        <v>33</v>
      </c>
      <c r="D10" s="1" t="s">
        <v>34</v>
      </c>
      <c r="E10" t="s">
        <v>36</v>
      </c>
      <c r="F10" t="s">
        <v>37</v>
      </c>
      <c r="G10" t="s">
        <v>38</v>
      </c>
      <c r="H10" s="2" t="s">
        <v>5</v>
      </c>
      <c r="J10" t="s">
        <v>60</v>
      </c>
      <c r="K10">
        <v>0.68715000000000004</v>
      </c>
    </row>
    <row r="11" spans="1:11" x14ac:dyDescent="0.2">
      <c r="A11" t="s">
        <v>58</v>
      </c>
      <c r="B11" t="s">
        <v>11</v>
      </c>
      <c r="C11" t="s">
        <v>12</v>
      </c>
      <c r="D11" s="3">
        <v>5</v>
      </c>
      <c r="E11" s="3">
        <f t="shared" ref="E11:E28" si="0">IF(ISBLANK(B11), "", VLOOKUP($C11, _xlfn.IFS($B11="Cars and light commercial vehicles", $O$36:$V$43,$B11="Cars and light commercial vehicles (pre 2004)", $O$44:$V$48,$B11="Light duty vehicles",$O$49:$V$50,$B11="Heavy duty vehicles",$O$51:$V$58,$B11="Aviation",$O$59:$V$61,$B11="Vessel",$O$63:$V$65,TRUE,$O$66:$V$66),2,FALSE))</f>
        <v>34.200000000000003</v>
      </c>
      <c r="F11" s="3" t="str">
        <f t="shared" ref="F11:F28" si="1">IF(ISBLANK(C11), "", VLOOKUP($C11, _xlfn.IFS($B11="Cars and light commercial vehicles", $O$36:$V$43,$B11="Cars and light commercial vehicles (pre 2004)", $O$44:$V$48,$B11="Light duty vehicles",$O$49:$V$50,$B11="Heavy duty vehicles",$O$51:$V$58,$B11="Aviation",$O$59:$V$61,$B11="Vessel",$O$63:$V$65,TRUE,$O$66:$V$66),3,FALSE))</f>
        <v>GJ/kL</v>
      </c>
      <c r="G11" s="3">
        <f t="shared" ref="G11:G28" si="2">IF(ISBLANK(D11), "", VLOOKUP($C11, _xlfn.IFS($B11="Cars and light commercial vehicles", $O$36:$V$43,$B11="Cars and light commercial vehicles (pre 2004)", $O$44:$V$48,$B11="Light duty vehicles",$O$49:$V$50,$B11="Heavy duty vehicles",$O$51:$V$58,$B11="Aviation",$O$59:$V$61,$B11="Vessel",$O$63:$V$65,TRUE,$O$66:$V$66),7,FALSE))</f>
        <v>67.62</v>
      </c>
      <c r="H11">
        <f>D11*E11*G11/1000</f>
        <v>11.56302</v>
      </c>
      <c r="J11" t="s">
        <v>61</v>
      </c>
      <c r="K11">
        <v>0.39716000000000001</v>
      </c>
    </row>
    <row r="12" spans="1:11" x14ac:dyDescent="0.2">
      <c r="A12" t="s">
        <v>57</v>
      </c>
      <c r="B12" t="s">
        <v>11</v>
      </c>
      <c r="C12" t="s">
        <v>13</v>
      </c>
      <c r="D12" s="3">
        <v>6</v>
      </c>
      <c r="E12" s="3">
        <f t="shared" si="0"/>
        <v>38.6</v>
      </c>
      <c r="F12" s="3" t="str">
        <f t="shared" si="1"/>
        <v>GJ/kL</v>
      </c>
      <c r="G12" s="3">
        <f t="shared" si="2"/>
        <v>70.41</v>
      </c>
      <c r="H12">
        <f t="shared" ref="H12:H28" si="3">D12*E12*G12/1000</f>
        <v>16.306956</v>
      </c>
      <c r="J12" t="s">
        <v>62</v>
      </c>
      <c r="K12">
        <v>0.14699000000000001</v>
      </c>
    </row>
    <row r="13" spans="1:11" x14ac:dyDescent="0.2">
      <c r="A13" t="s">
        <v>58</v>
      </c>
      <c r="B13" t="s">
        <v>11</v>
      </c>
      <c r="C13" t="s">
        <v>14</v>
      </c>
      <c r="D13" s="3">
        <v>7</v>
      </c>
      <c r="E13" s="3">
        <f t="shared" si="0"/>
        <v>26.2</v>
      </c>
      <c r="F13" s="3" t="str">
        <f t="shared" si="1"/>
        <v>GJ/kL</v>
      </c>
      <c r="G13" s="3">
        <f t="shared" si="2"/>
        <v>61</v>
      </c>
      <c r="H13">
        <f t="shared" si="3"/>
        <v>11.1874</v>
      </c>
      <c r="J13" t="s">
        <v>63</v>
      </c>
      <c r="K13">
        <v>0.10356</v>
      </c>
    </row>
    <row r="14" spans="1:11" x14ac:dyDescent="0.2">
      <c r="A14" t="s">
        <v>62</v>
      </c>
      <c r="B14" t="s">
        <v>11</v>
      </c>
      <c r="C14" t="s">
        <v>15</v>
      </c>
      <c r="D14" s="3">
        <v>8</v>
      </c>
      <c r="E14" s="3">
        <f t="shared" si="0"/>
        <v>39.700000000000003</v>
      </c>
      <c r="F14" s="3" t="str">
        <f t="shared" si="1"/>
        <v>GJ/kL</v>
      </c>
      <c r="G14" s="3">
        <f t="shared" si="2"/>
        <v>74.180000000000007</v>
      </c>
      <c r="H14">
        <f t="shared" si="3"/>
        <v>23.559568000000002</v>
      </c>
      <c r="J14" t="s">
        <v>64</v>
      </c>
      <c r="K14">
        <v>0.12121999999999999</v>
      </c>
    </row>
    <row r="15" spans="1:11" x14ac:dyDescent="0.2">
      <c r="A15" t="s">
        <v>58</v>
      </c>
      <c r="B15" t="s">
        <v>16</v>
      </c>
      <c r="C15" t="s">
        <v>12</v>
      </c>
      <c r="D15" s="3">
        <v>4</v>
      </c>
      <c r="E15" s="3">
        <f t="shared" si="0"/>
        <v>34.200000000000003</v>
      </c>
      <c r="F15" s="3" t="str">
        <f t="shared" si="1"/>
        <v>GJ/kL</v>
      </c>
      <c r="G15" s="3">
        <f t="shared" si="2"/>
        <v>69.599999999999994</v>
      </c>
      <c r="H15">
        <f t="shared" si="3"/>
        <v>9.5212800000000009</v>
      </c>
      <c r="J15" t="s">
        <v>65</v>
      </c>
      <c r="K15">
        <v>4.6039700000000003</v>
      </c>
    </row>
    <row r="16" spans="1:11" x14ac:dyDescent="0.2">
      <c r="A16" t="s">
        <v>60</v>
      </c>
      <c r="B16" t="s">
        <v>17</v>
      </c>
      <c r="C16" t="s">
        <v>18</v>
      </c>
      <c r="D16">
        <v>6</v>
      </c>
      <c r="E16" s="3">
        <f t="shared" si="0"/>
        <v>25.3</v>
      </c>
      <c r="F16" s="3" t="str">
        <f t="shared" si="1"/>
        <v>GJ/kL</v>
      </c>
      <c r="G16" s="3">
        <f t="shared" si="2"/>
        <v>59</v>
      </c>
      <c r="H16">
        <f t="shared" si="3"/>
        <v>8.9562000000000008</v>
      </c>
      <c r="J16" t="s">
        <v>66</v>
      </c>
      <c r="K16">
        <v>1.2783500000000001</v>
      </c>
    </row>
    <row r="17" spans="1:11" x14ac:dyDescent="0.2">
      <c r="A17" t="s">
        <v>59</v>
      </c>
      <c r="B17" t="s">
        <v>17</v>
      </c>
      <c r="C17" t="s">
        <v>19</v>
      </c>
      <c r="D17">
        <v>7</v>
      </c>
      <c r="E17" s="3">
        <f t="shared" si="0"/>
        <v>3.9300000000000002E-2</v>
      </c>
      <c r="F17" s="3" t="str">
        <f t="shared" si="1"/>
        <v>GJ/m3</v>
      </c>
      <c r="G17" s="3">
        <f t="shared" si="2"/>
        <v>59</v>
      </c>
      <c r="H17">
        <f t="shared" si="3"/>
        <v>1.6230900000000003E-2</v>
      </c>
      <c r="J17" t="s">
        <v>67</v>
      </c>
      <c r="K17">
        <v>0.89939000000000002</v>
      </c>
    </row>
    <row r="18" spans="1:11" x14ac:dyDescent="0.2">
      <c r="A18" t="s">
        <v>59</v>
      </c>
      <c r="B18" t="s">
        <v>20</v>
      </c>
      <c r="C18" t="s">
        <v>19</v>
      </c>
      <c r="D18">
        <v>8</v>
      </c>
      <c r="E18" s="3">
        <f t="shared" si="0"/>
        <v>3.9300000000000002E-2</v>
      </c>
      <c r="F18" s="3" t="str">
        <f t="shared" si="1"/>
        <v>GJ/m3</v>
      </c>
      <c r="G18" s="3">
        <f t="shared" si="2"/>
        <v>54.5</v>
      </c>
      <c r="H18">
        <f t="shared" si="3"/>
        <v>1.7134800000000002E-2</v>
      </c>
      <c r="J18" t="s">
        <v>68</v>
      </c>
      <c r="K18">
        <v>2.5829999999999999E-2</v>
      </c>
    </row>
    <row r="19" spans="1:11" x14ac:dyDescent="0.2">
      <c r="A19" t="s">
        <v>60</v>
      </c>
      <c r="B19" t="s">
        <v>20</v>
      </c>
      <c r="C19" s="4" t="s">
        <v>18</v>
      </c>
      <c r="D19">
        <v>7</v>
      </c>
      <c r="E19" s="3">
        <f t="shared" si="0"/>
        <v>25.3</v>
      </c>
      <c r="F19" s="3" t="str">
        <f t="shared" si="1"/>
        <v>GJ/kL</v>
      </c>
      <c r="G19" s="3">
        <f t="shared" si="2"/>
        <v>54.5</v>
      </c>
      <c r="H19">
        <f t="shared" si="3"/>
        <v>9.6519499999999994</v>
      </c>
      <c r="J19" t="s">
        <v>69</v>
      </c>
      <c r="K19">
        <v>3.5300000000000002E-3</v>
      </c>
    </row>
    <row r="20" spans="1:11" x14ac:dyDescent="0.2">
      <c r="A20" t="s">
        <v>57</v>
      </c>
      <c r="B20" t="s">
        <v>20</v>
      </c>
      <c r="C20" s="4" t="s">
        <v>21</v>
      </c>
      <c r="D20">
        <v>8</v>
      </c>
      <c r="E20" s="3">
        <f t="shared" si="0"/>
        <v>38.6</v>
      </c>
      <c r="F20" s="3" t="str">
        <f t="shared" si="1"/>
        <v>GJ/kL</v>
      </c>
      <c r="G20" s="3">
        <f t="shared" si="2"/>
        <v>70.37</v>
      </c>
      <c r="H20">
        <f t="shared" si="3"/>
        <v>21.730256000000001</v>
      </c>
      <c r="J20" t="s">
        <v>70</v>
      </c>
      <c r="K20">
        <v>1.321E-2</v>
      </c>
    </row>
    <row r="21" spans="1:11" x14ac:dyDescent="0.2">
      <c r="A21" t="s">
        <v>64</v>
      </c>
      <c r="B21" t="s">
        <v>20</v>
      </c>
      <c r="C21" s="4" t="s">
        <v>22</v>
      </c>
      <c r="D21">
        <v>9</v>
      </c>
      <c r="E21" s="3">
        <f t="shared" si="0"/>
        <v>38.6</v>
      </c>
      <c r="F21" s="3" t="str">
        <f t="shared" si="1"/>
        <v>GJ/kL</v>
      </c>
      <c r="G21" s="3">
        <f t="shared" si="2"/>
        <v>70.400000000000006</v>
      </c>
      <c r="H21">
        <f t="shared" si="3"/>
        <v>24.456960000000002</v>
      </c>
      <c r="J21" t="s">
        <v>71</v>
      </c>
      <c r="K21">
        <v>1.6119999999999999E-2</v>
      </c>
    </row>
    <row r="22" spans="1:11" x14ac:dyDescent="0.2">
      <c r="A22" t="s">
        <v>64</v>
      </c>
      <c r="B22" t="s">
        <v>20</v>
      </c>
      <c r="C22" s="4" t="s">
        <v>23</v>
      </c>
      <c r="D22">
        <v>10</v>
      </c>
      <c r="E22" s="3">
        <f t="shared" si="0"/>
        <v>38.6</v>
      </c>
      <c r="F22" s="3" t="str">
        <f t="shared" si="1"/>
        <v>GJ/kL</v>
      </c>
      <c r="G22" s="3">
        <f t="shared" si="2"/>
        <v>70.5</v>
      </c>
      <c r="H22">
        <f t="shared" si="3"/>
        <v>27.213000000000001</v>
      </c>
      <c r="J22" t="s">
        <v>72</v>
      </c>
      <c r="K22">
        <v>1.306E-2</v>
      </c>
    </row>
    <row r="23" spans="1:11" x14ac:dyDescent="0.2">
      <c r="A23" t="s">
        <v>65</v>
      </c>
      <c r="B23" t="s">
        <v>24</v>
      </c>
      <c r="C23" t="s">
        <v>25</v>
      </c>
      <c r="D23">
        <v>8</v>
      </c>
      <c r="E23" s="3">
        <f t="shared" si="0"/>
        <v>33.1</v>
      </c>
      <c r="F23" s="3" t="str">
        <f t="shared" si="1"/>
        <v>GJ/kL</v>
      </c>
      <c r="G23" s="3">
        <f t="shared" si="2"/>
        <v>67.66</v>
      </c>
      <c r="H23">
        <f t="shared" si="3"/>
        <v>17.916367999999999</v>
      </c>
    </row>
    <row r="24" spans="1:11" x14ac:dyDescent="0.2">
      <c r="A24" t="s">
        <v>66</v>
      </c>
      <c r="B24" t="s">
        <v>24</v>
      </c>
      <c r="C24" t="s">
        <v>26</v>
      </c>
      <c r="D24">
        <v>9</v>
      </c>
      <c r="E24" s="3">
        <f t="shared" si="0"/>
        <v>36.799999999999997</v>
      </c>
      <c r="F24" s="3" t="str">
        <f t="shared" si="1"/>
        <v>GJ/kL</v>
      </c>
      <c r="G24" s="3">
        <f t="shared" si="2"/>
        <v>70.209999999999994</v>
      </c>
      <c r="H24">
        <f t="shared" si="3"/>
        <v>23.253551999999996</v>
      </c>
    </row>
    <row r="25" spans="1:11" x14ac:dyDescent="0.2">
      <c r="A25" t="s">
        <v>69</v>
      </c>
      <c r="B25" t="s">
        <v>27</v>
      </c>
      <c r="C25" t="s">
        <v>28</v>
      </c>
      <c r="D25">
        <v>9</v>
      </c>
      <c r="E25" s="3">
        <f t="shared" si="0"/>
        <v>34.200000000000003</v>
      </c>
      <c r="F25" s="3" t="str">
        <f t="shared" si="1"/>
        <v>GJ/kL</v>
      </c>
      <c r="G25" s="3">
        <f t="shared" si="2"/>
        <v>77.8</v>
      </c>
      <c r="H25">
        <f t="shared" si="3"/>
        <v>23.946840000000002</v>
      </c>
    </row>
    <row r="26" spans="1:11" x14ac:dyDescent="0.2">
      <c r="A26" t="s">
        <v>70</v>
      </c>
      <c r="B26" t="s">
        <v>27</v>
      </c>
      <c r="C26" t="s">
        <v>29</v>
      </c>
      <c r="D26">
        <v>10</v>
      </c>
      <c r="E26" s="3">
        <f t="shared" si="0"/>
        <v>38.6</v>
      </c>
      <c r="F26" s="3" t="str">
        <f t="shared" si="1"/>
        <v>GJ/kL</v>
      </c>
      <c r="G26" s="3">
        <f t="shared" si="2"/>
        <v>70.600000000000009</v>
      </c>
      <c r="H26">
        <f t="shared" si="3"/>
        <v>27.251600000000003</v>
      </c>
    </row>
    <row r="27" spans="1:11" x14ac:dyDescent="0.2">
      <c r="A27" t="s">
        <v>71</v>
      </c>
      <c r="B27" t="s">
        <v>27</v>
      </c>
      <c r="C27" t="s">
        <v>30</v>
      </c>
      <c r="D27">
        <v>11</v>
      </c>
      <c r="E27" s="3">
        <f t="shared" si="0"/>
        <v>39.700000000000003</v>
      </c>
      <c r="F27" s="3" t="str">
        <f t="shared" si="1"/>
        <v>GJ/kL</v>
      </c>
      <c r="G27" s="3">
        <f t="shared" si="2"/>
        <v>74.3</v>
      </c>
      <c r="H27">
        <f t="shared" si="3"/>
        <v>32.446809999999999</v>
      </c>
    </row>
    <row r="28" spans="1:11" x14ac:dyDescent="0.2">
      <c r="A28" t="s">
        <v>57</v>
      </c>
      <c r="B28" t="s">
        <v>31</v>
      </c>
      <c r="C28" t="s">
        <v>29</v>
      </c>
      <c r="D28">
        <v>10</v>
      </c>
      <c r="E28" s="3">
        <f t="shared" si="0"/>
        <v>38.6</v>
      </c>
      <c r="F28" s="3" t="str">
        <f t="shared" si="1"/>
        <v>GJ/kL</v>
      </c>
      <c r="G28" s="3">
        <f t="shared" si="2"/>
        <v>70.7</v>
      </c>
      <c r="H28">
        <f t="shared" si="3"/>
        <v>27.290200000000002</v>
      </c>
    </row>
    <row r="35" spans="14:22" ht="102" x14ac:dyDescent="0.2">
      <c r="N35" s="5" t="s">
        <v>32</v>
      </c>
      <c r="O35" s="5" t="s">
        <v>39</v>
      </c>
      <c r="P35" s="6" t="s">
        <v>40</v>
      </c>
      <c r="Q35" t="s">
        <v>37</v>
      </c>
      <c r="R35" s="6" t="s">
        <v>41</v>
      </c>
      <c r="S35" s="7" t="s">
        <v>42</v>
      </c>
      <c r="T35" s="5" t="s">
        <v>43</v>
      </c>
      <c r="U35" s="5" t="s">
        <v>44</v>
      </c>
      <c r="V35" s="5" t="s">
        <v>45</v>
      </c>
    </row>
    <row r="36" spans="14:22" x14ac:dyDescent="0.2">
      <c r="N36" t="s">
        <v>11</v>
      </c>
      <c r="O36" t="s">
        <v>12</v>
      </c>
      <c r="P36" s="8">
        <v>34.200000000000003</v>
      </c>
      <c r="Q36" t="s">
        <v>46</v>
      </c>
      <c r="R36" s="8">
        <v>67.400000000000006</v>
      </c>
      <c r="S36" s="9">
        <v>0.02</v>
      </c>
      <c r="T36">
        <v>0.2</v>
      </c>
      <c r="U36">
        <v>67.62</v>
      </c>
      <c r="V36">
        <v>17.2</v>
      </c>
    </row>
    <row r="37" spans="14:22" x14ac:dyDescent="0.2">
      <c r="N37" t="s">
        <v>11</v>
      </c>
      <c r="O37" t="s">
        <v>13</v>
      </c>
      <c r="P37">
        <v>38.6</v>
      </c>
      <c r="Q37" t="s">
        <v>46</v>
      </c>
      <c r="R37">
        <v>69.900000000000006</v>
      </c>
      <c r="S37">
        <v>0.01</v>
      </c>
      <c r="T37">
        <v>0.5</v>
      </c>
      <c r="U37">
        <v>70.41</v>
      </c>
      <c r="V37">
        <v>17.3</v>
      </c>
    </row>
    <row r="38" spans="14:22" x14ac:dyDescent="0.2">
      <c r="N38" t="s">
        <v>11</v>
      </c>
      <c r="O38" t="s">
        <v>14</v>
      </c>
      <c r="P38" s="8">
        <v>26.2</v>
      </c>
      <c r="Q38" t="s">
        <v>46</v>
      </c>
      <c r="R38" s="8">
        <v>60.2</v>
      </c>
      <c r="S38">
        <v>0.5</v>
      </c>
      <c r="T38">
        <v>0.3</v>
      </c>
      <c r="U38">
        <v>61</v>
      </c>
      <c r="V38">
        <v>20.2</v>
      </c>
    </row>
    <row r="39" spans="14:22" x14ac:dyDescent="0.2">
      <c r="N39" t="s">
        <v>11</v>
      </c>
      <c r="O39" t="s">
        <v>15</v>
      </c>
      <c r="P39" s="8">
        <v>39.700000000000003</v>
      </c>
      <c r="Q39" t="s">
        <v>46</v>
      </c>
      <c r="R39" s="8">
        <v>73.599999999999994</v>
      </c>
      <c r="S39">
        <v>0.08</v>
      </c>
      <c r="T39">
        <v>0.5</v>
      </c>
      <c r="U39">
        <v>74.180000000000007</v>
      </c>
      <c r="V39">
        <v>18</v>
      </c>
    </row>
    <row r="40" spans="14:22" x14ac:dyDescent="0.2">
      <c r="N40" t="s">
        <v>11</v>
      </c>
      <c r="O40" t="s">
        <v>47</v>
      </c>
      <c r="P40" s="8">
        <v>23.4</v>
      </c>
      <c r="Q40" t="s">
        <v>46</v>
      </c>
      <c r="R40" s="8">
        <v>0</v>
      </c>
      <c r="S40">
        <v>0.2</v>
      </c>
      <c r="T40">
        <v>0.2</v>
      </c>
      <c r="U40" s="5">
        <v>0.4</v>
      </c>
      <c r="V40" t="s">
        <v>48</v>
      </c>
    </row>
    <row r="41" spans="14:22" x14ac:dyDescent="0.2">
      <c r="N41" t="s">
        <v>11</v>
      </c>
      <c r="O41" t="s">
        <v>49</v>
      </c>
      <c r="P41" s="8">
        <v>34.6</v>
      </c>
      <c r="Q41" t="s">
        <v>46</v>
      </c>
      <c r="R41" s="8">
        <v>0</v>
      </c>
      <c r="S41">
        <v>0.8</v>
      </c>
      <c r="T41">
        <v>1.7</v>
      </c>
      <c r="U41" s="5">
        <v>2.5</v>
      </c>
      <c r="V41" t="s">
        <v>48</v>
      </c>
    </row>
    <row r="42" spans="14:22" x14ac:dyDescent="0.2">
      <c r="N42" t="s">
        <v>11</v>
      </c>
      <c r="O42" t="s">
        <v>50</v>
      </c>
      <c r="P42" s="8">
        <v>38.6</v>
      </c>
      <c r="Q42" t="s">
        <v>46</v>
      </c>
      <c r="R42" s="10">
        <v>0</v>
      </c>
      <c r="S42" s="11">
        <v>0.01</v>
      </c>
      <c r="T42" s="11">
        <v>0.5</v>
      </c>
      <c r="U42" s="11">
        <v>0.51</v>
      </c>
      <c r="V42" s="11" t="s">
        <v>48</v>
      </c>
    </row>
    <row r="43" spans="14:22" x14ac:dyDescent="0.2">
      <c r="N43" t="s">
        <v>11</v>
      </c>
      <c r="O43" t="s">
        <v>51</v>
      </c>
      <c r="P43" s="8">
        <v>23.4</v>
      </c>
      <c r="Q43" t="s">
        <v>46</v>
      </c>
      <c r="R43" s="10">
        <v>0</v>
      </c>
      <c r="S43" s="11">
        <v>0.8</v>
      </c>
      <c r="T43" s="11">
        <v>1.7</v>
      </c>
      <c r="U43" s="11">
        <v>2.5</v>
      </c>
      <c r="V43" s="11" t="s">
        <v>48</v>
      </c>
    </row>
    <row r="44" spans="14:22" x14ac:dyDescent="0.2">
      <c r="N44" t="s">
        <v>16</v>
      </c>
      <c r="O44" t="s">
        <v>12</v>
      </c>
      <c r="P44" s="8">
        <v>34.200000000000003</v>
      </c>
      <c r="Q44" t="s">
        <v>46</v>
      </c>
      <c r="R44" s="8">
        <v>67.400000000000006</v>
      </c>
      <c r="S44" s="9">
        <v>0.6</v>
      </c>
      <c r="T44">
        <v>1.6</v>
      </c>
      <c r="U44">
        <f>SUM(R44:T44)</f>
        <v>69.599999999999994</v>
      </c>
      <c r="V44">
        <v>17.2</v>
      </c>
    </row>
    <row r="45" spans="14:22" x14ac:dyDescent="0.2">
      <c r="N45" t="s">
        <v>16</v>
      </c>
      <c r="O45" t="s">
        <v>13</v>
      </c>
      <c r="P45">
        <v>38.6</v>
      </c>
      <c r="Q45" t="s">
        <v>46</v>
      </c>
      <c r="R45">
        <v>69.900000000000006</v>
      </c>
      <c r="S45">
        <v>0.1</v>
      </c>
      <c r="T45">
        <v>0.4</v>
      </c>
      <c r="U45">
        <f t="shared" ref="U45:U48" si="4">SUM(R45:T45)</f>
        <v>70.400000000000006</v>
      </c>
      <c r="V45">
        <v>17.3</v>
      </c>
    </row>
    <row r="46" spans="14:22" x14ac:dyDescent="0.2">
      <c r="N46" t="s">
        <v>16</v>
      </c>
      <c r="O46" t="s">
        <v>14</v>
      </c>
      <c r="P46" s="8">
        <v>26.2</v>
      </c>
      <c r="Q46" t="s">
        <v>46</v>
      </c>
      <c r="R46" s="8">
        <v>60.2</v>
      </c>
      <c r="S46">
        <v>0.7</v>
      </c>
      <c r="T46">
        <v>0.6</v>
      </c>
      <c r="U46">
        <f t="shared" si="4"/>
        <v>61.500000000000007</v>
      </c>
      <c r="V46">
        <v>20.2</v>
      </c>
    </row>
    <row r="47" spans="14:22" x14ac:dyDescent="0.2">
      <c r="N47" t="s">
        <v>16</v>
      </c>
      <c r="O47" t="s">
        <v>47</v>
      </c>
      <c r="P47" s="8">
        <v>23.4</v>
      </c>
      <c r="Q47" t="s">
        <v>46</v>
      </c>
      <c r="R47" s="8">
        <v>0</v>
      </c>
      <c r="S47">
        <v>0.8</v>
      </c>
      <c r="T47">
        <v>1.7</v>
      </c>
      <c r="U47">
        <f t="shared" si="4"/>
        <v>2.5</v>
      </c>
      <c r="V47" t="s">
        <v>48</v>
      </c>
    </row>
    <row r="48" spans="14:22" x14ac:dyDescent="0.2">
      <c r="N48" t="s">
        <v>16</v>
      </c>
      <c r="O48" t="s">
        <v>50</v>
      </c>
      <c r="P48" s="8">
        <v>38.6</v>
      </c>
      <c r="Q48" t="s">
        <v>46</v>
      </c>
      <c r="R48" s="10">
        <v>0</v>
      </c>
      <c r="S48" s="11">
        <v>0.1</v>
      </c>
      <c r="T48" s="11">
        <v>0.4</v>
      </c>
      <c r="U48">
        <f t="shared" si="4"/>
        <v>0.5</v>
      </c>
      <c r="V48" s="11" t="s">
        <v>48</v>
      </c>
    </row>
    <row r="49" spans="14:22" x14ac:dyDescent="0.2">
      <c r="N49" t="s">
        <v>17</v>
      </c>
      <c r="O49" t="s">
        <v>19</v>
      </c>
      <c r="P49" s="8">
        <v>3.9300000000000002E-2</v>
      </c>
      <c r="Q49" t="s">
        <v>52</v>
      </c>
      <c r="R49" s="10">
        <v>51.4</v>
      </c>
      <c r="S49" s="11">
        <v>7.3</v>
      </c>
      <c r="T49" s="11">
        <v>0.3</v>
      </c>
      <c r="U49" s="11">
        <v>59</v>
      </c>
      <c r="V49" s="11">
        <v>18</v>
      </c>
    </row>
    <row r="50" spans="14:22" x14ac:dyDescent="0.2">
      <c r="N50" t="s">
        <v>17</v>
      </c>
      <c r="O50" t="s">
        <v>18</v>
      </c>
      <c r="P50" s="8">
        <v>25.3</v>
      </c>
      <c r="Q50" t="s">
        <v>46</v>
      </c>
      <c r="R50" s="10">
        <v>51.4</v>
      </c>
      <c r="S50" s="11">
        <v>7.3</v>
      </c>
      <c r="T50" s="11">
        <v>0.3</v>
      </c>
      <c r="U50" s="11">
        <v>59</v>
      </c>
      <c r="V50" s="11">
        <v>18</v>
      </c>
    </row>
    <row r="51" spans="14:22" x14ac:dyDescent="0.2">
      <c r="N51" t="s">
        <v>20</v>
      </c>
      <c r="O51" t="s">
        <v>19</v>
      </c>
      <c r="P51" s="8">
        <v>3.9300000000000002E-2</v>
      </c>
      <c r="Q51" t="s">
        <v>52</v>
      </c>
      <c r="R51" s="10">
        <v>51.4</v>
      </c>
      <c r="S51" s="11">
        <v>2.8</v>
      </c>
      <c r="T51" s="11">
        <v>0.3</v>
      </c>
      <c r="U51" s="11">
        <v>54.5</v>
      </c>
      <c r="V51" s="11">
        <v>18</v>
      </c>
    </row>
    <row r="52" spans="14:22" x14ac:dyDescent="0.2">
      <c r="N52" t="s">
        <v>20</v>
      </c>
      <c r="O52" t="s">
        <v>18</v>
      </c>
      <c r="P52" s="8">
        <v>25.3</v>
      </c>
      <c r="Q52" t="s">
        <v>46</v>
      </c>
      <c r="R52" s="10">
        <v>51.4</v>
      </c>
      <c r="S52" s="11">
        <v>2.8</v>
      </c>
      <c r="T52" s="11">
        <v>0.3</v>
      </c>
      <c r="U52" s="11">
        <v>54.5</v>
      </c>
      <c r="V52" s="11">
        <v>18</v>
      </c>
    </row>
    <row r="53" spans="14:22" x14ac:dyDescent="0.2">
      <c r="N53" t="s">
        <v>20</v>
      </c>
      <c r="O53" t="s">
        <v>21</v>
      </c>
      <c r="P53" s="8">
        <v>38.6</v>
      </c>
      <c r="Q53" t="s">
        <v>46</v>
      </c>
      <c r="R53" s="10">
        <v>69.900000000000006</v>
      </c>
      <c r="S53" s="11">
        <v>7.0000000000000007E-2</v>
      </c>
      <c r="T53" s="11">
        <v>0.4</v>
      </c>
      <c r="U53" s="11">
        <v>70.37</v>
      </c>
      <c r="V53" s="11">
        <v>17.3</v>
      </c>
    </row>
    <row r="54" spans="14:22" x14ac:dyDescent="0.2">
      <c r="N54" t="s">
        <v>20</v>
      </c>
      <c r="O54" t="s">
        <v>22</v>
      </c>
      <c r="P54" s="8">
        <v>38.6</v>
      </c>
      <c r="Q54" t="s">
        <v>46</v>
      </c>
      <c r="R54" s="10">
        <v>69.900000000000006</v>
      </c>
      <c r="S54" s="11">
        <v>0.1</v>
      </c>
      <c r="T54" s="11">
        <v>0.4</v>
      </c>
      <c r="U54" s="11">
        <v>70.400000000000006</v>
      </c>
      <c r="V54" s="11">
        <v>17.3</v>
      </c>
    </row>
    <row r="55" spans="14:22" x14ac:dyDescent="0.2">
      <c r="N55" t="s">
        <v>20</v>
      </c>
      <c r="O55" t="s">
        <v>23</v>
      </c>
      <c r="P55" s="8">
        <v>38.6</v>
      </c>
      <c r="Q55" t="s">
        <v>46</v>
      </c>
      <c r="R55" s="10">
        <v>69.900000000000006</v>
      </c>
      <c r="S55" s="11">
        <v>0.2</v>
      </c>
      <c r="T55" s="11">
        <v>0.4</v>
      </c>
      <c r="U55" s="11">
        <v>70.5</v>
      </c>
      <c r="V55" s="11">
        <v>17.3</v>
      </c>
    </row>
    <row r="56" spans="14:22" x14ac:dyDescent="0.2">
      <c r="N56" t="s">
        <v>20</v>
      </c>
      <c r="O56" t="s">
        <v>53</v>
      </c>
      <c r="P56" s="8">
        <v>38.6</v>
      </c>
      <c r="Q56" t="s">
        <v>46</v>
      </c>
      <c r="R56" s="10">
        <v>0</v>
      </c>
      <c r="S56" s="11">
        <v>7.0000000000000007E-2</v>
      </c>
      <c r="T56" s="11">
        <v>0.4</v>
      </c>
      <c r="U56" s="11">
        <v>0.47</v>
      </c>
      <c r="V56" s="11" t="s">
        <v>48</v>
      </c>
    </row>
    <row r="57" spans="14:22" x14ac:dyDescent="0.2">
      <c r="N57" t="s">
        <v>20</v>
      </c>
      <c r="O57" t="s">
        <v>54</v>
      </c>
      <c r="P57" s="8">
        <v>38.6</v>
      </c>
      <c r="Q57" t="s">
        <v>46</v>
      </c>
      <c r="R57" s="10">
        <v>0</v>
      </c>
      <c r="S57" s="11">
        <v>0.1</v>
      </c>
      <c r="T57" s="11">
        <v>0.4</v>
      </c>
      <c r="U57" s="11">
        <v>0.5</v>
      </c>
      <c r="V57" s="11" t="s">
        <v>48</v>
      </c>
    </row>
    <row r="58" spans="14:22" x14ac:dyDescent="0.2">
      <c r="N58" t="s">
        <v>20</v>
      </c>
      <c r="O58" t="s">
        <v>55</v>
      </c>
      <c r="P58" s="8">
        <v>38.6</v>
      </c>
      <c r="Q58" t="s">
        <v>46</v>
      </c>
      <c r="R58" s="10">
        <v>0</v>
      </c>
      <c r="S58" s="11">
        <v>0.2</v>
      </c>
      <c r="T58" s="11">
        <v>0.4</v>
      </c>
      <c r="U58" s="11">
        <v>0.6</v>
      </c>
      <c r="V58" s="11" t="s">
        <v>48</v>
      </c>
    </row>
    <row r="59" spans="14:22" x14ac:dyDescent="0.2">
      <c r="N59" t="s">
        <v>24</v>
      </c>
      <c r="O59" t="s">
        <v>25</v>
      </c>
      <c r="P59" s="8">
        <v>33.1</v>
      </c>
      <c r="Q59" t="s">
        <v>46</v>
      </c>
      <c r="R59" s="10">
        <v>67</v>
      </c>
      <c r="S59" s="11">
        <v>0.06</v>
      </c>
      <c r="T59" s="11">
        <v>0.6</v>
      </c>
      <c r="U59" s="11">
        <v>67.66</v>
      </c>
      <c r="V59" s="11">
        <v>18</v>
      </c>
    </row>
    <row r="60" spans="14:22" x14ac:dyDescent="0.2">
      <c r="N60" t="s">
        <v>24</v>
      </c>
      <c r="O60" t="s">
        <v>26</v>
      </c>
      <c r="P60" s="8">
        <v>36.799999999999997</v>
      </c>
      <c r="Q60" t="s">
        <v>46</v>
      </c>
      <c r="R60" s="10">
        <v>69.599999999999994</v>
      </c>
      <c r="S60" s="11">
        <v>0.01</v>
      </c>
      <c r="T60" s="11">
        <v>0.6</v>
      </c>
      <c r="U60" s="11">
        <v>70.209999999999994</v>
      </c>
      <c r="V60" s="11">
        <v>18</v>
      </c>
    </row>
    <row r="61" spans="14:22" x14ac:dyDescent="0.2">
      <c r="N61" t="s">
        <v>24</v>
      </c>
      <c r="O61" t="s">
        <v>56</v>
      </c>
      <c r="P61" s="8">
        <v>36.799999999999997</v>
      </c>
      <c r="Q61" t="s">
        <v>46</v>
      </c>
      <c r="R61" s="10">
        <v>0</v>
      </c>
      <c r="S61" s="11">
        <v>0.01</v>
      </c>
      <c r="T61" s="11">
        <v>0.6</v>
      </c>
      <c r="U61" s="11">
        <v>0.61</v>
      </c>
      <c r="V61" s="11" t="s">
        <v>48</v>
      </c>
    </row>
    <row r="62" spans="14:22" x14ac:dyDescent="0.2">
      <c r="P62" s="8"/>
      <c r="R62" s="10"/>
      <c r="S62" s="11"/>
      <c r="T62" s="11"/>
      <c r="U62" s="11"/>
      <c r="V62" s="11"/>
    </row>
    <row r="63" spans="14:22" x14ac:dyDescent="0.2">
      <c r="N63" t="s">
        <v>27</v>
      </c>
      <c r="O63" t="s">
        <v>28</v>
      </c>
      <c r="P63" s="8">
        <v>34.200000000000003</v>
      </c>
      <c r="Q63" t="s">
        <v>46</v>
      </c>
      <c r="R63" s="12">
        <v>67.400000000000006</v>
      </c>
      <c r="S63" s="12">
        <v>10.1</v>
      </c>
      <c r="T63" s="12">
        <v>0.3</v>
      </c>
      <c r="U63" s="13">
        <f>SUM(R63:T63)</f>
        <v>77.8</v>
      </c>
      <c r="V63" s="12">
        <v>17.2</v>
      </c>
    </row>
    <row r="64" spans="14:22" x14ac:dyDescent="0.2">
      <c r="N64" t="s">
        <v>27</v>
      </c>
      <c r="O64" t="s">
        <v>29</v>
      </c>
      <c r="P64">
        <v>38.6</v>
      </c>
      <c r="Q64" t="s">
        <v>46</v>
      </c>
      <c r="R64" s="8">
        <v>69.900000000000006</v>
      </c>
      <c r="S64" s="10">
        <v>0.2</v>
      </c>
      <c r="T64" s="11">
        <v>0.5</v>
      </c>
      <c r="U64" s="13">
        <f t="shared" ref="U64:U66" si="5">SUM(R64:T64)</f>
        <v>70.600000000000009</v>
      </c>
      <c r="V64">
        <v>17.3</v>
      </c>
    </row>
    <row r="65" spans="14:22" x14ac:dyDescent="0.2">
      <c r="N65" t="s">
        <v>27</v>
      </c>
      <c r="O65" t="s">
        <v>30</v>
      </c>
      <c r="P65">
        <v>39.700000000000003</v>
      </c>
      <c r="Q65" t="s">
        <v>46</v>
      </c>
      <c r="R65" s="8">
        <v>73.599999999999994</v>
      </c>
      <c r="S65" s="8">
        <v>0.2</v>
      </c>
      <c r="T65">
        <v>0.5</v>
      </c>
      <c r="U65" s="13">
        <f t="shared" si="5"/>
        <v>74.3</v>
      </c>
      <c r="V65">
        <v>18</v>
      </c>
    </row>
    <row r="66" spans="14:22" x14ac:dyDescent="0.2">
      <c r="N66" t="s">
        <v>31</v>
      </c>
      <c r="O66" t="s">
        <v>29</v>
      </c>
      <c r="P66" s="8">
        <v>38.6</v>
      </c>
      <c r="Q66" t="s">
        <v>46</v>
      </c>
      <c r="R66" s="8">
        <v>69.900000000000006</v>
      </c>
      <c r="S66" s="8">
        <v>0.3</v>
      </c>
      <c r="T66">
        <v>0.5</v>
      </c>
      <c r="U66" s="13">
        <f t="shared" si="5"/>
        <v>70.7</v>
      </c>
      <c r="V66">
        <v>17.3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15.14.1 (method 1)</vt:lpstr>
      <vt:lpstr>15.14.1 (method 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 Cheesman</dc:creator>
  <cp:lastModifiedBy>Eddie Sholl</cp:lastModifiedBy>
  <dcterms:created xsi:type="dcterms:W3CDTF">2026-04-14T04:35:02Z</dcterms:created>
  <dcterms:modified xsi:type="dcterms:W3CDTF">2026-09-17T01:05:35Z</dcterms:modified>
</cp:coreProperties>
</file>