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/packages/calculators/src/modules/test/"/>
    </mc:Choice>
  </mc:AlternateContent>
  <xr:revisionPtr revIDLastSave="0" documentId="13_ncr:1_{B70A10FD-5872-2345-B12D-F9C2B1603D91}" xr6:coauthVersionLast="47" xr6:coauthVersionMax="47" xr10:uidLastSave="{00000000-0000-0000-0000-000000000000}"/>
  <bookViews>
    <workbookView xWindow="51200" yWindow="16500" windowWidth="28800" windowHeight="23520" xr2:uid="{5678E890-3691-CF46-80E7-00FB1F103661}"/>
  </bookViews>
  <sheets>
    <sheet name="15.7.1.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E7" i="3"/>
  <c r="C81" i="3"/>
  <c r="E81" i="3" s="1"/>
  <c r="C82" i="3"/>
  <c r="E82" i="3" s="1"/>
  <c r="C83" i="3"/>
  <c r="E83" i="3" s="1"/>
  <c r="C84" i="3"/>
  <c r="E84" i="3" s="1"/>
  <c r="C85" i="3"/>
  <c r="E85" i="3" s="1"/>
  <c r="C86" i="3"/>
  <c r="E86" i="3" s="1"/>
  <c r="C87" i="3"/>
  <c r="E87" i="3" s="1"/>
  <c r="C88" i="3"/>
  <c r="E88" i="3" s="1"/>
  <c r="C89" i="3"/>
  <c r="E89" i="3" s="1"/>
  <c r="C62" i="3"/>
  <c r="E62" i="3" s="1"/>
  <c r="C63" i="3"/>
  <c r="E63" i="3" s="1"/>
  <c r="C64" i="3"/>
  <c r="E64" i="3" s="1"/>
  <c r="C65" i="3"/>
  <c r="E65" i="3" s="1"/>
  <c r="C66" i="3"/>
  <c r="E66" i="3" s="1"/>
  <c r="C67" i="3"/>
  <c r="E67" i="3" s="1"/>
  <c r="C68" i="3"/>
  <c r="E68" i="3" s="1"/>
  <c r="C69" i="3"/>
  <c r="E69" i="3" s="1"/>
  <c r="C70" i="3"/>
  <c r="E70" i="3" s="1"/>
  <c r="C71" i="3"/>
  <c r="E71" i="3" s="1"/>
  <c r="C72" i="3"/>
  <c r="E72" i="3" s="1"/>
  <c r="C73" i="3"/>
  <c r="E73" i="3" s="1"/>
  <c r="C74" i="3"/>
  <c r="E74" i="3" s="1"/>
  <c r="C75" i="3"/>
  <c r="E75" i="3" s="1"/>
  <c r="C76" i="3"/>
  <c r="E76" i="3" s="1"/>
  <c r="C77" i="3"/>
  <c r="E77" i="3" s="1"/>
  <c r="C78" i="3"/>
  <c r="E78" i="3" s="1"/>
  <c r="C79" i="3"/>
  <c r="E79" i="3" s="1"/>
  <c r="C80" i="3"/>
  <c r="E80" i="3" s="1"/>
  <c r="C37" i="3"/>
  <c r="E37" i="3" s="1"/>
  <c r="C38" i="3"/>
  <c r="E38" i="3" s="1"/>
  <c r="C39" i="3"/>
  <c r="E39" i="3" s="1"/>
  <c r="C40" i="3"/>
  <c r="E40" i="3" s="1"/>
  <c r="C41" i="3"/>
  <c r="E41" i="3" s="1"/>
  <c r="C42" i="3"/>
  <c r="E42" i="3" s="1"/>
  <c r="C43" i="3"/>
  <c r="E43" i="3" s="1"/>
  <c r="C44" i="3"/>
  <c r="E44" i="3" s="1"/>
  <c r="C45" i="3"/>
  <c r="E45" i="3" s="1"/>
  <c r="C46" i="3"/>
  <c r="E46" i="3" s="1"/>
  <c r="C47" i="3"/>
  <c r="E47" i="3" s="1"/>
  <c r="C48" i="3"/>
  <c r="E48" i="3" s="1"/>
  <c r="C49" i="3"/>
  <c r="E49" i="3" s="1"/>
  <c r="C50" i="3"/>
  <c r="E50" i="3" s="1"/>
  <c r="C51" i="3"/>
  <c r="E51" i="3" s="1"/>
  <c r="C52" i="3"/>
  <c r="E52" i="3" s="1"/>
  <c r="C53" i="3"/>
  <c r="E53" i="3" s="1"/>
  <c r="C54" i="3"/>
  <c r="E54" i="3" s="1"/>
  <c r="C55" i="3"/>
  <c r="E55" i="3" s="1"/>
  <c r="C56" i="3"/>
  <c r="E56" i="3" s="1"/>
  <c r="C57" i="3"/>
  <c r="E57" i="3" s="1"/>
  <c r="C58" i="3"/>
  <c r="E58" i="3" s="1"/>
  <c r="C59" i="3"/>
  <c r="E59" i="3" s="1"/>
  <c r="C60" i="3"/>
  <c r="E60" i="3" s="1"/>
  <c r="C61" i="3"/>
  <c r="E61" i="3" s="1"/>
  <c r="C9" i="3"/>
  <c r="E9" i="3" s="1"/>
  <c r="C10" i="3"/>
  <c r="E10" i="3" s="1"/>
  <c r="C11" i="3"/>
  <c r="E11" i="3" s="1"/>
  <c r="C12" i="3"/>
  <c r="E12" i="3" s="1"/>
  <c r="C13" i="3"/>
  <c r="E13" i="3" s="1"/>
  <c r="C14" i="3"/>
  <c r="E14" i="3" s="1"/>
  <c r="C15" i="3"/>
  <c r="E15" i="3" s="1"/>
  <c r="C16" i="3"/>
  <c r="E16" i="3" s="1"/>
  <c r="C17" i="3"/>
  <c r="E17" i="3" s="1"/>
  <c r="C18" i="3"/>
  <c r="E18" i="3" s="1"/>
  <c r="C19" i="3"/>
  <c r="E19" i="3" s="1"/>
  <c r="C20" i="3"/>
  <c r="E20" i="3" s="1"/>
  <c r="C21" i="3"/>
  <c r="E21" i="3" s="1"/>
  <c r="C22" i="3"/>
  <c r="E22" i="3" s="1"/>
  <c r="C23" i="3"/>
  <c r="E23" i="3" s="1"/>
  <c r="C24" i="3"/>
  <c r="E24" i="3" s="1"/>
  <c r="C25" i="3"/>
  <c r="E25" i="3" s="1"/>
  <c r="C26" i="3"/>
  <c r="E26" i="3" s="1"/>
  <c r="C27" i="3"/>
  <c r="E27" i="3" s="1"/>
  <c r="C28" i="3"/>
  <c r="E28" i="3" s="1"/>
  <c r="C29" i="3"/>
  <c r="E29" i="3" s="1"/>
  <c r="C30" i="3"/>
  <c r="E30" i="3" s="1"/>
  <c r="C31" i="3"/>
  <c r="E31" i="3" s="1"/>
  <c r="C32" i="3"/>
  <c r="E32" i="3" s="1"/>
  <c r="C33" i="3"/>
  <c r="E33" i="3" s="1"/>
  <c r="C34" i="3"/>
  <c r="E34" i="3" s="1"/>
  <c r="C35" i="3"/>
  <c r="E35" i="3" s="1"/>
  <c r="C36" i="3"/>
  <c r="E36" i="3" s="1"/>
  <c r="C8" i="3"/>
  <c r="E8" i="3" s="1"/>
  <c r="E5" i="3"/>
  <c r="C6" i="3"/>
  <c r="C5" i="3"/>
  <c r="C7" i="3"/>
</calcChain>
</file>

<file path=xl/sharedStrings.xml><?xml version="1.0" encoding="utf-8"?>
<sst xmlns="http://schemas.openxmlformats.org/spreadsheetml/2006/main" count="177" uniqueCount="94">
  <si>
    <t>Method 1</t>
  </si>
  <si>
    <t>E</t>
  </si>
  <si>
    <t>M</t>
  </si>
  <si>
    <t xml:space="preserve">Bulldozer operation, medium load factor </t>
  </si>
  <si>
    <t>AusLCI v47 area based services, kg CO2e per hectare</t>
  </si>
  <si>
    <t>AusLCI v47 time based services, kg CO2e per hour</t>
  </si>
  <si>
    <r>
      <t>𝐸 = ∑ 𝐴</t>
    </r>
    <r>
      <rPr>
        <sz val="8"/>
        <color rgb="FF000000"/>
        <rFont val="Helvetica"/>
        <family val="2"/>
      </rPr>
      <t xml:space="preserve">𝑝 </t>
    </r>
    <r>
      <rPr>
        <sz val="11"/>
        <color rgb="FF000000"/>
        <rFont val="Helvetica"/>
        <family val="2"/>
      </rPr>
      <t xml:space="preserve">× 𝐸𝐹 </t>
    </r>
    <r>
      <rPr>
        <sz val="8"/>
        <color rgb="FF000000"/>
        <rFont val="Helvetica"/>
        <family val="2"/>
      </rPr>
      <t xml:space="preserve">𝑝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</si>
  <si>
    <t>Type of services purchased</t>
  </si>
  <si>
    <t>Amount purchased</t>
  </si>
  <si>
    <t>Ap</t>
  </si>
  <si>
    <t>Efp</t>
  </si>
  <si>
    <t>Bulldozer operation, medium load factor</t>
  </si>
  <si>
    <t>Air blast spraying, orchards</t>
  </si>
  <si>
    <t>Bed forming, cotton</t>
  </si>
  <si>
    <t>Bed forming, horticulture</t>
  </si>
  <si>
    <t>Boom spraying, cotton</t>
  </si>
  <si>
    <t>Boom spraying, horticulture</t>
  </si>
  <si>
    <t>Control of brigalow suckers, graslan aerial application</t>
  </si>
  <si>
    <t>Cultivating, broadacre crop, controlled traffic</t>
  </si>
  <si>
    <t>Cultivating, broadacre crop, conventional</t>
  </si>
  <si>
    <t>Cultivating, cotton</t>
  </si>
  <si>
    <t>Cultivating, large implement, horticulture</t>
  </si>
  <si>
    <t>Cultivating, medium implement, horticulture</t>
  </si>
  <si>
    <t>Disc ploughing, broadacre crop, controlled traffic</t>
  </si>
  <si>
    <t>Disc ploughing, broadacre crop, conventional</t>
  </si>
  <si>
    <t>Discing, cotton</t>
  </si>
  <si>
    <t>Fertiliser application, cotton</t>
  </si>
  <si>
    <t>Fertiliser side dressing, horticulture</t>
  </si>
  <si>
    <t>Fertiliser spreading, cotton</t>
  </si>
  <si>
    <t>Fertiliser spreading, horticulture</t>
  </si>
  <si>
    <t>Fertilizing, broadacre crop, pre &amp; post-emergence, controlled traffic</t>
  </si>
  <si>
    <t>Fertilizing, broadacre crop, pre &amp; post-emergence, conventional</t>
  </si>
  <si>
    <t>Grader operation, broadacre crop, medium load factor, controlled traffic</t>
  </si>
  <si>
    <t>Grader operation, broadacre crop, medium load factor, conventional</t>
  </si>
  <si>
    <t>Grain collection, broadacre, in-field with tractor and bin, controlled traffic</t>
  </si>
  <si>
    <t>Grain collection, broadacre, in-field with tractor and bin, conventional</t>
  </si>
  <si>
    <t>Harrowing, horticulture</t>
  </si>
  <si>
    <t>Harvesting, broadacre crop, combine less than 200kW, controlled traffic</t>
  </si>
  <si>
    <t>Harvesting, broadacre crop, combine less than 200kW, conventional</t>
  </si>
  <si>
    <t>Harvesting, cotton</t>
  </si>
  <si>
    <t>Harvesting, specialised machine, horticulture, 150 kW combine</t>
  </si>
  <si>
    <t>Hay baling, large square bales, broadacre crop, controlled traffic</t>
  </si>
  <si>
    <t>Hay baling, large square bales, broadacre crop, conventional</t>
  </si>
  <si>
    <t>Hay baling, round bales, broadacre crop, controlled traffic</t>
  </si>
  <si>
    <t>Hay baling, round bales, broadacre crop, conventional</t>
  </si>
  <si>
    <t>Hay baling, small square bales, broadacre crop, controlled traffic</t>
  </si>
  <si>
    <t>Hay baling, small square bales, broadacre crop, conventional</t>
  </si>
  <si>
    <t>Hay mowing, broadacre crop, controlled traffic</t>
  </si>
  <si>
    <t>Hay mowing, broadacre crop, conventional</t>
  </si>
  <si>
    <t>Hay raking, broadacre crop, controlled traffic</t>
  </si>
  <si>
    <t>Hay raking, broadacre crop, conventional</t>
  </si>
  <si>
    <t>Inter-row cultivation, horticulture</t>
  </si>
  <si>
    <t>Inter-row tractor, horticulture</t>
  </si>
  <si>
    <t>Irrigation, centre pivot irrigation system</t>
  </si>
  <si>
    <t>Irrigation, hose move sprinkler system</t>
  </si>
  <si>
    <t>Irrigation, pipe irrigation system</t>
  </si>
  <si>
    <t>Irrigation, solid set irrigation system</t>
  </si>
  <si>
    <t>Irrigation, travel spray boom irrigation system</t>
  </si>
  <si>
    <t>Irrigation, under tree irrigation system</t>
  </si>
  <si>
    <t>Irrigation,flood or furrow irrigation</t>
  </si>
  <si>
    <t>Irrigation,travelling gun irrigation system</t>
  </si>
  <si>
    <t>Levelling, cotton</t>
  </si>
  <si>
    <t>Liming, broadacre crop, pre &amp; post-emergence, controlled traffic</t>
  </si>
  <si>
    <t>Liming, broadacre crop, pre &amp; post-emergence, conventional</t>
  </si>
  <si>
    <t>Mulching, cotton</t>
  </si>
  <si>
    <t>Offset disc harrowing, horticulture</t>
  </si>
  <si>
    <t>Pasture establishment, SE Qld</t>
  </si>
  <si>
    <t>Pasture establishment, top end, NT</t>
  </si>
  <si>
    <t>Picking, cotton</t>
  </si>
  <si>
    <t>Planting, broadacre crop, soil clay content 0 to 10%, controlled traffic</t>
  </si>
  <si>
    <t>Planting, broadacre crop, soil clay content 0 to 10%, conventional</t>
  </si>
  <si>
    <t>Planting, broadacre crop, soil clay content 10 to 20%, controlled traffic</t>
  </si>
  <si>
    <t>Planting, broadacre crop, soil clay content 10 to 20%, conventional</t>
  </si>
  <si>
    <t>Planting, broadacre crop, soil clay content greater than 20%, controlled traffic</t>
  </si>
  <si>
    <t>Planting, broadacre crop, soil clay content greater than 20%, conventional</t>
  </si>
  <si>
    <t>Planting, cotton</t>
  </si>
  <si>
    <t>Precision planting, horticulture</t>
  </si>
  <si>
    <t>Ripping, large implement, horticulture</t>
  </si>
  <si>
    <t>Ripping, medium implement, horticulture</t>
  </si>
  <si>
    <t>Rolling, cotton</t>
  </si>
  <si>
    <t>Root cutting, cotton</t>
  </si>
  <si>
    <t>Rotary hoeing, medium implement, horticulture</t>
  </si>
  <si>
    <t>Savanna burning, northern Australia woodland, Qld &amp; NT</t>
  </si>
  <si>
    <t>Savanna burning, open eucalypt woodland, late dry season, Qld &amp; NT</t>
  </si>
  <si>
    <t>Scarifiying, broadacre crop, controlled traffic</t>
  </si>
  <si>
    <t>Scarifiying, broadacre crop, conventional</t>
  </si>
  <si>
    <t>Seedling transplanting, horticulture</t>
  </si>
  <si>
    <t>Spraying, aerial, broadacre crop</t>
  </si>
  <si>
    <t>Spraying, aerial, cotton</t>
  </si>
  <si>
    <t>Spraying, aerial, rice</t>
  </si>
  <si>
    <t>Spraying, broadacre crop, pre &amp; post-emergence, controlled traffic</t>
  </si>
  <si>
    <t>Spraying, broadacre crop, pre &amp; post-emergence, conventional</t>
  </si>
  <si>
    <t>Windrowing, broadacre crop, controlled traffic</t>
  </si>
  <si>
    <t>Windrowing, broadacre crop, conventional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</si>
</sst>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70" formatCode="0.00000000"/>
    <numFmt numFmtId="171" formatCode="0.0000000"/>
  </numFmts>
  <fonts count="8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2"/>
      <color theme="1"/>
      <name val="Helvetica"/>
      <family val="2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sz val="11"/>
      <color rgb="FF000000"/>
      <name val="Arial"/>
      <family val="2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4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5" fillId="0" borderId="0" xfId="0" applyFont="1"/>
    <xf numFmtId="0" fontId="0" fillId="0" borderId="0" xfId="0" applyAlignment="1">
      <alignment wrapText="1"/>
    </xf>
    <xf numFmtId="2" fontId="3" fillId="0" borderId="0" xfId="0" applyNumberFormat="1" applyFont="1"/>
    <xf numFmtId="164" fontId="3" fillId="0" borderId="0" xfId="0" applyNumberFormat="1" applyFont="1"/>
    <xf numFmtId="164" fontId="0" fillId="0" borderId="0" xfId="0" applyNumberFormat="1"/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  <xf numFmtId="0" fontId="6" fillId="0" borderId="0" xfId="0" applyFont="1"/>
    <xf numFmtId="2" fontId="0" fillId="0" borderId="0" xfId="0" applyNumberFormat="1"/>
    <xf numFmtId="170" fontId="0" fillId="0" borderId="1" xfId="1" applyNumberFormat="1" applyFont="1" applyFill="1" applyBorder="1" applyAlignment="1">
      <alignment horizontal="right"/>
    </xf>
    <xf numFmtId="170" fontId="0" fillId="0" borderId="0" xfId="0" applyNumberFormat="1"/>
    <xf numFmtId="171" fontId="0" fillId="0" borderId="0" xfId="0" applyNumberFormat="1"/>
  </cellXfs>
  <cellStyles count="2">
    <cellStyle name="Comma" xfId="1" builtinId="3"/>
    <cellStyle name="Normal" xfId="0" builtinId="0"/>
  </cellStyles>
  <dxfs count="4"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F442-5EF4-1A4A-85C1-C6F2CC54DF49}">
  <dimension ref="A1:R98"/>
  <sheetViews>
    <sheetView tabSelected="1" workbookViewId="0">
      <selection activeCell="A8" sqref="A8:A89"/>
    </sheetView>
  </sheetViews>
  <sheetFormatPr baseColWidth="10" defaultRowHeight="16"/>
  <cols>
    <col min="1" max="1" width="62" customWidth="1"/>
    <col min="2" max="2" width="16.6640625" bestFit="1" customWidth="1"/>
    <col min="3" max="3" width="7.6640625" bestFit="1" customWidth="1"/>
    <col min="5" max="5" width="15.33203125" customWidth="1"/>
    <col min="6" max="6" width="24.83203125" customWidth="1"/>
    <col min="7" max="7" width="10.1640625" customWidth="1"/>
    <col min="8" max="8" width="60.83203125" customWidth="1"/>
    <col min="9" max="9" width="30.83203125" bestFit="1" customWidth="1"/>
    <col min="10" max="10" width="17.83203125" customWidth="1"/>
    <col min="11" max="11" width="14.83203125" customWidth="1"/>
    <col min="12" max="12" width="18.33203125" customWidth="1"/>
    <col min="13" max="13" width="17.6640625" bestFit="1" customWidth="1"/>
    <col min="14" max="14" width="17" bestFit="1" customWidth="1"/>
    <col min="15" max="15" width="16.5" customWidth="1"/>
  </cols>
  <sheetData>
    <row r="1" spans="1:10" ht="17">
      <c r="A1" s="2" t="s">
        <v>0</v>
      </c>
      <c r="B1" s="2"/>
      <c r="E1" s="1" t="s">
        <v>6</v>
      </c>
    </row>
    <row r="2" spans="1:10" ht="50" customHeight="1">
      <c r="F2" s="11"/>
    </row>
    <row r="3" spans="1:10">
      <c r="A3" s="12" t="s">
        <v>7</v>
      </c>
      <c r="B3" s="12" t="s">
        <v>8</v>
      </c>
      <c r="C3" s="6"/>
      <c r="D3" s="6"/>
      <c r="E3" s="1"/>
      <c r="G3" s="1"/>
      <c r="I3" s="1"/>
    </row>
    <row r="4" spans="1:10" ht="17">
      <c r="A4" s="10" t="s">
        <v>2</v>
      </c>
      <c r="B4" s="10" t="s">
        <v>9</v>
      </c>
      <c r="C4" s="3" t="s">
        <v>10</v>
      </c>
      <c r="D4" s="3"/>
      <c r="E4" s="4" t="s">
        <v>1</v>
      </c>
      <c r="J4" s="5"/>
    </row>
    <row r="5" spans="1:10">
      <c r="A5" t="s">
        <v>11</v>
      </c>
      <c r="B5">
        <v>3</v>
      </c>
      <c r="C5" s="13">
        <f>$I$13</f>
        <v>96.742750999999998</v>
      </c>
      <c r="D5" s="9"/>
      <c r="E5" s="16">
        <f>IF(ISBLANK(A5), "", B5*C5/1000)</f>
        <v>0.29022825299999999</v>
      </c>
      <c r="F5" s="9"/>
      <c r="G5" s="9"/>
    </row>
    <row r="6" spans="1:10">
      <c r="A6" t="s">
        <v>11</v>
      </c>
      <c r="B6">
        <v>5</v>
      </c>
      <c r="C6" s="13">
        <f>$I$13</f>
        <v>96.742750999999998</v>
      </c>
      <c r="D6" s="9"/>
      <c r="E6" s="9">
        <f t="shared" ref="E6:E69" si="0">IF(ISBLANK(A6), "", B6*C6/1000)</f>
        <v>0.48371375499999997</v>
      </c>
      <c r="F6" s="9"/>
      <c r="G6" s="9"/>
    </row>
    <row r="7" spans="1:10">
      <c r="C7" t="str">
        <f t="shared" ref="C7:C14" si="1">IF(ISBLANK(A7), "",$H$7)</f>
        <v/>
      </c>
      <c r="D7" s="9"/>
      <c r="E7" s="9" t="str">
        <f t="shared" si="0"/>
        <v/>
      </c>
      <c r="F7" s="9"/>
      <c r="G7" s="9"/>
    </row>
    <row r="8" spans="1:10">
      <c r="A8" t="s">
        <v>12</v>
      </c>
      <c r="B8">
        <v>1</v>
      </c>
      <c r="C8">
        <f>VLOOKUP(A8, H17:I99, 2, FALSE)</f>
        <v>37.882938000000003</v>
      </c>
      <c r="D8" s="9"/>
      <c r="E8" s="9">
        <f t="shared" si="0"/>
        <v>3.7882938000000005E-2</v>
      </c>
      <c r="F8" s="9"/>
      <c r="G8" s="9"/>
    </row>
    <row r="9" spans="1:10">
      <c r="A9" t="s">
        <v>13</v>
      </c>
      <c r="B9">
        <v>2</v>
      </c>
      <c r="C9">
        <f t="shared" ref="C9:C72" si="2">VLOOKUP(A9, H18:I100, 2, FALSE)</f>
        <v>26.584517999999999</v>
      </c>
      <c r="D9" s="9"/>
      <c r="E9" s="9">
        <f t="shared" si="0"/>
        <v>5.3169035999999996E-2</v>
      </c>
      <c r="F9" s="9"/>
      <c r="G9" s="9"/>
    </row>
    <row r="10" spans="1:10">
      <c r="A10" t="s">
        <v>14</v>
      </c>
      <c r="B10">
        <v>3</v>
      </c>
      <c r="C10">
        <f t="shared" si="2"/>
        <v>38.547550999999999</v>
      </c>
      <c r="D10" s="9"/>
      <c r="E10" s="9">
        <f t="shared" si="0"/>
        <v>0.115642653</v>
      </c>
      <c r="F10" s="9"/>
    </row>
    <row r="11" spans="1:10">
      <c r="A11" t="s">
        <v>15</v>
      </c>
      <c r="B11">
        <v>4</v>
      </c>
      <c r="C11">
        <f t="shared" si="2"/>
        <v>2.3261452999999999</v>
      </c>
      <c r="D11" s="9"/>
      <c r="E11" s="9">
        <f t="shared" si="0"/>
        <v>9.3045812000000002E-3</v>
      </c>
      <c r="F11" s="9"/>
    </row>
    <row r="12" spans="1:10">
      <c r="A12" t="s">
        <v>16</v>
      </c>
      <c r="B12">
        <v>5</v>
      </c>
      <c r="C12">
        <f t="shared" si="2"/>
        <v>8.3076618</v>
      </c>
      <c r="D12" s="9"/>
      <c r="E12" s="9">
        <f t="shared" si="0"/>
        <v>4.1538308999999995E-2</v>
      </c>
      <c r="F12" s="9"/>
      <c r="H12" t="s">
        <v>5</v>
      </c>
    </row>
    <row r="13" spans="1:10">
      <c r="A13" t="s">
        <v>17</v>
      </c>
      <c r="B13">
        <v>6</v>
      </c>
      <c r="C13">
        <f t="shared" si="2"/>
        <v>35.456609</v>
      </c>
      <c r="D13" s="9"/>
      <c r="E13" s="9">
        <f t="shared" si="0"/>
        <v>0.212739654</v>
      </c>
      <c r="F13" s="9"/>
      <c r="H13" t="s">
        <v>3</v>
      </c>
      <c r="I13" s="14">
        <v>96.742750999999998</v>
      </c>
    </row>
    <row r="14" spans="1:10">
      <c r="A14" t="s">
        <v>18</v>
      </c>
      <c r="B14">
        <v>7</v>
      </c>
      <c r="C14">
        <f t="shared" si="2"/>
        <v>28.923954999999999</v>
      </c>
      <c r="D14" s="9"/>
      <c r="E14" s="9">
        <f t="shared" si="0"/>
        <v>0.20246768499999998</v>
      </c>
      <c r="F14" s="9"/>
      <c r="G14" s="9"/>
      <c r="I14" s="15"/>
    </row>
    <row r="15" spans="1:10">
      <c r="A15" t="s">
        <v>19</v>
      </c>
      <c r="B15">
        <v>8</v>
      </c>
      <c r="C15">
        <f t="shared" si="2"/>
        <v>45.193680000000001</v>
      </c>
      <c r="D15" s="9"/>
      <c r="E15" s="9">
        <f t="shared" si="0"/>
        <v>0.36154944</v>
      </c>
      <c r="F15" s="9"/>
      <c r="G15" s="9"/>
      <c r="I15" s="15"/>
    </row>
    <row r="16" spans="1:10">
      <c r="A16" t="s">
        <v>20</v>
      </c>
      <c r="B16">
        <v>9</v>
      </c>
      <c r="C16">
        <f t="shared" si="2"/>
        <v>16.615324000000001</v>
      </c>
      <c r="D16" s="9"/>
      <c r="E16" s="9">
        <f t="shared" si="0"/>
        <v>0.14953791599999999</v>
      </c>
      <c r="F16" s="9"/>
      <c r="G16" s="9"/>
      <c r="H16" t="s">
        <v>4</v>
      </c>
      <c r="I16" s="15"/>
    </row>
    <row r="17" spans="1:9">
      <c r="A17" t="s">
        <v>21</v>
      </c>
      <c r="B17">
        <v>10</v>
      </c>
      <c r="C17">
        <f t="shared" si="2"/>
        <v>61.476697000000001</v>
      </c>
      <c r="D17" s="9"/>
      <c r="E17" s="9">
        <f t="shared" si="0"/>
        <v>0.61476697000000002</v>
      </c>
      <c r="F17" s="9"/>
      <c r="G17" s="9"/>
      <c r="H17" t="s">
        <v>12</v>
      </c>
      <c r="I17" s="14">
        <v>37.882938000000003</v>
      </c>
    </row>
    <row r="18" spans="1:9">
      <c r="A18" t="s">
        <v>22</v>
      </c>
      <c r="B18">
        <v>11</v>
      </c>
      <c r="C18">
        <f t="shared" si="2"/>
        <v>32.898341000000002</v>
      </c>
      <c r="D18" s="9"/>
      <c r="E18" s="9">
        <f t="shared" si="0"/>
        <v>0.36188175100000003</v>
      </c>
      <c r="F18" s="9"/>
      <c r="G18" s="9"/>
      <c r="H18" t="s">
        <v>13</v>
      </c>
      <c r="I18" s="14">
        <v>26.584517999999999</v>
      </c>
    </row>
    <row r="19" spans="1:9">
      <c r="A19" t="s">
        <v>23</v>
      </c>
      <c r="B19">
        <v>12</v>
      </c>
      <c r="C19">
        <f t="shared" si="2"/>
        <v>29.115364</v>
      </c>
      <c r="D19" s="9"/>
      <c r="E19" s="9">
        <f t="shared" si="0"/>
        <v>0.349384368</v>
      </c>
      <c r="F19" s="9"/>
      <c r="G19" s="9"/>
      <c r="H19" t="s">
        <v>14</v>
      </c>
      <c r="I19" s="14">
        <v>38.547550999999999</v>
      </c>
    </row>
    <row r="20" spans="1:9">
      <c r="A20" t="s">
        <v>24</v>
      </c>
      <c r="B20">
        <v>13</v>
      </c>
      <c r="C20">
        <f t="shared" si="2"/>
        <v>45.492756</v>
      </c>
      <c r="D20" s="9"/>
      <c r="E20" s="9">
        <f t="shared" si="0"/>
        <v>0.59140582800000008</v>
      </c>
      <c r="F20" s="9"/>
      <c r="G20" s="9"/>
      <c r="H20" t="s">
        <v>15</v>
      </c>
      <c r="I20" s="14">
        <v>2.3261452999999999</v>
      </c>
    </row>
    <row r="21" spans="1:9">
      <c r="A21" t="s">
        <v>25</v>
      </c>
      <c r="B21">
        <v>14</v>
      </c>
      <c r="C21">
        <f t="shared" si="2"/>
        <v>31.569115</v>
      </c>
      <c r="D21" s="9"/>
      <c r="E21" s="9">
        <f t="shared" si="0"/>
        <v>0.44196760999999996</v>
      </c>
      <c r="F21" s="9"/>
      <c r="G21" s="9"/>
      <c r="H21" t="s">
        <v>16</v>
      </c>
      <c r="I21" s="14">
        <v>8.3076618</v>
      </c>
    </row>
    <row r="22" spans="1:9">
      <c r="A22" t="s">
        <v>26</v>
      </c>
      <c r="B22">
        <v>15</v>
      </c>
      <c r="C22">
        <f t="shared" si="2"/>
        <v>19.606082000000001</v>
      </c>
      <c r="D22" s="9"/>
      <c r="E22" s="9">
        <f t="shared" si="0"/>
        <v>0.29409122999999998</v>
      </c>
      <c r="F22" s="9"/>
      <c r="G22" s="9"/>
      <c r="H22" t="s">
        <v>17</v>
      </c>
      <c r="I22" s="14">
        <v>35.456609</v>
      </c>
    </row>
    <row r="23" spans="1:9">
      <c r="A23" t="s">
        <v>27</v>
      </c>
      <c r="B23">
        <v>16</v>
      </c>
      <c r="C23">
        <f t="shared" si="2"/>
        <v>13.956872000000001</v>
      </c>
      <c r="D23" s="9"/>
      <c r="E23" s="9">
        <f t="shared" si="0"/>
        <v>0.22330995200000001</v>
      </c>
      <c r="F23" s="9"/>
      <c r="H23" t="s">
        <v>18</v>
      </c>
      <c r="I23" s="14">
        <v>28.923954999999999</v>
      </c>
    </row>
    <row r="24" spans="1:9">
      <c r="A24" t="s">
        <v>28</v>
      </c>
      <c r="B24">
        <v>17</v>
      </c>
      <c r="C24">
        <f t="shared" si="2"/>
        <v>7.6430487999999999</v>
      </c>
      <c r="D24" s="9"/>
      <c r="E24" s="9">
        <f t="shared" si="0"/>
        <v>0.12993182959999999</v>
      </c>
      <c r="F24" s="9"/>
      <c r="H24" t="s">
        <v>19</v>
      </c>
      <c r="I24" s="14">
        <v>45.193680000000001</v>
      </c>
    </row>
    <row r="25" spans="1:9">
      <c r="A25" t="s">
        <v>29</v>
      </c>
      <c r="B25">
        <v>18</v>
      </c>
      <c r="C25">
        <f t="shared" si="2"/>
        <v>6.6461294000000004</v>
      </c>
      <c r="E25" s="9">
        <f t="shared" si="0"/>
        <v>0.11963032920000001</v>
      </c>
      <c r="H25" t="s">
        <v>20</v>
      </c>
      <c r="I25" s="14">
        <v>16.615324000000001</v>
      </c>
    </row>
    <row r="26" spans="1:9">
      <c r="A26" t="s">
        <v>30</v>
      </c>
      <c r="B26">
        <v>19</v>
      </c>
      <c r="C26">
        <f t="shared" si="2"/>
        <v>1.7446090000000001</v>
      </c>
      <c r="E26" s="9">
        <f t="shared" si="0"/>
        <v>3.3147571000000001E-2</v>
      </c>
      <c r="G26" s="9"/>
      <c r="H26" t="s">
        <v>21</v>
      </c>
      <c r="I26" s="14">
        <v>61.476697000000001</v>
      </c>
    </row>
    <row r="27" spans="1:9">
      <c r="A27" t="s">
        <v>31</v>
      </c>
      <c r="B27">
        <v>20</v>
      </c>
      <c r="C27">
        <f t="shared" si="2"/>
        <v>2.3261452999999999</v>
      </c>
      <c r="E27" s="9">
        <f t="shared" si="0"/>
        <v>4.6522905999999996E-2</v>
      </c>
      <c r="G27" s="9"/>
      <c r="H27" t="s">
        <v>22</v>
      </c>
      <c r="I27" s="14">
        <v>32.898341000000002</v>
      </c>
    </row>
    <row r="28" spans="1:9">
      <c r="A28" t="s">
        <v>32</v>
      </c>
      <c r="B28">
        <v>21</v>
      </c>
      <c r="C28">
        <f t="shared" si="2"/>
        <v>52.362172999999999</v>
      </c>
      <c r="E28" s="9">
        <f t="shared" si="0"/>
        <v>1.0996056329999999</v>
      </c>
      <c r="G28" s="9"/>
      <c r="H28" t="s">
        <v>23</v>
      </c>
      <c r="I28" s="14">
        <v>29.115364</v>
      </c>
    </row>
    <row r="29" spans="1:9">
      <c r="A29" t="s">
        <v>33</v>
      </c>
      <c r="B29">
        <v>22</v>
      </c>
      <c r="C29">
        <f t="shared" si="2"/>
        <v>67.731347</v>
      </c>
      <c r="E29" s="9">
        <f t="shared" si="0"/>
        <v>1.4900896339999998</v>
      </c>
      <c r="G29" s="9"/>
      <c r="H29" t="s">
        <v>24</v>
      </c>
      <c r="I29" s="14">
        <v>45.492756</v>
      </c>
    </row>
    <row r="30" spans="1:9">
      <c r="A30" t="s">
        <v>34</v>
      </c>
      <c r="B30">
        <v>23</v>
      </c>
      <c r="C30">
        <f t="shared" si="2"/>
        <v>5.2338269000000004</v>
      </c>
      <c r="E30" s="9">
        <f t="shared" si="0"/>
        <v>0.12037801870000001</v>
      </c>
      <c r="G30" s="9"/>
      <c r="H30" t="s">
        <v>25</v>
      </c>
      <c r="I30" s="14">
        <v>31.569115</v>
      </c>
    </row>
    <row r="31" spans="1:9">
      <c r="A31" t="s">
        <v>35</v>
      </c>
      <c r="B31">
        <v>24</v>
      </c>
      <c r="C31">
        <f t="shared" si="2"/>
        <v>6.9784359</v>
      </c>
      <c r="E31" s="9">
        <f t="shared" si="0"/>
        <v>0.16748246159999999</v>
      </c>
      <c r="G31" s="9"/>
      <c r="H31" t="s">
        <v>26</v>
      </c>
      <c r="I31" s="14">
        <v>19.606082000000001</v>
      </c>
    </row>
    <row r="32" spans="1:9">
      <c r="A32" t="s">
        <v>36</v>
      </c>
      <c r="B32">
        <v>25</v>
      </c>
      <c r="C32">
        <f t="shared" si="2"/>
        <v>9.3045811999999994</v>
      </c>
      <c r="E32" s="9">
        <f t="shared" si="0"/>
        <v>0.23261452999999999</v>
      </c>
      <c r="G32" s="9"/>
      <c r="H32" t="s">
        <v>27</v>
      </c>
      <c r="I32" s="14">
        <v>13.956872000000001</v>
      </c>
    </row>
    <row r="33" spans="1:18">
      <c r="A33" t="s">
        <v>37</v>
      </c>
      <c r="B33">
        <v>26</v>
      </c>
      <c r="C33">
        <f t="shared" si="2"/>
        <v>26.71744</v>
      </c>
      <c r="D33" s="9"/>
      <c r="E33" s="9">
        <f t="shared" si="0"/>
        <v>0.69465344000000007</v>
      </c>
      <c r="F33" s="9"/>
      <c r="G33" s="9"/>
      <c r="H33" t="s">
        <v>28</v>
      </c>
      <c r="I33" s="14">
        <v>7.6430487999999999</v>
      </c>
    </row>
    <row r="34" spans="1:18">
      <c r="A34" t="s">
        <v>38</v>
      </c>
      <c r="B34">
        <v>27</v>
      </c>
      <c r="C34">
        <f t="shared" si="2"/>
        <v>39.876776</v>
      </c>
      <c r="D34" s="9"/>
      <c r="E34" s="9">
        <f t="shared" si="0"/>
        <v>1.0766729519999998</v>
      </c>
      <c r="F34" s="9"/>
      <c r="G34" s="9"/>
      <c r="H34" t="s">
        <v>29</v>
      </c>
      <c r="I34" s="14">
        <v>6.6461294000000004</v>
      </c>
    </row>
    <row r="35" spans="1:18">
      <c r="A35" t="s">
        <v>39</v>
      </c>
      <c r="B35">
        <v>28</v>
      </c>
      <c r="C35">
        <f t="shared" si="2"/>
        <v>132.92259000000001</v>
      </c>
      <c r="D35" s="9"/>
      <c r="E35" s="9">
        <f t="shared" si="0"/>
        <v>3.7218325200000004</v>
      </c>
      <c r="F35" s="9"/>
      <c r="G35" s="9"/>
      <c r="H35" t="s">
        <v>30</v>
      </c>
      <c r="I35" s="14">
        <v>1.7446090000000001</v>
      </c>
    </row>
    <row r="36" spans="1:18">
      <c r="A36" t="s">
        <v>40</v>
      </c>
      <c r="B36">
        <v>29</v>
      </c>
      <c r="C36">
        <f t="shared" si="2"/>
        <v>365.53712000000002</v>
      </c>
      <c r="D36" s="9"/>
      <c r="E36" s="9">
        <f t="shared" si="0"/>
        <v>10.600576479999999</v>
      </c>
      <c r="F36" s="9"/>
      <c r="G36" s="9"/>
      <c r="H36" t="s">
        <v>31</v>
      </c>
      <c r="I36" s="14">
        <v>2.3261452999999999</v>
      </c>
    </row>
    <row r="37" spans="1:18">
      <c r="A37" t="s">
        <v>41</v>
      </c>
      <c r="B37">
        <v>30</v>
      </c>
      <c r="C37">
        <f>VLOOKUP(A37, H46:I128, 2, FALSE)</f>
        <v>5.7821325999999997</v>
      </c>
      <c r="D37" s="9"/>
      <c r="E37" s="9">
        <f t="shared" si="0"/>
        <v>0.17346397799999999</v>
      </c>
      <c r="F37" s="9"/>
      <c r="G37" s="9"/>
      <c r="H37" t="s">
        <v>32</v>
      </c>
      <c r="I37" s="14">
        <v>52.362172999999999</v>
      </c>
      <c r="P37" s="6"/>
    </row>
    <row r="38" spans="1:18">
      <c r="A38" t="s">
        <v>42</v>
      </c>
      <c r="B38">
        <v>31</v>
      </c>
      <c r="C38">
        <f t="shared" si="2"/>
        <v>7.7095101000000001</v>
      </c>
      <c r="D38" s="9"/>
      <c r="E38" s="9">
        <f t="shared" si="0"/>
        <v>0.23899481310000001</v>
      </c>
      <c r="F38" s="9"/>
      <c r="G38" s="9"/>
      <c r="H38" t="s">
        <v>33</v>
      </c>
      <c r="I38" s="14">
        <v>67.731347</v>
      </c>
    </row>
    <row r="39" spans="1:18">
      <c r="A39" t="s">
        <v>43</v>
      </c>
      <c r="B39">
        <v>32</v>
      </c>
      <c r="C39">
        <f t="shared" si="2"/>
        <v>6.3055152999999997</v>
      </c>
      <c r="D39" s="9"/>
      <c r="E39" s="9">
        <f t="shared" si="0"/>
        <v>0.2017764896</v>
      </c>
      <c r="F39" s="9"/>
      <c r="G39" s="9"/>
      <c r="H39" t="s">
        <v>34</v>
      </c>
      <c r="I39" s="14">
        <v>5.2338269000000004</v>
      </c>
    </row>
    <row r="40" spans="1:18">
      <c r="A40" t="s">
        <v>44</v>
      </c>
      <c r="B40">
        <v>33</v>
      </c>
      <c r="C40">
        <f t="shared" si="2"/>
        <v>8.4073536999999998</v>
      </c>
      <c r="D40" s="9"/>
      <c r="E40" s="9">
        <f t="shared" si="0"/>
        <v>0.27744267209999995</v>
      </c>
      <c r="F40" s="9"/>
      <c r="G40" s="9"/>
      <c r="H40" t="s">
        <v>35</v>
      </c>
      <c r="I40" s="14">
        <v>6.9784359</v>
      </c>
    </row>
    <row r="41" spans="1:18">
      <c r="A41" t="s">
        <v>45</v>
      </c>
      <c r="B41">
        <v>34</v>
      </c>
      <c r="C41">
        <f t="shared" si="2"/>
        <v>5.2587498999999998</v>
      </c>
      <c r="D41" s="9"/>
      <c r="E41" s="9">
        <f t="shared" si="0"/>
        <v>0.17879749659999999</v>
      </c>
      <c r="F41" s="9"/>
      <c r="G41" s="9"/>
      <c r="H41" t="s">
        <v>36</v>
      </c>
      <c r="I41" s="14">
        <v>9.3045811999999994</v>
      </c>
    </row>
    <row r="42" spans="1:18">
      <c r="A42" t="s">
        <v>46</v>
      </c>
      <c r="B42">
        <v>35</v>
      </c>
      <c r="C42">
        <f t="shared" si="2"/>
        <v>7.0116664999999996</v>
      </c>
      <c r="D42" s="9"/>
      <c r="E42" s="9">
        <f t="shared" si="0"/>
        <v>0.2454083275</v>
      </c>
      <c r="F42" s="9"/>
      <c r="G42" s="9"/>
      <c r="H42" t="s">
        <v>37</v>
      </c>
      <c r="I42" s="14">
        <v>26.71744</v>
      </c>
    </row>
    <row r="43" spans="1:18">
      <c r="A43" t="s">
        <v>47</v>
      </c>
      <c r="B43">
        <v>36</v>
      </c>
      <c r="C43">
        <f t="shared" si="2"/>
        <v>11.414726999999999</v>
      </c>
      <c r="D43" s="9"/>
      <c r="E43" s="9">
        <f t="shared" si="0"/>
        <v>0.41093017199999998</v>
      </c>
      <c r="F43" s="9"/>
      <c r="G43" s="9"/>
      <c r="H43" t="s">
        <v>38</v>
      </c>
      <c r="I43" s="14">
        <v>39.876776</v>
      </c>
    </row>
    <row r="44" spans="1:18">
      <c r="A44" t="s">
        <v>48</v>
      </c>
      <c r="B44">
        <v>37</v>
      </c>
      <c r="C44">
        <f t="shared" si="2"/>
        <v>15.219635999999999</v>
      </c>
      <c r="D44" s="9"/>
      <c r="E44" s="9">
        <f t="shared" si="0"/>
        <v>0.56312653199999996</v>
      </c>
      <c r="F44" s="9"/>
      <c r="G44" s="9"/>
      <c r="H44" t="s">
        <v>39</v>
      </c>
      <c r="I44" s="14">
        <v>132.92259000000001</v>
      </c>
      <c r="P44" s="8"/>
      <c r="Q44" s="8"/>
      <c r="R44" s="8"/>
    </row>
    <row r="45" spans="1:18">
      <c r="A45" t="s">
        <v>49</v>
      </c>
      <c r="B45">
        <v>38</v>
      </c>
      <c r="C45">
        <f t="shared" si="2"/>
        <v>1.0218423999999999</v>
      </c>
      <c r="E45" s="9">
        <f t="shared" si="0"/>
        <v>3.8830011199999993E-2</v>
      </c>
      <c r="H45" t="s">
        <v>40</v>
      </c>
      <c r="I45" s="14">
        <v>365.53712000000002</v>
      </c>
      <c r="P45" s="8"/>
      <c r="Q45" s="8"/>
      <c r="R45" s="8"/>
    </row>
    <row r="46" spans="1:18">
      <c r="A46" t="s">
        <v>50</v>
      </c>
      <c r="B46">
        <v>39</v>
      </c>
      <c r="C46">
        <f t="shared" si="2"/>
        <v>1.3624565</v>
      </c>
      <c r="E46" s="9">
        <f t="shared" si="0"/>
        <v>5.3135803500000002E-2</v>
      </c>
      <c r="H46" t="s">
        <v>41</v>
      </c>
      <c r="I46" s="14">
        <v>5.7821325999999997</v>
      </c>
      <c r="Q46" s="8"/>
      <c r="R46" s="8"/>
    </row>
    <row r="47" spans="1:18">
      <c r="A47" t="s">
        <v>51</v>
      </c>
      <c r="B47">
        <v>40</v>
      </c>
      <c r="C47">
        <f t="shared" si="2"/>
        <v>29.907582000000001</v>
      </c>
      <c r="E47" s="9">
        <f t="shared" si="0"/>
        <v>1.1963032800000002</v>
      </c>
      <c r="H47" t="s">
        <v>42</v>
      </c>
      <c r="I47" s="14">
        <v>7.7095101000000001</v>
      </c>
      <c r="Q47" s="8"/>
      <c r="R47" s="8"/>
    </row>
    <row r="48" spans="1:18">
      <c r="A48" t="s">
        <v>52</v>
      </c>
      <c r="B48">
        <v>41</v>
      </c>
      <c r="C48">
        <f t="shared" si="2"/>
        <v>29.907582000000001</v>
      </c>
      <c r="E48" s="9">
        <f t="shared" si="0"/>
        <v>1.2262108620000001</v>
      </c>
      <c r="H48" t="s">
        <v>43</v>
      </c>
      <c r="I48" s="14">
        <v>6.3055152999999997</v>
      </c>
      <c r="Q48" s="8"/>
      <c r="R48" s="8"/>
    </row>
    <row r="49" spans="1:18">
      <c r="A49" t="s">
        <v>53</v>
      </c>
      <c r="B49">
        <v>42</v>
      </c>
      <c r="C49">
        <f t="shared" si="2"/>
        <v>0.14106261</v>
      </c>
      <c r="E49" s="9">
        <f t="shared" si="0"/>
        <v>5.92462962E-3</v>
      </c>
      <c r="H49" t="s">
        <v>44</v>
      </c>
      <c r="I49" s="14">
        <v>8.4073536999999998</v>
      </c>
      <c r="Q49" s="8"/>
      <c r="R49" s="8"/>
    </row>
    <row r="50" spans="1:18">
      <c r="A50" t="s">
        <v>54</v>
      </c>
      <c r="B50">
        <v>43</v>
      </c>
      <c r="C50">
        <f t="shared" si="2"/>
        <v>0.14106261</v>
      </c>
      <c r="E50" s="9">
        <f t="shared" si="0"/>
        <v>6.0656922300000001E-3</v>
      </c>
      <c r="H50" t="s">
        <v>45</v>
      </c>
      <c r="I50" s="14">
        <v>5.2587498999999998</v>
      </c>
      <c r="P50" s="8"/>
      <c r="Q50" s="8"/>
      <c r="R50" s="8"/>
    </row>
    <row r="51" spans="1:18">
      <c r="A51" t="s">
        <v>55</v>
      </c>
      <c r="B51">
        <v>44</v>
      </c>
      <c r="C51">
        <f t="shared" si="2"/>
        <v>0.14106261</v>
      </c>
      <c r="E51" s="9">
        <f t="shared" si="0"/>
        <v>6.2067548400000002E-3</v>
      </c>
      <c r="H51" t="s">
        <v>46</v>
      </c>
      <c r="I51" s="14">
        <v>7.0116664999999996</v>
      </c>
      <c r="P51" s="8"/>
      <c r="Q51" s="8"/>
      <c r="R51" s="8"/>
    </row>
    <row r="52" spans="1:18">
      <c r="A52" t="s">
        <v>56</v>
      </c>
      <c r="B52">
        <v>45</v>
      </c>
      <c r="C52">
        <f t="shared" si="2"/>
        <v>0.14106261</v>
      </c>
      <c r="E52" s="9">
        <f t="shared" si="0"/>
        <v>6.3478174500000003E-3</v>
      </c>
      <c r="H52" t="s">
        <v>47</v>
      </c>
      <c r="I52" s="14">
        <v>11.414726999999999</v>
      </c>
      <c r="P52" s="8"/>
      <c r="Q52" s="8"/>
      <c r="R52" s="8"/>
    </row>
    <row r="53" spans="1:18">
      <c r="A53" t="s">
        <v>57</v>
      </c>
      <c r="B53">
        <v>46</v>
      </c>
      <c r="C53">
        <f t="shared" si="2"/>
        <v>0.14106263999999999</v>
      </c>
      <c r="E53" s="9">
        <f t="shared" si="0"/>
        <v>6.4888814399999993E-3</v>
      </c>
      <c r="H53" t="s">
        <v>48</v>
      </c>
      <c r="I53" s="14">
        <v>15.219635999999999</v>
      </c>
      <c r="P53" s="8"/>
      <c r="Q53" s="8"/>
      <c r="R53" s="8"/>
    </row>
    <row r="54" spans="1:18">
      <c r="A54" t="s">
        <v>58</v>
      </c>
      <c r="B54">
        <v>47</v>
      </c>
      <c r="C54">
        <f t="shared" si="2"/>
        <v>0.14106261</v>
      </c>
      <c r="E54" s="9">
        <f t="shared" si="0"/>
        <v>6.6299426700000006E-3</v>
      </c>
      <c r="H54" t="s">
        <v>49</v>
      </c>
      <c r="I54" s="14">
        <v>1.0218423999999999</v>
      </c>
      <c r="P54" s="8"/>
      <c r="Q54" s="8"/>
      <c r="R54" s="8"/>
    </row>
    <row r="55" spans="1:18">
      <c r="A55" t="s">
        <v>59</v>
      </c>
      <c r="B55">
        <v>48</v>
      </c>
      <c r="C55">
        <f t="shared" si="2"/>
        <v>4.2200122E-2</v>
      </c>
      <c r="E55" s="9">
        <f t="shared" si="0"/>
        <v>2.0256058559999998E-3</v>
      </c>
      <c r="H55" t="s">
        <v>50</v>
      </c>
      <c r="I55" s="14">
        <v>1.3624565</v>
      </c>
      <c r="P55" s="8"/>
      <c r="Q55" s="8"/>
      <c r="R55" s="8"/>
    </row>
    <row r="56" spans="1:18">
      <c r="A56" t="s">
        <v>60</v>
      </c>
      <c r="B56">
        <v>49</v>
      </c>
      <c r="C56">
        <f t="shared" si="2"/>
        <v>0.14106261</v>
      </c>
      <c r="E56" s="9">
        <f t="shared" si="0"/>
        <v>6.91206789E-3</v>
      </c>
      <c r="H56" t="s">
        <v>51</v>
      </c>
      <c r="I56" s="14">
        <v>29.907582000000001</v>
      </c>
      <c r="P56" s="8"/>
      <c r="Q56" s="8"/>
      <c r="R56" s="8"/>
    </row>
    <row r="57" spans="1:18">
      <c r="A57" t="s">
        <v>61</v>
      </c>
      <c r="B57">
        <v>50</v>
      </c>
      <c r="C57">
        <f t="shared" si="2"/>
        <v>146.21485000000001</v>
      </c>
      <c r="E57" s="9">
        <f t="shared" si="0"/>
        <v>7.3107424999999999</v>
      </c>
      <c r="H57" t="s">
        <v>52</v>
      </c>
      <c r="I57" s="14">
        <v>29.907582000000001</v>
      </c>
      <c r="P57" s="8"/>
      <c r="Q57" s="8"/>
      <c r="R57" s="8"/>
    </row>
    <row r="58" spans="1:18">
      <c r="A58" t="s">
        <v>62</v>
      </c>
      <c r="B58">
        <v>51</v>
      </c>
      <c r="C58">
        <f t="shared" si="2"/>
        <v>2.8661433000000001</v>
      </c>
      <c r="E58" s="9">
        <f t="shared" si="0"/>
        <v>0.1461733083</v>
      </c>
      <c r="H58" t="s">
        <v>53</v>
      </c>
      <c r="I58" s="14">
        <v>0.14106261</v>
      </c>
      <c r="P58" s="8"/>
      <c r="Q58" s="8"/>
      <c r="R58" s="8"/>
    </row>
    <row r="59" spans="1:18">
      <c r="A59" t="s">
        <v>63</v>
      </c>
      <c r="B59">
        <v>52</v>
      </c>
      <c r="C59">
        <f t="shared" si="2"/>
        <v>3.8215243999999999</v>
      </c>
      <c r="E59" s="9">
        <f t="shared" si="0"/>
        <v>0.19871926880000002</v>
      </c>
      <c r="H59" t="s">
        <v>54</v>
      </c>
      <c r="I59" s="14">
        <v>0.14106261</v>
      </c>
      <c r="P59" s="8"/>
      <c r="Q59" s="8"/>
      <c r="R59" s="8"/>
    </row>
    <row r="60" spans="1:18">
      <c r="A60" t="s">
        <v>64</v>
      </c>
      <c r="B60">
        <v>53</v>
      </c>
      <c r="C60">
        <f t="shared" si="2"/>
        <v>25.587598</v>
      </c>
      <c r="E60" s="9">
        <f t="shared" si="0"/>
        <v>1.3561426939999999</v>
      </c>
      <c r="H60" t="s">
        <v>55</v>
      </c>
      <c r="I60" s="14">
        <v>0.14106261</v>
      </c>
      <c r="P60" s="8"/>
      <c r="Q60" s="8"/>
      <c r="R60" s="8"/>
    </row>
    <row r="61" spans="1:18">
      <c r="A61" t="s">
        <v>65</v>
      </c>
      <c r="B61">
        <v>54</v>
      </c>
      <c r="C61">
        <f t="shared" si="2"/>
        <v>57.156713000000003</v>
      </c>
      <c r="E61" s="9">
        <f t="shared" si="0"/>
        <v>3.0864625020000003</v>
      </c>
      <c r="H61" t="s">
        <v>56</v>
      </c>
      <c r="I61" s="14">
        <v>0.14106261</v>
      </c>
      <c r="P61" s="8"/>
      <c r="Q61" s="8"/>
      <c r="R61" s="8"/>
    </row>
    <row r="62" spans="1:18">
      <c r="A62" t="s">
        <v>66</v>
      </c>
      <c r="B62">
        <v>55</v>
      </c>
      <c r="C62">
        <f>VLOOKUP(A62, H71:I153, 2, FALSE)</f>
        <v>430.78823999999997</v>
      </c>
      <c r="E62" s="9">
        <f t="shared" si="0"/>
        <v>23.693353199999997</v>
      </c>
      <c r="H62" t="s">
        <v>57</v>
      </c>
      <c r="I62" s="14">
        <v>0.14106263999999999</v>
      </c>
      <c r="P62" s="8"/>
      <c r="Q62" s="8"/>
      <c r="R62" s="8"/>
    </row>
    <row r="63" spans="1:18">
      <c r="A63" t="s">
        <v>67</v>
      </c>
      <c r="B63">
        <v>56</v>
      </c>
      <c r="C63">
        <f t="shared" si="2"/>
        <v>50.273879999999998</v>
      </c>
      <c r="E63" s="9">
        <f t="shared" si="0"/>
        <v>2.8153372799999996</v>
      </c>
      <c r="H63" t="s">
        <v>58</v>
      </c>
      <c r="I63" s="14">
        <v>0.14106261</v>
      </c>
      <c r="P63" s="8"/>
      <c r="Q63" s="8"/>
      <c r="R63" s="8"/>
    </row>
    <row r="64" spans="1:18">
      <c r="A64" t="s">
        <v>68</v>
      </c>
      <c r="B64">
        <v>57</v>
      </c>
      <c r="C64">
        <f t="shared" si="2"/>
        <v>72.442811000000006</v>
      </c>
      <c r="E64" s="9">
        <f t="shared" si="0"/>
        <v>4.1292402270000004</v>
      </c>
      <c r="H64" t="s">
        <v>59</v>
      </c>
      <c r="I64" s="14">
        <v>4.2200122E-2</v>
      </c>
      <c r="P64" s="8"/>
      <c r="Q64" s="8"/>
      <c r="R64" s="8"/>
    </row>
    <row r="65" spans="1:18">
      <c r="A65" t="s">
        <v>69</v>
      </c>
      <c r="B65">
        <v>58</v>
      </c>
      <c r="C65">
        <f t="shared" si="2"/>
        <v>8.4738150000000001</v>
      </c>
      <c r="E65" s="9">
        <f t="shared" si="0"/>
        <v>0.49148126999999997</v>
      </c>
      <c r="H65" t="s">
        <v>60</v>
      </c>
      <c r="I65" s="14">
        <v>0.14106261</v>
      </c>
      <c r="P65" s="7"/>
      <c r="Q65" s="7"/>
      <c r="R65" s="7"/>
    </row>
    <row r="66" spans="1:18">
      <c r="A66" t="s">
        <v>70</v>
      </c>
      <c r="B66">
        <v>59</v>
      </c>
      <c r="C66">
        <f t="shared" si="2"/>
        <v>11.29842</v>
      </c>
      <c r="E66" s="9">
        <f t="shared" si="0"/>
        <v>0.66660677999999995</v>
      </c>
      <c r="H66" t="s">
        <v>61</v>
      </c>
      <c r="I66" s="14">
        <v>146.21485000000001</v>
      </c>
      <c r="Q66" s="7"/>
      <c r="R66" s="7"/>
    </row>
    <row r="67" spans="1:18">
      <c r="A67" t="s">
        <v>71</v>
      </c>
      <c r="B67">
        <v>60</v>
      </c>
      <c r="C67">
        <f t="shared" si="2"/>
        <v>7.8956017000000003</v>
      </c>
      <c r="E67" s="9">
        <f t="shared" si="0"/>
        <v>0.47373610199999999</v>
      </c>
      <c r="H67" t="s">
        <v>62</v>
      </c>
      <c r="I67" s="14">
        <v>2.8661433000000001</v>
      </c>
    </row>
    <row r="68" spans="1:18">
      <c r="A68" t="s">
        <v>72</v>
      </c>
      <c r="B68">
        <v>61</v>
      </c>
      <c r="C68">
        <f t="shared" si="2"/>
        <v>14.621485</v>
      </c>
      <c r="E68" s="9">
        <f t="shared" si="0"/>
        <v>0.89191058499999998</v>
      </c>
      <c r="H68" t="s">
        <v>63</v>
      </c>
      <c r="I68" s="14">
        <v>3.8215243999999999</v>
      </c>
    </row>
    <row r="69" spans="1:18">
      <c r="A69" t="s">
        <v>73</v>
      </c>
      <c r="B69">
        <v>62</v>
      </c>
      <c r="C69">
        <f t="shared" si="2"/>
        <v>11.125621000000001</v>
      </c>
      <c r="E69" s="9">
        <f t="shared" si="0"/>
        <v>0.68978850199999997</v>
      </c>
      <c r="H69" t="s">
        <v>64</v>
      </c>
      <c r="I69" s="14">
        <v>25.587598</v>
      </c>
    </row>
    <row r="70" spans="1:18">
      <c r="A70" t="s">
        <v>74</v>
      </c>
      <c r="B70">
        <v>63</v>
      </c>
      <c r="C70">
        <f t="shared" si="2"/>
        <v>20.603000999999999</v>
      </c>
      <c r="E70" s="9">
        <f t="shared" ref="E70:E90" si="3">IF(ISBLANK(A70), "", B70*C70/1000)</f>
        <v>1.2979890629999999</v>
      </c>
      <c r="H70" t="s">
        <v>65</v>
      </c>
      <c r="I70" s="14">
        <v>57.156713000000003</v>
      </c>
    </row>
    <row r="71" spans="1:18">
      <c r="A71" t="s">
        <v>75</v>
      </c>
      <c r="B71">
        <v>64</v>
      </c>
      <c r="C71">
        <f t="shared" si="2"/>
        <v>11.630725999999999</v>
      </c>
      <c r="E71" s="9">
        <f t="shared" si="3"/>
        <v>0.74436646399999995</v>
      </c>
      <c r="H71" t="s">
        <v>66</v>
      </c>
      <c r="I71" s="14">
        <v>430.78823999999997</v>
      </c>
    </row>
    <row r="72" spans="1:18">
      <c r="A72" t="s">
        <v>76</v>
      </c>
      <c r="B72">
        <v>65</v>
      </c>
      <c r="C72">
        <f t="shared" si="2"/>
        <v>69.119746000000006</v>
      </c>
      <c r="E72" s="9">
        <f t="shared" si="3"/>
        <v>4.4927834900000008</v>
      </c>
      <c r="H72" t="s">
        <v>67</v>
      </c>
      <c r="I72" s="14">
        <v>50.273879999999998</v>
      </c>
    </row>
    <row r="73" spans="1:18">
      <c r="A73" t="s">
        <v>77</v>
      </c>
      <c r="B73">
        <v>66</v>
      </c>
      <c r="C73">
        <f t="shared" ref="C73:C80" si="4">VLOOKUP(A73, H82:I164, 2, FALSE)</f>
        <v>112.9842</v>
      </c>
      <c r="E73" s="9">
        <f t="shared" si="3"/>
        <v>7.4569571999999997</v>
      </c>
      <c r="H73" t="s">
        <v>68</v>
      </c>
      <c r="I73" s="14">
        <v>72.442811000000006</v>
      </c>
    </row>
    <row r="74" spans="1:18">
      <c r="A74" t="s">
        <v>78</v>
      </c>
      <c r="B74">
        <v>67</v>
      </c>
      <c r="C74">
        <f t="shared" si="4"/>
        <v>69.784358999999995</v>
      </c>
      <c r="E74" s="9">
        <f t="shared" si="3"/>
        <v>4.6755520529999997</v>
      </c>
      <c r="H74" t="s">
        <v>69</v>
      </c>
      <c r="I74" s="14">
        <v>8.4738150000000001</v>
      </c>
    </row>
    <row r="75" spans="1:18">
      <c r="A75" t="s">
        <v>79</v>
      </c>
      <c r="B75">
        <v>68</v>
      </c>
      <c r="C75">
        <f t="shared" si="4"/>
        <v>10.301501</v>
      </c>
      <c r="E75" s="9">
        <f t="shared" si="3"/>
        <v>0.70050206800000003</v>
      </c>
      <c r="H75" t="s">
        <v>70</v>
      </c>
      <c r="I75" s="14">
        <v>11.29842</v>
      </c>
    </row>
    <row r="76" spans="1:18">
      <c r="A76" t="s">
        <v>80</v>
      </c>
      <c r="B76">
        <v>69</v>
      </c>
      <c r="C76">
        <f t="shared" si="4"/>
        <v>11.29842</v>
      </c>
      <c r="E76" s="9">
        <f t="shared" si="3"/>
        <v>0.77959098000000004</v>
      </c>
      <c r="H76" t="s">
        <v>71</v>
      </c>
      <c r="I76" s="14">
        <v>7.8956017000000003</v>
      </c>
    </row>
    <row r="77" spans="1:18">
      <c r="A77" t="s">
        <v>81</v>
      </c>
      <c r="B77">
        <v>70</v>
      </c>
      <c r="C77">
        <f t="shared" si="4"/>
        <v>154.85481999999999</v>
      </c>
      <c r="E77" s="9">
        <f t="shared" si="3"/>
        <v>10.839837399999999</v>
      </c>
      <c r="H77" t="s">
        <v>72</v>
      </c>
      <c r="I77" s="14">
        <v>14.621485</v>
      </c>
    </row>
    <row r="78" spans="1:18">
      <c r="A78" t="s">
        <v>82</v>
      </c>
      <c r="B78">
        <v>71</v>
      </c>
      <c r="C78">
        <f t="shared" si="4"/>
        <v>418.58350999999999</v>
      </c>
      <c r="E78" s="9">
        <f t="shared" si="3"/>
        <v>29.719429209999998</v>
      </c>
      <c r="H78" t="s">
        <v>73</v>
      </c>
      <c r="I78" s="14">
        <v>11.125621000000001</v>
      </c>
    </row>
    <row r="79" spans="1:18">
      <c r="A79" t="s">
        <v>83</v>
      </c>
      <c r="B79">
        <v>72</v>
      </c>
      <c r="C79">
        <f t="shared" si="4"/>
        <v>335.32067999999998</v>
      </c>
      <c r="E79" s="9">
        <f t="shared" si="3"/>
        <v>24.143088959999996</v>
      </c>
      <c r="H79" t="s">
        <v>74</v>
      </c>
      <c r="I79" s="14">
        <v>20.603000999999999</v>
      </c>
    </row>
    <row r="80" spans="1:18">
      <c r="A80" t="s">
        <v>84</v>
      </c>
      <c r="B80">
        <v>73</v>
      </c>
      <c r="C80">
        <f t="shared" si="4"/>
        <v>16.997475999999999</v>
      </c>
      <c r="E80" s="9">
        <f t="shared" si="3"/>
        <v>1.2408157479999999</v>
      </c>
      <c r="H80" t="s">
        <v>75</v>
      </c>
      <c r="I80" s="14">
        <v>11.630725999999999</v>
      </c>
    </row>
    <row r="81" spans="1:9">
      <c r="A81" t="s">
        <v>85</v>
      </c>
      <c r="B81">
        <v>74</v>
      </c>
      <c r="C81">
        <f>VLOOKUP(A81, H90:I172, 2, FALSE)</f>
        <v>22.663301000000001</v>
      </c>
      <c r="E81" s="9">
        <f t="shared" si="3"/>
        <v>1.677084274</v>
      </c>
      <c r="H81" t="s">
        <v>76</v>
      </c>
      <c r="I81" s="14">
        <v>69.119746000000006</v>
      </c>
    </row>
    <row r="82" spans="1:9">
      <c r="A82" t="s">
        <v>86</v>
      </c>
      <c r="B82">
        <v>75</v>
      </c>
      <c r="C82">
        <f t="shared" ref="C82:C90" si="5">VLOOKUP(A82, H91:I173, 2, FALSE)</f>
        <v>54.165954999999997</v>
      </c>
      <c r="E82" s="9">
        <f t="shared" si="3"/>
        <v>4.0624466249999998</v>
      </c>
      <c r="H82" t="s">
        <v>77</v>
      </c>
      <c r="I82" s="14">
        <v>112.9842</v>
      </c>
    </row>
    <row r="83" spans="1:9">
      <c r="A83" t="s">
        <v>87</v>
      </c>
      <c r="B83">
        <v>76</v>
      </c>
      <c r="C83">
        <f t="shared" si="5"/>
        <v>5.8381701000000001</v>
      </c>
      <c r="E83" s="9">
        <f t="shared" si="3"/>
        <v>0.44370092760000002</v>
      </c>
      <c r="H83" t="s">
        <v>78</v>
      </c>
      <c r="I83" s="14">
        <v>69.784358999999995</v>
      </c>
    </row>
    <row r="84" spans="1:9">
      <c r="A84" t="s">
        <v>88</v>
      </c>
      <c r="B84">
        <v>77</v>
      </c>
      <c r="C84">
        <f t="shared" si="5"/>
        <v>4.8580474000000002</v>
      </c>
      <c r="E84" s="9">
        <f t="shared" si="3"/>
        <v>0.37406964980000001</v>
      </c>
      <c r="H84" t="s">
        <v>79</v>
      </c>
      <c r="I84" s="14">
        <v>10.301501</v>
      </c>
    </row>
    <row r="85" spans="1:9">
      <c r="A85" t="s">
        <v>89</v>
      </c>
      <c r="B85">
        <v>78</v>
      </c>
      <c r="C85">
        <f t="shared" si="5"/>
        <v>30.610945999999998</v>
      </c>
      <c r="E85" s="9">
        <f t="shared" si="3"/>
        <v>2.3876537880000002</v>
      </c>
      <c r="H85" t="s">
        <v>80</v>
      </c>
      <c r="I85" s="14">
        <v>11.29842</v>
      </c>
    </row>
    <row r="86" spans="1:9">
      <c r="A86" t="s">
        <v>90</v>
      </c>
      <c r="B86">
        <v>79</v>
      </c>
      <c r="C86">
        <f t="shared" si="5"/>
        <v>1.7446090000000001</v>
      </c>
      <c r="E86" s="9">
        <f t="shared" si="3"/>
        <v>0.13782411100000003</v>
      </c>
      <c r="H86" t="s">
        <v>81</v>
      </c>
      <c r="I86" s="14">
        <v>154.85481999999999</v>
      </c>
    </row>
    <row r="87" spans="1:9">
      <c r="A87" t="s">
        <v>91</v>
      </c>
      <c r="B87">
        <v>80</v>
      </c>
      <c r="C87">
        <f t="shared" si="5"/>
        <v>2.3261452999999999</v>
      </c>
      <c r="E87" s="9">
        <f t="shared" si="3"/>
        <v>0.18609162399999998</v>
      </c>
      <c r="H87" t="s">
        <v>82</v>
      </c>
      <c r="I87" s="14">
        <v>418.58350999999999</v>
      </c>
    </row>
    <row r="88" spans="1:9">
      <c r="A88" t="s">
        <v>92</v>
      </c>
      <c r="B88">
        <v>81</v>
      </c>
      <c r="C88">
        <f t="shared" si="5"/>
        <v>11.963032999999999</v>
      </c>
      <c r="E88" s="9">
        <f t="shared" si="3"/>
        <v>0.96900567299999996</v>
      </c>
      <c r="H88" t="s">
        <v>83</v>
      </c>
      <c r="I88" s="14">
        <v>335.32067999999998</v>
      </c>
    </row>
    <row r="89" spans="1:9">
      <c r="A89" t="s">
        <v>93</v>
      </c>
      <c r="B89">
        <v>82</v>
      </c>
      <c r="C89">
        <f t="shared" si="5"/>
        <v>15.950711</v>
      </c>
      <c r="E89" s="9">
        <f t="shared" si="3"/>
        <v>1.3079583020000001</v>
      </c>
      <c r="H89" t="s">
        <v>84</v>
      </c>
      <c r="I89" s="14">
        <v>16.997475999999999</v>
      </c>
    </row>
    <row r="90" spans="1:9">
      <c r="E90" s="9"/>
      <c r="H90" t="s">
        <v>85</v>
      </c>
      <c r="I90" s="14">
        <v>22.663301000000001</v>
      </c>
    </row>
    <row r="91" spans="1:9">
      <c r="H91" t="s">
        <v>86</v>
      </c>
      <c r="I91" s="14">
        <v>54.165954999999997</v>
      </c>
    </row>
    <row r="92" spans="1:9">
      <c r="H92" t="s">
        <v>87</v>
      </c>
      <c r="I92" s="14">
        <v>5.8381701000000001</v>
      </c>
    </row>
    <row r="93" spans="1:9">
      <c r="H93" t="s">
        <v>88</v>
      </c>
      <c r="I93" s="14">
        <v>4.8580474000000002</v>
      </c>
    </row>
    <row r="94" spans="1:9">
      <c r="H94" t="s">
        <v>89</v>
      </c>
      <c r="I94" s="14">
        <v>30.610945999999998</v>
      </c>
    </row>
    <row r="95" spans="1:9">
      <c r="H95" t="s">
        <v>90</v>
      </c>
      <c r="I95" s="14">
        <v>1.7446090000000001</v>
      </c>
    </row>
    <row r="96" spans="1:9">
      <c r="H96" t="s">
        <v>91</v>
      </c>
      <c r="I96" s="14">
        <v>2.3261452999999999</v>
      </c>
    </row>
    <row r="97" spans="8:9">
      <c r="H97" t="s">
        <v>92</v>
      </c>
      <c r="I97" s="14">
        <v>11.963032999999999</v>
      </c>
    </row>
    <row r="98" spans="8:9">
      <c r="H98" t="s">
        <v>93</v>
      </c>
      <c r="I98" s="14">
        <v>15.950711</v>
      </c>
    </row>
  </sheetData>
  <conditionalFormatting sqref="I17:I98">
    <cfRule type="expression" dxfId="3" priority="3">
      <formula>AND(ABS($I$2)&gt;=0.005, ABS($I$2)&lt;0.095)</formula>
    </cfRule>
    <cfRule type="cellIs" dxfId="2" priority="4" operator="between">
      <formula>-0.01</formula>
      <formula>0.09</formula>
    </cfRule>
  </conditionalFormatting>
  <conditionalFormatting sqref="I13">
    <cfRule type="expression" dxfId="1" priority="1">
      <formula>AND(ABS($I$2)&gt;=0.005, ABS($I$2)&lt;0.095)</formula>
    </cfRule>
    <cfRule type="cellIs" dxfId="0" priority="2" operator="between">
      <formula>-0.01</formula>
      <formula>0.09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15.7.1.1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2026-02-18T00:55:42Z</dcterms:created>
  <dcterms:modified xsi:type="dcterms:W3CDTF">2026-03-03T11:06:37Z</dcterms:modified>
</cp:coreProperties>
</file>