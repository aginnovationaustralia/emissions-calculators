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47E7540E-99D8-694D-9248-902C44C7F673}" xr6:coauthVersionLast="47" xr6:coauthVersionMax="47" xr10:uidLastSave="{00000000-0000-0000-0000-000000000000}"/>
  <bookViews>
    <workbookView xWindow="51220" yWindow="19460" windowWidth="28800" windowHeight="23520" activeTab="1" xr2:uid="{5678E890-3691-CF46-80E7-00FB1F103661}"/>
  </bookViews>
  <sheets>
    <sheet name="5.4.1.1" sheetId="1" r:id="rId1"/>
    <sheet name="5.4.1.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26" i="2" l="1"/>
  <c r="H25" i="2"/>
  <c r="H24" i="2"/>
  <c r="H23" i="2"/>
  <c r="J16" i="2"/>
  <c r="I16" i="2"/>
  <c r="H16" i="2"/>
  <c r="G16" i="2"/>
  <c r="F16" i="2"/>
  <c r="J15" i="2"/>
  <c r="I15" i="2"/>
  <c r="H15" i="2"/>
  <c r="G15" i="2"/>
  <c r="F15" i="2"/>
  <c r="J14" i="2"/>
  <c r="I14" i="2"/>
  <c r="H14" i="2"/>
  <c r="G14" i="2"/>
  <c r="F14" i="2"/>
  <c r="J13" i="2"/>
  <c r="I13" i="2"/>
  <c r="H13" i="2"/>
  <c r="G13" i="2"/>
  <c r="F13" i="2"/>
  <c r="F12" i="2"/>
  <c r="H11" i="2"/>
  <c r="M10" i="2"/>
  <c r="I10" i="2"/>
  <c r="H10" i="2"/>
  <c r="J10" i="2" s="1"/>
  <c r="I9" i="2"/>
  <c r="H9" i="2"/>
  <c r="J9" i="2" s="1"/>
  <c r="I8" i="2"/>
  <c r="H8" i="2"/>
  <c r="J8" i="2" s="1"/>
  <c r="I7" i="2"/>
  <c r="H7" i="2"/>
  <c r="I6" i="2"/>
  <c r="H6" i="2"/>
  <c r="J6" i="2" s="1"/>
  <c r="I5" i="2"/>
  <c r="J5" i="2"/>
  <c r="H6" i="1"/>
  <c r="H7" i="1"/>
  <c r="H8" i="1"/>
  <c r="H9" i="1"/>
  <c r="H11" i="1"/>
  <c r="G6" i="1"/>
  <c r="G7" i="1"/>
  <c r="G8" i="1"/>
  <c r="G9" i="1"/>
  <c r="G10" i="1"/>
  <c r="G11" i="1"/>
  <c r="G5" i="1"/>
  <c r="F6" i="1"/>
  <c r="F7" i="1"/>
  <c r="F8" i="1"/>
  <c r="F9" i="1"/>
  <c r="F11" i="1"/>
  <c r="F12" i="1"/>
  <c r="D6" i="1"/>
  <c r="D7" i="1"/>
  <c r="D8" i="1"/>
  <c r="D9" i="1"/>
  <c r="D10" i="1"/>
  <c r="F10" i="1" s="1"/>
  <c r="H10" i="1" s="1"/>
  <c r="D11" i="1"/>
  <c r="D5" i="1"/>
  <c r="F5" i="1" s="1"/>
  <c r="I9" i="1"/>
  <c r="I10" i="1"/>
  <c r="I11" i="1"/>
  <c r="F13" i="1"/>
  <c r="G13" i="1"/>
  <c r="H13" i="1"/>
  <c r="J13" i="1" s="1"/>
  <c r="I13" i="1"/>
  <c r="F14" i="1"/>
  <c r="G14" i="1"/>
  <c r="H14" i="1" s="1"/>
  <c r="J14" i="1" s="1"/>
  <c r="I14" i="1"/>
  <c r="F15" i="1"/>
  <c r="G15" i="1"/>
  <c r="H15" i="1"/>
  <c r="I15" i="1"/>
  <c r="J15" i="1"/>
  <c r="F16" i="1"/>
  <c r="G16" i="1"/>
  <c r="H16" i="1"/>
  <c r="I16" i="1"/>
  <c r="J16" i="1"/>
  <c r="I6" i="1"/>
  <c r="I7" i="1"/>
  <c r="I8" i="1"/>
  <c r="I5" i="1"/>
  <c r="J7" i="2" l="1"/>
  <c r="J11" i="1"/>
  <c r="J10" i="1"/>
  <c r="J9" i="1"/>
  <c r="H5" i="1"/>
  <c r="J8" i="1"/>
  <c r="J7" i="1"/>
  <c r="J6" i="1"/>
  <c r="M10" i="1"/>
  <c r="J5" i="1" s="1"/>
  <c r="H23" i="1" l="1"/>
  <c r="H24" i="1"/>
  <c r="H25" i="1"/>
  <c r="H26" i="1"/>
</calcChain>
</file>

<file path=xl/sharedStrings.xml><?xml version="1.0" encoding="utf-8"?>
<sst xmlns="http://schemas.openxmlformats.org/spreadsheetml/2006/main" count="109" uniqueCount="54">
  <si>
    <t>Method 1</t>
  </si>
  <si>
    <t>Constants</t>
  </si>
  <si>
    <r>
      <t>𝐸</t>
    </r>
    <r>
      <rPr>
        <sz val="8"/>
        <color rgb="FF000000"/>
        <rFont val="Helvetica"/>
        <family val="2"/>
      </rPr>
      <t xml:space="preserve">𝑎𝑑,𝑖𝑛𝑜𝑟𝑔𝑎𝑛𝑖𝑐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𝑣𝑜𝑙,𝑖𝑛𝑜𝑟𝑔𝑎𝑛𝑖𝑐,𝑗𝑓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𝑁2𝑂,𝑗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</si>
  <si>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Eadinorganic</t>
  </si>
  <si>
    <r>
      <t>𝑀</t>
    </r>
    <r>
      <rPr>
        <sz val="8"/>
        <color rgb="FF000000"/>
        <rFont val="Helvetica"/>
        <family val="2"/>
      </rPr>
      <t xml:space="preserve">𝑣𝑜𝑙,𝑖𝑛𝑜𝑟𝑔𝑎𝑛𝑖𝑐,𝑗𝑓 </t>
    </r>
    <r>
      <rPr>
        <sz val="11"/>
        <color rgb="FF000000"/>
        <rFont val="Helvetica"/>
        <family val="2"/>
      </rPr>
      <t xml:space="preserve">= 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𝐹𝑟𝑎𝑐𝐺𝐴𝑆𝐹 </t>
    </r>
    <r>
      <rPr>
        <sz val="8"/>
        <color rgb="FF000000"/>
        <rFont val="Helvetica"/>
        <family val="2"/>
      </rPr>
      <t>𝑓</t>
    </r>
  </si>
  <si>
    <t>Mvolinorganic</t>
  </si>
  <si>
    <t>Cn2o</t>
  </si>
  <si>
    <t>Table A.2.2.3</t>
  </si>
  <si>
    <t>Irrigated pasture</t>
  </si>
  <si>
    <t>Irrigated crop (low rainfall)</t>
  </si>
  <si>
    <t>Irrigated crop (high rainfall)</t>
  </si>
  <si>
    <t>Irrigated crop</t>
  </si>
  <si>
    <t>Non-irrigated pasture</t>
  </si>
  <si>
    <t>Non-irrigated crops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</si>
  <si>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</si>
  <si>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</si>
  <si>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</si>
  <si>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</si>
  <si>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</si>
  <si>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</si>
  <si>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</si>
  <si>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EFn2oj</t>
  </si>
  <si>
    <t>Production system</t>
  </si>
  <si>
    <t>MNjf</t>
  </si>
  <si>
    <t>TMjf</t>
  </si>
  <si>
    <t>Fnorganicf</t>
  </si>
  <si>
    <t>Custom Fnorganic</t>
  </si>
  <si>
    <t>Type</t>
  </si>
  <si>
    <t>Table A.2.2.6</t>
  </si>
  <si>
    <t>Monoammonium phosphate (MAP)</t>
  </si>
  <si>
    <t>Diammonium phosphate (DAP)</t>
  </si>
  <si>
    <t>Urea</t>
  </si>
  <si>
    <t>Sulphate of Ammonia (SOA)</t>
  </si>
  <si>
    <t>Ammonium nitrate (AN)</t>
  </si>
  <si>
    <t>Ammonium Nitrate (AN)</t>
  </si>
  <si>
    <t>Urea-based fertilisers </t>
  </si>
  <si>
    <t>Ammonium-based fertilisers </t>
  </si>
  <si>
    <t>Nitrate-based fertilisers </t>
  </si>
  <si>
    <t>Ammonium-nitrate based fertilisers </t>
  </si>
  <si>
    <t>Other fertilisers </t>
  </si>
  <si>
    <t>Table A.2.2.9</t>
  </si>
  <si>
    <t>FracGASFf</t>
  </si>
  <si>
    <t>Total mass applied in kg</t>
  </si>
  <si>
    <t>Note that Table A.2.2.9 has been mapped to A.2.2.6, pending approval</t>
  </si>
  <si>
    <t>Calcium Ammonium Nitrate (CAN)</t>
  </si>
  <si>
    <t>Urea-Ammonium Nitrate (UAN)</t>
  </si>
  <si>
    <t>Diammonium Phosphate (DAP)</t>
  </si>
  <si>
    <r>
      <t>𝐸</t>
    </r>
    <r>
      <rPr>
        <sz val="8"/>
        <color rgb="FF000000"/>
        <rFont val="Helvetica"/>
        <family val="2"/>
      </rPr>
      <t xml:space="preserve">𝑎𝑑,𝑜𝑟𝑔𝑎𝑛𝑖𝑐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𝑁2𝑂,𝑗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</si>
  <si>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r>
      <t>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>= 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𝐹𝑟𝑎𝑐𝐺𝐴𝑆𝑀</t>
    </r>
    <r>
      <rPr>
        <sz val="8"/>
        <color rgb="FF000000"/>
        <rFont val="Helvetica"/>
        <family val="2"/>
      </rPr>
      <t>𝑠𝑜𝑖𝑙</t>
    </r>
  </si>
  <si>
    <t>Mvolorganic</t>
  </si>
  <si>
    <r>
      <t>FracGASM</t>
    </r>
    <r>
      <rPr>
        <sz val="6"/>
        <color rgb="FF000000"/>
        <rFont val="Arial"/>
        <family val="2"/>
      </rPr>
      <t>soil</t>
    </r>
  </si>
  <si>
    <t>MNSoiljf</t>
  </si>
  <si>
    <t>TODO: MNSoil blocked on NTjmt2</t>
  </si>
  <si>
    <t>Eadorganic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</si>
</sst>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3" fillId="0" borderId="0" xfId="0" applyFont="1"/>
    <xf numFmtId="0" fontId="0" fillId="0" borderId="0" xfId="0" applyFill="1"/>
    <xf numFmtId="0" fontId="0" fillId="0" borderId="0" xfId="0" applyAlignment="1">
      <alignment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P46"/>
  <sheetViews>
    <sheetView workbookViewId="0">
      <selection activeCell="A11" sqref="A11"/>
    </sheetView>
  </sheetViews>
  <sheetFormatPr baseColWidth="10" defaultRowHeight="16"/>
  <cols>
    <col min="1" max="1" width="31" style="3" customWidth="1"/>
    <col min="2" max="3" width="26.6640625" customWidth="1"/>
    <col min="5" max="5" width="16" customWidth="1"/>
    <col min="6" max="7" width="16.5" customWidth="1"/>
    <col min="8" max="8" width="12.83203125" customWidth="1"/>
    <col min="10" max="10" width="12.1640625" bestFit="1" customWidth="1"/>
    <col min="12" max="12" width="36" customWidth="1"/>
    <col min="16" max="16" width="28.5" style="10" customWidth="1"/>
  </cols>
  <sheetData>
    <row r="1" spans="1:13" ht="17">
      <c r="A1" s="3" t="s">
        <v>0</v>
      </c>
      <c r="J1" s="1" t="s">
        <v>2</v>
      </c>
    </row>
    <row r="2" spans="1:13">
      <c r="H2" s="1" t="s">
        <v>4</v>
      </c>
      <c r="J2" s="1"/>
    </row>
    <row r="3" spans="1:13">
      <c r="C3" t="s">
        <v>42</v>
      </c>
      <c r="J3" s="1"/>
    </row>
    <row r="4" spans="1:13" ht="17">
      <c r="A4" s="4" t="s">
        <v>27</v>
      </c>
      <c r="B4" s="5" t="s">
        <v>22</v>
      </c>
      <c r="C4" s="5" t="s">
        <v>24</v>
      </c>
      <c r="D4" t="s">
        <v>25</v>
      </c>
      <c r="E4" s="5" t="s">
        <v>26</v>
      </c>
      <c r="F4" t="s">
        <v>23</v>
      </c>
      <c r="G4" s="9" t="s">
        <v>41</v>
      </c>
      <c r="H4" t="s">
        <v>5</v>
      </c>
      <c r="I4" t="s">
        <v>21</v>
      </c>
      <c r="J4" s="6" t="s">
        <v>3</v>
      </c>
      <c r="L4" s="7" t="s">
        <v>1</v>
      </c>
    </row>
    <row r="5" spans="1:13">
      <c r="A5" s="2" t="s">
        <v>34</v>
      </c>
      <c r="B5" t="s">
        <v>14</v>
      </c>
      <c r="C5">
        <v>2000</v>
      </c>
      <c r="D5">
        <f>IF(ISBLANK(A5), "", VLOOKUP(A5, $L$33:$M$39, 2, FALSE))</f>
        <v>0.33700000000000002</v>
      </c>
      <c r="F5">
        <f>IF(ISBLANK(A5), "", IF(ISNUMBER(E5), E5*C5, D5*C5))</f>
        <v>674</v>
      </c>
      <c r="G5">
        <f>IF(ISBLANK(A5), "", VLOOKUP(A5, $L$33:$N$39, 3, FALSE))</f>
        <v>0.05</v>
      </c>
      <c r="H5">
        <f>IF(ISBLANK(A5), "", F5*G5)</f>
        <v>33.700000000000003</v>
      </c>
      <c r="I5">
        <f>IF(ISBLANK(A5),"",VLOOKUP(B5,L14:M28,2,FALSE))</f>
        <v>1.9900000000000001E-2</v>
      </c>
      <c r="J5">
        <f>IF(ISBLANK(A5), "", H5*I5*$M$10/1000)</f>
        <v>1.0538471428571429E-3</v>
      </c>
    </row>
    <row r="6" spans="1:13" ht="17">
      <c r="A6" s="3" t="s">
        <v>31</v>
      </c>
      <c r="B6" t="s">
        <v>14</v>
      </c>
      <c r="C6">
        <v>2000</v>
      </c>
      <c r="D6">
        <f t="shared" ref="D6:D11" si="0">IF(ISBLANK(A6), "", VLOOKUP(A6, $L$33:$M$39, 2, FALSE))</f>
        <v>0.46</v>
      </c>
      <c r="F6">
        <f t="shared" ref="F6:F12" si="1">IF(ISBLANK(A6), "", IF(ISNUMBER(E6), E6*C6, D6*C6))</f>
        <v>920</v>
      </c>
      <c r="G6">
        <f t="shared" ref="G6:G11" si="2">IF(ISBLANK(A6), "", VLOOKUP(A6, $L$33:$N$39, 3, FALSE))</f>
        <v>0.15</v>
      </c>
      <c r="H6">
        <f t="shared" ref="H6:H11" si="3">IF(ISBLANK(A6), "", F6*G6)</f>
        <v>138</v>
      </c>
      <c r="I6">
        <f t="shared" ref="I6:I8" si="4">IF(ISBLANK(A6),"",VLOOKUP(B6,L15:M29,2,FALSE))</f>
        <v>1.9900000000000001E-2</v>
      </c>
      <c r="J6">
        <f t="shared" ref="J6:J8" si="5">IF(ISBLANK(A6), "", H6*I6*$M$10/1000)</f>
        <v>4.3154571428571428E-3</v>
      </c>
    </row>
    <row r="7" spans="1:13" ht="17">
      <c r="A7" s="3" t="s">
        <v>31</v>
      </c>
      <c r="B7" s="2" t="s">
        <v>14</v>
      </c>
      <c r="C7">
        <v>2000</v>
      </c>
      <c r="D7">
        <f t="shared" si="0"/>
        <v>0.46</v>
      </c>
      <c r="E7">
        <v>0.3</v>
      </c>
      <c r="F7">
        <f t="shared" si="1"/>
        <v>600</v>
      </c>
      <c r="G7">
        <f t="shared" si="2"/>
        <v>0.15</v>
      </c>
      <c r="H7">
        <f t="shared" si="3"/>
        <v>90</v>
      </c>
      <c r="I7">
        <f>IF(ISBLANK(A9),"",VLOOKUP(B7,L16:M30,2,FALSE))</f>
        <v>1.9900000000000001E-2</v>
      </c>
      <c r="J7">
        <f>IF(ISBLANK(A9), "", H7*I7*$M$10/1000)</f>
        <v>2.8144285714285715E-3</v>
      </c>
    </row>
    <row r="8" spans="1:13">
      <c r="A8" s="2" t="s">
        <v>44</v>
      </c>
      <c r="B8" s="2" t="s">
        <v>11</v>
      </c>
      <c r="C8">
        <v>3000</v>
      </c>
      <c r="D8">
        <f t="shared" si="0"/>
        <v>0.27</v>
      </c>
      <c r="F8">
        <f t="shared" si="1"/>
        <v>810</v>
      </c>
      <c r="G8">
        <f t="shared" si="2"/>
        <v>0.05</v>
      </c>
      <c r="H8">
        <f t="shared" si="3"/>
        <v>40.5</v>
      </c>
      <c r="I8">
        <f t="shared" si="4"/>
        <v>7.0000000000000001E-3</v>
      </c>
      <c r="J8">
        <f t="shared" si="5"/>
        <v>4.4550000000000004E-4</v>
      </c>
      <c r="L8" s="2"/>
      <c r="M8" s="2"/>
    </row>
    <row r="9" spans="1:13">
      <c r="A9" s="2" t="s">
        <v>45</v>
      </c>
      <c r="B9" s="2" t="s">
        <v>12</v>
      </c>
      <c r="C9">
        <v>2500</v>
      </c>
      <c r="D9">
        <f t="shared" si="0"/>
        <v>0.32</v>
      </c>
      <c r="F9">
        <f t="shared" si="1"/>
        <v>800</v>
      </c>
      <c r="G9">
        <f t="shared" si="2"/>
        <v>0.05</v>
      </c>
      <c r="H9">
        <f t="shared" si="3"/>
        <v>40</v>
      </c>
      <c r="I9">
        <f t="shared" ref="I9:I16" si="6">IF(ISBLANK(A9),"",VLOOKUP(B9,L18:M32,2,FALSE))</f>
        <v>1.8E-3</v>
      </c>
      <c r="J9">
        <f t="shared" ref="J9:J16" si="7">IF(ISBLANK(A9), "", H9*I9*$M$10/1000)</f>
        <v>1.1314285714285713E-4</v>
      </c>
      <c r="L9" s="2"/>
      <c r="M9" s="2"/>
    </row>
    <row r="10" spans="1:13">
      <c r="A10" s="2" t="s">
        <v>46</v>
      </c>
      <c r="B10" s="2" t="s">
        <v>17</v>
      </c>
      <c r="C10">
        <v>2600</v>
      </c>
      <c r="D10">
        <f t="shared" si="0"/>
        <v>0.18</v>
      </c>
      <c r="F10">
        <f t="shared" si="1"/>
        <v>468</v>
      </c>
      <c r="G10">
        <f t="shared" si="2"/>
        <v>0.08</v>
      </c>
      <c r="H10">
        <f t="shared" si="3"/>
        <v>37.44</v>
      </c>
      <c r="I10">
        <f t="shared" si="6"/>
        <v>2.5999999999999999E-3</v>
      </c>
      <c r="J10">
        <f t="shared" si="7"/>
        <v>1.5296914285714284E-4</v>
      </c>
      <c r="L10" t="s">
        <v>6</v>
      </c>
      <c r="M10">
        <f>44/28</f>
        <v>1.5714285714285714</v>
      </c>
    </row>
    <row r="11" spans="1:13">
      <c r="A11" s="2" t="s">
        <v>32</v>
      </c>
      <c r="B11" s="2" t="s">
        <v>16</v>
      </c>
      <c r="C11">
        <v>2222.2199999999998</v>
      </c>
      <c r="D11">
        <f t="shared" si="0"/>
        <v>0.21</v>
      </c>
      <c r="F11">
        <f t="shared" si="1"/>
        <v>466.66619999999995</v>
      </c>
      <c r="G11">
        <f t="shared" si="2"/>
        <v>0.08</v>
      </c>
      <c r="H11">
        <f t="shared" si="3"/>
        <v>37.333295999999997</v>
      </c>
      <c r="I11">
        <f>IF(ISBLANK(#REF!),"",VLOOKUP(B11,L20:M34,2,FALSE))</f>
        <v>6.4000000000000003E-3</v>
      </c>
      <c r="J11">
        <f>IF(ISBLANK(#REF!), "", H11*I11*$M$10/1000)</f>
        <v>3.7546629119999996E-4</v>
      </c>
      <c r="L11" s="2"/>
      <c r="M11" s="2"/>
    </row>
    <row r="12" spans="1:13">
      <c r="F12" t="str">
        <f t="shared" si="1"/>
        <v/>
      </c>
      <c r="L12" s="2" t="s">
        <v>21</v>
      </c>
      <c r="M12" s="2"/>
    </row>
    <row r="13" spans="1:13">
      <c r="A13" s="2"/>
      <c r="F13" t="str">
        <f t="shared" ref="F9:F16" si="8">IF(ISBLANK(A13), "", IF(ISNUMBER(E13), E13*C13, D13*C13))</f>
        <v/>
      </c>
      <c r="G13" t="str">
        <f t="shared" ref="G9:G16" si="9">IF(ISBLANK(A13), "", VLOOKUP(A13, L41:N47, 3, FALSE))</f>
        <v/>
      </c>
      <c r="H13" t="str">
        <f t="shared" ref="H9:H16" si="10">IF(ISBLANK(A13), "", F13*G13)</f>
        <v/>
      </c>
      <c r="I13" t="str">
        <f t="shared" si="6"/>
        <v/>
      </c>
      <c r="J13" t="str">
        <f t="shared" si="7"/>
        <v/>
      </c>
      <c r="L13" t="s">
        <v>7</v>
      </c>
    </row>
    <row r="14" spans="1:13">
      <c r="A14" s="2"/>
      <c r="F14" t="str">
        <f t="shared" si="8"/>
        <v/>
      </c>
      <c r="G14" t="str">
        <f t="shared" si="9"/>
        <v/>
      </c>
      <c r="H14" t="str">
        <f t="shared" si="10"/>
        <v/>
      </c>
      <c r="I14" t="str">
        <f t="shared" si="6"/>
        <v/>
      </c>
      <c r="J14" t="str">
        <f t="shared" si="7"/>
        <v/>
      </c>
      <c r="L14" s="2" t="s">
        <v>8</v>
      </c>
      <c r="M14" s="2">
        <v>5.8999999999999999E-3</v>
      </c>
    </row>
    <row r="15" spans="1:13">
      <c r="A15" s="2"/>
      <c r="B15" s="2"/>
      <c r="F15" t="str">
        <f t="shared" si="8"/>
        <v/>
      </c>
      <c r="G15" t="str">
        <f t="shared" si="9"/>
        <v/>
      </c>
      <c r="H15" t="str">
        <f t="shared" si="10"/>
        <v/>
      </c>
      <c r="I15" t="str">
        <f t="shared" si="6"/>
        <v/>
      </c>
      <c r="J15" t="str">
        <f t="shared" si="7"/>
        <v/>
      </c>
      <c r="L15" s="2" t="s">
        <v>9</v>
      </c>
      <c r="M15" s="2">
        <v>2.8999999999999998E-3</v>
      </c>
    </row>
    <row r="16" spans="1:13">
      <c r="B16" s="2"/>
      <c r="F16" t="str">
        <f t="shared" si="8"/>
        <v/>
      </c>
      <c r="G16" t="str">
        <f t="shared" si="9"/>
        <v/>
      </c>
      <c r="H16" t="str">
        <f t="shared" si="10"/>
        <v/>
      </c>
      <c r="I16" t="str">
        <f t="shared" si="6"/>
        <v/>
      </c>
      <c r="J16" t="str">
        <f t="shared" si="7"/>
        <v/>
      </c>
      <c r="L16" s="2" t="s">
        <v>10</v>
      </c>
      <c r="M16" s="2">
        <v>8.0000000000000002E-3</v>
      </c>
    </row>
    <row r="17" spans="2:13">
      <c r="L17" s="2" t="s">
        <v>11</v>
      </c>
      <c r="M17" s="2">
        <v>7.0000000000000001E-3</v>
      </c>
    </row>
    <row r="18" spans="2:13">
      <c r="L18" s="2" t="s">
        <v>12</v>
      </c>
      <c r="M18" s="2">
        <v>1.8E-3</v>
      </c>
    </row>
    <row r="19" spans="2:13">
      <c r="L19" s="2" t="s">
        <v>13</v>
      </c>
      <c r="M19" s="2">
        <v>4.1000000000000003E-3</v>
      </c>
    </row>
    <row r="20" spans="2:13">
      <c r="L20" s="2" t="s">
        <v>14</v>
      </c>
      <c r="M20" s="2">
        <v>1.9900000000000001E-2</v>
      </c>
    </row>
    <row r="21" spans="2:13">
      <c r="B21" s="2"/>
      <c r="L21" s="2" t="s">
        <v>15</v>
      </c>
      <c r="M21" s="2">
        <v>5.3E-3</v>
      </c>
    </row>
    <row r="22" spans="2:13">
      <c r="B22" s="2"/>
      <c r="L22" s="2" t="s">
        <v>16</v>
      </c>
      <c r="M22" s="2">
        <v>6.4000000000000003E-3</v>
      </c>
    </row>
    <row r="23" spans="2:13">
      <c r="H23" t="str">
        <f t="shared" ref="H23:H26" si="11">IF(ISBLANK(C23), "", D23/C23)</f>
        <v/>
      </c>
      <c r="L23" s="2" t="s">
        <v>17</v>
      </c>
      <c r="M23" s="2">
        <v>2.5999999999999999E-3</v>
      </c>
    </row>
    <row r="24" spans="2:13">
      <c r="H24" t="str">
        <f t="shared" si="11"/>
        <v/>
      </c>
      <c r="L24" s="2" t="s">
        <v>18</v>
      </c>
      <c r="M24" s="2">
        <v>3.0000000000000001E-3</v>
      </c>
    </row>
    <row r="25" spans="2:13">
      <c r="H25" t="str">
        <f t="shared" si="11"/>
        <v/>
      </c>
      <c r="L25" s="2" t="s">
        <v>19</v>
      </c>
      <c r="M25" s="8">
        <v>5.0000000000000001E-3</v>
      </c>
    </row>
    <row r="26" spans="2:13">
      <c r="H26" t="str">
        <f t="shared" si="11"/>
        <v/>
      </c>
      <c r="L26" s="2"/>
      <c r="M26" s="8"/>
    </row>
    <row r="27" spans="2:13">
      <c r="L27" s="2" t="s">
        <v>17</v>
      </c>
      <c r="M27" s="2">
        <v>2.5999999999999999E-3</v>
      </c>
    </row>
    <row r="28" spans="2:13">
      <c r="L28" s="2" t="s">
        <v>20</v>
      </c>
      <c r="M28" s="2">
        <v>1.8E-3</v>
      </c>
    </row>
    <row r="29" spans="2:13">
      <c r="L29" s="2"/>
      <c r="M29" s="2"/>
    </row>
    <row r="30" spans="2:13">
      <c r="L30" s="2"/>
      <c r="M30" s="2"/>
    </row>
    <row r="31" spans="2:13">
      <c r="L31" s="2"/>
      <c r="M31" s="2"/>
    </row>
    <row r="32" spans="2:13">
      <c r="L32" s="2" t="s">
        <v>28</v>
      </c>
    </row>
    <row r="33" spans="12:16">
      <c r="L33" s="2" t="s">
        <v>29</v>
      </c>
      <c r="M33" s="2">
        <v>0.1</v>
      </c>
      <c r="N33">
        <v>0.08</v>
      </c>
    </row>
    <row r="34" spans="12:16" ht="51">
      <c r="L34" s="2" t="s">
        <v>30</v>
      </c>
      <c r="M34" s="2">
        <v>0.18</v>
      </c>
      <c r="N34">
        <v>0.08</v>
      </c>
      <c r="P34" s="10" t="s">
        <v>43</v>
      </c>
    </row>
    <row r="35" spans="12:16">
      <c r="L35" s="2" t="s">
        <v>31</v>
      </c>
      <c r="M35" s="2">
        <v>0.46</v>
      </c>
      <c r="N35">
        <v>0.15</v>
      </c>
    </row>
    <row r="36" spans="12:16">
      <c r="L36" s="2" t="s">
        <v>32</v>
      </c>
      <c r="M36" s="2">
        <v>0.21</v>
      </c>
      <c r="N36">
        <v>0.08</v>
      </c>
    </row>
    <row r="37" spans="12:16">
      <c r="L37" s="2" t="s">
        <v>45</v>
      </c>
      <c r="M37" s="2">
        <v>0.32</v>
      </c>
      <c r="N37">
        <v>0.05</v>
      </c>
    </row>
    <row r="38" spans="12:16">
      <c r="L38" s="2" t="s">
        <v>33</v>
      </c>
      <c r="M38" s="2">
        <v>0.33700000000000002</v>
      </c>
      <c r="N38">
        <v>0.05</v>
      </c>
    </row>
    <row r="39" spans="12:16">
      <c r="L39" s="2" t="s">
        <v>44</v>
      </c>
      <c r="M39" s="2">
        <v>0.27</v>
      </c>
      <c r="N39">
        <v>0.05</v>
      </c>
    </row>
    <row r="41" spans="12:16">
      <c r="L41" s="2" t="s">
        <v>40</v>
      </c>
    </row>
    <row r="42" spans="12:16">
      <c r="L42" s="2" t="s">
        <v>35</v>
      </c>
      <c r="M42" s="2">
        <v>0.15</v>
      </c>
    </row>
    <row r="43" spans="12:16">
      <c r="L43" s="2" t="s">
        <v>36</v>
      </c>
      <c r="M43" s="2">
        <v>0.08</v>
      </c>
    </row>
    <row r="44" spans="12:16">
      <c r="L44" s="2" t="s">
        <v>37</v>
      </c>
      <c r="M44" s="2">
        <v>0.01</v>
      </c>
    </row>
    <row r="45" spans="12:16">
      <c r="L45" s="2" t="s">
        <v>38</v>
      </c>
      <c r="M45" s="2">
        <v>0.05</v>
      </c>
    </row>
    <row r="46" spans="12:16">
      <c r="L46" s="2" t="s">
        <v>39</v>
      </c>
      <c r="M46" s="2">
        <v>0.11</v>
      </c>
    </row>
  </sheetData>
  <mergeCells count="1">
    <mergeCell ref="M25:M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A7CE-34CD-7A40-9BF6-875F02812705}">
  <dimension ref="A1:P46"/>
  <sheetViews>
    <sheetView tabSelected="1" workbookViewId="0">
      <selection activeCell="H5" sqref="H5"/>
    </sheetView>
  </sheetViews>
  <sheetFormatPr baseColWidth="10" defaultRowHeight="16"/>
  <cols>
    <col min="1" max="1" width="31" style="3" customWidth="1"/>
    <col min="2" max="3" width="26.6640625" customWidth="1"/>
    <col min="5" max="5" width="16" customWidth="1"/>
    <col min="6" max="7" width="16.5" customWidth="1"/>
    <col min="8" max="8" width="12.83203125" customWidth="1"/>
    <col min="10" max="10" width="12.1640625" bestFit="1" customWidth="1"/>
    <col min="12" max="12" width="36" customWidth="1"/>
    <col min="16" max="16" width="28.5" style="10" customWidth="1"/>
  </cols>
  <sheetData>
    <row r="1" spans="1:13" ht="17">
      <c r="A1" s="3" t="s">
        <v>0</v>
      </c>
      <c r="J1" s="1" t="s">
        <v>47</v>
      </c>
    </row>
    <row r="2" spans="1:13">
      <c r="H2" s="1" t="s">
        <v>48</v>
      </c>
      <c r="J2" s="1"/>
    </row>
    <row r="3" spans="1:13">
      <c r="C3" t="s">
        <v>42</v>
      </c>
      <c r="F3" t="s">
        <v>52</v>
      </c>
      <c r="J3" s="1"/>
    </row>
    <row r="4" spans="1:13" ht="17">
      <c r="A4" s="4" t="s">
        <v>27</v>
      </c>
      <c r="B4" s="5" t="s">
        <v>22</v>
      </c>
      <c r="C4" s="5" t="s">
        <v>24</v>
      </c>
      <c r="D4" t="s">
        <v>25</v>
      </c>
      <c r="E4" s="5" t="s">
        <v>26</v>
      </c>
      <c r="F4" t="s">
        <v>51</v>
      </c>
      <c r="G4" s="9"/>
      <c r="H4" t="s">
        <v>49</v>
      </c>
      <c r="I4" t="s">
        <v>21</v>
      </c>
      <c r="J4" s="6" t="s">
        <v>53</v>
      </c>
      <c r="L4" s="7" t="s">
        <v>1</v>
      </c>
    </row>
    <row r="5" spans="1:13">
      <c r="A5" s="2"/>
      <c r="H5" t="str">
        <f>IF(ISBLANK(A5), "", F5*$M$9)</f>
        <v/>
      </c>
      <c r="I5" t="str">
        <f>IF(ISBLANK(A5),"",VLOOKUP(B5,L14:M28,2,FALSE))</f>
        <v/>
      </c>
      <c r="J5" t="str">
        <f>IF(ISBLANK(A5), "", H5*I5*$M$10/1000)</f>
        <v/>
      </c>
    </row>
    <row r="6" spans="1:13">
      <c r="H6" t="str">
        <f t="shared" ref="H6:H11" si="0">IF(ISBLANK(A6), "", F6*G6)</f>
        <v/>
      </c>
      <c r="I6" t="str">
        <f t="shared" ref="I6:I16" si="1">IF(ISBLANK(A6),"",VLOOKUP(B6,L15:M29,2,FALSE))</f>
        <v/>
      </c>
      <c r="J6" t="str">
        <f t="shared" ref="J6:J16" si="2">IF(ISBLANK(A6), "", H6*I6*$M$10/1000)</f>
        <v/>
      </c>
    </row>
    <row r="7" spans="1:13">
      <c r="B7" s="2"/>
      <c r="H7" t="str">
        <f t="shared" si="0"/>
        <v/>
      </c>
      <c r="I7" t="str">
        <f>IF(ISBLANK(A9),"",VLOOKUP(B7,L16:M30,2,FALSE))</f>
        <v/>
      </c>
      <c r="J7" t="str">
        <f>IF(ISBLANK(A9), "", H7*I7*$M$10/1000)</f>
        <v/>
      </c>
    </row>
    <row r="8" spans="1:13">
      <c r="A8" s="2"/>
      <c r="B8" s="2"/>
      <c r="H8" t="str">
        <f t="shared" si="0"/>
        <v/>
      </c>
      <c r="I8" t="str">
        <f t="shared" si="1"/>
        <v/>
      </c>
      <c r="J8" t="str">
        <f t="shared" si="2"/>
        <v/>
      </c>
      <c r="L8" s="2"/>
      <c r="M8" s="2"/>
    </row>
    <row r="9" spans="1:13">
      <c r="A9" s="2"/>
      <c r="B9" s="2"/>
      <c r="H9" t="str">
        <f t="shared" si="0"/>
        <v/>
      </c>
      <c r="I9" t="str">
        <f t="shared" si="1"/>
        <v/>
      </c>
      <c r="J9" t="str">
        <f t="shared" si="2"/>
        <v/>
      </c>
      <c r="L9" s="11" t="s">
        <v>50</v>
      </c>
      <c r="M9" s="2">
        <v>0.21</v>
      </c>
    </row>
    <row r="10" spans="1:13">
      <c r="A10" s="2"/>
      <c r="B10" s="2"/>
      <c r="H10" t="str">
        <f t="shared" si="0"/>
        <v/>
      </c>
      <c r="I10" t="str">
        <f t="shared" si="1"/>
        <v/>
      </c>
      <c r="J10" t="str">
        <f t="shared" si="2"/>
        <v/>
      </c>
      <c r="L10" t="s">
        <v>6</v>
      </c>
      <c r="M10">
        <f>44/28</f>
        <v>1.5714285714285714</v>
      </c>
    </row>
    <row r="11" spans="1:13">
      <c r="A11" s="2"/>
      <c r="B11" s="2"/>
      <c r="H11" t="str">
        <f t="shared" si="0"/>
        <v/>
      </c>
      <c r="L11" s="2"/>
      <c r="M11" s="2"/>
    </row>
    <row r="12" spans="1:13">
      <c r="F12" t="str">
        <f t="shared" ref="F6:F16" si="3">IF(ISBLANK(A12), "", IF(ISNUMBER(E12), E12*C12, D12*C12))</f>
        <v/>
      </c>
      <c r="L12" s="2" t="s">
        <v>21</v>
      </c>
      <c r="M12" s="2"/>
    </row>
    <row r="13" spans="1:13">
      <c r="A13" s="2"/>
      <c r="F13" t="str">
        <f t="shared" si="3"/>
        <v/>
      </c>
      <c r="G13" t="str">
        <f t="shared" ref="G13:G16" si="4">IF(ISBLANK(A13), "", VLOOKUP(A13, L41:N47, 3, FALSE))</f>
        <v/>
      </c>
      <c r="H13" t="str">
        <f t="shared" ref="H13:H16" si="5">IF(ISBLANK(A13), "", F13*G13)</f>
        <v/>
      </c>
      <c r="I13" t="str">
        <f t="shared" si="1"/>
        <v/>
      </c>
      <c r="J13" t="str">
        <f t="shared" si="2"/>
        <v/>
      </c>
      <c r="L13" t="s">
        <v>7</v>
      </c>
    </row>
    <row r="14" spans="1:13">
      <c r="A14" s="2"/>
      <c r="F14" t="str">
        <f t="shared" si="3"/>
        <v/>
      </c>
      <c r="G14" t="str">
        <f t="shared" si="4"/>
        <v/>
      </c>
      <c r="H14" t="str">
        <f t="shared" si="5"/>
        <v/>
      </c>
      <c r="I14" t="str">
        <f t="shared" si="1"/>
        <v/>
      </c>
      <c r="J14" t="str">
        <f t="shared" si="2"/>
        <v/>
      </c>
      <c r="L14" s="2" t="s">
        <v>8</v>
      </c>
      <c r="M14" s="2">
        <v>5.8999999999999999E-3</v>
      </c>
    </row>
    <row r="15" spans="1:13">
      <c r="A15" s="2"/>
      <c r="B15" s="2"/>
      <c r="F15" t="str">
        <f t="shared" si="3"/>
        <v/>
      </c>
      <c r="G15" t="str">
        <f t="shared" si="4"/>
        <v/>
      </c>
      <c r="H15" t="str">
        <f t="shared" si="5"/>
        <v/>
      </c>
      <c r="I15" t="str">
        <f t="shared" si="1"/>
        <v/>
      </c>
      <c r="J15" t="str">
        <f t="shared" si="2"/>
        <v/>
      </c>
      <c r="L15" s="2" t="s">
        <v>9</v>
      </c>
      <c r="M15" s="2">
        <v>2.8999999999999998E-3</v>
      </c>
    </row>
    <row r="16" spans="1:13">
      <c r="B16" s="2"/>
      <c r="F16" t="str">
        <f t="shared" si="3"/>
        <v/>
      </c>
      <c r="G16" t="str">
        <f t="shared" si="4"/>
        <v/>
      </c>
      <c r="H16" t="str">
        <f t="shared" si="5"/>
        <v/>
      </c>
      <c r="I16" t="str">
        <f t="shared" si="1"/>
        <v/>
      </c>
      <c r="J16" t="str">
        <f t="shared" si="2"/>
        <v/>
      </c>
      <c r="L16" s="2" t="s">
        <v>10</v>
      </c>
      <c r="M16" s="2">
        <v>8.0000000000000002E-3</v>
      </c>
    </row>
    <row r="17" spans="2:13">
      <c r="L17" s="2" t="s">
        <v>11</v>
      </c>
      <c r="M17" s="2">
        <v>7.0000000000000001E-3</v>
      </c>
    </row>
    <row r="18" spans="2:13">
      <c r="L18" s="2" t="s">
        <v>12</v>
      </c>
      <c r="M18" s="2">
        <v>1.8E-3</v>
      </c>
    </row>
    <row r="19" spans="2:13">
      <c r="L19" s="2" t="s">
        <v>13</v>
      </c>
      <c r="M19" s="2">
        <v>4.1000000000000003E-3</v>
      </c>
    </row>
    <row r="20" spans="2:13">
      <c r="L20" s="2" t="s">
        <v>14</v>
      </c>
      <c r="M20" s="2">
        <v>1.9900000000000001E-2</v>
      </c>
    </row>
    <row r="21" spans="2:13">
      <c r="B21" s="2"/>
      <c r="L21" s="2" t="s">
        <v>15</v>
      </c>
      <c r="M21" s="2">
        <v>5.3E-3</v>
      </c>
    </row>
    <row r="22" spans="2:13">
      <c r="B22" s="2"/>
      <c r="L22" s="2" t="s">
        <v>16</v>
      </c>
      <c r="M22" s="2">
        <v>6.4000000000000003E-3</v>
      </c>
    </row>
    <row r="23" spans="2:13">
      <c r="H23" t="str">
        <f t="shared" ref="H23:H26" si="6">IF(ISBLANK(C23), "", D23/C23)</f>
        <v/>
      </c>
      <c r="L23" s="2" t="s">
        <v>17</v>
      </c>
      <c r="M23" s="2">
        <v>2.5999999999999999E-3</v>
      </c>
    </row>
    <row r="24" spans="2:13">
      <c r="H24" t="str">
        <f t="shared" si="6"/>
        <v/>
      </c>
      <c r="L24" s="2" t="s">
        <v>18</v>
      </c>
      <c r="M24" s="2">
        <v>3.0000000000000001E-3</v>
      </c>
    </row>
    <row r="25" spans="2:13">
      <c r="H25" t="str">
        <f t="shared" si="6"/>
        <v/>
      </c>
      <c r="L25" s="2" t="s">
        <v>19</v>
      </c>
      <c r="M25" s="8">
        <v>5.0000000000000001E-3</v>
      </c>
    </row>
    <row r="26" spans="2:13">
      <c r="H26" t="str">
        <f t="shared" si="6"/>
        <v/>
      </c>
      <c r="L26" s="2"/>
      <c r="M26" s="8"/>
    </row>
    <row r="27" spans="2:13">
      <c r="L27" s="2" t="s">
        <v>17</v>
      </c>
      <c r="M27" s="2">
        <v>2.5999999999999999E-3</v>
      </c>
    </row>
    <row r="28" spans="2:13">
      <c r="L28" s="2" t="s">
        <v>20</v>
      </c>
      <c r="M28" s="2">
        <v>1.8E-3</v>
      </c>
    </row>
    <row r="29" spans="2:13">
      <c r="L29" s="2"/>
      <c r="M29" s="2"/>
    </row>
    <row r="30" spans="2:13">
      <c r="L30" s="2"/>
      <c r="M30" s="2"/>
    </row>
    <row r="31" spans="2:13">
      <c r="L31" s="2"/>
      <c r="M31" s="2"/>
    </row>
    <row r="32" spans="2:13">
      <c r="L32" s="2" t="s">
        <v>28</v>
      </c>
    </row>
    <row r="33" spans="12:16">
      <c r="L33" s="2" t="s">
        <v>29</v>
      </c>
      <c r="M33" s="2">
        <v>0.1</v>
      </c>
      <c r="N33">
        <v>0.08</v>
      </c>
    </row>
    <row r="34" spans="12:16" ht="51">
      <c r="L34" s="2" t="s">
        <v>30</v>
      </c>
      <c r="M34" s="2">
        <v>0.18</v>
      </c>
      <c r="N34">
        <v>0.08</v>
      </c>
      <c r="P34" s="10" t="s">
        <v>43</v>
      </c>
    </row>
    <row r="35" spans="12:16">
      <c r="L35" s="2" t="s">
        <v>31</v>
      </c>
      <c r="M35" s="2">
        <v>0.46</v>
      </c>
      <c r="N35">
        <v>0.15</v>
      </c>
    </row>
    <row r="36" spans="12:16">
      <c r="L36" s="2" t="s">
        <v>32</v>
      </c>
      <c r="M36" s="2">
        <v>0.21</v>
      </c>
      <c r="N36">
        <v>0.08</v>
      </c>
    </row>
    <row r="37" spans="12:16">
      <c r="L37" s="2" t="s">
        <v>45</v>
      </c>
      <c r="M37" s="2">
        <v>0.32</v>
      </c>
      <c r="N37">
        <v>0.05</v>
      </c>
    </row>
    <row r="38" spans="12:16">
      <c r="L38" s="2" t="s">
        <v>33</v>
      </c>
      <c r="M38" s="2">
        <v>0.33700000000000002</v>
      </c>
      <c r="N38">
        <v>0.05</v>
      </c>
    </row>
    <row r="39" spans="12:16">
      <c r="L39" s="2" t="s">
        <v>44</v>
      </c>
      <c r="M39" s="2">
        <v>0.27</v>
      </c>
      <c r="N39">
        <v>0.05</v>
      </c>
    </row>
    <row r="41" spans="12:16">
      <c r="L41" s="2" t="s">
        <v>40</v>
      </c>
    </row>
    <row r="42" spans="12:16">
      <c r="L42" s="2" t="s">
        <v>35</v>
      </c>
      <c r="M42" s="2">
        <v>0.15</v>
      </c>
    </row>
    <row r="43" spans="12:16">
      <c r="L43" s="2" t="s">
        <v>36</v>
      </c>
      <c r="M43" s="2">
        <v>0.08</v>
      </c>
    </row>
    <row r="44" spans="12:16">
      <c r="L44" s="2" t="s">
        <v>37</v>
      </c>
      <c r="M44" s="2">
        <v>0.01</v>
      </c>
    </row>
    <row r="45" spans="12:16">
      <c r="L45" s="2" t="s">
        <v>38</v>
      </c>
      <c r="M45" s="2">
        <v>0.05</v>
      </c>
    </row>
    <row r="46" spans="12:16">
      <c r="L46" s="2" t="s">
        <v>39</v>
      </c>
      <c r="M46" s="2">
        <v>0.11</v>
      </c>
    </row>
  </sheetData>
  <mergeCells count="1"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5.4.1.1</vt:lpstr>
      <vt:lpstr>5.4.1.3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2026-02-23T00:44:15Z</dcterms:modified>
</cp:coreProperties>
</file>