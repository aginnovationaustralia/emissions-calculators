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1011"/>
  <workbookPr defaultThemeVersion="202300"/>
  <xr:revisionPtr revIDLastSave="0" documentId="13_ncr:1_{364905C5-BECA-2443-B465-EBB315309601}" xr6:coauthVersionLast="47" xr6:coauthVersionMax="47" xr10:uidLastSave="{00000000-0000-0000-0000-000000000000}"/>
  <bookViews>
    <workbookView xWindow="0" yWindow="660" windowWidth="30240" windowHeight="18980" activeTab="1" xr2:uid="{5678E890-3691-CF46-80E7-00FB1F103661}"/>
  </bookViews>
  <sheets>
    <sheet name="5.4.1.1" sheetId="1" r:id="rId1"/>
    <sheet name="5.4.1.3 (feedlot local)" sheetId="2" r:id="rId2"/>
  </sheets>
  <externalReferences>
    <externalReference r:id="rId3"/>
  </externalReferenc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AJ7" i="2" l="1"/>
  <c r="L10" i="1"/>
  <c r="D12" i="2" a="1"/>
  <c r="D13" i="2" a="1"/>
  <c r="D14" i="2" a="1"/>
  <c r="D15" i="2" a="1"/>
  <c r="D16" i="2" a="1"/>
  <c r="D17" i="2" a="1"/>
  <c r="D18" i="2" a="1"/>
  <c r="D19" i="2" a="1"/>
  <c r="D20" i="2" a="1"/>
  <c r="D11" i="2" a="1"/>
  <c r="C12" i="2" a="1"/>
  <c r="C13" i="2" a="1"/>
  <c r="C14" i="2" a="1"/>
  <c r="C15" i="2" a="1"/>
  <c r="C16" i="2" a="1"/>
  <c r="C17" i="2" a="1"/>
  <c r="C18" i="2" a="1"/>
  <c r="C19" i="2" a="1"/>
  <c r="C20" i="2" a="1"/>
  <c r="C11" i="2" a="1"/>
  <c r="H6" i="1"/>
  <c r="H7" i="1"/>
  <c r="H8" i="1"/>
  <c r="H9" i="1"/>
  <c r="H10" i="1"/>
  <c r="H11" i="1"/>
  <c r="H12" i="1"/>
  <c r="H13" i="1"/>
  <c r="H14" i="1"/>
  <c r="H15" i="1"/>
  <c r="H16" i="1"/>
  <c r="H17" i="1"/>
  <c r="H5" i="1"/>
  <c r="E6" i="1"/>
  <c r="E7" i="1"/>
  <c r="E8" i="1"/>
  <c r="E9" i="1"/>
  <c r="E10" i="1"/>
  <c r="E11" i="1"/>
  <c r="E12" i="1"/>
  <c r="E13" i="1"/>
  <c r="E14" i="1"/>
  <c r="E15" i="1"/>
  <c r="E16" i="1"/>
  <c r="E17" i="1"/>
  <c r="E5" i="1"/>
  <c r="F17" i="1"/>
  <c r="D17" i="1"/>
  <c r="F12" i="1"/>
  <c r="F13" i="1"/>
  <c r="F14" i="1"/>
  <c r="F15" i="1"/>
  <c r="F16" i="1"/>
  <c r="D12" i="1"/>
  <c r="D13" i="1"/>
  <c r="D14" i="1"/>
  <c r="D15" i="1"/>
  <c r="D16" i="1"/>
  <c r="AF12" i="2"/>
  <c r="AF13" i="2"/>
  <c r="AF14" i="2"/>
  <c r="AF15" i="2"/>
  <c r="AF16" i="2"/>
  <c r="AF17" i="2"/>
  <c r="AF18" i="2"/>
  <c r="AF19" i="2"/>
  <c r="AF20" i="2"/>
  <c r="AF11" i="2"/>
  <c r="AB27" i="2"/>
  <c r="AB26" i="2"/>
  <c r="E20" i="2" a="1"/>
  <c r="E19" i="2" a="1"/>
  <c r="E18" i="2" a="1"/>
  <c r="E17" i="2" a="1"/>
  <c r="E16" i="2" a="1"/>
  <c r="E15" i="2" a="1"/>
  <c r="E14" i="2" a="1"/>
  <c r="E13" i="2" a="1"/>
  <c r="E12" i="2" a="1"/>
  <c r="E11" i="2" a="1"/>
  <c r="G17" i="1" l="1"/>
  <c r="G16" i="1"/>
  <c r="G14" i="1"/>
  <c r="G13" i="1"/>
  <c r="G12" i="1"/>
  <c r="G15" i="1"/>
  <c r="F17" i="2"/>
  <c r="G17" i="2" s="1"/>
  <c r="I17" i="2" s="1"/>
  <c r="F14" i="2"/>
  <c r="G14" i="2" s="1"/>
  <c r="I14" i="2" s="1"/>
  <c r="F15" i="2"/>
  <c r="G15" i="2" s="1"/>
  <c r="I15" i="2" s="1"/>
  <c r="F16" i="2"/>
  <c r="G16" i="2" s="1"/>
  <c r="I16" i="2" s="1"/>
  <c r="F20" i="2"/>
  <c r="G20" i="2" s="1"/>
  <c r="I20" i="2" s="1"/>
  <c r="F12" i="2"/>
  <c r="G12" i="2" s="1"/>
  <c r="I12" i="2" s="1"/>
  <c r="Q12" i="2" s="1"/>
  <c r="F18" i="2"/>
  <c r="G18" i="2" s="1"/>
  <c r="I18" i="2" s="1"/>
  <c r="F19" i="2"/>
  <c r="G19" i="2" s="1"/>
  <c r="I19" i="2" s="1"/>
  <c r="X19" i="2" s="1"/>
  <c r="F13" i="2"/>
  <c r="G13" i="2" s="1"/>
  <c r="I13" i="2" s="1"/>
  <c r="F11" i="2"/>
  <c r="G11" i="2" s="1"/>
  <c r="I11" i="2" s="1"/>
  <c r="W15" i="2" l="1"/>
  <c r="Q15" i="2"/>
  <c r="P15" i="2"/>
  <c r="O15" i="2"/>
  <c r="X15" i="2"/>
  <c r="W16" i="2"/>
  <c r="P16" i="2"/>
  <c r="Q20" i="2"/>
  <c r="V20" i="2" a="1"/>
  <c r="Y20" i="2" s="1" a="1"/>
  <c r="O18" i="2"/>
  <c r="S18" i="2"/>
  <c r="R18" i="2"/>
  <c r="Q18" i="2"/>
  <c r="P18" i="2"/>
  <c r="X16" i="2"/>
  <c r="V15" i="2" a="1"/>
  <c r="Y15" i="2" s="1" a="1"/>
  <c r="O16" i="2"/>
  <c r="R15" i="2"/>
  <c r="V16" i="2" a="1"/>
  <c r="Y16" i="2" s="1" a="1"/>
  <c r="R16" i="2"/>
  <c r="X20" i="2"/>
  <c r="S15" i="2"/>
  <c r="S16" i="2"/>
  <c r="R20" i="2"/>
  <c r="Q16" i="2"/>
  <c r="W20" i="2"/>
  <c r="S20" i="2"/>
  <c r="O20" i="2"/>
  <c r="P19" i="2"/>
  <c r="X12" i="2"/>
  <c r="R12" i="2"/>
  <c r="S12" i="2"/>
  <c r="W12" i="2"/>
  <c r="V12" i="2" a="1"/>
  <c r="Y12" i="2" s="1" a="1"/>
  <c r="O19" i="2"/>
  <c r="S19" i="2"/>
  <c r="Q19" i="2"/>
  <c r="R19" i="2"/>
  <c r="P20" i="2"/>
  <c r="W19" i="2"/>
  <c r="V18" i="2" a="1"/>
  <c r="Y18" i="2" s="1" a="1"/>
  <c r="O12" i="2"/>
  <c r="P12" i="2"/>
  <c r="W18" i="2"/>
  <c r="V19" i="2" a="1"/>
  <c r="Y19" i="2" s="1" a="1"/>
  <c r="X18" i="2"/>
  <c r="P11" i="2"/>
  <c r="R11" i="2"/>
  <c r="O11" i="2"/>
  <c r="S11" i="2"/>
  <c r="Q11" i="2"/>
  <c r="X11" i="2"/>
  <c r="W11" i="2"/>
  <c r="V11" i="2" a="1"/>
  <c r="Y11" i="2" s="1" a="1"/>
  <c r="W13" i="2"/>
  <c r="P13" i="2"/>
  <c r="O13" i="2"/>
  <c r="V13" i="2" a="1"/>
  <c r="Y13" i="2" s="1" a="1"/>
  <c r="X13" i="2"/>
  <c r="S13" i="2"/>
  <c r="R13" i="2"/>
  <c r="Q13" i="2"/>
  <c r="O17" i="2"/>
  <c r="Q17" i="2"/>
  <c r="X17" i="2"/>
  <c r="P17" i="2"/>
  <c r="W17" i="2"/>
  <c r="S17" i="2"/>
  <c r="R17" i="2"/>
  <c r="V17" i="2" a="1"/>
  <c r="Y17" i="2" s="1" a="1"/>
  <c r="P14" i="2"/>
  <c r="O14" i="2"/>
  <c r="S14" i="2"/>
  <c r="R14" i="2"/>
  <c r="Q14" i="2"/>
  <c r="X14" i="2"/>
  <c r="W14" i="2"/>
  <c r="V14" i="2" a="1"/>
  <c r="Y14" i="2" s="1" a="1"/>
  <c r="T15" i="2" l="1"/>
  <c r="U15" i="2" s="1"/>
  <c r="Z15" i="2" s="1"/>
  <c r="AA15" i="2"/>
  <c r="AA16" i="2"/>
  <c r="T16" i="2"/>
  <c r="U16" i="2" s="1"/>
  <c r="Z16" i="2" s="1"/>
  <c r="AA20" i="2"/>
  <c r="T20" i="2"/>
  <c r="T12" i="2"/>
  <c r="U12" i="2" s="1"/>
  <c r="Z12" i="2" s="1"/>
  <c r="AA12" i="2"/>
  <c r="AA19" i="2"/>
  <c r="T18" i="2"/>
  <c r="AA18" i="2"/>
  <c r="T19" i="2"/>
  <c r="U19" i="2" s="1"/>
  <c r="Z19" i="2" s="1"/>
  <c r="AA17" i="2"/>
  <c r="T11" i="2"/>
  <c r="U11" i="2" s="1"/>
  <c r="Z11" i="2" s="1"/>
  <c r="AA13" i="2"/>
  <c r="T14" i="2"/>
  <c r="U14" i="2" s="1"/>
  <c r="Z14" i="2" s="1"/>
  <c r="AA11" i="2"/>
  <c r="AA14" i="2"/>
  <c r="T17" i="2"/>
  <c r="U17" i="2" s="1"/>
  <c r="Z17" i="2" s="1"/>
  <c r="T13" i="2"/>
  <c r="U13" i="2" s="1"/>
  <c r="Z13" i="2" s="1"/>
  <c r="AC19" i="2" l="1" a="1"/>
  <c r="AB15" i="2" a="1"/>
  <c r="AD15" i="2" s="1"/>
  <c r="AC15" i="2" a="1"/>
  <c r="U18" i="2"/>
  <c r="Z18" i="2" s="1"/>
  <c r="AC12" i="2" a="1"/>
  <c r="AB16" i="2" a="1"/>
  <c r="AD16" i="2" s="1"/>
  <c r="AC16" i="2" a="1"/>
  <c r="U20" i="2"/>
  <c r="Z20" i="2" s="1"/>
  <c r="AC14" i="2" a="1"/>
  <c r="AB17" i="2" a="1"/>
  <c r="AD17" i="2" s="1"/>
  <c r="AC11" i="2" a="1"/>
  <c r="AB13" i="2" a="1"/>
  <c r="AD13" i="2" s="1"/>
  <c r="AC17" i="2" a="1"/>
  <c r="AB19" i="2" a="1"/>
  <c r="AD19" i="2" s="1"/>
  <c r="AB14" i="2" a="1"/>
  <c r="AD14" i="2" s="1"/>
  <c r="AB11" i="2" a="1"/>
  <c r="AD11" i="2" s="1"/>
  <c r="AC13" i="2" a="1"/>
  <c r="AB12" i="2" a="1"/>
  <c r="AD12" i="2" s="1"/>
  <c r="AB18" i="2" l="1" a="1"/>
  <c r="AD18" i="2" s="1"/>
  <c r="AC18" i="2" a="1"/>
  <c r="AB20" i="2" a="1"/>
  <c r="AD20" i="2" s="1"/>
  <c r="AC20" i="2" a="1"/>
  <c r="AV26" i="2"/>
  <c r="AV25" i="2"/>
  <c r="AV24" i="2"/>
  <c r="AV23" i="2"/>
  <c r="F6" i="1"/>
  <c r="F7" i="1"/>
  <c r="F8" i="1"/>
  <c r="F9" i="1"/>
  <c r="F10" i="1"/>
  <c r="F11" i="1"/>
  <c r="F5" i="1"/>
  <c r="D6" i="1"/>
  <c r="D7" i="1"/>
  <c r="D8" i="1"/>
  <c r="D9" i="1"/>
  <c r="G9" i="1" s="1"/>
  <c r="D10" i="1"/>
  <c r="D11" i="1"/>
  <c r="G11" i="1" s="1"/>
  <c r="D5" i="1"/>
  <c r="G8" i="1" l="1"/>
  <c r="G7" i="1"/>
  <c r="G6" i="1"/>
  <c r="G10" i="1"/>
  <c r="AG20" i="2"/>
  <c r="AG16" i="2"/>
  <c r="AG15" i="2"/>
  <c r="AG11" i="2"/>
  <c r="AG19" i="2"/>
  <c r="AG18" i="2"/>
  <c r="AG14" i="2"/>
  <c r="AG13" i="2"/>
  <c r="AG12" i="2"/>
  <c r="AG17" i="2"/>
  <c r="G5" i="1"/>
  <c r="I5" i="1" l="1"/>
  <c r="I17" i="1"/>
  <c r="I12" i="1"/>
  <c r="I14" i="1"/>
  <c r="I15" i="1"/>
  <c r="I13" i="1"/>
  <c r="I16" i="1"/>
  <c r="I11" i="1"/>
  <c r="I6" i="1"/>
  <c r="I7" i="1"/>
  <c r="I8" i="1"/>
  <c r="I9" i="1"/>
  <c r="I10" i="1"/>
  <c r="G23" i="1"/>
  <c r="G24" i="1"/>
  <c r="G25" i="1"/>
  <c r="G26" i="1"/>
</calcChain>
</file>

<file path=xl/metadata.xml><?xml version="1.0" encoding="utf-8"?>
<metadata xmlns="http://schemas.openxmlformats.org/spreadsheetml/2006/main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<sst xmlns="http://schemas.openxmlformats.org/spreadsheetml/2006/main" count="245" uniqueCount="124">
  <si>
    <t>Method 1</t>
  </si>
  <si>
    <t>Constants</t>
  </si>
  <si>
    <r>
      <t>𝐸</t>
    </r>
    <r>
      <rPr>
        <sz val="8"/>
        <color rgb="FF000000"/>
        <rFont val="Helvetica"/>
        <family val="2"/>
      </rPr>
      <t xml:space="preserve">𝑎𝑑,𝑖𝑛𝑜𝑟𝑔𝑎𝑛𝑖𝑐 </t>
    </r>
    <r>
      <rPr>
        <sz val="11"/>
        <color rgb="FF000000"/>
        <rFont val="Helvetica"/>
        <family val="2"/>
      </rPr>
      <t>= ∑ ∑ (𝑀</t>
    </r>
    <r>
      <rPr>
        <sz val="8"/>
        <color rgb="FF000000"/>
        <rFont val="Helvetica"/>
        <family val="2"/>
      </rPr>
      <t xml:space="preserve">𝑣𝑜𝑙,𝑖𝑛𝑜𝑟𝑔𝑎𝑛𝑖𝑐,𝑗𝑓 </t>
    </r>
    <r>
      <rPr>
        <sz val="11"/>
        <color rgb="FF000000"/>
        <rFont val="Helvetica"/>
        <family val="2"/>
      </rPr>
      <t xml:space="preserve">× 𝐸𝐹 </t>
    </r>
    <r>
      <rPr>
        <sz val="8"/>
        <color rgb="FF000000"/>
        <rFont val="Helvetica"/>
        <family val="2"/>
      </rPr>
      <t xml:space="preserve">𝑁2𝑂,𝑗 </t>
    </r>
    <r>
      <rPr>
        <sz val="11"/>
        <color rgb="FF000000"/>
        <rFont val="Helvetica"/>
        <family val="2"/>
      </rPr>
      <t>× 𝐶</t>
    </r>
    <r>
      <rPr>
        <sz val="8"/>
        <color rgb="FF000000"/>
        <rFont val="Helvetica"/>
        <family val="2"/>
      </rPr>
      <t xml:space="preserve">𝑁2𝑂 </t>
    </r>
    <r>
      <rPr>
        <sz val="11"/>
        <color rgb="FF000000"/>
        <rFont val="Helvetica"/>
        <family val="2"/>
      </rPr>
      <t>× 10</t>
    </r>
    <r>
      <rPr>
        <sz val="8"/>
        <color rgb="FF000000"/>
        <rFont val="Helvetica"/>
        <family val="2"/>
      </rPr>
      <t>−3</t>
    </r>
    <r>
      <rPr>
        <sz val="11"/>
        <color rgb="FF000000"/>
        <rFont val="Helvetica"/>
        <family val="2"/>
      </rPr>
      <t>)</t>
    </r>
  </si>
  <si>
    <t>Eadinorganic</t>
  </si>
  <si>
    <r>
      <t>𝑀</t>
    </r>
    <r>
      <rPr>
        <sz val="8"/>
        <color rgb="FF000000"/>
        <rFont val="Helvetica"/>
        <family val="2"/>
      </rPr>
      <t xml:space="preserve">𝑣𝑜𝑙,𝑖𝑛𝑜𝑟𝑔𝑎𝑛𝑖𝑐,𝑗𝑓 </t>
    </r>
    <r>
      <rPr>
        <sz val="11"/>
        <color rgb="FF000000"/>
        <rFont val="Helvetica"/>
        <family val="2"/>
      </rPr>
      <t xml:space="preserve">= 𝑀𝑁 </t>
    </r>
    <r>
      <rPr>
        <sz val="8"/>
        <color rgb="FF000000"/>
        <rFont val="Helvetica"/>
        <family val="2"/>
      </rPr>
      <t xml:space="preserve">𝑗𝑓 </t>
    </r>
    <r>
      <rPr>
        <sz val="11"/>
        <color rgb="FF000000"/>
        <rFont val="Helvetica"/>
        <family val="2"/>
      </rPr>
      <t xml:space="preserve">× 𝐹𝑟𝑎𝑐𝐺𝐴𝑆𝐹 </t>
    </r>
    <r>
      <rPr>
        <sz val="8"/>
        <color rgb="FF000000"/>
        <rFont val="Helvetica"/>
        <family val="2"/>
      </rPr>
      <t>𝑓</t>
    </r>
  </si>
  <si>
    <t>Mvolinorganic</t>
  </si>
  <si>
    <t>Cn2o</t>
  </si>
  <si>
    <t>Table A.2.2.3</t>
  </si>
  <si>
    <t>Irrigated pasture</t>
  </si>
  <si>
    <t>Irrigated crop</t>
  </si>
  <si>
    <t>Non-irrigated pasture</t>
  </si>
  <si>
    <t>Sugar</t>
  </si>
  <si>
    <t>Cotton</t>
  </si>
  <si>
    <t>Horticultural crops</t>
  </si>
  <si>
    <t>Aquaculture</t>
  </si>
  <si>
    <t>Rice (continuous flooding)</t>
  </si>
  <si>
    <t>Rice (single and multiple drainage, or alternate wetting and drying)</t>
  </si>
  <si>
    <t>Forestry</t>
  </si>
  <si>
    <t>EFn2oj</t>
  </si>
  <si>
    <t>Production system</t>
  </si>
  <si>
    <t>MNjf</t>
  </si>
  <si>
    <t>TMjf</t>
  </si>
  <si>
    <t>Type</t>
  </si>
  <si>
    <t>Table A.2.2.6</t>
  </si>
  <si>
    <t>Monoammonium phosphate (MAP)</t>
  </si>
  <si>
    <t>Diammonium phosphate (DAP)</t>
  </si>
  <si>
    <t>Urea</t>
  </si>
  <si>
    <t>Sulphate of Ammonia (SOA)</t>
  </si>
  <si>
    <t>Ammonium nitrate (AN)</t>
  </si>
  <si>
    <t>Ammonium Nitrate (AN)</t>
  </si>
  <si>
    <t>Urea-based fertilisers </t>
  </si>
  <si>
    <t>Ammonium-based fertilisers </t>
  </si>
  <si>
    <t>Nitrate-based fertilisers </t>
  </si>
  <si>
    <t>Ammonium-nitrate based fertilisers </t>
  </si>
  <si>
    <t>Other fertilisers </t>
  </si>
  <si>
    <t>Table A.2.2.9</t>
  </si>
  <si>
    <t>FracGASFf</t>
  </si>
  <si>
    <t>Total mass applied in kg</t>
  </si>
  <si>
    <t>Note that Table A.2.2.9 has been mapped to A.2.2.6, pending approval</t>
  </si>
  <si>
    <t>Calcium Ammonium Nitrate (CAN)</t>
  </si>
  <si>
    <t>Urea-Ammonium Nitrate (UAN)</t>
  </si>
  <si>
    <t>Diammonium Phosphate (DAP)</t>
  </si>
  <si>
    <r>
      <t>𝐸</t>
    </r>
    <r>
      <rPr>
        <sz val="8"/>
        <color rgb="FF000000"/>
        <rFont val="Helvetica"/>
        <family val="2"/>
      </rPr>
      <t xml:space="preserve">𝑎𝑑,𝑜𝑟𝑔𝑎𝑛𝑖𝑐 </t>
    </r>
    <r>
      <rPr>
        <sz val="11"/>
        <color rgb="FF000000"/>
        <rFont val="Helvetica"/>
        <family val="2"/>
      </rPr>
      <t>= ∑ ∑ (𝑀</t>
    </r>
    <r>
      <rPr>
        <sz val="8"/>
        <color rgb="FF000000"/>
        <rFont val="Helvetica"/>
        <family val="2"/>
      </rPr>
      <t xml:space="preserve">𝑣𝑜𝑙,𝑜𝑟𝑔𝑎𝑛𝑖𝑐,𝑗𝑓 </t>
    </r>
    <r>
      <rPr>
        <sz val="11"/>
        <color rgb="FF000000"/>
        <rFont val="Helvetica"/>
        <family val="2"/>
      </rPr>
      <t xml:space="preserve">× 𝐸𝐹 </t>
    </r>
    <r>
      <rPr>
        <sz val="8"/>
        <color rgb="FF000000"/>
        <rFont val="Helvetica"/>
        <family val="2"/>
      </rPr>
      <t xml:space="preserve">𝑁2𝑂,𝑗 </t>
    </r>
    <r>
      <rPr>
        <sz val="11"/>
        <color rgb="FF000000"/>
        <rFont val="Helvetica"/>
        <family val="2"/>
      </rPr>
      <t>× 𝐶</t>
    </r>
    <r>
      <rPr>
        <sz val="8"/>
        <color rgb="FF000000"/>
        <rFont val="Helvetica"/>
        <family val="2"/>
      </rPr>
      <t xml:space="preserve">𝑁2𝑂 </t>
    </r>
    <r>
      <rPr>
        <sz val="11"/>
        <color rgb="FF000000"/>
        <rFont val="Helvetica"/>
        <family val="2"/>
      </rPr>
      <t>× 10</t>
    </r>
    <r>
      <rPr>
        <sz val="8"/>
        <color rgb="FF000000"/>
        <rFont val="Helvetica"/>
        <family val="2"/>
      </rPr>
      <t>−3</t>
    </r>
    <r>
      <rPr>
        <sz val="11"/>
        <color rgb="FF000000"/>
        <rFont val="Helvetica"/>
        <family val="2"/>
      </rPr>
      <t>)</t>
    </r>
  </si>
  <si>
    <r>
      <t>𝑀</t>
    </r>
    <r>
      <rPr>
        <sz val="8"/>
        <color rgb="FF000000"/>
        <rFont val="Helvetica"/>
        <family val="2"/>
      </rPr>
      <t xml:space="preserve">𝑣𝑜𝑙,𝑜𝑟𝑔𝑎𝑛𝑖𝑐,𝑗𝑓 </t>
    </r>
    <r>
      <rPr>
        <sz val="11"/>
        <color rgb="FF000000"/>
        <rFont val="Helvetica"/>
        <family val="2"/>
      </rPr>
      <t>= 𝑀𝑁𝑆𝑜𝑖𝑙</t>
    </r>
    <r>
      <rPr>
        <sz val="8"/>
        <color rgb="FF000000"/>
        <rFont val="Helvetica"/>
        <family val="2"/>
      </rPr>
      <t xml:space="preserve">𝑗𝑓 </t>
    </r>
    <r>
      <rPr>
        <sz val="11"/>
        <color rgb="FF000000"/>
        <rFont val="Helvetica"/>
        <family val="2"/>
      </rPr>
      <t>× 𝐹𝑟𝑎𝑐𝐺𝐴𝑆𝑀</t>
    </r>
    <r>
      <rPr>
        <sz val="8"/>
        <color rgb="FF000000"/>
        <rFont val="Helvetica"/>
        <family val="2"/>
      </rPr>
      <t>𝑠𝑜𝑖𝑙</t>
    </r>
  </si>
  <si>
    <t>Mvolorganic</t>
  </si>
  <si>
    <r>
      <t>FracGASM</t>
    </r>
    <r>
      <rPr>
        <sz val="6"/>
        <color rgb="FF000000"/>
        <rFont val="Arial"/>
        <family val="2"/>
      </rPr>
      <t>soil</t>
    </r>
  </si>
  <si>
    <t>Eadorganic</t>
  </si>
  <si>
    <t>Local manure - feedlot</t>
  </si>
  <si>
    <t>D</t>
  </si>
  <si>
    <t>𝑁𝐸𝑗 = 𝑁𝐼𝑗 × (1 − 𝑁𝑅𝑗)</t>
  </si>
  <si>
    <t>𝐴𝐸𝑗 = 𝑁 𝑗 × 𝑁𝐸𝑗 × 𝐿𝑗</t>
  </si>
  <si>
    <t>𝑀𝑇 𝑗𝑚𝑇=2 = (𝑀𝑁𝑗𝑚=5𝑇=1 × (1 − 𝐹𝑟𝑎𝑐𝐺𝐴𝑆𝑀𝑚=5𝑇=1− 𝐸𝐹𝑚=5𝑇=1)) − 𝑀𝑁𝑗𝑚𝑇=3</t>
  </si>
  <si>
    <t>𝑁𝐼𝑗 = 𝐼𝑗 × 𝐶𝑃 𝑗 ÷ 6.25</t>
  </si>
  <si>
    <t>𝑀𝑁 𝑗𝑚=1 𝑇=3 = 𝐴𝐸𝑗 × 𝑀𝑀𝑆𝑚=1 𝑇=3</t>
  </si>
  <si>
    <t>𝑀𝑁 𝑗𝑚𝑇=2 = 𝑀𝑇 𝑗𝑚𝑇=2 × 𝑀𝑀𝑆𝑚𝑇=2</t>
  </si>
  <si>
    <t>𝑀𝑁𝑆𝑜𝑖𝑙 = ∑ ∑ ∑ 𝑀𝑁 𝑗𝑚𝑇=2,3 × (1 − 𝐸𝐹𝑚𝑇=2,3− 𝐹𝑟𝑎𝑐𝐺𝐴𝑆𝑀𝑚𝑇=2,3) × PF</t>
  </si>
  <si>
    <t>Average length of stay</t>
  </si>
  <si>
    <t>Dry matter kgDM/head/day</t>
  </si>
  <si>
    <t>N retention as fraction</t>
  </si>
  <si>
    <t>N intake kg/head/day</t>
  </si>
  <si>
    <t>Nitrogen excretion kgN/head/day</t>
  </si>
  <si>
    <t>Number of cattle in group</t>
  </si>
  <si>
    <t>Ch 4 l 230 - Total nitrogen excreted (kg N)</t>
  </si>
  <si>
    <t>Ch 4 l 339 - fraction of manure applied to soil within boundary</t>
  </si>
  <si>
    <t>Amount scraped from feedlot into stage 2. Multiple MMSs would require values here</t>
  </si>
  <si>
    <t>T1Ch4l242</t>
  </si>
  <si>
    <t>T1Ch4p13</t>
  </si>
  <si>
    <t>Lj</t>
  </si>
  <si>
    <t>Description</t>
  </si>
  <si>
    <t>Actual Ij</t>
  </si>
  <si>
    <t>Actual CPj</t>
  </si>
  <si>
    <t>NRj</t>
  </si>
  <si>
    <t>Nij</t>
  </si>
  <si>
    <t>Nej</t>
  </si>
  <si>
    <t>Nj</t>
  </si>
  <si>
    <t>AE j</t>
  </si>
  <si>
    <t>PF</t>
  </si>
  <si>
    <t>Main MMS 2</t>
  </si>
  <si>
    <t>Direct application at stage 2?</t>
  </si>
  <si>
    <t>Tertiary anaerobic lagoon?</t>
  </si>
  <si>
    <t>MMS𝑚1T2</t>
  </si>
  <si>
    <t>MNjmt=1</t>
  </si>
  <si>
    <t>FracGASMt=1</t>
  </si>
  <si>
    <t>Efmt=1</t>
  </si>
  <si>
    <t>Efmt=2</t>
  </si>
  <si>
    <t>FracGASMmT=2</t>
  </si>
  <si>
    <t>MTjmt=2</t>
  </si>
  <si>
    <t>MNjmt2</t>
  </si>
  <si>
    <t>MMS𝑚1T3</t>
  </si>
  <si>
    <t>Efmt=3</t>
  </si>
  <si>
    <t>FracGASMmT=3</t>
  </si>
  <si>
    <t>MNjmt3</t>
  </si>
  <si>
    <t>MNSoil T=2</t>
  </si>
  <si>
    <t>MNSoil T=3</t>
  </si>
  <si>
    <t>MNSoil s1</t>
  </si>
  <si>
    <t>MNSoiljf S3</t>
  </si>
  <si>
    <t>Basic scenario</t>
  </si>
  <si>
    <t>solidStorage</t>
  </si>
  <si>
    <t>no</t>
  </si>
  <si>
    <t>yes</t>
  </si>
  <si>
    <t>Basic scenario - custom Lj</t>
  </si>
  <si>
    <t>Basic scenario - custom CPj</t>
  </si>
  <si>
    <t>Basic scenario - dry climate</t>
  </si>
  <si>
    <t>Basic scenario - alt MMS 2</t>
  </si>
  <si>
    <t>composting</t>
  </si>
  <si>
    <t>Basic scenario - direct app stage 2</t>
  </si>
  <si>
    <t>Basic scenario - no lagoon</t>
  </si>
  <si>
    <t>Feedlot</t>
  </si>
  <si>
    <t>Efmt</t>
  </si>
  <si>
    <t>FracGASM</t>
  </si>
  <si>
    <t>A5.5.3.6,7 NIR vol 2</t>
  </si>
  <si>
    <t>drylot</t>
  </si>
  <si>
    <t>anaerobicLagoon</t>
  </si>
  <si>
    <t>A5.5.3.1 NIR vol 2</t>
  </si>
  <si>
    <t>Length of stay Lj 2020-2023</t>
  </si>
  <si>
    <t>0-80 days</t>
  </si>
  <si>
    <t>81-200 days</t>
  </si>
  <si>
    <t>201+ days</t>
  </si>
  <si>
    <t>Non-irrigated crop (low rainfall)</t>
  </si>
  <si>
    <t>Non-irrigated crop (high rainfall)</t>
  </si>
  <si>
    <t>Table A.2.2.1</t>
  </si>
  <si>
    <t>From ch 5.1</t>
  </si>
  <si>
    <t>FNinorganicf</t>
  </si>
  <si>
    <t>Single Super Phosphate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</si>
</sst>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8">
    <font>
      <sz val="12"/>
      <color theme="1"/>
      <name val="Aptos Narrow"/>
      <family val="2"/>
      <scheme val="minor"/>
    </font>
    <font>
      <sz val="11"/>
      <color rgb="FF000000"/>
      <name val="Helvetica"/>
      <family val="2"/>
    </font>
    <font>
      <sz val="8"/>
      <color rgb="FF000000"/>
      <name val="Helvetica"/>
      <family val="2"/>
    </font>
    <font>
      <sz val="12"/>
      <color theme="1"/>
      <name val="Helvetica"/>
      <family val="2"/>
    </font>
    <font>
      <sz val="12"/>
      <name val="Aptos Narrow"/>
      <scheme val="minor"/>
    </font>
    <font>
      <b/>
      <sz val="12"/>
      <color theme="1"/>
      <name val="Aptos Narrow"/>
      <scheme val="minor"/>
    </font>
    <font>
      <sz val="10"/>
      <color rgb="FF000000"/>
      <name val="Arial"/>
      <family val="2"/>
    </font>
    <font>
      <sz val="6"/>
      <color rgb="FF000000"/>
      <name val="Arial"/>
      <family val="2"/>
    </font>
  </fonts>
  <fills count="4">
    <fill>
      <patternFill patternType="none"/>
    </fill>
    <fill>
      <patternFill patternType="gray125"/>
    </fill>
    <fill>
      <patternFill patternType="solid">
        <fgColor theme="9" tint="0.79998168889431442"/>
        <bgColor indexed="64"/>
      </patternFill>
    </fill>
    <fill>
      <patternFill patternType="solid">
        <fgColor theme="5" tint="0.59999389629810485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0">
    <xf numFmtId="0" fontId="0" fillId="0" borderId="0" xfId="0"/>
    <xf numFmtId="0" fontId="1" fillId="0" borderId="0" xfId="0" applyFont="1"/>
    <xf numFmtId="0" fontId="3" fillId="0" borderId="0" xfId="0" applyFont="1"/>
    <xf numFmtId="0" fontId="4" fillId="0" borderId="0" xfId="0" applyFont="1" applyAlignment="1">
      <alignment wrapText="1"/>
    </xf>
    <xf numFmtId="0" fontId="4" fillId="2" borderId="0" xfId="0" applyFont="1" applyFill="1" applyAlignment="1">
      <alignment wrapText="1"/>
    </xf>
    <xf numFmtId="0" fontId="0" fillId="2" borderId="0" xfId="0" applyFill="1"/>
    <xf numFmtId="0" fontId="0" fillId="3" borderId="0" xfId="0" applyFill="1"/>
    <xf numFmtId="0" fontId="5" fillId="0" borderId="0" xfId="0" applyFont="1"/>
    <xf numFmtId="0" fontId="0" fillId="0" borderId="0" xfId="0" applyAlignment="1">
      <alignment wrapText="1"/>
    </xf>
    <xf numFmtId="0" fontId="6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externalLink" Target="externalLinks/externalLink1.xml"/><Relationship Id="rId7" Type="http://schemas.openxmlformats.org/officeDocument/2006/relationships/sheetMetadata" Target="metadata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constants/common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common"/>
    </sheetNames>
    <definedNames>
      <definedName name="common_cn2o" refersTo="='common'!$B$4"/>
    </definedNames>
    <sheetDataSet>
      <sheetData sheetId="0">
        <row r="4">
          <cell r="B4">
            <v>1.57</v>
          </cell>
        </row>
      </sheetData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8A5655F-5BFE-554E-A3D3-9DFA9517010F}">
  <dimension ref="A1:O47"/>
  <sheetViews>
    <sheetView workbookViewId="0">
      <selection activeCell="G13" sqref="G13"/>
    </sheetView>
  </sheetViews>
  <sheetFormatPr baseColWidth="10" defaultRowHeight="16"/>
  <cols>
    <col min="1" max="1" width="31" style="3" customWidth="1"/>
    <col min="2" max="3" width="26.6640625" customWidth="1"/>
    <col min="5" max="6" width="16.5" customWidth="1"/>
    <col min="7" max="7" width="12.83203125" customWidth="1"/>
    <col min="9" max="9" width="12.1640625" bestFit="1" customWidth="1"/>
    <col min="11" max="11" width="36" customWidth="1"/>
    <col min="15" max="15" width="28.5" style="8" customWidth="1"/>
  </cols>
  <sheetData>
    <row r="1" spans="1:12" ht="17">
      <c r="A1" s="3" t="s">
        <v>0</v>
      </c>
      <c r="I1" s="1" t="s">
        <v>2</v>
      </c>
    </row>
    <row r="2" spans="1:12">
      <c r="E2" t="s">
        <v>121</v>
      </c>
      <c r="G2" s="1" t="s">
        <v>4</v>
      </c>
      <c r="I2" s="1"/>
    </row>
    <row r="3" spans="1:12">
      <c r="C3" t="s">
        <v>37</v>
      </c>
      <c r="I3" s="1"/>
    </row>
    <row r="4" spans="1:12" ht="17">
      <c r="A4" s="4" t="s">
        <v>22</v>
      </c>
      <c r="B4" s="5" t="s">
        <v>19</v>
      </c>
      <c r="C4" s="5" t="s">
        <v>21</v>
      </c>
      <c r="D4" t="s">
        <v>122</v>
      </c>
      <c r="E4" t="s">
        <v>20</v>
      </c>
      <c r="F4" t="s">
        <v>36</v>
      </c>
      <c r="G4" t="s">
        <v>5</v>
      </c>
      <c r="H4" t="s">
        <v>18</v>
      </c>
      <c r="I4" s="6" t="s">
        <v>3</v>
      </c>
      <c r="K4" s="7" t="s">
        <v>1</v>
      </c>
    </row>
    <row r="5" spans="1:12">
      <c r="A5" s="2" t="s">
        <v>29</v>
      </c>
      <c r="B5" s="2" t="s">
        <v>8</v>
      </c>
      <c r="C5">
        <v>2000</v>
      </c>
      <c r="D5">
        <f t="shared" ref="D5:D11" si="0">IF(ISBLANK(A5), "", VLOOKUP(A5, $K$33:$L$39, 2, FALSE))</f>
        <v>0.33700000000000002</v>
      </c>
      <c r="E5">
        <f>IF(ISBLANK(A5), "",  D5*C5)</f>
        <v>674</v>
      </c>
      <c r="F5">
        <f t="shared" ref="F5:F11" si="1">IF(ISBLANK(A5), "", VLOOKUP(A5, $K$33:$M$39, 3, FALSE))</f>
        <v>0.05</v>
      </c>
      <c r="G5">
        <f t="shared" ref="G5:G11" si="2">IF(ISBLANK(A5), "", E5*F5)</f>
        <v>33.700000000000003</v>
      </c>
      <c r="H5">
        <f>IF(ISBLANK(A5),"",VLOOKUP(B5,$K$14:$L$28,2,FALSE))</f>
        <v>5.8999999999999999E-3</v>
      </c>
      <c r="I5">
        <f>IF(ISBLANK(A5), "", G5*H5*$L$10/1000)</f>
        <v>3.1216310000000005E-4</v>
      </c>
    </row>
    <row r="6" spans="1:12" ht="17">
      <c r="A6" s="3" t="s">
        <v>26</v>
      </c>
      <c r="B6" s="2" t="s">
        <v>9</v>
      </c>
      <c r="C6">
        <v>2000</v>
      </c>
      <c r="D6">
        <f t="shared" si="0"/>
        <v>0.46</v>
      </c>
      <c r="E6">
        <f t="shared" ref="E6:E17" si="3">IF(ISBLANK(A6), "",  D6*C6)</f>
        <v>920</v>
      </c>
      <c r="F6">
        <f t="shared" si="1"/>
        <v>0.15</v>
      </c>
      <c r="G6">
        <f t="shared" si="2"/>
        <v>138</v>
      </c>
      <c r="H6">
        <f t="shared" ref="H6:H17" si="4">IF(ISBLANK(A6),"",VLOOKUP(B6,$K$14:$L$28,2,FALSE))</f>
        <v>7.0000000000000001E-3</v>
      </c>
      <c r="I6">
        <f>IF(ISBLANK(A6), "", G6*H6*$L$10/1000)</f>
        <v>1.51662E-3</v>
      </c>
    </row>
    <row r="7" spans="1:12" ht="17">
      <c r="A7" s="3" t="s">
        <v>26</v>
      </c>
      <c r="B7" s="2" t="s">
        <v>10</v>
      </c>
      <c r="C7">
        <v>2000</v>
      </c>
      <c r="D7">
        <f t="shared" si="0"/>
        <v>0.46</v>
      </c>
      <c r="E7">
        <f t="shared" si="3"/>
        <v>920</v>
      </c>
      <c r="F7">
        <f t="shared" si="1"/>
        <v>0.15</v>
      </c>
      <c r="G7">
        <f t="shared" si="2"/>
        <v>138</v>
      </c>
      <c r="H7">
        <f t="shared" si="4"/>
        <v>1.8E-3</v>
      </c>
      <c r="I7">
        <f>IF(ISBLANK(A9), "", G7*H7*$L$10/1000)</f>
        <v>3.8998800000000002E-4</v>
      </c>
    </row>
    <row r="8" spans="1:12">
      <c r="A8" s="2" t="s">
        <v>39</v>
      </c>
      <c r="B8" s="2" t="s">
        <v>118</v>
      </c>
      <c r="C8">
        <v>3000</v>
      </c>
      <c r="D8">
        <f t="shared" si="0"/>
        <v>0.27</v>
      </c>
      <c r="E8">
        <f t="shared" si="3"/>
        <v>810</v>
      </c>
      <c r="F8">
        <f t="shared" si="1"/>
        <v>0.05</v>
      </c>
      <c r="G8">
        <f t="shared" si="2"/>
        <v>40.5</v>
      </c>
      <c r="H8">
        <f t="shared" si="4"/>
        <v>2.8999999999999998E-3</v>
      </c>
      <c r="I8">
        <f>IF(ISBLANK(A8), "", G8*H8*$L$10/1000)</f>
        <v>1.8439650000000001E-4</v>
      </c>
      <c r="K8" s="2"/>
      <c r="L8" s="2"/>
    </row>
    <row r="9" spans="1:12">
      <c r="A9" s="2" t="s">
        <v>40</v>
      </c>
      <c r="B9" s="2" t="s">
        <v>119</v>
      </c>
      <c r="C9">
        <v>2500</v>
      </c>
      <c r="D9">
        <f t="shared" si="0"/>
        <v>0.32</v>
      </c>
      <c r="E9">
        <f t="shared" si="3"/>
        <v>800</v>
      </c>
      <c r="F9">
        <f t="shared" si="1"/>
        <v>0.15</v>
      </c>
      <c r="G9">
        <f t="shared" si="2"/>
        <v>120</v>
      </c>
      <c r="H9">
        <f t="shared" si="4"/>
        <v>8.0000000000000002E-3</v>
      </c>
      <c r="I9">
        <f>IF(ISBLANK(A9), "", G9*H9*$L$10/1000)</f>
        <v>1.5072E-3</v>
      </c>
      <c r="K9" s="2"/>
      <c r="L9" s="2"/>
    </row>
    <row r="10" spans="1:12">
      <c r="A10" s="2" t="s">
        <v>41</v>
      </c>
      <c r="B10" s="2" t="s">
        <v>11</v>
      </c>
      <c r="C10">
        <v>2600</v>
      </c>
      <c r="D10">
        <f t="shared" si="0"/>
        <v>0.18</v>
      </c>
      <c r="E10">
        <f t="shared" si="3"/>
        <v>468</v>
      </c>
      <c r="F10">
        <f t="shared" si="1"/>
        <v>0.08</v>
      </c>
      <c r="G10">
        <f t="shared" si="2"/>
        <v>37.44</v>
      </c>
      <c r="H10">
        <f t="shared" si="4"/>
        <v>1.9900000000000001E-2</v>
      </c>
      <c r="I10">
        <f>IF(ISBLANK(A10), "", G10*H10*$L$10/1000)</f>
        <v>1.1697379199999999E-3</v>
      </c>
      <c r="K10" t="s">
        <v>6</v>
      </c>
      <c r="L10">
        <f>[1]!common_cn2o</f>
        <v>1.57</v>
      </c>
    </row>
    <row r="11" spans="1:12">
      <c r="A11" s="2" t="s">
        <v>27</v>
      </c>
      <c r="B11" s="2" t="s">
        <v>12</v>
      </c>
      <c r="C11">
        <v>2222.2199999999998</v>
      </c>
      <c r="D11">
        <f t="shared" si="0"/>
        <v>0.21</v>
      </c>
      <c r="E11">
        <f t="shared" si="3"/>
        <v>466.66619999999995</v>
      </c>
      <c r="F11">
        <f t="shared" si="1"/>
        <v>0.08</v>
      </c>
      <c r="G11">
        <f t="shared" si="2"/>
        <v>37.333295999999997</v>
      </c>
      <c r="H11">
        <f t="shared" si="4"/>
        <v>5.3E-3</v>
      </c>
      <c r="I11">
        <f>IF(ISBLANK(#REF!), "", G11*H11*$L$10/1000)</f>
        <v>3.1065035601599998E-4</v>
      </c>
      <c r="K11" s="2"/>
      <c r="L11" s="2"/>
    </row>
    <row r="12" spans="1:12" ht="17">
      <c r="A12" s="3" t="s">
        <v>26</v>
      </c>
      <c r="B12" s="2" t="s">
        <v>13</v>
      </c>
      <c r="C12">
        <v>100</v>
      </c>
      <c r="D12">
        <f t="shared" ref="D12:D16" si="5">IF(ISBLANK(A12), "", VLOOKUP(A12, $K$33:$L$39, 2, FALSE))</f>
        <v>0.46</v>
      </c>
      <c r="E12">
        <f t="shared" si="3"/>
        <v>46</v>
      </c>
      <c r="F12">
        <f t="shared" ref="F12:F16" si="6">IF(ISBLANK(A12), "", VLOOKUP(A12, $K$33:$M$39, 3, FALSE))</f>
        <v>0.15</v>
      </c>
      <c r="G12">
        <f t="shared" ref="G12:G16" si="7">IF(ISBLANK(A12), "", E12*F12)</f>
        <v>6.8999999999999995</v>
      </c>
      <c r="H12">
        <f t="shared" si="4"/>
        <v>6.4000000000000003E-3</v>
      </c>
      <c r="I12">
        <f>IF(ISBLANK(#REF!), "", G12*H12*$L$10/1000)</f>
        <v>6.9331199999999991E-5</v>
      </c>
      <c r="K12" s="2" t="s">
        <v>18</v>
      </c>
      <c r="L12" s="2"/>
    </row>
    <row r="13" spans="1:12">
      <c r="A13" s="2" t="s">
        <v>39</v>
      </c>
      <c r="B13" s="2" t="s">
        <v>14</v>
      </c>
      <c r="C13">
        <v>110</v>
      </c>
      <c r="D13">
        <f t="shared" si="5"/>
        <v>0.27</v>
      </c>
      <c r="E13">
        <f t="shared" si="3"/>
        <v>29.700000000000003</v>
      </c>
      <c r="F13">
        <f t="shared" si="6"/>
        <v>0.05</v>
      </c>
      <c r="G13">
        <f t="shared" si="7"/>
        <v>1.4850000000000003</v>
      </c>
      <c r="H13">
        <f t="shared" si="4"/>
        <v>2.5999999999999999E-3</v>
      </c>
      <c r="I13">
        <f>IF(ISBLANK(#REF!), "", G13*H13*$L$10/1000)</f>
        <v>6.0617700000000014E-6</v>
      </c>
      <c r="K13" t="s">
        <v>120</v>
      </c>
    </row>
    <row r="14" spans="1:12">
      <c r="A14" s="2" t="s">
        <v>40</v>
      </c>
      <c r="B14" s="2" t="s">
        <v>15</v>
      </c>
      <c r="C14">
        <v>120</v>
      </c>
      <c r="D14">
        <f t="shared" si="5"/>
        <v>0.32</v>
      </c>
      <c r="E14">
        <f t="shared" si="3"/>
        <v>38.4</v>
      </c>
      <c r="F14">
        <f t="shared" si="6"/>
        <v>0.15</v>
      </c>
      <c r="G14">
        <f t="shared" si="7"/>
        <v>5.76</v>
      </c>
      <c r="H14">
        <f t="shared" si="4"/>
        <v>3.0000000000000001E-3</v>
      </c>
      <c r="I14">
        <f>IF(ISBLANK(#REF!), "", G14*H14*$L$10/1000)</f>
        <v>2.7129599999999999E-5</v>
      </c>
      <c r="K14" s="2" t="s">
        <v>8</v>
      </c>
      <c r="L14" s="2">
        <v>5.8999999999999999E-3</v>
      </c>
    </row>
    <row r="15" spans="1:12">
      <c r="A15" s="2" t="s">
        <v>41</v>
      </c>
      <c r="B15" s="2" t="s">
        <v>16</v>
      </c>
      <c r="C15">
        <v>130</v>
      </c>
      <c r="D15">
        <f t="shared" si="5"/>
        <v>0.18</v>
      </c>
      <c r="E15">
        <f t="shared" si="3"/>
        <v>23.4</v>
      </c>
      <c r="F15">
        <f t="shared" si="6"/>
        <v>0.08</v>
      </c>
      <c r="G15">
        <f t="shared" si="7"/>
        <v>1.8719999999999999</v>
      </c>
      <c r="H15">
        <f t="shared" si="4"/>
        <v>5.0000000000000001E-3</v>
      </c>
      <c r="I15">
        <f>IF(ISBLANK(#REF!), "", G15*H15*$L$10/1000)</f>
        <v>1.46952E-5</v>
      </c>
      <c r="K15" s="2" t="s">
        <v>9</v>
      </c>
      <c r="L15" s="2">
        <v>7.0000000000000001E-3</v>
      </c>
    </row>
    <row r="16" spans="1:12">
      <c r="A16" s="2" t="s">
        <v>27</v>
      </c>
      <c r="B16" s="2" t="s">
        <v>17</v>
      </c>
      <c r="C16">
        <v>140</v>
      </c>
      <c r="D16">
        <f t="shared" si="5"/>
        <v>0.21</v>
      </c>
      <c r="E16">
        <f t="shared" si="3"/>
        <v>29.4</v>
      </c>
      <c r="F16">
        <f t="shared" si="6"/>
        <v>0.08</v>
      </c>
      <c r="G16">
        <f t="shared" si="7"/>
        <v>2.3519999999999999</v>
      </c>
      <c r="H16">
        <f t="shared" si="4"/>
        <v>1.8E-3</v>
      </c>
      <c r="I16">
        <f>IF(ISBLANK(#REF!), "", G16*H16*$L$10/1000)</f>
        <v>6.646752E-6</v>
      </c>
      <c r="K16" s="2" t="s">
        <v>10</v>
      </c>
      <c r="L16" s="2">
        <v>1.8E-3</v>
      </c>
    </row>
    <row r="17" spans="1:12">
      <c r="A17" s="2" t="s">
        <v>123</v>
      </c>
      <c r="B17" s="2" t="s">
        <v>118</v>
      </c>
      <c r="C17">
        <v>141</v>
      </c>
      <c r="D17">
        <f>IF(ISBLANK(A17), "", VLOOKUP(A17, $K$33:$L$40, 2, FALSE))</f>
        <v>0</v>
      </c>
      <c r="E17">
        <f t="shared" si="3"/>
        <v>0</v>
      </c>
      <c r="F17">
        <f>IF(ISBLANK(A17), "", VLOOKUP(A17, $K$33:$M$40, 3, FALSE))</f>
        <v>0</v>
      </c>
      <c r="G17">
        <f t="shared" ref="G17" si="8">IF(ISBLANK(A17), "", E17*F17)</f>
        <v>0</v>
      </c>
      <c r="H17">
        <f t="shared" si="4"/>
        <v>2.8999999999999998E-3</v>
      </c>
      <c r="I17">
        <f>IF(ISBLANK(#REF!), "", G17*H17*$L$10/1000)</f>
        <v>0</v>
      </c>
      <c r="K17" s="2" t="s">
        <v>118</v>
      </c>
      <c r="L17" s="2">
        <v>2.8999999999999998E-3</v>
      </c>
    </row>
    <row r="18" spans="1:12">
      <c r="K18" s="2" t="s">
        <v>119</v>
      </c>
      <c r="L18" s="2">
        <v>8.0000000000000002E-3</v>
      </c>
    </row>
    <row r="19" spans="1:12">
      <c r="K19" s="2" t="s">
        <v>11</v>
      </c>
      <c r="L19" s="2">
        <v>1.9900000000000001E-2</v>
      </c>
    </row>
    <row r="20" spans="1:12">
      <c r="K20" s="2" t="s">
        <v>12</v>
      </c>
      <c r="L20" s="2">
        <v>5.3E-3</v>
      </c>
    </row>
    <row r="21" spans="1:12">
      <c r="B21" s="2"/>
      <c r="K21" s="2" t="s">
        <v>13</v>
      </c>
      <c r="L21" s="2">
        <v>6.4000000000000003E-3</v>
      </c>
    </row>
    <row r="22" spans="1:12">
      <c r="B22" s="2"/>
      <c r="K22" s="2" t="s">
        <v>14</v>
      </c>
      <c r="L22" s="2">
        <v>2.5999999999999999E-3</v>
      </c>
    </row>
    <row r="23" spans="1:12">
      <c r="G23" t="str">
        <f t="shared" ref="G23:G26" si="9">IF(ISBLANK(C23), "", D23/C23)</f>
        <v/>
      </c>
      <c r="K23" s="2" t="s">
        <v>15</v>
      </c>
      <c r="L23" s="2">
        <v>3.0000000000000001E-3</v>
      </c>
    </row>
    <row r="24" spans="1:12">
      <c r="G24" t="str">
        <f t="shared" si="9"/>
        <v/>
      </c>
      <c r="K24" s="2" t="s">
        <v>16</v>
      </c>
      <c r="L24" s="2">
        <v>5.0000000000000001E-3</v>
      </c>
    </row>
    <row r="25" spans="1:12">
      <c r="G25" t="str">
        <f t="shared" si="9"/>
        <v/>
      </c>
      <c r="K25" s="2" t="s">
        <v>17</v>
      </c>
      <c r="L25" s="2">
        <v>1.8E-3</v>
      </c>
    </row>
    <row r="26" spans="1:12">
      <c r="G26" t="str">
        <f t="shared" si="9"/>
        <v/>
      </c>
      <c r="K26" s="2"/>
      <c r="L26" s="2"/>
    </row>
    <row r="27" spans="1:12">
      <c r="K27" s="2"/>
      <c r="L27" s="2"/>
    </row>
    <row r="28" spans="1:12">
      <c r="K28" s="2"/>
      <c r="L28" s="2"/>
    </row>
    <row r="29" spans="1:12">
      <c r="K29" s="2"/>
      <c r="L29" s="2"/>
    </row>
    <row r="30" spans="1:12">
      <c r="K30" s="2"/>
      <c r="L30" s="2"/>
    </row>
    <row r="31" spans="1:12">
      <c r="K31" s="2"/>
      <c r="L31" s="2"/>
    </row>
    <row r="32" spans="1:12">
      <c r="K32" s="2" t="s">
        <v>7</v>
      </c>
    </row>
    <row r="33" spans="11:15">
      <c r="K33" s="2" t="s">
        <v>24</v>
      </c>
      <c r="L33" s="2">
        <v>0.1</v>
      </c>
      <c r="M33">
        <v>0.08</v>
      </c>
    </row>
    <row r="34" spans="11:15" ht="51">
      <c r="K34" s="2" t="s">
        <v>25</v>
      </c>
      <c r="L34" s="2">
        <v>0.18</v>
      </c>
      <c r="M34">
        <v>0.08</v>
      </c>
      <c r="O34" s="8" t="s">
        <v>38</v>
      </c>
    </row>
    <row r="35" spans="11:15">
      <c r="K35" s="2" t="s">
        <v>26</v>
      </c>
      <c r="L35" s="2">
        <v>0.46</v>
      </c>
      <c r="M35">
        <v>0.15</v>
      </c>
    </row>
    <row r="36" spans="11:15">
      <c r="K36" s="2" t="s">
        <v>27</v>
      </c>
      <c r="L36" s="2">
        <v>0.21</v>
      </c>
      <c r="M36">
        <v>0.08</v>
      </c>
    </row>
    <row r="37" spans="11:15">
      <c r="K37" s="2" t="s">
        <v>40</v>
      </c>
      <c r="L37" s="2">
        <v>0.32</v>
      </c>
      <c r="M37">
        <v>0.15</v>
      </c>
    </row>
    <row r="38" spans="11:15">
      <c r="K38" s="2" t="s">
        <v>28</v>
      </c>
      <c r="L38" s="2">
        <v>0.33700000000000002</v>
      </c>
      <c r="M38">
        <v>0.05</v>
      </c>
    </row>
    <row r="39" spans="11:15">
      <c r="K39" s="2" t="s">
        <v>39</v>
      </c>
      <c r="L39" s="2">
        <v>0.27</v>
      </c>
      <c r="M39">
        <v>0.05</v>
      </c>
    </row>
    <row r="40" spans="11:15">
      <c r="K40" s="2" t="s">
        <v>123</v>
      </c>
      <c r="L40" s="2">
        <v>0</v>
      </c>
      <c r="M40">
        <v>0</v>
      </c>
    </row>
    <row r="42" spans="11:15">
      <c r="K42" s="2" t="s">
        <v>35</v>
      </c>
    </row>
    <row r="43" spans="11:15">
      <c r="K43" s="2" t="s">
        <v>30</v>
      </c>
      <c r="L43" s="2">
        <v>0.15</v>
      </c>
    </row>
    <row r="44" spans="11:15">
      <c r="K44" s="2" t="s">
        <v>31</v>
      </c>
      <c r="L44" s="2">
        <v>0.08</v>
      </c>
    </row>
    <row r="45" spans="11:15">
      <c r="K45" s="2" t="s">
        <v>32</v>
      </c>
      <c r="L45" s="2">
        <v>0.01</v>
      </c>
    </row>
    <row r="46" spans="11:15">
      <c r="K46" s="2" t="s">
        <v>33</v>
      </c>
      <c r="L46" s="2">
        <v>0.05</v>
      </c>
    </row>
    <row r="47" spans="11:15">
      <c r="K47" s="2" t="s">
        <v>34</v>
      </c>
      <c r="L47" s="2">
        <v>0.11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262A7CE-34CD-7A40-9BF6-875F02812705}">
  <dimension ref="A1:BD59"/>
  <sheetViews>
    <sheetView tabSelected="1" workbookViewId="0">
      <selection activeCell="D11" sqref="D11:D20"/>
    </sheetView>
  </sheetViews>
  <sheetFormatPr baseColWidth="10" defaultRowHeight="16"/>
  <cols>
    <col min="1" max="1" width="31" style="3" customWidth="1"/>
    <col min="2" max="2" width="26.6640625" customWidth="1"/>
    <col min="4" max="5" width="16.5" customWidth="1"/>
    <col min="6" max="6" width="12.83203125" customWidth="1"/>
    <col min="8" max="8" width="12.1640625" bestFit="1" customWidth="1"/>
    <col min="13" max="13" width="28.5" style="8" customWidth="1"/>
    <col min="31" max="31" width="19.6640625" customWidth="1"/>
    <col min="35" max="35" width="41.33203125" customWidth="1"/>
    <col min="39" max="39" width="28.33203125" customWidth="1"/>
    <col min="52" max="52" width="24.33203125" customWidth="1"/>
    <col min="55" max="55" width="33.5" customWidth="1"/>
  </cols>
  <sheetData>
    <row r="1" spans="1:56">
      <c r="A1" t="s">
        <v>47</v>
      </c>
      <c r="C1" t="s">
        <v>48</v>
      </c>
      <c r="D1" t="s">
        <v>48</v>
      </c>
      <c r="E1" t="s">
        <v>48</v>
      </c>
      <c r="F1" t="s">
        <v>48</v>
      </c>
      <c r="G1" t="s">
        <v>48</v>
      </c>
      <c r="H1" t="s">
        <v>48</v>
      </c>
      <c r="I1" t="s">
        <v>48</v>
      </c>
      <c r="M1"/>
      <c r="N1" t="s">
        <v>48</v>
      </c>
      <c r="O1" t="s">
        <v>48</v>
      </c>
      <c r="P1" t="s">
        <v>48</v>
      </c>
      <c r="Q1" t="s">
        <v>48</v>
      </c>
      <c r="R1" t="s">
        <v>48</v>
      </c>
      <c r="S1" t="s">
        <v>48</v>
      </c>
      <c r="T1" t="s">
        <v>48</v>
      </c>
      <c r="U1" t="s">
        <v>48</v>
      </c>
      <c r="V1" t="s">
        <v>48</v>
      </c>
      <c r="W1" t="s">
        <v>48</v>
      </c>
      <c r="X1" t="s">
        <v>48</v>
      </c>
      <c r="Y1" t="s">
        <v>48</v>
      </c>
      <c r="Z1" t="s">
        <v>48</v>
      </c>
      <c r="AA1" t="s">
        <v>48</v>
      </c>
      <c r="AB1" t="s">
        <v>48</v>
      </c>
      <c r="AC1" t="s">
        <v>48</v>
      </c>
      <c r="AD1" t="s">
        <v>48</v>
      </c>
      <c r="AI1" s="7" t="s">
        <v>1</v>
      </c>
      <c r="AM1" s="8"/>
      <c r="BD1" s="8"/>
    </row>
    <row r="2" spans="1:56">
      <c r="A2"/>
      <c r="M2"/>
      <c r="AM2" s="8"/>
      <c r="BD2" s="8"/>
    </row>
    <row r="3" spans="1:56">
      <c r="A3"/>
      <c r="G3" t="s">
        <v>49</v>
      </c>
      <c r="I3" t="s">
        <v>50</v>
      </c>
      <c r="M3"/>
      <c r="T3" t="s">
        <v>51</v>
      </c>
      <c r="AM3" s="8"/>
      <c r="BD3" s="8"/>
    </row>
    <row r="4" spans="1:56">
      <c r="A4"/>
      <c r="F4" t="s">
        <v>52</v>
      </c>
      <c r="M4"/>
      <c r="Y4" t="s">
        <v>53</v>
      </c>
      <c r="AM4" s="8"/>
    </row>
    <row r="5" spans="1:56">
      <c r="A5"/>
      <c r="M5"/>
      <c r="U5" t="s">
        <v>54</v>
      </c>
      <c r="AB5" t="s">
        <v>55</v>
      </c>
      <c r="AI5" s="2"/>
      <c r="AJ5" s="2"/>
      <c r="AM5" s="8"/>
    </row>
    <row r="6" spans="1:56">
      <c r="AI6" s="9" t="s">
        <v>45</v>
      </c>
      <c r="AJ6" s="2">
        <v>0.21</v>
      </c>
      <c r="AM6" s="8"/>
    </row>
    <row r="7" spans="1:56">
      <c r="AG7" s="1" t="s">
        <v>42</v>
      </c>
      <c r="AI7" t="s">
        <v>6</v>
      </c>
      <c r="AJ7">
        <f>[1]!common_cn2o</f>
        <v>1.57</v>
      </c>
      <c r="AM7" s="8"/>
    </row>
    <row r="8" spans="1:56">
      <c r="AD8" s="1" t="s">
        <v>43</v>
      </c>
      <c r="AE8" s="1"/>
      <c r="AG8" s="1"/>
      <c r="AI8" s="2"/>
      <c r="AJ8" s="2"/>
      <c r="AM8" s="8"/>
    </row>
    <row r="9" spans="1:56">
      <c r="A9" t="s">
        <v>56</v>
      </c>
      <c r="C9" t="s">
        <v>57</v>
      </c>
      <c r="E9" t="s">
        <v>58</v>
      </c>
      <c r="F9" t="s">
        <v>59</v>
      </c>
      <c r="G9" t="s">
        <v>60</v>
      </c>
      <c r="H9" t="s">
        <v>61</v>
      </c>
      <c r="I9" t="s">
        <v>62</v>
      </c>
      <c r="J9" t="s">
        <v>63</v>
      </c>
      <c r="M9"/>
      <c r="N9" t="s">
        <v>64</v>
      </c>
      <c r="Y9" t="s">
        <v>65</v>
      </c>
      <c r="AB9" t="s">
        <v>66</v>
      </c>
      <c r="AG9" s="1"/>
      <c r="AI9" s="2" t="s">
        <v>18</v>
      </c>
      <c r="AJ9" s="2"/>
      <c r="AM9" s="8"/>
    </row>
    <row r="10" spans="1:56">
      <c r="A10" s="5" t="s">
        <v>67</v>
      </c>
      <c r="B10" t="s">
        <v>68</v>
      </c>
      <c r="C10" t="s">
        <v>69</v>
      </c>
      <c r="D10" t="s">
        <v>70</v>
      </c>
      <c r="E10" t="s">
        <v>71</v>
      </c>
      <c r="F10" t="s">
        <v>72</v>
      </c>
      <c r="G10" t="s">
        <v>73</v>
      </c>
      <c r="H10" s="5" t="s">
        <v>74</v>
      </c>
      <c r="I10" t="s">
        <v>75</v>
      </c>
      <c r="J10" s="5" t="s">
        <v>76</v>
      </c>
      <c r="K10" s="5" t="s">
        <v>77</v>
      </c>
      <c r="L10" t="s">
        <v>78</v>
      </c>
      <c r="M10" t="s">
        <v>79</v>
      </c>
      <c r="N10" t="s">
        <v>80</v>
      </c>
      <c r="O10" t="s">
        <v>81</v>
      </c>
      <c r="P10" t="s">
        <v>82</v>
      </c>
      <c r="Q10" t="s">
        <v>83</v>
      </c>
      <c r="R10" t="s">
        <v>84</v>
      </c>
      <c r="S10" t="s">
        <v>85</v>
      </c>
      <c r="T10" t="s">
        <v>86</v>
      </c>
      <c r="U10" t="s">
        <v>87</v>
      </c>
      <c r="V10" t="s">
        <v>88</v>
      </c>
      <c r="W10" t="s">
        <v>89</v>
      </c>
      <c r="X10" t="s">
        <v>90</v>
      </c>
      <c r="Y10" t="s">
        <v>91</v>
      </c>
      <c r="Z10" t="s">
        <v>92</v>
      </c>
      <c r="AA10" t="s">
        <v>93</v>
      </c>
      <c r="AB10" t="s">
        <v>94</v>
      </c>
      <c r="AC10" t="s">
        <v>95</v>
      </c>
      <c r="AD10" t="s">
        <v>44</v>
      </c>
      <c r="AE10" s="5" t="s">
        <v>19</v>
      </c>
      <c r="AF10" t="s">
        <v>18</v>
      </c>
      <c r="AG10" s="6" t="s">
        <v>46</v>
      </c>
      <c r="AI10" t="s">
        <v>120</v>
      </c>
      <c r="AM10" s="8"/>
    </row>
    <row r="11" spans="1:56">
      <c r="A11">
        <v>60</v>
      </c>
      <c r="B11" t="s">
        <v>96</v>
      </c>
      <c r="C11" cm="1">
        <f t="array" ref="C11">_xlfn.IFS(A11&lt;=80,10.4,A11&lt;=200,10.8,TRUE,8.2)</f>
        <v>10.4</v>
      </c>
      <c r="D11" cm="1">
        <f t="array" ref="D11">_xlfn.IFS(A11&lt;=80,0.14,A11&lt;=200,0.12,TRUE,0.12)</f>
        <v>0.14000000000000001</v>
      </c>
      <c r="E11" cm="1">
        <f t="array" ref="E11">_xlfn.IFS(A11&lt;=80,20.4,A11&lt;=200,12.7,TRUE,7)/100</f>
        <v>0.20399999999999999</v>
      </c>
      <c r="F11">
        <f t="shared" ref="F11:F20" si="0">IF(ISBLANK(H11),"",C11*(D11)/6.25)</f>
        <v>0.23296000000000003</v>
      </c>
      <c r="G11">
        <f>IF(ISBLANK(H11), "", F11*(1-E11))</f>
        <v>0.18543616000000004</v>
      </c>
      <c r="H11">
        <v>500</v>
      </c>
      <c r="I11">
        <f t="shared" ref="I11:I20" si="1">IF(ISBLANK(H11),"",H11*G11*A11)</f>
        <v>5563.0848000000015</v>
      </c>
      <c r="J11">
        <v>0.8</v>
      </c>
      <c r="K11" t="s">
        <v>97</v>
      </c>
      <c r="L11" t="s">
        <v>98</v>
      </c>
      <c r="M11" t="s">
        <v>99</v>
      </c>
      <c r="N11">
        <v>1</v>
      </c>
      <c r="O11">
        <f t="shared" ref="O11:O20" si="2">IF(ISBLANK(I11),"",I11)</f>
        <v>5563.0848000000015</v>
      </c>
      <c r="P11">
        <f t="shared" ref="P11:P20" si="3">IF(ISBLANK(I11),"",VLOOKUP("drylot",$AI$49:$AK$52, 3,FALSE))</f>
        <v>0.6</v>
      </c>
      <c r="Q11">
        <f t="shared" ref="Q11:Q20" si="4">IF(ISBLANK(I11),"",VLOOKUP("drylot",$AI$49:$AK$52, 2,FALSE))</f>
        <v>5.4000000000000003E-3</v>
      </c>
      <c r="R11">
        <f t="shared" ref="R11:R20" si="5">IF(ISBLANK(I11),"",VLOOKUP(K11,$AI$49:$AK$52, 2,FALSE))</f>
        <v>5.0000000000000001E-3</v>
      </c>
      <c r="S11">
        <f t="shared" ref="S11:S20" si="6">IF(ISBLANK(I11),"",VLOOKUP(K11,$AI$49:$AK$52, 3,FALSE))</f>
        <v>0.25</v>
      </c>
      <c r="T11">
        <f t="shared" ref="T11:T20" si="7">IF(ISBLANK(I11),"", (O11*(1-P11-Q11))-Y11)</f>
        <v>2083.9315660800007</v>
      </c>
      <c r="U11">
        <f t="shared" ref="U11:U20" si="8">IF(ISBLANK(I11),"",T11*N11)</f>
        <v>2083.9315660800007</v>
      </c>
      <c r="V11" cm="1">
        <f t="array" ref="V11">_xlfn.IFS(ISBLANK(I11),"",M11="yes",0.02,TRUE,0)</f>
        <v>0.02</v>
      </c>
      <c r="W11">
        <f t="shared" ref="W11:W20" si="9">IF(ISBLANK(I11),"",VLOOKUP("anaerobicLagoon",$AI$49:$AK$52, 2,FALSE))</f>
        <v>0</v>
      </c>
      <c r="X11">
        <f t="shared" ref="X11:X20" si="10">IF(ISBLANK(I11),"",VLOOKUP("anaerobicLagoon",$AI$49:$AK$52, 3,FALSE))</f>
        <v>0.35</v>
      </c>
      <c r="Y11" cm="1">
        <f t="array" ref="Y11">_xlfn.IFS(ISBLANK(I11), "",TRUE, I11*V11)</f>
        <v>111.26169600000003</v>
      </c>
      <c r="Z11">
        <f t="shared" ref="Z11:Z20" si="11">IF(ISBLANK(I11),"", U11*(1-R11-S11))</f>
        <v>1552.5290167296005</v>
      </c>
      <c r="AA11">
        <f t="shared" ref="AA11:AA20" si="12">IF(ISBLANK(I11),"", Y11*(1-W11-X11))</f>
        <v>72.320102400000025</v>
      </c>
      <c r="AB11" cm="1">
        <f t="array" ref="AB11">_xlfn.IFS(ISBLANK(I11),"",L11="yes",T11*J11, TRUE, (Z11+AA11)*J11)</f>
        <v>1299.8792953036805</v>
      </c>
      <c r="AC11" cm="1">
        <f t="array" ref="AC11">_xlfn.IFS(ISBLANK(I11),"",L11="yes", T11*(1-J11),TRUE, (Z11+AA11)*(1-J11))</f>
        <v>324.96982382592</v>
      </c>
      <c r="AD11">
        <f t="shared" ref="AD11:AD20" si="13">IF(ISBLANK(A11), "", AB11*$AJ$6)</f>
        <v>272.97465201377287</v>
      </c>
      <c r="AE11" t="s">
        <v>11</v>
      </c>
      <c r="AF11">
        <f t="shared" ref="AF11:AF20" si="14">IF(ISBLANK(A11),"",VLOOKUP(AE11,$AI$11:$AJ$25,2,FALSE))</f>
        <v>1.9900000000000001E-2</v>
      </c>
      <c r="AG11">
        <f t="shared" ref="AG11:AG20" si="15">IF(ISBLANK(A11), "", AD11*AF11*$AJ$7/1000)</f>
        <v>8.528547052866306E-3</v>
      </c>
      <c r="AI11" s="2" t="s">
        <v>8</v>
      </c>
      <c r="AJ11" s="2">
        <v>5.8999999999999999E-3</v>
      </c>
    </row>
    <row r="12" spans="1:56">
      <c r="A12">
        <v>80</v>
      </c>
      <c r="B12" t="s">
        <v>100</v>
      </c>
      <c r="C12" cm="1">
        <f t="array" ref="C12">_xlfn.IFS(A12&lt;=80,10.4,A12&lt;=200,10.8,TRUE,8.2)</f>
        <v>10.4</v>
      </c>
      <c r="D12" cm="1">
        <f t="array" ref="D12">_xlfn.IFS(A12&lt;=80,0.14,A12&lt;=200,0.12,TRUE,0.12)</f>
        <v>0.14000000000000001</v>
      </c>
      <c r="E12" cm="1">
        <f t="array" ref="E12">_xlfn.IFS(A12&lt;=80,20.4,A12&lt;=200,12.7,TRUE,7)/100</f>
        <v>0.20399999999999999</v>
      </c>
      <c r="F12">
        <f t="shared" si="0"/>
        <v>0.23296000000000003</v>
      </c>
      <c r="G12">
        <f t="shared" ref="G12:G20" si="16">IF(ISBLANK(H12), "", F12*(1-E12))</f>
        <v>0.18543616000000004</v>
      </c>
      <c r="H12">
        <v>500</v>
      </c>
      <c r="I12">
        <f t="shared" si="1"/>
        <v>7417.4464000000025</v>
      </c>
      <c r="J12">
        <v>0.75</v>
      </c>
      <c r="K12" t="s">
        <v>97</v>
      </c>
      <c r="L12" t="s">
        <v>98</v>
      </c>
      <c r="M12" t="s">
        <v>99</v>
      </c>
      <c r="N12">
        <v>1</v>
      </c>
      <c r="O12">
        <f t="shared" si="2"/>
        <v>7417.4464000000025</v>
      </c>
      <c r="P12">
        <f t="shared" si="3"/>
        <v>0.6</v>
      </c>
      <c r="Q12">
        <f t="shared" si="4"/>
        <v>5.4000000000000003E-3</v>
      </c>
      <c r="R12">
        <f t="shared" si="5"/>
        <v>5.0000000000000001E-3</v>
      </c>
      <c r="S12">
        <f t="shared" si="6"/>
        <v>0.25</v>
      </c>
      <c r="T12">
        <f t="shared" si="7"/>
        <v>2778.5754214400013</v>
      </c>
      <c r="U12">
        <f t="shared" si="8"/>
        <v>2778.5754214400013</v>
      </c>
      <c r="V12" cm="1">
        <f t="array" ref="V12">_xlfn.IFS(ISBLANK(I12),"",M12="yes",0.02,TRUE,0)</f>
        <v>0.02</v>
      </c>
      <c r="W12">
        <f t="shared" si="9"/>
        <v>0</v>
      </c>
      <c r="X12">
        <f t="shared" si="10"/>
        <v>0.35</v>
      </c>
      <c r="Y12" cm="1">
        <f t="array" ref="Y12">_xlfn.IFS(ISBLANK(I12), "",TRUE, I12*V12)</f>
        <v>148.34892800000006</v>
      </c>
      <c r="Z12">
        <f t="shared" si="11"/>
        <v>2070.0386889728011</v>
      </c>
      <c r="AA12">
        <f t="shared" si="12"/>
        <v>96.426803200000037</v>
      </c>
      <c r="AB12" cm="1">
        <f t="array" ref="AB12">_xlfn.IFS(ISBLANK(I12),"",L12="yes",T12*J12, TRUE, (Z12+AA12)*J12)</f>
        <v>1624.8491191296007</v>
      </c>
      <c r="AC12" cm="1">
        <f t="array" ref="AC12">_xlfn.IFS(ISBLANK(I12),"",L12="yes", T12*(1-J12),TRUE, (Z12+AA12)*(1-J12))</f>
        <v>541.61637304320027</v>
      </c>
      <c r="AD12">
        <f t="shared" si="13"/>
        <v>341.21831501721613</v>
      </c>
      <c r="AE12" t="s">
        <v>11</v>
      </c>
      <c r="AF12">
        <f t="shared" si="14"/>
        <v>1.9900000000000001E-2</v>
      </c>
      <c r="AG12">
        <f t="shared" si="15"/>
        <v>1.0660683816082886E-2</v>
      </c>
      <c r="AI12" s="2" t="s">
        <v>9</v>
      </c>
      <c r="AJ12" s="2">
        <v>7.0000000000000001E-3</v>
      </c>
    </row>
    <row r="13" spans="1:56">
      <c r="A13">
        <v>100</v>
      </c>
      <c r="B13" t="s">
        <v>101</v>
      </c>
      <c r="C13" cm="1">
        <f t="array" ref="C13">_xlfn.IFS(A13&lt;=80,10.4,A13&lt;=200,10.8,TRUE,8.2)</f>
        <v>10.8</v>
      </c>
      <c r="D13" cm="1">
        <f t="array" ref="D13">_xlfn.IFS(A13&lt;=80,0.14,A13&lt;=200,0.12,TRUE,0.12)</f>
        <v>0.12</v>
      </c>
      <c r="E13" cm="1">
        <f t="array" ref="E13">_xlfn.IFS(A13&lt;=80,20.4,A13&lt;=200,12.7,TRUE,7)/100</f>
        <v>0.127</v>
      </c>
      <c r="F13">
        <f t="shared" si="0"/>
        <v>0.20736000000000002</v>
      </c>
      <c r="G13">
        <f t="shared" si="16"/>
        <v>0.18102528000000001</v>
      </c>
      <c r="H13">
        <v>500</v>
      </c>
      <c r="I13">
        <f t="shared" si="1"/>
        <v>9051.264000000001</v>
      </c>
      <c r="J13">
        <v>0.7</v>
      </c>
      <c r="K13" t="s">
        <v>97</v>
      </c>
      <c r="L13" t="s">
        <v>98</v>
      </c>
      <c r="M13" t="s">
        <v>99</v>
      </c>
      <c r="N13">
        <v>1</v>
      </c>
      <c r="O13">
        <f t="shared" si="2"/>
        <v>9051.264000000001</v>
      </c>
      <c r="P13">
        <f t="shared" si="3"/>
        <v>0.6</v>
      </c>
      <c r="Q13">
        <f t="shared" si="4"/>
        <v>5.4000000000000003E-3</v>
      </c>
      <c r="R13">
        <f t="shared" si="5"/>
        <v>5.0000000000000001E-3</v>
      </c>
      <c r="S13">
        <f t="shared" si="6"/>
        <v>0.25</v>
      </c>
      <c r="T13">
        <f t="shared" si="7"/>
        <v>3390.6034944000007</v>
      </c>
      <c r="U13">
        <f t="shared" si="8"/>
        <v>3390.6034944000007</v>
      </c>
      <c r="V13" cm="1">
        <f t="array" ref="V13">_xlfn.IFS(ISBLANK(I13),"",M13="yes",0.02,TRUE,0)</f>
        <v>0.02</v>
      </c>
      <c r="W13">
        <f t="shared" si="9"/>
        <v>0</v>
      </c>
      <c r="X13">
        <f t="shared" si="10"/>
        <v>0.35</v>
      </c>
      <c r="Y13" cm="1">
        <f t="array" ref="Y13">_xlfn.IFS(ISBLANK(I13), "",TRUE, I13*V13)</f>
        <v>181.02528000000004</v>
      </c>
      <c r="Z13">
        <f t="shared" si="11"/>
        <v>2525.9996033280004</v>
      </c>
      <c r="AA13">
        <f t="shared" si="12"/>
        <v>117.66643200000003</v>
      </c>
      <c r="AB13" cm="1">
        <f t="array" ref="AB13">_xlfn.IFS(ISBLANK(I13),"",L13="yes",T13*J13, TRUE, (Z13+AA13)*J13)</f>
        <v>1850.5662247296002</v>
      </c>
      <c r="AC13" cm="1">
        <f t="array" ref="AC13">_xlfn.IFS(ISBLANK(I13),"",L13="yes", T13*(1-J13),TRUE, (Z13+AA13)*(1-J13))</f>
        <v>793.09981059840027</v>
      </c>
      <c r="AD13">
        <f t="shared" si="13"/>
        <v>388.61890719321605</v>
      </c>
      <c r="AE13" s="2" t="s">
        <v>11</v>
      </c>
      <c r="AF13">
        <f t="shared" si="14"/>
        <v>1.9900000000000001E-2</v>
      </c>
      <c r="AG13">
        <f t="shared" si="15"/>
        <v>1.2141620517437651E-2</v>
      </c>
      <c r="AI13" s="2" t="s">
        <v>10</v>
      </c>
      <c r="AJ13" s="2">
        <v>1.8E-3</v>
      </c>
    </row>
    <row r="14" spans="1:56">
      <c r="A14">
        <v>120</v>
      </c>
      <c r="B14" t="s">
        <v>102</v>
      </c>
      <c r="C14" cm="1">
        <f t="array" ref="C14">_xlfn.IFS(A14&lt;=80,10.4,A14&lt;=200,10.8,TRUE,8.2)</f>
        <v>10.8</v>
      </c>
      <c r="D14" cm="1">
        <f t="array" ref="D14">_xlfn.IFS(A14&lt;=80,0.14,A14&lt;=200,0.12,TRUE,0.12)</f>
        <v>0.12</v>
      </c>
      <c r="E14" cm="1">
        <f t="array" ref="E14">_xlfn.IFS(A14&lt;=80,20.4,A14&lt;=200,12.7,TRUE,7)/100</f>
        <v>0.127</v>
      </c>
      <c r="F14">
        <f t="shared" si="0"/>
        <v>0.20736000000000002</v>
      </c>
      <c r="G14">
        <f t="shared" si="16"/>
        <v>0.18102528000000001</v>
      </c>
      <c r="H14">
        <v>500</v>
      </c>
      <c r="I14">
        <f t="shared" si="1"/>
        <v>10861.516800000001</v>
      </c>
      <c r="J14">
        <v>0.65</v>
      </c>
      <c r="K14" t="s">
        <v>97</v>
      </c>
      <c r="L14" t="s">
        <v>98</v>
      </c>
      <c r="M14" t="s">
        <v>99</v>
      </c>
      <c r="N14">
        <v>1</v>
      </c>
      <c r="O14">
        <f t="shared" si="2"/>
        <v>10861.516800000001</v>
      </c>
      <c r="P14">
        <f t="shared" si="3"/>
        <v>0.6</v>
      </c>
      <c r="Q14">
        <f t="shared" si="4"/>
        <v>5.4000000000000003E-3</v>
      </c>
      <c r="R14">
        <f t="shared" si="5"/>
        <v>5.0000000000000001E-3</v>
      </c>
      <c r="S14">
        <f t="shared" si="6"/>
        <v>0.25</v>
      </c>
      <c r="T14">
        <f t="shared" si="7"/>
        <v>4068.7241932800002</v>
      </c>
      <c r="U14">
        <f t="shared" si="8"/>
        <v>4068.7241932800002</v>
      </c>
      <c r="V14" cm="1">
        <f t="array" ref="V14">_xlfn.IFS(ISBLANK(I14),"",M14="yes",0.02,TRUE,0)</f>
        <v>0.02</v>
      </c>
      <c r="W14">
        <f t="shared" si="9"/>
        <v>0</v>
      </c>
      <c r="X14">
        <f t="shared" si="10"/>
        <v>0.35</v>
      </c>
      <c r="Y14" cm="1">
        <f t="array" ref="Y14">_xlfn.IFS(ISBLANK(I14), "",TRUE, I14*V14)</f>
        <v>217.23033600000002</v>
      </c>
      <c r="Z14">
        <f t="shared" si="11"/>
        <v>3031.1995239936</v>
      </c>
      <c r="AA14">
        <f t="shared" si="12"/>
        <v>141.19971840000002</v>
      </c>
      <c r="AB14" cm="1">
        <f t="array" ref="AB14">_xlfn.IFS(ISBLANK(I14),"",L14="yes",T14*J14, TRUE, (Z14+AA14)*J14)</f>
        <v>2062.0595075558404</v>
      </c>
      <c r="AC14" cm="1">
        <f t="array" ref="AC14">_xlfn.IFS(ISBLANK(I14),"",L14="yes", T14*(1-J14),TRUE, (Z14+AA14)*(1-J14))</f>
        <v>1110.33973483776</v>
      </c>
      <c r="AD14">
        <f t="shared" si="13"/>
        <v>433.03249658672644</v>
      </c>
      <c r="AE14" s="2" t="s">
        <v>9</v>
      </c>
      <c r="AF14">
        <f t="shared" si="14"/>
        <v>7.0000000000000001E-3</v>
      </c>
      <c r="AG14">
        <f t="shared" si="15"/>
        <v>4.7590271374881241E-3</v>
      </c>
      <c r="AI14" s="2" t="s">
        <v>118</v>
      </c>
      <c r="AJ14" s="2">
        <v>2.8999999999999998E-3</v>
      </c>
    </row>
    <row r="15" spans="1:56">
      <c r="A15">
        <v>140</v>
      </c>
      <c r="B15" t="s">
        <v>103</v>
      </c>
      <c r="C15" cm="1">
        <f t="array" ref="C15">_xlfn.IFS(A15&lt;=80,10.4,A15&lt;=200,10.8,TRUE,8.2)</f>
        <v>10.8</v>
      </c>
      <c r="D15" cm="1">
        <f t="array" ref="D15">_xlfn.IFS(A15&lt;=80,0.14,A15&lt;=200,0.12,TRUE,0.12)</f>
        <v>0.12</v>
      </c>
      <c r="E15" cm="1">
        <f t="array" ref="E15">_xlfn.IFS(A15&lt;=80,20.4,A15&lt;=200,12.7,TRUE,7)/100</f>
        <v>0.127</v>
      </c>
      <c r="F15">
        <f t="shared" si="0"/>
        <v>0.20736000000000002</v>
      </c>
      <c r="G15">
        <f t="shared" si="16"/>
        <v>0.18102528000000001</v>
      </c>
      <c r="H15">
        <v>500</v>
      </c>
      <c r="I15">
        <f t="shared" si="1"/>
        <v>12671.769600000001</v>
      </c>
      <c r="J15">
        <v>0.6</v>
      </c>
      <c r="K15" t="s">
        <v>104</v>
      </c>
      <c r="L15" t="s">
        <v>98</v>
      </c>
      <c r="M15" t="s">
        <v>99</v>
      </c>
      <c r="N15">
        <v>1</v>
      </c>
      <c r="O15">
        <f t="shared" si="2"/>
        <v>12671.769600000001</v>
      </c>
      <c r="P15">
        <f t="shared" si="3"/>
        <v>0.6</v>
      </c>
      <c r="Q15">
        <f t="shared" si="4"/>
        <v>5.4000000000000003E-3</v>
      </c>
      <c r="R15">
        <f t="shared" si="5"/>
        <v>0.01</v>
      </c>
      <c r="S15">
        <f t="shared" si="6"/>
        <v>0.4</v>
      </c>
      <c r="T15">
        <f t="shared" si="7"/>
        <v>4746.8448921600002</v>
      </c>
      <c r="U15">
        <f t="shared" si="8"/>
        <v>4746.8448921600002</v>
      </c>
      <c r="V15" cm="1">
        <f t="array" ref="V15">_xlfn.IFS(ISBLANK(I15),"",M15="yes",0.02,TRUE,0)</f>
        <v>0.02</v>
      </c>
      <c r="W15">
        <f t="shared" si="9"/>
        <v>0</v>
      </c>
      <c r="X15">
        <f t="shared" si="10"/>
        <v>0.35</v>
      </c>
      <c r="Y15" cm="1">
        <f t="array" ref="Y15">_xlfn.IFS(ISBLANK(I15), "",TRUE, I15*V15)</f>
        <v>253.43539200000004</v>
      </c>
      <c r="Z15">
        <f t="shared" si="11"/>
        <v>2800.6384863744001</v>
      </c>
      <c r="AA15">
        <f t="shared" si="12"/>
        <v>164.73300480000003</v>
      </c>
      <c r="AB15" cm="1">
        <f t="array" ref="AB15">_xlfn.IFS(ISBLANK(I15),"",L15="yes",T15*J15, TRUE, (Z15+AA15)*J15)</f>
        <v>1779.2228947046399</v>
      </c>
      <c r="AC15" cm="1">
        <f t="array" ref="AC15">_xlfn.IFS(ISBLANK(I15),"",L15="yes", T15*(1-J15),TRUE, (Z15+AA15)*(1-J15))</f>
        <v>1186.1485964697602</v>
      </c>
      <c r="AD15">
        <f t="shared" si="13"/>
        <v>373.63680788797438</v>
      </c>
      <c r="AE15" s="2" t="s">
        <v>10</v>
      </c>
      <c r="AF15">
        <f t="shared" si="14"/>
        <v>1.8E-3</v>
      </c>
      <c r="AG15">
        <f t="shared" si="15"/>
        <v>1.0558976190914158E-3</v>
      </c>
      <c r="AI15" s="2" t="s">
        <v>119</v>
      </c>
      <c r="AJ15" s="2">
        <v>8.0000000000000002E-3</v>
      </c>
    </row>
    <row r="16" spans="1:56">
      <c r="A16">
        <v>160</v>
      </c>
      <c r="B16" t="s">
        <v>105</v>
      </c>
      <c r="C16" cm="1">
        <f t="array" ref="C16">_xlfn.IFS(A16&lt;=80,10.4,A16&lt;=200,10.8,TRUE,8.2)</f>
        <v>10.8</v>
      </c>
      <c r="D16" cm="1">
        <f t="array" ref="D16">_xlfn.IFS(A16&lt;=80,0.14,A16&lt;=200,0.12,TRUE,0.12)</f>
        <v>0.12</v>
      </c>
      <c r="E16" cm="1">
        <f t="array" ref="E16">_xlfn.IFS(A16&lt;=80,20.4,A16&lt;=200,12.7,TRUE,7)/100</f>
        <v>0.127</v>
      </c>
      <c r="F16">
        <f t="shared" si="0"/>
        <v>0.20736000000000002</v>
      </c>
      <c r="G16">
        <f t="shared" si="16"/>
        <v>0.18102528000000001</v>
      </c>
      <c r="H16">
        <v>500</v>
      </c>
      <c r="I16">
        <f t="shared" si="1"/>
        <v>14482.022400000002</v>
      </c>
      <c r="J16">
        <v>0.55000000000000004</v>
      </c>
      <c r="K16" t="s">
        <v>97</v>
      </c>
      <c r="L16" t="s">
        <v>98</v>
      </c>
      <c r="M16" t="s">
        <v>99</v>
      </c>
      <c r="N16">
        <v>1</v>
      </c>
      <c r="O16">
        <f t="shared" si="2"/>
        <v>14482.022400000002</v>
      </c>
      <c r="P16">
        <f t="shared" si="3"/>
        <v>0.6</v>
      </c>
      <c r="Q16">
        <f t="shared" si="4"/>
        <v>5.4000000000000003E-3</v>
      </c>
      <c r="R16">
        <f t="shared" si="5"/>
        <v>5.0000000000000001E-3</v>
      </c>
      <c r="S16">
        <f t="shared" si="6"/>
        <v>0.25</v>
      </c>
      <c r="T16">
        <f t="shared" si="7"/>
        <v>5424.9655910400006</v>
      </c>
      <c r="U16">
        <f t="shared" si="8"/>
        <v>5424.9655910400006</v>
      </c>
      <c r="V16" cm="1">
        <f t="array" ref="V16">_xlfn.IFS(ISBLANK(I16),"",M16="yes",0.02,TRUE,0)</f>
        <v>0.02</v>
      </c>
      <c r="W16">
        <f t="shared" si="9"/>
        <v>0</v>
      </c>
      <c r="X16">
        <f t="shared" si="10"/>
        <v>0.35</v>
      </c>
      <c r="Y16" cm="1">
        <f t="array" ref="Y16">_xlfn.IFS(ISBLANK(I16), "",TRUE, I16*V16)</f>
        <v>289.64044800000005</v>
      </c>
      <c r="Z16">
        <f t="shared" si="11"/>
        <v>4041.5993653248006</v>
      </c>
      <c r="AA16">
        <f t="shared" si="12"/>
        <v>188.26629120000004</v>
      </c>
      <c r="AB16" cm="1">
        <f t="array" ref="AB16">_xlfn.IFS(ISBLANK(I16),"",L16="yes",T16*J16, TRUE, (Z16+AA16)*J16)</f>
        <v>2326.4261110886405</v>
      </c>
      <c r="AC16" cm="1">
        <f t="array" ref="AC16">_xlfn.IFS(ISBLANK(I16),"",L16="yes", T16*(1-J16),TRUE, (Z16+AA16)*(1-J16))</f>
        <v>1903.43954543616</v>
      </c>
      <c r="AD16">
        <f t="shared" si="13"/>
        <v>488.54948332861449</v>
      </c>
      <c r="AE16" s="2" t="s">
        <v>14</v>
      </c>
      <c r="AF16">
        <f t="shared" si="14"/>
        <v>2.5999999999999999E-3</v>
      </c>
      <c r="AG16">
        <f t="shared" si="15"/>
        <v>1.9942589909474045E-3</v>
      </c>
      <c r="AI16" s="2" t="s">
        <v>11</v>
      </c>
      <c r="AJ16" s="2">
        <v>1.9900000000000001E-2</v>
      </c>
    </row>
    <row r="17" spans="1:48">
      <c r="A17">
        <v>180</v>
      </c>
      <c r="B17" t="s">
        <v>106</v>
      </c>
      <c r="C17" cm="1">
        <f t="array" ref="C17">_xlfn.IFS(A17&lt;=80,10.4,A17&lt;=200,10.8,TRUE,8.2)</f>
        <v>10.8</v>
      </c>
      <c r="D17" cm="1">
        <f t="array" ref="D17">_xlfn.IFS(A17&lt;=80,0.14,A17&lt;=200,0.12,TRUE,0.12)</f>
        <v>0.12</v>
      </c>
      <c r="E17" cm="1">
        <f t="array" ref="E17">_xlfn.IFS(A17&lt;=80,20.4,A17&lt;=200,12.7,TRUE,7)/100</f>
        <v>0.127</v>
      </c>
      <c r="F17">
        <f t="shared" si="0"/>
        <v>0.20736000000000002</v>
      </c>
      <c r="G17">
        <f t="shared" si="16"/>
        <v>0.18102528000000001</v>
      </c>
      <c r="H17">
        <v>500</v>
      </c>
      <c r="I17">
        <f t="shared" si="1"/>
        <v>16292.2752</v>
      </c>
      <c r="J17">
        <v>0.5</v>
      </c>
      <c r="K17" t="s">
        <v>97</v>
      </c>
      <c r="L17" t="s">
        <v>98</v>
      </c>
      <c r="M17" t="s">
        <v>99</v>
      </c>
      <c r="N17">
        <v>1</v>
      </c>
      <c r="O17">
        <f t="shared" si="2"/>
        <v>16292.2752</v>
      </c>
      <c r="P17">
        <f t="shared" si="3"/>
        <v>0.6</v>
      </c>
      <c r="Q17">
        <f t="shared" si="4"/>
        <v>5.4000000000000003E-3</v>
      </c>
      <c r="R17">
        <f t="shared" si="5"/>
        <v>5.0000000000000001E-3</v>
      </c>
      <c r="S17">
        <f t="shared" si="6"/>
        <v>0.25</v>
      </c>
      <c r="T17">
        <f t="shared" si="7"/>
        <v>6103.0862899200001</v>
      </c>
      <c r="U17">
        <f t="shared" si="8"/>
        <v>6103.0862899200001</v>
      </c>
      <c r="V17" cm="1">
        <f t="array" ref="V17">_xlfn.IFS(ISBLANK(I17),"",M17="yes",0.02,TRUE,0)</f>
        <v>0.02</v>
      </c>
      <c r="W17">
        <f t="shared" si="9"/>
        <v>0</v>
      </c>
      <c r="X17">
        <f t="shared" si="10"/>
        <v>0.35</v>
      </c>
      <c r="Y17" cm="1">
        <f t="array" ref="Y17">_xlfn.IFS(ISBLANK(I17), "",TRUE, I17*V17)</f>
        <v>325.84550400000001</v>
      </c>
      <c r="Z17">
        <f t="shared" si="11"/>
        <v>4546.7992859903998</v>
      </c>
      <c r="AA17">
        <f t="shared" si="12"/>
        <v>211.79957760000002</v>
      </c>
      <c r="AB17" cm="1">
        <f t="array" ref="AB17">_xlfn.IFS(ISBLANK(I17),"",L17="yes",T17*J17, TRUE, (Z17+AA17)*J17)</f>
        <v>2379.2994317951998</v>
      </c>
      <c r="AC17" cm="1">
        <f t="array" ref="AC17">_xlfn.IFS(ISBLANK(I17),"",L17="yes", T17*(1-J17),TRUE, (Z17+AA17)*(1-J17))</f>
        <v>2379.2994317951998</v>
      </c>
      <c r="AD17">
        <f t="shared" si="13"/>
        <v>499.65288067699191</v>
      </c>
      <c r="AE17" s="2" t="s">
        <v>13</v>
      </c>
      <c r="AF17">
        <f t="shared" si="14"/>
        <v>6.4000000000000003E-3</v>
      </c>
      <c r="AG17">
        <f t="shared" si="15"/>
        <v>5.0205121450424151E-3</v>
      </c>
      <c r="AI17" s="2" t="s">
        <v>12</v>
      </c>
      <c r="AJ17" s="2">
        <v>5.3E-3</v>
      </c>
    </row>
    <row r="18" spans="1:48">
      <c r="A18">
        <v>200</v>
      </c>
      <c r="B18" t="s">
        <v>96</v>
      </c>
      <c r="C18" cm="1">
        <f t="array" ref="C18">_xlfn.IFS(A18&lt;=80,10.4,A18&lt;=200,10.8,TRUE,8.2)</f>
        <v>10.8</v>
      </c>
      <c r="D18" cm="1">
        <f t="array" ref="D18">_xlfn.IFS(A18&lt;=80,0.14,A18&lt;=200,0.12,TRUE,0.12)</f>
        <v>0.12</v>
      </c>
      <c r="E18" cm="1">
        <f t="array" ref="E18">_xlfn.IFS(A18&lt;=80,20.4,A18&lt;=200,12.7,TRUE,7)/100</f>
        <v>0.127</v>
      </c>
      <c r="F18">
        <f t="shared" si="0"/>
        <v>0.20736000000000002</v>
      </c>
      <c r="G18">
        <f t="shared" si="16"/>
        <v>0.18102528000000001</v>
      </c>
      <c r="H18">
        <v>500</v>
      </c>
      <c r="I18">
        <f t="shared" si="1"/>
        <v>18102.528000000002</v>
      </c>
      <c r="J18">
        <v>0.45</v>
      </c>
      <c r="K18" t="s">
        <v>97</v>
      </c>
      <c r="L18" t="s">
        <v>98</v>
      </c>
      <c r="M18" t="s">
        <v>99</v>
      </c>
      <c r="N18">
        <v>1</v>
      </c>
      <c r="O18">
        <f t="shared" si="2"/>
        <v>18102.528000000002</v>
      </c>
      <c r="P18">
        <f t="shared" si="3"/>
        <v>0.6</v>
      </c>
      <c r="Q18">
        <f t="shared" si="4"/>
        <v>5.4000000000000003E-3</v>
      </c>
      <c r="R18">
        <f t="shared" si="5"/>
        <v>5.0000000000000001E-3</v>
      </c>
      <c r="S18">
        <f t="shared" si="6"/>
        <v>0.25</v>
      </c>
      <c r="T18">
        <f t="shared" si="7"/>
        <v>6781.2069888000015</v>
      </c>
      <c r="U18">
        <f t="shared" si="8"/>
        <v>6781.2069888000015</v>
      </c>
      <c r="V18" cm="1">
        <f t="array" ref="V18">_xlfn.IFS(ISBLANK(I18),"",M18="yes",0.02,TRUE,0)</f>
        <v>0.02</v>
      </c>
      <c r="W18">
        <f t="shared" si="9"/>
        <v>0</v>
      </c>
      <c r="X18">
        <f t="shared" si="10"/>
        <v>0.35</v>
      </c>
      <c r="Y18" cm="1">
        <f t="array" ref="Y18">_xlfn.IFS(ISBLANK(I18), "",TRUE, I18*V18)</f>
        <v>362.05056000000008</v>
      </c>
      <c r="Z18">
        <f t="shared" si="11"/>
        <v>5051.9992066560008</v>
      </c>
      <c r="AA18">
        <f t="shared" si="12"/>
        <v>235.33286400000006</v>
      </c>
      <c r="AB18" cm="1">
        <f t="array" ref="AB18">_xlfn.IFS(ISBLANK(I18),"",L18="yes",T18*J18, TRUE, (Z18+AA18)*J18)</f>
        <v>2379.2994317952002</v>
      </c>
      <c r="AC18" cm="1">
        <f t="array" ref="AC18">_xlfn.IFS(ISBLANK(I18),"",L18="yes", T18*(1-J18),TRUE, (Z18+AA18)*(1-J18))</f>
        <v>2908.0326388608005</v>
      </c>
      <c r="AD18">
        <f t="shared" si="13"/>
        <v>499.65288067699203</v>
      </c>
      <c r="AE18" s="2" t="s">
        <v>8</v>
      </c>
      <c r="AF18">
        <f t="shared" si="14"/>
        <v>5.8999999999999999E-3</v>
      </c>
      <c r="AG18">
        <f t="shared" si="15"/>
        <v>4.6282846337109777E-3</v>
      </c>
      <c r="AI18" s="2" t="s">
        <v>13</v>
      </c>
      <c r="AJ18" s="2">
        <v>6.4000000000000003E-3</v>
      </c>
    </row>
    <row r="19" spans="1:48">
      <c r="A19">
        <v>220</v>
      </c>
      <c r="B19" t="s">
        <v>96</v>
      </c>
      <c r="C19" cm="1">
        <f t="array" ref="C19">_xlfn.IFS(A19&lt;=80,10.4,A19&lt;=200,10.8,TRUE,8.2)</f>
        <v>8.1999999999999993</v>
      </c>
      <c r="D19" cm="1">
        <f t="array" ref="D19">_xlfn.IFS(A19&lt;=80,0.14,A19&lt;=200,0.12,TRUE,0.12)</f>
        <v>0.12</v>
      </c>
      <c r="E19" cm="1">
        <f t="array" ref="E19">_xlfn.IFS(A19&lt;=80,20.4,A19&lt;=200,12.7,TRUE,7)/100</f>
        <v>7.0000000000000007E-2</v>
      </c>
      <c r="F19">
        <f t="shared" si="0"/>
        <v>0.15743999999999997</v>
      </c>
      <c r="G19">
        <f t="shared" si="16"/>
        <v>0.14641919999999997</v>
      </c>
      <c r="H19">
        <v>500</v>
      </c>
      <c r="I19">
        <f t="shared" si="1"/>
        <v>16106.111999999996</v>
      </c>
      <c r="J19">
        <v>0.4</v>
      </c>
      <c r="K19" t="s">
        <v>97</v>
      </c>
      <c r="L19" t="s">
        <v>98</v>
      </c>
      <c r="M19" t="s">
        <v>99</v>
      </c>
      <c r="N19">
        <v>1</v>
      </c>
      <c r="O19">
        <f t="shared" si="2"/>
        <v>16106.111999999996</v>
      </c>
      <c r="P19">
        <f t="shared" si="3"/>
        <v>0.6</v>
      </c>
      <c r="Q19">
        <f t="shared" si="4"/>
        <v>5.4000000000000003E-3</v>
      </c>
      <c r="R19">
        <f t="shared" si="5"/>
        <v>5.0000000000000001E-3</v>
      </c>
      <c r="S19">
        <f t="shared" si="6"/>
        <v>0.25</v>
      </c>
      <c r="T19">
        <f t="shared" si="7"/>
        <v>6033.3495551999986</v>
      </c>
      <c r="U19">
        <f t="shared" si="8"/>
        <v>6033.3495551999986</v>
      </c>
      <c r="V19" cm="1">
        <f t="array" ref="V19">_xlfn.IFS(ISBLANK(I19),"",M19="yes",0.02,TRUE,0)</f>
        <v>0.02</v>
      </c>
      <c r="W19">
        <f t="shared" si="9"/>
        <v>0</v>
      </c>
      <c r="X19">
        <f t="shared" si="10"/>
        <v>0.35</v>
      </c>
      <c r="Y19" cm="1">
        <f t="array" ref="Y19">_xlfn.IFS(ISBLANK(I19), "",TRUE, I19*V19)</f>
        <v>322.12223999999992</v>
      </c>
      <c r="Z19">
        <f t="shared" si="11"/>
        <v>4494.8454186239987</v>
      </c>
      <c r="AA19">
        <f t="shared" si="12"/>
        <v>209.37945599999995</v>
      </c>
      <c r="AB19" cm="1">
        <f t="array" ref="AB19">_xlfn.IFS(ISBLANK(I19),"",L19="yes",T19*J19, TRUE, (Z19+AA19)*J19)</f>
        <v>1881.6899498495995</v>
      </c>
      <c r="AC19" cm="1">
        <f t="array" ref="AC19">_xlfn.IFS(ISBLANK(I19),"",L19="yes", T19*(1-J19),TRUE, (Z19+AA19)*(1-J19))</f>
        <v>2822.5349247743989</v>
      </c>
      <c r="AD19">
        <f t="shared" si="13"/>
        <v>395.15488946841589</v>
      </c>
      <c r="AE19" s="2" t="s">
        <v>118</v>
      </c>
      <c r="AF19">
        <f t="shared" si="14"/>
        <v>2.8999999999999998E-3</v>
      </c>
      <c r="AG19">
        <f t="shared" si="15"/>
        <v>1.7991402117496975E-3</v>
      </c>
      <c r="AI19" s="2" t="s">
        <v>14</v>
      </c>
      <c r="AJ19" s="2">
        <v>2.5999999999999999E-3</v>
      </c>
    </row>
    <row r="20" spans="1:48">
      <c r="A20">
        <v>240</v>
      </c>
      <c r="B20" t="s">
        <v>96</v>
      </c>
      <c r="C20" cm="1">
        <f t="array" ref="C20">_xlfn.IFS(A20&lt;=80,10.4,A20&lt;=200,10.8,TRUE,8.2)</f>
        <v>8.1999999999999993</v>
      </c>
      <c r="D20" cm="1">
        <f t="array" ref="D20">_xlfn.IFS(A20&lt;=80,0.14,A20&lt;=200,0.12,TRUE,0.12)</f>
        <v>0.12</v>
      </c>
      <c r="E20" cm="1">
        <f t="array" ref="E20">_xlfn.IFS(A20&lt;=80,20.4,A20&lt;=200,12.7,TRUE,7)/100</f>
        <v>7.0000000000000007E-2</v>
      </c>
      <c r="F20">
        <f t="shared" si="0"/>
        <v>0.15743999999999997</v>
      </c>
      <c r="G20">
        <f t="shared" si="16"/>
        <v>0.14641919999999997</v>
      </c>
      <c r="H20">
        <v>500</v>
      </c>
      <c r="I20">
        <f t="shared" si="1"/>
        <v>17570.303999999996</v>
      </c>
      <c r="J20">
        <v>0.35</v>
      </c>
      <c r="K20" t="s">
        <v>97</v>
      </c>
      <c r="L20" t="s">
        <v>98</v>
      </c>
      <c r="M20" t="s">
        <v>99</v>
      </c>
      <c r="N20">
        <v>1</v>
      </c>
      <c r="O20">
        <f t="shared" si="2"/>
        <v>17570.303999999996</v>
      </c>
      <c r="P20">
        <f t="shared" si="3"/>
        <v>0.6</v>
      </c>
      <c r="Q20">
        <f t="shared" si="4"/>
        <v>5.4000000000000003E-3</v>
      </c>
      <c r="R20">
        <f t="shared" si="5"/>
        <v>5.0000000000000001E-3</v>
      </c>
      <c r="S20">
        <f t="shared" si="6"/>
        <v>0.25</v>
      </c>
      <c r="T20">
        <f t="shared" si="7"/>
        <v>6581.8358783999993</v>
      </c>
      <c r="U20">
        <f t="shared" si="8"/>
        <v>6581.8358783999993</v>
      </c>
      <c r="V20" cm="1">
        <f t="array" ref="V20">_xlfn.IFS(ISBLANK(I20),"",M20="yes",0.02,TRUE,0)</f>
        <v>0.02</v>
      </c>
      <c r="W20">
        <f t="shared" si="9"/>
        <v>0</v>
      </c>
      <c r="X20">
        <f t="shared" si="10"/>
        <v>0.35</v>
      </c>
      <c r="Y20" cm="1">
        <f t="array" ref="Y20">_xlfn.IFS(ISBLANK(I20), "",TRUE, I20*V20)</f>
        <v>351.40607999999992</v>
      </c>
      <c r="Z20">
        <f t="shared" si="11"/>
        <v>4903.4677294079993</v>
      </c>
      <c r="AA20">
        <f t="shared" si="12"/>
        <v>228.41395199999997</v>
      </c>
      <c r="AB20" cm="1">
        <f t="array" ref="AB20">_xlfn.IFS(ISBLANK(I20),"",L20="yes",T20*J20, TRUE, (Z20+AA20)*J20)</f>
        <v>1796.1585884927995</v>
      </c>
      <c r="AC20" cm="1">
        <f t="array" ref="AC20">_xlfn.IFS(ISBLANK(I20),"",L20="yes", T20*(1-J20),TRUE, (Z20+AA20)*(1-J20))</f>
        <v>3335.7230929151997</v>
      </c>
      <c r="AD20">
        <f t="shared" si="13"/>
        <v>377.19330358348788</v>
      </c>
      <c r="AE20" s="2" t="s">
        <v>119</v>
      </c>
      <c r="AF20">
        <f t="shared" si="14"/>
        <v>8.0000000000000002E-3</v>
      </c>
      <c r="AG20">
        <f t="shared" si="15"/>
        <v>4.7375478930086088E-3</v>
      </c>
      <c r="AI20" s="2" t="s">
        <v>15</v>
      </c>
      <c r="AJ20" s="2">
        <v>3.0000000000000001E-3</v>
      </c>
    </row>
    <row r="21" spans="1:48">
      <c r="A21"/>
      <c r="M21"/>
      <c r="AI21" s="2" t="s">
        <v>16</v>
      </c>
      <c r="AJ21" s="2">
        <v>5.0000000000000001E-3</v>
      </c>
    </row>
    <row r="22" spans="1:48">
      <c r="A22"/>
      <c r="M22"/>
      <c r="AI22" s="2" t="s">
        <v>17</v>
      </c>
      <c r="AJ22" s="2">
        <v>1.8E-3</v>
      </c>
    </row>
    <row r="23" spans="1:48">
      <c r="A23"/>
      <c r="M23"/>
      <c r="AI23" s="2"/>
      <c r="AJ23" s="2"/>
      <c r="AV23" t="e">
        <f>IF(ISBLANK(#REF!), "", C23/#REF!)</f>
        <v>#REF!</v>
      </c>
    </row>
    <row r="24" spans="1:48">
      <c r="A24"/>
      <c r="M24"/>
      <c r="AI24" s="2"/>
      <c r="AJ24" s="2"/>
      <c r="AV24" t="e">
        <f>IF(ISBLANK(#REF!), "", C24/#REF!)</f>
        <v>#REF!</v>
      </c>
    </row>
    <row r="25" spans="1:48">
      <c r="A25"/>
      <c r="M25"/>
      <c r="AI25" s="2"/>
      <c r="AJ25" s="2"/>
      <c r="AM25" s="8"/>
      <c r="AV25" t="e">
        <f>IF(ISBLANK(#REF!), "", C25/#REF!)</f>
        <v>#REF!</v>
      </c>
    </row>
    <row r="26" spans="1:48">
      <c r="A26"/>
      <c r="M26"/>
      <c r="AB26" t="str">
        <f>IF(ISBLANK(I26), "", I26* IF(ISBLANK(#REF!),#REF!,#REF!))</f>
        <v/>
      </c>
      <c r="AI26" s="2"/>
      <c r="AJ26" s="2"/>
      <c r="AM26" s="8"/>
      <c r="AV26" t="e">
        <f>IF(ISBLANK(#REF!), "", C26/#REF!)</f>
        <v>#REF!</v>
      </c>
    </row>
    <row r="27" spans="1:48">
      <c r="A27"/>
      <c r="M27"/>
      <c r="AB27" t="str">
        <f>IF(ISBLANK(I27), "", I27* IF(ISBLANK(#REF!),#REF!,#REF!))</f>
        <v/>
      </c>
      <c r="AI27" s="2"/>
      <c r="AJ27" s="2"/>
      <c r="AM27" s="8"/>
    </row>
    <row r="28" spans="1:48">
      <c r="A28"/>
      <c r="M28"/>
      <c r="AI28" s="2"/>
      <c r="AJ28" s="2"/>
      <c r="AM28" s="8"/>
    </row>
    <row r="29" spans="1:48">
      <c r="A29"/>
      <c r="M29"/>
      <c r="AI29" s="2" t="s">
        <v>23</v>
      </c>
      <c r="AM29" s="8"/>
    </row>
    <row r="30" spans="1:48">
      <c r="A30"/>
      <c r="M30"/>
      <c r="AI30" s="2" t="s">
        <v>24</v>
      </c>
      <c r="AJ30" s="2">
        <v>0.1</v>
      </c>
      <c r="AK30">
        <v>0.08</v>
      </c>
      <c r="AM30" s="8"/>
    </row>
    <row r="31" spans="1:48" ht="51">
      <c r="A31"/>
      <c r="M31"/>
      <c r="AI31" s="2" t="s">
        <v>25</v>
      </c>
      <c r="AJ31" s="2">
        <v>0.18</v>
      </c>
      <c r="AK31">
        <v>0.08</v>
      </c>
      <c r="AM31" s="8" t="s">
        <v>38</v>
      </c>
    </row>
    <row r="32" spans="1:48">
      <c r="A32"/>
      <c r="M32"/>
      <c r="AI32" s="2" t="s">
        <v>26</v>
      </c>
      <c r="AJ32" s="2">
        <v>0.46</v>
      </c>
      <c r="AK32">
        <v>0.15</v>
      </c>
      <c r="AM32" s="8"/>
    </row>
    <row r="33" spans="1:39">
      <c r="A33"/>
      <c r="M33"/>
      <c r="AI33" s="2" t="s">
        <v>27</v>
      </c>
      <c r="AJ33" s="2">
        <v>0.21</v>
      </c>
      <c r="AK33">
        <v>0.08</v>
      </c>
      <c r="AM33" s="8"/>
    </row>
    <row r="34" spans="1:39">
      <c r="A34"/>
      <c r="M34"/>
      <c r="AI34" s="2" t="s">
        <v>40</v>
      </c>
      <c r="AJ34" s="2">
        <v>0.32</v>
      </c>
      <c r="AK34">
        <v>0.05</v>
      </c>
      <c r="AM34" s="8"/>
    </row>
    <row r="35" spans="1:39">
      <c r="A35"/>
      <c r="M35"/>
      <c r="AI35" s="2" t="s">
        <v>28</v>
      </c>
      <c r="AJ35" s="2">
        <v>0.33700000000000002</v>
      </c>
      <c r="AK35">
        <v>0.05</v>
      </c>
      <c r="AM35" s="8"/>
    </row>
    <row r="36" spans="1:39">
      <c r="A36"/>
      <c r="M36"/>
      <c r="AI36" s="2" t="s">
        <v>39</v>
      </c>
      <c r="AJ36" s="2">
        <v>0.27</v>
      </c>
      <c r="AK36">
        <v>0.05</v>
      </c>
      <c r="AM36" s="8"/>
    </row>
    <row r="37" spans="1:39">
      <c r="A37"/>
      <c r="M37"/>
      <c r="AM37" s="8"/>
    </row>
    <row r="38" spans="1:39">
      <c r="A38"/>
      <c r="M38"/>
      <c r="AI38" s="2" t="s">
        <v>35</v>
      </c>
      <c r="AM38" s="8"/>
    </row>
    <row r="39" spans="1:39">
      <c r="A39"/>
      <c r="M39"/>
      <c r="AI39" s="2" t="s">
        <v>30</v>
      </c>
      <c r="AJ39" s="2">
        <v>0.15</v>
      </c>
      <c r="AM39" s="8"/>
    </row>
    <row r="40" spans="1:39">
      <c r="A40"/>
      <c r="M40"/>
      <c r="AI40" s="2" t="s">
        <v>31</v>
      </c>
      <c r="AJ40" s="2">
        <v>0.08</v>
      </c>
      <c r="AM40" s="8"/>
    </row>
    <row r="41" spans="1:39">
      <c r="AI41" s="2" t="s">
        <v>32</v>
      </c>
      <c r="AJ41" s="2">
        <v>0.01</v>
      </c>
      <c r="AM41" s="8"/>
    </row>
    <row r="42" spans="1:39">
      <c r="AI42" s="2" t="s">
        <v>33</v>
      </c>
      <c r="AJ42" s="2">
        <v>0.05</v>
      </c>
      <c r="AM42" s="8"/>
    </row>
    <row r="43" spans="1:39">
      <c r="AI43" s="2" t="s">
        <v>34</v>
      </c>
      <c r="AJ43" s="2">
        <v>0.11</v>
      </c>
      <c r="AM43" s="8"/>
    </row>
    <row r="46" spans="1:39">
      <c r="AI46" t="s">
        <v>107</v>
      </c>
    </row>
    <row r="47" spans="1:39">
      <c r="AJ47" t="s">
        <v>108</v>
      </c>
      <c r="AK47" t="s">
        <v>109</v>
      </c>
    </row>
    <row r="48" spans="1:39">
      <c r="AI48" t="s">
        <v>110</v>
      </c>
    </row>
    <row r="49" spans="35:37">
      <c r="AI49" t="s">
        <v>111</v>
      </c>
      <c r="AJ49">
        <v>5.4000000000000003E-3</v>
      </c>
      <c r="AK49">
        <v>0.6</v>
      </c>
    </row>
    <row r="50" spans="35:37">
      <c r="AI50" t="s">
        <v>97</v>
      </c>
      <c r="AJ50">
        <v>5.0000000000000001E-3</v>
      </c>
      <c r="AK50">
        <v>0.25</v>
      </c>
    </row>
    <row r="51" spans="35:37">
      <c r="AI51" t="s">
        <v>104</v>
      </c>
      <c r="AJ51">
        <v>0.01</v>
      </c>
      <c r="AK51">
        <v>0.4</v>
      </c>
    </row>
    <row r="52" spans="35:37">
      <c r="AI52" t="s">
        <v>112</v>
      </c>
      <c r="AJ52">
        <v>0</v>
      </c>
      <c r="AK52">
        <v>0.35</v>
      </c>
    </row>
    <row r="55" spans="35:37">
      <c r="AI55" t="s">
        <v>113</v>
      </c>
    </row>
    <row r="56" spans="35:37">
      <c r="AI56" t="s">
        <v>114</v>
      </c>
    </row>
    <row r="57" spans="35:37">
      <c r="AI57" t="s">
        <v>115</v>
      </c>
      <c r="AJ57">
        <v>10.4</v>
      </c>
    </row>
    <row r="58" spans="35:37">
      <c r="AI58" t="s">
        <v>116</v>
      </c>
      <c r="AJ58">
        <v>10.8</v>
      </c>
    </row>
    <row r="59" spans="35:37">
      <c r="AI59" t="s">
        <v>117</v>
      </c>
      <c r="AJ59">
        <v>8.1999999999999993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5.4.1.1</vt:lpstr>
      <vt:lpstr>5.4.1.3 (feedlot local)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Eddie Sholl</dc:creator>
  <cp:lastModifiedBy>Eddie Sholl</cp:lastModifiedBy>
  <dcterms:created xsi:type="dcterms:W3CDTF">2026-02-18T00:55:42Z</dcterms:created>
  <dcterms:modified xsi:type="dcterms:W3CDTF">2026-10-22T06:06:54Z</dcterms:modified>
</cp:coreProperties>
</file>