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"/>
    </mc:Choice>
  </mc:AlternateContent>
  <xr:revisionPtr revIDLastSave="0" documentId="13_ncr:1_{E67BDEB4-FD97-C349-9055-2712F7C5E0D5}" xr6:coauthVersionLast="47" xr6:coauthVersionMax="47" xr10:uidLastSave="{00000000-0000-0000-0000-000000000000}"/>
  <bookViews>
    <workbookView xWindow="51200" yWindow="24320" windowWidth="28800" windowHeight="18980" xr2:uid="{5678E890-3691-CF46-80E7-00FB1F103661}"/>
  </bookViews>
  <sheets>
    <sheet name="15.13.1.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F14" i="3" s="1"/>
  <c r="C45" i="3"/>
  <c r="D45" i="3"/>
  <c r="F34" i="3"/>
  <c r="F35" i="3"/>
  <c r="D37" i="3"/>
  <c r="D38" i="3"/>
  <c r="D39" i="3"/>
  <c r="D40" i="3"/>
  <c r="D41" i="3"/>
  <c r="D42" i="3"/>
  <c r="D43" i="3"/>
  <c r="D44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36" i="3"/>
  <c r="C64" i="3"/>
  <c r="F64" i="3" s="1"/>
  <c r="C63" i="3"/>
  <c r="F63" i="3" s="1"/>
  <c r="C62" i="3"/>
  <c r="C61" i="3"/>
  <c r="C60" i="3"/>
  <c r="C59" i="3"/>
  <c r="C58" i="3"/>
  <c r="C57" i="3"/>
  <c r="C56" i="3"/>
  <c r="C55" i="3"/>
  <c r="C54" i="3"/>
  <c r="C53" i="3"/>
  <c r="C52" i="3"/>
  <c r="C51" i="3"/>
  <c r="F51" i="3" s="1"/>
  <c r="C50" i="3"/>
  <c r="C49" i="3"/>
  <c r="C48" i="3"/>
  <c r="C47" i="3"/>
  <c r="C46" i="3"/>
  <c r="C44" i="3"/>
  <c r="C43" i="3"/>
  <c r="C42" i="3"/>
  <c r="C41" i="3"/>
  <c r="C40" i="3"/>
  <c r="C39" i="3"/>
  <c r="C38" i="3"/>
  <c r="F38" i="3" s="1"/>
  <c r="C37" i="3"/>
  <c r="C36" i="3"/>
  <c r="C6" i="3"/>
  <c r="F6" i="3" s="1"/>
  <c r="C7" i="3"/>
  <c r="F7" i="3" s="1"/>
  <c r="C8" i="3"/>
  <c r="F8" i="3" s="1"/>
  <c r="C9" i="3"/>
  <c r="F9" i="3" s="1"/>
  <c r="C10" i="3"/>
  <c r="F10" i="3" s="1"/>
  <c r="C11" i="3"/>
  <c r="F11" i="3" s="1"/>
  <c r="C12" i="3"/>
  <c r="F12" i="3" s="1"/>
  <c r="C13" i="3"/>
  <c r="F13" i="3" s="1"/>
  <c r="C15" i="3"/>
  <c r="F15" i="3" s="1"/>
  <c r="C16" i="3"/>
  <c r="F16" i="3" s="1"/>
  <c r="C17" i="3"/>
  <c r="F17" i="3" s="1"/>
  <c r="C18" i="3"/>
  <c r="F18" i="3" s="1"/>
  <c r="C19" i="3"/>
  <c r="F19" i="3" s="1"/>
  <c r="C20" i="3"/>
  <c r="F20" i="3" s="1"/>
  <c r="C21" i="3"/>
  <c r="F21" i="3" s="1"/>
  <c r="C22" i="3"/>
  <c r="F22" i="3" s="1"/>
  <c r="C23" i="3"/>
  <c r="F23" i="3" s="1"/>
  <c r="C24" i="3"/>
  <c r="F24" i="3" s="1"/>
  <c r="C25" i="3"/>
  <c r="F25" i="3" s="1"/>
  <c r="C26" i="3"/>
  <c r="F26" i="3" s="1"/>
  <c r="C27" i="3"/>
  <c r="F27" i="3" s="1"/>
  <c r="C28" i="3"/>
  <c r="F28" i="3" s="1"/>
  <c r="C29" i="3"/>
  <c r="F29" i="3" s="1"/>
  <c r="C30" i="3"/>
  <c r="F30" i="3" s="1"/>
  <c r="C31" i="3"/>
  <c r="F31" i="3" s="1"/>
  <c r="C32" i="3"/>
  <c r="F32" i="3" s="1"/>
  <c r="C33" i="3"/>
  <c r="F33" i="3" s="1"/>
  <c r="C5" i="3"/>
  <c r="F5" i="3" s="1"/>
  <c r="F48" i="3" l="1"/>
  <c r="F43" i="3"/>
  <c r="F36" i="3"/>
  <c r="F45" i="3"/>
  <c r="F56" i="3"/>
  <c r="F57" i="3"/>
  <c r="F46" i="3"/>
  <c r="F58" i="3"/>
  <c r="F42" i="3"/>
  <c r="F41" i="3"/>
  <c r="F55" i="3"/>
  <c r="F54" i="3"/>
  <c r="F61" i="3"/>
  <c r="F49" i="3"/>
  <c r="F60" i="3"/>
  <c r="F53" i="3"/>
  <c r="F40" i="3"/>
  <c r="F62" i="3"/>
  <c r="F50" i="3"/>
  <c r="F37" i="3"/>
  <c r="F47" i="3"/>
  <c r="F59" i="3"/>
  <c r="F44" i="3"/>
  <c r="F52" i="3"/>
  <c r="F39" i="3"/>
</calcChain>
</file>

<file path=xl/sharedStrings.xml><?xml version="1.0" encoding="utf-8"?>
<sst xmlns="http://schemas.openxmlformats.org/spreadsheetml/2006/main" count="199" uniqueCount="44">
  <si>
    <t>Method 1</t>
  </si>
  <si>
    <t>E</t>
  </si>
  <si>
    <r>
      <t>𝐸 = ∑ 𝐴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</si>
  <si>
    <t>A.4.1.1</t>
  </si>
  <si>
    <t>Paper and cardboard </t>
  </si>
  <si>
    <t>Wood </t>
  </si>
  <si>
    <t>Textiles </t>
  </si>
  <si>
    <t>Rubber and leather </t>
  </si>
  <si>
    <t>Commercial and industrial waste </t>
  </si>
  <si>
    <t>Construction and demolition waste </t>
  </si>
  <si>
    <t>Green waste (including crop residues or prunings)</t>
  </si>
  <si>
    <t>Sludge</t>
  </si>
  <si>
    <t>Municipal solid waste</t>
  </si>
  <si>
    <t>Landfill</t>
  </si>
  <si>
    <t>Incineration</t>
  </si>
  <si>
    <t>Inert waste (including concrete, metal, plastic or glass)</t>
  </si>
  <si>
    <t>Food waste (including animal carcasses, spoiled animal feed or crop)</t>
  </si>
  <si>
    <t>Food waste, green waste, wood, sludge </t>
  </si>
  <si>
    <t>Paper and carboard </t>
  </si>
  <si>
    <t>Inert Waste </t>
  </si>
  <si>
    <t>Municipal Solid Waste</t>
  </si>
  <si>
    <t>Industrial Waste</t>
  </si>
  <si>
    <t xml:space="preserve">Composting </t>
  </si>
  <si>
    <t>All organic waste</t>
  </si>
  <si>
    <t>Anearobic digestion</t>
  </si>
  <si>
    <t>Original values from spreadsheet</t>
  </si>
  <si>
    <t>Food waste</t>
  </si>
  <si>
    <t>Green waste</t>
  </si>
  <si>
    <t>Wood</t>
  </si>
  <si>
    <t>Composting</t>
  </si>
  <si>
    <t>Anaerobic digestion</t>
  </si>
  <si>
    <t>Category</t>
  </si>
  <si>
    <t>Type</t>
  </si>
  <si>
    <t>Efwtg</t>
  </si>
  <si>
    <t>Quantity</t>
  </si>
  <si>
    <t>Volume m3</t>
  </si>
  <si>
    <t>Mass tonnes</t>
  </si>
  <si>
    <t>Paper and cardboard</t>
  </si>
  <si>
    <t>A.4.1.2</t>
  </si>
  <si>
    <t>Industrial waste</t>
  </si>
  <si>
    <t>Textiles</t>
  </si>
  <si>
    <t>Rubber and leather</t>
  </si>
  <si>
    <t>Construction and demolition waste</t>
  </si>
  <si>
    <t>Commercial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</si>
</sst>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00000"/>
    <numFmt numFmtId="173" formatCode="0.0000"/>
  </numFmts>
  <fonts count="8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2" fontId="3" fillId="0" borderId="0" xfId="0" applyNumberFormat="1" applyFont="1"/>
    <xf numFmtId="164" fontId="3" fillId="0" borderId="0" xfId="0" applyNumberFormat="1" applyFont="1"/>
    <xf numFmtId="164" fontId="0" fillId="0" borderId="0" xfId="0" applyNumberFormat="1"/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/>
    <xf numFmtId="165" fontId="0" fillId="0" borderId="1" xfId="1" applyNumberFormat="1" applyFont="1" applyFill="1" applyBorder="1" applyAlignment="1">
      <alignment horizontal="right"/>
    </xf>
    <xf numFmtId="165" fontId="0" fillId="0" borderId="0" xfId="0" applyNumberFormat="1"/>
    <xf numFmtId="0" fontId="3" fillId="0" borderId="0" xfId="0" applyFont="1"/>
    <xf numFmtId="0" fontId="3" fillId="0" borderId="0" xfId="0" applyFont="1" applyFill="1" applyBorder="1"/>
    <xf numFmtId="0" fontId="3" fillId="0" borderId="0" xfId="0" applyFont="1" applyAlignment="1"/>
    <xf numFmtId="173" fontId="3" fillId="0" borderId="0" xfId="0" applyNumberFormat="1" applyFont="1" applyAlignment="1"/>
    <xf numFmtId="173" fontId="3" fillId="0" borderId="0" xfId="0" applyNumberFormat="1" applyFont="1"/>
    <xf numFmtId="173" fontId="0" fillId="0" borderId="0" xfId="0" applyNumberFormat="1"/>
    <xf numFmtId="173" fontId="3" fillId="0" borderId="0" xfId="0" applyNumberFormat="1" applyFont="1" applyFill="1" applyBorder="1"/>
    <xf numFmtId="173" fontId="0" fillId="0" borderId="1" xfId="1" applyNumberFormat="1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right"/>
    </xf>
    <xf numFmtId="173" fontId="0" fillId="0" borderId="0" xfId="1" applyNumberFormat="1" applyFont="1" applyFill="1" applyBorder="1" applyAlignment="1">
      <alignment horizontal="right"/>
    </xf>
    <xf numFmtId="0" fontId="0" fillId="0" borderId="0" xfId="0" applyNumberFormat="1"/>
    <xf numFmtId="0" fontId="0" fillId="0" borderId="0" xfId="0" applyFill="1"/>
  </cellXfs>
  <cellStyles count="2">
    <cellStyle name="Comma" xfId="1" builtinId="3"/>
    <cellStyle name="Normal" xfId="0" builtinId="0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F442-5EF4-1A4A-85C1-C6F2CC54DF49}">
  <dimension ref="A1:T98"/>
  <sheetViews>
    <sheetView tabSelected="1" topLeftCell="B2" workbookViewId="0">
      <selection activeCell="J38" sqref="J38"/>
    </sheetView>
  </sheetViews>
  <sheetFormatPr baseColWidth="10" defaultRowHeight="16"/>
  <cols>
    <col min="1" max="1" width="17.1640625" bestFit="1" customWidth="1"/>
    <col min="2" max="2" width="49.83203125" customWidth="1"/>
    <col min="6" max="6" width="15.33203125" customWidth="1"/>
    <col min="7" max="7" width="24.83203125" customWidth="1"/>
    <col min="8" max="8" width="17.83203125" customWidth="1"/>
    <col min="9" max="9" width="60.83203125" customWidth="1"/>
    <col min="10" max="10" width="30.83203125" bestFit="1" customWidth="1"/>
    <col min="11" max="11" width="13.33203125" customWidth="1"/>
    <col min="12" max="12" width="17.83203125" customWidth="1"/>
    <col min="13" max="13" width="65.5" bestFit="1" customWidth="1"/>
    <col min="14" max="14" width="18.33203125" customWidth="1"/>
    <col min="15" max="15" width="17.6640625" bestFit="1" customWidth="1"/>
    <col min="16" max="16" width="17" bestFit="1" customWidth="1"/>
    <col min="17" max="17" width="16.5" customWidth="1"/>
  </cols>
  <sheetData>
    <row r="1" spans="1:13" ht="17">
      <c r="A1" s="2" t="s">
        <v>0</v>
      </c>
      <c r="B1" s="2"/>
      <c r="F1" s="1" t="s">
        <v>2</v>
      </c>
    </row>
    <row r="2" spans="1:13" ht="50" customHeight="1">
      <c r="G2" s="11"/>
    </row>
    <row r="3" spans="1:13" ht="17">
      <c r="A3" s="12" t="s">
        <v>31</v>
      </c>
      <c r="B3" s="12" t="s">
        <v>32</v>
      </c>
      <c r="C3" s="6"/>
      <c r="D3" s="6" t="s">
        <v>34</v>
      </c>
      <c r="E3" s="6"/>
      <c r="F3" s="1"/>
      <c r="H3" s="1"/>
      <c r="J3" s="1"/>
      <c r="K3" s="1"/>
    </row>
    <row r="4" spans="1:13">
      <c r="A4" s="10"/>
      <c r="B4" s="10"/>
      <c r="C4" s="26" t="s">
        <v>33</v>
      </c>
      <c r="D4" s="3" t="s">
        <v>36</v>
      </c>
      <c r="E4" s="3" t="s">
        <v>35</v>
      </c>
      <c r="F4" s="4" t="s">
        <v>1</v>
      </c>
      <c r="L4" s="5"/>
    </row>
    <row r="5" spans="1:13">
      <c r="A5" t="s">
        <v>13</v>
      </c>
      <c r="B5" s="15" t="s">
        <v>26</v>
      </c>
      <c r="C5" s="9">
        <f>IF(ISBLANK(A5), "", VLOOKUP(B5, _xlfn.IFS(A5="Landfill", $I$16:$J$27,A5="Incineration", $I$28:$J$37,A5="Composting",$I$38:$J$41,A5="Anaerobic digestion",$I$42:$J$45),2,FALSE))</f>
        <v>2.1</v>
      </c>
      <c r="D5" s="25">
        <v>1</v>
      </c>
      <c r="E5" s="9"/>
      <c r="F5" s="25">
        <f>IF(ISBLANK(A5),"", D5*C5)</f>
        <v>2.1</v>
      </c>
      <c r="G5" s="9"/>
      <c r="H5" s="9"/>
    </row>
    <row r="6" spans="1:13">
      <c r="A6" t="s">
        <v>13</v>
      </c>
      <c r="B6" s="15" t="s">
        <v>27</v>
      </c>
      <c r="C6" s="9">
        <f>IF(ISBLANK(A6), "", VLOOKUP(B6, _xlfn.IFS(A6="Landfill", $I$16:$J$27,A6="Incineration", $I$28:$J$37,A6="Composting",$I$38:$J$41,A6="Anaerobic digestion",$I$42:$J$45),2,FALSE))</f>
        <v>1.6</v>
      </c>
      <c r="D6" s="25">
        <v>2</v>
      </c>
      <c r="E6" s="9"/>
      <c r="F6" s="25">
        <f t="shared" ref="F6:F44" si="0">IF(ISBLANK(A6),"", D6*C6)</f>
        <v>3.2</v>
      </c>
      <c r="G6" s="9"/>
      <c r="H6" s="9"/>
    </row>
    <row r="7" spans="1:13">
      <c r="A7" t="s">
        <v>13</v>
      </c>
      <c r="B7" s="15" t="s">
        <v>28</v>
      </c>
      <c r="C7" s="9">
        <f>IF(ISBLANK(A7), "", VLOOKUP(B7, _xlfn.IFS(A7="Landfill", $I$16:$J$27,A7="Incineration", $I$28:$J$37,A7="Composting",$I$38:$J$41,A7="Anaerobic digestion",$I$42:$J$45),2,FALSE))</f>
        <v>0.7</v>
      </c>
      <c r="D7" s="25">
        <v>3</v>
      </c>
      <c r="E7" s="9"/>
      <c r="F7" s="25">
        <f t="shared" si="0"/>
        <v>2.0999999999999996</v>
      </c>
      <c r="G7" s="9"/>
      <c r="H7" s="9"/>
    </row>
    <row r="8" spans="1:13">
      <c r="A8" t="s">
        <v>13</v>
      </c>
      <c r="B8" s="12" t="s">
        <v>11</v>
      </c>
      <c r="C8" s="9">
        <f>IF(ISBLANK(A8), "", VLOOKUP(B8, _xlfn.IFS(A8="Landfill", $I$16:$J$27,A8="Incineration", $I$28:$J$37,A8="Composting",$I$38:$J$41,A8="Anaerobic digestion",$I$42:$J$45),2,FALSE))</f>
        <v>0.4</v>
      </c>
      <c r="D8" s="25">
        <v>4</v>
      </c>
      <c r="E8" s="9"/>
      <c r="F8" s="25">
        <f t="shared" si="0"/>
        <v>1.6</v>
      </c>
      <c r="G8" s="9"/>
      <c r="H8" s="9"/>
    </row>
    <row r="9" spans="1:13">
      <c r="A9" t="s">
        <v>13</v>
      </c>
      <c r="B9" s="15" t="s">
        <v>40</v>
      </c>
      <c r="C9" s="9">
        <f>IF(ISBLANK(A9), "", VLOOKUP(B9, _xlfn.IFS(A9="Landfill", $I$16:$J$27,A9="Incineration", $I$28:$J$37,A9="Composting",$I$38:$J$41,A9="Anaerobic digestion",$I$42:$J$45),2,FALSE))</f>
        <v>2</v>
      </c>
      <c r="D9" s="25">
        <v>5</v>
      </c>
      <c r="E9" s="9"/>
      <c r="F9" s="25">
        <f t="shared" si="0"/>
        <v>10</v>
      </c>
      <c r="G9" s="9"/>
      <c r="H9" s="9"/>
    </row>
    <row r="10" spans="1:13">
      <c r="A10" t="s">
        <v>13</v>
      </c>
      <c r="B10" s="15" t="s">
        <v>41</v>
      </c>
      <c r="C10" s="9">
        <f>IF(ISBLANK(A10), "", VLOOKUP(B10, _xlfn.IFS(A10="Landfill", $I$16:$J$27,A10="Incineration", $I$28:$J$37,A10="Composting",$I$38:$J$41,A10="Anaerobic digestion",$I$42:$J$45),2,FALSE))</f>
        <v>3.3</v>
      </c>
      <c r="D10" s="25">
        <v>6</v>
      </c>
      <c r="E10" s="9"/>
      <c r="F10" s="25">
        <f t="shared" si="0"/>
        <v>19.799999999999997</v>
      </c>
      <c r="G10" s="9"/>
    </row>
    <row r="11" spans="1:13">
      <c r="A11" t="s">
        <v>13</v>
      </c>
      <c r="B11" s="15" t="s">
        <v>15</v>
      </c>
      <c r="C11" s="9">
        <f>IF(ISBLANK(A11), "", VLOOKUP(B11, _xlfn.IFS(A11="Landfill", $I$16:$J$27,A11="Incineration", $I$28:$J$37,A11="Composting",$I$38:$J$41,A11="Anaerobic digestion",$I$42:$J$45),2,FALSE))</f>
        <v>0</v>
      </c>
      <c r="D11" s="25">
        <v>7</v>
      </c>
      <c r="E11" s="9"/>
      <c r="F11" s="25">
        <f t="shared" si="0"/>
        <v>0</v>
      </c>
      <c r="G11" s="9"/>
    </row>
    <row r="12" spans="1:13">
      <c r="A12" t="s">
        <v>13</v>
      </c>
      <c r="B12" s="15" t="s">
        <v>12</v>
      </c>
      <c r="C12" s="9">
        <f>IF(ISBLANK(A12), "", VLOOKUP(B12, _xlfn.IFS(A12="Landfill", $I$16:$J$27,A12="Incineration", $I$28:$J$37,A12="Composting",$I$38:$J$41,A12="Anaerobic digestion",$I$42:$J$45),2,FALSE))</f>
        <v>1.6</v>
      </c>
      <c r="D12" s="25">
        <v>8</v>
      </c>
      <c r="E12" s="9"/>
      <c r="F12" s="25">
        <f t="shared" si="0"/>
        <v>12.8</v>
      </c>
      <c r="G12" s="9"/>
    </row>
    <row r="13" spans="1:13">
      <c r="A13" t="s">
        <v>13</v>
      </c>
      <c r="B13" s="15" t="s">
        <v>43</v>
      </c>
      <c r="C13" s="9">
        <f>IF(ISBLANK(A13), "", VLOOKUP(B13, _xlfn.IFS(A13="Landfill", $I$16:$J$27,A13="Incineration", $I$28:$J$37,A13="Composting",$I$38:$J$41,A13="Anaerobic digestion",$I$42:$J$45),2,FALSE))</f>
        <v>1.3</v>
      </c>
      <c r="D13" s="25">
        <v>9</v>
      </c>
      <c r="E13" s="9"/>
      <c r="F13" s="25">
        <f t="shared" si="0"/>
        <v>11.700000000000001</v>
      </c>
      <c r="G13" s="9"/>
      <c r="J13" s="13"/>
      <c r="K13" s="23"/>
    </row>
    <row r="14" spans="1:13">
      <c r="A14" t="s">
        <v>13</v>
      </c>
      <c r="B14" s="15" t="s">
        <v>39</v>
      </c>
      <c r="C14" s="9">
        <f>IF(ISBLANK(A14), "", VLOOKUP(B14, _xlfn.IFS(A14="Landfill", $I$16:$J$27,A14="Incineration", $I$28:$J$37,A14="Composting",$I$38:$J$41,A14="Anaerobic digestion",$I$42:$J$45),2,FALSE))</f>
        <v>1.3</v>
      </c>
      <c r="D14" s="25">
        <v>10</v>
      </c>
      <c r="E14" s="9"/>
      <c r="F14" s="25">
        <f t="shared" ref="F14" si="1">IF(ISBLANK(A14),"", D14*C14)</f>
        <v>13</v>
      </c>
      <c r="G14" s="9"/>
      <c r="H14" s="9"/>
      <c r="J14" s="14"/>
      <c r="K14" s="14"/>
    </row>
    <row r="15" spans="1:13">
      <c r="A15" t="s">
        <v>13</v>
      </c>
      <c r="B15" s="15" t="s">
        <v>42</v>
      </c>
      <c r="C15" s="9">
        <f>IF(ISBLANK(A15), "", VLOOKUP(B15, _xlfn.IFS(A15="Landfill", $I$16:$J$27,A15="Incineration", $I$28:$J$37,A15="Composting",$I$38:$J$41,A15="Anaerobic digestion",$I$42:$J$45),2,FALSE))</f>
        <v>0.2</v>
      </c>
      <c r="D15" s="25">
        <v>10</v>
      </c>
      <c r="E15" s="9"/>
      <c r="F15" s="25">
        <f>IF(ISBLANK(A15),"", D15*C15)</f>
        <v>2</v>
      </c>
      <c r="G15" s="9"/>
      <c r="H15" s="9"/>
      <c r="I15" t="s">
        <v>3</v>
      </c>
      <c r="J15" s="14"/>
      <c r="K15" s="14"/>
      <c r="M15" t="s">
        <v>25</v>
      </c>
    </row>
    <row r="16" spans="1:13">
      <c r="A16" t="s">
        <v>14</v>
      </c>
      <c r="B16" s="15" t="s">
        <v>26</v>
      </c>
      <c r="C16" s="9">
        <f>IF(ISBLANK(A16), "", VLOOKUP(B16, _xlfn.IFS(A16="Landfill", $I$16:$J$27,A16="Incineration", $I$28:$J$37,A16="Composting",$I$38:$J$41,A16="Anaerobic digestion",$I$42:$J$45),2,FALSE))</f>
        <v>0</v>
      </c>
      <c r="D16" s="25">
        <v>11</v>
      </c>
      <c r="E16" s="9"/>
      <c r="F16" s="25">
        <f>IF(ISBLANK(A16),"", D16*C16)</f>
        <v>0</v>
      </c>
      <c r="G16" s="9"/>
      <c r="H16" s="9" t="s">
        <v>13</v>
      </c>
      <c r="I16" s="15" t="s">
        <v>26</v>
      </c>
      <c r="J16" s="18">
        <v>2.1</v>
      </c>
      <c r="K16" s="14"/>
      <c r="L16" t="s">
        <v>3</v>
      </c>
    </row>
    <row r="17" spans="1:14">
      <c r="A17" t="s">
        <v>14</v>
      </c>
      <c r="B17" s="15" t="s">
        <v>27</v>
      </c>
      <c r="C17" s="9">
        <f>IF(ISBLANK(A17), "", VLOOKUP(B17, _xlfn.IFS(A17="Landfill", $I$16:$J$27,A17="Incineration", $I$28:$J$37,A17="Composting",$I$38:$J$41,A17="Anaerobic digestion",$I$42:$J$45),2,FALSE))</f>
        <v>0</v>
      </c>
      <c r="D17" s="25">
        <v>12</v>
      </c>
      <c r="E17" s="9"/>
      <c r="F17" s="25">
        <f>IF(ISBLANK(A17),"", D17*C17)</f>
        <v>0</v>
      </c>
      <c r="G17" s="9"/>
      <c r="I17" s="15" t="s">
        <v>4</v>
      </c>
      <c r="J17" s="15">
        <v>3.3</v>
      </c>
      <c r="K17" s="18"/>
      <c r="L17" t="s">
        <v>13</v>
      </c>
      <c r="M17" s="15" t="s">
        <v>16</v>
      </c>
      <c r="N17" s="17">
        <v>2.1</v>
      </c>
    </row>
    <row r="18" spans="1:14">
      <c r="A18" t="s">
        <v>14</v>
      </c>
      <c r="B18" s="15" t="s">
        <v>28</v>
      </c>
      <c r="C18" s="9">
        <f>IF(ISBLANK(A18), "", VLOOKUP(B18, _xlfn.IFS(A18="Landfill", $I$16:$J$27,A18="Incineration", $I$28:$J$37,A18="Composting",$I$38:$J$41,A18="Anaerobic digestion",$I$42:$J$45),2,FALSE))</f>
        <v>0</v>
      </c>
      <c r="D18" s="25">
        <v>13</v>
      </c>
      <c r="E18" s="9"/>
      <c r="F18" s="25">
        <f>IF(ISBLANK(A18),"", D18*C18)</f>
        <v>0</v>
      </c>
      <c r="G18" s="9"/>
      <c r="H18" s="9"/>
      <c r="I18" s="15" t="s">
        <v>27</v>
      </c>
      <c r="J18" s="18">
        <v>1.6</v>
      </c>
      <c r="K18" s="18"/>
      <c r="M18" s="15" t="s">
        <v>4</v>
      </c>
      <c r="N18" s="15">
        <v>3.3</v>
      </c>
    </row>
    <row r="19" spans="1:14">
      <c r="A19" t="s">
        <v>14</v>
      </c>
      <c r="B19" s="12" t="s">
        <v>11</v>
      </c>
      <c r="C19" s="9">
        <f>IF(ISBLANK(A19), "", VLOOKUP(B19, _xlfn.IFS(A19="Landfill", $I$16:$J$27,A19="Incineration", $I$28:$J$37,A19="Composting",$I$38:$J$41,A19="Anaerobic digestion",$I$42:$J$45),2,FALSE))</f>
        <v>0</v>
      </c>
      <c r="D19" s="25">
        <v>14</v>
      </c>
      <c r="E19" s="9"/>
      <c r="F19" s="25">
        <f>IF(ISBLANK(A19),"", D19*C19)</f>
        <v>0</v>
      </c>
      <c r="G19" s="9"/>
      <c r="H19" s="9"/>
      <c r="I19" s="15" t="s">
        <v>28</v>
      </c>
      <c r="J19" s="19">
        <v>0.7</v>
      </c>
      <c r="K19" s="19"/>
      <c r="M19" s="12" t="s">
        <v>10</v>
      </c>
      <c r="N19">
        <v>1.6</v>
      </c>
    </row>
    <row r="20" spans="1:14">
      <c r="A20" t="s">
        <v>14</v>
      </c>
      <c r="B20" s="15" t="s">
        <v>37</v>
      </c>
      <c r="C20" s="9">
        <f>IF(ISBLANK(A20), "", VLOOKUP(B20, _xlfn.IFS(A20="Landfill", $I$16:$J$27,A20="Incineration", $I$28:$J$37,A20="Composting",$I$38:$J$41,A20="Anaerobic digestion",$I$42:$J$45),2,FALSE))</f>
        <v>1.6899999999999998E-2</v>
      </c>
      <c r="D20" s="25">
        <v>15</v>
      </c>
      <c r="E20" s="9"/>
      <c r="F20" s="25">
        <f>IF(ISBLANK(A20),"", D20*C20)</f>
        <v>0.25349999999999995</v>
      </c>
      <c r="G20" s="9"/>
      <c r="H20" s="9"/>
      <c r="I20" s="12" t="s">
        <v>11</v>
      </c>
      <c r="J20" s="20">
        <v>0.4</v>
      </c>
      <c r="K20" s="20"/>
      <c r="M20" s="15" t="s">
        <v>5</v>
      </c>
      <c r="N20" s="15">
        <v>0.7</v>
      </c>
    </row>
    <row r="21" spans="1:14">
      <c r="A21" t="s">
        <v>14</v>
      </c>
      <c r="B21" s="15" t="s">
        <v>40</v>
      </c>
      <c r="C21" s="9">
        <f>IF(ISBLANK(A21), "", VLOOKUP(B21, _xlfn.IFS(A21="Landfill", $I$16:$J$27,A21="Incineration", $I$28:$J$37,A21="Composting",$I$38:$J$41,A21="Anaerobic digestion",$I$42:$J$45),2,FALSE))</f>
        <v>0.36670000000000003</v>
      </c>
      <c r="D21" s="25">
        <v>16</v>
      </c>
      <c r="E21" s="9"/>
      <c r="F21" s="25">
        <f>IF(ISBLANK(A21),"", D21*C21)</f>
        <v>5.8672000000000004</v>
      </c>
      <c r="G21" s="9"/>
      <c r="H21" s="9"/>
      <c r="I21" s="15" t="s">
        <v>40</v>
      </c>
      <c r="J21" s="19">
        <v>2</v>
      </c>
      <c r="K21" s="19"/>
      <c r="M21" s="15" t="s">
        <v>6</v>
      </c>
      <c r="N21" s="15">
        <v>2</v>
      </c>
    </row>
    <row r="22" spans="1:14">
      <c r="A22" t="s">
        <v>14</v>
      </c>
      <c r="B22" s="15" t="s">
        <v>41</v>
      </c>
      <c r="C22" s="9">
        <f>IF(ISBLANK(A22), "", VLOOKUP(B22, _xlfn.IFS(A22="Landfill", $I$16:$J$27,A22="Incineration", $I$28:$J$37,A22="Composting",$I$38:$J$41,A22="Anaerobic digestion",$I$42:$J$45),2,FALSE))</f>
        <v>0.4919</v>
      </c>
      <c r="D22" s="25">
        <v>17</v>
      </c>
      <c r="E22" s="9"/>
      <c r="F22" s="25">
        <f>IF(ISBLANK(A22),"", D22*C22)</f>
        <v>8.3622999999999994</v>
      </c>
      <c r="G22" s="9"/>
      <c r="H22" s="9"/>
      <c r="I22" s="15" t="s">
        <v>41</v>
      </c>
      <c r="J22" s="19">
        <v>3.3</v>
      </c>
      <c r="K22" s="19"/>
      <c r="M22" s="15" t="s">
        <v>11</v>
      </c>
      <c r="N22" s="15">
        <v>0.4</v>
      </c>
    </row>
    <row r="23" spans="1:14">
      <c r="A23" t="s">
        <v>14</v>
      </c>
      <c r="B23" s="15" t="s">
        <v>15</v>
      </c>
      <c r="C23" s="9">
        <f>IF(ISBLANK(A23), "", VLOOKUP(B23, _xlfn.IFS(A23="Landfill", $I$16:$J$27,A23="Incineration", $I$28:$J$37,A23="Composting",$I$38:$J$41,A23="Anaerobic digestion",$I$42:$J$45),2,FALSE))</f>
        <v>0.11</v>
      </c>
      <c r="D23" s="25">
        <v>18</v>
      </c>
      <c r="E23" s="9"/>
      <c r="F23" s="25">
        <f>IF(ISBLANK(A23),"", D23*C23)</f>
        <v>1.98</v>
      </c>
      <c r="G23" s="9"/>
      <c r="I23" s="15" t="s">
        <v>15</v>
      </c>
      <c r="J23" s="18">
        <v>0</v>
      </c>
      <c r="K23" s="18"/>
      <c r="M23" s="15" t="s">
        <v>7</v>
      </c>
      <c r="N23" s="15">
        <v>3.3</v>
      </c>
    </row>
    <row r="24" spans="1:14">
      <c r="A24" t="s">
        <v>14</v>
      </c>
      <c r="B24" s="15" t="s">
        <v>12</v>
      </c>
      <c r="C24" s="9">
        <f>IF(ISBLANK(A24), "", VLOOKUP(B24, _xlfn.IFS(A24="Landfill", $I$16:$J$27,A24="Incineration", $I$28:$J$37,A24="Composting",$I$38:$J$41,A24="Anaerobic digestion",$I$42:$J$45),2,FALSE))</f>
        <v>5.3699999999999998E-2</v>
      </c>
      <c r="D24" s="25">
        <v>19</v>
      </c>
      <c r="E24" s="9"/>
      <c r="F24" s="25">
        <f>IF(ISBLANK(A24),"", D24*C24)</f>
        <v>1.0203</v>
      </c>
      <c r="G24" s="9"/>
      <c r="I24" s="15" t="s">
        <v>12</v>
      </c>
      <c r="J24" s="21">
        <v>1.6</v>
      </c>
      <c r="K24" s="21"/>
      <c r="M24" s="15" t="s">
        <v>15</v>
      </c>
      <c r="N24" s="17">
        <v>0</v>
      </c>
    </row>
    <row r="25" spans="1:14">
      <c r="A25" t="s">
        <v>14</v>
      </c>
      <c r="B25" s="15" t="s">
        <v>39</v>
      </c>
      <c r="C25" s="9">
        <f>IF(ISBLANK(A25), "", VLOOKUP(B25, _xlfn.IFS(A25="Landfill", $I$16:$J$27,A25="Incineration", $I$28:$J$37,A25="Composting",$I$38:$J$41,A25="Anaerobic digestion",$I$42:$J$45),2,FALSE))</f>
        <v>1.649</v>
      </c>
      <c r="D25" s="25">
        <v>20</v>
      </c>
      <c r="E25" s="9"/>
      <c r="F25" s="25">
        <f>IF(ISBLANK(A25),"", D25*C25)</f>
        <v>32.980000000000004</v>
      </c>
      <c r="I25" s="15" t="s">
        <v>43</v>
      </c>
      <c r="J25" s="19">
        <v>1.3</v>
      </c>
      <c r="K25" s="19"/>
      <c r="M25" s="15" t="s">
        <v>12</v>
      </c>
      <c r="N25" s="16">
        <v>1.6</v>
      </c>
    </row>
    <row r="26" spans="1:14">
      <c r="A26" t="s">
        <v>29</v>
      </c>
      <c r="B26" s="15" t="s">
        <v>26</v>
      </c>
      <c r="C26" s="9">
        <f>IF(ISBLANK(A26), "", VLOOKUP(B26, _xlfn.IFS(A26="Landfill", $I$16:$J$27,A26="Incineration", $I$28:$J$37,A26="Composting",$I$38:$J$41,A26="Anaerobic digestion",$I$42:$J$45),2,FALSE))</f>
        <v>4.5999999999999999E-2</v>
      </c>
      <c r="D26" s="25">
        <v>21</v>
      </c>
      <c r="F26" s="25">
        <f>IF(ISBLANK(A26),"", D26*C26)</f>
        <v>0.96599999999999997</v>
      </c>
      <c r="I26" s="15" t="s">
        <v>39</v>
      </c>
      <c r="J26" s="19">
        <v>1.3</v>
      </c>
      <c r="K26" s="19"/>
      <c r="M26" s="15" t="s">
        <v>8</v>
      </c>
      <c r="N26" s="15">
        <v>1.3</v>
      </c>
    </row>
    <row r="27" spans="1:14">
      <c r="A27" t="s">
        <v>29</v>
      </c>
      <c r="B27" s="15" t="s">
        <v>27</v>
      </c>
      <c r="C27" s="9">
        <f>IF(ISBLANK(A27), "", VLOOKUP(B27, _xlfn.IFS(A27="Landfill", $I$16:$J$27,A27="Incineration", $I$28:$J$37,A27="Composting",$I$38:$J$41,A27="Anaerobic digestion",$I$42:$J$45),2,FALSE))</f>
        <v>4.5999999999999999E-2</v>
      </c>
      <c r="D27" s="25">
        <v>22</v>
      </c>
      <c r="F27" s="25">
        <f>IF(ISBLANK(A27),"", D27*C27)</f>
        <v>1.012</v>
      </c>
      <c r="H27" s="9"/>
      <c r="I27" s="15" t="s">
        <v>42</v>
      </c>
      <c r="J27" s="19">
        <v>0.2</v>
      </c>
      <c r="K27" s="19"/>
      <c r="M27" s="15" t="s">
        <v>9</v>
      </c>
      <c r="N27" s="15">
        <v>0.2</v>
      </c>
    </row>
    <row r="28" spans="1:14">
      <c r="A28" t="s">
        <v>29</v>
      </c>
      <c r="B28" s="15" t="s">
        <v>28</v>
      </c>
      <c r="C28" s="9">
        <f>IF(ISBLANK(A28), "", VLOOKUP(B28, _xlfn.IFS(A28="Landfill", $I$16:$J$27,A28="Incineration", $I$28:$J$37,A28="Composting",$I$38:$J$41,A28="Anaerobic digestion",$I$42:$J$45),2,FALSE))</f>
        <v>4.5999999999999999E-2</v>
      </c>
      <c r="D28" s="25">
        <v>23</v>
      </c>
      <c r="F28" s="25">
        <f>IF(ISBLANK(A28),"", D28*C28)</f>
        <v>1.0580000000000001</v>
      </c>
      <c r="H28" s="9" t="s">
        <v>14</v>
      </c>
      <c r="I28" s="15" t="s">
        <v>26</v>
      </c>
      <c r="J28" s="19">
        <v>0</v>
      </c>
      <c r="K28" s="19"/>
      <c r="L28" t="s">
        <v>14</v>
      </c>
      <c r="M28" s="15" t="s">
        <v>17</v>
      </c>
      <c r="N28" s="15">
        <v>0</v>
      </c>
    </row>
    <row r="29" spans="1:14">
      <c r="A29" t="s">
        <v>29</v>
      </c>
      <c r="B29" s="12" t="s">
        <v>11</v>
      </c>
      <c r="C29" s="9">
        <f>IF(ISBLANK(A29), "", VLOOKUP(B29, _xlfn.IFS(A29="Landfill", $I$16:$J$27,A29="Incineration", $I$28:$J$37,A29="Composting",$I$38:$J$41,A29="Anaerobic digestion",$I$42:$J$45),2,FALSE))</f>
        <v>4.5999999999999999E-2</v>
      </c>
      <c r="D29" s="25">
        <v>24</v>
      </c>
      <c r="F29" s="25">
        <f>IF(ISBLANK(A29),"", D29*C29)</f>
        <v>1.1040000000000001</v>
      </c>
      <c r="H29" s="9"/>
      <c r="I29" s="15" t="s">
        <v>27</v>
      </c>
      <c r="J29" s="19">
        <v>0</v>
      </c>
      <c r="K29" s="19"/>
      <c r="M29" s="15" t="s">
        <v>18</v>
      </c>
      <c r="N29" s="15">
        <v>1.6899999999999998E-2</v>
      </c>
    </row>
    <row r="30" spans="1:14">
      <c r="A30" t="s">
        <v>30</v>
      </c>
      <c r="B30" s="15" t="s">
        <v>26</v>
      </c>
      <c r="C30" s="9">
        <f>IF(ISBLANK(A30), "", VLOOKUP(B30, _xlfn.IFS(A30="Landfill", $I$16:$J$27,A30="Incineration", $I$28:$J$37,A30="Composting",$I$38:$J$41,A30="Anaerobic digestion",$I$42:$J$45),2,FALSE))</f>
        <v>2.8000000000000001E-2</v>
      </c>
      <c r="D30" s="25">
        <v>25</v>
      </c>
      <c r="F30" s="25">
        <f>IF(ISBLANK(A30),"", D30*C30)</f>
        <v>0.70000000000000007</v>
      </c>
      <c r="H30" s="9"/>
      <c r="I30" s="15" t="s">
        <v>28</v>
      </c>
      <c r="J30" s="19">
        <v>0</v>
      </c>
      <c r="K30" s="24"/>
      <c r="M30" s="15" t="s">
        <v>6</v>
      </c>
      <c r="N30" s="15">
        <v>0.36670000000000003</v>
      </c>
    </row>
    <row r="31" spans="1:14">
      <c r="A31" t="s">
        <v>30</v>
      </c>
      <c r="B31" s="15" t="s">
        <v>27</v>
      </c>
      <c r="C31" s="9">
        <f>IF(ISBLANK(A31), "", VLOOKUP(B31, _xlfn.IFS(A31="Landfill", $I$16:$J$27,A31="Incineration", $I$28:$J$37,A31="Composting",$I$38:$J$41,A31="Anaerobic digestion",$I$42:$J$45),2,FALSE))</f>
        <v>2.8000000000000001E-2</v>
      </c>
      <c r="D31" s="25">
        <v>26</v>
      </c>
      <c r="F31" s="25">
        <f>IF(ISBLANK(A31),"", D31*C31)</f>
        <v>0.72799999999999998</v>
      </c>
      <c r="I31" s="12" t="s">
        <v>11</v>
      </c>
      <c r="J31" s="22">
        <v>0</v>
      </c>
      <c r="K31" s="19"/>
      <c r="M31" s="15" t="s">
        <v>7</v>
      </c>
      <c r="N31" s="15">
        <v>0.4919</v>
      </c>
    </row>
    <row r="32" spans="1:14">
      <c r="A32" t="s">
        <v>30</v>
      </c>
      <c r="B32" s="15" t="s">
        <v>28</v>
      </c>
      <c r="C32" s="9">
        <f>IF(ISBLANK(A32), "", VLOOKUP(B32, _xlfn.IFS(A32="Landfill", $I$16:$J$27,A32="Incineration", $I$28:$J$37,A32="Composting",$I$38:$J$41,A32="Anaerobic digestion",$I$42:$J$45),2,FALSE))</f>
        <v>2.8000000000000001E-2</v>
      </c>
      <c r="D32" s="25">
        <v>27</v>
      </c>
      <c r="F32" s="25">
        <f>IF(ISBLANK(A32),"", D32*C32)</f>
        <v>0.75600000000000001</v>
      </c>
      <c r="H32" s="9"/>
      <c r="I32" s="15" t="s">
        <v>37</v>
      </c>
      <c r="J32" s="19">
        <v>1.6899999999999998E-2</v>
      </c>
      <c r="K32" s="19"/>
      <c r="M32" s="15" t="s">
        <v>19</v>
      </c>
      <c r="N32" s="15">
        <v>0.11</v>
      </c>
    </row>
    <row r="33" spans="1:20">
      <c r="A33" t="s">
        <v>30</v>
      </c>
      <c r="B33" s="12" t="s">
        <v>11</v>
      </c>
      <c r="C33" s="9">
        <f>IF(ISBLANK(A33), "", VLOOKUP(B33, _xlfn.IFS(A33="Landfill", $I$16:$J$27,A33="Incineration", $I$28:$J$37,A33="Composting",$I$38:$J$41,A33="Anaerobic digestion",$I$42:$J$45),2,FALSE))</f>
        <v>2.8000000000000001E-2</v>
      </c>
      <c r="D33" s="25">
        <v>28</v>
      </c>
      <c r="F33" s="25">
        <f>IF(ISBLANK(A33),"", D33*C33)</f>
        <v>0.78400000000000003</v>
      </c>
      <c r="G33" s="9"/>
      <c r="H33" s="9"/>
      <c r="I33" s="15" t="s">
        <v>40</v>
      </c>
      <c r="J33" s="19">
        <v>0.36670000000000003</v>
      </c>
      <c r="K33" s="19"/>
      <c r="M33" s="15" t="s">
        <v>20</v>
      </c>
      <c r="N33" s="15">
        <v>5.3699999999999998E-2</v>
      </c>
    </row>
    <row r="34" spans="1:20">
      <c r="C34" s="9"/>
      <c r="D34" s="9"/>
      <c r="E34" s="9"/>
      <c r="F34" s="25" t="str">
        <f t="shared" si="0"/>
        <v/>
      </c>
      <c r="G34" s="9"/>
      <c r="H34" s="9"/>
      <c r="I34" s="15" t="s">
        <v>41</v>
      </c>
      <c r="J34" s="19">
        <v>0.4919</v>
      </c>
      <c r="K34" s="19"/>
      <c r="M34" s="15" t="s">
        <v>21</v>
      </c>
      <c r="N34" s="15">
        <v>5.3699999999999998E-2</v>
      </c>
    </row>
    <row r="35" spans="1:20">
      <c r="C35" s="9"/>
      <c r="D35" s="9"/>
      <c r="E35" s="9"/>
      <c r="F35" s="25" t="str">
        <f t="shared" si="0"/>
        <v/>
      </c>
      <c r="G35" s="9"/>
      <c r="H35" s="9"/>
      <c r="I35" s="15" t="s">
        <v>15</v>
      </c>
      <c r="J35" s="19">
        <v>0.11</v>
      </c>
      <c r="K35" s="19"/>
      <c r="L35" t="s">
        <v>22</v>
      </c>
      <c r="M35" s="15" t="s">
        <v>23</v>
      </c>
      <c r="N35" s="15">
        <v>4.5999999999999999E-2</v>
      </c>
    </row>
    <row r="36" spans="1:20">
      <c r="A36" t="s">
        <v>13</v>
      </c>
      <c r="B36" s="15" t="s">
        <v>26</v>
      </c>
      <c r="C36" s="9">
        <f>IF(ISBLANK(A36), "", VLOOKUP(B36, _xlfn.IFS(A36="Landfill", $I$16:$J$27,A36="Incineration", $I$28:$J$37,A36="Composting",$I$38:$J$41,A36="Anaerobic digestion",$I$42:$J$45),2,FALSE))</f>
        <v>2.1</v>
      </c>
      <c r="D36" s="9">
        <f>IF(ISBLANK(A36), "", VLOOKUP(B36,$I$53:$J$64,2,FALSE))</f>
        <v>0.5</v>
      </c>
      <c r="E36" s="9">
        <v>1</v>
      </c>
      <c r="F36" s="25">
        <f t="shared" si="0"/>
        <v>1.05</v>
      </c>
      <c r="G36" s="9"/>
      <c r="H36" s="9"/>
      <c r="I36" s="15" t="s">
        <v>20</v>
      </c>
      <c r="J36" s="19">
        <v>5.3699999999999998E-2</v>
      </c>
      <c r="K36" s="19"/>
      <c r="L36" t="s">
        <v>24</v>
      </c>
      <c r="M36" s="15" t="s">
        <v>23</v>
      </c>
      <c r="N36" s="15">
        <v>2.8000000000000001E-2</v>
      </c>
    </row>
    <row r="37" spans="1:20">
      <c r="A37" t="s">
        <v>13</v>
      </c>
      <c r="B37" s="15" t="s">
        <v>27</v>
      </c>
      <c r="C37" s="9">
        <f>IF(ISBLANK(A37), "", VLOOKUP(B37, _xlfn.IFS(A37="Landfill", $I$16:$J$27,A37="Incineration", $I$28:$J$37,A37="Composting",$I$38:$J$41,A37="Anaerobic digestion",$I$42:$J$45),2,FALSE))</f>
        <v>1.6</v>
      </c>
      <c r="D37" s="9">
        <f>IF(ISBLANK(A37), "", VLOOKUP(B37,$I$53:$J$64,2,FALSE))</f>
        <v>0.24</v>
      </c>
      <c r="E37" s="9">
        <v>2</v>
      </c>
      <c r="F37" s="25">
        <f t="shared" si="0"/>
        <v>0.38400000000000001</v>
      </c>
      <c r="G37" s="9"/>
      <c r="H37" s="9"/>
      <c r="I37" s="15" t="s">
        <v>21</v>
      </c>
      <c r="J37" s="19">
        <v>1.649</v>
      </c>
      <c r="K37" s="24"/>
      <c r="R37" s="6"/>
    </row>
    <row r="38" spans="1:20">
      <c r="A38" t="s">
        <v>13</v>
      </c>
      <c r="B38" s="15" t="s">
        <v>28</v>
      </c>
      <c r="C38" s="9">
        <f>IF(ISBLANK(A38), "", VLOOKUP(B38, _xlfn.IFS(A38="Landfill", $I$16:$J$27,A38="Incineration", $I$28:$J$37,A38="Composting",$I$38:$J$41,A38="Anaerobic digestion",$I$42:$J$45),2,FALSE))</f>
        <v>0.7</v>
      </c>
      <c r="D38" s="9">
        <f>IF(ISBLANK(A38), "", VLOOKUP(B38,$I$53:$J$64,2,FALSE))</f>
        <v>0.15</v>
      </c>
      <c r="E38" s="9">
        <v>3</v>
      </c>
      <c r="F38" s="25">
        <f t="shared" si="0"/>
        <v>0.105</v>
      </c>
      <c r="G38" s="9"/>
      <c r="H38" s="9" t="s">
        <v>29</v>
      </c>
      <c r="I38" s="15" t="s">
        <v>26</v>
      </c>
      <c r="J38" s="22">
        <v>4.5999999999999999E-2</v>
      </c>
      <c r="K38" s="24"/>
    </row>
    <row r="39" spans="1:20">
      <c r="A39" t="s">
        <v>13</v>
      </c>
      <c r="B39" s="12" t="s">
        <v>11</v>
      </c>
      <c r="C39" s="9">
        <f>IF(ISBLANK(A39), "", VLOOKUP(B39, _xlfn.IFS(A39="Landfill", $I$16:$J$27,A39="Incineration", $I$28:$J$37,A39="Composting",$I$38:$J$41,A39="Anaerobic digestion",$I$42:$J$45),2,FALSE))</f>
        <v>0.4</v>
      </c>
      <c r="D39" s="9">
        <f>IF(ISBLANK(A39), "", VLOOKUP(B39,$I$53:$J$64,2,FALSE))</f>
        <v>0.72</v>
      </c>
      <c r="E39" s="9">
        <v>4</v>
      </c>
      <c r="F39" s="25">
        <f t="shared" si="0"/>
        <v>0.28799999999999998</v>
      </c>
      <c r="G39" s="9"/>
      <c r="H39" s="9"/>
      <c r="I39" s="15" t="s">
        <v>27</v>
      </c>
      <c r="J39" s="22">
        <v>4.5999999999999999E-2</v>
      </c>
      <c r="K39" s="24"/>
    </row>
    <row r="40" spans="1:20">
      <c r="A40" t="s">
        <v>13</v>
      </c>
      <c r="B40" s="15" t="s">
        <v>40</v>
      </c>
      <c r="C40" s="9">
        <f>IF(ISBLANK(A40), "", VLOOKUP(B40, _xlfn.IFS(A40="Landfill", $I$16:$J$27,A40="Incineration", $I$28:$J$37,A40="Composting",$I$38:$J$41,A40="Anaerobic digestion",$I$42:$J$45),2,FALSE))</f>
        <v>2</v>
      </c>
      <c r="D40" s="9">
        <f>IF(ISBLANK(A40), "", VLOOKUP(B40,$I$53:$J$64,2,FALSE))</f>
        <v>0.14000000000000001</v>
      </c>
      <c r="E40" s="9">
        <v>5</v>
      </c>
      <c r="F40" s="25">
        <f t="shared" si="0"/>
        <v>0.28000000000000003</v>
      </c>
      <c r="G40" s="9"/>
      <c r="H40" s="9"/>
      <c r="I40" s="15" t="s">
        <v>28</v>
      </c>
      <c r="J40" s="22">
        <v>4.5999999999999999E-2</v>
      </c>
      <c r="K40" s="24"/>
    </row>
    <row r="41" spans="1:20">
      <c r="A41" t="s">
        <v>13</v>
      </c>
      <c r="B41" s="15" t="s">
        <v>41</v>
      </c>
      <c r="C41" s="9">
        <f>IF(ISBLANK(A41), "", VLOOKUP(B41, _xlfn.IFS(A41="Landfill", $I$16:$J$27,A41="Incineration", $I$28:$J$37,A41="Composting",$I$38:$J$41,A41="Anaerobic digestion",$I$42:$J$45),2,FALSE))</f>
        <v>3.3</v>
      </c>
      <c r="D41" s="9">
        <f>IF(ISBLANK(A41), "", VLOOKUP(B41,$I$53:$J$64,2,FALSE))</f>
        <v>0.14000000000000001</v>
      </c>
      <c r="E41" s="9">
        <v>6</v>
      </c>
      <c r="F41" s="25">
        <f t="shared" si="0"/>
        <v>0.46200000000000002</v>
      </c>
      <c r="G41" s="9"/>
      <c r="H41" s="9"/>
      <c r="I41" s="12" t="s">
        <v>11</v>
      </c>
      <c r="J41" s="22">
        <v>4.5999999999999999E-2</v>
      </c>
      <c r="K41" s="24"/>
    </row>
    <row r="42" spans="1:20">
      <c r="A42" t="s">
        <v>13</v>
      </c>
      <c r="B42" s="15" t="s">
        <v>15</v>
      </c>
      <c r="C42" s="9">
        <f>IF(ISBLANK(A42), "", VLOOKUP(B42, _xlfn.IFS(A42="Landfill", $I$16:$J$27,A42="Incineration", $I$28:$J$37,A42="Composting",$I$38:$J$41,A42="Anaerobic digestion",$I$42:$J$45),2,FALSE))</f>
        <v>0</v>
      </c>
      <c r="D42" s="9">
        <f>IF(ISBLANK(A42), "", VLOOKUP(B42,$I$53:$J$64,2,FALSE))</f>
        <v>0.42</v>
      </c>
      <c r="E42" s="9">
        <v>7</v>
      </c>
      <c r="F42" s="25">
        <f t="shared" si="0"/>
        <v>0</v>
      </c>
      <c r="G42" s="9"/>
      <c r="H42" s="9" t="s">
        <v>30</v>
      </c>
      <c r="I42" s="15" t="s">
        <v>26</v>
      </c>
      <c r="J42" s="22">
        <v>2.8000000000000001E-2</v>
      </c>
      <c r="K42" s="24"/>
    </row>
    <row r="43" spans="1:20">
      <c r="A43" t="s">
        <v>13</v>
      </c>
      <c r="B43" s="15" t="s">
        <v>12</v>
      </c>
      <c r="C43" s="9">
        <f>IF(ISBLANK(A43), "", VLOOKUP(B43, _xlfn.IFS(A43="Landfill", $I$16:$J$27,A43="Incineration", $I$28:$J$37,A43="Composting",$I$38:$J$41,A43="Anaerobic digestion",$I$42:$J$45),2,FALSE))</f>
        <v>1.6</v>
      </c>
      <c r="D43" s="9">
        <f>IF(ISBLANK(A43), "", VLOOKUP(B43,$I$53:$J$64,2,FALSE))</f>
        <v>0.36</v>
      </c>
      <c r="E43" s="9">
        <v>8</v>
      </c>
      <c r="F43" s="25">
        <f t="shared" si="0"/>
        <v>0.57599999999999996</v>
      </c>
      <c r="G43" s="9"/>
      <c r="H43" s="9"/>
      <c r="I43" s="15" t="s">
        <v>27</v>
      </c>
      <c r="J43" s="22">
        <v>2.8000000000000001E-2</v>
      </c>
      <c r="K43" s="24"/>
    </row>
    <row r="44" spans="1:20">
      <c r="A44" t="s">
        <v>13</v>
      </c>
      <c r="B44" s="15" t="s">
        <v>43</v>
      </c>
      <c r="C44" s="9">
        <f>IF(ISBLANK(A44), "", VLOOKUP(B44, _xlfn.IFS(A44="Landfill", $I$16:$J$27,A44="Incineration", $I$28:$J$37,A44="Composting",$I$38:$J$41,A44="Anaerobic digestion",$I$42:$J$45),2,FALSE))</f>
        <v>1.3</v>
      </c>
      <c r="D44" s="9">
        <f>IF(ISBLANK(A44), "", VLOOKUP(B44,$I$53:$J$64,2,FALSE))</f>
        <v>0.33</v>
      </c>
      <c r="E44" s="9">
        <v>9</v>
      </c>
      <c r="F44" s="25">
        <f t="shared" si="0"/>
        <v>0.42900000000000005</v>
      </c>
      <c r="G44" s="9"/>
      <c r="H44" s="9"/>
      <c r="I44" s="15" t="s">
        <v>28</v>
      </c>
      <c r="J44" s="22">
        <v>2.8000000000000001E-2</v>
      </c>
      <c r="K44" s="24"/>
      <c r="R44" s="8"/>
      <c r="S44" s="8"/>
      <c r="T44" s="8"/>
    </row>
    <row r="45" spans="1:20">
      <c r="A45" t="s">
        <v>13</v>
      </c>
      <c r="B45" s="15" t="s">
        <v>39</v>
      </c>
      <c r="C45" s="9">
        <f>IF(ISBLANK(A45), "", VLOOKUP(B45, _xlfn.IFS(A45="Landfill", $I$16:$J$27,A45="Incineration", $I$28:$J$37,A45="Composting",$I$38:$J$41,A45="Anaerobic digestion",$I$42:$J$45),2,FALSE))</f>
        <v>1.3</v>
      </c>
      <c r="D45" s="9">
        <f>IF(ISBLANK(A45), "", VLOOKUP(B45,$I$53:$J$64,2,FALSE))</f>
        <v>0.33</v>
      </c>
      <c r="E45" s="9">
        <v>10</v>
      </c>
      <c r="F45" s="25">
        <f t="shared" ref="F45" si="2">IF(ISBLANK(A45),"", D45*C45)</f>
        <v>0.42900000000000005</v>
      </c>
      <c r="H45" s="9"/>
      <c r="I45" s="12" t="s">
        <v>11</v>
      </c>
      <c r="J45" s="22">
        <v>2.8000000000000001E-2</v>
      </c>
      <c r="K45" s="23"/>
      <c r="R45" s="8"/>
      <c r="S45" s="8"/>
      <c r="T45" s="8"/>
    </row>
    <row r="46" spans="1:20">
      <c r="A46" t="s">
        <v>13</v>
      </c>
      <c r="B46" s="15" t="s">
        <v>42</v>
      </c>
      <c r="C46" s="9">
        <f>IF(ISBLANK(A46), "", VLOOKUP(B46, _xlfn.IFS(A46="Landfill", $I$16:$J$27,A46="Incineration", $I$28:$J$37,A46="Composting",$I$38:$J$41,A46="Anaerobic digestion",$I$42:$J$45),2,FALSE))</f>
        <v>0.2</v>
      </c>
      <c r="D46" s="9">
        <f>IF(ISBLANK(A46), "", VLOOKUP(B46,$I$53:$J$64,2,FALSE))</f>
        <v>0.39</v>
      </c>
      <c r="E46" s="9">
        <v>10</v>
      </c>
      <c r="F46" s="25">
        <f>IF(ISBLANK(A46),"", D46*C46)</f>
        <v>7.8000000000000014E-2</v>
      </c>
      <c r="J46" s="13"/>
      <c r="K46" s="23"/>
      <c r="S46" s="8"/>
      <c r="T46" s="8"/>
    </row>
    <row r="47" spans="1:20">
      <c r="A47" t="s">
        <v>14</v>
      </c>
      <c r="B47" s="15" t="s">
        <v>26</v>
      </c>
      <c r="C47" s="9">
        <f>IF(ISBLANK(A47), "", VLOOKUP(B47, _xlfn.IFS(A47="Landfill", $I$16:$J$27,A47="Incineration", $I$28:$J$37,A47="Composting",$I$38:$J$41,A47="Anaerobic digestion",$I$42:$J$45),2,FALSE))</f>
        <v>0</v>
      </c>
      <c r="D47" s="9">
        <f>IF(ISBLANK(A47), "", VLOOKUP(B47,$I$53:$J$64,2,FALSE))</f>
        <v>0.5</v>
      </c>
      <c r="E47" s="9">
        <v>11</v>
      </c>
      <c r="F47" s="25">
        <f>IF(ISBLANK(A47),"", D47*C47)</f>
        <v>0</v>
      </c>
      <c r="J47" s="13"/>
      <c r="K47" s="23"/>
      <c r="S47" s="8"/>
      <c r="T47" s="8"/>
    </row>
    <row r="48" spans="1:20">
      <c r="A48" t="s">
        <v>14</v>
      </c>
      <c r="B48" s="15" t="s">
        <v>27</v>
      </c>
      <c r="C48" s="9">
        <f>IF(ISBLANK(A48), "", VLOOKUP(B48, _xlfn.IFS(A48="Landfill", $I$16:$J$27,A48="Incineration", $I$28:$J$37,A48="Composting",$I$38:$J$41,A48="Anaerobic digestion",$I$42:$J$45),2,FALSE))</f>
        <v>0</v>
      </c>
      <c r="D48" s="9">
        <f>IF(ISBLANK(A48), "", VLOOKUP(B48,$I$53:$J$64,2,FALSE))</f>
        <v>0.24</v>
      </c>
      <c r="E48" s="9">
        <v>12</v>
      </c>
      <c r="F48" s="25">
        <f>IF(ISBLANK(A48),"", D48*C48)</f>
        <v>0</v>
      </c>
      <c r="J48" s="13"/>
      <c r="K48" s="23"/>
      <c r="S48" s="8"/>
      <c r="T48" s="8"/>
    </row>
    <row r="49" spans="1:20">
      <c r="A49" t="s">
        <v>14</v>
      </c>
      <c r="B49" s="15" t="s">
        <v>28</v>
      </c>
      <c r="C49" s="9">
        <f>IF(ISBLANK(A49), "", VLOOKUP(B49, _xlfn.IFS(A49="Landfill", $I$16:$J$27,A49="Incineration", $I$28:$J$37,A49="Composting",$I$38:$J$41,A49="Anaerobic digestion",$I$42:$J$45),2,FALSE))</f>
        <v>0</v>
      </c>
      <c r="D49" s="9">
        <f>IF(ISBLANK(A49), "", VLOOKUP(B49,$I$53:$J$64,2,FALSE))</f>
        <v>0.15</v>
      </c>
      <c r="E49" s="9">
        <v>13</v>
      </c>
      <c r="F49" s="25">
        <f>IF(ISBLANK(A49),"", D49*C49)</f>
        <v>0</v>
      </c>
      <c r="J49" s="13"/>
      <c r="K49" s="23"/>
      <c r="S49" s="8"/>
      <c r="T49" s="8"/>
    </row>
    <row r="50" spans="1:20">
      <c r="A50" t="s">
        <v>14</v>
      </c>
      <c r="B50" s="12" t="s">
        <v>11</v>
      </c>
      <c r="C50" s="9">
        <f>IF(ISBLANK(A50), "", VLOOKUP(B50, _xlfn.IFS(A50="Landfill", $I$16:$J$27,A50="Incineration", $I$28:$J$37,A50="Composting",$I$38:$J$41,A50="Anaerobic digestion",$I$42:$J$45),2,FALSE))</f>
        <v>0</v>
      </c>
      <c r="D50" s="9">
        <f>IF(ISBLANK(A50), "", VLOOKUP(B50,$I$53:$J$64,2,FALSE))</f>
        <v>0.72</v>
      </c>
      <c r="E50" s="9">
        <v>14</v>
      </c>
      <c r="F50" s="25">
        <f>IF(ISBLANK(A50),"", D50*C50)</f>
        <v>0</v>
      </c>
      <c r="J50" s="13"/>
      <c r="K50" s="23"/>
      <c r="R50" s="8"/>
      <c r="S50" s="8"/>
      <c r="T50" s="8"/>
    </row>
    <row r="51" spans="1:20">
      <c r="A51" t="s">
        <v>14</v>
      </c>
      <c r="B51" s="15" t="s">
        <v>37</v>
      </c>
      <c r="C51" s="9">
        <f>IF(ISBLANK(A51), "", VLOOKUP(B51, _xlfn.IFS(A51="Landfill", $I$16:$J$27,A51="Incineration", $I$28:$J$37,A51="Composting",$I$38:$J$41,A51="Anaerobic digestion",$I$42:$J$45),2,FALSE))</f>
        <v>1.6899999999999998E-2</v>
      </c>
      <c r="D51" s="9">
        <f>IF(ISBLANK(A51), "", VLOOKUP(B51,$I$53:$J$64,2,FALSE))</f>
        <v>0.09</v>
      </c>
      <c r="E51" s="9">
        <v>15</v>
      </c>
      <c r="F51" s="25">
        <f>IF(ISBLANK(A51),"", D51*C51)</f>
        <v>1.5209999999999998E-3</v>
      </c>
      <c r="I51" s="15"/>
      <c r="K51" s="23"/>
      <c r="R51" s="8"/>
      <c r="S51" s="8"/>
      <c r="T51" s="8"/>
    </row>
    <row r="52" spans="1:20">
      <c r="A52" t="s">
        <v>14</v>
      </c>
      <c r="B52" s="15" t="s">
        <v>40</v>
      </c>
      <c r="C52" s="9">
        <f>IF(ISBLANK(A52), "", VLOOKUP(B52, _xlfn.IFS(A52="Landfill", $I$16:$J$27,A52="Incineration", $I$28:$J$37,A52="Composting",$I$38:$J$41,A52="Anaerobic digestion",$I$42:$J$45),2,FALSE))</f>
        <v>0.36670000000000003</v>
      </c>
      <c r="D52" s="9">
        <f>IF(ISBLANK(A52), "", VLOOKUP(B52,$I$53:$J$64,2,FALSE))</f>
        <v>0.14000000000000001</v>
      </c>
      <c r="E52" s="9">
        <v>16</v>
      </c>
      <c r="F52" s="25">
        <f>IF(ISBLANK(A52),"", D52*C52)</f>
        <v>5.1338000000000009E-2</v>
      </c>
      <c r="I52" s="15" t="s">
        <v>38</v>
      </c>
      <c r="J52" s="17"/>
      <c r="K52" s="23"/>
      <c r="R52" s="8"/>
      <c r="S52" s="8"/>
      <c r="T52" s="8"/>
    </row>
    <row r="53" spans="1:20">
      <c r="A53" t="s">
        <v>14</v>
      </c>
      <c r="B53" s="15" t="s">
        <v>41</v>
      </c>
      <c r="C53" s="9">
        <f>IF(ISBLANK(A53), "", VLOOKUP(B53, _xlfn.IFS(A53="Landfill", $I$16:$J$27,A53="Incineration", $I$28:$J$37,A53="Composting",$I$38:$J$41,A53="Anaerobic digestion",$I$42:$J$45),2,FALSE))</f>
        <v>0.4919</v>
      </c>
      <c r="D53" s="9">
        <f>IF(ISBLANK(A53), "", VLOOKUP(B53,$I$53:$J$64,2,FALSE))</f>
        <v>0.14000000000000001</v>
      </c>
      <c r="E53" s="9">
        <v>17</v>
      </c>
      <c r="F53" s="25">
        <f>IF(ISBLANK(A53),"", D53*C53)</f>
        <v>6.8866000000000011E-2</v>
      </c>
      <c r="I53" s="15" t="s">
        <v>26</v>
      </c>
      <c r="J53" s="13">
        <v>0.5</v>
      </c>
      <c r="K53" s="23"/>
      <c r="R53" s="8"/>
      <c r="S53" s="8"/>
      <c r="T53" s="8"/>
    </row>
    <row r="54" spans="1:20">
      <c r="A54" t="s">
        <v>14</v>
      </c>
      <c r="B54" s="15" t="s">
        <v>15</v>
      </c>
      <c r="C54" s="9">
        <f>IF(ISBLANK(A54), "", VLOOKUP(B54, _xlfn.IFS(A54="Landfill", $I$16:$J$27,A54="Incineration", $I$28:$J$37,A54="Composting",$I$38:$J$41,A54="Anaerobic digestion",$I$42:$J$45),2,FALSE))</f>
        <v>0.11</v>
      </c>
      <c r="D54" s="9">
        <f>IF(ISBLANK(A54), "", VLOOKUP(B54,$I$53:$J$64,2,FALSE))</f>
        <v>0.42</v>
      </c>
      <c r="E54" s="9">
        <v>18</v>
      </c>
      <c r="F54" s="25">
        <f>IF(ISBLANK(A54),"", D54*C54)</f>
        <v>4.6199999999999998E-2</v>
      </c>
      <c r="I54" s="12" t="s">
        <v>37</v>
      </c>
      <c r="J54">
        <v>0.09</v>
      </c>
      <c r="K54" s="23"/>
      <c r="R54" s="8"/>
      <c r="S54" s="8"/>
      <c r="T54" s="8"/>
    </row>
    <row r="55" spans="1:20">
      <c r="A55" t="s">
        <v>14</v>
      </c>
      <c r="B55" s="15" t="s">
        <v>20</v>
      </c>
      <c r="C55" s="9">
        <f>IF(ISBLANK(A55), "", VLOOKUP(B55, _xlfn.IFS(A55="Landfill", $I$16:$J$27,A55="Incineration", $I$28:$J$37,A55="Composting",$I$38:$J$41,A55="Anaerobic digestion",$I$42:$J$45),2,FALSE))</f>
        <v>5.3699999999999998E-2</v>
      </c>
      <c r="D55" s="9">
        <f>IF(ISBLANK(A55), "", VLOOKUP(B55,$I$53:$J$64,2,FALSE))</f>
        <v>0.36</v>
      </c>
      <c r="E55" s="9">
        <v>19</v>
      </c>
      <c r="F55" s="25">
        <f>IF(ISBLANK(A55),"", D55*C55)</f>
        <v>1.9331999999999998E-2</v>
      </c>
      <c r="I55" s="15" t="s">
        <v>27</v>
      </c>
      <c r="J55" s="17">
        <v>0.24</v>
      </c>
      <c r="K55" s="23"/>
      <c r="R55" s="8"/>
      <c r="S55" s="8"/>
      <c r="T55" s="8"/>
    </row>
    <row r="56" spans="1:20">
      <c r="A56" t="s">
        <v>14</v>
      </c>
      <c r="B56" s="15" t="s">
        <v>21</v>
      </c>
      <c r="C56" s="9">
        <f>IF(ISBLANK(A56), "", VLOOKUP(B56, _xlfn.IFS(A56="Landfill", $I$16:$J$27,A56="Incineration", $I$28:$J$37,A56="Composting",$I$38:$J$41,A56="Anaerobic digestion",$I$42:$J$45),2,FALSE))</f>
        <v>1.649</v>
      </c>
      <c r="D56" s="9">
        <f>IF(ISBLANK(A56), "", VLOOKUP(B56,$I$53:$J$64,2,FALSE))</f>
        <v>0.33</v>
      </c>
      <c r="E56" s="9">
        <v>20</v>
      </c>
      <c r="F56" s="25">
        <f>IF(ISBLANK(A56),"", D56*C56)</f>
        <v>0.54417000000000004</v>
      </c>
      <c r="I56" s="15" t="s">
        <v>28</v>
      </c>
      <c r="J56" s="15">
        <v>0.15</v>
      </c>
      <c r="K56" s="23"/>
      <c r="R56" s="8"/>
      <c r="S56" s="8"/>
      <c r="T56" s="8"/>
    </row>
    <row r="57" spans="1:20">
      <c r="A57" t="s">
        <v>29</v>
      </c>
      <c r="B57" s="15" t="s">
        <v>26</v>
      </c>
      <c r="C57" s="9">
        <f>IF(ISBLANK(A57), "", VLOOKUP(B57, _xlfn.IFS(A57="Landfill", $I$16:$J$27,A57="Incineration", $I$28:$J$37,A57="Composting",$I$38:$J$41,A57="Anaerobic digestion",$I$42:$J$45),2,FALSE))</f>
        <v>4.5999999999999999E-2</v>
      </c>
      <c r="D57" s="9">
        <f>IF(ISBLANK(A57), "", VLOOKUP(B57,$I$53:$J$64,2,FALSE))</f>
        <v>0.5</v>
      </c>
      <c r="E57" s="9">
        <v>21</v>
      </c>
      <c r="F57" s="25">
        <f>IF(ISBLANK(A57),"", D57*C57)</f>
        <v>2.3E-2</v>
      </c>
      <c r="I57" s="15" t="s">
        <v>40</v>
      </c>
      <c r="J57" s="15">
        <v>0.14000000000000001</v>
      </c>
      <c r="K57" s="23"/>
      <c r="R57" s="8"/>
      <c r="S57" s="8"/>
      <c r="T57" s="8"/>
    </row>
    <row r="58" spans="1:20">
      <c r="A58" t="s">
        <v>29</v>
      </c>
      <c r="B58" s="15" t="s">
        <v>27</v>
      </c>
      <c r="C58" s="9">
        <f>IF(ISBLANK(A58), "", VLOOKUP(B58, _xlfn.IFS(A58="Landfill", $I$16:$J$27,A58="Incineration", $I$28:$J$37,A58="Composting",$I$38:$J$41,A58="Anaerobic digestion",$I$42:$J$45),2,FALSE))</f>
        <v>4.5999999999999999E-2</v>
      </c>
      <c r="D58" s="9">
        <f>IF(ISBLANK(A58), "", VLOOKUP(B58,$I$53:$J$64,2,FALSE))</f>
        <v>0.24</v>
      </c>
      <c r="E58" s="9">
        <v>22</v>
      </c>
      <c r="F58" s="25">
        <f>IF(ISBLANK(A58),"", D58*C58)</f>
        <v>1.1039999999999999E-2</v>
      </c>
      <c r="I58" s="15" t="s">
        <v>11</v>
      </c>
      <c r="J58" s="15">
        <v>0.72</v>
      </c>
      <c r="K58" s="23"/>
      <c r="R58" s="8"/>
      <c r="S58" s="8"/>
      <c r="T58" s="8"/>
    </row>
    <row r="59" spans="1:20">
      <c r="A59" t="s">
        <v>29</v>
      </c>
      <c r="B59" s="15" t="s">
        <v>28</v>
      </c>
      <c r="C59" s="9">
        <f>IF(ISBLANK(A59), "", VLOOKUP(B59, _xlfn.IFS(A59="Landfill", $I$16:$J$27,A59="Incineration", $I$28:$J$37,A59="Composting",$I$38:$J$41,A59="Anaerobic digestion",$I$42:$J$45),2,FALSE))</f>
        <v>4.5999999999999999E-2</v>
      </c>
      <c r="D59" s="9">
        <f>IF(ISBLANK(A59), "", VLOOKUP(B59,$I$53:$J$64,2,FALSE))</f>
        <v>0.15</v>
      </c>
      <c r="E59" s="9">
        <v>23</v>
      </c>
      <c r="F59" s="25">
        <f>IF(ISBLANK(A59),"", D59*C59)</f>
        <v>6.8999999999999999E-3</v>
      </c>
      <c r="I59" s="15" t="s">
        <v>41</v>
      </c>
      <c r="J59" s="15">
        <v>0.14000000000000001</v>
      </c>
      <c r="K59" s="23"/>
      <c r="R59" s="8"/>
      <c r="S59" s="8"/>
      <c r="T59" s="8"/>
    </row>
    <row r="60" spans="1:20">
      <c r="A60" t="s">
        <v>29</v>
      </c>
      <c r="B60" s="12" t="s">
        <v>11</v>
      </c>
      <c r="C60" s="9">
        <f>IF(ISBLANK(A60), "", VLOOKUP(B60, _xlfn.IFS(A60="Landfill", $I$16:$J$27,A60="Incineration", $I$28:$J$37,A60="Composting",$I$38:$J$41,A60="Anaerobic digestion",$I$42:$J$45),2,FALSE))</f>
        <v>4.5999999999999999E-2</v>
      </c>
      <c r="D60" s="9">
        <f>IF(ISBLANK(A60), "", VLOOKUP(B60,$I$53:$J$64,2,FALSE))</f>
        <v>0.72</v>
      </c>
      <c r="E60" s="9">
        <v>24</v>
      </c>
      <c r="F60" s="25">
        <f>IF(ISBLANK(A60),"", D60*C60)</f>
        <v>3.3119999999999997E-2</v>
      </c>
      <c r="I60" s="15" t="s">
        <v>15</v>
      </c>
      <c r="J60" s="17">
        <v>0.42</v>
      </c>
      <c r="K60" s="23"/>
      <c r="R60" s="8"/>
      <c r="S60" s="8"/>
      <c r="T60" s="8"/>
    </row>
    <row r="61" spans="1:20">
      <c r="A61" t="s">
        <v>30</v>
      </c>
      <c r="B61" s="15" t="s">
        <v>26</v>
      </c>
      <c r="C61" s="9">
        <f>IF(ISBLANK(A61), "", VLOOKUP(B61, _xlfn.IFS(A61="Landfill", $I$16:$J$27,A61="Incineration", $I$28:$J$37,A61="Composting",$I$38:$J$41,A61="Anaerobic digestion",$I$42:$J$45),2,FALSE))</f>
        <v>2.8000000000000001E-2</v>
      </c>
      <c r="D61" s="9">
        <f>IF(ISBLANK(A61), "", VLOOKUP(B61,$I$53:$J$64,2,FALSE))</f>
        <v>0.5</v>
      </c>
      <c r="E61" s="9">
        <v>25</v>
      </c>
      <c r="F61" s="25">
        <f>IF(ISBLANK(A61),"", D61*C61)</f>
        <v>1.4E-2</v>
      </c>
      <c r="I61" s="15" t="s">
        <v>12</v>
      </c>
      <c r="J61" s="15">
        <v>0.36</v>
      </c>
      <c r="K61" s="23"/>
      <c r="R61" s="8"/>
      <c r="S61" s="8"/>
      <c r="T61" s="8"/>
    </row>
    <row r="62" spans="1:20">
      <c r="A62" t="s">
        <v>30</v>
      </c>
      <c r="B62" s="15" t="s">
        <v>27</v>
      </c>
      <c r="C62" s="9">
        <f>IF(ISBLANK(A62), "", VLOOKUP(B62, _xlfn.IFS(A62="Landfill", $I$16:$J$27,A62="Incineration", $I$28:$J$37,A62="Composting",$I$38:$J$41,A62="Anaerobic digestion",$I$42:$J$45),2,FALSE))</f>
        <v>2.8000000000000001E-2</v>
      </c>
      <c r="D62" s="9">
        <f>IF(ISBLANK(A62), "", VLOOKUP(B62,$I$53:$J$64,2,FALSE))</f>
        <v>0.24</v>
      </c>
      <c r="E62" s="9">
        <v>26</v>
      </c>
      <c r="F62" s="25">
        <f>IF(ISBLANK(A62),"", D62*C62)</f>
        <v>6.7200000000000003E-3</v>
      </c>
      <c r="I62" s="15" t="s">
        <v>39</v>
      </c>
      <c r="J62" s="15">
        <v>0.33</v>
      </c>
      <c r="R62" s="8"/>
      <c r="S62" s="8"/>
      <c r="T62" s="8"/>
    </row>
    <row r="63" spans="1:20">
      <c r="A63" t="s">
        <v>30</v>
      </c>
      <c r="B63" s="15" t="s">
        <v>28</v>
      </c>
      <c r="C63" s="9">
        <f>IF(ISBLANK(A63), "", VLOOKUP(B63, _xlfn.IFS(A63="Landfill", $I$16:$J$27,A63="Incineration", $I$28:$J$37,A63="Composting",$I$38:$J$41,A63="Anaerobic digestion",$I$42:$J$45),2,FALSE))</f>
        <v>2.8000000000000001E-2</v>
      </c>
      <c r="D63" s="9">
        <f>IF(ISBLANK(A63), "", VLOOKUP(B63,$I$53:$J$64,2,FALSE))</f>
        <v>0.15</v>
      </c>
      <c r="E63" s="9">
        <v>27</v>
      </c>
      <c r="F63" s="25">
        <f>IF(ISBLANK(A63),"", D63*C63)</f>
        <v>4.1999999999999997E-3</v>
      </c>
      <c r="I63" s="15" t="s">
        <v>43</v>
      </c>
      <c r="J63" s="15">
        <v>0.33</v>
      </c>
      <c r="K63" s="23"/>
      <c r="R63" s="8"/>
      <c r="S63" s="8"/>
      <c r="T63" s="8"/>
    </row>
    <row r="64" spans="1:20">
      <c r="A64" t="s">
        <v>30</v>
      </c>
      <c r="B64" s="12" t="s">
        <v>11</v>
      </c>
      <c r="C64" s="9">
        <f>IF(ISBLANK(A64), "", VLOOKUP(B64, _xlfn.IFS(A64="Landfill", $I$16:$J$27,A64="Incineration", $I$28:$J$37,A64="Composting",$I$38:$J$41,A64="Anaerobic digestion",$I$42:$J$45),2,FALSE))</f>
        <v>2.8000000000000001E-2</v>
      </c>
      <c r="D64" s="9">
        <f>IF(ISBLANK(A64), "", VLOOKUP(B64,$I$53:$J$64,2,FALSE))</f>
        <v>0.72</v>
      </c>
      <c r="E64" s="9">
        <v>28</v>
      </c>
      <c r="F64" s="25">
        <f>IF(ISBLANK(A64),"", D64*C64)</f>
        <v>2.0160000000000001E-2</v>
      </c>
      <c r="I64" s="15" t="s">
        <v>42</v>
      </c>
      <c r="J64" s="15">
        <v>0.39</v>
      </c>
      <c r="K64" s="23"/>
      <c r="R64" s="8"/>
      <c r="S64" s="8"/>
      <c r="T64" s="8"/>
    </row>
    <row r="65" spans="6:20">
      <c r="F65" s="9"/>
      <c r="J65" s="13"/>
      <c r="K65" s="23"/>
      <c r="R65" s="7"/>
      <c r="S65" s="7"/>
      <c r="T65" s="7"/>
    </row>
    <row r="66" spans="6:20">
      <c r="F66" s="9"/>
      <c r="J66" s="13"/>
      <c r="K66" s="23"/>
      <c r="S66" s="7"/>
      <c r="T66" s="7"/>
    </row>
    <row r="67" spans="6:20">
      <c r="F67" s="9"/>
      <c r="J67" s="13"/>
      <c r="K67" s="23"/>
    </row>
    <row r="68" spans="6:20">
      <c r="F68" s="9"/>
      <c r="J68" s="13"/>
      <c r="K68" s="23"/>
    </row>
    <row r="69" spans="6:20">
      <c r="F69" s="9"/>
      <c r="J69" s="13"/>
      <c r="K69" s="23"/>
    </row>
    <row r="70" spans="6:20">
      <c r="F70" s="9"/>
      <c r="J70" s="13"/>
      <c r="K70" s="23"/>
    </row>
    <row r="71" spans="6:20">
      <c r="F71" s="9"/>
      <c r="J71" s="13"/>
      <c r="K71" s="23"/>
    </row>
    <row r="72" spans="6:20">
      <c r="F72" s="9"/>
      <c r="J72" s="13"/>
      <c r="K72" s="23"/>
    </row>
    <row r="73" spans="6:20">
      <c r="F73" s="9"/>
      <c r="J73" s="13"/>
      <c r="K73" s="23"/>
    </row>
    <row r="74" spans="6:20">
      <c r="F74" s="9"/>
      <c r="J74" s="13"/>
      <c r="K74" s="23"/>
    </row>
    <row r="75" spans="6:20">
      <c r="F75" s="9"/>
      <c r="J75" s="13"/>
      <c r="K75" s="23"/>
    </row>
    <row r="76" spans="6:20">
      <c r="F76" s="9"/>
      <c r="J76" s="13"/>
      <c r="K76" s="23"/>
    </row>
    <row r="77" spans="6:20">
      <c r="F77" s="9"/>
      <c r="J77" s="13"/>
      <c r="K77" s="23"/>
    </row>
    <row r="78" spans="6:20">
      <c r="F78" s="9"/>
      <c r="J78" s="13"/>
      <c r="K78" s="23"/>
    </row>
    <row r="79" spans="6:20">
      <c r="F79" s="9"/>
      <c r="J79" s="13"/>
      <c r="K79" s="23"/>
    </row>
    <row r="80" spans="6:20">
      <c r="F80" s="9"/>
      <c r="J80" s="13"/>
      <c r="K80" s="23"/>
    </row>
    <row r="81" spans="6:11">
      <c r="F81" s="9"/>
      <c r="J81" s="13"/>
      <c r="K81" s="23"/>
    </row>
    <row r="82" spans="6:11">
      <c r="F82" s="9"/>
      <c r="J82" s="13"/>
      <c r="K82" s="23"/>
    </row>
    <row r="83" spans="6:11">
      <c r="F83" s="9"/>
      <c r="J83" s="13"/>
      <c r="K83" s="23"/>
    </row>
    <row r="84" spans="6:11">
      <c r="F84" s="9"/>
      <c r="J84" s="13"/>
      <c r="K84" s="23"/>
    </row>
    <row r="85" spans="6:11">
      <c r="F85" s="9"/>
      <c r="J85" s="13"/>
      <c r="K85" s="23"/>
    </row>
    <row r="86" spans="6:11">
      <c r="F86" s="9"/>
      <c r="J86" s="13"/>
      <c r="K86" s="23"/>
    </row>
    <row r="87" spans="6:11">
      <c r="F87" s="9"/>
      <c r="J87" s="13"/>
      <c r="K87" s="23"/>
    </row>
    <row r="88" spans="6:11">
      <c r="F88" s="9"/>
      <c r="J88" s="13"/>
      <c r="K88" s="23"/>
    </row>
    <row r="89" spans="6:11">
      <c r="F89" s="9"/>
      <c r="J89" s="13"/>
      <c r="K89" s="23"/>
    </row>
    <row r="90" spans="6:11">
      <c r="F90" s="9"/>
      <c r="J90" s="13"/>
      <c r="K90" s="23"/>
    </row>
    <row r="91" spans="6:11">
      <c r="J91" s="13"/>
      <c r="K91" s="23"/>
    </row>
    <row r="92" spans="6:11">
      <c r="J92" s="13"/>
      <c r="K92" s="23"/>
    </row>
    <row r="93" spans="6:11">
      <c r="J93" s="13"/>
      <c r="K93" s="23"/>
    </row>
    <row r="94" spans="6:11">
      <c r="J94" s="13"/>
      <c r="K94" s="23"/>
    </row>
    <row r="95" spans="6:11">
      <c r="J95" s="13"/>
      <c r="K95" s="23"/>
    </row>
    <row r="96" spans="6:11">
      <c r="J96" s="13"/>
      <c r="K96" s="23"/>
    </row>
    <row r="97" spans="10:11">
      <c r="J97" s="13"/>
      <c r="K97" s="23"/>
    </row>
    <row r="98" spans="10:11">
      <c r="J98" s="13"/>
      <c r="K98" s="23"/>
    </row>
  </sheetData>
  <conditionalFormatting sqref="J13:K13 J65:K98 K54:K61 K51 J52:K53 K63:K64 J46:K50 K37:K45 J38:J45 K30 J31">
    <cfRule type="expression" dxfId="1" priority="1">
      <formula>AND(ABS($J$2)&gt;=0.005, ABS($J$2)&lt;0.095)</formula>
    </cfRule>
    <cfRule type="cellIs" dxfId="0" priority="2" operator="between">
      <formula>-0.01</formula>
      <formula>0.09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15.13.1.3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2026-03-04T04:05:52Z</dcterms:modified>
</cp:coreProperties>
</file>