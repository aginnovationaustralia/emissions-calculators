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 defaultThemeVersion="202300"/>
  <xr:revisionPtr revIDLastSave="0" documentId="13_ncr:1_{2FDACCA9-D181-914A-892D-D3A386C1AE33}" xr6:coauthVersionLast="47" xr6:coauthVersionMax="47" xr10:uidLastSave="{00000000-0000-0000-0000-000000000000}"/>
  <bookViews>
    <workbookView xWindow="10480" yWindow="5200" windowWidth="3024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1" i="1" l="1"/>
  <c r="AB11" i="1" l="1"/>
  <c r="AF11" i="1" s="1"/>
  <c r="AH11" i="1" s="1"/>
  <c r="AG11" i="1"/>
  <c r="AI11" i="1" l="1"/>
  <c r="AJ11" i="1" s="1"/>
</calcChain>
</file>

<file path=xl/sharedStrings.xml><?xml version="1.0" encoding="utf-8"?>
<sst xmlns="http://schemas.openxmlformats.org/spreadsheetml/2006/main" count="399" uniqueCount="85">
  <si>
    <t/>
  </si>
  <si>
    <t>Ij * CPj</t>
  </si>
  <si>
    <t>Ij / (((1.185 + 0.00454 * Wj- 0.0000026 * Wj ^2 )^2 * MRj + MIj)</t>
  </si>
  <si>
    <t>Wj / WRj</t>
  </si>
  <si>
    <t>0.1604 * DMDj * 100 - 1.037</t>
  </si>
  <si>
    <t>(0.032 * MPj * 1.03 / 6.38) + ((0.212 - 0.008 * (Lj - 2) - ((0.14 - 0.008 * (Lj - 2)/ (1 + e ^-6 * Zj - 0.4)) * (LWGj * 0.92)) * 1 / 6.25</t>
  </si>
  <si>
    <t>(0.3 * (CPIj * (1 - (DMDj+ 0.1))) + 0.105 * (MEj * Ij * 0.008) + (0.0152 * Ij)) * 1/6.25</t>
  </si>
  <si>
    <t>(CPIj / 6.25) - NRj - Fj - (1.1 * 10^-4 * Wj ^0.75 / 6.25)</t>
  </si>
  <si>
    <t>Fj</t>
  </si>
  <si>
    <t>Uj</t>
  </si>
  <si>
    <t>SUM ((Nj=1,2,4,6 * Fij=1,2,4,6 * 365) + (Nj=3,5 * Fij=3,5 * 281) + (Nj=7,8 * FPWj=7,8 * 84)) * fim=1-13</t>
  </si>
  <si>
    <t>SUM ((Nj=1,2,4 * Uj=1,2,4 * 365) + (Nj=3,5 * Uj=3,5 * 281)  + (Nj=3,5 * UPWj=3,5 * 84)) *fim=1-13</t>
  </si>
  <si>
    <t>(AUMMS+ AFMMS) * FracWET,soil,i * FracLEACH_MS</t>
  </si>
  <si>
    <t>SUM SUM (AUMMS + AFMMS) * (1 - EFjm=1-13- FracGASMjm-1-13)- Mleach,MMS) * PF</t>
  </si>
  <si>
    <t>897</t>
  </si>
  <si>
    <t>681</t>
  </si>
  <si>
    <t>905</t>
  </si>
  <si>
    <t>899</t>
  </si>
  <si>
    <t>910</t>
  </si>
  <si>
    <t>933</t>
  </si>
  <si>
    <t>771</t>
  </si>
  <si>
    <t>937</t>
  </si>
  <si>
    <t>912</t>
  </si>
  <si>
    <t>904</t>
  </si>
  <si>
    <t>932</t>
  </si>
  <si>
    <t>902</t>
  </si>
  <si>
    <t>930</t>
  </si>
  <si>
    <t>949</t>
  </si>
  <si>
    <t>952</t>
  </si>
  <si>
    <t>913</t>
  </si>
  <si>
    <t>740</t>
  </si>
  <si>
    <t>767</t>
  </si>
  <si>
    <t>774</t>
  </si>
  <si>
    <t>737</t>
  </si>
  <si>
    <t>755</t>
  </si>
  <si>
    <t>730</t>
  </si>
  <si>
    <t>750</t>
  </si>
  <si>
    <t>823</t>
  </si>
  <si>
    <t>830</t>
  </si>
  <si>
    <t>857</t>
  </si>
  <si>
    <t>866</t>
  </si>
  <si>
    <t>input</t>
  </si>
  <si>
    <t>expression</t>
  </si>
  <si>
    <t>constant</t>
  </si>
  <si>
    <t>Nj=1,2,4</t>
  </si>
  <si>
    <t>Ij</t>
  </si>
  <si>
    <t>CPj</t>
  </si>
  <si>
    <t>MPj</t>
  </si>
  <si>
    <t>Wj</t>
  </si>
  <si>
    <t>MRj</t>
  </si>
  <si>
    <t>MIj</t>
  </si>
  <si>
    <t>WRj</t>
  </si>
  <si>
    <t>LWGj</t>
  </si>
  <si>
    <t>DMDj</t>
  </si>
  <si>
    <t>Nj=3,5</t>
  </si>
  <si>
    <t>UPWj=3,5</t>
  </si>
  <si>
    <t>fim=1-13</t>
  </si>
  <si>
    <t>Nj=1,2,4,6</t>
  </si>
  <si>
    <t>Nj=7,8</t>
  </si>
  <si>
    <t>FPWj=7,8</t>
  </si>
  <si>
    <t>EFjm=1-13</t>
  </si>
  <si>
    <t>FracGASMjm-1-13</t>
  </si>
  <si>
    <t>FracWET,soil,i</t>
  </si>
  <si>
    <t>FracLEACH_MS</t>
  </si>
  <si>
    <t>PF</t>
  </si>
  <si>
    <t>CPIj</t>
  </si>
  <si>
    <t>Lj</t>
  </si>
  <si>
    <t>Zj</t>
  </si>
  <si>
    <t>MEj</t>
  </si>
  <si>
    <t>NRj</t>
  </si>
  <si>
    <t>Fij=1,2,4,6</t>
  </si>
  <si>
    <t>Fij=3,5</t>
  </si>
  <si>
    <t>Uj=1,2,4</t>
  </si>
  <si>
    <t>Uj=3,5</t>
  </si>
  <si>
    <t>AFMMS</t>
  </si>
  <si>
    <t>AUMMS</t>
  </si>
  <si>
    <t>Mleach,MMS</t>
  </si>
  <si>
    <t>MNSoil</t>
  </si>
  <si>
    <t>=B11 * C11</t>
  </si>
  <si>
    <t>=B11 / (((1.185 + 0.00454 * E11- 0.0000026 * E11 ^2 )^2 * F11 + G11)</t>
  </si>
  <si>
    <t>=E11 / H11</t>
  </si>
  <si>
    <t>=0.1604 * J11 * 100 - 1.037</t>
  </si>
  <si>
    <t>=(0.032 * D11 * 1.03 / 6.38) + ((0.212 - 0.008 * (W11 - 2) - ((0.14 - 0.008 * (W11 - 2)/ (1 + e ^-6 * X11 - 0.4)) * (I11 * 0.92)) * 1 / 6.25</t>
  </si>
  <si>
    <t>=(0.3 * (V11 * (1 - (J11+ 0.1))) + 0.105 * (Y11 * B11 * 0.008) + (0.0152 * B11)) * 1/6.25</t>
  </si>
  <si>
    <t>=AA11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</si>
</sst>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1"/>
  <sheetViews>
    <sheetView tabSelected="1" workbookViewId="0">
      <selection activeCell="G10" sqref="G10"/>
    </sheetView>
  </sheetViews>
  <sheetFormatPr baseColWidth="10" defaultRowHeight="16" x14ac:dyDescent="0.2"/>
  <sheetData>
    <row r="1" spans="1:37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</row>
    <row r="2" spans="1:37" x14ac:dyDescent="0.2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</row>
    <row r="3" spans="1:37" x14ac:dyDescent="0.2">
      <c r="A3" t="s">
        <v>0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</row>
    <row r="4" spans="1:37" x14ac:dyDescent="0.2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</row>
    <row r="5" spans="1:37" x14ac:dyDescent="0.2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1</v>
      </c>
      <c r="W5" t="s">
        <v>2</v>
      </c>
      <c r="X5" t="s">
        <v>3</v>
      </c>
      <c r="Y5" t="s">
        <v>4</v>
      </c>
      <c r="Z5" t="s">
        <v>5</v>
      </c>
      <c r="AA5" t="s">
        <v>6</v>
      </c>
      <c r="AB5" t="s">
        <v>7</v>
      </c>
      <c r="AC5" t="s">
        <v>8</v>
      </c>
      <c r="AD5" t="s">
        <v>8</v>
      </c>
      <c r="AE5" t="s">
        <v>9</v>
      </c>
      <c r="AF5" t="s">
        <v>9</v>
      </c>
      <c r="AG5" t="s">
        <v>10</v>
      </c>
      <c r="AH5" t="s">
        <v>11</v>
      </c>
      <c r="AI5" t="s">
        <v>12</v>
      </c>
      <c r="AJ5" t="s">
        <v>13</v>
      </c>
      <c r="AK5" t="s">
        <v>0</v>
      </c>
    </row>
    <row r="6" spans="1:37" x14ac:dyDescent="0.2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14</v>
      </c>
      <c r="L6" t="s">
        <v>24</v>
      </c>
      <c r="M6" t="s">
        <v>25</v>
      </c>
      <c r="N6" t="s">
        <v>14</v>
      </c>
      <c r="O6" t="s">
        <v>14</v>
      </c>
      <c r="P6" t="s">
        <v>26</v>
      </c>
      <c r="Q6" t="s">
        <v>27</v>
      </c>
      <c r="R6" t="s">
        <v>28</v>
      </c>
      <c r="S6" t="s">
        <v>29</v>
      </c>
      <c r="T6" t="s">
        <v>28</v>
      </c>
      <c r="U6" t="s">
        <v>23</v>
      </c>
      <c r="V6" t="s">
        <v>30</v>
      </c>
      <c r="W6" t="s">
        <v>31</v>
      </c>
      <c r="X6" t="s">
        <v>32</v>
      </c>
      <c r="Y6" t="s">
        <v>33</v>
      </c>
      <c r="Z6" t="s">
        <v>34</v>
      </c>
      <c r="AA6" t="s">
        <v>35</v>
      </c>
      <c r="AB6" t="s">
        <v>36</v>
      </c>
      <c r="AC6" t="s">
        <v>35</v>
      </c>
      <c r="AD6" t="s">
        <v>35</v>
      </c>
      <c r="AE6" t="s">
        <v>36</v>
      </c>
      <c r="AF6" t="s">
        <v>36</v>
      </c>
      <c r="AG6" t="s">
        <v>37</v>
      </c>
      <c r="AH6" t="s">
        <v>38</v>
      </c>
      <c r="AI6" t="s">
        <v>39</v>
      </c>
      <c r="AJ6" t="s">
        <v>40</v>
      </c>
      <c r="AK6" t="s">
        <v>0</v>
      </c>
    </row>
    <row r="7" spans="1:37" x14ac:dyDescent="0.2">
      <c r="A7" t="s">
        <v>41</v>
      </c>
      <c r="B7" t="s">
        <v>42</v>
      </c>
      <c r="C7" t="s">
        <v>43</v>
      </c>
      <c r="D7" t="s">
        <v>41</v>
      </c>
      <c r="E7" t="s">
        <v>43</v>
      </c>
      <c r="F7" t="s">
        <v>43</v>
      </c>
      <c r="G7" t="s">
        <v>42</v>
      </c>
      <c r="H7" t="s">
        <v>43</v>
      </c>
      <c r="I7" t="s">
        <v>43</v>
      </c>
      <c r="J7" t="s">
        <v>43</v>
      </c>
      <c r="K7" t="s">
        <v>41</v>
      </c>
      <c r="L7" t="s">
        <v>43</v>
      </c>
      <c r="M7" t="s">
        <v>41</v>
      </c>
      <c r="N7" t="s">
        <v>41</v>
      </c>
      <c r="O7" t="s">
        <v>41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41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42</v>
      </c>
      <c r="AG7" t="s">
        <v>42</v>
      </c>
      <c r="AH7" t="s">
        <v>42</v>
      </c>
      <c r="AI7" t="s">
        <v>42</v>
      </c>
      <c r="AJ7" t="s">
        <v>42</v>
      </c>
      <c r="AK7" t="s">
        <v>0</v>
      </c>
    </row>
    <row r="8" spans="1:37" x14ac:dyDescent="0.2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</row>
    <row r="9" spans="1:37" x14ac:dyDescent="0.2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</row>
    <row r="10" spans="1:37" x14ac:dyDescent="0.2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 t="s">
        <v>57</v>
      </c>
      <c r="O10" t="s">
        <v>58</v>
      </c>
      <c r="P10" t="s">
        <v>59</v>
      </c>
      <c r="Q10" t="s">
        <v>60</v>
      </c>
      <c r="R10" t="s">
        <v>61</v>
      </c>
      <c r="S10" t="s">
        <v>62</v>
      </c>
      <c r="T10" t="s">
        <v>63</v>
      </c>
      <c r="U10" t="s">
        <v>64</v>
      </c>
      <c r="V10" t="s">
        <v>65</v>
      </c>
      <c r="W10" t="s">
        <v>66</v>
      </c>
      <c r="X10" t="s">
        <v>67</v>
      </c>
      <c r="Y10" t="s">
        <v>68</v>
      </c>
      <c r="Z10" t="s">
        <v>69</v>
      </c>
      <c r="AA10" t="s">
        <v>8</v>
      </c>
      <c r="AB10" t="s">
        <v>9</v>
      </c>
      <c r="AC10" t="s">
        <v>70</v>
      </c>
      <c r="AD10" t="s">
        <v>71</v>
      </c>
      <c r="AE10" t="s">
        <v>72</v>
      </c>
      <c r="AF10" t="s">
        <v>73</v>
      </c>
      <c r="AG10" t="s">
        <v>74</v>
      </c>
      <c r="AH10" t="s">
        <v>75</v>
      </c>
      <c r="AI10" t="s">
        <v>76</v>
      </c>
      <c r="AJ10" t="s">
        <v>77</v>
      </c>
      <c r="AK10" t="s">
        <v>0</v>
      </c>
    </row>
    <row r="11" spans="1:37" x14ac:dyDescent="0.2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78</v>
      </c>
      <c r="W11" t="s">
        <v>79</v>
      </c>
      <c r="X11" t="s">
        <v>80</v>
      </c>
      <c r="Y11" t="s">
        <v>81</v>
      </c>
      <c r="Z11" t="s">
        <v>82</v>
      </c>
      <c r="AA11" t="s">
        <v>83</v>
      </c>
      <c r="AB11" t="e">
        <f>(V11 / 6.25) - Z11 - AA11 - (1.1 * 10^-4 * E11 ^0.75 / 6.25)</f>
        <v>#VALUE!</v>
      </c>
      <c r="AC11" t="s">
        <v>84</v>
      </c>
      <c r="AD11" t="s">
        <v>84</v>
      </c>
      <c r="AE11" t="e">
        <f>AB11</f>
        <v>#VALUE!</v>
      </c>
      <c r="AF11" t="e">
        <f>AB11</f>
        <v>#VALUE!</v>
      </c>
      <c r="AG11" t="e">
        <f>((N11 * AC11 * 365) + (K11 * AD11 * 281) + (O11 * P11 * 84)) * M11</f>
        <v>#VALUE!</v>
      </c>
      <c r="AH11" t="e">
        <f>((A11 * AE11 * 365) + (K11 * AF11 * 281)  + (K11 * L11 * 84)) *M11</f>
        <v>#VALUE!</v>
      </c>
      <c r="AI11" t="e">
        <f>(AH11+ AG11) * S11 * T11</f>
        <v>#VALUE!</v>
      </c>
      <c r="AJ11" t="e">
        <f>((AH11 + AG11) * (1 - Q11- R11)- AI11) * U11</f>
        <v>#VALUE!</v>
      </c>
    </row>
  </sheetData>
  <pageMargins left="0.7" right="0.7" top="0.75" bottom="0.75" header="0.3" footer="0.3"/>
  <ignoredErrors>
    <ignoredError sqref="A1:AK10 A11:AA11 AK11 AC11:AD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2026-03-16T05:12:42Z</dcterms:created>
  <dcterms:modified xsi:type="dcterms:W3CDTF">2026-03-17T01:05:03Z</dcterms:modified>
</cp:coreProperties>
</file>