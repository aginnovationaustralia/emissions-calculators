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4.5-swine-manure/"/>
    </mc:Choice>
  </mc:AlternateContent>
  <xr:revisionPtr revIDLastSave="0" documentId="13_ncr:1_{D9E94543-634E-EE46-9BBF-A280660B98BD}" xr6:coauthVersionLast="47" xr6:coauthVersionMax="47" xr10:uidLastSave="{00000000-0000-0000-0000-000000000000}"/>
  <bookViews>
    <workbookView xWindow="160" yWindow="600" windowWidth="28800" windowHeight="15860" activeTab="3" xr2:uid="{498306D6-A158-0A47-8C6F-02750C53E536}"/>
  </bookViews>
  <sheets>
    <sheet name="Constants" sheetId="1" r:id="rId1"/>
    <sheet name="Input Scenarios" sheetId="2" r:id="rId2"/>
    <sheet name="4.5.1.1" sheetId="3" r:id="rId3"/>
    <sheet name="4.5.1.2" sheetId="8" r:id="rId4"/>
    <sheet name="4.5.1.3" sheetId="5" r:id="rId5"/>
    <sheet name="4.5.1.4" sheetId="9" r:id="rId6"/>
    <sheet name="Atmospheric Deposition" sheetId="6" r:id="rId7"/>
    <sheet name="Atmospheric Deposition (2)" sheetId="10" r:id="rId8"/>
    <sheet name="Leaching and Runoff" sheetId="7" r:id="rId9"/>
    <sheet name="Leaching and Runoff (2)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2" i="8" l="1"/>
  <c r="AG13" i="8"/>
  <c r="AG14" i="8"/>
  <c r="AG15" i="8"/>
  <c r="AG16" i="8"/>
  <c r="AG17" i="8"/>
  <c r="AG18" i="8"/>
  <c r="AG19" i="8"/>
  <c r="AG20" i="8"/>
  <c r="AG21" i="8"/>
  <c r="AG22" i="8"/>
  <c r="AG23" i="8"/>
  <c r="AG24" i="8"/>
  <c r="AG25" i="8"/>
  <c r="AG26" i="8"/>
  <c r="AG27" i="8"/>
  <c r="AG28" i="8"/>
  <c r="AG29" i="8"/>
  <c r="AG30" i="8"/>
  <c r="AG31" i="8"/>
  <c r="AG32" i="8"/>
  <c r="AG33" i="8"/>
  <c r="AG34" i="8"/>
  <c r="AG11" i="8"/>
  <c r="AF34" i="8"/>
  <c r="AF33" i="8"/>
  <c r="AF32" i="8"/>
  <c r="AF31" i="8"/>
  <c r="AF30" i="8"/>
  <c r="AF29" i="8"/>
  <c r="AF28" i="8"/>
  <c r="AF27" i="8"/>
  <c r="AF26" i="8"/>
  <c r="AF25" i="8"/>
  <c r="AF24" i="8"/>
  <c r="AF23" i="8"/>
  <c r="AF22" i="8"/>
  <c r="AF21" i="8"/>
  <c r="AF20" i="8"/>
  <c r="AF19" i="8"/>
  <c r="AF18" i="8"/>
  <c r="AF17" i="8"/>
  <c r="AF16" i="8"/>
  <c r="AF15" i="8"/>
  <c r="AF14" i="8"/>
  <c r="AF13" i="8"/>
  <c r="AF12" i="8"/>
  <c r="AF11" i="8"/>
  <c r="AE34" i="8"/>
  <c r="AE33" i="8"/>
  <c r="AE32" i="8"/>
  <c r="AE31" i="8"/>
  <c r="AE30" i="8"/>
  <c r="AL30" i="8" s="1"/>
  <c r="AE29" i="8"/>
  <c r="AE28" i="8"/>
  <c r="AL28" i="8" s="1"/>
  <c r="AE27" i="8"/>
  <c r="AE26" i="8"/>
  <c r="AE25" i="8"/>
  <c r="AE24" i="8"/>
  <c r="AE23" i="8"/>
  <c r="AE22" i="8"/>
  <c r="AL22" i="8" s="1"/>
  <c r="AE21" i="8"/>
  <c r="AE20" i="8"/>
  <c r="AE19" i="8"/>
  <c r="AL19" i="8" s="1"/>
  <c r="AE18" i="8"/>
  <c r="AE17" i="8"/>
  <c r="AE16" i="8"/>
  <c r="AE15" i="8"/>
  <c r="AE14" i="8"/>
  <c r="AE13" i="8"/>
  <c r="AE12" i="8"/>
  <c r="AE11" i="8"/>
  <c r="AD34" i="8"/>
  <c r="AD33" i="8"/>
  <c r="AD32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I11" i="8"/>
  <c r="J49" i="2"/>
  <c r="J45" i="2"/>
  <c r="Z34" i="11"/>
  <c r="Y34" i="11"/>
  <c r="X34" i="11"/>
  <c r="W34" i="11"/>
  <c r="U34" i="11"/>
  <c r="Z33" i="11"/>
  <c r="Y33" i="11"/>
  <c r="X33" i="11"/>
  <c r="W33" i="11"/>
  <c r="U33" i="11"/>
  <c r="Z32" i="11"/>
  <c r="Y32" i="11"/>
  <c r="X32" i="11"/>
  <c r="W32" i="11"/>
  <c r="U32" i="11"/>
  <c r="Z31" i="11"/>
  <c r="Y31" i="11"/>
  <c r="X31" i="11"/>
  <c r="W31" i="11"/>
  <c r="U31" i="11"/>
  <c r="T31" i="11"/>
  <c r="V31" i="11" s="1"/>
  <c r="AA31" i="11" s="1"/>
  <c r="AB31" i="11" s="1"/>
  <c r="Z30" i="11"/>
  <c r="Y30" i="11"/>
  <c r="X30" i="11"/>
  <c r="W30" i="11"/>
  <c r="U30" i="11"/>
  <c r="Z29" i="11"/>
  <c r="Y29" i="11"/>
  <c r="X29" i="11"/>
  <c r="W29" i="11"/>
  <c r="V29" i="11"/>
  <c r="AA29" i="11" s="1"/>
  <c r="AB29" i="11" s="1"/>
  <c r="U29" i="11"/>
  <c r="T29" i="11"/>
  <c r="Z28" i="11"/>
  <c r="Y28" i="11"/>
  <c r="X28" i="11"/>
  <c r="W28" i="11"/>
  <c r="U28" i="11"/>
  <c r="T28" i="11"/>
  <c r="V28" i="11" s="1"/>
  <c r="AA28" i="11" s="1"/>
  <c r="AB28" i="11" s="1"/>
  <c r="Z27" i="11"/>
  <c r="Y27" i="11"/>
  <c r="X27" i="11"/>
  <c r="W27" i="11"/>
  <c r="U27" i="11"/>
  <c r="S34" i="11"/>
  <c r="R34" i="11"/>
  <c r="Q34" i="11"/>
  <c r="P34" i="11"/>
  <c r="O34" i="11"/>
  <c r="N34" i="11"/>
  <c r="M34" i="11"/>
  <c r="L34" i="11"/>
  <c r="K34" i="11"/>
  <c r="G34" i="11"/>
  <c r="F34" i="11"/>
  <c r="E34" i="11"/>
  <c r="J34" i="11" s="1"/>
  <c r="T34" i="11" s="1"/>
  <c r="V34" i="11" s="1"/>
  <c r="AA34" i="11" s="1"/>
  <c r="AB34" i="11" s="1"/>
  <c r="D34" i="11"/>
  <c r="C34" i="11"/>
  <c r="B34" i="11"/>
  <c r="A34" i="11"/>
  <c r="Q33" i="11"/>
  <c r="R33" i="11" s="1"/>
  <c r="P33" i="11"/>
  <c r="O33" i="11"/>
  <c r="N33" i="11"/>
  <c r="M33" i="11"/>
  <c r="L33" i="11"/>
  <c r="K33" i="11"/>
  <c r="J33" i="11"/>
  <c r="T33" i="11" s="1"/>
  <c r="V33" i="11" s="1"/>
  <c r="AA33" i="11" s="1"/>
  <c r="AB33" i="11" s="1"/>
  <c r="I33" i="11"/>
  <c r="H33" i="11"/>
  <c r="G33" i="11"/>
  <c r="F33" i="11"/>
  <c r="E33" i="11"/>
  <c r="D33" i="11"/>
  <c r="C33" i="11"/>
  <c r="B33" i="11"/>
  <c r="A33" i="11"/>
  <c r="S32" i="11"/>
  <c r="R32" i="11"/>
  <c r="Q32" i="11"/>
  <c r="P32" i="11"/>
  <c r="O32" i="11"/>
  <c r="N32" i="11"/>
  <c r="M32" i="11"/>
  <c r="L32" i="11"/>
  <c r="K32" i="11"/>
  <c r="J32" i="11"/>
  <c r="T32" i="11" s="1"/>
  <c r="V32" i="11" s="1"/>
  <c r="AA32" i="11" s="1"/>
  <c r="AB32" i="11" s="1"/>
  <c r="G32" i="11"/>
  <c r="F32" i="11"/>
  <c r="E32" i="11"/>
  <c r="I32" i="11" s="1"/>
  <c r="D32" i="11"/>
  <c r="C32" i="11"/>
  <c r="B32" i="11"/>
  <c r="A32" i="11"/>
  <c r="S31" i="11"/>
  <c r="R31" i="11"/>
  <c r="Q31" i="11"/>
  <c r="P31" i="11"/>
  <c r="O31" i="11"/>
  <c r="N31" i="11"/>
  <c r="M31" i="11"/>
  <c r="L31" i="11"/>
  <c r="K31" i="11"/>
  <c r="G31" i="11"/>
  <c r="F31" i="11"/>
  <c r="E31" i="11"/>
  <c r="J31" i="11" s="1"/>
  <c r="D31" i="11"/>
  <c r="C31" i="11"/>
  <c r="B31" i="11"/>
  <c r="A31" i="11"/>
  <c r="Q30" i="11"/>
  <c r="R30" i="11" s="1"/>
  <c r="P30" i="11"/>
  <c r="O30" i="11"/>
  <c r="N30" i="11"/>
  <c r="M30" i="11"/>
  <c r="L30" i="11"/>
  <c r="K30" i="11"/>
  <c r="J30" i="11"/>
  <c r="T30" i="11" s="1"/>
  <c r="I30" i="11"/>
  <c r="H30" i="11"/>
  <c r="G30" i="11"/>
  <c r="F30" i="11"/>
  <c r="E30" i="11"/>
  <c r="D30" i="11"/>
  <c r="C30" i="11"/>
  <c r="B30" i="11"/>
  <c r="A30" i="11"/>
  <c r="S29" i="11"/>
  <c r="Q29" i="11"/>
  <c r="R29" i="11" s="1"/>
  <c r="P29" i="11"/>
  <c r="O29" i="11"/>
  <c r="N29" i="11"/>
  <c r="M29" i="11"/>
  <c r="L29" i="11"/>
  <c r="K29" i="11"/>
  <c r="G29" i="11"/>
  <c r="F29" i="11"/>
  <c r="E29" i="11"/>
  <c r="J29" i="11" s="1"/>
  <c r="D29" i="11"/>
  <c r="C29" i="11"/>
  <c r="B29" i="11"/>
  <c r="A29" i="11"/>
  <c r="Q28" i="11"/>
  <c r="S28" i="11" s="1"/>
  <c r="P28" i="11"/>
  <c r="O28" i="11"/>
  <c r="N28" i="11"/>
  <c r="M28" i="11"/>
  <c r="L28" i="11"/>
  <c r="K28" i="11"/>
  <c r="I28" i="11"/>
  <c r="H28" i="11"/>
  <c r="G28" i="11"/>
  <c r="F28" i="11"/>
  <c r="E28" i="11"/>
  <c r="J28" i="11" s="1"/>
  <c r="D28" i="11"/>
  <c r="C28" i="11"/>
  <c r="B28" i="11"/>
  <c r="A28" i="11"/>
  <c r="Q27" i="11"/>
  <c r="S27" i="11" s="1"/>
  <c r="P27" i="11"/>
  <c r="O27" i="11"/>
  <c r="N27" i="11"/>
  <c r="M27" i="11"/>
  <c r="L27" i="11"/>
  <c r="K27" i="11"/>
  <c r="J27" i="11"/>
  <c r="T27" i="11" s="1"/>
  <c r="I27" i="11"/>
  <c r="H27" i="11"/>
  <c r="G27" i="11"/>
  <c r="F27" i="11"/>
  <c r="E27" i="11"/>
  <c r="D27" i="11"/>
  <c r="C27" i="11"/>
  <c r="B27" i="11"/>
  <c r="A27" i="11"/>
  <c r="S26" i="11"/>
  <c r="R26" i="11"/>
  <c r="Q26" i="11"/>
  <c r="P26" i="11"/>
  <c r="O26" i="11"/>
  <c r="N26" i="11"/>
  <c r="M26" i="11"/>
  <c r="L26" i="11"/>
  <c r="U26" i="11" s="1"/>
  <c r="K26" i="11"/>
  <c r="G26" i="11"/>
  <c r="F26" i="11"/>
  <c r="E26" i="11"/>
  <c r="J26" i="11" s="1"/>
  <c r="D26" i="11"/>
  <c r="Y26" i="11" s="1"/>
  <c r="C26" i="11"/>
  <c r="B26" i="11"/>
  <c r="A26" i="11"/>
  <c r="Q25" i="11"/>
  <c r="R25" i="11" s="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S24" i="11"/>
  <c r="R24" i="11"/>
  <c r="Q24" i="11"/>
  <c r="P24" i="11"/>
  <c r="O24" i="11"/>
  <c r="N24" i="11"/>
  <c r="M24" i="11"/>
  <c r="L24" i="11"/>
  <c r="K24" i="11"/>
  <c r="J24" i="11"/>
  <c r="G24" i="11"/>
  <c r="F24" i="11"/>
  <c r="E24" i="11"/>
  <c r="I24" i="11" s="1"/>
  <c r="D24" i="11"/>
  <c r="Y24" i="11" s="1"/>
  <c r="C24" i="11"/>
  <c r="B24" i="11"/>
  <c r="A24" i="11"/>
  <c r="S23" i="11"/>
  <c r="R23" i="11"/>
  <c r="Q23" i="11"/>
  <c r="P23" i="11"/>
  <c r="O23" i="11"/>
  <c r="N23" i="11"/>
  <c r="M23" i="11"/>
  <c r="L23" i="11"/>
  <c r="U23" i="11" s="1"/>
  <c r="K23" i="11"/>
  <c r="G23" i="11"/>
  <c r="F23" i="11"/>
  <c r="E23" i="11"/>
  <c r="J23" i="11" s="1"/>
  <c r="D23" i="11"/>
  <c r="C23" i="11"/>
  <c r="B23" i="11"/>
  <c r="A23" i="11"/>
  <c r="Q22" i="11"/>
  <c r="R22" i="11" s="1"/>
  <c r="P22" i="11"/>
  <c r="O22" i="11"/>
  <c r="N22" i="11"/>
  <c r="M22" i="11"/>
  <c r="L22" i="11"/>
  <c r="K22" i="11"/>
  <c r="J22" i="11"/>
  <c r="T22" i="11" s="1"/>
  <c r="I22" i="11"/>
  <c r="H22" i="11"/>
  <c r="G22" i="11"/>
  <c r="F22" i="11"/>
  <c r="E22" i="11"/>
  <c r="D22" i="11"/>
  <c r="C22" i="11"/>
  <c r="B22" i="11"/>
  <c r="A22" i="11"/>
  <c r="S21" i="11"/>
  <c r="R21" i="11"/>
  <c r="Q21" i="11"/>
  <c r="P21" i="11"/>
  <c r="O21" i="11"/>
  <c r="N21" i="11"/>
  <c r="M21" i="11"/>
  <c r="L21" i="11"/>
  <c r="K21" i="11"/>
  <c r="G21" i="11"/>
  <c r="F21" i="11"/>
  <c r="E21" i="11"/>
  <c r="J21" i="11" s="1"/>
  <c r="D21" i="11"/>
  <c r="Y21" i="11" s="1"/>
  <c r="C21" i="11"/>
  <c r="B21" i="11"/>
  <c r="A21" i="11"/>
  <c r="Q20" i="11"/>
  <c r="S20" i="11" s="1"/>
  <c r="P20" i="11"/>
  <c r="O20" i="11"/>
  <c r="N20" i="11"/>
  <c r="M20" i="11"/>
  <c r="L20" i="11"/>
  <c r="K20" i="11"/>
  <c r="I20" i="11"/>
  <c r="H20" i="11"/>
  <c r="G20" i="11"/>
  <c r="F20" i="11"/>
  <c r="E20" i="11"/>
  <c r="J20" i="11" s="1"/>
  <c r="D20" i="11"/>
  <c r="C20" i="11"/>
  <c r="B20" i="11"/>
  <c r="A20" i="11"/>
  <c r="Q19" i="11"/>
  <c r="S19" i="11" s="1"/>
  <c r="P19" i="11"/>
  <c r="O19" i="11"/>
  <c r="N19" i="11"/>
  <c r="M19" i="11"/>
  <c r="L19" i="11"/>
  <c r="U19" i="11" s="1"/>
  <c r="K19" i="11"/>
  <c r="J19" i="11"/>
  <c r="T19" i="11" s="1"/>
  <c r="I19" i="11"/>
  <c r="H19" i="11"/>
  <c r="G19" i="11"/>
  <c r="F19" i="11"/>
  <c r="E19" i="11"/>
  <c r="D19" i="11"/>
  <c r="C19" i="11"/>
  <c r="B19" i="11"/>
  <c r="A19" i="11"/>
  <c r="S18" i="11"/>
  <c r="Q18" i="11"/>
  <c r="R18" i="11" s="1"/>
  <c r="P18" i="11"/>
  <c r="O18" i="11"/>
  <c r="N18" i="11"/>
  <c r="M18" i="11"/>
  <c r="L18" i="11"/>
  <c r="U18" i="11" s="1"/>
  <c r="K18" i="11"/>
  <c r="G18" i="11"/>
  <c r="F18" i="11"/>
  <c r="E18" i="11"/>
  <c r="J18" i="11" s="1"/>
  <c r="D18" i="11"/>
  <c r="Y18" i="11" s="1"/>
  <c r="C18" i="11"/>
  <c r="B18" i="11"/>
  <c r="A18" i="11"/>
  <c r="Q17" i="11"/>
  <c r="R17" i="11" s="1"/>
  <c r="P17" i="11"/>
  <c r="O17" i="11"/>
  <c r="N17" i="11"/>
  <c r="M17" i="11"/>
  <c r="L17" i="11"/>
  <c r="K17" i="11"/>
  <c r="J17" i="11"/>
  <c r="I17" i="11"/>
  <c r="H17" i="11"/>
  <c r="G17" i="11"/>
  <c r="T17" i="11" s="1"/>
  <c r="V17" i="11" s="1"/>
  <c r="AA17" i="11" s="1"/>
  <c r="AB17" i="11" s="1"/>
  <c r="F17" i="11"/>
  <c r="E17" i="11"/>
  <c r="D17" i="11"/>
  <c r="C17" i="11"/>
  <c r="B17" i="11"/>
  <c r="A17" i="11"/>
  <c r="S16" i="11"/>
  <c r="R16" i="11"/>
  <c r="Q16" i="11"/>
  <c r="P16" i="11"/>
  <c r="O16" i="11"/>
  <c r="N16" i="11"/>
  <c r="M16" i="11"/>
  <c r="L16" i="11"/>
  <c r="K16" i="11"/>
  <c r="J16" i="11"/>
  <c r="T16" i="11" s="1"/>
  <c r="G16" i="11"/>
  <c r="F16" i="11"/>
  <c r="E16" i="11"/>
  <c r="I16" i="11" s="1"/>
  <c r="D16" i="11"/>
  <c r="C16" i="11"/>
  <c r="B16" i="11"/>
  <c r="A16" i="11"/>
  <c r="S15" i="11"/>
  <c r="R15" i="11"/>
  <c r="Q15" i="11"/>
  <c r="P15" i="11"/>
  <c r="O15" i="11"/>
  <c r="N15" i="11"/>
  <c r="M15" i="11"/>
  <c r="L15" i="11"/>
  <c r="U15" i="11" s="1"/>
  <c r="K15" i="11"/>
  <c r="G15" i="11"/>
  <c r="F15" i="11"/>
  <c r="E15" i="11"/>
  <c r="H15" i="11" s="1"/>
  <c r="D15" i="11"/>
  <c r="C15" i="11"/>
  <c r="B15" i="11"/>
  <c r="A15" i="11"/>
  <c r="Q14" i="11"/>
  <c r="R14" i="11" s="1"/>
  <c r="P14" i="11"/>
  <c r="O14" i="11"/>
  <c r="N14" i="11"/>
  <c r="M14" i="11"/>
  <c r="L14" i="11"/>
  <c r="K14" i="11"/>
  <c r="J14" i="11"/>
  <c r="I14" i="11"/>
  <c r="H14" i="11"/>
  <c r="G14" i="11"/>
  <c r="T14" i="11" s="1"/>
  <c r="V14" i="11" s="1"/>
  <c r="AA14" i="11" s="1"/>
  <c r="AB14" i="11" s="1"/>
  <c r="F14" i="11"/>
  <c r="E14" i="11"/>
  <c r="D14" i="11"/>
  <c r="C14" i="11"/>
  <c r="B14" i="11"/>
  <c r="A14" i="11"/>
  <c r="S13" i="11"/>
  <c r="R13" i="11"/>
  <c r="Q13" i="11"/>
  <c r="P13" i="11"/>
  <c r="O13" i="11"/>
  <c r="N13" i="11"/>
  <c r="M13" i="11"/>
  <c r="L13" i="11"/>
  <c r="K13" i="11"/>
  <c r="G13" i="11"/>
  <c r="F13" i="11"/>
  <c r="E13" i="11"/>
  <c r="J13" i="11" s="1"/>
  <c r="D13" i="11"/>
  <c r="Y13" i="11" s="1"/>
  <c r="C13" i="11"/>
  <c r="B13" i="11"/>
  <c r="A13" i="11"/>
  <c r="Q12" i="11"/>
  <c r="S12" i="11" s="1"/>
  <c r="P12" i="11"/>
  <c r="O12" i="11"/>
  <c r="N12" i="11"/>
  <c r="M12" i="11"/>
  <c r="L12" i="11"/>
  <c r="K12" i="11"/>
  <c r="I12" i="11"/>
  <c r="H12" i="11"/>
  <c r="G12" i="11"/>
  <c r="F12" i="11"/>
  <c r="E12" i="11"/>
  <c r="J12" i="11" s="1"/>
  <c r="D12" i="11"/>
  <c r="C12" i="11"/>
  <c r="B12" i="11"/>
  <c r="A12" i="11"/>
  <c r="Q11" i="11"/>
  <c r="R11" i="11" s="1"/>
  <c r="P11" i="11"/>
  <c r="O11" i="11"/>
  <c r="N11" i="11"/>
  <c r="M11" i="11"/>
  <c r="L11" i="11"/>
  <c r="U11" i="11" s="1"/>
  <c r="K11" i="11"/>
  <c r="J11" i="11"/>
  <c r="I11" i="11"/>
  <c r="H11" i="11"/>
  <c r="G11" i="11"/>
  <c r="F11" i="11"/>
  <c r="E11" i="11"/>
  <c r="D11" i="11"/>
  <c r="Y11" i="11" s="1"/>
  <c r="C11" i="11"/>
  <c r="B11" i="11"/>
  <c r="A11" i="11"/>
  <c r="Z26" i="11"/>
  <c r="X26" i="11"/>
  <c r="W26" i="11"/>
  <c r="Z25" i="11"/>
  <c r="Y25" i="11"/>
  <c r="X25" i="11"/>
  <c r="W25" i="11"/>
  <c r="U25" i="11"/>
  <c r="Z24" i="11"/>
  <c r="X24" i="11"/>
  <c r="W24" i="11"/>
  <c r="U24" i="11"/>
  <c r="Z23" i="11"/>
  <c r="X23" i="11"/>
  <c r="W23" i="11"/>
  <c r="Y23" i="11"/>
  <c r="Z22" i="11"/>
  <c r="X22" i="11"/>
  <c r="W22" i="11"/>
  <c r="U22" i="11"/>
  <c r="Y22" i="11"/>
  <c r="Z21" i="11"/>
  <c r="X21" i="11"/>
  <c r="W21" i="11"/>
  <c r="U21" i="11"/>
  <c r="Z20" i="11"/>
  <c r="X20" i="11"/>
  <c r="W20" i="11"/>
  <c r="U20" i="11"/>
  <c r="Y20" i="11"/>
  <c r="Z19" i="11"/>
  <c r="X19" i="11"/>
  <c r="W19" i="11"/>
  <c r="Y19" i="11"/>
  <c r="Z18" i="11"/>
  <c r="X18" i="11"/>
  <c r="W18" i="11"/>
  <c r="Z17" i="11"/>
  <c r="X17" i="11"/>
  <c r="W17" i="11"/>
  <c r="U17" i="11"/>
  <c r="Y17" i="11"/>
  <c r="Z16" i="11"/>
  <c r="X16" i="11"/>
  <c r="W16" i="11"/>
  <c r="U16" i="11"/>
  <c r="Y16" i="11"/>
  <c r="Z15" i="11"/>
  <c r="X15" i="11"/>
  <c r="W15" i="11"/>
  <c r="Y15" i="11"/>
  <c r="Z14" i="11"/>
  <c r="Y14" i="11"/>
  <c r="X14" i="11"/>
  <c r="W14" i="11"/>
  <c r="U14" i="11"/>
  <c r="Z13" i="11"/>
  <c r="X13" i="11"/>
  <c r="W13" i="11"/>
  <c r="U13" i="11"/>
  <c r="Z12" i="11"/>
  <c r="Y12" i="11"/>
  <c r="X12" i="11"/>
  <c r="W12" i="11"/>
  <c r="U12" i="11"/>
  <c r="Z11" i="11"/>
  <c r="X11" i="11"/>
  <c r="W11" i="11"/>
  <c r="V27" i="10"/>
  <c r="X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BC27" i="10"/>
  <c r="BM27" i="10"/>
  <c r="V28" i="10"/>
  <c r="X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BC28" i="10"/>
  <c r="U29" i="10"/>
  <c r="V29" i="10"/>
  <c r="X29" i="10"/>
  <c r="AG29" i="10"/>
  <c r="AH29" i="10"/>
  <c r="AI29" i="10"/>
  <c r="AJ29" i="10"/>
  <c r="AK29" i="10"/>
  <c r="AL29" i="10"/>
  <c r="AM29" i="10"/>
  <c r="AN29" i="10"/>
  <c r="AO29" i="10"/>
  <c r="AP29" i="10"/>
  <c r="AQ29" i="10"/>
  <c r="AR29" i="10"/>
  <c r="BC29" i="10"/>
  <c r="U30" i="10"/>
  <c r="V30" i="10"/>
  <c r="X30" i="10"/>
  <c r="AG30" i="10"/>
  <c r="AH30" i="10"/>
  <c r="AI30" i="10"/>
  <c r="AJ30" i="10"/>
  <c r="AK30" i="10"/>
  <c r="AL30" i="10"/>
  <c r="AM30" i="10"/>
  <c r="AN30" i="10"/>
  <c r="AO30" i="10"/>
  <c r="AP30" i="10"/>
  <c r="AQ30" i="10"/>
  <c r="AR30" i="10"/>
  <c r="BC30" i="10"/>
  <c r="V31" i="10"/>
  <c r="W31" i="10"/>
  <c r="X31" i="10"/>
  <c r="Y31" i="10"/>
  <c r="AG31" i="10"/>
  <c r="AH31" i="10"/>
  <c r="AI31" i="10"/>
  <c r="AJ31" i="10"/>
  <c r="AK31" i="10"/>
  <c r="AL31" i="10"/>
  <c r="AM31" i="10"/>
  <c r="AN31" i="10"/>
  <c r="AO31" i="10"/>
  <c r="AP31" i="10"/>
  <c r="AQ31" i="10"/>
  <c r="AR31" i="10"/>
  <c r="BC31" i="10"/>
  <c r="BM31" i="10"/>
  <c r="V32" i="10"/>
  <c r="W32" i="10"/>
  <c r="X32" i="10"/>
  <c r="Y32" i="10"/>
  <c r="AG32" i="10"/>
  <c r="AH32" i="10"/>
  <c r="AI32" i="10"/>
  <c r="AJ32" i="10"/>
  <c r="AK32" i="10"/>
  <c r="AL32" i="10"/>
  <c r="AM32" i="10"/>
  <c r="AN32" i="10"/>
  <c r="AO32" i="10"/>
  <c r="AP32" i="10"/>
  <c r="AQ32" i="10"/>
  <c r="AR32" i="10"/>
  <c r="BC32" i="10"/>
  <c r="BM32" i="10"/>
  <c r="V33" i="10"/>
  <c r="X33" i="10"/>
  <c r="AG33" i="10"/>
  <c r="AH33" i="10"/>
  <c r="AI33" i="10"/>
  <c r="AJ33" i="10"/>
  <c r="AK33" i="10"/>
  <c r="AL33" i="10"/>
  <c r="AM33" i="10"/>
  <c r="AN33" i="10"/>
  <c r="AO33" i="10"/>
  <c r="AP33" i="10"/>
  <c r="AQ33" i="10"/>
  <c r="AR33" i="10"/>
  <c r="BC33" i="10"/>
  <c r="BM33" i="10"/>
  <c r="T34" i="10"/>
  <c r="V34" i="10"/>
  <c r="W34" i="10"/>
  <c r="AC34" i="10" s="1"/>
  <c r="AU34" i="10" s="1"/>
  <c r="AZ34" i="10" s="1"/>
  <c r="BJ34" i="10" s="1"/>
  <c r="X34" i="10"/>
  <c r="Y34" i="10"/>
  <c r="Z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BC34" i="10"/>
  <c r="BM34" i="10"/>
  <c r="Q34" i="10"/>
  <c r="S34" i="10" s="1"/>
  <c r="U34" i="10" s="1"/>
  <c r="P34" i="10"/>
  <c r="O34" i="10"/>
  <c r="N34" i="10"/>
  <c r="M34" i="10"/>
  <c r="L34" i="10"/>
  <c r="K34" i="10"/>
  <c r="G34" i="10"/>
  <c r="F34" i="10"/>
  <c r="E34" i="10"/>
  <c r="J34" i="10" s="1"/>
  <c r="D34" i="10"/>
  <c r="C34" i="10"/>
  <c r="B34" i="10"/>
  <c r="A34" i="10"/>
  <c r="S33" i="10"/>
  <c r="Z33" i="10" s="1"/>
  <c r="R33" i="10"/>
  <c r="Q33" i="10"/>
  <c r="P33" i="10"/>
  <c r="O33" i="10"/>
  <c r="N33" i="10"/>
  <c r="M33" i="10"/>
  <c r="L33" i="10"/>
  <c r="K33" i="10"/>
  <c r="J33" i="10"/>
  <c r="T33" i="10" s="1"/>
  <c r="AB33" i="10" s="1"/>
  <c r="AT33" i="10" s="1"/>
  <c r="I33" i="10"/>
  <c r="H33" i="10"/>
  <c r="G33" i="10"/>
  <c r="F33" i="10"/>
  <c r="E33" i="10"/>
  <c r="D33" i="10"/>
  <c r="C33" i="10"/>
  <c r="B33" i="10"/>
  <c r="A33" i="10"/>
  <c r="S32" i="10"/>
  <c r="U32" i="10" s="1"/>
  <c r="R32" i="10"/>
  <c r="Q32" i="10"/>
  <c r="P32" i="10"/>
  <c r="O32" i="10"/>
  <c r="N32" i="10"/>
  <c r="M32" i="10"/>
  <c r="L32" i="10"/>
  <c r="K32" i="10"/>
  <c r="G32" i="10"/>
  <c r="F32" i="10"/>
  <c r="E32" i="10"/>
  <c r="I32" i="10" s="1"/>
  <c r="D32" i="10"/>
  <c r="C32" i="10"/>
  <c r="B32" i="10"/>
  <c r="A32" i="10"/>
  <c r="Q31" i="10"/>
  <c r="S31" i="10" s="1"/>
  <c r="U31" i="10" s="1"/>
  <c r="P31" i="10"/>
  <c r="O31" i="10"/>
  <c r="N31" i="10"/>
  <c r="M31" i="10"/>
  <c r="L31" i="10"/>
  <c r="K31" i="10"/>
  <c r="I31" i="10"/>
  <c r="H31" i="10"/>
  <c r="G31" i="10"/>
  <c r="F31" i="10"/>
  <c r="E31" i="10"/>
  <c r="J31" i="10" s="1"/>
  <c r="T31" i="10" s="1"/>
  <c r="AD31" i="10" s="1"/>
  <c r="AV31" i="10" s="1"/>
  <c r="BA31" i="10" s="1"/>
  <c r="BK31" i="10" s="1"/>
  <c r="D31" i="10"/>
  <c r="C31" i="10"/>
  <c r="B31" i="10"/>
  <c r="A31" i="10"/>
  <c r="Q30" i="10"/>
  <c r="S30" i="10" s="1"/>
  <c r="W30" i="10" s="1"/>
  <c r="P30" i="10"/>
  <c r="O30" i="10"/>
  <c r="N30" i="10"/>
  <c r="M30" i="10"/>
  <c r="L30" i="10"/>
  <c r="K30" i="10"/>
  <c r="J30" i="10"/>
  <c r="T30" i="10" s="1"/>
  <c r="AB30" i="10" s="1"/>
  <c r="I30" i="10"/>
  <c r="H30" i="10"/>
  <c r="G30" i="10"/>
  <c r="F30" i="10"/>
  <c r="E30" i="10"/>
  <c r="D30" i="10"/>
  <c r="C30" i="10"/>
  <c r="BM30" i="10" s="1"/>
  <c r="B30" i="10"/>
  <c r="A30" i="10"/>
  <c r="S29" i="10"/>
  <c r="Y29" i="10" s="1"/>
  <c r="Q29" i="10"/>
  <c r="R29" i="10" s="1"/>
  <c r="P29" i="10"/>
  <c r="O29" i="10"/>
  <c r="N29" i="10"/>
  <c r="M29" i="10"/>
  <c r="L29" i="10"/>
  <c r="K29" i="10"/>
  <c r="G29" i="10"/>
  <c r="F29" i="10"/>
  <c r="E29" i="10"/>
  <c r="J29" i="10" s="1"/>
  <c r="T29" i="10" s="1"/>
  <c r="D29" i="10"/>
  <c r="C29" i="10"/>
  <c r="BM29" i="10" s="1"/>
  <c r="B29" i="10"/>
  <c r="A29" i="10"/>
  <c r="Q28" i="10"/>
  <c r="S28" i="10" s="1"/>
  <c r="Y28" i="10" s="1"/>
  <c r="P28" i="10"/>
  <c r="O28" i="10"/>
  <c r="N28" i="10"/>
  <c r="M28" i="10"/>
  <c r="L28" i="10"/>
  <c r="K28" i="10"/>
  <c r="J28" i="10"/>
  <c r="T28" i="10" s="1"/>
  <c r="AB28" i="10" s="1"/>
  <c r="AT28" i="10" s="1"/>
  <c r="I28" i="10"/>
  <c r="H28" i="10"/>
  <c r="G28" i="10"/>
  <c r="F28" i="10"/>
  <c r="E28" i="10"/>
  <c r="D28" i="10"/>
  <c r="C28" i="10"/>
  <c r="BM28" i="10" s="1"/>
  <c r="B28" i="10"/>
  <c r="A28" i="10"/>
  <c r="S27" i="10"/>
  <c r="U27" i="10" s="1"/>
  <c r="R27" i="10"/>
  <c r="Q27" i="10"/>
  <c r="P27" i="10"/>
  <c r="O27" i="10"/>
  <c r="N27" i="10"/>
  <c r="M27" i="10"/>
  <c r="L27" i="10"/>
  <c r="K27" i="10"/>
  <c r="J27" i="10"/>
  <c r="T27" i="10" s="1"/>
  <c r="AD27" i="10" s="1"/>
  <c r="AV27" i="10" s="1"/>
  <c r="BA27" i="10" s="1"/>
  <c r="BK27" i="10" s="1"/>
  <c r="G27" i="10"/>
  <c r="F27" i="10"/>
  <c r="E27" i="10"/>
  <c r="H27" i="10" s="1"/>
  <c r="D27" i="10"/>
  <c r="C27" i="10"/>
  <c r="B27" i="10"/>
  <c r="A27" i="10"/>
  <c r="Q26" i="10"/>
  <c r="S26" i="10" s="1"/>
  <c r="U26" i="10" s="1"/>
  <c r="P26" i="10"/>
  <c r="O26" i="10"/>
  <c r="N26" i="10"/>
  <c r="M26" i="10"/>
  <c r="L26" i="10"/>
  <c r="K26" i="10"/>
  <c r="G26" i="10"/>
  <c r="F26" i="10"/>
  <c r="E26" i="10"/>
  <c r="J26" i="10" s="1"/>
  <c r="D26" i="10"/>
  <c r="C26" i="10"/>
  <c r="B26" i="10"/>
  <c r="A26" i="10"/>
  <c r="Q25" i="10"/>
  <c r="S25" i="10" s="1"/>
  <c r="W25" i="10" s="1"/>
  <c r="P25" i="10"/>
  <c r="O25" i="10"/>
  <c r="Y25" i="10" s="1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S24" i="10"/>
  <c r="W24" i="10" s="1"/>
  <c r="R24" i="10"/>
  <c r="Q24" i="10"/>
  <c r="P24" i="10"/>
  <c r="O24" i="10"/>
  <c r="N24" i="10"/>
  <c r="M24" i="10"/>
  <c r="L24" i="10"/>
  <c r="K24" i="10"/>
  <c r="G24" i="10"/>
  <c r="F24" i="10"/>
  <c r="E24" i="10"/>
  <c r="I24" i="10" s="1"/>
  <c r="D24" i="10"/>
  <c r="C24" i="10"/>
  <c r="BM24" i="10" s="1"/>
  <c r="B24" i="10"/>
  <c r="A24" i="10"/>
  <c r="Q23" i="10"/>
  <c r="S23" i="10" s="1"/>
  <c r="P23" i="10"/>
  <c r="O23" i="10"/>
  <c r="N23" i="10"/>
  <c r="X23" i="10" s="1"/>
  <c r="M23" i="10"/>
  <c r="L23" i="10"/>
  <c r="K23" i="10"/>
  <c r="I23" i="10"/>
  <c r="H23" i="10"/>
  <c r="G23" i="10"/>
  <c r="F23" i="10"/>
  <c r="E23" i="10"/>
  <c r="J23" i="10" s="1"/>
  <c r="D23" i="10"/>
  <c r="C23" i="10"/>
  <c r="B23" i="10"/>
  <c r="A23" i="10"/>
  <c r="Q22" i="10"/>
  <c r="S22" i="10" s="1"/>
  <c r="W22" i="10" s="1"/>
  <c r="P22" i="10"/>
  <c r="O22" i="10"/>
  <c r="N22" i="10"/>
  <c r="M22" i="10"/>
  <c r="L22" i="10"/>
  <c r="V22" i="10" s="1"/>
  <c r="K22" i="10"/>
  <c r="J22" i="10"/>
  <c r="I22" i="10"/>
  <c r="H22" i="10"/>
  <c r="G22" i="10"/>
  <c r="F22" i="10"/>
  <c r="E22" i="10"/>
  <c r="D22" i="10"/>
  <c r="C22" i="10"/>
  <c r="B22" i="10"/>
  <c r="A22" i="10"/>
  <c r="S21" i="10"/>
  <c r="Y21" i="10" s="1"/>
  <c r="Q21" i="10"/>
  <c r="R21" i="10" s="1"/>
  <c r="P21" i="10"/>
  <c r="O21" i="10"/>
  <c r="N21" i="10"/>
  <c r="M21" i="10"/>
  <c r="L21" i="10"/>
  <c r="V21" i="10" s="1"/>
  <c r="K21" i="10"/>
  <c r="U21" i="10" s="1"/>
  <c r="G21" i="10"/>
  <c r="F21" i="10"/>
  <c r="E21" i="10"/>
  <c r="J21" i="10" s="1"/>
  <c r="D21" i="10"/>
  <c r="C21" i="10"/>
  <c r="B21" i="10"/>
  <c r="A21" i="10"/>
  <c r="Q20" i="10"/>
  <c r="S20" i="10" s="1"/>
  <c r="P20" i="10"/>
  <c r="O20" i="10"/>
  <c r="Z20" i="10" s="1"/>
  <c r="N20" i="10"/>
  <c r="X20" i="10" s="1"/>
  <c r="M20" i="10"/>
  <c r="L20" i="10"/>
  <c r="K20" i="10"/>
  <c r="J20" i="10"/>
  <c r="I20" i="10"/>
  <c r="H20" i="10"/>
  <c r="G20" i="10"/>
  <c r="T20" i="10" s="1"/>
  <c r="F20" i="10"/>
  <c r="E20" i="10"/>
  <c r="D20" i="10"/>
  <c r="C20" i="10"/>
  <c r="B20" i="10"/>
  <c r="A20" i="10"/>
  <c r="S19" i="10"/>
  <c r="W19" i="10" s="1"/>
  <c r="R19" i="10"/>
  <c r="Q19" i="10"/>
  <c r="P19" i="10"/>
  <c r="O19" i="10"/>
  <c r="N19" i="10"/>
  <c r="M19" i="10"/>
  <c r="L19" i="10"/>
  <c r="K19" i="10"/>
  <c r="U19" i="10" s="1"/>
  <c r="J19" i="10"/>
  <c r="T19" i="10" s="1"/>
  <c r="G19" i="10"/>
  <c r="F19" i="10"/>
  <c r="E19" i="10"/>
  <c r="H19" i="10" s="1"/>
  <c r="D19" i="10"/>
  <c r="C19" i="10"/>
  <c r="BM19" i="10" s="1"/>
  <c r="B19" i="10"/>
  <c r="A19" i="10"/>
  <c r="Q18" i="10"/>
  <c r="S18" i="10" s="1"/>
  <c r="U18" i="10" s="1"/>
  <c r="P18" i="10"/>
  <c r="O18" i="10"/>
  <c r="N18" i="10"/>
  <c r="X18" i="10" s="1"/>
  <c r="M18" i="10"/>
  <c r="L18" i="10"/>
  <c r="K18" i="10"/>
  <c r="G18" i="10"/>
  <c r="F18" i="10"/>
  <c r="E18" i="10"/>
  <c r="J18" i="10" s="1"/>
  <c r="D18" i="10"/>
  <c r="C18" i="10"/>
  <c r="B18" i="10"/>
  <c r="A18" i="10"/>
  <c r="R17" i="10"/>
  <c r="Q17" i="10"/>
  <c r="S17" i="10" s="1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S16" i="10"/>
  <c r="R16" i="10"/>
  <c r="Q16" i="10"/>
  <c r="P16" i="10"/>
  <c r="O16" i="10"/>
  <c r="N16" i="10"/>
  <c r="X16" i="10" s="1"/>
  <c r="M16" i="10"/>
  <c r="L16" i="10"/>
  <c r="V16" i="10" s="1"/>
  <c r="K16" i="10"/>
  <c r="G16" i="10"/>
  <c r="F16" i="10"/>
  <c r="E16" i="10"/>
  <c r="I16" i="10" s="1"/>
  <c r="D16" i="10"/>
  <c r="C16" i="10"/>
  <c r="BM16" i="10" s="1"/>
  <c r="B16" i="10"/>
  <c r="A16" i="10"/>
  <c r="Q15" i="10"/>
  <c r="S15" i="10" s="1"/>
  <c r="P15" i="10"/>
  <c r="O15" i="10"/>
  <c r="N15" i="10"/>
  <c r="X15" i="10" s="1"/>
  <c r="M15" i="10"/>
  <c r="L15" i="10"/>
  <c r="K15" i="10"/>
  <c r="I15" i="10"/>
  <c r="H15" i="10"/>
  <c r="G15" i="10"/>
  <c r="F15" i="10"/>
  <c r="E15" i="10"/>
  <c r="J15" i="10" s="1"/>
  <c r="D15" i="10"/>
  <c r="C15" i="10"/>
  <c r="B15" i="10"/>
  <c r="A15" i="10"/>
  <c r="Q14" i="10"/>
  <c r="S14" i="10" s="1"/>
  <c r="P14" i="10"/>
  <c r="O14" i="10"/>
  <c r="N14" i="10"/>
  <c r="M14" i="10"/>
  <c r="L14" i="10"/>
  <c r="V14" i="10" s="1"/>
  <c r="K14" i="10"/>
  <c r="J14" i="10"/>
  <c r="I14" i="10"/>
  <c r="H14" i="10"/>
  <c r="G14" i="10"/>
  <c r="F14" i="10"/>
  <c r="E14" i="10"/>
  <c r="D14" i="10"/>
  <c r="C14" i="10"/>
  <c r="BM14" i="10" s="1"/>
  <c r="B14" i="10"/>
  <c r="A14" i="10"/>
  <c r="S13" i="10"/>
  <c r="Q13" i="10"/>
  <c r="R13" i="10" s="1"/>
  <c r="P13" i="10"/>
  <c r="O13" i="10"/>
  <c r="N13" i="10"/>
  <c r="X13" i="10" s="1"/>
  <c r="M13" i="10"/>
  <c r="Z13" i="10" s="1"/>
  <c r="L13" i="10"/>
  <c r="V13" i="10" s="1"/>
  <c r="K13" i="10"/>
  <c r="G13" i="10"/>
  <c r="F13" i="10"/>
  <c r="E13" i="10"/>
  <c r="J13" i="10" s="1"/>
  <c r="D13" i="10"/>
  <c r="C13" i="10"/>
  <c r="B13" i="10"/>
  <c r="A13" i="10"/>
  <c r="Q12" i="10"/>
  <c r="R12" i="10" s="1"/>
  <c r="P12" i="10"/>
  <c r="O12" i="10"/>
  <c r="N12" i="10"/>
  <c r="M12" i="10"/>
  <c r="L12" i="10"/>
  <c r="K12" i="10"/>
  <c r="J12" i="10"/>
  <c r="I12" i="10"/>
  <c r="H12" i="10"/>
  <c r="G12" i="10"/>
  <c r="F12" i="10"/>
  <c r="T12" i="10" s="1"/>
  <c r="AB12" i="10" s="1"/>
  <c r="E12" i="10"/>
  <c r="D12" i="10"/>
  <c r="C12" i="10"/>
  <c r="B12" i="10"/>
  <c r="A12" i="10"/>
  <c r="S11" i="10"/>
  <c r="Y11" i="10" s="1"/>
  <c r="R11" i="10"/>
  <c r="Q11" i="10"/>
  <c r="P11" i="10"/>
  <c r="O11" i="10"/>
  <c r="N11" i="10"/>
  <c r="M11" i="10"/>
  <c r="L11" i="10"/>
  <c r="V11" i="10" s="1"/>
  <c r="K11" i="10"/>
  <c r="U11" i="10" s="1"/>
  <c r="J11" i="10"/>
  <c r="G11" i="10"/>
  <c r="F11" i="10"/>
  <c r="E11" i="10"/>
  <c r="H11" i="10" s="1"/>
  <c r="D11" i="10"/>
  <c r="C11" i="10"/>
  <c r="B11" i="10"/>
  <c r="A11" i="10"/>
  <c r="BC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X26" i="10"/>
  <c r="V26" i="10"/>
  <c r="BM26" i="10"/>
  <c r="BC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V25" i="10"/>
  <c r="X25" i="10"/>
  <c r="BM25" i="10"/>
  <c r="BC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X24" i="10"/>
  <c r="V24" i="10"/>
  <c r="U24" i="10"/>
  <c r="BC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V23" i="10"/>
  <c r="BM23" i="10"/>
  <c r="BC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X22" i="10"/>
  <c r="BM22" i="10"/>
  <c r="BC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X21" i="10"/>
  <c r="BM21" i="10"/>
  <c r="BM20" i="10"/>
  <c r="BC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V20" i="10"/>
  <c r="BC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X19" i="10"/>
  <c r="Z19" i="10"/>
  <c r="V19" i="10"/>
  <c r="BC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V18" i="10"/>
  <c r="BM18" i="10"/>
  <c r="BM17" i="10"/>
  <c r="BC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V17" i="10"/>
  <c r="X17" i="10"/>
  <c r="BC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BC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V15" i="10"/>
  <c r="BM15" i="10"/>
  <c r="BC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X14" i="10"/>
  <c r="BM13" i="10"/>
  <c r="BC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W13" i="10"/>
  <c r="U13" i="10"/>
  <c r="BC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X12" i="10"/>
  <c r="V12" i="10"/>
  <c r="BM12" i="10"/>
  <c r="BC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X11" i="10"/>
  <c r="BM11" i="10"/>
  <c r="BC34" i="9"/>
  <c r="AR34" i="9"/>
  <c r="AQ34" i="9"/>
  <c r="AP34" i="9"/>
  <c r="AO34" i="9"/>
  <c r="AN34" i="9"/>
  <c r="AM34" i="9"/>
  <c r="AL34" i="9"/>
  <c r="AK34" i="9"/>
  <c r="AJ34" i="9"/>
  <c r="AI34" i="9"/>
  <c r="AH34" i="9"/>
  <c r="AG34" i="9"/>
  <c r="X34" i="9"/>
  <c r="S34" i="9"/>
  <c r="Y34" i="9" s="1"/>
  <c r="R34" i="9"/>
  <c r="Q34" i="9"/>
  <c r="P34" i="9"/>
  <c r="O34" i="9"/>
  <c r="N34" i="9"/>
  <c r="M34" i="9"/>
  <c r="L34" i="9"/>
  <c r="V34" i="9" s="1"/>
  <c r="K34" i="9"/>
  <c r="U34" i="9" s="1"/>
  <c r="J34" i="9"/>
  <c r="T34" i="9" s="1"/>
  <c r="H34" i="9"/>
  <c r="G34" i="9"/>
  <c r="F34" i="9"/>
  <c r="E34" i="9"/>
  <c r="I34" i="9" s="1"/>
  <c r="D34" i="9"/>
  <c r="C34" i="9"/>
  <c r="B34" i="9"/>
  <c r="A34" i="9"/>
  <c r="BC33" i="9"/>
  <c r="AR33" i="9"/>
  <c r="AQ33" i="9"/>
  <c r="AP33" i="9"/>
  <c r="AO33" i="9"/>
  <c r="AN33" i="9"/>
  <c r="AM33" i="9"/>
  <c r="AL33" i="9"/>
  <c r="AK33" i="9"/>
  <c r="AJ33" i="9"/>
  <c r="AI33" i="9"/>
  <c r="AH33" i="9"/>
  <c r="AG33" i="9"/>
  <c r="X33" i="9"/>
  <c r="Q33" i="9"/>
  <c r="S33" i="9" s="1"/>
  <c r="P33" i="9"/>
  <c r="O33" i="9"/>
  <c r="N33" i="9"/>
  <c r="M33" i="9"/>
  <c r="L33" i="9"/>
  <c r="V33" i="9" s="1"/>
  <c r="K33" i="9"/>
  <c r="J33" i="9"/>
  <c r="I33" i="9"/>
  <c r="H33" i="9"/>
  <c r="G33" i="9"/>
  <c r="F33" i="9"/>
  <c r="E33" i="9"/>
  <c r="D33" i="9"/>
  <c r="C33" i="9"/>
  <c r="B33" i="9"/>
  <c r="A33" i="9"/>
  <c r="BC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X32" i="9"/>
  <c r="V32" i="9"/>
  <c r="Q32" i="9"/>
  <c r="S32" i="9" s="1"/>
  <c r="P32" i="9"/>
  <c r="O32" i="9"/>
  <c r="N32" i="9"/>
  <c r="M32" i="9"/>
  <c r="L32" i="9"/>
  <c r="K32" i="9"/>
  <c r="J32" i="9"/>
  <c r="I32" i="9"/>
  <c r="H32" i="9"/>
  <c r="G32" i="9"/>
  <c r="F32" i="9"/>
  <c r="T32" i="9" s="1"/>
  <c r="E32" i="9"/>
  <c r="D32" i="9"/>
  <c r="C32" i="9"/>
  <c r="B32" i="9"/>
  <c r="A32" i="9"/>
  <c r="BC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X31" i="9"/>
  <c r="V31" i="9"/>
  <c r="Q31" i="9"/>
  <c r="S31" i="9" s="1"/>
  <c r="P31" i="9"/>
  <c r="O31" i="9"/>
  <c r="N31" i="9"/>
  <c r="M31" i="9"/>
  <c r="L31" i="9"/>
  <c r="K31" i="9"/>
  <c r="J31" i="9"/>
  <c r="I31" i="9"/>
  <c r="H31" i="9"/>
  <c r="G31" i="9"/>
  <c r="F31" i="9"/>
  <c r="T31" i="9" s="1"/>
  <c r="E31" i="9"/>
  <c r="D31" i="9"/>
  <c r="C31" i="9"/>
  <c r="B31" i="9"/>
  <c r="A31" i="9"/>
  <c r="AU34" i="8"/>
  <c r="AT34" i="8"/>
  <c r="AS34" i="8"/>
  <c r="AR34" i="8"/>
  <c r="AQ34" i="8"/>
  <c r="AP34" i="8"/>
  <c r="AH34" i="8"/>
  <c r="AA34" i="8"/>
  <c r="Z34" i="8"/>
  <c r="W34" i="8"/>
  <c r="AY34" i="8" s="1"/>
  <c r="BD34" i="8" s="1"/>
  <c r="Q34" i="8"/>
  <c r="S34" i="8" s="1"/>
  <c r="P34" i="8"/>
  <c r="O34" i="8"/>
  <c r="N34" i="8"/>
  <c r="M34" i="8"/>
  <c r="L34" i="8"/>
  <c r="U34" i="8" s="1"/>
  <c r="AW34" i="8" s="1"/>
  <c r="K34" i="8"/>
  <c r="J34" i="8"/>
  <c r="I34" i="8"/>
  <c r="H34" i="8"/>
  <c r="G34" i="8"/>
  <c r="F34" i="8"/>
  <c r="E34" i="8"/>
  <c r="D34" i="8"/>
  <c r="C34" i="8"/>
  <c r="B34" i="8"/>
  <c r="A34" i="8"/>
  <c r="AC34" i="8" s="1"/>
  <c r="AU33" i="8"/>
  <c r="AT33" i="8"/>
  <c r="AS33" i="8"/>
  <c r="AR33" i="8"/>
  <c r="AQ33" i="8"/>
  <c r="AP33" i="8"/>
  <c r="AC33" i="8"/>
  <c r="AA33" i="8"/>
  <c r="Z33" i="8"/>
  <c r="U33" i="8"/>
  <c r="AW33" i="8" s="1"/>
  <c r="Q33" i="8"/>
  <c r="S33" i="8" s="1"/>
  <c r="P33" i="8"/>
  <c r="O33" i="8"/>
  <c r="N33" i="8"/>
  <c r="W33" i="8" s="1"/>
  <c r="AY33" i="8" s="1"/>
  <c r="M33" i="8"/>
  <c r="L33" i="8"/>
  <c r="K33" i="8"/>
  <c r="G33" i="8"/>
  <c r="F33" i="8"/>
  <c r="E33" i="8"/>
  <c r="J33" i="8" s="1"/>
  <c r="D33" i="8"/>
  <c r="C33" i="8"/>
  <c r="B33" i="8"/>
  <c r="AB33" i="8" s="1"/>
  <c r="A33" i="8"/>
  <c r="AU32" i="8"/>
  <c r="AT32" i="8"/>
  <c r="AS32" i="8"/>
  <c r="AR32" i="8"/>
  <c r="AQ32" i="8"/>
  <c r="AP32" i="8"/>
  <c r="AC32" i="8"/>
  <c r="AB32" i="8"/>
  <c r="AA32" i="8"/>
  <c r="Z32" i="8"/>
  <c r="S32" i="8"/>
  <c r="Q32" i="8"/>
  <c r="R32" i="8" s="1"/>
  <c r="P32" i="8"/>
  <c r="O32" i="8"/>
  <c r="X32" i="8" s="1"/>
  <c r="AZ32" i="8" s="1"/>
  <c r="N32" i="8"/>
  <c r="W32" i="8" s="1"/>
  <c r="AY32" i="8" s="1"/>
  <c r="M32" i="8"/>
  <c r="V32" i="8" s="1"/>
  <c r="AX32" i="8" s="1"/>
  <c r="L32" i="8"/>
  <c r="U32" i="8" s="1"/>
  <c r="AW32" i="8" s="1"/>
  <c r="K32" i="8"/>
  <c r="T32" i="8" s="1"/>
  <c r="AV32" i="8" s="1"/>
  <c r="G32" i="8"/>
  <c r="F32" i="8"/>
  <c r="E32" i="8"/>
  <c r="J32" i="8" s="1"/>
  <c r="D32" i="8"/>
  <c r="C32" i="8"/>
  <c r="B32" i="8"/>
  <c r="AH32" i="8" s="1"/>
  <c r="A32" i="8"/>
  <c r="AU31" i="8"/>
  <c r="AT31" i="8"/>
  <c r="AS31" i="8"/>
  <c r="AR31" i="8"/>
  <c r="AQ31" i="8"/>
  <c r="AP31" i="8"/>
  <c r="AC31" i="8"/>
  <c r="AA31" i="8"/>
  <c r="Z31" i="8"/>
  <c r="S31" i="8"/>
  <c r="R31" i="8"/>
  <c r="Y31" i="8" s="1"/>
  <c r="BA31" i="8" s="1"/>
  <c r="Q31" i="8"/>
  <c r="P31" i="8"/>
  <c r="O31" i="8"/>
  <c r="X31" i="8" s="1"/>
  <c r="AZ31" i="8" s="1"/>
  <c r="N31" i="8"/>
  <c r="W31" i="8" s="1"/>
  <c r="AY31" i="8" s="1"/>
  <c r="BD31" i="8" s="1"/>
  <c r="M31" i="8"/>
  <c r="V31" i="8" s="1"/>
  <c r="AX31" i="8" s="1"/>
  <c r="BC31" i="8" s="1"/>
  <c r="L31" i="8"/>
  <c r="U31" i="8" s="1"/>
  <c r="AW31" i="8" s="1"/>
  <c r="K31" i="8"/>
  <c r="T31" i="8" s="1"/>
  <c r="AV31" i="8" s="1"/>
  <c r="J31" i="8"/>
  <c r="G31" i="8"/>
  <c r="F31" i="8"/>
  <c r="E31" i="8"/>
  <c r="I31" i="8" s="1"/>
  <c r="D31" i="8"/>
  <c r="C31" i="8"/>
  <c r="B31" i="8"/>
  <c r="A31" i="8"/>
  <c r="V12" i="9"/>
  <c r="X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BC12" i="9"/>
  <c r="V13" i="9"/>
  <c r="X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BC13" i="9"/>
  <c r="V14" i="9"/>
  <c r="X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BC14" i="9"/>
  <c r="V15" i="9"/>
  <c r="X15" i="9"/>
  <c r="Z15" i="9"/>
  <c r="AG15" i="9"/>
  <c r="AH15" i="9"/>
  <c r="AI15" i="9"/>
  <c r="AJ15" i="9"/>
  <c r="AK15" i="9"/>
  <c r="AL15" i="9"/>
  <c r="AM15" i="9"/>
  <c r="AN15" i="9"/>
  <c r="AO15" i="9"/>
  <c r="AP15" i="9"/>
  <c r="AQ15" i="9"/>
  <c r="AR15" i="9"/>
  <c r="BC15" i="9"/>
  <c r="U16" i="9"/>
  <c r="V16" i="9"/>
  <c r="X16" i="9"/>
  <c r="Y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BC16" i="9"/>
  <c r="U17" i="9"/>
  <c r="V17" i="9"/>
  <c r="W17" i="9"/>
  <c r="X17" i="9"/>
  <c r="AG17" i="9"/>
  <c r="AH17" i="9"/>
  <c r="AI17" i="9"/>
  <c r="AJ17" i="9"/>
  <c r="AK17" i="9"/>
  <c r="AL17" i="9"/>
  <c r="AM17" i="9"/>
  <c r="AN17" i="9"/>
  <c r="AO17" i="9"/>
  <c r="AP17" i="9"/>
  <c r="AQ17" i="9"/>
  <c r="AR17" i="9"/>
  <c r="BC17" i="9"/>
  <c r="V18" i="9"/>
  <c r="W18" i="9"/>
  <c r="X18" i="9"/>
  <c r="Y18" i="9"/>
  <c r="Z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BC18" i="9"/>
  <c r="V19" i="9"/>
  <c r="X19" i="9"/>
  <c r="Y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BC19" i="9"/>
  <c r="T20" i="9"/>
  <c r="U20" i="9"/>
  <c r="AA20" i="9" s="1"/>
  <c r="V20" i="9"/>
  <c r="AB20" i="9" s="1"/>
  <c r="W20" i="9"/>
  <c r="X20" i="9"/>
  <c r="Z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BC20" i="9"/>
  <c r="V21" i="9"/>
  <c r="X21" i="9"/>
  <c r="Z21" i="9"/>
  <c r="AG21" i="9"/>
  <c r="AH21" i="9"/>
  <c r="AI21" i="9"/>
  <c r="AJ21" i="9"/>
  <c r="AK21" i="9"/>
  <c r="AL21" i="9"/>
  <c r="AM21" i="9"/>
  <c r="AN21" i="9"/>
  <c r="AO21" i="9"/>
  <c r="AP21" i="9"/>
  <c r="AQ21" i="9"/>
  <c r="AR21" i="9"/>
  <c r="BC21" i="9"/>
  <c r="V22" i="9"/>
  <c r="X22" i="9"/>
  <c r="Y22" i="9"/>
  <c r="Z22" i="9"/>
  <c r="AG22" i="9"/>
  <c r="AH22" i="9"/>
  <c r="AI22" i="9"/>
  <c r="AJ22" i="9"/>
  <c r="AK22" i="9"/>
  <c r="AL22" i="9"/>
  <c r="AM22" i="9"/>
  <c r="AN22" i="9"/>
  <c r="AO22" i="9"/>
  <c r="AP22" i="9"/>
  <c r="AQ22" i="9"/>
  <c r="AR22" i="9"/>
  <c r="BC22" i="9"/>
  <c r="V23" i="9"/>
  <c r="X23" i="9"/>
  <c r="Y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BC23" i="9"/>
  <c r="T24" i="9"/>
  <c r="AA24" i="9" s="1"/>
  <c r="U24" i="9"/>
  <c r="V24" i="9"/>
  <c r="W24" i="9"/>
  <c r="X24" i="9"/>
  <c r="Y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BC24" i="9"/>
  <c r="V25" i="9"/>
  <c r="X25" i="9"/>
  <c r="Y25" i="9"/>
  <c r="Z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BC25" i="9"/>
  <c r="V26" i="9"/>
  <c r="X26" i="9"/>
  <c r="Y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BC26" i="9"/>
  <c r="T27" i="9"/>
  <c r="AB27" i="9" s="1"/>
  <c r="BE27" i="9" s="1"/>
  <c r="V27" i="9"/>
  <c r="X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BC27" i="9"/>
  <c r="V28" i="9"/>
  <c r="X28" i="9"/>
  <c r="Y28" i="9"/>
  <c r="AG28" i="9"/>
  <c r="AH28" i="9"/>
  <c r="AI28" i="9"/>
  <c r="AJ28" i="9"/>
  <c r="AK28" i="9"/>
  <c r="AL28" i="9"/>
  <c r="AM28" i="9"/>
  <c r="AN28" i="9"/>
  <c r="AO28" i="9"/>
  <c r="AP28" i="9"/>
  <c r="AQ28" i="9"/>
  <c r="AR28" i="9"/>
  <c r="BC28" i="9"/>
  <c r="V29" i="9"/>
  <c r="X29" i="9"/>
  <c r="AG29" i="9"/>
  <c r="AH29" i="9"/>
  <c r="AI29" i="9"/>
  <c r="AJ29" i="9"/>
  <c r="AK29" i="9"/>
  <c r="AL29" i="9"/>
  <c r="AM29" i="9"/>
  <c r="AN29" i="9"/>
  <c r="AO29" i="9"/>
  <c r="AP29" i="9"/>
  <c r="AQ29" i="9"/>
  <c r="AR29" i="9"/>
  <c r="BC29" i="9"/>
  <c r="V30" i="9"/>
  <c r="X30" i="9"/>
  <c r="AG30" i="9"/>
  <c r="AH30" i="9"/>
  <c r="AI30" i="9"/>
  <c r="AJ30" i="9"/>
  <c r="AK30" i="9"/>
  <c r="AL30" i="9"/>
  <c r="AM30" i="9"/>
  <c r="AN30" i="9"/>
  <c r="AO30" i="9"/>
  <c r="AP30" i="9"/>
  <c r="AQ30" i="9"/>
  <c r="AR30" i="9"/>
  <c r="BC30" i="9"/>
  <c r="Q30" i="9"/>
  <c r="S30" i="9" s="1"/>
  <c r="U30" i="9" s="1"/>
  <c r="P30" i="9"/>
  <c r="O30" i="9"/>
  <c r="N30" i="9"/>
  <c r="M30" i="9"/>
  <c r="L30" i="9"/>
  <c r="K30" i="9"/>
  <c r="G30" i="9"/>
  <c r="F30" i="9"/>
  <c r="E30" i="9"/>
  <c r="J30" i="9" s="1"/>
  <c r="T30" i="9" s="1"/>
  <c r="D30" i="9"/>
  <c r="C30" i="9"/>
  <c r="B30" i="9"/>
  <c r="A30" i="9"/>
  <c r="S29" i="9"/>
  <c r="W29" i="9" s="1"/>
  <c r="R29" i="9"/>
  <c r="Q29" i="9"/>
  <c r="P29" i="9"/>
  <c r="O29" i="9"/>
  <c r="N29" i="9"/>
  <c r="M29" i="9"/>
  <c r="L29" i="9"/>
  <c r="K29" i="9"/>
  <c r="J29" i="9"/>
  <c r="T29" i="9" s="1"/>
  <c r="AB29" i="9" s="1"/>
  <c r="BE29" i="9" s="1"/>
  <c r="H29" i="9"/>
  <c r="G29" i="9"/>
  <c r="F29" i="9"/>
  <c r="E29" i="9"/>
  <c r="I29" i="9" s="1"/>
  <c r="D29" i="9"/>
  <c r="C29" i="9"/>
  <c r="B29" i="9"/>
  <c r="A29" i="9"/>
  <c r="S28" i="9"/>
  <c r="U28" i="9" s="1"/>
  <c r="R28" i="9"/>
  <c r="Q28" i="9"/>
  <c r="P28" i="9"/>
  <c r="O28" i="9"/>
  <c r="N28" i="9"/>
  <c r="M28" i="9"/>
  <c r="L28" i="9"/>
  <c r="K28" i="9"/>
  <c r="J28" i="9"/>
  <c r="T28" i="9" s="1"/>
  <c r="G28" i="9"/>
  <c r="F28" i="9"/>
  <c r="E28" i="9"/>
  <c r="I28" i="9" s="1"/>
  <c r="D28" i="9"/>
  <c r="C28" i="9"/>
  <c r="B28" i="9"/>
  <c r="A28" i="9"/>
  <c r="Q27" i="9"/>
  <c r="S27" i="9" s="1"/>
  <c r="Y27" i="9" s="1"/>
  <c r="P27" i="9"/>
  <c r="O27" i="9"/>
  <c r="N27" i="9"/>
  <c r="M27" i="9"/>
  <c r="L27" i="9"/>
  <c r="K27" i="9"/>
  <c r="G27" i="9"/>
  <c r="F27" i="9"/>
  <c r="E27" i="9"/>
  <c r="J27" i="9" s="1"/>
  <c r="D27" i="9"/>
  <c r="C27" i="9"/>
  <c r="B27" i="9"/>
  <c r="A27" i="9"/>
  <c r="S26" i="9"/>
  <c r="Z26" i="9" s="1"/>
  <c r="Q26" i="9"/>
  <c r="R26" i="9" s="1"/>
  <c r="P26" i="9"/>
  <c r="O26" i="9"/>
  <c r="N26" i="9"/>
  <c r="M26" i="9"/>
  <c r="L26" i="9"/>
  <c r="K26" i="9"/>
  <c r="I26" i="9"/>
  <c r="H26" i="9"/>
  <c r="G26" i="9"/>
  <c r="F26" i="9"/>
  <c r="E26" i="9"/>
  <c r="J26" i="9" s="1"/>
  <c r="T26" i="9" s="1"/>
  <c r="D26" i="9"/>
  <c r="C26" i="9"/>
  <c r="B26" i="9"/>
  <c r="A26" i="9"/>
  <c r="S25" i="9"/>
  <c r="U25" i="9" s="1"/>
  <c r="Q25" i="9"/>
  <c r="R25" i="9" s="1"/>
  <c r="P25" i="9"/>
  <c r="O25" i="9"/>
  <c r="N25" i="9"/>
  <c r="M25" i="9"/>
  <c r="L25" i="9"/>
  <c r="K25" i="9"/>
  <c r="H25" i="9"/>
  <c r="G25" i="9"/>
  <c r="F25" i="9"/>
  <c r="E25" i="9"/>
  <c r="J25" i="9" s="1"/>
  <c r="T25" i="9" s="1"/>
  <c r="D25" i="9"/>
  <c r="C25" i="9"/>
  <c r="B25" i="9"/>
  <c r="A25" i="9"/>
  <c r="Q24" i="9"/>
  <c r="S24" i="9" s="1"/>
  <c r="Z24" i="9" s="1"/>
  <c r="P24" i="9"/>
  <c r="O24" i="9"/>
  <c r="N24" i="9"/>
  <c r="M24" i="9"/>
  <c r="L24" i="9"/>
  <c r="K24" i="9"/>
  <c r="J24" i="9"/>
  <c r="I24" i="9"/>
  <c r="G24" i="9"/>
  <c r="F24" i="9"/>
  <c r="E24" i="9"/>
  <c r="H24" i="9" s="1"/>
  <c r="D24" i="9"/>
  <c r="C24" i="9"/>
  <c r="B24" i="9"/>
  <c r="A24" i="9"/>
  <c r="Q23" i="9"/>
  <c r="S23" i="9" s="1"/>
  <c r="Z23" i="9" s="1"/>
  <c r="P23" i="9"/>
  <c r="O23" i="9"/>
  <c r="N23" i="9"/>
  <c r="M23" i="9"/>
  <c r="L23" i="9"/>
  <c r="K23" i="9"/>
  <c r="J23" i="9"/>
  <c r="T23" i="9" s="1"/>
  <c r="AB23" i="9" s="1"/>
  <c r="BE23" i="9" s="1"/>
  <c r="I23" i="9"/>
  <c r="G23" i="9"/>
  <c r="F23" i="9"/>
  <c r="E23" i="9"/>
  <c r="H23" i="9" s="1"/>
  <c r="D23" i="9"/>
  <c r="C23" i="9"/>
  <c r="B23" i="9"/>
  <c r="A23" i="9"/>
  <c r="Q22" i="9"/>
  <c r="S22" i="9" s="1"/>
  <c r="U22" i="9" s="1"/>
  <c r="P22" i="9"/>
  <c r="O22" i="9"/>
  <c r="N22" i="9"/>
  <c r="M22" i="9"/>
  <c r="L22" i="9"/>
  <c r="K22" i="9"/>
  <c r="G22" i="9"/>
  <c r="F22" i="9"/>
  <c r="E22" i="9"/>
  <c r="J22" i="9" s="1"/>
  <c r="T22" i="9" s="1"/>
  <c r="AF22" i="9" s="1"/>
  <c r="BI22" i="9" s="1"/>
  <c r="D22" i="9"/>
  <c r="C22" i="9"/>
  <c r="B22" i="9"/>
  <c r="A22" i="9"/>
  <c r="S21" i="9"/>
  <c r="W21" i="9" s="1"/>
  <c r="R21" i="9"/>
  <c r="Q21" i="9"/>
  <c r="P21" i="9"/>
  <c r="O21" i="9"/>
  <c r="N21" i="9"/>
  <c r="M21" i="9"/>
  <c r="L21" i="9"/>
  <c r="K21" i="9"/>
  <c r="J21" i="9"/>
  <c r="T21" i="9" s="1"/>
  <c r="AB21" i="9" s="1"/>
  <c r="BE21" i="9" s="1"/>
  <c r="H21" i="9"/>
  <c r="G21" i="9"/>
  <c r="F21" i="9"/>
  <c r="E21" i="9"/>
  <c r="I21" i="9" s="1"/>
  <c r="D21" i="9"/>
  <c r="C21" i="9"/>
  <c r="B21" i="9"/>
  <c r="A21" i="9"/>
  <c r="S20" i="9"/>
  <c r="Y20" i="9" s="1"/>
  <c r="R20" i="9"/>
  <c r="Q20" i="9"/>
  <c r="P20" i="9"/>
  <c r="O20" i="9"/>
  <c r="N20" i="9"/>
  <c r="M20" i="9"/>
  <c r="L20" i="9"/>
  <c r="K20" i="9"/>
  <c r="J20" i="9"/>
  <c r="G20" i="9"/>
  <c r="F20" i="9"/>
  <c r="E20" i="9"/>
  <c r="I20" i="9" s="1"/>
  <c r="D20" i="9"/>
  <c r="C20" i="9"/>
  <c r="B20" i="9"/>
  <c r="A20" i="9"/>
  <c r="R19" i="9"/>
  <c r="Q19" i="9"/>
  <c r="S19" i="9" s="1"/>
  <c r="Z19" i="9" s="1"/>
  <c r="P19" i="9"/>
  <c r="O19" i="9"/>
  <c r="N19" i="9"/>
  <c r="M19" i="9"/>
  <c r="L19" i="9"/>
  <c r="K19" i="9"/>
  <c r="G19" i="9"/>
  <c r="F19" i="9"/>
  <c r="E19" i="9"/>
  <c r="H19" i="9" s="1"/>
  <c r="D19" i="9"/>
  <c r="C19" i="9"/>
  <c r="B19" i="9"/>
  <c r="A19" i="9"/>
  <c r="S18" i="9"/>
  <c r="U18" i="9" s="1"/>
  <c r="Q18" i="9"/>
  <c r="R18" i="9" s="1"/>
  <c r="P18" i="9"/>
  <c r="O18" i="9"/>
  <c r="N18" i="9"/>
  <c r="M18" i="9"/>
  <c r="L18" i="9"/>
  <c r="K18" i="9"/>
  <c r="I18" i="9"/>
  <c r="H18" i="9"/>
  <c r="G18" i="9"/>
  <c r="F18" i="9"/>
  <c r="E18" i="9"/>
  <c r="J18" i="9" s="1"/>
  <c r="T18" i="9" s="1"/>
  <c r="D18" i="9"/>
  <c r="C18" i="9"/>
  <c r="B18" i="9"/>
  <c r="A18" i="9"/>
  <c r="S17" i="9"/>
  <c r="Y17" i="9" s="1"/>
  <c r="Q17" i="9"/>
  <c r="R17" i="9" s="1"/>
  <c r="P17" i="9"/>
  <c r="O17" i="9"/>
  <c r="N17" i="9"/>
  <c r="M17" i="9"/>
  <c r="L17" i="9"/>
  <c r="K17" i="9"/>
  <c r="H17" i="9"/>
  <c r="G17" i="9"/>
  <c r="F17" i="9"/>
  <c r="E17" i="9"/>
  <c r="J17" i="9" s="1"/>
  <c r="T17" i="9" s="1"/>
  <c r="AD17" i="9" s="1"/>
  <c r="AV17" i="9" s="1"/>
  <c r="BA17" i="9" s="1"/>
  <c r="BK17" i="9" s="1"/>
  <c r="D17" i="9"/>
  <c r="C17" i="9"/>
  <c r="B17" i="9"/>
  <c r="A17" i="9"/>
  <c r="Q16" i="9"/>
  <c r="S16" i="9" s="1"/>
  <c r="Z16" i="9" s="1"/>
  <c r="P16" i="9"/>
  <c r="O16" i="9"/>
  <c r="N16" i="9"/>
  <c r="M16" i="9"/>
  <c r="L16" i="9"/>
  <c r="K16" i="9"/>
  <c r="J16" i="9"/>
  <c r="T16" i="9" s="1"/>
  <c r="I16" i="9"/>
  <c r="H16" i="9"/>
  <c r="G16" i="9"/>
  <c r="F16" i="9"/>
  <c r="E16" i="9"/>
  <c r="D16" i="9"/>
  <c r="C16" i="9"/>
  <c r="B16" i="9"/>
  <c r="A16" i="9"/>
  <c r="Q15" i="9"/>
  <c r="S15" i="9" s="1"/>
  <c r="U15" i="9" s="1"/>
  <c r="P15" i="9"/>
  <c r="O15" i="9"/>
  <c r="N15" i="9"/>
  <c r="M15" i="9"/>
  <c r="L15" i="9"/>
  <c r="K15" i="9"/>
  <c r="J15" i="9"/>
  <c r="T15" i="9" s="1"/>
  <c r="AD15" i="9" s="1"/>
  <c r="AV15" i="9" s="1"/>
  <c r="BA15" i="9" s="1"/>
  <c r="BK15" i="9" s="1"/>
  <c r="I15" i="9"/>
  <c r="G15" i="9"/>
  <c r="F15" i="9"/>
  <c r="E15" i="9"/>
  <c r="H15" i="9" s="1"/>
  <c r="D15" i="9"/>
  <c r="C15" i="9"/>
  <c r="B15" i="9"/>
  <c r="A15" i="9"/>
  <c r="Q14" i="9"/>
  <c r="S14" i="9" s="1"/>
  <c r="U14" i="9" s="1"/>
  <c r="P14" i="9"/>
  <c r="O14" i="9"/>
  <c r="N14" i="9"/>
  <c r="M14" i="9"/>
  <c r="L14" i="9"/>
  <c r="K14" i="9"/>
  <c r="G14" i="9"/>
  <c r="F14" i="9"/>
  <c r="E14" i="9"/>
  <c r="J14" i="9" s="1"/>
  <c r="T14" i="9" s="1"/>
  <c r="D14" i="9"/>
  <c r="C14" i="9"/>
  <c r="B14" i="9"/>
  <c r="A14" i="9"/>
  <c r="S13" i="9"/>
  <c r="U13" i="9" s="1"/>
  <c r="R13" i="9"/>
  <c r="Q13" i="9"/>
  <c r="P13" i="9"/>
  <c r="O13" i="9"/>
  <c r="N13" i="9"/>
  <c r="M13" i="9"/>
  <c r="L13" i="9"/>
  <c r="K13" i="9"/>
  <c r="J13" i="9"/>
  <c r="T13" i="9" s="1"/>
  <c r="AD13" i="9" s="1"/>
  <c r="AV13" i="9" s="1"/>
  <c r="BA13" i="9" s="1"/>
  <c r="BK13" i="9" s="1"/>
  <c r="I13" i="9"/>
  <c r="H13" i="9"/>
  <c r="G13" i="9"/>
  <c r="F13" i="9"/>
  <c r="E13" i="9"/>
  <c r="D13" i="9"/>
  <c r="C13" i="9"/>
  <c r="B13" i="9"/>
  <c r="A13" i="9"/>
  <c r="S12" i="9"/>
  <c r="U12" i="9" s="1"/>
  <c r="R12" i="9"/>
  <c r="Q12" i="9"/>
  <c r="P12" i="9"/>
  <c r="O12" i="9"/>
  <c r="N12" i="9"/>
  <c r="M12" i="9"/>
  <c r="L12" i="9"/>
  <c r="K12" i="9"/>
  <c r="J12" i="9"/>
  <c r="T12" i="9" s="1"/>
  <c r="G12" i="9"/>
  <c r="F12" i="9"/>
  <c r="E12" i="9"/>
  <c r="I12" i="9" s="1"/>
  <c r="D12" i="9"/>
  <c r="C12" i="9"/>
  <c r="B12" i="9"/>
  <c r="A12" i="9"/>
  <c r="Q11" i="9"/>
  <c r="S11" i="9" s="1"/>
  <c r="U11" i="9" s="1"/>
  <c r="P11" i="9"/>
  <c r="O11" i="9"/>
  <c r="N11" i="9"/>
  <c r="M11" i="9"/>
  <c r="L11" i="9"/>
  <c r="K11" i="9"/>
  <c r="G11" i="9"/>
  <c r="F11" i="9"/>
  <c r="E11" i="9"/>
  <c r="H11" i="9" s="1"/>
  <c r="D11" i="9"/>
  <c r="C11" i="9"/>
  <c r="B11" i="9"/>
  <c r="A11" i="9"/>
  <c r="BC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X11" i="9"/>
  <c r="V11" i="9"/>
  <c r="AP12" i="8"/>
  <c r="AQ12" i="8"/>
  <c r="AW12" i="8" s="1"/>
  <c r="AR12" i="8"/>
  <c r="AS12" i="8"/>
  <c r="AY12" i="8" s="1"/>
  <c r="BD12" i="8" s="1"/>
  <c r="AT12" i="8"/>
  <c r="AU12" i="8"/>
  <c r="AP13" i="8"/>
  <c r="AQ13" i="8"/>
  <c r="AR13" i="8"/>
  <c r="AS13" i="8"/>
  <c r="AT13" i="8"/>
  <c r="AU13" i="8"/>
  <c r="AW13" i="8"/>
  <c r="AY13" i="8"/>
  <c r="AP14" i="8"/>
  <c r="AQ14" i="8"/>
  <c r="AW14" i="8" s="1"/>
  <c r="AR14" i="8"/>
  <c r="AS14" i="8"/>
  <c r="AT14" i="8"/>
  <c r="AU14" i="8"/>
  <c r="AY14" i="8"/>
  <c r="AP15" i="8"/>
  <c r="AQ15" i="8"/>
  <c r="AR15" i="8"/>
  <c r="AS15" i="8"/>
  <c r="AY15" i="8" s="1"/>
  <c r="AT15" i="8"/>
  <c r="AU15" i="8"/>
  <c r="AW15" i="8"/>
  <c r="AP16" i="8"/>
  <c r="AQ16" i="8"/>
  <c r="AR16" i="8"/>
  <c r="AS16" i="8"/>
  <c r="AT16" i="8"/>
  <c r="AU16" i="8"/>
  <c r="AW16" i="8"/>
  <c r="AY16" i="8"/>
  <c r="AZ16" i="8"/>
  <c r="AP17" i="8"/>
  <c r="AQ17" i="8"/>
  <c r="AW17" i="8" s="1"/>
  <c r="AR17" i="8"/>
  <c r="AS17" i="8"/>
  <c r="AY17" i="8" s="1"/>
  <c r="BD17" i="8" s="1"/>
  <c r="AT17" i="8"/>
  <c r="AU17" i="8"/>
  <c r="AP18" i="8"/>
  <c r="AQ18" i="8"/>
  <c r="AR18" i="8"/>
  <c r="AS18" i="8"/>
  <c r="AY18" i="8" s="1"/>
  <c r="AT18" i="8"/>
  <c r="AU18" i="8"/>
  <c r="AW18" i="8"/>
  <c r="AP19" i="8"/>
  <c r="AQ19" i="8"/>
  <c r="AW19" i="8" s="1"/>
  <c r="AR19" i="8"/>
  <c r="AS19" i="8"/>
  <c r="AT19" i="8"/>
  <c r="AU19" i="8"/>
  <c r="AY19" i="8"/>
  <c r="BD19" i="8" s="1"/>
  <c r="AP20" i="8"/>
  <c r="AQ20" i="8"/>
  <c r="AW20" i="8" s="1"/>
  <c r="AR20" i="8"/>
  <c r="AS20" i="8"/>
  <c r="AY20" i="8" s="1"/>
  <c r="AT20" i="8"/>
  <c r="AU20" i="8"/>
  <c r="AP21" i="8"/>
  <c r="AQ21" i="8"/>
  <c r="AR21" i="8"/>
  <c r="AS21" i="8"/>
  <c r="AT21" i="8"/>
  <c r="AU21" i="8"/>
  <c r="BA21" i="8" s="1"/>
  <c r="AW21" i="8"/>
  <c r="AY21" i="8"/>
  <c r="AP22" i="8"/>
  <c r="AQ22" i="8"/>
  <c r="AW22" i="8" s="1"/>
  <c r="AR22" i="8"/>
  <c r="AS22" i="8"/>
  <c r="AT22" i="8"/>
  <c r="AU22" i="8"/>
  <c r="AY22" i="8"/>
  <c r="AP23" i="8"/>
  <c r="AQ23" i="8"/>
  <c r="AR23" i="8"/>
  <c r="AS23" i="8"/>
  <c r="AY23" i="8" s="1"/>
  <c r="AT23" i="8"/>
  <c r="AU23" i="8"/>
  <c r="AW23" i="8"/>
  <c r="AP24" i="8"/>
  <c r="AV24" i="8" s="1"/>
  <c r="AQ24" i="8"/>
  <c r="AR24" i="8"/>
  <c r="AS24" i="8"/>
  <c r="AT24" i="8"/>
  <c r="AU24" i="8"/>
  <c r="AW24" i="8"/>
  <c r="AY24" i="8"/>
  <c r="AP25" i="8"/>
  <c r="AQ25" i="8"/>
  <c r="AW25" i="8" s="1"/>
  <c r="AR25" i="8"/>
  <c r="AS25" i="8"/>
  <c r="AY25" i="8" s="1"/>
  <c r="AT25" i="8"/>
  <c r="AU25" i="8"/>
  <c r="AZ25" i="8"/>
  <c r="AP26" i="8"/>
  <c r="AQ26" i="8"/>
  <c r="AR26" i="8"/>
  <c r="AS26" i="8"/>
  <c r="AY26" i="8" s="1"/>
  <c r="AT26" i="8"/>
  <c r="AU26" i="8"/>
  <c r="AW26" i="8"/>
  <c r="AP27" i="8"/>
  <c r="AQ27" i="8"/>
  <c r="AW27" i="8" s="1"/>
  <c r="AR27" i="8"/>
  <c r="AS27" i="8"/>
  <c r="AT27" i="8"/>
  <c r="AU27" i="8"/>
  <c r="AY27" i="8"/>
  <c r="AP28" i="8"/>
  <c r="AQ28" i="8"/>
  <c r="AW28" i="8" s="1"/>
  <c r="AR28" i="8"/>
  <c r="AS28" i="8"/>
  <c r="AY28" i="8" s="1"/>
  <c r="BD28" i="8" s="1"/>
  <c r="AT28" i="8"/>
  <c r="AU28" i="8"/>
  <c r="AP29" i="8"/>
  <c r="AQ29" i="8"/>
  <c r="AR29" i="8"/>
  <c r="AS29" i="8"/>
  <c r="AT29" i="8"/>
  <c r="AU29" i="8"/>
  <c r="AW29" i="8"/>
  <c r="AY29" i="8"/>
  <c r="AP30" i="8"/>
  <c r="AQ30" i="8"/>
  <c r="AW30" i="8" s="1"/>
  <c r="AR30" i="8"/>
  <c r="AX30" i="8" s="1"/>
  <c r="AS30" i="8"/>
  <c r="AT30" i="8"/>
  <c r="AU30" i="8"/>
  <c r="AY30" i="8"/>
  <c r="AJ17" i="8"/>
  <c r="AJ19" i="8"/>
  <c r="AJ28" i="8"/>
  <c r="AJ30" i="8"/>
  <c r="AH12" i="8"/>
  <c r="AH13" i="8"/>
  <c r="AH14" i="8"/>
  <c r="AH15" i="8"/>
  <c r="AH16" i="8"/>
  <c r="AH17" i="8"/>
  <c r="AH18" i="8"/>
  <c r="AH19" i="8"/>
  <c r="AH20" i="8"/>
  <c r="AH21" i="8"/>
  <c r="AH22" i="8"/>
  <c r="AH23" i="8"/>
  <c r="AH24" i="8"/>
  <c r="AH25" i="8"/>
  <c r="AH26" i="8"/>
  <c r="AH27" i="8"/>
  <c r="AH28" i="8"/>
  <c r="AH29" i="8"/>
  <c r="AH30" i="8"/>
  <c r="AH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Z12" i="8"/>
  <c r="AA12" i="8"/>
  <c r="AB12" i="8"/>
  <c r="Z13" i="8"/>
  <c r="AA13" i="8"/>
  <c r="AB13" i="8"/>
  <c r="Z14" i="8"/>
  <c r="AA14" i="8"/>
  <c r="AB14" i="8"/>
  <c r="Z15" i="8"/>
  <c r="AA15" i="8"/>
  <c r="AB15" i="8"/>
  <c r="Z16" i="8"/>
  <c r="AA16" i="8"/>
  <c r="AB16" i="8"/>
  <c r="Z17" i="8"/>
  <c r="AA17" i="8"/>
  <c r="AB17" i="8"/>
  <c r="Z18" i="8"/>
  <c r="AA18" i="8"/>
  <c r="AB18" i="8"/>
  <c r="Z19" i="8"/>
  <c r="AA19" i="8"/>
  <c r="AB19" i="8"/>
  <c r="Z20" i="8"/>
  <c r="AA20" i="8"/>
  <c r="AB20" i="8"/>
  <c r="Z21" i="8"/>
  <c r="AA21" i="8"/>
  <c r="AB21" i="8"/>
  <c r="Z22" i="8"/>
  <c r="AA22" i="8"/>
  <c r="AB22" i="8"/>
  <c r="Z23" i="8"/>
  <c r="AA23" i="8"/>
  <c r="AB23" i="8"/>
  <c r="Z24" i="8"/>
  <c r="AA24" i="8"/>
  <c r="AB24" i="8"/>
  <c r="Z25" i="8"/>
  <c r="AA25" i="8"/>
  <c r="AB25" i="8"/>
  <c r="Z26" i="8"/>
  <c r="AA26" i="8"/>
  <c r="AB26" i="8"/>
  <c r="Z27" i="8"/>
  <c r="AA27" i="8"/>
  <c r="AB27" i="8"/>
  <c r="Z28" i="8"/>
  <c r="AA28" i="8"/>
  <c r="AB28" i="8"/>
  <c r="Z29" i="8"/>
  <c r="AA29" i="8"/>
  <c r="AB29" i="8"/>
  <c r="Z30" i="8"/>
  <c r="AA30" i="8"/>
  <c r="AB30" i="8"/>
  <c r="AB11" i="8"/>
  <c r="T12" i="8"/>
  <c r="AV12" i="8" s="1"/>
  <c r="U12" i="8"/>
  <c r="W12" i="8"/>
  <c r="U13" i="8"/>
  <c r="W13" i="8"/>
  <c r="U14" i="8"/>
  <c r="W14" i="8"/>
  <c r="U15" i="8"/>
  <c r="W15" i="8"/>
  <c r="U16" i="8"/>
  <c r="W16" i="8"/>
  <c r="X16" i="8"/>
  <c r="Y16" i="8"/>
  <c r="T17" i="8"/>
  <c r="U17" i="8"/>
  <c r="V17" i="8"/>
  <c r="W17" i="8"/>
  <c r="U18" i="8"/>
  <c r="W18" i="8"/>
  <c r="T19" i="8"/>
  <c r="AI19" i="8" s="1"/>
  <c r="U19" i="8"/>
  <c r="W19" i="8"/>
  <c r="X19" i="8"/>
  <c r="AZ19" i="8" s="1"/>
  <c r="T20" i="8"/>
  <c r="AV20" i="8" s="1"/>
  <c r="U20" i="8"/>
  <c r="W20" i="8"/>
  <c r="U21" i="8"/>
  <c r="W21" i="8"/>
  <c r="X21" i="8"/>
  <c r="Y21" i="8"/>
  <c r="U22" i="8"/>
  <c r="W22" i="8"/>
  <c r="X22" i="8"/>
  <c r="Y22" i="8"/>
  <c r="U23" i="8"/>
  <c r="W23" i="8"/>
  <c r="T24" i="8"/>
  <c r="U24" i="8"/>
  <c r="W24" i="8"/>
  <c r="Y24" i="8"/>
  <c r="U25" i="8"/>
  <c r="W25" i="8"/>
  <c r="X25" i="8"/>
  <c r="Y25" i="8"/>
  <c r="BA25" i="8" s="1"/>
  <c r="T26" i="8"/>
  <c r="U26" i="8"/>
  <c r="W26" i="8"/>
  <c r="X26" i="8"/>
  <c r="Y26" i="8"/>
  <c r="U27" i="8"/>
  <c r="W27" i="8"/>
  <c r="U28" i="8"/>
  <c r="W28" i="8"/>
  <c r="X28" i="8"/>
  <c r="U29" i="8"/>
  <c r="W29" i="8"/>
  <c r="U30" i="8"/>
  <c r="V30" i="8"/>
  <c r="W30" i="8"/>
  <c r="X30" i="8"/>
  <c r="AZ30" i="8" s="1"/>
  <c r="Y30" i="8"/>
  <c r="BA30" i="8" s="1"/>
  <c r="A12" i="8"/>
  <c r="B12" i="8"/>
  <c r="C12" i="8"/>
  <c r="D12" i="8"/>
  <c r="E12" i="8"/>
  <c r="I12" i="8" s="1"/>
  <c r="AJ12" i="8" s="1"/>
  <c r="F12" i="8"/>
  <c r="G12" i="8"/>
  <c r="H12" i="8"/>
  <c r="K12" i="8"/>
  <c r="L12" i="8"/>
  <c r="M12" i="8"/>
  <c r="N12" i="8"/>
  <c r="O12" i="8"/>
  <c r="P12" i="8"/>
  <c r="Q12" i="8"/>
  <c r="R12" i="8" s="1"/>
  <c r="Y12" i="8" s="1"/>
  <c r="A13" i="8"/>
  <c r="B13" i="8"/>
  <c r="C13" i="8"/>
  <c r="D13" i="8"/>
  <c r="E13" i="8"/>
  <c r="H13" i="8" s="1"/>
  <c r="F13" i="8"/>
  <c r="G13" i="8"/>
  <c r="K13" i="8"/>
  <c r="L13" i="8"/>
  <c r="M13" i="8"/>
  <c r="N13" i="8"/>
  <c r="O13" i="8"/>
  <c r="P13" i="8"/>
  <c r="Q13" i="8"/>
  <c r="S13" i="8" s="1"/>
  <c r="R13" i="8"/>
  <c r="V13" i="8" s="1"/>
  <c r="A14" i="8"/>
  <c r="B14" i="8"/>
  <c r="C14" i="8"/>
  <c r="D14" i="8"/>
  <c r="E14" i="8"/>
  <c r="F14" i="8"/>
  <c r="G14" i="8"/>
  <c r="H14" i="8"/>
  <c r="I14" i="8"/>
  <c r="AJ14" i="8" s="1"/>
  <c r="J14" i="8"/>
  <c r="K14" i="8"/>
  <c r="L14" i="8"/>
  <c r="M14" i="8"/>
  <c r="N14" i="8"/>
  <c r="O14" i="8"/>
  <c r="P14" i="8"/>
  <c r="Q14" i="8"/>
  <c r="S14" i="8" s="1"/>
  <c r="R14" i="8"/>
  <c r="T14" i="8" s="1"/>
  <c r="A15" i="8"/>
  <c r="B15" i="8"/>
  <c r="C15" i="8"/>
  <c r="D15" i="8"/>
  <c r="E15" i="8"/>
  <c r="H15" i="8" s="1"/>
  <c r="F15" i="8"/>
  <c r="G15" i="8"/>
  <c r="K15" i="8"/>
  <c r="L15" i="8"/>
  <c r="M15" i="8"/>
  <c r="N15" i="8"/>
  <c r="O15" i="8"/>
  <c r="P15" i="8"/>
  <c r="Q15" i="8"/>
  <c r="R15" i="8" s="1"/>
  <c r="T15" i="8" s="1"/>
  <c r="S15" i="8"/>
  <c r="A16" i="8"/>
  <c r="B16" i="8"/>
  <c r="C16" i="8"/>
  <c r="D16" i="8"/>
  <c r="E16" i="8"/>
  <c r="F16" i="8"/>
  <c r="G16" i="8"/>
  <c r="H16" i="8"/>
  <c r="I16" i="8"/>
  <c r="AJ16" i="8" s="1"/>
  <c r="J16" i="8"/>
  <c r="K16" i="8"/>
  <c r="L16" i="8"/>
  <c r="M16" i="8"/>
  <c r="N16" i="8"/>
  <c r="O16" i="8"/>
  <c r="P16" i="8"/>
  <c r="Q16" i="8"/>
  <c r="R16" i="8" s="1"/>
  <c r="T16" i="8" s="1"/>
  <c r="AI16" i="8" s="1"/>
  <c r="S16" i="8"/>
  <c r="A17" i="8"/>
  <c r="B17" i="8"/>
  <c r="C17" i="8"/>
  <c r="D17" i="8"/>
  <c r="E17" i="8"/>
  <c r="J17" i="8" s="1"/>
  <c r="F17" i="8"/>
  <c r="G17" i="8"/>
  <c r="H17" i="8"/>
  <c r="I17" i="8"/>
  <c r="AL17" i="8" s="1"/>
  <c r="K17" i="8"/>
  <c r="L17" i="8"/>
  <c r="M17" i="8"/>
  <c r="N17" i="8"/>
  <c r="O17" i="8"/>
  <c r="P17" i="8"/>
  <c r="Q17" i="8"/>
  <c r="R17" i="8" s="1"/>
  <c r="X17" i="8" s="1"/>
  <c r="A18" i="8"/>
  <c r="B18" i="8"/>
  <c r="C18" i="8"/>
  <c r="D18" i="8"/>
  <c r="E18" i="8"/>
  <c r="H18" i="8" s="1"/>
  <c r="F18" i="8"/>
  <c r="G18" i="8"/>
  <c r="K18" i="8"/>
  <c r="L18" i="8"/>
  <c r="M18" i="8"/>
  <c r="N18" i="8"/>
  <c r="O18" i="8"/>
  <c r="P18" i="8"/>
  <c r="Q18" i="8"/>
  <c r="R18" i="8"/>
  <c r="T18" i="8" s="1"/>
  <c r="S18" i="8"/>
  <c r="A19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V19" i="8" s="1"/>
  <c r="S19" i="8"/>
  <c r="A20" i="8"/>
  <c r="B20" i="8"/>
  <c r="C20" i="8"/>
  <c r="D20" i="8"/>
  <c r="E20" i="8"/>
  <c r="I20" i="8" s="1"/>
  <c r="AJ20" i="8" s="1"/>
  <c r="F20" i="8"/>
  <c r="G20" i="8"/>
  <c r="H20" i="8"/>
  <c r="K20" i="8"/>
  <c r="L20" i="8"/>
  <c r="M20" i="8"/>
  <c r="N20" i="8"/>
  <c r="O20" i="8"/>
  <c r="P20" i="8"/>
  <c r="Q20" i="8"/>
  <c r="R20" i="8"/>
  <c r="V20" i="8" s="1"/>
  <c r="S20" i="8"/>
  <c r="A21" i="8"/>
  <c r="B21" i="8"/>
  <c r="C21" i="8"/>
  <c r="D21" i="8"/>
  <c r="E21" i="8"/>
  <c r="H21" i="8" s="1"/>
  <c r="F21" i="8"/>
  <c r="G21" i="8"/>
  <c r="K21" i="8"/>
  <c r="L21" i="8"/>
  <c r="M21" i="8"/>
  <c r="N21" i="8"/>
  <c r="O21" i="8"/>
  <c r="P21" i="8"/>
  <c r="Q21" i="8"/>
  <c r="S21" i="8" s="1"/>
  <c r="R21" i="8"/>
  <c r="T21" i="8" s="1"/>
  <c r="A22" i="8"/>
  <c r="B22" i="8"/>
  <c r="C22" i="8"/>
  <c r="D22" i="8"/>
  <c r="E22" i="8"/>
  <c r="F22" i="8"/>
  <c r="G22" i="8"/>
  <c r="H22" i="8"/>
  <c r="I22" i="8"/>
  <c r="AJ22" i="8" s="1"/>
  <c r="J22" i="8"/>
  <c r="K22" i="8"/>
  <c r="L22" i="8"/>
  <c r="M22" i="8"/>
  <c r="N22" i="8"/>
  <c r="O22" i="8"/>
  <c r="P22" i="8"/>
  <c r="Q22" i="8"/>
  <c r="S22" i="8" s="1"/>
  <c r="R22" i="8"/>
  <c r="T22" i="8" s="1"/>
  <c r="AI22" i="8" s="1"/>
  <c r="A23" i="8"/>
  <c r="B23" i="8"/>
  <c r="C23" i="8"/>
  <c r="D23" i="8"/>
  <c r="E23" i="8"/>
  <c r="H23" i="8" s="1"/>
  <c r="F23" i="8"/>
  <c r="G23" i="8"/>
  <c r="K23" i="8"/>
  <c r="L23" i="8"/>
  <c r="M23" i="8"/>
  <c r="N23" i="8"/>
  <c r="O23" i="8"/>
  <c r="P23" i="8"/>
  <c r="Q23" i="8"/>
  <c r="R23" i="8" s="1"/>
  <c r="X23" i="8" s="1"/>
  <c r="S23" i="8"/>
  <c r="A24" i="8"/>
  <c r="B24" i="8"/>
  <c r="C24" i="8"/>
  <c r="D24" i="8"/>
  <c r="E24" i="8"/>
  <c r="F24" i="8"/>
  <c r="G24" i="8"/>
  <c r="H24" i="8"/>
  <c r="I24" i="8"/>
  <c r="AJ24" i="8" s="1"/>
  <c r="J24" i="8"/>
  <c r="K24" i="8"/>
  <c r="L24" i="8"/>
  <c r="M24" i="8"/>
  <c r="N24" i="8"/>
  <c r="O24" i="8"/>
  <c r="P24" i="8"/>
  <c r="Q24" i="8"/>
  <c r="R24" i="8" s="1"/>
  <c r="V24" i="8" s="1"/>
  <c r="S24" i="8"/>
  <c r="A25" i="8"/>
  <c r="B25" i="8"/>
  <c r="C25" i="8"/>
  <c r="D25" i="8"/>
  <c r="E25" i="8"/>
  <c r="J25" i="8" s="1"/>
  <c r="F25" i="8"/>
  <c r="G25" i="8"/>
  <c r="H25" i="8"/>
  <c r="I25" i="8"/>
  <c r="AJ25" i="8" s="1"/>
  <c r="K25" i="8"/>
  <c r="L25" i="8"/>
  <c r="M25" i="8"/>
  <c r="N25" i="8"/>
  <c r="O25" i="8"/>
  <c r="P25" i="8"/>
  <c r="Q25" i="8"/>
  <c r="R25" i="8" s="1"/>
  <c r="T25" i="8" s="1"/>
  <c r="A26" i="8"/>
  <c r="B26" i="8"/>
  <c r="C26" i="8"/>
  <c r="D26" i="8"/>
  <c r="E26" i="8"/>
  <c r="H26" i="8" s="1"/>
  <c r="F26" i="8"/>
  <c r="G26" i="8"/>
  <c r="K26" i="8"/>
  <c r="L26" i="8"/>
  <c r="M26" i="8"/>
  <c r="N26" i="8"/>
  <c r="O26" i="8"/>
  <c r="P26" i="8"/>
  <c r="Q26" i="8"/>
  <c r="R26" i="8"/>
  <c r="V26" i="8" s="1"/>
  <c r="S26" i="8"/>
  <c r="A27" i="8"/>
  <c r="B27" i="8"/>
  <c r="C27" i="8"/>
  <c r="D27" i="8"/>
  <c r="E27" i="8"/>
  <c r="F27" i="8"/>
  <c r="G27" i="8"/>
  <c r="H27" i="8"/>
  <c r="I27" i="8"/>
  <c r="AJ27" i="8" s="1"/>
  <c r="J27" i="8"/>
  <c r="K27" i="8"/>
  <c r="L27" i="8"/>
  <c r="M27" i="8"/>
  <c r="N27" i="8"/>
  <c r="O27" i="8"/>
  <c r="P27" i="8"/>
  <c r="Q27" i="8"/>
  <c r="R27" i="8"/>
  <c r="T27" i="8" s="1"/>
  <c r="AI27" i="8" s="1"/>
  <c r="S27" i="8"/>
  <c r="A28" i="8"/>
  <c r="B28" i="8"/>
  <c r="C28" i="8"/>
  <c r="D28" i="8"/>
  <c r="E28" i="8"/>
  <c r="I28" i="8" s="1"/>
  <c r="F28" i="8"/>
  <c r="G28" i="8"/>
  <c r="H28" i="8"/>
  <c r="K28" i="8"/>
  <c r="L28" i="8"/>
  <c r="M28" i="8"/>
  <c r="N28" i="8"/>
  <c r="O28" i="8"/>
  <c r="P28" i="8"/>
  <c r="Q28" i="8"/>
  <c r="R28" i="8" s="1"/>
  <c r="T28" i="8" s="1"/>
  <c r="S28" i="8"/>
  <c r="A29" i="8"/>
  <c r="B29" i="8"/>
  <c r="C29" i="8"/>
  <c r="D29" i="8"/>
  <c r="E29" i="8"/>
  <c r="H29" i="8" s="1"/>
  <c r="F29" i="8"/>
  <c r="G29" i="8"/>
  <c r="K29" i="8"/>
  <c r="L29" i="8"/>
  <c r="M29" i="8"/>
  <c r="N29" i="8"/>
  <c r="O29" i="8"/>
  <c r="P29" i="8"/>
  <c r="Q29" i="8"/>
  <c r="S29" i="8" s="1"/>
  <c r="R29" i="8"/>
  <c r="T29" i="8" s="1"/>
  <c r="A30" i="8"/>
  <c r="B30" i="8"/>
  <c r="C30" i="8"/>
  <c r="D30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S30" i="8" s="1"/>
  <c r="R30" i="8"/>
  <c r="T30" i="8" s="1"/>
  <c r="U11" i="8"/>
  <c r="W11" i="8"/>
  <c r="X11" i="8"/>
  <c r="Y11" i="8"/>
  <c r="S11" i="8"/>
  <c r="R11" i="8"/>
  <c r="T11" i="8" s="1"/>
  <c r="L11" i="8"/>
  <c r="M11" i="8"/>
  <c r="N11" i="8"/>
  <c r="O11" i="8"/>
  <c r="P11" i="8"/>
  <c r="Q11" i="8"/>
  <c r="K11" i="8"/>
  <c r="I11" i="8"/>
  <c r="J11" i="8"/>
  <c r="H11" i="8"/>
  <c r="B11" i="8"/>
  <c r="C11" i="8"/>
  <c r="D11" i="8"/>
  <c r="E11" i="8"/>
  <c r="F11" i="8"/>
  <c r="G11" i="8"/>
  <c r="A11" i="8"/>
  <c r="AU11" i="8"/>
  <c r="AT11" i="8"/>
  <c r="AS11" i="8"/>
  <c r="AR11" i="8"/>
  <c r="AQ11" i="8"/>
  <c r="AP11" i="8"/>
  <c r="AA11" i="8"/>
  <c r="Z11" i="8"/>
  <c r="AW11" i="8"/>
  <c r="AY11" i="8"/>
  <c r="AC11" i="8"/>
  <c r="AK20" i="8" l="1"/>
  <c r="AM30" i="8"/>
  <c r="BG19" i="8"/>
  <c r="BG17" i="8"/>
  <c r="BG28" i="8"/>
  <c r="BG34" i="8"/>
  <c r="BG12" i="8"/>
  <c r="AA31" i="10"/>
  <c r="AF34" i="10"/>
  <c r="AA34" i="10"/>
  <c r="BD34" i="10" s="1"/>
  <c r="AE34" i="10"/>
  <c r="AD34" i="10"/>
  <c r="AB34" i="10"/>
  <c r="AC31" i="10"/>
  <c r="T33" i="9"/>
  <c r="AD33" i="9" s="1"/>
  <c r="AB31" i="10"/>
  <c r="AT30" i="10"/>
  <c r="BE30" i="10"/>
  <c r="V30" i="11"/>
  <c r="AA30" i="11" s="1"/>
  <c r="AB30" i="11" s="1"/>
  <c r="AD30" i="9"/>
  <c r="AB30" i="9"/>
  <c r="AC30" i="10"/>
  <c r="AU30" i="10" s="1"/>
  <c r="AZ30" i="10" s="1"/>
  <c r="BJ30" i="10" s="1"/>
  <c r="AD29" i="10"/>
  <c r="AB29" i="10"/>
  <c r="AT29" i="10" s="1"/>
  <c r="AD28" i="9"/>
  <c r="AB28" i="9"/>
  <c r="AT28" i="9" s="1"/>
  <c r="BE28" i="10"/>
  <c r="AE28" i="10"/>
  <c r="AW28" i="10" s="1"/>
  <c r="BE28" i="9"/>
  <c r="AE28" i="9"/>
  <c r="BH28" i="9" s="1"/>
  <c r="AB27" i="10"/>
  <c r="V27" i="11"/>
  <c r="AA27" i="11" s="1"/>
  <c r="AB27" i="11" s="1"/>
  <c r="AC27" i="11" s="1"/>
  <c r="AK30" i="8"/>
  <c r="BD30" i="8"/>
  <c r="BG30" i="8" s="1"/>
  <c r="AI30" i="8"/>
  <c r="BC30" i="8"/>
  <c r="BF30" i="8" s="1"/>
  <c r="AN30" i="8"/>
  <c r="AM28" i="8"/>
  <c r="AL27" i="8"/>
  <c r="BD27" i="8"/>
  <c r="BG27" i="8" s="1"/>
  <c r="AD26" i="9"/>
  <c r="AB26" i="9"/>
  <c r="BE26" i="9"/>
  <c r="AE26" i="9"/>
  <c r="AW26" i="9" s="1"/>
  <c r="AT26" i="9"/>
  <c r="AF26" i="9"/>
  <c r="BI26" i="9" s="1"/>
  <c r="AF25" i="9"/>
  <c r="AB25" i="9"/>
  <c r="BE25" i="9" s="1"/>
  <c r="T25" i="11"/>
  <c r="V25" i="11" s="1"/>
  <c r="AA25" i="11" s="1"/>
  <c r="AB25" i="11" s="1"/>
  <c r="AE24" i="9"/>
  <c r="BH24" i="9" s="1"/>
  <c r="AF24" i="9"/>
  <c r="BI24" i="9" s="1"/>
  <c r="AD24" i="9"/>
  <c r="BG24" i="9" s="1"/>
  <c r="AC24" i="9"/>
  <c r="BF24" i="9" s="1"/>
  <c r="AB24" i="9"/>
  <c r="AT24" i="9" s="1"/>
  <c r="T23" i="11"/>
  <c r="V23" i="11" s="1"/>
  <c r="AA23" i="11" s="1"/>
  <c r="AB23" i="11" s="1"/>
  <c r="AI25" i="8"/>
  <c r="BD25" i="8"/>
  <c r="BG25" i="8" s="1"/>
  <c r="AM25" i="8"/>
  <c r="AL25" i="8"/>
  <c r="AL24" i="8"/>
  <c r="BD24" i="8"/>
  <c r="BG24" i="8" s="1"/>
  <c r="AI24" i="8"/>
  <c r="AN24" i="8"/>
  <c r="AE20" i="9"/>
  <c r="AA22" i="9"/>
  <c r="BD22" i="9" s="1"/>
  <c r="BD22" i="8"/>
  <c r="BG22" i="8" s="1"/>
  <c r="AF20" i="9"/>
  <c r="AD22" i="9"/>
  <c r="T20" i="11"/>
  <c r="V20" i="11" s="1"/>
  <c r="AA20" i="11" s="1"/>
  <c r="AB20" i="11" s="1"/>
  <c r="T21" i="11"/>
  <c r="V21" i="11" s="1"/>
  <c r="AA21" i="11" s="1"/>
  <c r="AB21" i="11" s="1"/>
  <c r="AM22" i="8"/>
  <c r="AL20" i="8"/>
  <c r="AD20" i="9"/>
  <c r="AE22" i="9"/>
  <c r="AN22" i="8"/>
  <c r="AB22" i="9"/>
  <c r="BD20" i="8"/>
  <c r="BG20" i="8" s="1"/>
  <c r="AC20" i="9"/>
  <c r="AU20" i="9" s="1"/>
  <c r="AZ20" i="9" s="1"/>
  <c r="BJ20" i="9" s="1"/>
  <c r="AK17" i="8"/>
  <c r="AC18" i="9"/>
  <c r="AB15" i="9"/>
  <c r="BE15" i="9" s="1"/>
  <c r="AF16" i="9"/>
  <c r="BI16" i="9" s="1"/>
  <c r="AE18" i="9"/>
  <c r="BH18" i="9" s="1"/>
  <c r="AI17" i="8"/>
  <c r="AB18" i="9"/>
  <c r="BE18" i="9" s="1"/>
  <c r="AL16" i="8"/>
  <c r="AC17" i="9"/>
  <c r="BF17" i="9" s="1"/>
  <c r="AN16" i="8"/>
  <c r="BD16" i="8"/>
  <c r="BG16" i="8" s="1"/>
  <c r="AB17" i="9"/>
  <c r="BE17" i="9" s="1"/>
  <c r="AE16" i="9"/>
  <c r="BH16" i="9" s="1"/>
  <c r="AM16" i="8"/>
  <c r="AD16" i="9"/>
  <c r="AV16" i="9" s="1"/>
  <c r="BA16" i="9" s="1"/>
  <c r="BK16" i="9" s="1"/>
  <c r="T18" i="11"/>
  <c r="V18" i="11" s="1"/>
  <c r="AA18" i="11" s="1"/>
  <c r="AB18" i="11" s="1"/>
  <c r="AF18" i="9"/>
  <c r="AB16" i="9"/>
  <c r="BE16" i="9" s="1"/>
  <c r="AA16" i="9"/>
  <c r="BD16" i="9" s="1"/>
  <c r="AA18" i="9"/>
  <c r="AS18" i="9" s="1"/>
  <c r="AD18" i="9"/>
  <c r="BG18" i="9" s="1"/>
  <c r="AL12" i="8"/>
  <c r="AB14" i="9"/>
  <c r="AL14" i="8"/>
  <c r="BD14" i="8"/>
  <c r="BG14" i="8" s="1"/>
  <c r="AA14" i="9"/>
  <c r="AS14" i="9" s="1"/>
  <c r="AI14" i="8"/>
  <c r="AD14" i="9"/>
  <c r="AV14" i="9" s="1"/>
  <c r="BA14" i="9" s="1"/>
  <c r="BK14" i="9" s="1"/>
  <c r="AB13" i="9"/>
  <c r="BE13" i="9" s="1"/>
  <c r="AA12" i="9"/>
  <c r="AD12" i="9"/>
  <c r="AB12" i="9"/>
  <c r="AU31" i="10"/>
  <c r="AZ31" i="10" s="1"/>
  <c r="BJ31" i="10" s="1"/>
  <c r="BF31" i="10"/>
  <c r="AX34" i="10"/>
  <c r="BI34" i="10"/>
  <c r="W34" i="9"/>
  <c r="AC34" i="9" s="1"/>
  <c r="Z34" i="9"/>
  <c r="AF34" i="9" s="1"/>
  <c r="Y33" i="10"/>
  <c r="Z32" i="10"/>
  <c r="Z31" i="10"/>
  <c r="W33" i="10"/>
  <c r="U33" i="10"/>
  <c r="AA33" i="10"/>
  <c r="BD33" i="10" s="1"/>
  <c r="AF31" i="10"/>
  <c r="AX31" i="10" s="1"/>
  <c r="Z30" i="9"/>
  <c r="AF30" i="9" s="1"/>
  <c r="Y30" i="9"/>
  <c r="AE30" i="9" s="1"/>
  <c r="W30" i="9"/>
  <c r="AC30" i="9" s="1"/>
  <c r="AU30" i="9" s="1"/>
  <c r="AZ30" i="9" s="1"/>
  <c r="BJ30" i="9" s="1"/>
  <c r="Z30" i="10"/>
  <c r="AV30" i="8"/>
  <c r="Y30" i="10"/>
  <c r="AE30" i="10" s="1"/>
  <c r="AA30" i="9"/>
  <c r="AS30" i="9" s="1"/>
  <c r="Z29" i="9"/>
  <c r="AF29" i="9" s="1"/>
  <c r="Y29" i="9"/>
  <c r="Y28" i="8"/>
  <c r="AN28" i="8" s="1"/>
  <c r="Z28" i="9"/>
  <c r="AF28" i="9" s="1"/>
  <c r="BI28" i="9" s="1"/>
  <c r="W28" i="9"/>
  <c r="AC28" i="9" s="1"/>
  <c r="AU28" i="9" s="1"/>
  <c r="AZ28" i="9" s="1"/>
  <c r="BJ28" i="9" s="1"/>
  <c r="AV29" i="8"/>
  <c r="AI29" i="8"/>
  <c r="U29" i="9"/>
  <c r="W29" i="10"/>
  <c r="Y29" i="8"/>
  <c r="X29" i="8"/>
  <c r="V29" i="8"/>
  <c r="Z29" i="10"/>
  <c r="AF29" i="10" s="1"/>
  <c r="AX29" i="10" s="1"/>
  <c r="AV28" i="8"/>
  <c r="AI28" i="8"/>
  <c r="W28" i="10"/>
  <c r="AC28" i="10" s="1"/>
  <c r="AU28" i="10" s="1"/>
  <c r="AZ28" i="10" s="1"/>
  <c r="BJ28" i="10" s="1"/>
  <c r="BA28" i="8"/>
  <c r="V28" i="8"/>
  <c r="AK28" i="8" s="1"/>
  <c r="U28" i="10"/>
  <c r="AA28" i="10" s="1"/>
  <c r="AS28" i="10" s="1"/>
  <c r="AZ28" i="8"/>
  <c r="Z28" i="10"/>
  <c r="AF28" i="10" s="1"/>
  <c r="BI28" i="10" s="1"/>
  <c r="X27" i="8"/>
  <c r="V27" i="8"/>
  <c r="AK27" i="8" s="1"/>
  <c r="Y27" i="8"/>
  <c r="AX27" i="8"/>
  <c r="BC27" i="8" s="1"/>
  <c r="BF27" i="8" s="1"/>
  <c r="W27" i="9"/>
  <c r="AC27" i="9" s="1"/>
  <c r="Z27" i="10"/>
  <c r="AF27" i="10" s="1"/>
  <c r="BI27" i="10" s="1"/>
  <c r="Y27" i="10"/>
  <c r="AE27" i="10" s="1"/>
  <c r="AW27" i="10" s="1"/>
  <c r="U27" i="9"/>
  <c r="AA27" i="9" s="1"/>
  <c r="W27" i="10"/>
  <c r="Z27" i="9"/>
  <c r="AF27" i="9" s="1"/>
  <c r="AV27" i="8"/>
  <c r="AC27" i="10"/>
  <c r="BF27" i="10" s="1"/>
  <c r="AX26" i="8"/>
  <c r="AV26" i="8"/>
  <c r="AZ26" i="8"/>
  <c r="W26" i="9"/>
  <c r="AC26" i="9" s="1"/>
  <c r="BA26" i="8"/>
  <c r="BE26" i="8" s="1"/>
  <c r="BH26" i="8" s="1"/>
  <c r="U26" i="9"/>
  <c r="AA26" i="9" s="1"/>
  <c r="V25" i="8"/>
  <c r="AK25" i="8" s="1"/>
  <c r="W25" i="9"/>
  <c r="AN25" i="8"/>
  <c r="AV25" i="8"/>
  <c r="U25" i="10"/>
  <c r="AK24" i="8"/>
  <c r="AX24" i="8"/>
  <c r="BC24" i="8" s="1"/>
  <c r="BF24" i="8" s="1"/>
  <c r="X24" i="8"/>
  <c r="BA24" i="8"/>
  <c r="V23" i="8"/>
  <c r="W23" i="9"/>
  <c r="T23" i="8"/>
  <c r="AZ23" i="8"/>
  <c r="U23" i="9"/>
  <c r="AF23" i="9"/>
  <c r="AX23" i="9" s="1"/>
  <c r="Y23" i="8"/>
  <c r="AN23" i="8" s="1"/>
  <c r="AX23" i="8"/>
  <c r="V22" i="8"/>
  <c r="AK22" i="8" s="1"/>
  <c r="BA22" i="8"/>
  <c r="AV22" i="8"/>
  <c r="AZ22" i="8"/>
  <c r="W22" i="9"/>
  <c r="AC22" i="9" s="1"/>
  <c r="AS22" i="9"/>
  <c r="AV21" i="8"/>
  <c r="U21" i="9"/>
  <c r="AF21" i="9"/>
  <c r="AZ21" i="8"/>
  <c r="Y21" i="9"/>
  <c r="AE21" i="9" s="1"/>
  <c r="V21" i="8"/>
  <c r="W21" i="10"/>
  <c r="AS20" i="9"/>
  <c r="BD20" i="9"/>
  <c r="AX20" i="8"/>
  <c r="BC20" i="8" s="1"/>
  <c r="BF20" i="8" s="1"/>
  <c r="Y20" i="8"/>
  <c r="AI20" i="8"/>
  <c r="X20" i="8"/>
  <c r="AM20" i="8" s="1"/>
  <c r="AZ20" i="8"/>
  <c r="AX19" i="8"/>
  <c r="BC19" i="8" s="1"/>
  <c r="BF19" i="8" s="1"/>
  <c r="AK19" i="8"/>
  <c r="W19" i="9"/>
  <c r="AC19" i="9" s="1"/>
  <c r="BF19" i="9" s="1"/>
  <c r="AM19" i="8"/>
  <c r="Y19" i="8"/>
  <c r="U19" i="9"/>
  <c r="AV19" i="8"/>
  <c r="Y14" i="8"/>
  <c r="AN14" i="8" s="1"/>
  <c r="X13" i="8"/>
  <c r="AV18" i="8"/>
  <c r="Y18" i="8"/>
  <c r="X18" i="8"/>
  <c r="V18" i="8"/>
  <c r="BA18" i="8"/>
  <c r="Y18" i="10"/>
  <c r="AZ17" i="8"/>
  <c r="AM17" i="8"/>
  <c r="AX17" i="8"/>
  <c r="BC17" i="8" s="1"/>
  <c r="BF17" i="8" s="1"/>
  <c r="AV17" i="8"/>
  <c r="Y17" i="8"/>
  <c r="Z17" i="9"/>
  <c r="AF17" i="9" s="1"/>
  <c r="AV16" i="8"/>
  <c r="BE16" i="8" s="1"/>
  <c r="BH16" i="8" s="1"/>
  <c r="W16" i="9"/>
  <c r="AC16" i="9" s="1"/>
  <c r="BF16" i="9" s="1"/>
  <c r="V16" i="8"/>
  <c r="W16" i="10"/>
  <c r="BA16" i="8"/>
  <c r="AV15" i="8"/>
  <c r="V15" i="8"/>
  <c r="W15" i="9"/>
  <c r="AC15" i="9" s="1"/>
  <c r="BF15" i="9" s="1"/>
  <c r="Y15" i="8"/>
  <c r="X15" i="8"/>
  <c r="AX15" i="8"/>
  <c r="Y15" i="9"/>
  <c r="AF15" i="9"/>
  <c r="AX15" i="9" s="1"/>
  <c r="X14" i="8"/>
  <c r="Z14" i="9"/>
  <c r="AF14" i="9" s="1"/>
  <c r="BI14" i="9" s="1"/>
  <c r="Y14" i="9"/>
  <c r="AE14" i="9" s="1"/>
  <c r="AW14" i="9" s="1"/>
  <c r="V14" i="8"/>
  <c r="AK14" i="8" s="1"/>
  <c r="W14" i="9"/>
  <c r="AC14" i="9" s="1"/>
  <c r="AU14" i="9" s="1"/>
  <c r="AZ14" i="9" s="1"/>
  <c r="BJ14" i="9" s="1"/>
  <c r="BA14" i="8"/>
  <c r="AV14" i="8"/>
  <c r="AX13" i="8"/>
  <c r="T13" i="8"/>
  <c r="Y13" i="8"/>
  <c r="Z13" i="9"/>
  <c r="AF13" i="9" s="1"/>
  <c r="Y13" i="9"/>
  <c r="AE13" i="9" s="1"/>
  <c r="W13" i="9"/>
  <c r="AC13" i="9" s="1"/>
  <c r="BF13" i="9" s="1"/>
  <c r="Y13" i="10"/>
  <c r="AZ13" i="8"/>
  <c r="AN12" i="8"/>
  <c r="BA12" i="8"/>
  <c r="AS12" i="9"/>
  <c r="BD12" i="9"/>
  <c r="X12" i="8"/>
  <c r="AM12" i="8" s="1"/>
  <c r="AI12" i="8"/>
  <c r="V12" i="8"/>
  <c r="AK12" i="8" s="1"/>
  <c r="Z12" i="9"/>
  <c r="AF12" i="9" s="1"/>
  <c r="Y12" i="9"/>
  <c r="AE12" i="9" s="1"/>
  <c r="BH12" i="9" s="1"/>
  <c r="W12" i="9"/>
  <c r="AC12" i="9" s="1"/>
  <c r="AU12" i="9" s="1"/>
  <c r="AZ12" i="9" s="1"/>
  <c r="BJ12" i="9" s="1"/>
  <c r="V11" i="8"/>
  <c r="W11" i="10"/>
  <c r="AC31" i="11"/>
  <c r="T12" i="11"/>
  <c r="V12" i="11" s="1"/>
  <c r="AA12" i="11" s="1"/>
  <c r="AB12" i="11" s="1"/>
  <c r="R12" i="11"/>
  <c r="I15" i="11"/>
  <c r="S17" i="11"/>
  <c r="H18" i="11"/>
  <c r="R20" i="11"/>
  <c r="I23" i="11"/>
  <c r="S25" i="11"/>
  <c r="H26" i="11"/>
  <c r="R28" i="11"/>
  <c r="I31" i="11"/>
  <c r="S33" i="11"/>
  <c r="H34" i="11"/>
  <c r="S11" i="11"/>
  <c r="S14" i="11"/>
  <c r="S22" i="11"/>
  <c r="H23" i="11"/>
  <c r="S30" i="11"/>
  <c r="H31" i="11"/>
  <c r="H13" i="11"/>
  <c r="J15" i="11"/>
  <c r="T15" i="11" s="1"/>
  <c r="V15" i="11" s="1"/>
  <c r="AA15" i="11" s="1"/>
  <c r="AB15" i="11" s="1"/>
  <c r="I18" i="11"/>
  <c r="H21" i="11"/>
  <c r="I26" i="11"/>
  <c r="H29" i="11"/>
  <c r="I34" i="11"/>
  <c r="R19" i="11"/>
  <c r="R27" i="11"/>
  <c r="I13" i="11"/>
  <c r="H16" i="11"/>
  <c r="I21" i="11"/>
  <c r="H24" i="11"/>
  <c r="I29" i="11"/>
  <c r="H32" i="11"/>
  <c r="T26" i="11"/>
  <c r="V26" i="11" s="1"/>
  <c r="AA26" i="11" s="1"/>
  <c r="AB26" i="11" s="1"/>
  <c r="T11" i="11"/>
  <c r="V11" i="11" s="1"/>
  <c r="AA11" i="11" s="1"/>
  <c r="AB11" i="11" s="1"/>
  <c r="V22" i="11"/>
  <c r="AA22" i="11" s="1"/>
  <c r="AB22" i="11" s="1"/>
  <c r="V16" i="11"/>
  <c r="AA16" i="11" s="1"/>
  <c r="AB16" i="11" s="1"/>
  <c r="V19" i="11"/>
  <c r="AA19" i="11" s="1"/>
  <c r="AB19" i="11" s="1"/>
  <c r="T24" i="11"/>
  <c r="V24" i="11" s="1"/>
  <c r="AA24" i="11" s="1"/>
  <c r="AB24" i="11" s="1"/>
  <c r="AC23" i="11" s="1"/>
  <c r="T13" i="11"/>
  <c r="V13" i="11" s="1"/>
  <c r="AA13" i="11" s="1"/>
  <c r="AB13" i="11" s="1"/>
  <c r="BE31" i="10"/>
  <c r="AT31" i="10"/>
  <c r="AT34" i="10"/>
  <c r="BE34" i="10"/>
  <c r="BD31" i="10"/>
  <c r="AS31" i="10"/>
  <c r="AV29" i="10"/>
  <c r="BA29" i="10" s="1"/>
  <c r="BK29" i="10" s="1"/>
  <c r="BG29" i="10"/>
  <c r="AS34" i="10"/>
  <c r="AX28" i="10"/>
  <c r="AT27" i="10"/>
  <c r="BE27" i="10"/>
  <c r="BH34" i="10"/>
  <c r="AW34" i="10"/>
  <c r="BG34" i="10"/>
  <c r="AV34" i="10"/>
  <c r="BA34" i="10" s="1"/>
  <c r="BK34" i="10" s="1"/>
  <c r="BF34" i="10"/>
  <c r="BE33" i="10"/>
  <c r="AE31" i="10"/>
  <c r="AD30" i="10"/>
  <c r="BI29" i="10"/>
  <c r="AC29" i="10"/>
  <c r="BH28" i="10"/>
  <c r="BG27" i="10"/>
  <c r="AA27" i="10"/>
  <c r="AF33" i="10"/>
  <c r="AE33" i="10"/>
  <c r="AA29" i="10"/>
  <c r="AD33" i="10"/>
  <c r="AA30" i="10"/>
  <c r="AC33" i="10"/>
  <c r="BG31" i="10"/>
  <c r="BF30" i="10"/>
  <c r="BE29" i="10"/>
  <c r="AF30" i="10"/>
  <c r="AE29" i="10"/>
  <c r="AD28" i="10"/>
  <c r="AT12" i="10"/>
  <c r="BE12" i="10"/>
  <c r="T15" i="10"/>
  <c r="AB15" i="10" s="1"/>
  <c r="Z12" i="10"/>
  <c r="Y14" i="10"/>
  <c r="W14" i="10"/>
  <c r="W15" i="10"/>
  <c r="U15" i="10"/>
  <c r="Y15" i="10"/>
  <c r="T23" i="10"/>
  <c r="T26" i="10"/>
  <c r="AA26" i="10" s="1"/>
  <c r="U14" i="10"/>
  <c r="Y20" i="10"/>
  <c r="AE20" i="10" s="1"/>
  <c r="U20" i="10"/>
  <c r="AA20" i="10" s="1"/>
  <c r="W20" i="10"/>
  <c r="AC20" i="10" s="1"/>
  <c r="Z23" i="10"/>
  <c r="U23" i="10"/>
  <c r="AA23" i="10" s="1"/>
  <c r="W18" i="10"/>
  <c r="U22" i="10"/>
  <c r="I11" i="10"/>
  <c r="J16" i="10"/>
  <c r="T16" i="10" s="1"/>
  <c r="I19" i="10"/>
  <c r="J24" i="10"/>
  <c r="T24" i="10" s="1"/>
  <c r="I27" i="10"/>
  <c r="J32" i="10"/>
  <c r="T32" i="10" s="1"/>
  <c r="AD32" i="10" s="1"/>
  <c r="R14" i="10"/>
  <c r="R22" i="10"/>
  <c r="R30" i="10"/>
  <c r="R25" i="10"/>
  <c r="H18" i="10"/>
  <c r="R20" i="10"/>
  <c r="H26" i="10"/>
  <c r="R28" i="10"/>
  <c r="H34" i="10"/>
  <c r="S12" i="10"/>
  <c r="U12" i="10" s="1"/>
  <c r="AA12" i="10" s="1"/>
  <c r="H13" i="10"/>
  <c r="R15" i="10"/>
  <c r="I18" i="10"/>
  <c r="H21" i="10"/>
  <c r="R23" i="10"/>
  <c r="I26" i="10"/>
  <c r="H29" i="10"/>
  <c r="R31" i="10"/>
  <c r="I34" i="10"/>
  <c r="I13" i="10"/>
  <c r="H16" i="10"/>
  <c r="R18" i="10"/>
  <c r="I21" i="10"/>
  <c r="H24" i="10"/>
  <c r="R26" i="10"/>
  <c r="I29" i="10"/>
  <c r="H32" i="10"/>
  <c r="R34" i="10"/>
  <c r="AF12" i="10"/>
  <c r="T14" i="10"/>
  <c r="AF23" i="10"/>
  <c r="AD23" i="10"/>
  <c r="AB23" i="10"/>
  <c r="Y16" i="10"/>
  <c r="Z16" i="10"/>
  <c r="W12" i="10"/>
  <c r="AC12" i="10" s="1"/>
  <c r="Y12" i="10"/>
  <c r="AE12" i="10" s="1"/>
  <c r="AE15" i="10"/>
  <c r="AD16" i="10"/>
  <c r="AC16" i="10"/>
  <c r="AB16" i="10"/>
  <c r="T18" i="10"/>
  <c r="AF19" i="10"/>
  <c r="AD19" i="10"/>
  <c r="AB20" i="10"/>
  <c r="T11" i="10"/>
  <c r="T13" i="10"/>
  <c r="AD20" i="10"/>
  <c r="Y24" i="10"/>
  <c r="T25" i="10"/>
  <c r="Z15" i="10"/>
  <c r="Z18" i="10"/>
  <c r="Y19" i="10"/>
  <c r="AE19" i="10" s="1"/>
  <c r="Z24" i="10"/>
  <c r="Z26" i="10"/>
  <c r="Y26" i="10"/>
  <c r="AD12" i="10"/>
  <c r="AF20" i="10"/>
  <c r="T21" i="10"/>
  <c r="T22" i="10"/>
  <c r="Y23" i="10"/>
  <c r="AE23" i="10" s="1"/>
  <c r="W23" i="10"/>
  <c r="AC23" i="10" s="1"/>
  <c r="Z25" i="10"/>
  <c r="Z11" i="10"/>
  <c r="U16" i="10"/>
  <c r="T17" i="10"/>
  <c r="AA19" i="10"/>
  <c r="Z21" i="10"/>
  <c r="Z22" i="10"/>
  <c r="Y22" i="10"/>
  <c r="W26" i="10"/>
  <c r="AB19" i="10"/>
  <c r="Z14" i="10"/>
  <c r="Z17" i="10"/>
  <c r="AC19" i="10"/>
  <c r="W31" i="9"/>
  <c r="Y31" i="9"/>
  <c r="AE31" i="9" s="1"/>
  <c r="Y32" i="9"/>
  <c r="W32" i="9"/>
  <c r="AC32" i="9" s="1"/>
  <c r="Y33" i="9"/>
  <c r="W33" i="9"/>
  <c r="Z33" i="9"/>
  <c r="U31" i="9"/>
  <c r="AA31" i="9" s="1"/>
  <c r="U32" i="9"/>
  <c r="U33" i="9"/>
  <c r="AC31" i="9"/>
  <c r="AB31" i="9"/>
  <c r="AD31" i="9"/>
  <c r="AB32" i="9"/>
  <c r="AA32" i="9"/>
  <c r="AE32" i="9"/>
  <c r="AD32" i="9"/>
  <c r="Z31" i="9"/>
  <c r="AF31" i="9" s="1"/>
  <c r="Z32" i="9"/>
  <c r="AF32" i="9" s="1"/>
  <c r="AE34" i="9"/>
  <c r="AD34" i="9"/>
  <c r="AB34" i="9"/>
  <c r="AA34" i="9"/>
  <c r="R33" i="9"/>
  <c r="R31" i="9"/>
  <c r="R32" i="9"/>
  <c r="BE31" i="8"/>
  <c r="AN31" i="8"/>
  <c r="AJ31" i="8"/>
  <c r="AI31" i="8"/>
  <c r="BB31" i="8"/>
  <c r="AK31" i="8"/>
  <c r="X34" i="8"/>
  <c r="Y32" i="8"/>
  <c r="BA32" i="8" s="1"/>
  <c r="BF31" i="8"/>
  <c r="BG31" i="8"/>
  <c r="H33" i="8"/>
  <c r="R34" i="8"/>
  <c r="V34" i="8" s="1"/>
  <c r="I33" i="8"/>
  <c r="BD33" i="8" s="1"/>
  <c r="BG33" i="8" s="1"/>
  <c r="AH31" i="8"/>
  <c r="AL31" i="8"/>
  <c r="H32" i="8"/>
  <c r="R33" i="8"/>
  <c r="Y33" i="8" s="1"/>
  <c r="BA33" i="8" s="1"/>
  <c r="AH33" i="8"/>
  <c r="AB34" i="8"/>
  <c r="AJ34" i="8"/>
  <c r="AB31" i="8"/>
  <c r="H31" i="8"/>
  <c r="AM31" i="8"/>
  <c r="I32" i="8"/>
  <c r="BC32" i="8" s="1"/>
  <c r="BF32" i="8" s="1"/>
  <c r="AL34" i="8"/>
  <c r="BD30" i="9"/>
  <c r="AS24" i="9"/>
  <c r="BD24" i="9"/>
  <c r="AV22" i="9"/>
  <c r="BA22" i="9" s="1"/>
  <c r="BK22" i="9" s="1"/>
  <c r="BG22" i="9"/>
  <c r="AU18" i="9"/>
  <c r="AZ18" i="9" s="1"/>
  <c r="BJ18" i="9" s="1"/>
  <c r="BF18" i="9"/>
  <c r="BH26" i="9"/>
  <c r="AU22" i="9"/>
  <c r="AZ22" i="9" s="1"/>
  <c r="BJ22" i="9" s="1"/>
  <c r="BF22" i="9"/>
  <c r="BI20" i="9"/>
  <c r="AX20" i="9"/>
  <c r="AT14" i="9"/>
  <c r="BE14" i="9"/>
  <c r="BI12" i="9"/>
  <c r="AX12" i="9"/>
  <c r="AT22" i="9"/>
  <c r="BE22" i="9"/>
  <c r="BH20" i="9"/>
  <c r="AW20" i="9"/>
  <c r="AW12" i="9"/>
  <c r="BH30" i="9"/>
  <c r="AW30" i="9"/>
  <c r="AV28" i="9"/>
  <c r="BA28" i="9" s="1"/>
  <c r="BK28" i="9" s="1"/>
  <c r="BG28" i="9"/>
  <c r="AU26" i="9"/>
  <c r="AZ26" i="9" s="1"/>
  <c r="BJ26" i="9" s="1"/>
  <c r="BF26" i="9"/>
  <c r="AX25" i="9"/>
  <c r="BI25" i="9"/>
  <c r="AW24" i="9"/>
  <c r="AV20" i="9"/>
  <c r="BA20" i="9" s="1"/>
  <c r="BK20" i="9" s="1"/>
  <c r="BG20" i="9"/>
  <c r="BG16" i="9"/>
  <c r="AT15" i="9"/>
  <c r="AV12" i="9"/>
  <c r="BA12" i="9" s="1"/>
  <c r="BK12" i="9" s="1"/>
  <c r="BG12" i="9"/>
  <c r="AV30" i="9"/>
  <c r="BA30" i="9" s="1"/>
  <c r="BK30" i="9" s="1"/>
  <c r="BG30" i="9"/>
  <c r="BF20" i="9"/>
  <c r="AX21" i="9"/>
  <c r="BI21" i="9"/>
  <c r="AT20" i="9"/>
  <c r="BE20" i="9"/>
  <c r="BI18" i="9"/>
  <c r="AX18" i="9"/>
  <c r="AT16" i="9"/>
  <c r="BI15" i="9"/>
  <c r="AT12" i="9"/>
  <c r="BB12" i="9" s="1"/>
  <c r="BE12" i="9"/>
  <c r="AT30" i="9"/>
  <c r="BE30" i="9"/>
  <c r="AV26" i="9"/>
  <c r="BA26" i="9" s="1"/>
  <c r="BK26" i="9" s="1"/>
  <c r="BG26" i="9"/>
  <c r="BH22" i="9"/>
  <c r="AW22" i="9"/>
  <c r="BG14" i="9"/>
  <c r="AT13" i="9"/>
  <c r="AE29" i="9"/>
  <c r="AA28" i="9"/>
  <c r="AE27" i="9"/>
  <c r="AE25" i="9"/>
  <c r="AE23" i="9"/>
  <c r="AU19" i="9"/>
  <c r="AZ19" i="9" s="1"/>
  <c r="BJ19" i="9" s="1"/>
  <c r="AE19" i="9"/>
  <c r="AU17" i="9"/>
  <c r="AZ17" i="9" s="1"/>
  <c r="BJ17" i="9" s="1"/>
  <c r="AE17" i="9"/>
  <c r="AU15" i="9"/>
  <c r="AZ15" i="9" s="1"/>
  <c r="BJ15" i="9" s="1"/>
  <c r="AE15" i="9"/>
  <c r="AT29" i="9"/>
  <c r="AD29" i="9"/>
  <c r="AX28" i="9"/>
  <c r="AT27" i="9"/>
  <c r="AD27" i="9"/>
  <c r="AX26" i="9"/>
  <c r="AT25" i="9"/>
  <c r="AD25" i="9"/>
  <c r="AT23" i="9"/>
  <c r="AD23" i="9"/>
  <c r="AX22" i="9"/>
  <c r="AT21" i="9"/>
  <c r="AD21" i="9"/>
  <c r="AC29" i="9"/>
  <c r="AC25" i="9"/>
  <c r="AC23" i="9"/>
  <c r="AC21" i="9"/>
  <c r="AA29" i="9"/>
  <c r="AA25" i="9"/>
  <c r="AA23" i="9"/>
  <c r="AA21" i="9"/>
  <c r="AA19" i="9"/>
  <c r="BG17" i="9"/>
  <c r="AA17" i="9"/>
  <c r="BG15" i="9"/>
  <c r="AA15" i="9"/>
  <c r="BG13" i="9"/>
  <c r="AA13" i="9"/>
  <c r="Z11" i="9"/>
  <c r="W11" i="9"/>
  <c r="R15" i="9"/>
  <c r="R23" i="9"/>
  <c r="H27" i="9"/>
  <c r="I11" i="9"/>
  <c r="H14" i="9"/>
  <c r="R16" i="9"/>
  <c r="I19" i="9"/>
  <c r="H22" i="9"/>
  <c r="R24" i="9"/>
  <c r="I27" i="9"/>
  <c r="H30" i="9"/>
  <c r="J11" i="9"/>
  <c r="R11" i="9"/>
  <c r="I14" i="9"/>
  <c r="J19" i="9"/>
  <c r="T19" i="9" s="1"/>
  <c r="AD19" i="9" s="1"/>
  <c r="AV19" i="9" s="1"/>
  <c r="BA19" i="9" s="1"/>
  <c r="BK19" i="9" s="1"/>
  <c r="I22" i="9"/>
  <c r="R27" i="9"/>
  <c r="I30" i="9"/>
  <c r="H12" i="9"/>
  <c r="R14" i="9"/>
  <c r="I17" i="9"/>
  <c r="H20" i="9"/>
  <c r="R22" i="9"/>
  <c r="I25" i="9"/>
  <c r="H28" i="9"/>
  <c r="R30" i="9"/>
  <c r="T11" i="9"/>
  <c r="Y11" i="9"/>
  <c r="BE30" i="8"/>
  <c r="BH30" i="8" s="1"/>
  <c r="BB30" i="8"/>
  <c r="BE25" i="8"/>
  <c r="BH25" i="8" s="1"/>
  <c r="J29" i="8"/>
  <c r="J21" i="8"/>
  <c r="J13" i="8"/>
  <c r="I29" i="8"/>
  <c r="J26" i="8"/>
  <c r="I21" i="8"/>
  <c r="AN21" i="8" s="1"/>
  <c r="J18" i="8"/>
  <c r="I13" i="8"/>
  <c r="AK13" i="8" s="1"/>
  <c r="I26" i="8"/>
  <c r="J23" i="8"/>
  <c r="I18" i="8"/>
  <c r="AI18" i="8" s="1"/>
  <c r="J15" i="8"/>
  <c r="S12" i="8"/>
  <c r="J28" i="8"/>
  <c r="S25" i="8"/>
  <c r="I23" i="8"/>
  <c r="BC23" i="8" s="1"/>
  <c r="BF23" i="8" s="1"/>
  <c r="J20" i="8"/>
  <c r="S17" i="8"/>
  <c r="I15" i="8"/>
  <c r="BD15" i="8" s="1"/>
  <c r="BG15" i="8" s="1"/>
  <c r="J12" i="8"/>
  <c r="AZ11" i="8"/>
  <c r="AO25" i="8" l="1"/>
  <c r="AO22" i="8"/>
  <c r="AO30" i="8"/>
  <c r="AB32" i="10"/>
  <c r="AE33" i="9"/>
  <c r="BH33" i="9" s="1"/>
  <c r="AV32" i="10"/>
  <c r="BA32" i="10" s="1"/>
  <c r="BK32" i="10" s="1"/>
  <c r="BG32" i="10"/>
  <c r="AF33" i="9"/>
  <c r="AC32" i="10"/>
  <c r="AB33" i="9"/>
  <c r="AA33" i="9"/>
  <c r="AE32" i="10"/>
  <c r="AA32" i="10"/>
  <c r="AF32" i="10"/>
  <c r="AX32" i="10" s="1"/>
  <c r="AC33" i="9"/>
  <c r="AU33" i="9" s="1"/>
  <c r="AZ33" i="9" s="1"/>
  <c r="BJ33" i="9" s="1"/>
  <c r="AS33" i="10"/>
  <c r="BF30" i="9"/>
  <c r="BF28" i="9"/>
  <c r="AW28" i="9"/>
  <c r="BI30" i="8"/>
  <c r="AM29" i="8"/>
  <c r="BD29" i="8"/>
  <c r="BG29" i="8" s="1"/>
  <c r="AL29" i="8"/>
  <c r="AJ29" i="8"/>
  <c r="AN29" i="8"/>
  <c r="AD26" i="10"/>
  <c r="AE26" i="10"/>
  <c r="AW26" i="10" s="1"/>
  <c r="AB26" i="10"/>
  <c r="AT26" i="10" s="1"/>
  <c r="AC26" i="10"/>
  <c r="AU26" i="10" s="1"/>
  <c r="AZ26" i="10" s="1"/>
  <c r="BJ26" i="10" s="1"/>
  <c r="AF26" i="10"/>
  <c r="AV24" i="9"/>
  <c r="BA24" i="9" s="1"/>
  <c r="BK24" i="9" s="1"/>
  <c r="AU24" i="9"/>
  <c r="AZ24" i="9" s="1"/>
  <c r="BJ24" i="9" s="1"/>
  <c r="AX24" i="9"/>
  <c r="BE24" i="9"/>
  <c r="AM26" i="8"/>
  <c r="AJ26" i="8"/>
  <c r="AL26" i="8"/>
  <c r="BC26" i="8"/>
  <c r="BF26" i="8" s="1"/>
  <c r="AN26" i="8"/>
  <c r="AK26" i="8"/>
  <c r="BD26" i="8"/>
  <c r="BG26" i="8" s="1"/>
  <c r="AI26" i="8"/>
  <c r="AJ23" i="8"/>
  <c r="AL23" i="8"/>
  <c r="AK23" i="8"/>
  <c r="AM23" i="8"/>
  <c r="BD23" i="8"/>
  <c r="BG23" i="8" s="1"/>
  <c r="AF19" i="9"/>
  <c r="BG19" i="9"/>
  <c r="AB19" i="9"/>
  <c r="BE21" i="8"/>
  <c r="BH21" i="8" s="1"/>
  <c r="AL21" i="8"/>
  <c r="AJ21" i="8"/>
  <c r="BD21" i="8"/>
  <c r="BG21" i="8" s="1"/>
  <c r="AM21" i="8"/>
  <c r="AI21" i="8"/>
  <c r="AD15" i="10"/>
  <c r="AF15" i="10"/>
  <c r="AA15" i="10"/>
  <c r="BD15" i="10" s="1"/>
  <c r="AC15" i="10"/>
  <c r="AW18" i="9"/>
  <c r="AT18" i="9"/>
  <c r="AM18" i="8"/>
  <c r="AN18" i="8"/>
  <c r="AX16" i="9"/>
  <c r="AV18" i="9"/>
  <c r="BA18" i="9" s="1"/>
  <c r="BK18" i="9" s="1"/>
  <c r="BB18" i="9"/>
  <c r="AI15" i="8"/>
  <c r="AS16" i="9"/>
  <c r="BC15" i="8"/>
  <c r="BF15" i="8" s="1"/>
  <c r="AM15" i="8"/>
  <c r="AL18" i="8"/>
  <c r="AJ18" i="8"/>
  <c r="AT17" i="9"/>
  <c r="AW16" i="9"/>
  <c r="BD18" i="9"/>
  <c r="AJ15" i="8"/>
  <c r="AL15" i="8"/>
  <c r="AN15" i="8"/>
  <c r="AU16" i="9"/>
  <c r="AZ16" i="9" s="1"/>
  <c r="BJ16" i="9" s="1"/>
  <c r="AK15" i="8"/>
  <c r="BD18" i="8"/>
  <c r="BG18" i="8" s="1"/>
  <c r="AU13" i="9"/>
  <c r="AZ13" i="9" s="1"/>
  <c r="BJ13" i="9" s="1"/>
  <c r="AY12" i="9"/>
  <c r="AC11" i="11"/>
  <c r="AN13" i="8"/>
  <c r="BC13" i="8"/>
  <c r="BF13" i="8" s="1"/>
  <c r="BH14" i="9"/>
  <c r="BD14" i="9"/>
  <c r="AM13" i="8"/>
  <c r="AL13" i="8"/>
  <c r="BD13" i="8"/>
  <c r="BG13" i="8" s="1"/>
  <c r="AJ13" i="8"/>
  <c r="BF12" i="9"/>
  <c r="AO12" i="8"/>
  <c r="AO31" i="8"/>
  <c r="BI31" i="10"/>
  <c r="AW30" i="10"/>
  <c r="BH30" i="10"/>
  <c r="BJ30" i="8"/>
  <c r="BI30" i="9"/>
  <c r="AX30" i="9"/>
  <c r="BB30" i="9" s="1"/>
  <c r="AX29" i="9"/>
  <c r="BI29" i="9"/>
  <c r="BE28" i="8"/>
  <c r="BH28" i="8" s="1"/>
  <c r="AO28" i="8"/>
  <c r="AX29" i="8"/>
  <c r="BC29" i="8" s="1"/>
  <c r="BF29" i="8" s="1"/>
  <c r="AK29" i="8"/>
  <c r="AZ29" i="8"/>
  <c r="BA29" i="8"/>
  <c r="BB28" i="10"/>
  <c r="AX28" i="8"/>
  <c r="BD28" i="10"/>
  <c r="BL28" i="10" s="1"/>
  <c r="BN28" i="10" s="1"/>
  <c r="BF28" i="10"/>
  <c r="BH27" i="10"/>
  <c r="AZ27" i="8"/>
  <c r="AM27" i="8"/>
  <c r="AX27" i="9"/>
  <c r="BI27" i="9"/>
  <c r="AU27" i="10"/>
  <c r="AZ27" i="10" s="1"/>
  <c r="BJ27" i="10" s="1"/>
  <c r="AX27" i="10"/>
  <c r="BA27" i="8"/>
  <c r="AN27" i="8"/>
  <c r="BB26" i="8"/>
  <c r="AX25" i="8"/>
  <c r="AM24" i="8"/>
  <c r="AZ24" i="8"/>
  <c r="BA23" i="8"/>
  <c r="AI23" i="8"/>
  <c r="AV23" i="8"/>
  <c r="BI23" i="9"/>
  <c r="BE22" i="8"/>
  <c r="BH22" i="8" s="1"/>
  <c r="AY22" i="9"/>
  <c r="BB22" i="9"/>
  <c r="AX22" i="8"/>
  <c r="BC22" i="8" s="1"/>
  <c r="BF22" i="8" s="1"/>
  <c r="AK21" i="8"/>
  <c r="AX21" i="8"/>
  <c r="BB20" i="9"/>
  <c r="AN20" i="8"/>
  <c r="AO20" i="8" s="1"/>
  <c r="BA20" i="8"/>
  <c r="BE20" i="8" s="1"/>
  <c r="BH20" i="8" s="1"/>
  <c r="BI20" i="8" s="1"/>
  <c r="BA19" i="8"/>
  <c r="AN19" i="8"/>
  <c r="AO19" i="8" s="1"/>
  <c r="BF14" i="9"/>
  <c r="AX14" i="9"/>
  <c r="BB14" i="9" s="1"/>
  <c r="BA13" i="8"/>
  <c r="AX18" i="8"/>
  <c r="BC18" i="8" s="1"/>
  <c r="BF18" i="8" s="1"/>
  <c r="AK18" i="8"/>
  <c r="AZ18" i="8"/>
  <c r="BE18" i="8" s="1"/>
  <c r="BH18" i="8" s="1"/>
  <c r="AX17" i="9"/>
  <c r="BI17" i="9"/>
  <c r="BA17" i="8"/>
  <c r="AN17" i="8"/>
  <c r="AO17" i="8" s="1"/>
  <c r="AF16" i="10"/>
  <c r="BI16" i="10" s="1"/>
  <c r="AK16" i="8"/>
  <c r="AX16" i="8"/>
  <c r="AZ15" i="8"/>
  <c r="BA15" i="8"/>
  <c r="AX14" i="8"/>
  <c r="AZ14" i="8"/>
  <c r="BE14" i="8" s="1"/>
  <c r="BH14" i="8" s="1"/>
  <c r="AM14" i="8"/>
  <c r="AX13" i="9"/>
  <c r="BI13" i="9"/>
  <c r="AI13" i="8"/>
  <c r="AV13" i="8"/>
  <c r="BB13" i="8" s="1"/>
  <c r="AX12" i="8"/>
  <c r="AZ12" i="8"/>
  <c r="BE12" i="8" s="1"/>
  <c r="BH12" i="8" s="1"/>
  <c r="AC15" i="11"/>
  <c r="AC19" i="11"/>
  <c r="AW29" i="10"/>
  <c r="BH29" i="10"/>
  <c r="BD30" i="10"/>
  <c r="AS30" i="10"/>
  <c r="AU29" i="10"/>
  <c r="AZ29" i="10" s="1"/>
  <c r="BJ29" i="10" s="1"/>
  <c r="BF29" i="10"/>
  <c r="AX30" i="10"/>
  <c r="BI30" i="10"/>
  <c r="BG33" i="10"/>
  <c r="AV33" i="10"/>
  <c r="BA33" i="10" s="1"/>
  <c r="BK33" i="10" s="1"/>
  <c r="BD29" i="10"/>
  <c r="AS29" i="10"/>
  <c r="AV30" i="10"/>
  <c r="BA30" i="10" s="1"/>
  <c r="BK30" i="10" s="1"/>
  <c r="BG30" i="10"/>
  <c r="BH33" i="10"/>
  <c r="AW33" i="10"/>
  <c r="AW31" i="10"/>
  <c r="BB31" i="10" s="1"/>
  <c r="BH31" i="10"/>
  <c r="BL31" i="10" s="1"/>
  <c r="BN31" i="10" s="1"/>
  <c r="AX33" i="10"/>
  <c r="BB33" i="10" s="1"/>
  <c r="BI33" i="10"/>
  <c r="AS27" i="10"/>
  <c r="BD27" i="10"/>
  <c r="BL34" i="10"/>
  <c r="BN34" i="10" s="1"/>
  <c r="AV28" i="10"/>
  <c r="BA28" i="10" s="1"/>
  <c r="BK28" i="10" s="1"/>
  <c r="BG28" i="10"/>
  <c r="BF33" i="10"/>
  <c r="AU33" i="10"/>
  <c r="AZ33" i="10" s="1"/>
  <c r="BJ33" i="10" s="1"/>
  <c r="AY34" i="10"/>
  <c r="BB34" i="10"/>
  <c r="AE16" i="10"/>
  <c r="BH16" i="10" s="1"/>
  <c r="AA16" i="10"/>
  <c r="AS16" i="10" s="1"/>
  <c r="AX26" i="10"/>
  <c r="BI26" i="10"/>
  <c r="AA21" i="10"/>
  <c r="AC21" i="10"/>
  <c r="AB21" i="10"/>
  <c r="AE21" i="10"/>
  <c r="AF21" i="10"/>
  <c r="AD21" i="10"/>
  <c r="BH19" i="10"/>
  <c r="AW19" i="10"/>
  <c r="AB25" i="10"/>
  <c r="AA25" i="10"/>
  <c r="AE25" i="10"/>
  <c r="AF25" i="10"/>
  <c r="AC25" i="10"/>
  <c r="AD25" i="10"/>
  <c r="AU23" i="10"/>
  <c r="AZ23" i="10" s="1"/>
  <c r="BJ23" i="10" s="1"/>
  <c r="BF23" i="10"/>
  <c r="AW23" i="10"/>
  <c r="BH23" i="10"/>
  <c r="BI15" i="10"/>
  <c r="AX15" i="10"/>
  <c r="AF18" i="10"/>
  <c r="AB18" i="10"/>
  <c r="AE18" i="10"/>
  <c r="AD18" i="10"/>
  <c r="AC18" i="10"/>
  <c r="AA18" i="10"/>
  <c r="BD23" i="10"/>
  <c r="AS23" i="10"/>
  <c r="AV19" i="10"/>
  <c r="BA19" i="10" s="1"/>
  <c r="BK19" i="10" s="1"/>
  <c r="BG19" i="10"/>
  <c r="BD19" i="10"/>
  <c r="AS19" i="10"/>
  <c r="AU12" i="10"/>
  <c r="AZ12" i="10" s="1"/>
  <c r="BJ12" i="10" s="1"/>
  <c r="BF12" i="10"/>
  <c r="AW15" i="10"/>
  <c r="BH15" i="10"/>
  <c r="BG20" i="10"/>
  <c r="AV20" i="10"/>
  <c r="BA20" i="10" s="1"/>
  <c r="BK20" i="10" s="1"/>
  <c r="BF16" i="10"/>
  <c r="AU16" i="10"/>
  <c r="AZ16" i="10" s="1"/>
  <c r="BJ16" i="10" s="1"/>
  <c r="BE23" i="10"/>
  <c r="AT23" i="10"/>
  <c r="AU15" i="10"/>
  <c r="AZ15" i="10" s="1"/>
  <c r="BJ15" i="10" s="1"/>
  <c r="BF15" i="10"/>
  <c r="AV12" i="10"/>
  <c r="BA12" i="10" s="1"/>
  <c r="BK12" i="10" s="1"/>
  <c r="BG12" i="10"/>
  <c r="BI19" i="10"/>
  <c r="AX19" i="10"/>
  <c r="AV23" i="10"/>
  <c r="BA23" i="10" s="1"/>
  <c r="BK23" i="10" s="1"/>
  <c r="BG23" i="10"/>
  <c r="BH26" i="10"/>
  <c r="AT19" i="10"/>
  <c r="BE19" i="10"/>
  <c r="AS15" i="10"/>
  <c r="AC13" i="10"/>
  <c r="AB13" i="10"/>
  <c r="AA13" i="10"/>
  <c r="AF13" i="10"/>
  <c r="AE13" i="10"/>
  <c r="AD13" i="10"/>
  <c r="BG16" i="10"/>
  <c r="AV16" i="10"/>
  <c r="BA16" i="10" s="1"/>
  <c r="BK16" i="10" s="1"/>
  <c r="AU19" i="10"/>
  <c r="AZ19" i="10" s="1"/>
  <c r="BJ19" i="10" s="1"/>
  <c r="BF19" i="10"/>
  <c r="AB17" i="10"/>
  <c r="AD17" i="10"/>
  <c r="AC17" i="10"/>
  <c r="AF17" i="10"/>
  <c r="AF22" i="10"/>
  <c r="AE22" i="10"/>
  <c r="AD22" i="10"/>
  <c r="AC22" i="10"/>
  <c r="AA22" i="10"/>
  <c r="AB22" i="10"/>
  <c r="BH12" i="10"/>
  <c r="AW12" i="10"/>
  <c r="BD26" i="10"/>
  <c r="AS26" i="10"/>
  <c r="BH20" i="10"/>
  <c r="AW20" i="10"/>
  <c r="BF20" i="10"/>
  <c r="AU20" i="10"/>
  <c r="AZ20" i="10" s="1"/>
  <c r="BJ20" i="10" s="1"/>
  <c r="AF11" i="10"/>
  <c r="AE11" i="10"/>
  <c r="AD11" i="10"/>
  <c r="AC11" i="10"/>
  <c r="AB11" i="10"/>
  <c r="AA11" i="10"/>
  <c r="BE26" i="10"/>
  <c r="BI23" i="10"/>
  <c r="AX23" i="10"/>
  <c r="Y17" i="10"/>
  <c r="AE17" i="10" s="1"/>
  <c r="W17" i="10"/>
  <c r="U17" i="10"/>
  <c r="AA17" i="10" s="1"/>
  <c r="AS20" i="10"/>
  <c r="BD20" i="10"/>
  <c r="AV26" i="10"/>
  <c r="BA26" i="10" s="1"/>
  <c r="BK26" i="10" s="1"/>
  <c r="BG26" i="10"/>
  <c r="AA14" i="10"/>
  <c r="AF14" i="10"/>
  <c r="AE14" i="10"/>
  <c r="AD14" i="10"/>
  <c r="AC14" i="10"/>
  <c r="AB14" i="10"/>
  <c r="AV15" i="10"/>
  <c r="BA15" i="10" s="1"/>
  <c r="BK15" i="10" s="1"/>
  <c r="BG15" i="10"/>
  <c r="BE15" i="10"/>
  <c r="AT15" i="10"/>
  <c r="BI20" i="10"/>
  <c r="AX20" i="10"/>
  <c r="AS12" i="10"/>
  <c r="BD12" i="10"/>
  <c r="AD24" i="10"/>
  <c r="AC24" i="10"/>
  <c r="AB24" i="10"/>
  <c r="AA24" i="10"/>
  <c r="AF24" i="10"/>
  <c r="AE24" i="10"/>
  <c r="AT20" i="10"/>
  <c r="BE20" i="10"/>
  <c r="AT16" i="10"/>
  <c r="BE16" i="10"/>
  <c r="BI12" i="10"/>
  <c r="AX12" i="10"/>
  <c r="BI31" i="9"/>
  <c r="AX31" i="9"/>
  <c r="AW33" i="9"/>
  <c r="BF32" i="9"/>
  <c r="AU32" i="9"/>
  <c r="AZ32" i="9" s="1"/>
  <c r="BJ32" i="9" s="1"/>
  <c r="BI32" i="9"/>
  <c r="AX32" i="9"/>
  <c r="BG34" i="9"/>
  <c r="AV34" i="9"/>
  <c r="BA34" i="9" s="1"/>
  <c r="BK34" i="9" s="1"/>
  <c r="BG31" i="9"/>
  <c r="AV31" i="9"/>
  <c r="BA31" i="9" s="1"/>
  <c r="BK31" i="9" s="1"/>
  <c r="BH34" i="9"/>
  <c r="AW34" i="9"/>
  <c r="BG33" i="9"/>
  <c r="AV33" i="9"/>
  <c r="BA33" i="9" s="1"/>
  <c r="BK33" i="9" s="1"/>
  <c r="BH31" i="9"/>
  <c r="AW31" i="9"/>
  <c r="BG32" i="9"/>
  <c r="AV32" i="9"/>
  <c r="BA32" i="9" s="1"/>
  <c r="BK32" i="9" s="1"/>
  <c r="BH32" i="9"/>
  <c r="AW32" i="9"/>
  <c r="AS31" i="9"/>
  <c r="BD31" i="9"/>
  <c r="BI34" i="9"/>
  <c r="AX34" i="9"/>
  <c r="AT31" i="9"/>
  <c r="BE31" i="9"/>
  <c r="AS34" i="9"/>
  <c r="BD34" i="9"/>
  <c r="AU34" i="9"/>
  <c r="AZ34" i="9" s="1"/>
  <c r="BJ34" i="9" s="1"/>
  <c r="BF34" i="9"/>
  <c r="AS33" i="9"/>
  <c r="BD33" i="9"/>
  <c r="AT32" i="9"/>
  <c r="BE32" i="9"/>
  <c r="BI33" i="9"/>
  <c r="AX33" i="9"/>
  <c r="AS32" i="9"/>
  <c r="BD32" i="9"/>
  <c r="AU31" i="9"/>
  <c r="AZ31" i="9" s="1"/>
  <c r="BJ31" i="9" s="1"/>
  <c r="BF31" i="9"/>
  <c r="AT34" i="9"/>
  <c r="BE34" i="9"/>
  <c r="AT33" i="9"/>
  <c r="BE33" i="9"/>
  <c r="AX34" i="8"/>
  <c r="BC34" i="8" s="1"/>
  <c r="BF34" i="8" s="1"/>
  <c r="AK34" i="8"/>
  <c r="AM34" i="8"/>
  <c r="AZ34" i="8"/>
  <c r="T33" i="8"/>
  <c r="AV33" i="8" s="1"/>
  <c r="BE33" i="8" s="1"/>
  <c r="BH33" i="8" s="1"/>
  <c r="Y34" i="8"/>
  <c r="V33" i="8"/>
  <c r="AX33" i="8" s="1"/>
  <c r="BC33" i="8" s="1"/>
  <c r="BF33" i="8" s="1"/>
  <c r="X33" i="8"/>
  <c r="AZ33" i="8" s="1"/>
  <c r="T34" i="8"/>
  <c r="BE32" i="8"/>
  <c r="BH32" i="8" s="1"/>
  <c r="AK32" i="8"/>
  <c r="AN32" i="8"/>
  <c r="BB32" i="8"/>
  <c r="AJ32" i="8"/>
  <c r="AI32" i="8"/>
  <c r="AM32" i="8"/>
  <c r="AL32" i="8"/>
  <c r="AJ33" i="8"/>
  <c r="AM33" i="8"/>
  <c r="AL33" i="8"/>
  <c r="AK33" i="8"/>
  <c r="AN33" i="8"/>
  <c r="BD32" i="8"/>
  <c r="BG32" i="8" s="1"/>
  <c r="BH31" i="8"/>
  <c r="BJ31" i="8" s="1"/>
  <c r="BF25" i="9"/>
  <c r="AU25" i="9"/>
  <c r="AZ25" i="9" s="1"/>
  <c r="BJ25" i="9" s="1"/>
  <c r="BD13" i="9"/>
  <c r="AS13" i="9"/>
  <c r="BD21" i="9"/>
  <c r="AS21" i="9"/>
  <c r="BF27" i="9"/>
  <c r="AU27" i="9"/>
  <c r="AZ27" i="9" s="1"/>
  <c r="BJ27" i="9" s="1"/>
  <c r="AV25" i="9"/>
  <c r="BA25" i="9" s="1"/>
  <c r="BK25" i="9" s="1"/>
  <c r="BG25" i="9"/>
  <c r="AW13" i="9"/>
  <c r="BH13" i="9"/>
  <c r="AW21" i="9"/>
  <c r="BH21" i="9"/>
  <c r="BB24" i="9"/>
  <c r="AY24" i="9"/>
  <c r="BD23" i="9"/>
  <c r="AS23" i="9"/>
  <c r="BF29" i="9"/>
  <c r="AU29" i="9"/>
  <c r="AZ29" i="9" s="1"/>
  <c r="BJ29" i="9" s="1"/>
  <c r="AW23" i="9"/>
  <c r="BH23" i="9"/>
  <c r="AY14" i="9"/>
  <c r="BD15" i="9"/>
  <c r="AS15" i="9"/>
  <c r="BD25" i="9"/>
  <c r="AS25" i="9"/>
  <c r="AV21" i="9"/>
  <c r="BA21" i="9" s="1"/>
  <c r="BK21" i="9" s="1"/>
  <c r="BG21" i="9"/>
  <c r="AW15" i="9"/>
  <c r="BH15" i="9"/>
  <c r="AW25" i="9"/>
  <c r="BH25" i="9"/>
  <c r="BD27" i="9"/>
  <c r="AS27" i="9"/>
  <c r="AV27" i="9"/>
  <c r="BA27" i="9" s="1"/>
  <c r="BK27" i="9" s="1"/>
  <c r="BG27" i="9"/>
  <c r="AS26" i="9"/>
  <c r="BD26" i="9"/>
  <c r="AY20" i="9"/>
  <c r="AW27" i="9"/>
  <c r="BH27" i="9"/>
  <c r="BD29" i="9"/>
  <c r="AS29" i="9"/>
  <c r="AW17" i="9"/>
  <c r="BH17" i="9"/>
  <c r="BF21" i="9"/>
  <c r="AU21" i="9"/>
  <c r="AZ21" i="9" s="1"/>
  <c r="BJ21" i="9" s="1"/>
  <c r="AV23" i="9"/>
  <c r="BA23" i="9" s="1"/>
  <c r="BK23" i="9" s="1"/>
  <c r="BG23" i="9"/>
  <c r="AS28" i="9"/>
  <c r="BD28" i="9"/>
  <c r="BD17" i="9"/>
  <c r="AS17" i="9"/>
  <c r="BD19" i="9"/>
  <c r="AS19" i="9"/>
  <c r="BF23" i="9"/>
  <c r="AU23" i="9"/>
  <c r="AZ23" i="9" s="1"/>
  <c r="BJ23" i="9" s="1"/>
  <c r="AV29" i="9"/>
  <c r="BA29" i="9" s="1"/>
  <c r="BK29" i="9" s="1"/>
  <c r="BG29" i="9"/>
  <c r="AW19" i="9"/>
  <c r="BH19" i="9"/>
  <c r="AW29" i="9"/>
  <c r="BH29" i="9"/>
  <c r="AB11" i="9"/>
  <c r="AA11" i="9"/>
  <c r="AF11" i="9"/>
  <c r="AE11" i="9"/>
  <c r="AD11" i="9"/>
  <c r="AC11" i="9"/>
  <c r="BJ22" i="8"/>
  <c r="AJ11" i="8"/>
  <c r="AL11" i="8"/>
  <c r="AM11" i="8"/>
  <c r="AV11" i="8"/>
  <c r="BA11" i="8"/>
  <c r="AX11" i="8"/>
  <c r="BC11" i="8" s="1"/>
  <c r="BF11" i="8" s="1"/>
  <c r="BD11" i="8"/>
  <c r="BG11" i="8" s="1"/>
  <c r="AO21" i="8" l="1"/>
  <c r="AO26" i="8"/>
  <c r="AO29" i="8"/>
  <c r="AO18" i="8"/>
  <c r="BI26" i="8"/>
  <c r="BI32" i="10"/>
  <c r="AS32" i="10"/>
  <c r="AY32" i="10" s="1"/>
  <c r="BD32" i="10"/>
  <c r="BF33" i="9"/>
  <c r="AU32" i="10"/>
  <c r="AZ32" i="10" s="1"/>
  <c r="BJ32" i="10" s="1"/>
  <c r="BF32" i="10"/>
  <c r="BL33" i="10"/>
  <c r="BN33" i="10" s="1"/>
  <c r="AW32" i="10"/>
  <c r="BH32" i="10"/>
  <c r="BE32" i="10"/>
  <c r="AT32" i="10"/>
  <c r="BL30" i="10"/>
  <c r="BN30" i="10" s="1"/>
  <c r="AY28" i="10"/>
  <c r="BL27" i="10"/>
  <c r="BN27" i="10" s="1"/>
  <c r="BF26" i="10"/>
  <c r="BJ26" i="8"/>
  <c r="AO23" i="8"/>
  <c r="BE19" i="9"/>
  <c r="AT19" i="9"/>
  <c r="BJ20" i="8"/>
  <c r="AX19" i="9"/>
  <c r="BB19" i="9" s="1"/>
  <c r="BI19" i="9"/>
  <c r="AY16" i="9"/>
  <c r="AY18" i="9"/>
  <c r="AO15" i="8"/>
  <c r="BB16" i="9"/>
  <c r="BJ18" i="8"/>
  <c r="AX16" i="10"/>
  <c r="BB33" i="8"/>
  <c r="BI32" i="8"/>
  <c r="AY30" i="9"/>
  <c r="BB29" i="8"/>
  <c r="BL29" i="10"/>
  <c r="BN29" i="10" s="1"/>
  <c r="BO27" i="10" s="1"/>
  <c r="BE29" i="8"/>
  <c r="BH29" i="8" s="1"/>
  <c r="BJ29" i="8" s="1"/>
  <c r="BC28" i="8"/>
  <c r="BF28" i="8" s="1"/>
  <c r="BB28" i="8"/>
  <c r="BL27" i="9"/>
  <c r="AO27" i="8"/>
  <c r="BB27" i="8"/>
  <c r="BE27" i="8"/>
  <c r="BH27" i="8" s="1"/>
  <c r="BI27" i="8" s="1"/>
  <c r="BC25" i="8"/>
  <c r="BF25" i="8" s="1"/>
  <c r="BB25" i="8"/>
  <c r="BE24" i="8"/>
  <c r="BH24" i="8" s="1"/>
  <c r="BI24" i="8" s="1"/>
  <c r="BB24" i="8"/>
  <c r="AO24" i="8"/>
  <c r="BB23" i="8"/>
  <c r="BE23" i="8"/>
  <c r="BH23" i="8" s="1"/>
  <c r="BI22" i="8"/>
  <c r="BB22" i="8"/>
  <c r="BC21" i="8"/>
  <c r="BF21" i="8" s="1"/>
  <c r="BI21" i="8" s="1"/>
  <c r="BB21" i="8"/>
  <c r="BJ21" i="8"/>
  <c r="BB20" i="8"/>
  <c r="BE19" i="8"/>
  <c r="BH19" i="8" s="1"/>
  <c r="BB19" i="8"/>
  <c r="BI18" i="8"/>
  <c r="BB18" i="8"/>
  <c r="BB17" i="8"/>
  <c r="BE17" i="8"/>
  <c r="BH17" i="8" s="1"/>
  <c r="BI17" i="8" s="1"/>
  <c r="BD16" i="10"/>
  <c r="BL16" i="10" s="1"/>
  <c r="BN16" i="10" s="1"/>
  <c r="BC16" i="8"/>
  <c r="BF16" i="8" s="1"/>
  <c r="BI16" i="8" s="1"/>
  <c r="BB16" i="8"/>
  <c r="AO16" i="8"/>
  <c r="AW16" i="10"/>
  <c r="BB15" i="8"/>
  <c r="BE15" i="8"/>
  <c r="BH15" i="8" s="1"/>
  <c r="AO14" i="8"/>
  <c r="BC14" i="8"/>
  <c r="BF14" i="8" s="1"/>
  <c r="BI14" i="8" s="1"/>
  <c r="BB14" i="8"/>
  <c r="BE13" i="8"/>
  <c r="BH13" i="8" s="1"/>
  <c r="BI13" i="8" s="1"/>
  <c r="AO13" i="8"/>
  <c r="BC12" i="8"/>
  <c r="BF12" i="8" s="1"/>
  <c r="BB12" i="8"/>
  <c r="AY31" i="10"/>
  <c r="BB29" i="10"/>
  <c r="AY29" i="10"/>
  <c r="BB27" i="10"/>
  <c r="AY27" i="10"/>
  <c r="AY33" i="10"/>
  <c r="AY30" i="10"/>
  <c r="BB30" i="10"/>
  <c r="BD17" i="10"/>
  <c r="AS17" i="10"/>
  <c r="BH17" i="10"/>
  <c r="AW17" i="10"/>
  <c r="AX25" i="10"/>
  <c r="BI25" i="10"/>
  <c r="BL12" i="10"/>
  <c r="BN12" i="10" s="1"/>
  <c r="BE14" i="10"/>
  <c r="AT14" i="10"/>
  <c r="BL20" i="10"/>
  <c r="BN20" i="10" s="1"/>
  <c r="BF17" i="10"/>
  <c r="AU17" i="10"/>
  <c r="AZ17" i="10" s="1"/>
  <c r="BJ17" i="10" s="1"/>
  <c r="BL15" i="10"/>
  <c r="BN15" i="10" s="1"/>
  <c r="BL19" i="10"/>
  <c r="BN19" i="10" s="1"/>
  <c r="BF18" i="10"/>
  <c r="AU18" i="10"/>
  <c r="AZ18" i="10" s="1"/>
  <c r="BJ18" i="10" s="1"/>
  <c r="BH25" i="10"/>
  <c r="AW25" i="10"/>
  <c r="BE21" i="10"/>
  <c r="AT21" i="10"/>
  <c r="BG24" i="10"/>
  <c r="AV24" i="10"/>
  <c r="BA24" i="10" s="1"/>
  <c r="BK24" i="10" s="1"/>
  <c r="AX17" i="10"/>
  <c r="BI17" i="10"/>
  <c r="AY15" i="10"/>
  <c r="BB15" i="10"/>
  <c r="BB19" i="10"/>
  <c r="AY19" i="10"/>
  <c r="BD18" i="10"/>
  <c r="AS18" i="10"/>
  <c r="AW21" i="10"/>
  <c r="BH21" i="10"/>
  <c r="BB12" i="10"/>
  <c r="AY12" i="10"/>
  <c r="BF14" i="10"/>
  <c r="AU14" i="10"/>
  <c r="AZ14" i="10" s="1"/>
  <c r="BJ14" i="10" s="1"/>
  <c r="AY20" i="10"/>
  <c r="BB20" i="10"/>
  <c r="BD11" i="10"/>
  <c r="AS11" i="10"/>
  <c r="BE22" i="10"/>
  <c r="AT22" i="10"/>
  <c r="BG17" i="10"/>
  <c r="AV17" i="10"/>
  <c r="BA17" i="10" s="1"/>
  <c r="BK17" i="10" s="1"/>
  <c r="BG13" i="10"/>
  <c r="AV13" i="10"/>
  <c r="BA13" i="10" s="1"/>
  <c r="BK13" i="10" s="1"/>
  <c r="AV18" i="10"/>
  <c r="BA18" i="10" s="1"/>
  <c r="BK18" i="10" s="1"/>
  <c r="BG18" i="10"/>
  <c r="BD25" i="10"/>
  <c r="AS25" i="10"/>
  <c r="BF21" i="10"/>
  <c r="AU21" i="10"/>
  <c r="AZ21" i="10" s="1"/>
  <c r="BJ21" i="10" s="1"/>
  <c r="BH24" i="10"/>
  <c r="AW24" i="10"/>
  <c r="BG14" i="10"/>
  <c r="AV14" i="10"/>
  <c r="BA14" i="10" s="1"/>
  <c r="BK14" i="10" s="1"/>
  <c r="BE11" i="10"/>
  <c r="AT11" i="10"/>
  <c r="BD22" i="10"/>
  <c r="AS22" i="10"/>
  <c r="BH13" i="10"/>
  <c r="AW13" i="10"/>
  <c r="AW18" i="10"/>
  <c r="BH18" i="10"/>
  <c r="BE25" i="10"/>
  <c r="AT25" i="10"/>
  <c r="BD21" i="10"/>
  <c r="AS21" i="10"/>
  <c r="BI24" i="10"/>
  <c r="AX24" i="10"/>
  <c r="AW14" i="10"/>
  <c r="BH14" i="10"/>
  <c r="BF11" i="10"/>
  <c r="AU11" i="10"/>
  <c r="AZ11" i="10" s="1"/>
  <c r="BJ11" i="10" s="1"/>
  <c r="BF22" i="10"/>
  <c r="AU22" i="10"/>
  <c r="AZ22" i="10" s="1"/>
  <c r="BJ22" i="10" s="1"/>
  <c r="BI13" i="10"/>
  <c r="AX13" i="10"/>
  <c r="BB23" i="10"/>
  <c r="AY23" i="10"/>
  <c r="BE18" i="10"/>
  <c r="AT18" i="10"/>
  <c r="AS24" i="10"/>
  <c r="BD24" i="10"/>
  <c r="BE17" i="10"/>
  <c r="AT17" i="10"/>
  <c r="AX14" i="10"/>
  <c r="BI14" i="10"/>
  <c r="AV11" i="10"/>
  <c r="BA11" i="10" s="1"/>
  <c r="BK11" i="10" s="1"/>
  <c r="BG11" i="10"/>
  <c r="BG22" i="10"/>
  <c r="AV22" i="10"/>
  <c r="BA22" i="10" s="1"/>
  <c r="BK22" i="10" s="1"/>
  <c r="AS13" i="10"/>
  <c r="BD13" i="10"/>
  <c r="BL23" i="10"/>
  <c r="BN23" i="10" s="1"/>
  <c r="AX18" i="10"/>
  <c r="BI18" i="10"/>
  <c r="AT24" i="10"/>
  <c r="BE24" i="10"/>
  <c r="BD14" i="10"/>
  <c r="AS14" i="10"/>
  <c r="AW11" i="10"/>
  <c r="BH11" i="10"/>
  <c r="BB26" i="10"/>
  <c r="AY26" i="10"/>
  <c r="AW22" i="10"/>
  <c r="BH22" i="10"/>
  <c r="BE13" i="10"/>
  <c r="AT13" i="10"/>
  <c r="BG25" i="10"/>
  <c r="AV25" i="10"/>
  <c r="BA25" i="10" s="1"/>
  <c r="BK25" i="10" s="1"/>
  <c r="BG21" i="10"/>
  <c r="AV21" i="10"/>
  <c r="BA21" i="10" s="1"/>
  <c r="BK21" i="10" s="1"/>
  <c r="BF24" i="10"/>
  <c r="AU24" i="10"/>
  <c r="AZ24" i="10" s="1"/>
  <c r="BJ24" i="10" s="1"/>
  <c r="AX11" i="10"/>
  <c r="BI11" i="10"/>
  <c r="BL26" i="10"/>
  <c r="BN26" i="10" s="1"/>
  <c r="AX22" i="10"/>
  <c r="BI22" i="10"/>
  <c r="BF13" i="10"/>
  <c r="AU13" i="10"/>
  <c r="AZ13" i="10" s="1"/>
  <c r="BJ13" i="10" s="1"/>
  <c r="BF25" i="10"/>
  <c r="AU25" i="10"/>
  <c r="AZ25" i="10" s="1"/>
  <c r="BJ25" i="10" s="1"/>
  <c r="AX21" i="10"/>
  <c r="BI21" i="10"/>
  <c r="BB33" i="9"/>
  <c r="AY33" i="9"/>
  <c r="BB34" i="9"/>
  <c r="AY34" i="9"/>
  <c r="BL31" i="9"/>
  <c r="AY32" i="9"/>
  <c r="BB32" i="9"/>
  <c r="AY31" i="9"/>
  <c r="BB31" i="9"/>
  <c r="AN34" i="8"/>
  <c r="BA34" i="8"/>
  <c r="AI33" i="8"/>
  <c r="BI31" i="8"/>
  <c r="AV34" i="8"/>
  <c r="AI34" i="8"/>
  <c r="BJ32" i="8"/>
  <c r="AO32" i="8"/>
  <c r="BI33" i="8"/>
  <c r="AY17" i="9"/>
  <c r="BB17" i="9"/>
  <c r="AY21" i="9"/>
  <c r="BB21" i="9"/>
  <c r="AY29" i="9"/>
  <c r="BB29" i="9"/>
  <c r="AY13" i="9"/>
  <c r="BB13" i="9"/>
  <c r="BB26" i="9"/>
  <c r="AY26" i="9"/>
  <c r="BB28" i="9"/>
  <c r="AY28" i="9"/>
  <c r="AY27" i="9"/>
  <c r="BB27" i="9"/>
  <c r="AY23" i="9"/>
  <c r="BB23" i="9"/>
  <c r="AY25" i="9"/>
  <c r="BB25" i="9"/>
  <c r="AY19" i="9"/>
  <c r="AY15" i="9"/>
  <c r="BB15" i="9"/>
  <c r="BE11" i="9"/>
  <c r="AT11" i="9"/>
  <c r="BH11" i="9"/>
  <c r="AW11" i="9"/>
  <c r="BF11" i="9"/>
  <c r="AU11" i="9"/>
  <c r="AZ11" i="9" s="1"/>
  <c r="BJ11" i="9" s="1"/>
  <c r="BL23" i="9"/>
  <c r="AX11" i="9"/>
  <c r="BI11" i="9"/>
  <c r="BD11" i="9"/>
  <c r="AS11" i="9"/>
  <c r="BG11" i="9"/>
  <c r="AV11" i="9"/>
  <c r="BA11" i="9" s="1"/>
  <c r="BK11" i="9" s="1"/>
  <c r="BE11" i="8"/>
  <c r="BH11" i="8" s="1"/>
  <c r="BI11" i="8" s="1"/>
  <c r="BB11" i="8"/>
  <c r="AN11" i="8"/>
  <c r="AK11" i="8"/>
  <c r="BJ24" i="8" l="1"/>
  <c r="BB32" i="10"/>
  <c r="BL32" i="10"/>
  <c r="BN32" i="10" s="1"/>
  <c r="BO31" i="10" s="1"/>
  <c r="AY16" i="10"/>
  <c r="BB16" i="10"/>
  <c r="BJ16" i="8"/>
  <c r="BI29" i="8"/>
  <c r="BJ28" i="8"/>
  <c r="BI28" i="8"/>
  <c r="BJ27" i="8"/>
  <c r="BJ25" i="8"/>
  <c r="BI25" i="8"/>
  <c r="BJ23" i="8"/>
  <c r="BI23" i="8"/>
  <c r="BI19" i="8"/>
  <c r="BJ19" i="8"/>
  <c r="BJ13" i="8"/>
  <c r="BJ17" i="8"/>
  <c r="BI15" i="8"/>
  <c r="BJ15" i="8"/>
  <c r="BJ14" i="8"/>
  <c r="BI12" i="8"/>
  <c r="BJ12" i="8"/>
  <c r="BB18" i="10"/>
  <c r="AY18" i="10"/>
  <c r="AY11" i="10"/>
  <c r="BB11" i="10"/>
  <c r="BL14" i="10"/>
  <c r="BN14" i="10" s="1"/>
  <c r="BL24" i="10"/>
  <c r="BN24" i="10" s="1"/>
  <c r="BL18" i="10"/>
  <c r="BN18" i="10" s="1"/>
  <c r="AY14" i="10"/>
  <c r="BB14" i="10"/>
  <c r="BB24" i="10"/>
  <c r="AY24" i="10"/>
  <c r="AY21" i="10"/>
  <c r="BB21" i="10"/>
  <c r="AY22" i="10"/>
  <c r="BB22" i="10"/>
  <c r="BL21" i="10"/>
  <c r="BN21" i="10" s="1"/>
  <c r="BL22" i="10"/>
  <c r="BN22" i="10" s="1"/>
  <c r="BL11" i="10"/>
  <c r="BN11" i="10" s="1"/>
  <c r="AY25" i="10"/>
  <c r="BB25" i="10"/>
  <c r="AY17" i="10"/>
  <c r="BB17" i="10"/>
  <c r="AY13" i="10"/>
  <c r="BB13" i="10"/>
  <c r="BL13" i="10"/>
  <c r="BN13" i="10" s="1"/>
  <c r="BL25" i="10"/>
  <c r="BN25" i="10" s="1"/>
  <c r="BL17" i="10"/>
  <c r="BN17" i="10" s="1"/>
  <c r="AO34" i="8"/>
  <c r="BE34" i="8"/>
  <c r="BH34" i="8" s="1"/>
  <c r="BI34" i="8" s="1"/>
  <c r="BB34" i="8"/>
  <c r="BJ33" i="8"/>
  <c r="AO33" i="8"/>
  <c r="BL15" i="9"/>
  <c r="AY11" i="9"/>
  <c r="BB11" i="9"/>
  <c r="BL11" i="9"/>
  <c r="BL19" i="9"/>
  <c r="AO11" i="8"/>
  <c r="BJ11" i="8"/>
  <c r="BK27" i="8" l="1"/>
  <c r="BO23" i="10"/>
  <c r="BK11" i="8"/>
  <c r="BO15" i="10"/>
  <c r="BO19" i="10"/>
  <c r="BO11" i="10"/>
  <c r="BJ34" i="8"/>
  <c r="BK31" i="8" s="1"/>
  <c r="BK23" i="8"/>
  <c r="BK19" i="8"/>
  <c r="BK15" i="8"/>
  <c r="Z12" i="7" l="1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11" i="7"/>
  <c r="G14" i="1" l="1"/>
  <c r="D18" i="7"/>
  <c r="Y18" i="7" s="1"/>
  <c r="D17" i="7"/>
  <c r="Y17" i="7" s="1"/>
  <c r="D16" i="7"/>
  <c r="Y16" i="7" s="1"/>
  <c r="D15" i="7"/>
  <c r="Y15" i="7" s="1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11" i="7"/>
  <c r="W26" i="7"/>
  <c r="W25" i="7"/>
  <c r="W24" i="7"/>
  <c r="W23" i="7"/>
  <c r="W22" i="7"/>
  <c r="W21" i="7"/>
  <c r="W20" i="7"/>
  <c r="W19" i="7"/>
  <c r="W18" i="7"/>
  <c r="W17" i="7"/>
  <c r="W16" i="7"/>
  <c r="W15" i="7"/>
  <c r="W14" i="7"/>
  <c r="W13" i="7"/>
  <c r="W12" i="7"/>
  <c r="W11" i="7"/>
  <c r="BC26" i="6"/>
  <c r="BC25" i="6"/>
  <c r="BC24" i="6"/>
  <c r="BC23" i="6"/>
  <c r="BC22" i="6"/>
  <c r="BC21" i="6"/>
  <c r="BC20" i="6"/>
  <c r="BC19" i="6"/>
  <c r="BC18" i="6"/>
  <c r="BC17" i="6"/>
  <c r="BC16" i="6"/>
  <c r="BC15" i="6"/>
  <c r="BC14" i="6"/>
  <c r="BC13" i="6"/>
  <c r="BC12" i="6"/>
  <c r="BC11" i="6"/>
  <c r="BC26" i="5"/>
  <c r="BC12" i="5"/>
  <c r="BC13" i="5"/>
  <c r="BC14" i="5"/>
  <c r="BC15" i="5"/>
  <c r="BC16" i="5"/>
  <c r="BC17" i="5"/>
  <c r="BC18" i="5"/>
  <c r="BC19" i="5"/>
  <c r="BC20" i="5"/>
  <c r="BC21" i="5"/>
  <c r="BC22" i="5"/>
  <c r="BC23" i="5"/>
  <c r="BC24" i="5"/>
  <c r="BC25" i="5"/>
  <c r="BC11" i="5"/>
  <c r="Q26" i="7"/>
  <c r="R26" i="7" s="1"/>
  <c r="P26" i="7"/>
  <c r="O26" i="7"/>
  <c r="N26" i="7"/>
  <c r="M26" i="7"/>
  <c r="L26" i="7"/>
  <c r="U26" i="7" s="1"/>
  <c r="K26" i="7"/>
  <c r="G26" i="7"/>
  <c r="F26" i="7"/>
  <c r="E26" i="7"/>
  <c r="H26" i="7" s="1"/>
  <c r="D26" i="7"/>
  <c r="Y26" i="7" s="1"/>
  <c r="C26" i="7"/>
  <c r="B26" i="7"/>
  <c r="A26" i="7"/>
  <c r="Q25" i="7"/>
  <c r="S25" i="7" s="1"/>
  <c r="P25" i="7"/>
  <c r="O25" i="7"/>
  <c r="N25" i="7"/>
  <c r="M25" i="7"/>
  <c r="L25" i="7"/>
  <c r="U25" i="7" s="1"/>
  <c r="K25" i="7"/>
  <c r="G25" i="7"/>
  <c r="F25" i="7"/>
  <c r="E25" i="7"/>
  <c r="I25" i="7" s="1"/>
  <c r="D25" i="7"/>
  <c r="Y25" i="7" s="1"/>
  <c r="C25" i="7"/>
  <c r="B25" i="7"/>
  <c r="A25" i="7"/>
  <c r="Q24" i="7"/>
  <c r="S24" i="7" s="1"/>
  <c r="P24" i="7"/>
  <c r="O24" i="7"/>
  <c r="N24" i="7"/>
  <c r="M24" i="7"/>
  <c r="L24" i="7"/>
  <c r="U24" i="7" s="1"/>
  <c r="K24" i="7"/>
  <c r="G24" i="7"/>
  <c r="F24" i="7"/>
  <c r="E24" i="7"/>
  <c r="J24" i="7" s="1"/>
  <c r="D24" i="7"/>
  <c r="Y24" i="7" s="1"/>
  <c r="C24" i="7"/>
  <c r="B24" i="7"/>
  <c r="A24" i="7"/>
  <c r="Q23" i="7"/>
  <c r="S23" i="7" s="1"/>
  <c r="P23" i="7"/>
  <c r="O23" i="7"/>
  <c r="N23" i="7"/>
  <c r="M23" i="7"/>
  <c r="L23" i="7"/>
  <c r="U23" i="7" s="1"/>
  <c r="K23" i="7"/>
  <c r="G23" i="7"/>
  <c r="F23" i="7"/>
  <c r="E23" i="7"/>
  <c r="J23" i="7" s="1"/>
  <c r="D23" i="7"/>
  <c r="Y23" i="7" s="1"/>
  <c r="C23" i="7"/>
  <c r="B23" i="7"/>
  <c r="A23" i="7"/>
  <c r="Q22" i="7"/>
  <c r="S22" i="7" s="1"/>
  <c r="P22" i="7"/>
  <c r="O22" i="7"/>
  <c r="N22" i="7"/>
  <c r="M22" i="7"/>
  <c r="L22" i="7"/>
  <c r="U22" i="7" s="1"/>
  <c r="K22" i="7"/>
  <c r="G22" i="7"/>
  <c r="F22" i="7"/>
  <c r="E22" i="7"/>
  <c r="J22" i="7" s="1"/>
  <c r="D22" i="7"/>
  <c r="Y22" i="7" s="1"/>
  <c r="C22" i="7"/>
  <c r="B22" i="7"/>
  <c r="A22" i="7"/>
  <c r="Q21" i="7"/>
  <c r="S21" i="7" s="1"/>
  <c r="P21" i="7"/>
  <c r="O21" i="7"/>
  <c r="N21" i="7"/>
  <c r="M21" i="7"/>
  <c r="L21" i="7"/>
  <c r="U21" i="7" s="1"/>
  <c r="K21" i="7"/>
  <c r="G21" i="7"/>
  <c r="F21" i="7"/>
  <c r="E21" i="7"/>
  <c r="H21" i="7" s="1"/>
  <c r="D21" i="7"/>
  <c r="Y21" i="7" s="1"/>
  <c r="C21" i="7"/>
  <c r="B21" i="7"/>
  <c r="A21" i="7"/>
  <c r="Q20" i="7"/>
  <c r="R20" i="7" s="1"/>
  <c r="P20" i="7"/>
  <c r="O20" i="7"/>
  <c r="N20" i="7"/>
  <c r="M20" i="7"/>
  <c r="L20" i="7"/>
  <c r="U20" i="7" s="1"/>
  <c r="K20" i="7"/>
  <c r="G20" i="7"/>
  <c r="F20" i="7"/>
  <c r="E20" i="7"/>
  <c r="H20" i="7" s="1"/>
  <c r="D20" i="7"/>
  <c r="Y20" i="7" s="1"/>
  <c r="C20" i="7"/>
  <c r="B20" i="7"/>
  <c r="A20" i="7"/>
  <c r="Q19" i="7"/>
  <c r="S19" i="7" s="1"/>
  <c r="P19" i="7"/>
  <c r="O19" i="7"/>
  <c r="N19" i="7"/>
  <c r="M19" i="7"/>
  <c r="L19" i="7"/>
  <c r="U19" i="7" s="1"/>
  <c r="K19" i="7"/>
  <c r="G19" i="7"/>
  <c r="F19" i="7"/>
  <c r="E19" i="7"/>
  <c r="J19" i="7" s="1"/>
  <c r="D19" i="7"/>
  <c r="Y19" i="7" s="1"/>
  <c r="C19" i="7"/>
  <c r="B19" i="7"/>
  <c r="A19" i="7"/>
  <c r="Q18" i="7"/>
  <c r="R18" i="7" s="1"/>
  <c r="P18" i="7"/>
  <c r="O18" i="7"/>
  <c r="N18" i="7"/>
  <c r="M18" i="7"/>
  <c r="L18" i="7"/>
  <c r="U18" i="7" s="1"/>
  <c r="K18" i="7"/>
  <c r="G18" i="7"/>
  <c r="F18" i="7"/>
  <c r="E18" i="7"/>
  <c r="H18" i="7" s="1"/>
  <c r="C18" i="7"/>
  <c r="B18" i="7"/>
  <c r="A18" i="7"/>
  <c r="Q17" i="7"/>
  <c r="S17" i="7" s="1"/>
  <c r="P17" i="7"/>
  <c r="O17" i="7"/>
  <c r="N17" i="7"/>
  <c r="M17" i="7"/>
  <c r="L17" i="7"/>
  <c r="U17" i="7" s="1"/>
  <c r="K17" i="7"/>
  <c r="G17" i="7"/>
  <c r="F17" i="7"/>
  <c r="E17" i="7"/>
  <c r="I17" i="7" s="1"/>
  <c r="C17" i="7"/>
  <c r="B17" i="7"/>
  <c r="A17" i="7"/>
  <c r="Q16" i="7"/>
  <c r="S16" i="7" s="1"/>
  <c r="P16" i="7"/>
  <c r="O16" i="7"/>
  <c r="N16" i="7"/>
  <c r="M16" i="7"/>
  <c r="L16" i="7"/>
  <c r="U16" i="7" s="1"/>
  <c r="K16" i="7"/>
  <c r="G16" i="7"/>
  <c r="F16" i="7"/>
  <c r="E16" i="7"/>
  <c r="J16" i="7" s="1"/>
  <c r="C16" i="7"/>
  <c r="B16" i="7"/>
  <c r="A16" i="7"/>
  <c r="Q15" i="7"/>
  <c r="S15" i="7" s="1"/>
  <c r="P15" i="7"/>
  <c r="O15" i="7"/>
  <c r="N15" i="7"/>
  <c r="M15" i="7"/>
  <c r="L15" i="7"/>
  <c r="U15" i="7" s="1"/>
  <c r="K15" i="7"/>
  <c r="G15" i="7"/>
  <c r="F15" i="7"/>
  <c r="E15" i="7"/>
  <c r="H15" i="7" s="1"/>
  <c r="C15" i="7"/>
  <c r="B15" i="7"/>
  <c r="A15" i="7"/>
  <c r="Q14" i="7"/>
  <c r="S14" i="7" s="1"/>
  <c r="P14" i="7"/>
  <c r="O14" i="7"/>
  <c r="N14" i="7"/>
  <c r="M14" i="7"/>
  <c r="L14" i="7"/>
  <c r="U14" i="7" s="1"/>
  <c r="K14" i="7"/>
  <c r="G14" i="7"/>
  <c r="F14" i="7"/>
  <c r="E14" i="7"/>
  <c r="J14" i="7" s="1"/>
  <c r="D14" i="7"/>
  <c r="Y14" i="7" s="1"/>
  <c r="C14" i="7"/>
  <c r="B14" i="7"/>
  <c r="A14" i="7"/>
  <c r="Q13" i="7"/>
  <c r="S13" i="7" s="1"/>
  <c r="P13" i="7"/>
  <c r="O13" i="7"/>
  <c r="N13" i="7"/>
  <c r="M13" i="7"/>
  <c r="L13" i="7"/>
  <c r="U13" i="7" s="1"/>
  <c r="K13" i="7"/>
  <c r="G13" i="7"/>
  <c r="F13" i="7"/>
  <c r="E13" i="7"/>
  <c r="J13" i="7" s="1"/>
  <c r="D13" i="7"/>
  <c r="Y13" i="7" s="1"/>
  <c r="C13" i="7"/>
  <c r="B13" i="7"/>
  <c r="A13" i="7"/>
  <c r="Q12" i="7"/>
  <c r="S12" i="7" s="1"/>
  <c r="P12" i="7"/>
  <c r="O12" i="7"/>
  <c r="N12" i="7"/>
  <c r="M12" i="7"/>
  <c r="L12" i="7"/>
  <c r="U12" i="7" s="1"/>
  <c r="K12" i="7"/>
  <c r="G12" i="7"/>
  <c r="F12" i="7"/>
  <c r="E12" i="7"/>
  <c r="I12" i="7" s="1"/>
  <c r="D12" i="7"/>
  <c r="Y12" i="7" s="1"/>
  <c r="C12" i="7"/>
  <c r="B12" i="7"/>
  <c r="A12" i="7"/>
  <c r="Q11" i="7"/>
  <c r="S11" i="7" s="1"/>
  <c r="P11" i="7"/>
  <c r="O11" i="7"/>
  <c r="N11" i="7"/>
  <c r="M11" i="7"/>
  <c r="L11" i="7"/>
  <c r="U11" i="7" s="1"/>
  <c r="K11" i="7"/>
  <c r="G11" i="7"/>
  <c r="F11" i="7"/>
  <c r="E11" i="7"/>
  <c r="I11" i="7" s="1"/>
  <c r="D11" i="7"/>
  <c r="Y11" i="7" s="1"/>
  <c r="C11" i="7"/>
  <c r="B11" i="7"/>
  <c r="A11" i="7"/>
  <c r="AR26" i="6"/>
  <c r="AQ26" i="6"/>
  <c r="AP26" i="6"/>
  <c r="AO26" i="6"/>
  <c r="AN26" i="6"/>
  <c r="AM26" i="6"/>
  <c r="AL26" i="6"/>
  <c r="AK26" i="6"/>
  <c r="AJ26" i="6"/>
  <c r="AI26" i="6"/>
  <c r="AH26" i="6"/>
  <c r="AG26" i="6"/>
  <c r="Q26" i="6"/>
  <c r="R26" i="6" s="1"/>
  <c r="P26" i="6"/>
  <c r="O26" i="6"/>
  <c r="N26" i="6"/>
  <c r="X26" i="6" s="1"/>
  <c r="M26" i="6"/>
  <c r="L26" i="6"/>
  <c r="V26" i="6" s="1"/>
  <c r="K26" i="6"/>
  <c r="G26" i="6"/>
  <c r="F26" i="6"/>
  <c r="E26" i="6"/>
  <c r="J26" i="6" s="1"/>
  <c r="D26" i="6"/>
  <c r="C26" i="6"/>
  <c r="BM26" i="6" s="1"/>
  <c r="B26" i="6"/>
  <c r="A26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Q25" i="6"/>
  <c r="S25" i="6" s="1"/>
  <c r="P25" i="6"/>
  <c r="Z25" i="6" s="1"/>
  <c r="O25" i="6"/>
  <c r="N25" i="6"/>
  <c r="X25" i="6" s="1"/>
  <c r="M25" i="6"/>
  <c r="L25" i="6"/>
  <c r="V25" i="6" s="1"/>
  <c r="K25" i="6"/>
  <c r="U25" i="6" s="1"/>
  <c r="G25" i="6"/>
  <c r="F25" i="6"/>
  <c r="E25" i="6"/>
  <c r="I25" i="6" s="1"/>
  <c r="D25" i="6"/>
  <c r="C25" i="6"/>
  <c r="BM25" i="6" s="1"/>
  <c r="B25" i="6"/>
  <c r="A25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Q24" i="6"/>
  <c r="S24" i="6" s="1"/>
  <c r="P24" i="6"/>
  <c r="O24" i="6"/>
  <c r="N24" i="6"/>
  <c r="X24" i="6" s="1"/>
  <c r="M24" i="6"/>
  <c r="L24" i="6"/>
  <c r="V24" i="6" s="1"/>
  <c r="K24" i="6"/>
  <c r="U24" i="6" s="1"/>
  <c r="G24" i="6"/>
  <c r="F24" i="6"/>
  <c r="E24" i="6"/>
  <c r="D24" i="6"/>
  <c r="C24" i="6"/>
  <c r="BM24" i="6" s="1"/>
  <c r="B24" i="6"/>
  <c r="A24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Q23" i="6"/>
  <c r="S23" i="6" s="1"/>
  <c r="P23" i="6"/>
  <c r="O23" i="6"/>
  <c r="Y23" i="6" s="1"/>
  <c r="N23" i="6"/>
  <c r="X23" i="6" s="1"/>
  <c r="M23" i="6"/>
  <c r="W23" i="6" s="1"/>
  <c r="L23" i="6"/>
  <c r="V23" i="6" s="1"/>
  <c r="K23" i="6"/>
  <c r="U23" i="6" s="1"/>
  <c r="G23" i="6"/>
  <c r="F23" i="6"/>
  <c r="E23" i="6"/>
  <c r="J23" i="6" s="1"/>
  <c r="D23" i="6"/>
  <c r="C23" i="6"/>
  <c r="BM23" i="6" s="1"/>
  <c r="B23" i="6"/>
  <c r="A23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Q22" i="6"/>
  <c r="S22" i="6" s="1"/>
  <c r="P22" i="6"/>
  <c r="O22" i="6"/>
  <c r="N22" i="6"/>
  <c r="X22" i="6" s="1"/>
  <c r="M22" i="6"/>
  <c r="L22" i="6"/>
  <c r="V22" i="6" s="1"/>
  <c r="K22" i="6"/>
  <c r="G22" i="6"/>
  <c r="F22" i="6"/>
  <c r="E22" i="6"/>
  <c r="D22" i="6"/>
  <c r="C22" i="6"/>
  <c r="BM22" i="6" s="1"/>
  <c r="B22" i="6"/>
  <c r="A22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Q21" i="6"/>
  <c r="S21" i="6" s="1"/>
  <c r="P21" i="6"/>
  <c r="O21" i="6"/>
  <c r="N21" i="6"/>
  <c r="X21" i="6" s="1"/>
  <c r="M21" i="6"/>
  <c r="L21" i="6"/>
  <c r="V21" i="6" s="1"/>
  <c r="K21" i="6"/>
  <c r="U21" i="6" s="1"/>
  <c r="H21" i="6"/>
  <c r="G21" i="6"/>
  <c r="F21" i="6"/>
  <c r="E21" i="6"/>
  <c r="J21" i="6" s="1"/>
  <c r="D21" i="6"/>
  <c r="C21" i="6"/>
  <c r="BM21" i="6" s="1"/>
  <c r="B21" i="6"/>
  <c r="A21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Q20" i="6"/>
  <c r="S20" i="6" s="1"/>
  <c r="P20" i="6"/>
  <c r="O20" i="6"/>
  <c r="N20" i="6"/>
  <c r="X20" i="6" s="1"/>
  <c r="M20" i="6"/>
  <c r="W20" i="6" s="1"/>
  <c r="L20" i="6"/>
  <c r="V20" i="6" s="1"/>
  <c r="K20" i="6"/>
  <c r="U20" i="6" s="1"/>
  <c r="G20" i="6"/>
  <c r="F20" i="6"/>
  <c r="E20" i="6"/>
  <c r="I20" i="6" s="1"/>
  <c r="D20" i="6"/>
  <c r="C20" i="6"/>
  <c r="BM20" i="6" s="1"/>
  <c r="B20" i="6"/>
  <c r="A20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Q19" i="6"/>
  <c r="S19" i="6" s="1"/>
  <c r="P19" i="6"/>
  <c r="O19" i="6"/>
  <c r="N19" i="6"/>
  <c r="X19" i="6" s="1"/>
  <c r="M19" i="6"/>
  <c r="L19" i="6"/>
  <c r="V19" i="6" s="1"/>
  <c r="K19" i="6"/>
  <c r="G19" i="6"/>
  <c r="F19" i="6"/>
  <c r="E19" i="6"/>
  <c r="I19" i="6" s="1"/>
  <c r="D19" i="6"/>
  <c r="C19" i="6"/>
  <c r="BM19" i="6" s="1"/>
  <c r="B19" i="6"/>
  <c r="A19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Q18" i="6"/>
  <c r="R18" i="6" s="1"/>
  <c r="P18" i="6"/>
  <c r="O18" i="6"/>
  <c r="N18" i="6"/>
  <c r="X18" i="6" s="1"/>
  <c r="M18" i="6"/>
  <c r="L18" i="6"/>
  <c r="V18" i="6" s="1"/>
  <c r="K18" i="6"/>
  <c r="G18" i="6"/>
  <c r="F18" i="6"/>
  <c r="E18" i="6"/>
  <c r="I18" i="6" s="1"/>
  <c r="D18" i="6"/>
  <c r="C18" i="6"/>
  <c r="BM18" i="6" s="1"/>
  <c r="B18" i="6"/>
  <c r="A18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Q17" i="6"/>
  <c r="S17" i="6" s="1"/>
  <c r="P17" i="6"/>
  <c r="O17" i="6"/>
  <c r="N17" i="6"/>
  <c r="X17" i="6" s="1"/>
  <c r="M17" i="6"/>
  <c r="W17" i="6" s="1"/>
  <c r="L17" i="6"/>
  <c r="V17" i="6" s="1"/>
  <c r="K17" i="6"/>
  <c r="U17" i="6" s="1"/>
  <c r="G17" i="6"/>
  <c r="F17" i="6"/>
  <c r="E17" i="6"/>
  <c r="J17" i="6" s="1"/>
  <c r="D17" i="6"/>
  <c r="C17" i="6"/>
  <c r="BM17" i="6" s="1"/>
  <c r="B17" i="6"/>
  <c r="A17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Q16" i="6"/>
  <c r="S16" i="6" s="1"/>
  <c r="P16" i="6"/>
  <c r="O16" i="6"/>
  <c r="Y16" i="6" s="1"/>
  <c r="N16" i="6"/>
  <c r="X16" i="6" s="1"/>
  <c r="M16" i="6"/>
  <c r="W16" i="6" s="1"/>
  <c r="L16" i="6"/>
  <c r="V16" i="6" s="1"/>
  <c r="K16" i="6"/>
  <c r="U16" i="6" s="1"/>
  <c r="G16" i="6"/>
  <c r="F16" i="6"/>
  <c r="E16" i="6"/>
  <c r="D16" i="6"/>
  <c r="C16" i="6"/>
  <c r="BM16" i="6" s="1"/>
  <c r="B16" i="6"/>
  <c r="A16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Q15" i="6"/>
  <c r="P15" i="6"/>
  <c r="O15" i="6"/>
  <c r="N15" i="6"/>
  <c r="X15" i="6" s="1"/>
  <c r="M15" i="6"/>
  <c r="L15" i="6"/>
  <c r="V15" i="6" s="1"/>
  <c r="K15" i="6"/>
  <c r="G15" i="6"/>
  <c r="F15" i="6"/>
  <c r="E15" i="6"/>
  <c r="J15" i="6" s="1"/>
  <c r="D15" i="6"/>
  <c r="C15" i="6"/>
  <c r="BM15" i="6" s="1"/>
  <c r="B15" i="6"/>
  <c r="A15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Q14" i="6"/>
  <c r="S14" i="6" s="1"/>
  <c r="P14" i="6"/>
  <c r="O14" i="6"/>
  <c r="N14" i="6"/>
  <c r="X14" i="6" s="1"/>
  <c r="M14" i="6"/>
  <c r="L14" i="6"/>
  <c r="V14" i="6" s="1"/>
  <c r="K14" i="6"/>
  <c r="U14" i="6" s="1"/>
  <c r="G14" i="6"/>
  <c r="F14" i="6"/>
  <c r="E14" i="6"/>
  <c r="I14" i="6" s="1"/>
  <c r="D14" i="6"/>
  <c r="C14" i="6"/>
  <c r="BM14" i="6" s="1"/>
  <c r="B14" i="6"/>
  <c r="A14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Q13" i="6"/>
  <c r="R13" i="6" s="1"/>
  <c r="P13" i="6"/>
  <c r="O13" i="6"/>
  <c r="N13" i="6"/>
  <c r="X13" i="6" s="1"/>
  <c r="M13" i="6"/>
  <c r="L13" i="6"/>
  <c r="V13" i="6" s="1"/>
  <c r="K13" i="6"/>
  <c r="G13" i="6"/>
  <c r="F13" i="6"/>
  <c r="E13" i="6"/>
  <c r="J13" i="6" s="1"/>
  <c r="D13" i="6"/>
  <c r="C13" i="6"/>
  <c r="BM13" i="6" s="1"/>
  <c r="B13" i="6"/>
  <c r="A13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Q12" i="6"/>
  <c r="S12" i="6" s="1"/>
  <c r="P12" i="6"/>
  <c r="O12" i="6"/>
  <c r="Y12" i="6" s="1"/>
  <c r="N12" i="6"/>
  <c r="X12" i="6" s="1"/>
  <c r="M12" i="6"/>
  <c r="W12" i="6" s="1"/>
  <c r="L12" i="6"/>
  <c r="V12" i="6" s="1"/>
  <c r="K12" i="6"/>
  <c r="U12" i="6" s="1"/>
  <c r="G12" i="6"/>
  <c r="F12" i="6"/>
  <c r="E12" i="6"/>
  <c r="I12" i="6" s="1"/>
  <c r="D12" i="6"/>
  <c r="C12" i="6"/>
  <c r="BM12" i="6" s="1"/>
  <c r="B12" i="6"/>
  <c r="A12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Q11" i="6"/>
  <c r="R11" i="6" s="1"/>
  <c r="P11" i="6"/>
  <c r="O11" i="6"/>
  <c r="N11" i="6"/>
  <c r="X11" i="6" s="1"/>
  <c r="M11" i="6"/>
  <c r="L11" i="6"/>
  <c r="V11" i="6" s="1"/>
  <c r="K11" i="6"/>
  <c r="G11" i="6"/>
  <c r="F11" i="6"/>
  <c r="E11" i="6"/>
  <c r="I11" i="6" s="1"/>
  <c r="D11" i="6"/>
  <c r="C11" i="6"/>
  <c r="BM11" i="6" s="1"/>
  <c r="B11" i="6"/>
  <c r="A11" i="6"/>
  <c r="AM12" i="5"/>
  <c r="AN12" i="5"/>
  <c r="AO12" i="5"/>
  <c r="AP12" i="5"/>
  <c r="AQ12" i="5"/>
  <c r="AR12" i="5"/>
  <c r="AM13" i="5"/>
  <c r="AN13" i="5"/>
  <c r="AO13" i="5"/>
  <c r="AP13" i="5"/>
  <c r="AQ13" i="5"/>
  <c r="AR13" i="5"/>
  <c r="AM14" i="5"/>
  <c r="AN14" i="5"/>
  <c r="AO14" i="5"/>
  <c r="AP14" i="5"/>
  <c r="AQ14" i="5"/>
  <c r="AR14" i="5"/>
  <c r="AM15" i="5"/>
  <c r="AN15" i="5"/>
  <c r="AO15" i="5"/>
  <c r="AP15" i="5"/>
  <c r="AQ15" i="5"/>
  <c r="AR15" i="5"/>
  <c r="AM16" i="5"/>
  <c r="AN16" i="5"/>
  <c r="AO16" i="5"/>
  <c r="AP16" i="5"/>
  <c r="AQ16" i="5"/>
  <c r="AR16" i="5"/>
  <c r="AM17" i="5"/>
  <c r="AN17" i="5"/>
  <c r="AO17" i="5"/>
  <c r="AP17" i="5"/>
  <c r="AQ17" i="5"/>
  <c r="AR17" i="5"/>
  <c r="AM18" i="5"/>
  <c r="AN18" i="5"/>
  <c r="AO18" i="5"/>
  <c r="AP18" i="5"/>
  <c r="AQ18" i="5"/>
  <c r="AR18" i="5"/>
  <c r="AM19" i="5"/>
  <c r="AN19" i="5"/>
  <c r="AO19" i="5"/>
  <c r="AP19" i="5"/>
  <c r="AQ19" i="5"/>
  <c r="AR19" i="5"/>
  <c r="AM20" i="5"/>
  <c r="AN20" i="5"/>
  <c r="AO20" i="5"/>
  <c r="AP20" i="5"/>
  <c r="AQ20" i="5"/>
  <c r="AR20" i="5"/>
  <c r="AM21" i="5"/>
  <c r="AN21" i="5"/>
  <c r="AO21" i="5"/>
  <c r="AP21" i="5"/>
  <c r="AQ21" i="5"/>
  <c r="AR21" i="5"/>
  <c r="AM22" i="5"/>
  <c r="AN22" i="5"/>
  <c r="AO22" i="5"/>
  <c r="AP22" i="5"/>
  <c r="AQ22" i="5"/>
  <c r="AR22" i="5"/>
  <c r="AM23" i="5"/>
  <c r="AN23" i="5"/>
  <c r="AO23" i="5"/>
  <c r="AP23" i="5"/>
  <c r="AQ23" i="5"/>
  <c r="AR23" i="5"/>
  <c r="AM24" i="5"/>
  <c r="AN24" i="5"/>
  <c r="AO24" i="5"/>
  <c r="AP24" i="5"/>
  <c r="AQ24" i="5"/>
  <c r="AR24" i="5"/>
  <c r="AM25" i="5"/>
  <c r="AN25" i="5"/>
  <c r="AO25" i="5"/>
  <c r="AP25" i="5"/>
  <c r="AQ25" i="5"/>
  <c r="AR25" i="5"/>
  <c r="AM26" i="5"/>
  <c r="AN26" i="5"/>
  <c r="AO26" i="5"/>
  <c r="AP26" i="5"/>
  <c r="AQ26" i="5"/>
  <c r="AR26" i="5"/>
  <c r="AR11" i="5"/>
  <c r="AQ11" i="5"/>
  <c r="AP11" i="5"/>
  <c r="AO11" i="5"/>
  <c r="AN11" i="5"/>
  <c r="AM11" i="5"/>
  <c r="AG12" i="5"/>
  <c r="AH12" i="5"/>
  <c r="AI12" i="5"/>
  <c r="AJ12" i="5"/>
  <c r="AK12" i="5"/>
  <c r="AL12" i="5"/>
  <c r="AG13" i="5"/>
  <c r="AH13" i="5"/>
  <c r="AI13" i="5"/>
  <c r="AJ13" i="5"/>
  <c r="AK13" i="5"/>
  <c r="AL13" i="5"/>
  <c r="AG14" i="5"/>
  <c r="AH14" i="5"/>
  <c r="AI14" i="5"/>
  <c r="AJ14" i="5"/>
  <c r="AK14" i="5"/>
  <c r="AL14" i="5"/>
  <c r="AG15" i="5"/>
  <c r="AH15" i="5"/>
  <c r="AI15" i="5"/>
  <c r="AJ15" i="5"/>
  <c r="AK15" i="5"/>
  <c r="AL15" i="5"/>
  <c r="AG16" i="5"/>
  <c r="AH16" i="5"/>
  <c r="AI16" i="5"/>
  <c r="AJ16" i="5"/>
  <c r="AK16" i="5"/>
  <c r="AL16" i="5"/>
  <c r="AG17" i="5"/>
  <c r="AH17" i="5"/>
  <c r="AI17" i="5"/>
  <c r="AJ17" i="5"/>
  <c r="AK17" i="5"/>
  <c r="AL17" i="5"/>
  <c r="AG18" i="5"/>
  <c r="AH18" i="5"/>
  <c r="AI18" i="5"/>
  <c r="AJ18" i="5"/>
  <c r="AK18" i="5"/>
  <c r="AL18" i="5"/>
  <c r="AG19" i="5"/>
  <c r="AH19" i="5"/>
  <c r="AI19" i="5"/>
  <c r="AJ19" i="5"/>
  <c r="AK19" i="5"/>
  <c r="AL19" i="5"/>
  <c r="AG20" i="5"/>
  <c r="AH20" i="5"/>
  <c r="AI20" i="5"/>
  <c r="AJ20" i="5"/>
  <c r="AK20" i="5"/>
  <c r="AL20" i="5"/>
  <c r="AG21" i="5"/>
  <c r="AH21" i="5"/>
  <c r="AI21" i="5"/>
  <c r="AJ21" i="5"/>
  <c r="AK21" i="5"/>
  <c r="AL21" i="5"/>
  <c r="AG22" i="5"/>
  <c r="AH22" i="5"/>
  <c r="AI22" i="5"/>
  <c r="AJ22" i="5"/>
  <c r="AK22" i="5"/>
  <c r="AL22" i="5"/>
  <c r="AG23" i="5"/>
  <c r="AH23" i="5"/>
  <c r="AI23" i="5"/>
  <c r="AJ23" i="5"/>
  <c r="AK23" i="5"/>
  <c r="AL23" i="5"/>
  <c r="AG24" i="5"/>
  <c r="AH24" i="5"/>
  <c r="AI24" i="5"/>
  <c r="AJ24" i="5"/>
  <c r="AK24" i="5"/>
  <c r="AL24" i="5"/>
  <c r="AG25" i="5"/>
  <c r="AH25" i="5"/>
  <c r="AI25" i="5"/>
  <c r="AJ25" i="5"/>
  <c r="AK25" i="5"/>
  <c r="AL25" i="5"/>
  <c r="AG26" i="5"/>
  <c r="AH26" i="5"/>
  <c r="AI26" i="5"/>
  <c r="AJ26" i="5"/>
  <c r="AK26" i="5"/>
  <c r="AL26" i="5"/>
  <c r="AL11" i="5"/>
  <c r="AK11" i="5"/>
  <c r="AJ11" i="5"/>
  <c r="AI11" i="5"/>
  <c r="AH11" i="5"/>
  <c r="AG11" i="5"/>
  <c r="Q26" i="5"/>
  <c r="S26" i="5" s="1"/>
  <c r="P26" i="5"/>
  <c r="O26" i="5"/>
  <c r="Y26" i="5" s="1"/>
  <c r="N26" i="5"/>
  <c r="X26" i="5" s="1"/>
  <c r="M26" i="5"/>
  <c r="L26" i="5"/>
  <c r="V26" i="5" s="1"/>
  <c r="K26" i="5"/>
  <c r="U26" i="5" s="1"/>
  <c r="G26" i="5"/>
  <c r="F26" i="5"/>
  <c r="E26" i="5"/>
  <c r="J26" i="5" s="1"/>
  <c r="D26" i="5"/>
  <c r="C26" i="5"/>
  <c r="B26" i="5"/>
  <c r="A26" i="5"/>
  <c r="Q25" i="5"/>
  <c r="S25" i="5" s="1"/>
  <c r="P25" i="5"/>
  <c r="O25" i="5"/>
  <c r="N25" i="5"/>
  <c r="X25" i="5" s="1"/>
  <c r="M25" i="5"/>
  <c r="W25" i="5" s="1"/>
  <c r="L25" i="5"/>
  <c r="V25" i="5" s="1"/>
  <c r="K25" i="5"/>
  <c r="U25" i="5" s="1"/>
  <c r="G25" i="5"/>
  <c r="F25" i="5"/>
  <c r="E25" i="5"/>
  <c r="J25" i="5" s="1"/>
  <c r="D25" i="5"/>
  <c r="C25" i="5"/>
  <c r="B25" i="5"/>
  <c r="A25" i="5"/>
  <c r="Q24" i="5"/>
  <c r="S24" i="5" s="1"/>
  <c r="P24" i="5"/>
  <c r="O24" i="5"/>
  <c r="N24" i="5"/>
  <c r="X24" i="5" s="1"/>
  <c r="M24" i="5"/>
  <c r="L24" i="5"/>
  <c r="V24" i="5" s="1"/>
  <c r="K24" i="5"/>
  <c r="U24" i="5" s="1"/>
  <c r="G24" i="5"/>
  <c r="F24" i="5"/>
  <c r="E24" i="5"/>
  <c r="J24" i="5" s="1"/>
  <c r="D24" i="5"/>
  <c r="C24" i="5"/>
  <c r="B24" i="5"/>
  <c r="A24" i="5"/>
  <c r="Q23" i="5"/>
  <c r="S23" i="5" s="1"/>
  <c r="P23" i="5"/>
  <c r="O23" i="5"/>
  <c r="N23" i="5"/>
  <c r="X23" i="5" s="1"/>
  <c r="M23" i="5"/>
  <c r="L23" i="5"/>
  <c r="V23" i="5" s="1"/>
  <c r="K23" i="5"/>
  <c r="G23" i="5"/>
  <c r="F23" i="5"/>
  <c r="E23" i="5"/>
  <c r="J23" i="5" s="1"/>
  <c r="D23" i="5"/>
  <c r="C23" i="5"/>
  <c r="B23" i="5"/>
  <c r="A23" i="5"/>
  <c r="Q22" i="5"/>
  <c r="R22" i="5" s="1"/>
  <c r="P22" i="5"/>
  <c r="O22" i="5"/>
  <c r="N22" i="5"/>
  <c r="X22" i="5" s="1"/>
  <c r="M22" i="5"/>
  <c r="L22" i="5"/>
  <c r="V22" i="5" s="1"/>
  <c r="K22" i="5"/>
  <c r="G22" i="5"/>
  <c r="F22" i="5"/>
  <c r="E22" i="5"/>
  <c r="J22" i="5" s="1"/>
  <c r="D22" i="5"/>
  <c r="C22" i="5"/>
  <c r="B22" i="5"/>
  <c r="A22" i="5"/>
  <c r="Q21" i="5"/>
  <c r="R21" i="5" s="1"/>
  <c r="P21" i="5"/>
  <c r="O21" i="5"/>
  <c r="N21" i="5"/>
  <c r="X21" i="5" s="1"/>
  <c r="M21" i="5"/>
  <c r="L21" i="5"/>
  <c r="V21" i="5" s="1"/>
  <c r="K21" i="5"/>
  <c r="G21" i="5"/>
  <c r="F21" i="5"/>
  <c r="E21" i="5"/>
  <c r="I21" i="5" s="1"/>
  <c r="D21" i="5"/>
  <c r="C21" i="5"/>
  <c r="B21" i="5"/>
  <c r="A21" i="5"/>
  <c r="Q20" i="5"/>
  <c r="S20" i="5" s="1"/>
  <c r="P20" i="5"/>
  <c r="O20" i="5"/>
  <c r="N20" i="5"/>
  <c r="X20" i="5" s="1"/>
  <c r="M20" i="5"/>
  <c r="L20" i="5"/>
  <c r="V20" i="5" s="1"/>
  <c r="K20" i="5"/>
  <c r="U20" i="5" s="1"/>
  <c r="G20" i="5"/>
  <c r="F20" i="5"/>
  <c r="E20" i="5"/>
  <c r="J20" i="5" s="1"/>
  <c r="D20" i="5"/>
  <c r="C20" i="5"/>
  <c r="B20" i="5"/>
  <c r="A20" i="5"/>
  <c r="Q19" i="5"/>
  <c r="R19" i="5" s="1"/>
  <c r="P19" i="5"/>
  <c r="O19" i="5"/>
  <c r="N19" i="5"/>
  <c r="X19" i="5" s="1"/>
  <c r="M19" i="5"/>
  <c r="L19" i="5"/>
  <c r="V19" i="5" s="1"/>
  <c r="K19" i="5"/>
  <c r="G19" i="5"/>
  <c r="F19" i="5"/>
  <c r="E19" i="5"/>
  <c r="H19" i="5" s="1"/>
  <c r="D19" i="5"/>
  <c r="C19" i="5"/>
  <c r="B19" i="5"/>
  <c r="A19" i="5"/>
  <c r="Q18" i="5"/>
  <c r="S18" i="5" s="1"/>
  <c r="P18" i="5"/>
  <c r="O18" i="5"/>
  <c r="Y18" i="5" s="1"/>
  <c r="N18" i="5"/>
  <c r="X18" i="5" s="1"/>
  <c r="M18" i="5"/>
  <c r="W18" i="5" s="1"/>
  <c r="L18" i="5"/>
  <c r="V18" i="5" s="1"/>
  <c r="K18" i="5"/>
  <c r="U18" i="5" s="1"/>
  <c r="G18" i="5"/>
  <c r="F18" i="5"/>
  <c r="E18" i="5"/>
  <c r="J18" i="5" s="1"/>
  <c r="D18" i="5"/>
  <c r="C18" i="5"/>
  <c r="B18" i="5"/>
  <c r="A18" i="5"/>
  <c r="Q17" i="5"/>
  <c r="S17" i="5" s="1"/>
  <c r="P17" i="5"/>
  <c r="O17" i="5"/>
  <c r="N17" i="5"/>
  <c r="X17" i="5" s="1"/>
  <c r="M17" i="5"/>
  <c r="W17" i="5" s="1"/>
  <c r="L17" i="5"/>
  <c r="V17" i="5" s="1"/>
  <c r="K17" i="5"/>
  <c r="U17" i="5" s="1"/>
  <c r="G17" i="5"/>
  <c r="F17" i="5"/>
  <c r="E17" i="5"/>
  <c r="J17" i="5" s="1"/>
  <c r="D17" i="5"/>
  <c r="C17" i="5"/>
  <c r="B17" i="5"/>
  <c r="A17" i="5"/>
  <c r="Q16" i="5"/>
  <c r="S16" i="5" s="1"/>
  <c r="P16" i="5"/>
  <c r="O16" i="5"/>
  <c r="N16" i="5"/>
  <c r="X16" i="5" s="1"/>
  <c r="M16" i="5"/>
  <c r="L16" i="5"/>
  <c r="V16" i="5" s="1"/>
  <c r="K16" i="5"/>
  <c r="U16" i="5" s="1"/>
  <c r="G16" i="5"/>
  <c r="F16" i="5"/>
  <c r="E16" i="5"/>
  <c r="J16" i="5" s="1"/>
  <c r="D16" i="5"/>
  <c r="C16" i="5"/>
  <c r="B16" i="5"/>
  <c r="A16" i="5"/>
  <c r="Q15" i="5"/>
  <c r="R15" i="5" s="1"/>
  <c r="P15" i="5"/>
  <c r="O15" i="5"/>
  <c r="N15" i="5"/>
  <c r="X15" i="5" s="1"/>
  <c r="M15" i="5"/>
  <c r="L15" i="5"/>
  <c r="V15" i="5" s="1"/>
  <c r="K15" i="5"/>
  <c r="G15" i="5"/>
  <c r="F15" i="5"/>
  <c r="E15" i="5"/>
  <c r="J15" i="5" s="1"/>
  <c r="D15" i="5"/>
  <c r="C15" i="5"/>
  <c r="B15" i="5"/>
  <c r="A15" i="5"/>
  <c r="Q14" i="5"/>
  <c r="R14" i="5" s="1"/>
  <c r="P14" i="5"/>
  <c r="O14" i="5"/>
  <c r="N14" i="5"/>
  <c r="X14" i="5" s="1"/>
  <c r="M14" i="5"/>
  <c r="L14" i="5"/>
  <c r="V14" i="5" s="1"/>
  <c r="K14" i="5"/>
  <c r="G14" i="5"/>
  <c r="F14" i="5"/>
  <c r="E14" i="5"/>
  <c r="J14" i="5" s="1"/>
  <c r="D14" i="5"/>
  <c r="C14" i="5"/>
  <c r="B14" i="5"/>
  <c r="A14" i="5"/>
  <c r="Q13" i="5"/>
  <c r="R13" i="5" s="1"/>
  <c r="P13" i="5"/>
  <c r="O13" i="5"/>
  <c r="N13" i="5"/>
  <c r="X13" i="5" s="1"/>
  <c r="M13" i="5"/>
  <c r="L13" i="5"/>
  <c r="V13" i="5" s="1"/>
  <c r="K13" i="5"/>
  <c r="G13" i="5"/>
  <c r="F13" i="5"/>
  <c r="E13" i="5"/>
  <c r="H13" i="5" s="1"/>
  <c r="D13" i="5"/>
  <c r="C13" i="5"/>
  <c r="B13" i="5"/>
  <c r="A13" i="5"/>
  <c r="Q12" i="5"/>
  <c r="S12" i="5" s="1"/>
  <c r="P12" i="5"/>
  <c r="O12" i="5"/>
  <c r="N12" i="5"/>
  <c r="X12" i="5" s="1"/>
  <c r="M12" i="5"/>
  <c r="L12" i="5"/>
  <c r="V12" i="5" s="1"/>
  <c r="K12" i="5"/>
  <c r="U12" i="5" s="1"/>
  <c r="G12" i="5"/>
  <c r="F12" i="5"/>
  <c r="E12" i="5"/>
  <c r="J12" i="5" s="1"/>
  <c r="D12" i="5"/>
  <c r="C12" i="5"/>
  <c r="B12" i="5"/>
  <c r="A12" i="5"/>
  <c r="Q11" i="5"/>
  <c r="S11" i="5" s="1"/>
  <c r="P11" i="5"/>
  <c r="O11" i="5"/>
  <c r="N11" i="5"/>
  <c r="X11" i="5" s="1"/>
  <c r="M11" i="5"/>
  <c r="L11" i="5"/>
  <c r="V11" i="5" s="1"/>
  <c r="K11" i="5"/>
  <c r="G11" i="5"/>
  <c r="F11" i="5"/>
  <c r="E11" i="5"/>
  <c r="H11" i="5" s="1"/>
  <c r="D11" i="5"/>
  <c r="C11" i="5"/>
  <c r="B11" i="5"/>
  <c r="A11" i="5"/>
  <c r="A15" i="3"/>
  <c r="AD15" i="3" s="1"/>
  <c r="B15" i="3"/>
  <c r="C15" i="3"/>
  <c r="D15" i="3"/>
  <c r="E15" i="3"/>
  <c r="H15" i="3" s="1"/>
  <c r="F15" i="3"/>
  <c r="G15" i="3"/>
  <c r="K15" i="3"/>
  <c r="L15" i="3"/>
  <c r="U15" i="3" s="1"/>
  <c r="AW15" i="3" s="1"/>
  <c r="M15" i="3"/>
  <c r="N15" i="3"/>
  <c r="W15" i="3" s="1"/>
  <c r="AY15" i="3" s="1"/>
  <c r="O15" i="3"/>
  <c r="P15" i="3"/>
  <c r="Q15" i="3"/>
  <c r="S15" i="3" s="1"/>
  <c r="Z15" i="3"/>
  <c r="AA15" i="3"/>
  <c r="AP15" i="3"/>
  <c r="AQ15" i="3"/>
  <c r="AR15" i="3"/>
  <c r="AS15" i="3"/>
  <c r="AT15" i="3"/>
  <c r="AU15" i="3"/>
  <c r="A16" i="3"/>
  <c r="AB16" i="3" s="1"/>
  <c r="B16" i="3"/>
  <c r="C16" i="3"/>
  <c r="D16" i="3"/>
  <c r="E16" i="3"/>
  <c r="I16" i="3" s="1"/>
  <c r="F16" i="3"/>
  <c r="G16" i="3"/>
  <c r="K16" i="3"/>
  <c r="L16" i="3"/>
  <c r="U16" i="3" s="1"/>
  <c r="AW16" i="3" s="1"/>
  <c r="M16" i="3"/>
  <c r="N16" i="3"/>
  <c r="W16" i="3" s="1"/>
  <c r="AY16" i="3" s="1"/>
  <c r="BD16" i="3" s="1"/>
  <c r="O16" i="3"/>
  <c r="P16" i="3"/>
  <c r="Y16" i="3" s="1"/>
  <c r="BA16" i="3" s="1"/>
  <c r="Q16" i="3"/>
  <c r="R16" i="3" s="1"/>
  <c r="Z16" i="3"/>
  <c r="AA16" i="3"/>
  <c r="AP16" i="3"/>
  <c r="AQ16" i="3"/>
  <c r="AR16" i="3"/>
  <c r="AS16" i="3"/>
  <c r="AT16" i="3"/>
  <c r="AU16" i="3"/>
  <c r="A17" i="3"/>
  <c r="AF17" i="3" s="1"/>
  <c r="B17" i="3"/>
  <c r="C17" i="3"/>
  <c r="D17" i="3"/>
  <c r="E17" i="3"/>
  <c r="I17" i="3" s="1"/>
  <c r="F17" i="3"/>
  <c r="G17" i="3"/>
  <c r="K17" i="3"/>
  <c r="L17" i="3"/>
  <c r="U17" i="3" s="1"/>
  <c r="AW17" i="3" s="1"/>
  <c r="M17" i="3"/>
  <c r="N17" i="3"/>
  <c r="W17" i="3" s="1"/>
  <c r="AY17" i="3" s="1"/>
  <c r="BD17" i="3" s="1"/>
  <c r="O17" i="3"/>
  <c r="P17" i="3"/>
  <c r="Q17" i="3"/>
  <c r="S17" i="3" s="1"/>
  <c r="Z17" i="3"/>
  <c r="AA17" i="3"/>
  <c r="AP17" i="3"/>
  <c r="AQ17" i="3"/>
  <c r="AR17" i="3"/>
  <c r="AS17" i="3"/>
  <c r="AT17" i="3"/>
  <c r="AU17" i="3"/>
  <c r="A18" i="3"/>
  <c r="AB18" i="3" s="1"/>
  <c r="B18" i="3"/>
  <c r="C18" i="3"/>
  <c r="D18" i="3"/>
  <c r="E18" i="3"/>
  <c r="I18" i="3" s="1"/>
  <c r="F18" i="3"/>
  <c r="G18" i="3"/>
  <c r="K18" i="3"/>
  <c r="L18" i="3"/>
  <c r="U18" i="3" s="1"/>
  <c r="AW18" i="3" s="1"/>
  <c r="M18" i="3"/>
  <c r="N18" i="3"/>
  <c r="W18" i="3" s="1"/>
  <c r="AY18" i="3" s="1"/>
  <c r="BD18" i="3" s="1"/>
  <c r="O18" i="3"/>
  <c r="P18" i="3"/>
  <c r="Q18" i="3"/>
  <c r="S18" i="3" s="1"/>
  <c r="Z18" i="3"/>
  <c r="AA18" i="3"/>
  <c r="AP18" i="3"/>
  <c r="AQ18" i="3"/>
  <c r="AR18" i="3"/>
  <c r="AS18" i="3"/>
  <c r="AT18" i="3"/>
  <c r="AU18" i="3"/>
  <c r="A19" i="3"/>
  <c r="AF19" i="3" s="1"/>
  <c r="B19" i="3"/>
  <c r="C19" i="3"/>
  <c r="D19" i="3"/>
  <c r="E19" i="3"/>
  <c r="H19" i="3" s="1"/>
  <c r="F19" i="3"/>
  <c r="G19" i="3"/>
  <c r="K19" i="3"/>
  <c r="L19" i="3"/>
  <c r="U19" i="3" s="1"/>
  <c r="AW19" i="3" s="1"/>
  <c r="M19" i="3"/>
  <c r="N19" i="3"/>
  <c r="W19" i="3" s="1"/>
  <c r="AY19" i="3" s="1"/>
  <c r="O19" i="3"/>
  <c r="P19" i="3"/>
  <c r="Q19" i="3"/>
  <c r="S19" i="3" s="1"/>
  <c r="Z19" i="3"/>
  <c r="AA19" i="3"/>
  <c r="AD19" i="3"/>
  <c r="AP19" i="3"/>
  <c r="AQ19" i="3"/>
  <c r="AR19" i="3"/>
  <c r="AS19" i="3"/>
  <c r="AT19" i="3"/>
  <c r="AU19" i="3"/>
  <c r="A20" i="3"/>
  <c r="AB20" i="3" s="1"/>
  <c r="B20" i="3"/>
  <c r="C20" i="3"/>
  <c r="D20" i="3"/>
  <c r="E20" i="3"/>
  <c r="I20" i="3" s="1"/>
  <c r="F20" i="3"/>
  <c r="G20" i="3"/>
  <c r="K20" i="3"/>
  <c r="L20" i="3"/>
  <c r="U20" i="3" s="1"/>
  <c r="AW20" i="3" s="1"/>
  <c r="M20" i="3"/>
  <c r="N20" i="3"/>
  <c r="W20" i="3" s="1"/>
  <c r="AY20" i="3" s="1"/>
  <c r="O20" i="3"/>
  <c r="P20" i="3"/>
  <c r="Q20" i="3"/>
  <c r="S20" i="3" s="1"/>
  <c r="Z20" i="3"/>
  <c r="AA20" i="3"/>
  <c r="AE20" i="3"/>
  <c r="AP20" i="3"/>
  <c r="AQ20" i="3"/>
  <c r="AR20" i="3"/>
  <c r="AS20" i="3"/>
  <c r="AT20" i="3"/>
  <c r="AU20" i="3"/>
  <c r="A21" i="3"/>
  <c r="AF21" i="3" s="1"/>
  <c r="B21" i="3"/>
  <c r="C21" i="3"/>
  <c r="D21" i="3"/>
  <c r="E21" i="3"/>
  <c r="H21" i="3" s="1"/>
  <c r="F21" i="3"/>
  <c r="G21" i="3"/>
  <c r="K21" i="3"/>
  <c r="L21" i="3"/>
  <c r="U21" i="3" s="1"/>
  <c r="AW21" i="3" s="1"/>
  <c r="M21" i="3"/>
  <c r="N21" i="3"/>
  <c r="W21" i="3" s="1"/>
  <c r="AY21" i="3" s="1"/>
  <c r="O21" i="3"/>
  <c r="P21" i="3"/>
  <c r="Q21" i="3"/>
  <c r="S21" i="3" s="1"/>
  <c r="Z21" i="3"/>
  <c r="AA21" i="3"/>
  <c r="AP21" i="3"/>
  <c r="AQ21" i="3"/>
  <c r="AR21" i="3"/>
  <c r="AS21" i="3"/>
  <c r="AT21" i="3"/>
  <c r="AU21" i="3"/>
  <c r="A22" i="3"/>
  <c r="AB22" i="3" s="1"/>
  <c r="B22" i="3"/>
  <c r="C22" i="3"/>
  <c r="D22" i="3"/>
  <c r="E22" i="3"/>
  <c r="H22" i="3" s="1"/>
  <c r="F22" i="3"/>
  <c r="G22" i="3"/>
  <c r="K22" i="3"/>
  <c r="L22" i="3"/>
  <c r="U22" i="3" s="1"/>
  <c r="AW22" i="3" s="1"/>
  <c r="M22" i="3"/>
  <c r="N22" i="3"/>
  <c r="W22" i="3" s="1"/>
  <c r="AY22" i="3" s="1"/>
  <c r="O22" i="3"/>
  <c r="P22" i="3"/>
  <c r="Q22" i="3"/>
  <c r="S22" i="3" s="1"/>
  <c r="Z22" i="3"/>
  <c r="AA22" i="3"/>
  <c r="AG22" i="3"/>
  <c r="AP22" i="3"/>
  <c r="AQ22" i="3"/>
  <c r="AR22" i="3"/>
  <c r="AS22" i="3"/>
  <c r="AT22" i="3"/>
  <c r="AU22" i="3"/>
  <c r="A23" i="3"/>
  <c r="AF23" i="3" s="1"/>
  <c r="B23" i="3"/>
  <c r="C23" i="3"/>
  <c r="D23" i="3"/>
  <c r="E23" i="3"/>
  <c r="J23" i="3" s="1"/>
  <c r="F23" i="3"/>
  <c r="G23" i="3"/>
  <c r="K23" i="3"/>
  <c r="L23" i="3"/>
  <c r="U23" i="3" s="1"/>
  <c r="AW23" i="3" s="1"/>
  <c r="M23" i="3"/>
  <c r="N23" i="3"/>
  <c r="W23" i="3" s="1"/>
  <c r="AY23" i="3" s="1"/>
  <c r="O23" i="3"/>
  <c r="P23" i="3"/>
  <c r="Q23" i="3"/>
  <c r="S23" i="3" s="1"/>
  <c r="Z23" i="3"/>
  <c r="AA23" i="3"/>
  <c r="AP23" i="3"/>
  <c r="AQ23" i="3"/>
  <c r="AR23" i="3"/>
  <c r="AS23" i="3"/>
  <c r="AT23" i="3"/>
  <c r="AU23" i="3"/>
  <c r="A24" i="3"/>
  <c r="AB24" i="3" s="1"/>
  <c r="B24" i="3"/>
  <c r="C24" i="3"/>
  <c r="D24" i="3"/>
  <c r="E24" i="3"/>
  <c r="I24" i="3" s="1"/>
  <c r="F24" i="3"/>
  <c r="G24" i="3"/>
  <c r="K24" i="3"/>
  <c r="L24" i="3"/>
  <c r="U24" i="3" s="1"/>
  <c r="AW24" i="3" s="1"/>
  <c r="M24" i="3"/>
  <c r="N24" i="3"/>
  <c r="W24" i="3" s="1"/>
  <c r="AY24" i="3" s="1"/>
  <c r="BD24" i="3" s="1"/>
  <c r="O24" i="3"/>
  <c r="P24" i="3"/>
  <c r="Q24" i="3"/>
  <c r="S24" i="3" s="1"/>
  <c r="Z24" i="3"/>
  <c r="AA24" i="3"/>
  <c r="AP24" i="3"/>
  <c r="AQ24" i="3"/>
  <c r="AR24" i="3"/>
  <c r="AS24" i="3"/>
  <c r="AT24" i="3"/>
  <c r="AU24" i="3"/>
  <c r="A25" i="3"/>
  <c r="AE25" i="3" s="1"/>
  <c r="B25" i="3"/>
  <c r="C25" i="3"/>
  <c r="D25" i="3"/>
  <c r="E25" i="3"/>
  <c r="I25" i="3" s="1"/>
  <c r="F25" i="3"/>
  <c r="G25" i="3"/>
  <c r="K25" i="3"/>
  <c r="L25" i="3"/>
  <c r="U25" i="3" s="1"/>
  <c r="AW25" i="3" s="1"/>
  <c r="M25" i="3"/>
  <c r="N25" i="3"/>
  <c r="W25" i="3" s="1"/>
  <c r="AY25" i="3" s="1"/>
  <c r="O25" i="3"/>
  <c r="P25" i="3"/>
  <c r="Q25" i="3"/>
  <c r="S25" i="3" s="1"/>
  <c r="Z25" i="3"/>
  <c r="AA25" i="3"/>
  <c r="AP25" i="3"/>
  <c r="AQ25" i="3"/>
  <c r="AR25" i="3"/>
  <c r="AS25" i="3"/>
  <c r="AT25" i="3"/>
  <c r="AU25" i="3"/>
  <c r="A26" i="3"/>
  <c r="AB26" i="3" s="1"/>
  <c r="B26" i="3"/>
  <c r="C26" i="3"/>
  <c r="D26" i="3"/>
  <c r="E26" i="3"/>
  <c r="I26" i="3" s="1"/>
  <c r="F26" i="3"/>
  <c r="G26" i="3"/>
  <c r="K26" i="3"/>
  <c r="L26" i="3"/>
  <c r="U26" i="3" s="1"/>
  <c r="AW26" i="3" s="1"/>
  <c r="M26" i="3"/>
  <c r="N26" i="3"/>
  <c r="W26" i="3" s="1"/>
  <c r="AY26" i="3" s="1"/>
  <c r="O26" i="3"/>
  <c r="P26" i="3"/>
  <c r="Q26" i="3"/>
  <c r="S26" i="3" s="1"/>
  <c r="Z26" i="3"/>
  <c r="AA26" i="3"/>
  <c r="AP26" i="3"/>
  <c r="AQ26" i="3"/>
  <c r="AR26" i="3"/>
  <c r="AS26" i="3"/>
  <c r="AT26" i="3"/>
  <c r="AU26" i="3"/>
  <c r="F12" i="3"/>
  <c r="G12" i="3"/>
  <c r="F13" i="3"/>
  <c r="G13" i="3"/>
  <c r="F14" i="3"/>
  <c r="G14" i="3"/>
  <c r="E11" i="3"/>
  <c r="J11" i="3" s="1"/>
  <c r="F11" i="3"/>
  <c r="G11" i="3"/>
  <c r="AP12" i="3"/>
  <c r="AQ12" i="3"/>
  <c r="AR12" i="3"/>
  <c r="AS12" i="3"/>
  <c r="AT12" i="3"/>
  <c r="AU12" i="3"/>
  <c r="AP13" i="3"/>
  <c r="AQ13" i="3"/>
  <c r="AR13" i="3"/>
  <c r="AS13" i="3"/>
  <c r="AT13" i="3"/>
  <c r="AU13" i="3"/>
  <c r="AP14" i="3"/>
  <c r="AQ14" i="3"/>
  <c r="AR14" i="3"/>
  <c r="AS14" i="3"/>
  <c r="AT14" i="3"/>
  <c r="AU14" i="3"/>
  <c r="AQ11" i="3"/>
  <c r="AP11" i="3"/>
  <c r="AU11" i="3"/>
  <c r="AT11" i="3"/>
  <c r="AS11" i="3"/>
  <c r="AR11" i="3"/>
  <c r="Z12" i="3"/>
  <c r="AA12" i="3"/>
  <c r="Z13" i="3"/>
  <c r="AA13" i="3"/>
  <c r="Z14" i="3"/>
  <c r="AA14" i="3"/>
  <c r="AA11" i="3"/>
  <c r="Z11" i="3"/>
  <c r="A14" i="3"/>
  <c r="AB14" i="3" s="1"/>
  <c r="B14" i="3"/>
  <c r="C14" i="3"/>
  <c r="D14" i="3"/>
  <c r="E14" i="3"/>
  <c r="H14" i="3" s="1"/>
  <c r="K14" i="3"/>
  <c r="L14" i="3"/>
  <c r="U14" i="3" s="1"/>
  <c r="AW14" i="3" s="1"/>
  <c r="M14" i="3"/>
  <c r="N14" i="3"/>
  <c r="W14" i="3" s="1"/>
  <c r="AY14" i="3" s="1"/>
  <c r="O14" i="3"/>
  <c r="P14" i="3"/>
  <c r="Q14" i="3"/>
  <c r="S14" i="3" s="1"/>
  <c r="A12" i="3"/>
  <c r="AF12" i="3" s="1"/>
  <c r="B12" i="3"/>
  <c r="C12" i="3"/>
  <c r="D12" i="3"/>
  <c r="E12" i="3"/>
  <c r="I12" i="3" s="1"/>
  <c r="K12" i="3"/>
  <c r="L12" i="3"/>
  <c r="U12" i="3" s="1"/>
  <c r="AW12" i="3" s="1"/>
  <c r="M12" i="3"/>
  <c r="N12" i="3"/>
  <c r="W12" i="3" s="1"/>
  <c r="AY12" i="3" s="1"/>
  <c r="O12" i="3"/>
  <c r="P12" i="3"/>
  <c r="Q12" i="3"/>
  <c r="R12" i="3" s="1"/>
  <c r="A13" i="3"/>
  <c r="AC13" i="3" s="1"/>
  <c r="B13" i="3"/>
  <c r="C13" i="3"/>
  <c r="D13" i="3"/>
  <c r="E13" i="3"/>
  <c r="H13" i="3" s="1"/>
  <c r="K13" i="3"/>
  <c r="L13" i="3"/>
  <c r="U13" i="3" s="1"/>
  <c r="AW13" i="3" s="1"/>
  <c r="M13" i="3"/>
  <c r="N13" i="3"/>
  <c r="W13" i="3" s="1"/>
  <c r="AY13" i="3" s="1"/>
  <c r="O13" i="3"/>
  <c r="P13" i="3"/>
  <c r="Q13" i="3"/>
  <c r="S13" i="3" s="1"/>
  <c r="B11" i="3"/>
  <c r="C11" i="3"/>
  <c r="D11" i="3"/>
  <c r="K11" i="3"/>
  <c r="L11" i="3"/>
  <c r="U11" i="3" s="1"/>
  <c r="AW11" i="3" s="1"/>
  <c r="M11" i="3"/>
  <c r="N11" i="3"/>
  <c r="W11" i="3" s="1"/>
  <c r="AY11" i="3" s="1"/>
  <c r="O11" i="3"/>
  <c r="P11" i="3"/>
  <c r="Q11" i="3"/>
  <c r="S11" i="3" s="1"/>
  <c r="A11" i="3"/>
  <c r="AD11" i="3" s="1"/>
  <c r="B23" i="1"/>
  <c r="G11" i="1"/>
  <c r="G12" i="1"/>
  <c r="G13" i="1"/>
  <c r="G15" i="1"/>
  <c r="G16" i="1"/>
  <c r="G10" i="1"/>
  <c r="I11" i="1"/>
  <c r="I12" i="1"/>
  <c r="I13" i="1"/>
  <c r="I14" i="1"/>
  <c r="I15" i="1"/>
  <c r="I16" i="1"/>
  <c r="I10" i="1"/>
  <c r="D6" i="1"/>
  <c r="BD12" i="3" l="1"/>
  <c r="T12" i="3"/>
  <c r="AV12" i="3" s="1"/>
  <c r="T16" i="3"/>
  <c r="AV16" i="3" s="1"/>
  <c r="BB16" i="3" s="1"/>
  <c r="Z12" i="5"/>
  <c r="Z16" i="5"/>
  <c r="Z20" i="5"/>
  <c r="Z14" i="6"/>
  <c r="W19" i="6"/>
  <c r="Y21" i="6"/>
  <c r="Y25" i="6"/>
  <c r="Y23" i="5"/>
  <c r="Z11" i="5"/>
  <c r="Y19" i="6"/>
  <c r="Y22" i="6"/>
  <c r="Z18" i="5"/>
  <c r="Z12" i="6"/>
  <c r="BD20" i="3"/>
  <c r="X16" i="3"/>
  <c r="AZ16" i="3" s="1"/>
  <c r="BE16" i="3" s="1"/>
  <c r="BH16" i="3" s="1"/>
  <c r="W12" i="5"/>
  <c r="W16" i="5"/>
  <c r="Y17" i="5"/>
  <c r="W20" i="5"/>
  <c r="U23" i="5"/>
  <c r="Y25" i="5"/>
  <c r="W14" i="6"/>
  <c r="I15" i="6"/>
  <c r="Z16" i="6"/>
  <c r="R19" i="6"/>
  <c r="Y20" i="6"/>
  <c r="S26" i="6"/>
  <c r="Y26" i="6" s="1"/>
  <c r="Y12" i="3"/>
  <c r="BA12" i="3" s="1"/>
  <c r="X12" i="3"/>
  <c r="AZ12" i="3" s="1"/>
  <c r="BE12" i="3" s="1"/>
  <c r="BH12" i="3" s="1"/>
  <c r="BD25" i="3"/>
  <c r="V12" i="3"/>
  <c r="AX12" i="3" s="1"/>
  <c r="BC12" i="3" s="1"/>
  <c r="BD26" i="3"/>
  <c r="V16" i="3"/>
  <c r="AX16" i="3" s="1"/>
  <c r="BC16" i="3" s="1"/>
  <c r="BF16" i="3" s="1"/>
  <c r="Z17" i="5"/>
  <c r="Y17" i="6"/>
  <c r="U22" i="6"/>
  <c r="Y24" i="6"/>
  <c r="W25" i="6"/>
  <c r="U26" i="6"/>
  <c r="Y12" i="5"/>
  <c r="Y16" i="5"/>
  <c r="Y20" i="5"/>
  <c r="U22" i="5"/>
  <c r="W23" i="5"/>
  <c r="Y24" i="5"/>
  <c r="Y14" i="6"/>
  <c r="Z17" i="6"/>
  <c r="Z26" i="5"/>
  <c r="W26" i="5"/>
  <c r="W26" i="6"/>
  <c r="Z26" i="6"/>
  <c r="Z24" i="6"/>
  <c r="W24" i="6"/>
  <c r="W24" i="5"/>
  <c r="Z24" i="5"/>
  <c r="Z22" i="6"/>
  <c r="W22" i="6"/>
  <c r="Z22" i="5"/>
  <c r="W22" i="5"/>
  <c r="Z21" i="6"/>
  <c r="W21" i="6"/>
  <c r="Y25" i="3"/>
  <c r="BA25" i="3" s="1"/>
  <c r="Z25" i="5"/>
  <c r="Z23" i="6"/>
  <c r="Z23" i="5"/>
  <c r="Z20" i="6"/>
  <c r="Y19" i="3"/>
  <c r="BA19" i="3" s="1"/>
  <c r="Z19" i="6"/>
  <c r="U19" i="6"/>
  <c r="J19" i="6"/>
  <c r="S13" i="6"/>
  <c r="W13" i="6" s="1"/>
  <c r="I23" i="6"/>
  <c r="H26" i="6"/>
  <c r="T25" i="5"/>
  <c r="AC25" i="5" s="1"/>
  <c r="BF25" i="5" s="1"/>
  <c r="R26" i="5"/>
  <c r="AH18" i="3"/>
  <c r="AC19" i="3"/>
  <c r="AF22" i="3"/>
  <c r="AH15" i="3"/>
  <c r="J20" i="6"/>
  <c r="T20" i="6" s="1"/>
  <c r="T26" i="6"/>
  <c r="AB26" i="6" s="1"/>
  <c r="S11" i="6"/>
  <c r="W11" i="6" s="1"/>
  <c r="R24" i="6"/>
  <c r="I26" i="6"/>
  <c r="H14" i="6"/>
  <c r="H20" i="6"/>
  <c r="I21" i="6"/>
  <c r="J11" i="5"/>
  <c r="T11" i="5" s="1"/>
  <c r="AD11" i="5" s="1"/>
  <c r="I13" i="5"/>
  <c r="S14" i="5"/>
  <c r="Z14" i="5" s="1"/>
  <c r="H15" i="5"/>
  <c r="J11" i="6"/>
  <c r="J12" i="6"/>
  <c r="T12" i="6" s="1"/>
  <c r="I13" i="6"/>
  <c r="J18" i="6"/>
  <c r="T18" i="6" s="1"/>
  <c r="J13" i="5"/>
  <c r="T13" i="5" s="1"/>
  <c r="I15" i="5"/>
  <c r="T15" i="6"/>
  <c r="T23" i="6"/>
  <c r="AB23" i="6" s="1"/>
  <c r="R21" i="3"/>
  <c r="T21" i="3" s="1"/>
  <c r="AV21" i="3" s="1"/>
  <c r="AE15" i="3"/>
  <c r="AL15" i="3" s="1"/>
  <c r="T18" i="5"/>
  <c r="AC18" i="5" s="1"/>
  <c r="BF18" i="5" s="1"/>
  <c r="T17" i="6"/>
  <c r="AA17" i="6" s="1"/>
  <c r="J19" i="3"/>
  <c r="R12" i="5"/>
  <c r="H17" i="5"/>
  <c r="T11" i="6"/>
  <c r="H12" i="6"/>
  <c r="J14" i="6"/>
  <c r="R14" i="6"/>
  <c r="R16" i="6"/>
  <c r="R17" i="6"/>
  <c r="H18" i="6"/>
  <c r="R22" i="6"/>
  <c r="J25" i="6"/>
  <c r="T25" i="6" s="1"/>
  <c r="AB25" i="6" s="1"/>
  <c r="R25" i="6"/>
  <c r="R15" i="3"/>
  <c r="T15" i="3" s="1"/>
  <c r="AV15" i="3" s="1"/>
  <c r="J15" i="3"/>
  <c r="I11" i="5"/>
  <c r="I17" i="5"/>
  <c r="H11" i="6"/>
  <c r="H13" i="6"/>
  <c r="T21" i="6"/>
  <c r="AD21" i="6" s="1"/>
  <c r="T14" i="5"/>
  <c r="AB14" i="5" s="1"/>
  <c r="BE14" i="5" s="1"/>
  <c r="T15" i="5"/>
  <c r="T16" i="5"/>
  <c r="AF16" i="5" s="1"/>
  <c r="BI16" i="5" s="1"/>
  <c r="T24" i="5"/>
  <c r="AA24" i="5"/>
  <c r="BD24" i="5" s="1"/>
  <c r="R20" i="5"/>
  <c r="W11" i="5"/>
  <c r="T17" i="5"/>
  <c r="AD17" i="5" s="1"/>
  <c r="BG17" i="5" s="1"/>
  <c r="H21" i="5"/>
  <c r="T26" i="5"/>
  <c r="AA26" i="5" s="1"/>
  <c r="BD26" i="5" s="1"/>
  <c r="U11" i="5"/>
  <c r="T20" i="5"/>
  <c r="AC20" i="5" s="1"/>
  <c r="BF20" i="5" s="1"/>
  <c r="S22" i="5"/>
  <c r="Y22" i="5" s="1"/>
  <c r="J21" i="5"/>
  <c r="T21" i="5" s="1"/>
  <c r="T22" i="5"/>
  <c r="H23" i="5"/>
  <c r="Y11" i="5"/>
  <c r="T12" i="5"/>
  <c r="R18" i="5"/>
  <c r="AA25" i="5"/>
  <c r="BD25" i="5" s="1"/>
  <c r="H20" i="3"/>
  <c r="H12" i="3"/>
  <c r="I23" i="3"/>
  <c r="BD23" i="3" s="1"/>
  <c r="BG23" i="3" s="1"/>
  <c r="I19" i="3"/>
  <c r="I15" i="3"/>
  <c r="I11" i="3"/>
  <c r="H11" i="3"/>
  <c r="J26" i="3"/>
  <c r="J22" i="3"/>
  <c r="J18" i="3"/>
  <c r="J14" i="3"/>
  <c r="H26" i="3"/>
  <c r="H18" i="3"/>
  <c r="I22" i="3"/>
  <c r="BD22" i="3" s="1"/>
  <c r="BG22" i="3" s="1"/>
  <c r="I14" i="3"/>
  <c r="H25" i="3"/>
  <c r="H17" i="3"/>
  <c r="J25" i="3"/>
  <c r="J21" i="3"/>
  <c r="J17" i="3"/>
  <c r="J13" i="3"/>
  <c r="R24" i="3"/>
  <c r="T24" i="3" s="1"/>
  <c r="AV24" i="3" s="1"/>
  <c r="R23" i="3"/>
  <c r="X23" i="3" s="1"/>
  <c r="AZ23" i="3" s="1"/>
  <c r="R18" i="3"/>
  <c r="V18" i="3" s="1"/>
  <c r="AX18" i="3" s="1"/>
  <c r="BC18" i="3" s="1"/>
  <c r="BF18" i="3" s="1"/>
  <c r="H24" i="3"/>
  <c r="H16" i="3"/>
  <c r="I21" i="3"/>
  <c r="BD21" i="3" s="1"/>
  <c r="BG21" i="3" s="1"/>
  <c r="I13" i="3"/>
  <c r="H23" i="3"/>
  <c r="J24" i="3"/>
  <c r="J20" i="3"/>
  <c r="J16" i="3"/>
  <c r="J12" i="3"/>
  <c r="AG15" i="3"/>
  <c r="J18" i="7"/>
  <c r="T18" i="7" s="1"/>
  <c r="H12" i="7"/>
  <c r="J12" i="7"/>
  <c r="T12" i="7" s="1"/>
  <c r="H23" i="7"/>
  <c r="I21" i="7"/>
  <c r="R17" i="7"/>
  <c r="R24" i="7"/>
  <c r="S26" i="7"/>
  <c r="R12" i="7"/>
  <c r="J20" i="7"/>
  <c r="T20" i="7" s="1"/>
  <c r="H13" i="7"/>
  <c r="T16" i="7"/>
  <c r="I19" i="7"/>
  <c r="I13" i="7"/>
  <c r="J21" i="7"/>
  <c r="T21" i="7" s="1"/>
  <c r="I20" i="7"/>
  <c r="H19" i="7"/>
  <c r="T19" i="7"/>
  <c r="R21" i="7"/>
  <c r="S18" i="7"/>
  <c r="S20" i="7"/>
  <c r="J11" i="7"/>
  <c r="T11" i="7" s="1"/>
  <c r="R16" i="7"/>
  <c r="R25" i="7"/>
  <c r="H22" i="7"/>
  <c r="H11" i="7"/>
  <c r="T13" i="7"/>
  <c r="H14" i="7"/>
  <c r="I14" i="7"/>
  <c r="I22" i="7"/>
  <c r="AB25" i="5"/>
  <c r="BE25" i="5" s="1"/>
  <c r="AD25" i="5"/>
  <c r="BG25" i="5" s="1"/>
  <c r="AE25" i="5"/>
  <c r="BH25" i="5" s="1"/>
  <c r="AA16" i="5"/>
  <c r="BD16" i="5" s="1"/>
  <c r="AB16" i="5"/>
  <c r="BE16" i="5" s="1"/>
  <c r="AC16" i="5"/>
  <c r="BF16" i="5" s="1"/>
  <c r="T23" i="5"/>
  <c r="AB24" i="5"/>
  <c r="BE24" i="5" s="1"/>
  <c r="I19" i="5"/>
  <c r="H25" i="5"/>
  <c r="J19" i="5"/>
  <c r="T19" i="5" s="1"/>
  <c r="I25" i="5"/>
  <c r="R16" i="5"/>
  <c r="I23" i="5"/>
  <c r="R24" i="5"/>
  <c r="AF25" i="5"/>
  <c r="BI25" i="5" s="1"/>
  <c r="T14" i="7"/>
  <c r="T22" i="7"/>
  <c r="T24" i="7"/>
  <c r="T23" i="7"/>
  <c r="R13" i="7"/>
  <c r="J17" i="7"/>
  <c r="T17" i="7" s="1"/>
  <c r="I18" i="7"/>
  <c r="J25" i="7"/>
  <c r="T25" i="7" s="1"/>
  <c r="I26" i="7"/>
  <c r="J26" i="7"/>
  <c r="T26" i="7" s="1"/>
  <c r="R11" i="7"/>
  <c r="R19" i="7"/>
  <c r="R14" i="7"/>
  <c r="I15" i="7"/>
  <c r="H16" i="7"/>
  <c r="R22" i="7"/>
  <c r="I23" i="7"/>
  <c r="H24" i="7"/>
  <c r="J15" i="7"/>
  <c r="T15" i="7" s="1"/>
  <c r="R15" i="7"/>
  <c r="I16" i="7"/>
  <c r="H17" i="7"/>
  <c r="R23" i="7"/>
  <c r="I24" i="7"/>
  <c r="H25" i="7"/>
  <c r="AC23" i="6"/>
  <c r="J16" i="6"/>
  <c r="T16" i="6" s="1"/>
  <c r="I16" i="6"/>
  <c r="S15" i="6"/>
  <c r="Y15" i="6" s="1"/>
  <c r="R15" i="6"/>
  <c r="R20" i="6"/>
  <c r="T13" i="6"/>
  <c r="J22" i="6"/>
  <c r="T22" i="6" s="1"/>
  <c r="I22" i="6"/>
  <c r="H22" i="6"/>
  <c r="H16" i="6"/>
  <c r="T19" i="6"/>
  <c r="R12" i="6"/>
  <c r="T14" i="6"/>
  <c r="I17" i="6"/>
  <c r="H17" i="6"/>
  <c r="S18" i="6"/>
  <c r="Z18" i="6" s="1"/>
  <c r="H19" i="6"/>
  <c r="J24" i="6"/>
  <c r="T24" i="6" s="1"/>
  <c r="I24" i="6"/>
  <c r="H24" i="6"/>
  <c r="H15" i="6"/>
  <c r="R21" i="6"/>
  <c r="H23" i="6"/>
  <c r="R23" i="6"/>
  <c r="H25" i="6"/>
  <c r="R11" i="5"/>
  <c r="R17" i="5"/>
  <c r="R23" i="5"/>
  <c r="R25" i="5"/>
  <c r="S13" i="5"/>
  <c r="U13" i="5" s="1"/>
  <c r="S15" i="5"/>
  <c r="Y15" i="5" s="1"/>
  <c r="S19" i="5"/>
  <c r="W19" i="5" s="1"/>
  <c r="S21" i="5"/>
  <c r="Y21" i="5" s="1"/>
  <c r="H12" i="5"/>
  <c r="H14" i="5"/>
  <c r="H16" i="5"/>
  <c r="H18" i="5"/>
  <c r="H20" i="5"/>
  <c r="H22" i="5"/>
  <c r="H24" i="5"/>
  <c r="H26" i="5"/>
  <c r="I12" i="5"/>
  <c r="I14" i="5"/>
  <c r="I16" i="5"/>
  <c r="I18" i="5"/>
  <c r="I20" i="5"/>
  <c r="I22" i="5"/>
  <c r="I24" i="5"/>
  <c r="I26" i="5"/>
  <c r="AF18" i="3"/>
  <c r="AF26" i="3"/>
  <c r="AD21" i="3"/>
  <c r="AE26" i="3"/>
  <c r="AE24" i="3"/>
  <c r="AC21" i="3"/>
  <c r="S12" i="3"/>
  <c r="AC26" i="3"/>
  <c r="AC23" i="3"/>
  <c r="R22" i="3"/>
  <c r="T22" i="3" s="1"/>
  <c r="AV22" i="3" s="1"/>
  <c r="AF20" i="3"/>
  <c r="AH16" i="3"/>
  <c r="R14" i="3"/>
  <c r="X14" i="3" s="1"/>
  <c r="AZ14" i="3" s="1"/>
  <c r="AE18" i="3"/>
  <c r="R13" i="3"/>
  <c r="T13" i="3" s="1"/>
  <c r="AV13" i="3" s="1"/>
  <c r="AG26" i="3"/>
  <c r="AD18" i="3"/>
  <c r="R11" i="3"/>
  <c r="V11" i="3" s="1"/>
  <c r="AX11" i="3" s="1"/>
  <c r="BC11" i="3" s="1"/>
  <c r="BF11" i="3" s="1"/>
  <c r="AC24" i="3"/>
  <c r="AH22" i="3"/>
  <c r="AD20" i="3"/>
  <c r="R20" i="3"/>
  <c r="X20" i="3" s="1"/>
  <c r="AZ20" i="3" s="1"/>
  <c r="AG18" i="3"/>
  <c r="BG18" i="3" s="1"/>
  <c r="R17" i="3"/>
  <c r="T17" i="3" s="1"/>
  <c r="AV17" i="3" s="1"/>
  <c r="AF15" i="3"/>
  <c r="AC20" i="3"/>
  <c r="AD17" i="3"/>
  <c r="AH24" i="3"/>
  <c r="AC15" i="3"/>
  <c r="AG24" i="3"/>
  <c r="BG24" i="3" s="1"/>
  <c r="AD22" i="3"/>
  <c r="AH20" i="3"/>
  <c r="AC18" i="3"/>
  <c r="AB17" i="3"/>
  <c r="AB15" i="3"/>
  <c r="AD24" i="3"/>
  <c r="AE22" i="3"/>
  <c r="AC17" i="3"/>
  <c r="AD26" i="3"/>
  <c r="R26" i="3"/>
  <c r="X26" i="3" s="1"/>
  <c r="AZ26" i="3" s="1"/>
  <c r="R25" i="3"/>
  <c r="X25" i="3" s="1"/>
  <c r="AZ25" i="3" s="1"/>
  <c r="AF24" i="3"/>
  <c r="AD23" i="3"/>
  <c r="AC22" i="3"/>
  <c r="AG20" i="3"/>
  <c r="AB23" i="3"/>
  <c r="AB21" i="3"/>
  <c r="AH26" i="3"/>
  <c r="AD25" i="3"/>
  <c r="AE23" i="3"/>
  <c r="AE21" i="3"/>
  <c r="AE19" i="3"/>
  <c r="AE17" i="3"/>
  <c r="R19" i="3"/>
  <c r="X19" i="3" s="1"/>
  <c r="AZ19" i="3" s="1"/>
  <c r="AG16" i="3"/>
  <c r="BG16" i="3" s="1"/>
  <c r="AB19" i="3"/>
  <c r="AF16" i="3"/>
  <c r="AB25" i="3"/>
  <c r="AE16" i="3"/>
  <c r="AH23" i="3"/>
  <c r="AH21" i="3"/>
  <c r="AH19" i="3"/>
  <c r="AH17" i="3"/>
  <c r="AD16" i="3"/>
  <c r="AF25" i="3"/>
  <c r="AG23" i="3"/>
  <c r="AG21" i="3"/>
  <c r="AG19" i="3"/>
  <c r="AG17" i="3"/>
  <c r="BG17" i="3" s="1"/>
  <c r="AC16" i="3"/>
  <c r="AC25" i="3"/>
  <c r="AH25" i="3"/>
  <c r="AG25" i="3"/>
  <c r="AN16" i="3"/>
  <c r="AI16" i="3"/>
  <c r="S16" i="3"/>
  <c r="AF13" i="3"/>
  <c r="AH14" i="3"/>
  <c r="AE13" i="3"/>
  <c r="AH13" i="3"/>
  <c r="AD12" i="3"/>
  <c r="AH12" i="3"/>
  <c r="AC12" i="3"/>
  <c r="AF11" i="3"/>
  <c r="AB12" i="3"/>
  <c r="AG14" i="3"/>
  <c r="AF14" i="3"/>
  <c r="AE14" i="3"/>
  <c r="AH11" i="3"/>
  <c r="AJ12" i="3"/>
  <c r="AE11" i="3"/>
  <c r="AG13" i="3"/>
  <c r="AE12" i="3"/>
  <c r="AG11" i="3"/>
  <c r="AD14" i="3"/>
  <c r="AB13" i="3"/>
  <c r="AD13" i="3"/>
  <c r="AC11" i="3"/>
  <c r="AC14" i="3"/>
  <c r="AG12" i="3"/>
  <c r="AB11" i="3"/>
  <c r="AM12" i="3"/>
  <c r="V21" i="3" l="1"/>
  <c r="AX21" i="3" s="1"/>
  <c r="BC21" i="3" s="1"/>
  <c r="BF21" i="3" s="1"/>
  <c r="V24" i="3"/>
  <c r="AX24" i="3" s="1"/>
  <c r="BC24" i="3" s="1"/>
  <c r="BF24" i="3" s="1"/>
  <c r="T25" i="3"/>
  <c r="AV25" i="3" s="1"/>
  <c r="Y11" i="3"/>
  <c r="BA11" i="3" s="1"/>
  <c r="V13" i="3"/>
  <c r="AX13" i="3" s="1"/>
  <c r="BC13" i="3" s="1"/>
  <c r="BF13" i="3" s="1"/>
  <c r="Y13" i="6"/>
  <c r="U15" i="5"/>
  <c r="V15" i="3"/>
  <c r="AX15" i="3" s="1"/>
  <c r="BC15" i="3" s="1"/>
  <c r="BF15" i="3" s="1"/>
  <c r="T26" i="3"/>
  <c r="AV26" i="3" s="1"/>
  <c r="Y14" i="5"/>
  <c r="Z11" i="6"/>
  <c r="U13" i="6"/>
  <c r="X13" i="3"/>
  <c r="AZ13" i="3" s="1"/>
  <c r="BE13" i="3" s="1"/>
  <c r="BH13" i="3" s="1"/>
  <c r="BG12" i="3"/>
  <c r="Z19" i="5"/>
  <c r="Y21" i="3"/>
  <c r="BA21" i="3" s="1"/>
  <c r="Y22" i="3"/>
  <c r="BA22" i="3" s="1"/>
  <c r="Y24" i="3"/>
  <c r="W15" i="5"/>
  <c r="Y14" i="3"/>
  <c r="BA14" i="3" s="1"/>
  <c r="W18" i="6"/>
  <c r="X17" i="3"/>
  <c r="AZ17" i="3" s="1"/>
  <c r="BE17" i="3" s="1"/>
  <c r="BH17" i="3" s="1"/>
  <c r="T18" i="3"/>
  <c r="AV18" i="3" s="1"/>
  <c r="Y15" i="3"/>
  <c r="BA15" i="3" s="1"/>
  <c r="U11" i="6"/>
  <c r="Y13" i="5"/>
  <c r="U18" i="6"/>
  <c r="W13" i="5"/>
  <c r="Z15" i="5"/>
  <c r="AF15" i="5" s="1"/>
  <c r="Y11" i="6"/>
  <c r="AE11" i="6" s="1"/>
  <c r="BD19" i="3"/>
  <c r="BG19" i="3" s="1"/>
  <c r="BB12" i="3"/>
  <c r="AB26" i="5"/>
  <c r="BE26" i="5" s="1"/>
  <c r="AC26" i="5"/>
  <c r="BF26" i="5" s="1"/>
  <c r="BE15" i="3"/>
  <c r="BH15" i="3" s="1"/>
  <c r="AA25" i="6"/>
  <c r="U19" i="5"/>
  <c r="AA19" i="5" s="1"/>
  <c r="BD19" i="5" s="1"/>
  <c r="W21" i="5"/>
  <c r="V22" i="3"/>
  <c r="AX22" i="3" s="1"/>
  <c r="BC22" i="3" s="1"/>
  <c r="BF22" i="3" s="1"/>
  <c r="AF26" i="6"/>
  <c r="U14" i="5"/>
  <c r="AA14" i="5" s="1"/>
  <c r="BD14" i="5" s="1"/>
  <c r="Y13" i="3"/>
  <c r="BA13" i="3" s="1"/>
  <c r="X22" i="3"/>
  <c r="AZ22" i="3" s="1"/>
  <c r="X21" i="3"/>
  <c r="AZ21" i="3" s="1"/>
  <c r="BE21" i="3" s="1"/>
  <c r="BH21" i="3" s="1"/>
  <c r="V19" i="3"/>
  <c r="AX19" i="3" s="1"/>
  <c r="BC19" i="3" s="1"/>
  <c r="BF19" i="3" s="1"/>
  <c r="V17" i="3"/>
  <c r="AX17" i="3" s="1"/>
  <c r="BC17" i="3" s="1"/>
  <c r="BF17" i="3" s="1"/>
  <c r="X24" i="3"/>
  <c r="AZ24" i="3" s="1"/>
  <c r="T19" i="3"/>
  <c r="AV19" i="3" s="1"/>
  <c r="Z21" i="5"/>
  <c r="U15" i="6"/>
  <c r="Y23" i="3"/>
  <c r="BA23" i="3" s="1"/>
  <c r="BE23" i="3" s="1"/>
  <c r="BH23" i="3" s="1"/>
  <c r="BG25" i="3"/>
  <c r="BG20" i="3"/>
  <c r="V14" i="3"/>
  <c r="AX14" i="3" s="1"/>
  <c r="BC14" i="3" s="1"/>
  <c r="BF14" i="3" s="1"/>
  <c r="X15" i="3"/>
  <c r="AZ15" i="3" s="1"/>
  <c r="U21" i="5"/>
  <c r="Y18" i="6"/>
  <c r="X18" i="3"/>
  <c r="AZ18" i="3" s="1"/>
  <c r="BB23" i="3"/>
  <c r="BE25" i="3"/>
  <c r="BH25" i="3" s="1"/>
  <c r="Y26" i="3"/>
  <c r="BA26" i="3" s="1"/>
  <c r="BE26" i="3" s="1"/>
  <c r="BH26" i="3" s="1"/>
  <c r="Z13" i="6"/>
  <c r="BG26" i="3"/>
  <c r="T14" i="3"/>
  <c r="AV14" i="3" s="1"/>
  <c r="BB14" i="3" s="1"/>
  <c r="Y17" i="3"/>
  <c r="BA17" i="3" s="1"/>
  <c r="V23" i="3"/>
  <c r="AX23" i="3" s="1"/>
  <c r="BC23" i="3" s="1"/>
  <c r="BF23" i="3" s="1"/>
  <c r="Y19" i="5"/>
  <c r="AE19" i="5" s="1"/>
  <c r="BH19" i="5" s="1"/>
  <c r="W15" i="6"/>
  <c r="V26" i="3"/>
  <c r="AX26" i="3" s="1"/>
  <c r="BC26" i="3" s="1"/>
  <c r="BF26" i="3" s="1"/>
  <c r="Y18" i="3"/>
  <c r="BA18" i="3" s="1"/>
  <c r="BF12" i="3"/>
  <c r="V20" i="3"/>
  <c r="AX20" i="3" s="1"/>
  <c r="BC20" i="3" s="1"/>
  <c r="BF20" i="3" s="1"/>
  <c r="T23" i="3"/>
  <c r="AV23" i="3" s="1"/>
  <c r="Z15" i="6"/>
  <c r="AF15" i="6" s="1"/>
  <c r="AX15" i="6" s="1"/>
  <c r="BD11" i="3"/>
  <c r="BG11" i="3" s="1"/>
  <c r="BD14" i="3"/>
  <c r="BG14" i="3" s="1"/>
  <c r="AB20" i="5"/>
  <c r="BE20" i="5" s="1"/>
  <c r="AE17" i="5"/>
  <c r="BH17" i="5" s="1"/>
  <c r="BB13" i="3"/>
  <c r="Y20" i="3"/>
  <c r="BA20" i="3" s="1"/>
  <c r="T20" i="3"/>
  <c r="AV20" i="3" s="1"/>
  <c r="Z13" i="5"/>
  <c r="AF13" i="5" s="1"/>
  <c r="BI13" i="5" s="1"/>
  <c r="V25" i="3"/>
  <c r="AX25" i="3" s="1"/>
  <c r="BC25" i="3" s="1"/>
  <c r="BF25" i="3" s="1"/>
  <c r="W14" i="5"/>
  <c r="BD13" i="3"/>
  <c r="BG13" i="3" s="1"/>
  <c r="BB15" i="3"/>
  <c r="BD15" i="3"/>
  <c r="BG15" i="3" s="1"/>
  <c r="BB25" i="3"/>
  <c r="BE19" i="3"/>
  <c r="BH19" i="3" s="1"/>
  <c r="AA21" i="6"/>
  <c r="AS21" i="6" s="1"/>
  <c r="AE23" i="6"/>
  <c r="AB17" i="6"/>
  <c r="AT17" i="6" s="1"/>
  <c r="AC17" i="6"/>
  <c r="AU17" i="6" s="1"/>
  <c r="AZ17" i="6" s="1"/>
  <c r="BJ17" i="6" s="1"/>
  <c r="AA23" i="6"/>
  <c r="BD23" i="6" s="1"/>
  <c r="AE17" i="6"/>
  <c r="AW17" i="6" s="1"/>
  <c r="AA26" i="6"/>
  <c r="AS26" i="6" s="1"/>
  <c r="AF17" i="5"/>
  <c r="BI17" i="5" s="1"/>
  <c r="AV11" i="5"/>
  <c r="BG11" i="5"/>
  <c r="AB11" i="5"/>
  <c r="BE11" i="5" s="1"/>
  <c r="AF18" i="5"/>
  <c r="BI18" i="5" s="1"/>
  <c r="AD22" i="5"/>
  <c r="BG22" i="5" s="1"/>
  <c r="AE18" i="5"/>
  <c r="BH18" i="5" s="1"/>
  <c r="AE15" i="5"/>
  <c r="BH15" i="5" s="1"/>
  <c r="AD20" i="5"/>
  <c r="BG20" i="5" s="1"/>
  <c r="AA17" i="5"/>
  <c r="BD17" i="5" s="1"/>
  <c r="AL24" i="3"/>
  <c r="AK18" i="3"/>
  <c r="AK12" i="3"/>
  <c r="AN12" i="3"/>
  <c r="AK16" i="3"/>
  <c r="AN20" i="3"/>
  <c r="AM21" i="3"/>
  <c r="AJ24" i="3"/>
  <c r="AL16" i="3"/>
  <c r="AJ16" i="3"/>
  <c r="AL21" i="3"/>
  <c r="AJ17" i="3"/>
  <c r="AN15" i="3"/>
  <c r="AK24" i="3"/>
  <c r="AI12" i="3"/>
  <c r="AK21" i="3"/>
  <c r="AJ25" i="3"/>
  <c r="AM16" i="3"/>
  <c r="AN21" i="3"/>
  <c r="AI15" i="3"/>
  <c r="AM18" i="3"/>
  <c r="AL26" i="3"/>
  <c r="AM15" i="3"/>
  <c r="AL23" i="3"/>
  <c r="AL12" i="3"/>
  <c r="AN18" i="3"/>
  <c r="AM24" i="3"/>
  <c r="AI21" i="3"/>
  <c r="AJ21" i="3"/>
  <c r="AK15" i="3"/>
  <c r="AI19" i="3"/>
  <c r="AN22" i="3"/>
  <c r="AJ22" i="3"/>
  <c r="AM23" i="3"/>
  <c r="AN17" i="3"/>
  <c r="AI14" i="3"/>
  <c r="AK14" i="3"/>
  <c r="AN23" i="3"/>
  <c r="AI13" i="3"/>
  <c r="AI24" i="3"/>
  <c r="AL22" i="3"/>
  <c r="AK11" i="3"/>
  <c r="AE25" i="6"/>
  <c r="AW25" i="6" s="1"/>
  <c r="AF25" i="6"/>
  <c r="AX25" i="6" s="1"/>
  <c r="AB11" i="6"/>
  <c r="AT11" i="6" s="1"/>
  <c r="AD17" i="6"/>
  <c r="AV17" i="6" s="1"/>
  <c r="BA17" i="6" s="1"/>
  <c r="BK17" i="6" s="1"/>
  <c r="AE26" i="6"/>
  <c r="AW26" i="6" s="1"/>
  <c r="AA12" i="6"/>
  <c r="AF12" i="6"/>
  <c r="AE12" i="6"/>
  <c r="AD12" i="6"/>
  <c r="AB12" i="6"/>
  <c r="AC12" i="6"/>
  <c r="BH26" i="6"/>
  <c r="AA13" i="5"/>
  <c r="BD13" i="5" s="1"/>
  <c r="AU23" i="6"/>
  <c r="AZ23" i="6" s="1"/>
  <c r="BJ23" i="6" s="1"/>
  <c r="BF23" i="6"/>
  <c r="AE26" i="5"/>
  <c r="BH26" i="5" s="1"/>
  <c r="AC22" i="5"/>
  <c r="BF22" i="5" s="1"/>
  <c r="AB18" i="5"/>
  <c r="BE18" i="5" s="1"/>
  <c r="AC17" i="5"/>
  <c r="BF17" i="5" s="1"/>
  <c r="AF26" i="5"/>
  <c r="BI26" i="5" s="1"/>
  <c r="AA22" i="5"/>
  <c r="BD22" i="5" s="1"/>
  <c r="AC14" i="5"/>
  <c r="BF14" i="5" s="1"/>
  <c r="AE21" i="6"/>
  <c r="AF21" i="6"/>
  <c r="AW23" i="6"/>
  <c r="BH23" i="6"/>
  <c r="AB17" i="5"/>
  <c r="BE17" i="5" s="1"/>
  <c r="AE11" i="5"/>
  <c r="BH11" i="5" s="1"/>
  <c r="AX26" i="6"/>
  <c r="BI26" i="6"/>
  <c r="AB18" i="6"/>
  <c r="AF11" i="6"/>
  <c r="AS17" i="6"/>
  <c r="BD17" i="6"/>
  <c r="AF20" i="5"/>
  <c r="BI20" i="5" s="1"/>
  <c r="AV21" i="6"/>
  <c r="BA21" i="6" s="1"/>
  <c r="BK21" i="6" s="1"/>
  <c r="BG21" i="6"/>
  <c r="AT25" i="6"/>
  <c r="BE25" i="6"/>
  <c r="AE20" i="5"/>
  <c r="BH20" i="5" s="1"/>
  <c r="AF14" i="5"/>
  <c r="BI14" i="5" s="1"/>
  <c r="AD23" i="6"/>
  <c r="AS25" i="6"/>
  <c r="BD25" i="6"/>
  <c r="AT26" i="6"/>
  <c r="BE26" i="6"/>
  <c r="AT23" i="6"/>
  <c r="BE23" i="6"/>
  <c r="AC25" i="6"/>
  <c r="AD12" i="5"/>
  <c r="BG12" i="5" s="1"/>
  <c r="AD24" i="5"/>
  <c r="BG24" i="5" s="1"/>
  <c r="AX25" i="5"/>
  <c r="AS25" i="5"/>
  <c r="AX16" i="5"/>
  <c r="AS26" i="5"/>
  <c r="AU20" i="5"/>
  <c r="AZ20" i="5" s="1"/>
  <c r="BJ20" i="5" s="1"/>
  <c r="AU16" i="5"/>
  <c r="AZ16" i="5" s="1"/>
  <c r="BJ16" i="5" s="1"/>
  <c r="AT26" i="5"/>
  <c r="AT14" i="5"/>
  <c r="AC11" i="5"/>
  <c r="BF11" i="5" s="1"/>
  <c r="AU26" i="5"/>
  <c r="AZ26" i="5" s="1"/>
  <c r="BJ26" i="5" s="1"/>
  <c r="AT24" i="5"/>
  <c r="AT20" i="5"/>
  <c r="AT16" i="5"/>
  <c r="AW25" i="5"/>
  <c r="AC12" i="5"/>
  <c r="BF12" i="5" s="1"/>
  <c r="AC24" i="5"/>
  <c r="BF24" i="5" s="1"/>
  <c r="AS16" i="5"/>
  <c r="AV25" i="5"/>
  <c r="BA25" i="5" s="1"/>
  <c r="BK25" i="5" s="1"/>
  <c r="AB12" i="5"/>
  <c r="BE12" i="5" s="1"/>
  <c r="AE22" i="5"/>
  <c r="BH22" i="5" s="1"/>
  <c r="AB21" i="5"/>
  <c r="BE21" i="5" s="1"/>
  <c r="AA12" i="5"/>
  <c r="BD12" i="5" s="1"/>
  <c r="AF22" i="5"/>
  <c r="BI22" i="5" s="1"/>
  <c r="AU25" i="5"/>
  <c r="AZ25" i="5" s="1"/>
  <c r="BJ25" i="5" s="1"/>
  <c r="AE24" i="5"/>
  <c r="BH24" i="5" s="1"/>
  <c r="AV20" i="5"/>
  <c r="BA20" i="5" s="1"/>
  <c r="BK20" i="5" s="1"/>
  <c r="AT25" i="5"/>
  <c r="AE14" i="5"/>
  <c r="BH14" i="5" s="1"/>
  <c r="AA11" i="5"/>
  <c r="BD11" i="5" s="1"/>
  <c r="AB15" i="5"/>
  <c r="BE15" i="5" s="1"/>
  <c r="AF12" i="5"/>
  <c r="BI12" i="5" s="1"/>
  <c r="AS24" i="5"/>
  <c r="AF24" i="5"/>
  <c r="BI24" i="5" s="1"/>
  <c r="AV17" i="5"/>
  <c r="BA17" i="5" s="1"/>
  <c r="BK17" i="5" s="1"/>
  <c r="AD14" i="5"/>
  <c r="BG14" i="5" s="1"/>
  <c r="AF11" i="5"/>
  <c r="BI11" i="5" s="1"/>
  <c r="AE12" i="5"/>
  <c r="BH12" i="5" s="1"/>
  <c r="AU18" i="5"/>
  <c r="AZ18" i="5" s="1"/>
  <c r="BJ18" i="5" s="1"/>
  <c r="AD26" i="5"/>
  <c r="BG26" i="5" s="1"/>
  <c r="AL14" i="3"/>
  <c r="AM14" i="3"/>
  <c r="AN14" i="3"/>
  <c r="AJ14" i="3"/>
  <c r="AL18" i="3"/>
  <c r="AI18" i="3"/>
  <c r="AJ18" i="3"/>
  <c r="V12" i="7"/>
  <c r="AA12" i="7" s="1"/>
  <c r="AB12" i="7" s="1"/>
  <c r="V16" i="7"/>
  <c r="AA16" i="7" s="1"/>
  <c r="AB16" i="7" s="1"/>
  <c r="V26" i="7"/>
  <c r="AA26" i="7" s="1"/>
  <c r="AB26" i="7" s="1"/>
  <c r="V18" i="7"/>
  <c r="AA18" i="7" s="1"/>
  <c r="AB18" i="7" s="1"/>
  <c r="V11" i="7"/>
  <c r="AA11" i="7" s="1"/>
  <c r="AB11" i="7" s="1"/>
  <c r="V21" i="7"/>
  <c r="AA21" i="7" s="1"/>
  <c r="AB21" i="7" s="1"/>
  <c r="V19" i="7"/>
  <c r="AA19" i="7" s="1"/>
  <c r="AB19" i="7" s="1"/>
  <c r="V20" i="7"/>
  <c r="AA20" i="7" s="1"/>
  <c r="AB20" i="7" s="1"/>
  <c r="AA15" i="5"/>
  <c r="BD15" i="5" s="1"/>
  <c r="AC19" i="5"/>
  <c r="BF19" i="5" s="1"/>
  <c r="AA18" i="5"/>
  <c r="BD18" i="5" s="1"/>
  <c r="AB19" i="5"/>
  <c r="BE19" i="5" s="1"/>
  <c r="AF21" i="5"/>
  <c r="BI21" i="5" s="1"/>
  <c r="AB23" i="5"/>
  <c r="BE23" i="5" s="1"/>
  <c r="AC23" i="5"/>
  <c r="BF23" i="5" s="1"/>
  <c r="AD23" i="5"/>
  <c r="BG23" i="5" s="1"/>
  <c r="AE23" i="5"/>
  <c r="BH23" i="5" s="1"/>
  <c r="AF23" i="5"/>
  <c r="BI23" i="5" s="1"/>
  <c r="AA23" i="5"/>
  <c r="BD23" i="5" s="1"/>
  <c r="AE16" i="5"/>
  <c r="BH16" i="5" s="1"/>
  <c r="AE13" i="5"/>
  <c r="BH13" i="5" s="1"/>
  <c r="AE21" i="5"/>
  <c r="BH21" i="5" s="1"/>
  <c r="AD18" i="5"/>
  <c r="BG18" i="5" s="1"/>
  <c r="AF19" i="5"/>
  <c r="BI19" i="5" s="1"/>
  <c r="AA20" i="5"/>
  <c r="BD20" i="5" s="1"/>
  <c r="AD16" i="5"/>
  <c r="BG16" i="5" s="1"/>
  <c r="AB13" i="5"/>
  <c r="BE13" i="5" s="1"/>
  <c r="V25" i="7"/>
  <c r="AA25" i="7" s="1"/>
  <c r="AB25" i="7" s="1"/>
  <c r="V15" i="7"/>
  <c r="AA15" i="7" s="1"/>
  <c r="AB15" i="7" s="1"/>
  <c r="V23" i="7"/>
  <c r="AA23" i="7" s="1"/>
  <c r="AB23" i="7" s="1"/>
  <c r="V24" i="7"/>
  <c r="AA24" i="7" s="1"/>
  <c r="AB24" i="7" s="1"/>
  <c r="V14" i="7"/>
  <c r="AA14" i="7" s="1"/>
  <c r="AB14" i="7" s="1"/>
  <c r="V22" i="7"/>
  <c r="AA22" i="7" s="1"/>
  <c r="AB22" i="7" s="1"/>
  <c r="V13" i="7"/>
  <c r="AA13" i="7" s="1"/>
  <c r="AB13" i="7" s="1"/>
  <c r="V17" i="7"/>
  <c r="AA17" i="7" s="1"/>
  <c r="AB17" i="7" s="1"/>
  <c r="AE16" i="6"/>
  <c r="AB16" i="6"/>
  <c r="AF16" i="6"/>
  <c r="AD16" i="6"/>
  <c r="AC16" i="6"/>
  <c r="AA16" i="6"/>
  <c r="AF24" i="6"/>
  <c r="AE24" i="6"/>
  <c r="AD24" i="6"/>
  <c r="AB24" i="6"/>
  <c r="AC24" i="6"/>
  <c r="AA24" i="6"/>
  <c r="AB22" i="6"/>
  <c r="AA22" i="6"/>
  <c r="AF22" i="6"/>
  <c r="AD22" i="6"/>
  <c r="AE22" i="6"/>
  <c r="AC22" i="6"/>
  <c r="AC13" i="6"/>
  <c r="AB13" i="6"/>
  <c r="AE13" i="6"/>
  <c r="AF13" i="6"/>
  <c r="AD13" i="6"/>
  <c r="AA13" i="6"/>
  <c r="AD11" i="6"/>
  <c r="AD20" i="6"/>
  <c r="AC20" i="6"/>
  <c r="AB20" i="6"/>
  <c r="AA20" i="6"/>
  <c r="AF20" i="6"/>
  <c r="AE20" i="6"/>
  <c r="AC11" i="6"/>
  <c r="AB15" i="6"/>
  <c r="AE15" i="6"/>
  <c r="AD25" i="6"/>
  <c r="AB14" i="6"/>
  <c r="AA14" i="6"/>
  <c r="AD14" i="6"/>
  <c r="AC14" i="6"/>
  <c r="AF14" i="6"/>
  <c r="AE14" i="6"/>
  <c r="AF18" i="6"/>
  <c r="AE18" i="6"/>
  <c r="AE19" i="6"/>
  <c r="AD19" i="6"/>
  <c r="AC19" i="6"/>
  <c r="AB19" i="6"/>
  <c r="AF19" i="6"/>
  <c r="AA19" i="6"/>
  <c r="AD26" i="6"/>
  <c r="AB21" i="6"/>
  <c r="AF17" i="6"/>
  <c r="AC26" i="6"/>
  <c r="AC21" i="6"/>
  <c r="AF23" i="6"/>
  <c r="X11" i="3"/>
  <c r="AL11" i="3"/>
  <c r="T11" i="3"/>
  <c r="AN25" i="3"/>
  <c r="AI25" i="3"/>
  <c r="AL17" i="3"/>
  <c r="AN13" i="3"/>
  <c r="AK13" i="3"/>
  <c r="AK22" i="3"/>
  <c r="AI22" i="3"/>
  <c r="AM13" i="3"/>
  <c r="AL13" i="3"/>
  <c r="AJ13" i="3"/>
  <c r="AJ11" i="3"/>
  <c r="AN11" i="3"/>
  <c r="AK26" i="3"/>
  <c r="AI26" i="3"/>
  <c r="AJ26" i="3"/>
  <c r="AM26" i="3"/>
  <c r="AN26" i="3"/>
  <c r="AI17" i="3"/>
  <c r="AK25" i="3"/>
  <c r="AL25" i="3"/>
  <c r="AK20" i="3"/>
  <c r="AL20" i="3"/>
  <c r="AJ20" i="3"/>
  <c r="AM25" i="3"/>
  <c r="AM20" i="3"/>
  <c r="AI20" i="3"/>
  <c r="AM19" i="3"/>
  <c r="AN19" i="3"/>
  <c r="AK19" i="3"/>
  <c r="AL19" i="3"/>
  <c r="AJ19" i="3"/>
  <c r="BH11" i="6" l="1"/>
  <c r="AW11" i="6"/>
  <c r="BI15" i="5"/>
  <c r="AX15" i="5"/>
  <c r="BB21" i="3"/>
  <c r="BB18" i="3"/>
  <c r="BE18" i="3"/>
  <c r="BH18" i="3" s="1"/>
  <c r="BE14" i="3"/>
  <c r="BH14" i="3" s="1"/>
  <c r="BE20" i="3"/>
  <c r="BH20" i="3" s="1"/>
  <c r="BB20" i="3"/>
  <c r="BE11" i="6"/>
  <c r="AW11" i="5"/>
  <c r="BB26" i="3"/>
  <c r="BB17" i="3"/>
  <c r="AI11" i="3"/>
  <c r="AV11" i="3"/>
  <c r="AC15" i="7"/>
  <c r="BB19" i="3"/>
  <c r="AX17" i="5"/>
  <c r="AS17" i="5"/>
  <c r="AK17" i="3"/>
  <c r="AM17" i="3"/>
  <c r="BA24" i="3"/>
  <c r="BE24" i="3" s="1"/>
  <c r="BH24" i="3" s="1"/>
  <c r="AN24" i="3"/>
  <c r="AM11" i="3"/>
  <c r="AZ11" i="3"/>
  <c r="AC11" i="7"/>
  <c r="BD21" i="6"/>
  <c r="BE22" i="3"/>
  <c r="BH22" i="3" s="1"/>
  <c r="BB24" i="3"/>
  <c r="AW17" i="5"/>
  <c r="AM22" i="3"/>
  <c r="AI23" i="3"/>
  <c r="BB22" i="3"/>
  <c r="BB26" i="6"/>
  <c r="AC19" i="7"/>
  <c r="AC23" i="7"/>
  <c r="BH17" i="6"/>
  <c r="BH25" i="6"/>
  <c r="BI25" i="6"/>
  <c r="BE17" i="6"/>
  <c r="AS23" i="6"/>
  <c r="BB25" i="5"/>
  <c r="BB17" i="5"/>
  <c r="AW15" i="5"/>
  <c r="AX26" i="5"/>
  <c r="BB25" i="6"/>
  <c r="BI15" i="6"/>
  <c r="BD26" i="6"/>
  <c r="BF17" i="6"/>
  <c r="AS14" i="5"/>
  <c r="AT11" i="5"/>
  <c r="AT15" i="5"/>
  <c r="AU17" i="5"/>
  <c r="AZ17" i="5" s="1"/>
  <c r="BJ17" i="5" s="1"/>
  <c r="AX13" i="5"/>
  <c r="AU14" i="5"/>
  <c r="AZ14" i="5" s="1"/>
  <c r="BJ14" i="5" s="1"/>
  <c r="AW20" i="5"/>
  <c r="AU22" i="5"/>
  <c r="AZ22" i="5" s="1"/>
  <c r="BJ22" i="5" s="1"/>
  <c r="AW26" i="5"/>
  <c r="AV22" i="5"/>
  <c r="BA22" i="5" s="1"/>
  <c r="BK22" i="5" s="1"/>
  <c r="AV12" i="5"/>
  <c r="BA12" i="5" s="1"/>
  <c r="BK12" i="5" s="1"/>
  <c r="AX20" i="5"/>
  <c r="AT17" i="5"/>
  <c r="AS13" i="5"/>
  <c r="AW18" i="5"/>
  <c r="AX14" i="5"/>
  <c r="AT18" i="5"/>
  <c r="AX18" i="5"/>
  <c r="BA11" i="5"/>
  <c r="BK11" i="5" s="1"/>
  <c r="AO16" i="3"/>
  <c r="AO24" i="3"/>
  <c r="AO12" i="3"/>
  <c r="AO18" i="3"/>
  <c r="AJ15" i="3"/>
  <c r="AO19" i="3"/>
  <c r="AO22" i="3"/>
  <c r="AO11" i="3"/>
  <c r="BJ16" i="3"/>
  <c r="AK23" i="3"/>
  <c r="BJ21" i="3"/>
  <c r="BJ12" i="3"/>
  <c r="AJ23" i="3"/>
  <c r="AO13" i="3"/>
  <c r="AO21" i="3"/>
  <c r="AO14" i="3"/>
  <c r="AO26" i="3"/>
  <c r="AO20" i="3"/>
  <c r="AO17" i="3"/>
  <c r="AO25" i="3"/>
  <c r="AA11" i="6"/>
  <c r="BG17" i="6"/>
  <c r="AX23" i="6"/>
  <c r="BI23" i="6"/>
  <c r="AW19" i="6"/>
  <c r="BH19" i="6"/>
  <c r="AS14" i="6"/>
  <c r="BD14" i="6"/>
  <c r="AW20" i="6"/>
  <c r="BH20" i="6"/>
  <c r="AU22" i="6"/>
  <c r="AZ22" i="6" s="1"/>
  <c r="BJ22" i="6" s="1"/>
  <c r="BF22" i="6"/>
  <c r="AT24" i="6"/>
  <c r="BE24" i="6"/>
  <c r="AT16" i="6"/>
  <c r="BE16" i="6"/>
  <c r="AY17" i="5"/>
  <c r="AV24" i="5"/>
  <c r="BA24" i="5" s="1"/>
  <c r="BK24" i="5" s="1"/>
  <c r="AX11" i="6"/>
  <c r="BI11" i="6"/>
  <c r="AU12" i="6"/>
  <c r="AZ12" i="6" s="1"/>
  <c r="BJ12" i="6" s="1"/>
  <c r="BF12" i="6"/>
  <c r="AT21" i="6"/>
  <c r="BE21" i="6"/>
  <c r="AW18" i="6"/>
  <c r="BH18" i="6"/>
  <c r="AT14" i="6"/>
  <c r="BE14" i="6"/>
  <c r="AX20" i="6"/>
  <c r="BI20" i="6"/>
  <c r="AV11" i="6"/>
  <c r="BA11" i="6" s="1"/>
  <c r="BK11" i="6" s="1"/>
  <c r="BG11" i="6"/>
  <c r="AW22" i="6"/>
  <c r="BH22" i="6"/>
  <c r="AV24" i="6"/>
  <c r="BA24" i="6" s="1"/>
  <c r="BK24" i="6" s="1"/>
  <c r="BG24" i="6"/>
  <c r="AW16" i="6"/>
  <c r="BH16" i="6"/>
  <c r="AT18" i="6"/>
  <c r="BE18" i="6"/>
  <c r="AX21" i="6"/>
  <c r="BI21" i="6"/>
  <c r="AT12" i="6"/>
  <c r="BE12" i="6"/>
  <c r="AV12" i="6"/>
  <c r="BA12" i="6" s="1"/>
  <c r="BK12" i="6" s="1"/>
  <c r="BG12" i="6"/>
  <c r="AU21" i="6"/>
  <c r="AZ21" i="6" s="1"/>
  <c r="BJ21" i="6" s="1"/>
  <c r="BF21" i="6"/>
  <c r="AW15" i="6"/>
  <c r="BH15" i="6"/>
  <c r="AV13" i="6"/>
  <c r="BA13" i="6" s="1"/>
  <c r="BK13" i="6" s="1"/>
  <c r="BG13" i="6"/>
  <c r="AX24" i="6"/>
  <c r="BI24" i="6"/>
  <c r="AW21" i="6"/>
  <c r="BH21" i="6"/>
  <c r="AW12" i="6"/>
  <c r="BH12" i="6"/>
  <c r="AX18" i="6"/>
  <c r="BI18" i="6"/>
  <c r="AV25" i="6"/>
  <c r="BA25" i="6" s="1"/>
  <c r="BK25" i="6" s="1"/>
  <c r="BG25" i="6"/>
  <c r="AS20" i="6"/>
  <c r="BD20" i="6"/>
  <c r="AS13" i="6"/>
  <c r="BD13" i="6"/>
  <c r="AV22" i="6"/>
  <c r="BA22" i="6" s="1"/>
  <c r="BK22" i="6" s="1"/>
  <c r="BG22" i="6"/>
  <c r="AW24" i="6"/>
  <c r="BH24" i="6"/>
  <c r="AV23" i="6"/>
  <c r="BA23" i="6" s="1"/>
  <c r="BK23" i="6" s="1"/>
  <c r="BG23" i="6"/>
  <c r="AX12" i="6"/>
  <c r="BI12" i="6"/>
  <c r="AX17" i="6"/>
  <c r="AY17" i="6" s="1"/>
  <c r="BI17" i="6"/>
  <c r="AT19" i="6"/>
  <c r="BE19" i="6"/>
  <c r="AX14" i="6"/>
  <c r="BI14" i="6"/>
  <c r="AV20" i="6"/>
  <c r="BA20" i="6" s="1"/>
  <c r="BK20" i="6" s="1"/>
  <c r="BG20" i="6"/>
  <c r="AW13" i="6"/>
  <c r="BH13" i="6"/>
  <c r="AT22" i="6"/>
  <c r="BE22" i="6"/>
  <c r="AU16" i="6"/>
  <c r="AZ16" i="6" s="1"/>
  <c r="BJ16" i="6" s="1"/>
  <c r="BF16" i="6"/>
  <c r="AC21" i="5"/>
  <c r="BF21" i="5" s="1"/>
  <c r="AS12" i="6"/>
  <c r="BD12" i="6"/>
  <c r="AS19" i="6"/>
  <c r="BD19" i="6"/>
  <c r="AT20" i="6"/>
  <c r="BE20" i="6"/>
  <c r="AU19" i="6"/>
  <c r="AZ19" i="6" s="1"/>
  <c r="BJ19" i="6" s="1"/>
  <c r="BF19" i="6"/>
  <c r="AU14" i="6"/>
  <c r="AZ14" i="6" s="1"/>
  <c r="BJ14" i="6" s="1"/>
  <c r="BF14" i="6"/>
  <c r="AT13" i="6"/>
  <c r="BE13" i="6"/>
  <c r="AS24" i="6"/>
  <c r="BD24" i="6"/>
  <c r="AV16" i="6"/>
  <c r="BA16" i="6" s="1"/>
  <c r="BK16" i="6" s="1"/>
  <c r="BG16" i="6"/>
  <c r="AY25" i="5"/>
  <c r="AU25" i="6"/>
  <c r="AZ25" i="6" s="1"/>
  <c r="BJ25" i="6" s="1"/>
  <c r="BF25" i="6"/>
  <c r="AV26" i="6"/>
  <c r="BA26" i="6" s="1"/>
  <c r="BK26" i="6" s="1"/>
  <c r="BG26" i="6"/>
  <c r="AX22" i="6"/>
  <c r="BI22" i="6"/>
  <c r="AU26" i="6"/>
  <c r="AZ26" i="6" s="1"/>
  <c r="BJ26" i="6" s="1"/>
  <c r="BF26" i="6"/>
  <c r="AX19" i="6"/>
  <c r="BI19" i="6"/>
  <c r="AW14" i="6"/>
  <c r="BH14" i="6"/>
  <c r="AT15" i="6"/>
  <c r="BE15" i="6"/>
  <c r="AU20" i="6"/>
  <c r="AZ20" i="6" s="1"/>
  <c r="BJ20" i="6" s="1"/>
  <c r="BF20" i="6"/>
  <c r="AX13" i="6"/>
  <c r="BI13" i="6"/>
  <c r="AS22" i="6"/>
  <c r="BD22" i="6"/>
  <c r="AS16" i="6"/>
  <c r="BD16" i="6"/>
  <c r="AV19" i="6"/>
  <c r="BA19" i="6" s="1"/>
  <c r="BK19" i="6" s="1"/>
  <c r="BG19" i="6"/>
  <c r="AV14" i="6"/>
  <c r="BA14" i="6" s="1"/>
  <c r="BK14" i="6" s="1"/>
  <c r="BG14" i="6"/>
  <c r="AU11" i="6"/>
  <c r="AZ11" i="6" s="1"/>
  <c r="BJ11" i="6" s="1"/>
  <c r="BF11" i="6"/>
  <c r="AD15" i="6"/>
  <c r="AU13" i="6"/>
  <c r="AZ13" i="6" s="1"/>
  <c r="BJ13" i="6" s="1"/>
  <c r="BF13" i="6"/>
  <c r="AU24" i="6"/>
  <c r="AZ24" i="6" s="1"/>
  <c r="BJ24" i="6" s="1"/>
  <c r="BF24" i="6"/>
  <c r="AX16" i="6"/>
  <c r="BI16" i="6"/>
  <c r="AW13" i="5"/>
  <c r="AW12" i="5"/>
  <c r="AU24" i="5"/>
  <c r="AZ24" i="5" s="1"/>
  <c r="BJ24" i="5" s="1"/>
  <c r="AU11" i="5"/>
  <c r="AV23" i="5"/>
  <c r="BA23" i="5" s="1"/>
  <c r="BK23" i="5" s="1"/>
  <c r="AS15" i="5"/>
  <c r="BB15" i="5" s="1"/>
  <c r="AS22" i="5"/>
  <c r="AX22" i="5"/>
  <c r="AU12" i="5"/>
  <c r="AZ12" i="5" s="1"/>
  <c r="BJ12" i="5" s="1"/>
  <c r="AX11" i="5"/>
  <c r="AW14" i="5"/>
  <c r="AW24" i="5"/>
  <c r="AS12" i="5"/>
  <c r="AT23" i="5"/>
  <c r="AV14" i="5"/>
  <c r="BA14" i="5" s="1"/>
  <c r="BK14" i="5" s="1"/>
  <c r="AT21" i="5"/>
  <c r="AW23" i="5"/>
  <c r="AS11" i="5"/>
  <c r="AS18" i="5"/>
  <c r="AV18" i="5"/>
  <c r="BA18" i="5" s="1"/>
  <c r="BK18" i="5" s="1"/>
  <c r="AT12" i="5"/>
  <c r="AB22" i="5"/>
  <c r="BE22" i="5" s="1"/>
  <c r="AU23" i="5"/>
  <c r="AZ23" i="5" s="1"/>
  <c r="BJ23" i="5" s="1"/>
  <c r="AD13" i="5"/>
  <c r="BG13" i="5" s="1"/>
  <c r="AW21" i="5"/>
  <c r="AS23" i="5"/>
  <c r="AX21" i="5"/>
  <c r="AV26" i="5"/>
  <c r="AX24" i="5"/>
  <c r="AT19" i="5"/>
  <c r="AT13" i="5"/>
  <c r="AW16" i="5"/>
  <c r="BB16" i="5" s="1"/>
  <c r="AW19" i="5"/>
  <c r="AX19" i="5"/>
  <c r="AW22" i="5"/>
  <c r="AV16" i="5"/>
  <c r="BA16" i="5" s="1"/>
  <c r="BK16" i="5" s="1"/>
  <c r="AS20" i="5"/>
  <c r="BB20" i="5" s="1"/>
  <c r="AS19" i="5"/>
  <c r="AX23" i="5"/>
  <c r="AU19" i="5"/>
  <c r="AZ19" i="5" s="1"/>
  <c r="BJ19" i="5" s="1"/>
  <c r="AX12" i="5"/>
  <c r="AD19" i="5"/>
  <c r="BG19" i="5" s="1"/>
  <c r="AC15" i="5"/>
  <c r="BF15" i="5" s="1"/>
  <c r="AC13" i="5"/>
  <c r="BF13" i="5" s="1"/>
  <c r="AA21" i="5"/>
  <c r="BD21" i="5" s="1"/>
  <c r="AD21" i="5"/>
  <c r="BG21" i="5" s="1"/>
  <c r="AD15" i="5"/>
  <c r="BG15" i="5" s="1"/>
  <c r="AA15" i="6"/>
  <c r="AC15" i="6"/>
  <c r="AA18" i="6"/>
  <c r="AD18" i="6"/>
  <c r="AC18" i="6"/>
  <c r="BB11" i="5" l="1"/>
  <c r="BB14" i="5"/>
  <c r="BB12" i="5"/>
  <c r="BB24" i="5"/>
  <c r="BE11" i="3"/>
  <c r="BH11" i="3" s="1"/>
  <c r="BJ11" i="3" s="1"/>
  <c r="BB11" i="3"/>
  <c r="BB26" i="5"/>
  <c r="BB21" i="6"/>
  <c r="BB19" i="5"/>
  <c r="AY13" i="6"/>
  <c r="BB19" i="6"/>
  <c r="BB22" i="6"/>
  <c r="BB23" i="6"/>
  <c r="BB18" i="5"/>
  <c r="BB23" i="5"/>
  <c r="BB13" i="5"/>
  <c r="BB17" i="6"/>
  <c r="BB12" i="6"/>
  <c r="AY14" i="6"/>
  <c r="BB14" i="6"/>
  <c r="BB13" i="6"/>
  <c r="BB16" i="6"/>
  <c r="BB20" i="6"/>
  <c r="BB24" i="6"/>
  <c r="AY26" i="5"/>
  <c r="BA26" i="5"/>
  <c r="BK26" i="5" s="1"/>
  <c r="BL23" i="5" s="1"/>
  <c r="AY14" i="5"/>
  <c r="AY20" i="5"/>
  <c r="AV15" i="5"/>
  <c r="BA15" i="5" s="1"/>
  <c r="BK15" i="5" s="1"/>
  <c r="AY16" i="5"/>
  <c r="AZ11" i="5"/>
  <c r="BJ11" i="5" s="1"/>
  <c r="BL11" i="5" s="1"/>
  <c r="AY18" i="5"/>
  <c r="AU21" i="5"/>
  <c r="AZ21" i="5" s="1"/>
  <c r="BJ21" i="5" s="1"/>
  <c r="BJ23" i="3"/>
  <c r="BJ15" i="3"/>
  <c r="AO15" i="3"/>
  <c r="AO23" i="3"/>
  <c r="BJ24" i="3"/>
  <c r="BI15" i="3"/>
  <c r="BJ18" i="3"/>
  <c r="BJ19" i="3"/>
  <c r="BJ13" i="3"/>
  <c r="BJ26" i="3"/>
  <c r="BJ20" i="3"/>
  <c r="BI16" i="3"/>
  <c r="BJ25" i="3"/>
  <c r="BI23" i="3"/>
  <c r="BI21" i="3"/>
  <c r="BJ17" i="3"/>
  <c r="BI17" i="3"/>
  <c r="BI12" i="3"/>
  <c r="BJ22" i="3"/>
  <c r="BL17" i="6"/>
  <c r="BN17" i="6" s="1"/>
  <c r="AY22" i="6"/>
  <c r="AY19" i="6"/>
  <c r="AY25" i="6"/>
  <c r="AY24" i="6"/>
  <c r="AY20" i="6"/>
  <c r="BD11" i="6"/>
  <c r="BL11" i="6" s="1"/>
  <c r="AS11" i="6"/>
  <c r="AY12" i="6"/>
  <c r="AS18" i="6"/>
  <c r="BB18" i="6" s="1"/>
  <c r="BD18" i="6"/>
  <c r="AY21" i="6"/>
  <c r="AS15" i="6"/>
  <c r="BB15" i="6" s="1"/>
  <c r="BD15" i="6"/>
  <c r="AU15" i="6"/>
  <c r="AZ15" i="6" s="1"/>
  <c r="BJ15" i="6" s="1"/>
  <c r="BF15" i="6"/>
  <c r="AV15" i="6"/>
  <c r="BA15" i="6" s="1"/>
  <c r="BK15" i="6" s="1"/>
  <c r="BG15" i="6"/>
  <c r="AY26" i="6"/>
  <c r="AV18" i="6"/>
  <c r="BA18" i="6" s="1"/>
  <c r="BK18" i="6" s="1"/>
  <c r="BG18" i="6"/>
  <c r="AY11" i="5"/>
  <c r="AY23" i="6"/>
  <c r="AU18" i="6"/>
  <c r="AZ18" i="6" s="1"/>
  <c r="BJ18" i="6" s="1"/>
  <c r="BF18" i="6"/>
  <c r="AY23" i="5"/>
  <c r="AY24" i="5"/>
  <c r="AY16" i="6"/>
  <c r="AU13" i="5"/>
  <c r="AZ13" i="5" s="1"/>
  <c r="BJ13" i="5" s="1"/>
  <c r="AY12" i="5"/>
  <c r="AU15" i="5"/>
  <c r="AZ15" i="5" s="1"/>
  <c r="BJ15" i="5" s="1"/>
  <c r="BL15" i="5" s="1"/>
  <c r="AV19" i="5"/>
  <c r="AV21" i="5"/>
  <c r="BA21" i="5" s="1"/>
  <c r="BK21" i="5" s="1"/>
  <c r="AV13" i="5"/>
  <c r="BA13" i="5" s="1"/>
  <c r="BK13" i="5" s="1"/>
  <c r="AS21" i="5"/>
  <c r="BB21" i="5" s="1"/>
  <c r="AT22" i="5"/>
  <c r="BB22" i="5" s="1"/>
  <c r="BL22" i="6"/>
  <c r="BN22" i="6" s="1"/>
  <c r="BL13" i="6"/>
  <c r="BN13" i="6" s="1"/>
  <c r="BL14" i="6"/>
  <c r="BN14" i="6" s="1"/>
  <c r="AY11" i="6" l="1"/>
  <c r="BB11" i="6"/>
  <c r="BL20" i="6"/>
  <c r="BN20" i="6" s="1"/>
  <c r="AY19" i="5"/>
  <c r="BA19" i="5"/>
  <c r="BK19" i="5" s="1"/>
  <c r="BL19" i="5" s="1"/>
  <c r="AY15" i="5"/>
  <c r="AY22" i="5"/>
  <c r="BI24" i="3"/>
  <c r="BI14" i="3"/>
  <c r="BJ14" i="3"/>
  <c r="BI22" i="3"/>
  <c r="BI13" i="3"/>
  <c r="BI25" i="3"/>
  <c r="BI11" i="3"/>
  <c r="BI19" i="3"/>
  <c r="BI20" i="3"/>
  <c r="BI26" i="3"/>
  <c r="BI18" i="3"/>
  <c r="BL25" i="6"/>
  <c r="BN25" i="6" s="1"/>
  <c r="AY18" i="6"/>
  <c r="BL19" i="6"/>
  <c r="BN19" i="6" s="1"/>
  <c r="BL24" i="6"/>
  <c r="BN24" i="6" s="1"/>
  <c r="AY15" i="6"/>
  <c r="BL23" i="6"/>
  <c r="BN23" i="6" s="1"/>
  <c r="BL26" i="6"/>
  <c r="BN26" i="6" s="1"/>
  <c r="AY13" i="5"/>
  <c r="AY21" i="5"/>
  <c r="BK15" i="3" l="1"/>
  <c r="BK19" i="3"/>
  <c r="BL15" i="6"/>
  <c r="BN15" i="6" s="1"/>
  <c r="BN11" i="6"/>
  <c r="BL18" i="6"/>
  <c r="BL12" i="6"/>
  <c r="BN12" i="6" s="1"/>
  <c r="BO23" i="6"/>
  <c r="BK11" i="3"/>
  <c r="BK23" i="3"/>
  <c r="BL16" i="6"/>
  <c r="BN16" i="6" s="1"/>
  <c r="BL21" i="6"/>
  <c r="BN18" i="6" l="1"/>
  <c r="BO15" i="6" s="1"/>
  <c r="BN21" i="6"/>
  <c r="BO19" i="6" s="1"/>
  <c r="BO11" i="6"/>
</calcChain>
</file>

<file path=xl/sharedStrings.xml><?xml version="1.0" encoding="utf-8"?>
<sst xmlns="http://schemas.openxmlformats.org/spreadsheetml/2006/main" count="1381" uniqueCount="218">
  <si>
    <t>Method 1</t>
  </si>
  <si>
    <t>input</t>
  </si>
  <si>
    <t>State</t>
  </si>
  <si>
    <t>MAT</t>
  </si>
  <si>
    <t>Production system</t>
  </si>
  <si>
    <t>Leaching zone</t>
  </si>
  <si>
    <t>Number of poultry in each class j and subclass k</t>
  </si>
  <si>
    <t>Duration of stay for each class and subclass of poultry</t>
  </si>
  <si>
    <t>i</t>
  </si>
  <si>
    <t>(true or false)</t>
  </si>
  <si>
    <t>Swine class</t>
  </si>
  <si>
    <t>Nj</t>
  </si>
  <si>
    <t>Dj</t>
  </si>
  <si>
    <t>j</t>
  </si>
  <si>
    <t>NSW</t>
  </si>
  <si>
    <t>NWj</t>
  </si>
  <si>
    <t>VSj</t>
  </si>
  <si>
    <t>MMSjm=5T=1</t>
  </si>
  <si>
    <t>MMSjm=1T=1</t>
  </si>
  <si>
    <t>MMSjm=4T=1</t>
  </si>
  <si>
    <t>MMSjm=7T=1</t>
  </si>
  <si>
    <t>MMSjm=8T=1</t>
  </si>
  <si>
    <t>MMSjm=9T=1</t>
  </si>
  <si>
    <t>SSj</t>
  </si>
  <si>
    <t>SNj</t>
  </si>
  <si>
    <t>boars</t>
  </si>
  <si>
    <t>sows</t>
  </si>
  <si>
    <t>gilts</t>
  </si>
  <si>
    <t>others</t>
  </si>
  <si>
    <t>Uncovered anaerobic lagoons</t>
  </si>
  <si>
    <t>Solid Storage</t>
  </si>
  <si>
    <t>Outdoor</t>
  </si>
  <si>
    <t>Covered/Digester</t>
  </si>
  <si>
    <t>Deep Litter</t>
  </si>
  <si>
    <t>Pit Storage &lt; 1 Month</t>
  </si>
  <si>
    <t>true/false</t>
  </si>
  <si>
    <t>Solids separated</t>
  </si>
  <si>
    <t>Solid separation rate</t>
  </si>
  <si>
    <t>Nitrogen separation rate</t>
  </si>
  <si>
    <t>QLD</t>
  </si>
  <si>
    <t>WA</t>
  </si>
  <si>
    <t>NT</t>
  </si>
  <si>
    <t>Class (j)</t>
  </si>
  <si>
    <t>Feed Intake (Ij)</t>
  </si>
  <si>
    <t>Volatile Solids (VSj)</t>
  </si>
  <si>
    <t>Nitrogen in Waste (NWj)</t>
  </si>
  <si>
    <t>Table A.1.6.1: Swine – Intake and manure characteristics derived from PigBal (2020-2024)</t>
  </si>
  <si>
    <t>MMS (m)</t>
  </si>
  <si>
    <t>anaerobicLagoon</t>
  </si>
  <si>
    <t>solidStorage</t>
  </si>
  <si>
    <t>m</t>
  </si>
  <si>
    <t>digester</t>
  </si>
  <si>
    <t>pitStorage</t>
  </si>
  <si>
    <t>deepLitter</t>
  </si>
  <si>
    <t>outdoorAndFreeRange</t>
  </si>
  <si>
    <t>directApplication</t>
  </si>
  <si>
    <t>Table A.1.6.2: Swine – Fraction of N volatilised by MMS</t>
  </si>
  <si>
    <t>FracGASMmT</t>
  </si>
  <si>
    <t>Table A.1.6.3: Swine – Nitrous oxide EFs by MMS</t>
  </si>
  <si>
    <t>EFm</t>
  </si>
  <si>
    <t>Table A.1.6.4: Swine – MCFs (by State)</t>
  </si>
  <si>
    <t>ACT</t>
  </si>
  <si>
    <t>SA</t>
  </si>
  <si>
    <t>TAS</t>
  </si>
  <si>
    <t>VIC</t>
  </si>
  <si>
    <t>NOTE: There are no ACT values, the NSW values are being used for ACT</t>
  </si>
  <si>
    <t>Fixed Constants</t>
  </si>
  <si>
    <t>VSLm</t>
  </si>
  <si>
    <t xml:space="preserve">4.5.2.3 </t>
  </si>
  <si>
    <t>Bo</t>
  </si>
  <si>
    <t>p</t>
  </si>
  <si>
    <t>CN2O</t>
  </si>
  <si>
    <t>EFLeach</t>
  </si>
  <si>
    <t>Production System</t>
  </si>
  <si>
    <t>EFN2O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</si>
  <si>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</si>
  <si>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</si>
  <si>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</si>
  <si>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</si>
  <si>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</si>
  <si>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FVSjm=1T=1</t>
  </si>
  <si>
    <t>FVSjm=5T=1</t>
  </si>
  <si>
    <t>FVSjm=7T=1</t>
  </si>
  <si>
    <t>FVSjm=8T=1</t>
  </si>
  <si>
    <t>FVSjm=9T=1</t>
  </si>
  <si>
    <t>FVSjm=4T=1</t>
  </si>
  <si>
    <t>Mjm=1T=1</t>
  </si>
  <si>
    <t>Mjm=5T=1</t>
  </si>
  <si>
    <t>Mjm=7T=1</t>
  </si>
  <si>
    <t>Mjm=8T=1</t>
  </si>
  <si>
    <t>Mjm=9T=1</t>
  </si>
  <si>
    <t>Mjm=4T=1</t>
  </si>
  <si>
    <t>MCFim=1</t>
  </si>
  <si>
    <t>MCFim=5</t>
  </si>
  <si>
    <t>MCFim=7</t>
  </si>
  <si>
    <t>MCFim=8</t>
  </si>
  <si>
    <t>MCFim=9</t>
  </si>
  <si>
    <t>MCFim=4</t>
  </si>
  <si>
    <t>ECH4jmT=1</t>
  </si>
  <si>
    <t>VSLm=1T=1</t>
  </si>
  <si>
    <t>VSLm=5T=1</t>
  </si>
  <si>
    <t>VSLm=7T=1</t>
  </si>
  <si>
    <t>VSLm=8T=1</t>
  </si>
  <si>
    <t>VSLm=9T=1</t>
  </si>
  <si>
    <t>VSLm=4T=1</t>
  </si>
  <si>
    <t>VSTjmT=2</t>
  </si>
  <si>
    <t>MCFim=13</t>
  </si>
  <si>
    <t>Mjm=1T=2</t>
  </si>
  <si>
    <t>Mjm=4T=2</t>
  </si>
  <si>
    <t>Mjm=13T=2</t>
  </si>
  <si>
    <t>ECH4jmT=2</t>
  </si>
  <si>
    <t>ECH4j</t>
  </si>
  <si>
    <t>ECH4</t>
  </si>
  <si>
    <t>Ij</t>
  </si>
  <si>
    <t>Feed Intake</t>
  </si>
  <si>
    <t>AEj</t>
  </si>
  <si>
    <t>Volatile solid production</t>
  </si>
  <si>
    <t>Nitrogen waste production</t>
  </si>
  <si>
    <t>Volatile Solid production</t>
  </si>
  <si>
    <t>Nitrogen Waste production</t>
  </si>
  <si>
    <t>FNjm=1T=1</t>
  </si>
  <si>
    <t>FNjm=5T=1</t>
  </si>
  <si>
    <t>FNjm=7T=1</t>
  </si>
  <si>
    <t>FNjm=8T=1</t>
  </si>
  <si>
    <t>FNjm=9T=1</t>
  </si>
  <si>
    <t>FNjm=4T=1</t>
  </si>
  <si>
    <t>FracGASMm=1T=1</t>
  </si>
  <si>
    <t>FracGASMm=4T=1</t>
  </si>
  <si>
    <t>FracGASMm=5T=1</t>
  </si>
  <si>
    <t>FracGASMm=7T=1</t>
  </si>
  <si>
    <t>FracGASMm=8T=1</t>
  </si>
  <si>
    <t>FracGASMm=9T=1</t>
  </si>
  <si>
    <t>EFm=1</t>
  </si>
  <si>
    <t>EFm=5</t>
  </si>
  <si>
    <t>EFm=4</t>
  </si>
  <si>
    <t>EFm=7</t>
  </si>
  <si>
    <t>EFm=8</t>
  </si>
  <si>
    <t>EFm=9</t>
  </si>
  <si>
    <t>NTjmT=2</t>
  </si>
  <si>
    <t>NTjm=1T=2</t>
  </si>
  <si>
    <t>NTjm=5T=2</t>
  </si>
  <si>
    <t>NTjm=7T=2</t>
  </si>
  <si>
    <t>NTjm=4T=2</t>
  </si>
  <si>
    <t>NTjm=8T=2</t>
  </si>
  <si>
    <t>NTjm=9T=2</t>
  </si>
  <si>
    <t>MNjm=1T=1</t>
  </si>
  <si>
    <t>MNjm=5T=1</t>
  </si>
  <si>
    <t>MNjm=7T=1</t>
  </si>
  <si>
    <t>MNjm=8T=1</t>
  </si>
  <si>
    <t>MNjm=9T=1</t>
  </si>
  <si>
    <t>MNjm=4T=1</t>
  </si>
  <si>
    <t>MNjm=1T=2</t>
  </si>
  <si>
    <t>MNjm=4T=2</t>
  </si>
  <si>
    <t>EN2O,dir (m=1, T=4)</t>
  </si>
  <si>
    <t>EN2O,dir (m=1, T=2)</t>
  </si>
  <si>
    <t>EN2O,dir (m=1, T=9)</t>
  </si>
  <si>
    <t>EN2O,dir (m=1, T=8)</t>
  </si>
  <si>
    <t>EN2O,dir (m=1, T=7)</t>
  </si>
  <si>
    <t>EN2O,dir (m=1, T=5)</t>
  </si>
  <si>
    <t>EN2O,dir (m=1, T=1)</t>
  </si>
  <si>
    <t>EN2O,dir</t>
  </si>
  <si>
    <t>MMSATMOS (m=1, T=1)</t>
  </si>
  <si>
    <t>MMSATMOS (m=1, T=2)</t>
  </si>
  <si>
    <t>MMSATMOS (m=5, T=1)</t>
  </si>
  <si>
    <t>MMSATMOS (m=7, T=1)</t>
  </si>
  <si>
    <t>MMSATMOS (m=8, T=1)</t>
  </si>
  <si>
    <t>MMSATMOS (m=9, T=1)</t>
  </si>
  <si>
    <t>MMSATMOS (m=4, T=2)</t>
  </si>
  <si>
    <t>MMSATMOS (m=4, T=1)</t>
  </si>
  <si>
    <t>MMSATMOS (j)</t>
  </si>
  <si>
    <t>EN2O,ad</t>
  </si>
  <si>
    <t>EN2O,ad (j)</t>
  </si>
  <si>
    <t>FracWET</t>
  </si>
  <si>
    <t>MNLeachjm=5</t>
  </si>
  <si>
    <t>FracLEACHMS</t>
  </si>
  <si>
    <t>VSTjm=1T=2</t>
  </si>
  <si>
    <t>VSTjm=5T=2</t>
  </si>
  <si>
    <t>VSTjm=7T=2</t>
  </si>
  <si>
    <t>VSTjm=8T=2</t>
  </si>
  <si>
    <t>VSTjm=9T=2</t>
  </si>
  <si>
    <t>VSTjm=4T=2</t>
  </si>
  <si>
    <t>Stage 2</t>
  </si>
  <si>
    <t>Stage 1</t>
  </si>
  <si>
    <t>FVSjm=1T=2</t>
  </si>
  <si>
    <t>FVSjm=13T=2</t>
  </si>
  <si>
    <t>FVSjm=4T=2</t>
  </si>
  <si>
    <t>MNjm=13T=2</t>
  </si>
  <si>
    <t>EN2O,leach</t>
  </si>
  <si>
    <t>EN2O,leach (j)</t>
  </si>
  <si>
    <t>𝐸𝐶𝐻4 = ∑ ∑ ∑ (𝐷𝑗𝑚𝑇 × 𝑀𝑗𝑚𝑇 × 𝑁𝑗𝑚𝑇) × 10−3</t>
  </si>
  <si>
    <t>𝑀𝑗𝑚 𝑇=1 = 𝑉𝑆𝑗 × 𝐹𝑉𝑆𝑗𝑚 𝑇=1 × 𝑀𝐶𝐹𝑖𝑚 × 𝐵𝑂 × 𝜌</t>
  </si>
  <si>
    <t>expression</t>
  </si>
  <si>
    <t>constant</t>
  </si>
  <si>
    <t>𝐹𝑉𝑆𝑗𝑚 𝑇=1 = 𝑀𝑀𝑆𝑗𝑚 𝑇=1 × (1 − 𝑆𝑆𝑚)</t>
  </si>
  <si>
    <t>NOTE: The unconfirmed implication is that this expression only applies for m=1,7,9</t>
  </si>
  <si>
    <t>𝐹𝑉𝑆𝑗𝑚=4 𝑇=1 = 𝑀𝑀𝑆𝑗𝑚=4 𝑇=1 + (𝑀𝑀𝑆𝑗𝑚=1,7,9 𝑇=1 × 𝑆𝑆𝑚)</t>
  </si>
  <si>
    <t>Annual nitrogen excretion</t>
  </si>
  <si>
    <t>Nitrogen transferred to treatment stage 2</t>
  </si>
  <si>
    <t>Mass of nitrogen per MMS (stage 2)</t>
  </si>
  <si>
    <t>Fraction of nitrogen per system (stage 1)</t>
  </si>
  <si>
    <t>Mass of nitrogen per system (stage 1)</t>
  </si>
  <si>
    <t>Mass of nitrogen per system (stage 2)</t>
  </si>
  <si>
    <t>𝐴𝐸𝑗 = 𝑁𝑗 × 𝑁𝑊𝑗 × 𝐷</t>
  </si>
  <si>
    <t>𝐹𝑁𝑗𝑚 𝑇=1 = 𝑀𝑀𝑆𝑗𝑚 𝑇=1 × (1 − 𝑆𝑁𝑚)</t>
  </si>
  <si>
    <t>𝐹𝑁 𝑗𝑚=4 𝑇=1 = 𝑀𝑀𝑆 𝑗𝑚=4 𝑇=1 + (𝑀𝑀𝑆𝑗𝑚=1,7,9 𝑇=1 × 𝑆𝑁𝑚)</t>
  </si>
  <si>
    <t>𝑀𝑁 𝑗𝑚 𝑇=1 = 𝐴𝐸 𝑗 × 𝐹𝑁 𝑗𝑚 𝑇=1</t>
  </si>
  <si>
    <t>Allocation of manure per system (stage 1)</t>
  </si>
  <si>
    <t>MCFim BY MAT</t>
  </si>
  <si>
    <t>10 or below</t>
  </si>
  <si>
    <t>28 or above</t>
  </si>
  <si>
    <t>Method 2</t>
  </si>
  <si>
    <t>Not used in any of these equations</t>
  </si>
  <si>
    <t>m=1</t>
  </si>
  <si>
    <t>m=4</t>
  </si>
  <si>
    <t>m=7</t>
  </si>
  <si>
    <t>m=13</t>
  </si>
  <si>
    <t>m=8</t>
  </si>
  <si>
    <t>m=9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</si>
</sst>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1" fillId="2" borderId="0" xfId="0" applyFont="1" applyFill="1"/>
    <xf numFmtId="0" fontId="3" fillId="5" borderId="0" xfId="0" applyFont="1" applyFill="1"/>
    <xf numFmtId="0" fontId="3" fillId="6" borderId="0" xfId="0" applyFont="1" applyFill="1"/>
    <xf numFmtId="0" fontId="4" fillId="0" borderId="0" xfId="0" applyFont="1"/>
    <xf numFmtId="0" fontId="3" fillId="7" borderId="0" xfId="0" applyFont="1" applyFill="1"/>
    <xf numFmtId="0" fontId="3" fillId="8" borderId="0" xfId="0" applyFont="1" applyFill="1"/>
    <xf numFmtId="0" fontId="3" fillId="0" borderId="0" xfId="0" applyFont="1"/>
    <xf numFmtId="0" fontId="5" fillId="0" borderId="0" xfId="0" applyFont="1"/>
    <xf numFmtId="0" fontId="0" fillId="9" borderId="0" xfId="0" applyFill="1"/>
    <xf numFmtId="0" fontId="0" fillId="2" borderId="0" xfId="0" applyFill="1"/>
    <xf numFmtId="0" fontId="0" fillId="10" borderId="0" xfId="0" applyFill="1"/>
    <xf numFmtId="0" fontId="0" fillId="0" borderId="0" xfId="0" applyFill="1" applyBorder="1"/>
    <xf numFmtId="0" fontId="4" fillId="0" borderId="1" xfId="0" applyFont="1" applyBorder="1"/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1DD24-2366-F94A-958C-F60BB24EEF0C}">
  <dimension ref="A1:R38"/>
  <sheetViews>
    <sheetView topLeftCell="C17" workbookViewId="0">
      <selection activeCell="Q24" sqref="Q24"/>
    </sheetView>
  </sheetViews>
  <sheetFormatPr baseColWidth="10" defaultRowHeight="16" x14ac:dyDescent="0.2"/>
  <sheetData>
    <row r="1" spans="1:13" x14ac:dyDescent="0.2">
      <c r="A1" t="s">
        <v>46</v>
      </c>
    </row>
    <row r="2" spans="1:13" x14ac:dyDescent="0.2">
      <c r="A2" t="s">
        <v>42</v>
      </c>
      <c r="B2" t="s">
        <v>43</v>
      </c>
      <c r="C2" t="s">
        <v>44</v>
      </c>
      <c r="D2" t="s">
        <v>45</v>
      </c>
    </row>
    <row r="3" spans="1:13" x14ac:dyDescent="0.2">
      <c r="A3" t="s">
        <v>25</v>
      </c>
      <c r="B3">
        <v>2.62</v>
      </c>
      <c r="C3">
        <v>0.4</v>
      </c>
      <c r="D3">
        <v>4.5999999999999999E-2</v>
      </c>
    </row>
    <row r="4" spans="1:13" x14ac:dyDescent="0.2">
      <c r="A4" t="s">
        <v>26</v>
      </c>
      <c r="B4">
        <v>2.2999999999999998</v>
      </c>
      <c r="C4">
        <v>0.46</v>
      </c>
      <c r="D4">
        <v>4.9000000000000002E-2</v>
      </c>
    </row>
    <row r="5" spans="1:13" x14ac:dyDescent="0.2">
      <c r="A5" t="s">
        <v>27</v>
      </c>
      <c r="B5">
        <v>2.5</v>
      </c>
      <c r="C5">
        <v>0.55000000000000004</v>
      </c>
      <c r="D5">
        <v>4.5999999999999999E-2</v>
      </c>
    </row>
    <row r="6" spans="1:13" x14ac:dyDescent="0.2">
      <c r="A6" t="s">
        <v>28</v>
      </c>
      <c r="B6">
        <v>1.71</v>
      </c>
      <c r="C6">
        <v>0.39</v>
      </c>
      <c r="D6">
        <f>11.4/365</f>
        <v>3.1232876712328769E-2</v>
      </c>
    </row>
    <row r="7" spans="1:13" x14ac:dyDescent="0.2">
      <c r="G7" t="s">
        <v>65</v>
      </c>
    </row>
    <row r="8" spans="1:13" x14ac:dyDescent="0.2">
      <c r="C8" t="s">
        <v>56</v>
      </c>
      <c r="D8" t="s">
        <v>58</v>
      </c>
      <c r="E8" t="s">
        <v>68</v>
      </c>
      <c r="F8" t="s">
        <v>60</v>
      </c>
    </row>
    <row r="9" spans="1:13" x14ac:dyDescent="0.2">
      <c r="A9" s="4" t="s">
        <v>47</v>
      </c>
      <c r="B9" s="4" t="s">
        <v>50</v>
      </c>
      <c r="C9" s="4" t="s">
        <v>57</v>
      </c>
      <c r="D9" s="4" t="s">
        <v>59</v>
      </c>
      <c r="E9" s="4" t="s">
        <v>67</v>
      </c>
      <c r="F9" s="5" t="s">
        <v>14</v>
      </c>
      <c r="G9" s="5" t="s">
        <v>61</v>
      </c>
      <c r="H9" s="5" t="s">
        <v>39</v>
      </c>
      <c r="I9" s="5" t="s">
        <v>41</v>
      </c>
      <c r="J9" s="5" t="s">
        <v>62</v>
      </c>
      <c r="K9" s="5" t="s">
        <v>63</v>
      </c>
      <c r="L9" s="5" t="s">
        <v>64</v>
      </c>
      <c r="M9" s="5" t="s">
        <v>40</v>
      </c>
    </row>
    <row r="10" spans="1:13" x14ac:dyDescent="0.2">
      <c r="A10" s="4" t="s">
        <v>48</v>
      </c>
      <c r="B10" s="4">
        <v>1</v>
      </c>
      <c r="C10" s="4">
        <v>0.55000000000000004</v>
      </c>
      <c r="D10" s="4">
        <v>0</v>
      </c>
      <c r="E10" s="4">
        <v>0</v>
      </c>
      <c r="F10" s="5">
        <v>0.75</v>
      </c>
      <c r="G10" s="5">
        <f>F10</f>
        <v>0.75</v>
      </c>
      <c r="H10" s="5">
        <v>0.78</v>
      </c>
      <c r="I10" s="5">
        <f>H10</f>
        <v>0.78</v>
      </c>
      <c r="J10" s="5">
        <v>0.75</v>
      </c>
      <c r="K10" s="5">
        <v>0.7</v>
      </c>
      <c r="L10" s="5">
        <v>0.74</v>
      </c>
      <c r="M10" s="5">
        <v>0.76</v>
      </c>
    </row>
    <row r="11" spans="1:13" x14ac:dyDescent="0.2">
      <c r="A11" s="4" t="s">
        <v>49</v>
      </c>
      <c r="B11" s="4">
        <v>4</v>
      </c>
      <c r="C11" s="4">
        <v>0.2</v>
      </c>
      <c r="D11" s="4">
        <v>5.0000000000000001E-3</v>
      </c>
      <c r="E11" s="4">
        <v>0</v>
      </c>
      <c r="F11" s="5">
        <v>0.02</v>
      </c>
      <c r="G11" s="5">
        <f t="shared" ref="G11:G16" si="0">F11</f>
        <v>0.02</v>
      </c>
      <c r="H11" s="5">
        <v>0.02</v>
      </c>
      <c r="I11" s="5">
        <f t="shared" ref="I11:I16" si="1">H11</f>
        <v>0.02</v>
      </c>
      <c r="J11" s="5">
        <v>0.02</v>
      </c>
      <c r="K11" s="5">
        <v>0.02</v>
      </c>
      <c r="L11" s="5">
        <v>0.02</v>
      </c>
      <c r="M11" s="5">
        <v>0.02</v>
      </c>
    </row>
    <row r="12" spans="1:13" x14ac:dyDescent="0.2">
      <c r="A12" s="4" t="s">
        <v>54</v>
      </c>
      <c r="B12" s="4">
        <v>5</v>
      </c>
      <c r="C12" s="4">
        <v>0.3</v>
      </c>
      <c r="D12" s="4">
        <v>0.02</v>
      </c>
      <c r="E12" s="4">
        <v>0</v>
      </c>
      <c r="F12" s="5">
        <v>0.01</v>
      </c>
      <c r="G12" s="5">
        <f t="shared" si="0"/>
        <v>0.01</v>
      </c>
      <c r="H12" s="5">
        <v>0.03</v>
      </c>
      <c r="I12" s="5">
        <f t="shared" si="1"/>
        <v>0.03</v>
      </c>
      <c r="J12" s="5">
        <v>0.01</v>
      </c>
      <c r="K12" s="5">
        <v>0.01</v>
      </c>
      <c r="L12" s="5">
        <v>0.01</v>
      </c>
      <c r="M12" s="5">
        <v>0.01</v>
      </c>
    </row>
    <row r="13" spans="1:13" x14ac:dyDescent="0.2">
      <c r="A13" s="4" t="s">
        <v>51</v>
      </c>
      <c r="B13" s="4">
        <v>7</v>
      </c>
      <c r="C13" s="4">
        <v>0</v>
      </c>
      <c r="D13" s="4">
        <v>0</v>
      </c>
      <c r="E13" s="4">
        <v>0.75</v>
      </c>
      <c r="F13" s="5">
        <v>0.1</v>
      </c>
      <c r="G13" s="5">
        <f t="shared" si="0"/>
        <v>0.1</v>
      </c>
      <c r="H13" s="5">
        <v>0.1</v>
      </c>
      <c r="I13" s="5">
        <f t="shared" si="1"/>
        <v>0.1</v>
      </c>
      <c r="J13" s="5">
        <v>0.1</v>
      </c>
      <c r="K13" s="5">
        <v>0.1</v>
      </c>
      <c r="L13" s="5">
        <v>0.1</v>
      </c>
      <c r="M13" s="5">
        <v>0.1</v>
      </c>
    </row>
    <row r="14" spans="1:13" x14ac:dyDescent="0.2">
      <c r="A14" s="4" t="s">
        <v>53</v>
      </c>
      <c r="B14" s="4">
        <v>8</v>
      </c>
      <c r="C14" s="4">
        <v>0.125</v>
      </c>
      <c r="D14" s="4">
        <v>0.01</v>
      </c>
      <c r="E14" s="4">
        <v>0.05</v>
      </c>
      <c r="F14" s="5">
        <v>0.04</v>
      </c>
      <c r="G14" s="5">
        <f t="shared" si="0"/>
        <v>0.04</v>
      </c>
      <c r="H14" s="5">
        <v>0.04</v>
      </c>
      <c r="I14" s="5">
        <f t="shared" si="1"/>
        <v>0.04</v>
      </c>
      <c r="J14" s="5">
        <v>0.04</v>
      </c>
      <c r="K14" s="5">
        <v>0.04</v>
      </c>
      <c r="L14" s="5">
        <v>0.04</v>
      </c>
      <c r="M14" s="5">
        <v>0.04</v>
      </c>
    </row>
    <row r="15" spans="1:13" x14ac:dyDescent="0.2">
      <c r="A15" s="4" t="s">
        <v>52</v>
      </c>
      <c r="B15" s="4">
        <v>9</v>
      </c>
      <c r="C15" s="4">
        <v>0.25</v>
      </c>
      <c r="D15" s="4">
        <v>2E-3</v>
      </c>
      <c r="E15" s="4">
        <v>0</v>
      </c>
      <c r="F15" s="5">
        <v>0.03</v>
      </c>
      <c r="G15" s="5">
        <f t="shared" si="0"/>
        <v>0.03</v>
      </c>
      <c r="H15" s="5">
        <v>0.03</v>
      </c>
      <c r="I15" s="5">
        <f t="shared" si="1"/>
        <v>0.03</v>
      </c>
      <c r="J15" s="5">
        <v>0.03</v>
      </c>
      <c r="K15" s="5">
        <v>0.03</v>
      </c>
      <c r="L15" s="5">
        <v>0.03</v>
      </c>
      <c r="M15" s="5">
        <v>0.03</v>
      </c>
    </row>
    <row r="16" spans="1:13" x14ac:dyDescent="0.2">
      <c r="A16" s="4" t="s">
        <v>55</v>
      </c>
      <c r="B16" s="4">
        <v>13</v>
      </c>
      <c r="C16" s="4"/>
      <c r="D16" s="4"/>
      <c r="E16" s="4">
        <v>0</v>
      </c>
      <c r="F16" s="5">
        <v>0</v>
      </c>
      <c r="G16" s="5">
        <f t="shared" si="0"/>
        <v>0</v>
      </c>
      <c r="H16" s="5">
        <v>0</v>
      </c>
      <c r="I16" s="5">
        <f t="shared" si="1"/>
        <v>0</v>
      </c>
      <c r="J16" s="5">
        <v>0</v>
      </c>
      <c r="K16" s="5">
        <v>0</v>
      </c>
      <c r="L16" s="5">
        <v>0</v>
      </c>
      <c r="M16" s="5">
        <v>0</v>
      </c>
    </row>
    <row r="18" spans="1:18" x14ac:dyDescent="0.2">
      <c r="A18" s="4" t="s">
        <v>66</v>
      </c>
      <c r="D18" t="s">
        <v>73</v>
      </c>
      <c r="E18" t="s">
        <v>74</v>
      </c>
      <c r="G18" t="s">
        <v>207</v>
      </c>
      <c r="H18" t="s">
        <v>212</v>
      </c>
      <c r="I18" t="s">
        <v>213</v>
      </c>
      <c r="J18" t="s">
        <v>214</v>
      </c>
      <c r="K18" t="s">
        <v>216</v>
      </c>
      <c r="L18" t="s">
        <v>217</v>
      </c>
      <c r="M18" t="s">
        <v>215</v>
      </c>
    </row>
    <row r="19" spans="1:18" x14ac:dyDescent="0.2">
      <c r="A19" s="4" t="s">
        <v>23</v>
      </c>
      <c r="B19" s="4">
        <v>0.25</v>
      </c>
      <c r="D19" t="s">
        <v>75</v>
      </c>
      <c r="E19" s="4">
        <v>5.8999999999999999E-3</v>
      </c>
      <c r="G19" s="13" t="s">
        <v>3</v>
      </c>
      <c r="H19" s="13" t="s">
        <v>48</v>
      </c>
      <c r="I19" s="13" t="s">
        <v>49</v>
      </c>
      <c r="J19" s="13" t="s">
        <v>51</v>
      </c>
      <c r="K19" s="13" t="s">
        <v>53</v>
      </c>
      <c r="L19" s="13" t="s">
        <v>52</v>
      </c>
      <c r="M19" s="13" t="s">
        <v>55</v>
      </c>
      <c r="N19" s="13"/>
      <c r="O19" s="13"/>
      <c r="P19" s="13"/>
      <c r="Q19" s="13"/>
      <c r="R19" s="13"/>
    </row>
    <row r="20" spans="1:18" x14ac:dyDescent="0.2">
      <c r="A20" s="4" t="s">
        <v>24</v>
      </c>
      <c r="B20" s="4">
        <v>0.25</v>
      </c>
      <c r="D20" t="s">
        <v>76</v>
      </c>
      <c r="E20" s="4">
        <v>7.0000000000000001E-3</v>
      </c>
      <c r="G20" s="14" t="s">
        <v>208</v>
      </c>
      <c r="H20">
        <v>0.66</v>
      </c>
      <c r="I20">
        <v>0.02</v>
      </c>
      <c r="J20">
        <v>0.1</v>
      </c>
      <c r="K20">
        <v>0.04</v>
      </c>
      <c r="L20">
        <v>0.03</v>
      </c>
      <c r="M20">
        <v>0</v>
      </c>
    </row>
    <row r="21" spans="1:18" x14ac:dyDescent="0.2">
      <c r="A21" s="4" t="s">
        <v>69</v>
      </c>
      <c r="B21" s="4">
        <v>0.19</v>
      </c>
      <c r="D21" t="s">
        <v>77</v>
      </c>
      <c r="E21" s="4">
        <v>1.8E-3</v>
      </c>
      <c r="G21" s="14">
        <v>11</v>
      </c>
      <c r="H21">
        <v>0.68</v>
      </c>
      <c r="I21">
        <v>0.02</v>
      </c>
      <c r="J21">
        <v>0.1</v>
      </c>
      <c r="K21">
        <v>0.04</v>
      </c>
      <c r="L21">
        <v>0.03</v>
      </c>
      <c r="M21">
        <v>0</v>
      </c>
    </row>
    <row r="22" spans="1:18" x14ac:dyDescent="0.2">
      <c r="A22" s="4" t="s">
        <v>70</v>
      </c>
      <c r="B22" s="4">
        <v>0.6784</v>
      </c>
      <c r="D22" t="s">
        <v>78</v>
      </c>
      <c r="E22" s="4">
        <v>2.8999999999999998E-3</v>
      </c>
      <c r="G22" s="14">
        <v>12</v>
      </c>
      <c r="H22">
        <v>0.7</v>
      </c>
      <c r="I22">
        <v>0.02</v>
      </c>
      <c r="J22">
        <v>0.1</v>
      </c>
      <c r="K22">
        <v>0.04</v>
      </c>
      <c r="L22">
        <v>0.03</v>
      </c>
      <c r="M22">
        <v>0</v>
      </c>
    </row>
    <row r="23" spans="1:18" x14ac:dyDescent="0.2">
      <c r="A23" s="4" t="s">
        <v>71</v>
      </c>
      <c r="B23">
        <f>44/28</f>
        <v>1.5714285714285714</v>
      </c>
      <c r="D23" t="s">
        <v>79</v>
      </c>
      <c r="E23" s="4">
        <v>8.0000000000000002E-3</v>
      </c>
      <c r="G23" s="14">
        <v>13</v>
      </c>
      <c r="H23">
        <v>0.71</v>
      </c>
      <c r="I23">
        <v>0.02</v>
      </c>
      <c r="J23">
        <v>0.1</v>
      </c>
      <c r="K23">
        <v>0.04</v>
      </c>
      <c r="L23">
        <v>0.03</v>
      </c>
      <c r="M23">
        <v>0</v>
      </c>
    </row>
    <row r="24" spans="1:18" x14ac:dyDescent="0.2">
      <c r="A24" s="4" t="s">
        <v>72</v>
      </c>
      <c r="B24" s="4">
        <v>1.0999999999999999E-2</v>
      </c>
      <c r="G24" s="14">
        <v>14</v>
      </c>
      <c r="H24">
        <v>0.73</v>
      </c>
      <c r="I24">
        <v>0.02</v>
      </c>
      <c r="J24">
        <v>0.1</v>
      </c>
      <c r="K24">
        <v>0.04</v>
      </c>
      <c r="L24">
        <v>0.03</v>
      </c>
      <c r="M24">
        <v>0</v>
      </c>
    </row>
    <row r="25" spans="1:18" x14ac:dyDescent="0.2">
      <c r="A25" s="4" t="s">
        <v>174</v>
      </c>
      <c r="B25" s="4">
        <v>0.02</v>
      </c>
      <c r="G25" s="15">
        <v>15</v>
      </c>
      <c r="H25">
        <v>0.74</v>
      </c>
      <c r="I25">
        <v>0.02</v>
      </c>
      <c r="J25">
        <v>0.1</v>
      </c>
      <c r="K25">
        <v>0.04</v>
      </c>
      <c r="L25">
        <v>0.03</v>
      </c>
      <c r="M25">
        <v>0</v>
      </c>
    </row>
    <row r="26" spans="1:18" x14ac:dyDescent="0.2">
      <c r="G26" s="15">
        <v>16</v>
      </c>
      <c r="H26">
        <v>0.75</v>
      </c>
      <c r="I26">
        <v>0.02</v>
      </c>
      <c r="J26">
        <v>0.1</v>
      </c>
      <c r="K26">
        <v>0.04</v>
      </c>
      <c r="L26">
        <v>0.03</v>
      </c>
      <c r="M26">
        <v>0</v>
      </c>
    </row>
    <row r="27" spans="1:18" x14ac:dyDescent="0.2">
      <c r="G27" s="15">
        <v>17</v>
      </c>
      <c r="H27">
        <v>0.76</v>
      </c>
      <c r="I27">
        <v>0.02</v>
      </c>
      <c r="J27">
        <v>0.1</v>
      </c>
      <c r="K27">
        <v>0.04</v>
      </c>
      <c r="L27">
        <v>0.03</v>
      </c>
      <c r="M27">
        <v>0</v>
      </c>
    </row>
    <row r="28" spans="1:18" x14ac:dyDescent="0.2">
      <c r="G28" s="15">
        <v>18</v>
      </c>
      <c r="H28">
        <v>0.77</v>
      </c>
      <c r="I28">
        <v>0.02</v>
      </c>
      <c r="J28">
        <v>0.1</v>
      </c>
      <c r="K28">
        <v>0.04</v>
      </c>
      <c r="L28">
        <v>0.03</v>
      </c>
      <c r="M28">
        <v>0</v>
      </c>
    </row>
    <row r="29" spans="1:18" x14ac:dyDescent="0.2">
      <c r="G29" s="15">
        <v>19</v>
      </c>
      <c r="H29">
        <v>0.77</v>
      </c>
      <c r="I29">
        <v>0.02</v>
      </c>
      <c r="J29">
        <v>0.1</v>
      </c>
      <c r="K29">
        <v>0.04</v>
      </c>
      <c r="L29">
        <v>0.03</v>
      </c>
      <c r="M29">
        <v>0</v>
      </c>
    </row>
    <row r="30" spans="1:18" x14ac:dyDescent="0.2">
      <c r="G30" s="15">
        <v>20</v>
      </c>
      <c r="H30">
        <v>0.78</v>
      </c>
      <c r="I30">
        <v>0.02</v>
      </c>
      <c r="J30">
        <v>0.1</v>
      </c>
      <c r="K30">
        <v>0.04</v>
      </c>
      <c r="L30">
        <v>0.03</v>
      </c>
      <c r="M30">
        <v>0</v>
      </c>
    </row>
    <row r="31" spans="1:18" x14ac:dyDescent="0.2">
      <c r="G31" s="15">
        <v>21</v>
      </c>
      <c r="H31">
        <v>0.78</v>
      </c>
      <c r="I31">
        <v>0.02</v>
      </c>
      <c r="J31">
        <v>0.1</v>
      </c>
      <c r="K31">
        <v>0.04</v>
      </c>
      <c r="L31">
        <v>0.03</v>
      </c>
      <c r="M31">
        <v>0</v>
      </c>
    </row>
    <row r="32" spans="1:18" x14ac:dyDescent="0.2">
      <c r="G32" s="15">
        <v>22</v>
      </c>
      <c r="H32">
        <v>0.78</v>
      </c>
      <c r="I32">
        <v>0.02</v>
      </c>
      <c r="J32">
        <v>0.1</v>
      </c>
      <c r="K32">
        <v>0.04</v>
      </c>
      <c r="L32">
        <v>0.03</v>
      </c>
      <c r="M32">
        <v>0</v>
      </c>
    </row>
    <row r="33" spans="7:13" x14ac:dyDescent="0.2">
      <c r="G33" s="15">
        <v>23</v>
      </c>
      <c r="H33">
        <v>0.79</v>
      </c>
      <c r="I33">
        <v>0.02</v>
      </c>
      <c r="J33">
        <v>0.1</v>
      </c>
      <c r="K33">
        <v>0.04</v>
      </c>
      <c r="L33">
        <v>0.03</v>
      </c>
      <c r="M33">
        <v>0</v>
      </c>
    </row>
    <row r="34" spans="7:13" x14ac:dyDescent="0.2">
      <c r="G34" s="15">
        <v>24</v>
      </c>
      <c r="H34">
        <v>0.79</v>
      </c>
      <c r="I34">
        <v>0.02</v>
      </c>
      <c r="J34">
        <v>0.1</v>
      </c>
      <c r="K34">
        <v>0.04</v>
      </c>
      <c r="L34">
        <v>0.03</v>
      </c>
      <c r="M34">
        <v>0</v>
      </c>
    </row>
    <row r="35" spans="7:13" x14ac:dyDescent="0.2">
      <c r="G35" s="15">
        <v>25</v>
      </c>
      <c r="H35">
        <v>0.79</v>
      </c>
      <c r="I35">
        <v>0.02</v>
      </c>
      <c r="J35">
        <v>0.1</v>
      </c>
      <c r="K35">
        <v>0.04</v>
      </c>
      <c r="L35">
        <v>0.03</v>
      </c>
      <c r="M35">
        <v>0</v>
      </c>
    </row>
    <row r="36" spans="7:13" x14ac:dyDescent="0.2">
      <c r="G36" s="16">
        <v>26</v>
      </c>
      <c r="H36">
        <v>0.79</v>
      </c>
      <c r="I36">
        <v>0.02</v>
      </c>
      <c r="J36">
        <v>0.1</v>
      </c>
      <c r="K36">
        <v>0.04</v>
      </c>
      <c r="L36">
        <v>0.03</v>
      </c>
      <c r="M36">
        <v>0</v>
      </c>
    </row>
    <row r="37" spans="7:13" x14ac:dyDescent="0.2">
      <c r="G37" s="16">
        <v>27</v>
      </c>
      <c r="H37">
        <v>0.8</v>
      </c>
      <c r="I37">
        <v>0.02</v>
      </c>
      <c r="J37">
        <v>0.1</v>
      </c>
      <c r="K37">
        <v>0.04</v>
      </c>
      <c r="L37">
        <v>0.03</v>
      </c>
      <c r="M37">
        <v>0</v>
      </c>
    </row>
    <row r="38" spans="7:13" x14ac:dyDescent="0.2">
      <c r="G38" s="16" t="s">
        <v>209</v>
      </c>
      <c r="H38">
        <v>0.8</v>
      </c>
      <c r="I38">
        <v>0.02</v>
      </c>
      <c r="J38">
        <v>0.1</v>
      </c>
      <c r="K38">
        <v>0.04</v>
      </c>
      <c r="L38">
        <v>0.03</v>
      </c>
      <c r="M3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9DBCA-25EA-AA45-B2A9-3882BAB79541}">
  <dimension ref="A1:S61"/>
  <sheetViews>
    <sheetView topLeftCell="A41" workbookViewId="0">
      <selection activeCell="H52" sqref="H52"/>
    </sheetView>
  </sheetViews>
  <sheetFormatPr baseColWidth="10" defaultRowHeight="16" x14ac:dyDescent="0.2"/>
  <sheetData>
    <row r="1" spans="1:19" x14ac:dyDescent="0.2">
      <c r="A1" s="1"/>
      <c r="B1" s="1"/>
      <c r="C1" s="1"/>
      <c r="D1" s="1"/>
      <c r="E1" s="1"/>
      <c r="F1" s="1"/>
      <c r="G1" s="1"/>
      <c r="H1" s="1"/>
    </row>
    <row r="2" spans="1:19" x14ac:dyDescent="0.2">
      <c r="A2" s="1" t="s">
        <v>0</v>
      </c>
      <c r="B2" s="1"/>
      <c r="C2" s="1"/>
      <c r="D2" s="1"/>
      <c r="E2" s="1"/>
      <c r="F2" s="1"/>
      <c r="G2" s="1"/>
      <c r="H2" s="1"/>
    </row>
    <row r="3" spans="1:19" x14ac:dyDescent="0.2">
      <c r="A3" s="1"/>
      <c r="B3" s="1"/>
      <c r="C3" s="1"/>
      <c r="D3" s="1"/>
      <c r="E3" s="1"/>
      <c r="F3" s="1"/>
      <c r="G3" s="1"/>
      <c r="H3" s="1"/>
    </row>
    <row r="4" spans="1:19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/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 t="s">
        <v>1</v>
      </c>
    </row>
    <row r="5" spans="1:19" x14ac:dyDescent="0.2">
      <c r="A5" s="1"/>
      <c r="B5" s="1"/>
      <c r="C5" s="1"/>
      <c r="D5" s="1"/>
      <c r="E5" s="1"/>
      <c r="F5" s="1"/>
      <c r="G5" s="1"/>
      <c r="H5" s="1"/>
    </row>
    <row r="6" spans="1:19" x14ac:dyDescent="0.2">
      <c r="A6" s="1"/>
      <c r="B6" s="1"/>
      <c r="C6" s="1"/>
      <c r="D6" s="1"/>
      <c r="E6" s="1"/>
      <c r="F6" s="1"/>
      <c r="G6" s="1"/>
      <c r="H6" s="1"/>
    </row>
    <row r="7" spans="1:19" x14ac:dyDescent="0.2">
      <c r="A7" s="1"/>
      <c r="B7" s="1"/>
      <c r="C7" s="1"/>
      <c r="D7" s="1"/>
      <c r="E7" s="1"/>
      <c r="F7" s="1"/>
      <c r="G7" s="1"/>
      <c r="H7" s="1"/>
    </row>
    <row r="8" spans="1:19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118</v>
      </c>
      <c r="J8" s="1" t="s">
        <v>119</v>
      </c>
      <c r="K8" t="s">
        <v>29</v>
      </c>
      <c r="L8" t="s">
        <v>30</v>
      </c>
      <c r="M8" t="s">
        <v>31</v>
      </c>
      <c r="N8" t="s">
        <v>32</v>
      </c>
      <c r="O8" t="s">
        <v>33</v>
      </c>
      <c r="P8" t="s">
        <v>34</v>
      </c>
      <c r="Q8" t="s">
        <v>36</v>
      </c>
      <c r="R8" t="s">
        <v>37</v>
      </c>
      <c r="S8" t="s">
        <v>38</v>
      </c>
    </row>
    <row r="9" spans="1:19" x14ac:dyDescent="0.2">
      <c r="A9" s="1"/>
      <c r="B9" s="1"/>
      <c r="C9" s="1"/>
      <c r="D9" s="1"/>
      <c r="E9" s="1"/>
      <c r="F9" s="1"/>
      <c r="G9" s="1"/>
      <c r="H9" s="1"/>
    </row>
    <row r="10" spans="1:19" s="2" customFormat="1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19</v>
      </c>
      <c r="M10" s="3" t="s">
        <v>17</v>
      </c>
      <c r="N10" s="3" t="s">
        <v>20</v>
      </c>
      <c r="O10" s="3" t="s">
        <v>21</v>
      </c>
      <c r="P10" s="3" t="s">
        <v>22</v>
      </c>
      <c r="Q10" s="3" t="s">
        <v>35</v>
      </c>
      <c r="R10" s="3" t="s">
        <v>23</v>
      </c>
      <c r="S10" s="3" t="s">
        <v>24</v>
      </c>
    </row>
    <row r="11" spans="1:19" x14ac:dyDescent="0.2">
      <c r="A11" t="s">
        <v>14</v>
      </c>
      <c r="C11" t="s">
        <v>76</v>
      </c>
      <c r="D11" t="b">
        <v>1</v>
      </c>
      <c r="E11" t="s">
        <v>25</v>
      </c>
      <c r="F11">
        <v>111</v>
      </c>
      <c r="G11">
        <v>105</v>
      </c>
      <c r="K11">
        <v>1</v>
      </c>
      <c r="Q11" t="b">
        <v>1</v>
      </c>
    </row>
    <row r="12" spans="1:19" x14ac:dyDescent="0.2">
      <c r="A12" t="s">
        <v>14</v>
      </c>
      <c r="C12" t="s">
        <v>76</v>
      </c>
      <c r="D12" t="b">
        <v>1</v>
      </c>
      <c r="E12" t="s">
        <v>26</v>
      </c>
      <c r="F12">
        <v>222</v>
      </c>
      <c r="G12">
        <v>103</v>
      </c>
      <c r="K12">
        <v>1</v>
      </c>
      <c r="Q12" t="b">
        <v>1</v>
      </c>
    </row>
    <row r="13" spans="1:19" x14ac:dyDescent="0.2">
      <c r="A13" t="s">
        <v>14</v>
      </c>
      <c r="C13" t="s">
        <v>76</v>
      </c>
      <c r="D13" t="b">
        <v>1</v>
      </c>
      <c r="E13" t="s">
        <v>27</v>
      </c>
      <c r="F13">
        <v>333</v>
      </c>
      <c r="G13">
        <v>200</v>
      </c>
      <c r="O13">
        <v>1</v>
      </c>
      <c r="Q13" t="b">
        <v>0</v>
      </c>
    </row>
    <row r="14" spans="1:19" s="2" customFormat="1" x14ac:dyDescent="0.2">
      <c r="A14" s="2" t="s">
        <v>14</v>
      </c>
      <c r="C14" t="s">
        <v>76</v>
      </c>
      <c r="D14" s="2" t="b">
        <v>1</v>
      </c>
      <c r="E14" s="2" t="s">
        <v>28</v>
      </c>
      <c r="F14" s="2">
        <v>444</v>
      </c>
      <c r="G14" s="2">
        <v>365</v>
      </c>
      <c r="O14" s="2">
        <v>1</v>
      </c>
      <c r="Q14" s="2" t="b">
        <v>0</v>
      </c>
    </row>
    <row r="15" spans="1:19" x14ac:dyDescent="0.2">
      <c r="A15" t="s">
        <v>41</v>
      </c>
      <c r="C15" t="s">
        <v>75</v>
      </c>
      <c r="D15" t="b">
        <v>1</v>
      </c>
      <c r="E15" t="s">
        <v>25</v>
      </c>
      <c r="F15">
        <v>105</v>
      </c>
      <c r="G15">
        <v>75</v>
      </c>
      <c r="K15">
        <v>0.2</v>
      </c>
      <c r="L15">
        <v>0.1</v>
      </c>
      <c r="M15">
        <v>0.2</v>
      </c>
      <c r="N15">
        <v>0.2</v>
      </c>
      <c r="O15">
        <v>0.2</v>
      </c>
      <c r="P15">
        <v>0.1</v>
      </c>
      <c r="Q15" t="b">
        <v>1</v>
      </c>
    </row>
    <row r="16" spans="1:19" x14ac:dyDescent="0.2">
      <c r="A16" t="s">
        <v>41</v>
      </c>
      <c r="C16" t="s">
        <v>75</v>
      </c>
      <c r="D16" t="b">
        <v>1</v>
      </c>
      <c r="E16" t="s">
        <v>26</v>
      </c>
      <c r="F16">
        <v>245</v>
      </c>
      <c r="G16">
        <v>290</v>
      </c>
      <c r="K16">
        <v>0.2</v>
      </c>
      <c r="L16">
        <v>0.1</v>
      </c>
      <c r="M16">
        <v>0.2</v>
      </c>
      <c r="N16">
        <v>0.2</v>
      </c>
      <c r="O16">
        <v>0.2</v>
      </c>
      <c r="P16">
        <v>0.1</v>
      </c>
      <c r="Q16" t="b">
        <v>1</v>
      </c>
    </row>
    <row r="17" spans="1:19" x14ac:dyDescent="0.2">
      <c r="A17" t="s">
        <v>41</v>
      </c>
      <c r="C17" t="s">
        <v>75</v>
      </c>
      <c r="D17" t="b">
        <v>1</v>
      </c>
      <c r="E17" t="s">
        <v>27</v>
      </c>
      <c r="F17">
        <v>434</v>
      </c>
      <c r="G17">
        <v>280</v>
      </c>
      <c r="K17">
        <v>0.2</v>
      </c>
      <c r="L17">
        <v>0.1</v>
      </c>
      <c r="M17">
        <v>0.2</v>
      </c>
      <c r="N17">
        <v>0.2</v>
      </c>
      <c r="O17">
        <v>0.2</v>
      </c>
      <c r="P17">
        <v>0.1</v>
      </c>
      <c r="Q17" t="b">
        <v>1</v>
      </c>
    </row>
    <row r="18" spans="1:19" s="2" customFormat="1" x14ac:dyDescent="0.2">
      <c r="A18" s="2" t="s">
        <v>41</v>
      </c>
      <c r="C18" t="s">
        <v>75</v>
      </c>
      <c r="D18" s="2" t="b">
        <v>1</v>
      </c>
      <c r="E18" s="2" t="s">
        <v>28</v>
      </c>
      <c r="F18" s="2">
        <v>44</v>
      </c>
      <c r="G18" s="2">
        <v>290</v>
      </c>
      <c r="K18" s="2">
        <v>0.2</v>
      </c>
      <c r="L18" s="2">
        <v>0.1</v>
      </c>
      <c r="M18" s="2">
        <v>0.2</v>
      </c>
      <c r="N18" s="2">
        <v>0.2</v>
      </c>
      <c r="O18" s="2">
        <v>0.2</v>
      </c>
      <c r="P18" s="2">
        <v>0.1</v>
      </c>
      <c r="Q18" s="2" t="b">
        <v>1</v>
      </c>
    </row>
    <row r="19" spans="1:19" x14ac:dyDescent="0.2">
      <c r="A19" t="s">
        <v>39</v>
      </c>
      <c r="C19" t="s">
        <v>77</v>
      </c>
      <c r="D19" t="b">
        <v>1</v>
      </c>
      <c r="E19" t="s">
        <v>25</v>
      </c>
      <c r="F19">
        <v>1000</v>
      </c>
      <c r="G19">
        <v>100</v>
      </c>
      <c r="K19">
        <v>0.3</v>
      </c>
      <c r="N19">
        <v>0.3</v>
      </c>
      <c r="P19">
        <v>0.4</v>
      </c>
      <c r="Q19" t="b">
        <v>0</v>
      </c>
    </row>
    <row r="20" spans="1:19" x14ac:dyDescent="0.2">
      <c r="A20" t="s">
        <v>39</v>
      </c>
      <c r="C20" t="s">
        <v>77</v>
      </c>
      <c r="D20" t="b">
        <v>1</v>
      </c>
      <c r="E20" t="s">
        <v>26</v>
      </c>
      <c r="F20">
        <v>233</v>
      </c>
      <c r="G20">
        <v>100</v>
      </c>
      <c r="K20">
        <v>0.3</v>
      </c>
      <c r="N20">
        <v>0.3</v>
      </c>
      <c r="P20">
        <v>0.4</v>
      </c>
      <c r="Q20" t="b">
        <v>0</v>
      </c>
    </row>
    <row r="21" spans="1:19" x14ac:dyDescent="0.2">
      <c r="A21" t="s">
        <v>39</v>
      </c>
      <c r="C21" t="s">
        <v>77</v>
      </c>
      <c r="D21" t="b">
        <v>1</v>
      </c>
      <c r="E21" t="s">
        <v>27</v>
      </c>
      <c r="F21">
        <v>923</v>
      </c>
      <c r="G21">
        <v>100</v>
      </c>
      <c r="M21">
        <v>0.5</v>
      </c>
      <c r="O21">
        <v>0.5</v>
      </c>
      <c r="Q21" t="b">
        <v>0</v>
      </c>
    </row>
    <row r="22" spans="1:19" s="2" customFormat="1" x14ac:dyDescent="0.2">
      <c r="A22" s="2" t="s">
        <v>39</v>
      </c>
      <c r="C22" t="s">
        <v>77</v>
      </c>
      <c r="D22" s="2" t="b">
        <v>1</v>
      </c>
      <c r="E22" s="2" t="s">
        <v>28</v>
      </c>
      <c r="F22" s="2">
        <v>122</v>
      </c>
      <c r="G22" s="2">
        <v>100</v>
      </c>
      <c r="M22">
        <v>0.5</v>
      </c>
      <c r="N22"/>
      <c r="O22">
        <v>0.5</v>
      </c>
      <c r="Q22" s="2" t="b">
        <v>0</v>
      </c>
    </row>
    <row r="23" spans="1:19" x14ac:dyDescent="0.2">
      <c r="A23" t="s">
        <v>40</v>
      </c>
      <c r="C23" t="s">
        <v>78</v>
      </c>
      <c r="D23" t="b">
        <v>0</v>
      </c>
      <c r="E23" t="s">
        <v>25</v>
      </c>
      <c r="F23">
        <v>750</v>
      </c>
      <c r="G23">
        <v>200</v>
      </c>
      <c r="K23">
        <v>0.3</v>
      </c>
      <c r="N23">
        <v>0.3</v>
      </c>
      <c r="P23">
        <v>0.4</v>
      </c>
      <c r="Q23" t="b">
        <v>0</v>
      </c>
    </row>
    <row r="24" spans="1:19" x14ac:dyDescent="0.2">
      <c r="A24" t="s">
        <v>40</v>
      </c>
      <c r="C24" t="s">
        <v>78</v>
      </c>
      <c r="D24" t="b">
        <v>0</v>
      </c>
      <c r="E24" t="s">
        <v>26</v>
      </c>
      <c r="F24">
        <v>600</v>
      </c>
      <c r="G24">
        <v>200</v>
      </c>
      <c r="M24">
        <v>0.5</v>
      </c>
      <c r="O24">
        <v>0.5</v>
      </c>
      <c r="Q24" t="b">
        <v>0</v>
      </c>
    </row>
    <row r="25" spans="1:19" x14ac:dyDescent="0.2">
      <c r="A25" t="s">
        <v>40</v>
      </c>
      <c r="C25" t="s">
        <v>78</v>
      </c>
      <c r="D25" t="b">
        <v>0</v>
      </c>
      <c r="E25" t="s">
        <v>27</v>
      </c>
      <c r="F25">
        <v>100</v>
      </c>
      <c r="G25">
        <v>299</v>
      </c>
      <c r="K25">
        <v>0.3</v>
      </c>
      <c r="N25">
        <v>0.3</v>
      </c>
      <c r="P25">
        <v>0.4</v>
      </c>
      <c r="Q25" t="b">
        <v>1</v>
      </c>
    </row>
    <row r="26" spans="1:19" s="2" customFormat="1" x14ac:dyDescent="0.2">
      <c r="A26" s="2" t="s">
        <v>40</v>
      </c>
      <c r="C26" t="s">
        <v>78</v>
      </c>
      <c r="D26" s="2" t="b">
        <v>0</v>
      </c>
      <c r="E26" s="2" t="s">
        <v>28</v>
      </c>
      <c r="F26" s="2">
        <v>999</v>
      </c>
      <c r="G26" s="2">
        <v>299</v>
      </c>
      <c r="M26">
        <v>0.5</v>
      </c>
      <c r="N26"/>
      <c r="O26">
        <v>0.5</v>
      </c>
      <c r="Q26" s="2" t="b">
        <v>1</v>
      </c>
    </row>
    <row r="29" spans="1:19" x14ac:dyDescent="0.2">
      <c r="A29" s="1" t="s">
        <v>210</v>
      </c>
      <c r="B29" s="1"/>
      <c r="C29" s="1"/>
      <c r="D29" s="1"/>
      <c r="E29" s="1"/>
      <c r="F29" s="1"/>
      <c r="G29" s="1"/>
      <c r="H29" s="1"/>
    </row>
    <row r="30" spans="1:19" x14ac:dyDescent="0.2">
      <c r="A30" s="1"/>
      <c r="B30" s="1"/>
      <c r="C30" s="1"/>
      <c r="D30" s="1"/>
      <c r="E30" s="1"/>
      <c r="F30" s="1"/>
      <c r="G30" s="1"/>
      <c r="H30" s="1"/>
    </row>
    <row r="31" spans="1:19" x14ac:dyDescent="0.2">
      <c r="A31" s="1" t="s">
        <v>1</v>
      </c>
      <c r="B31" s="1" t="s">
        <v>1</v>
      </c>
      <c r="C31" s="1" t="s">
        <v>1</v>
      </c>
      <c r="D31" s="1" t="s">
        <v>1</v>
      </c>
      <c r="E31" s="1" t="s">
        <v>1</v>
      </c>
      <c r="F31" s="1" t="s">
        <v>1</v>
      </c>
      <c r="G31" s="1" t="s">
        <v>1</v>
      </c>
      <c r="H31" s="1"/>
      <c r="I31" s="1" t="s">
        <v>1</v>
      </c>
      <c r="J31" s="1" t="s">
        <v>1</v>
      </c>
      <c r="K31" s="1" t="s">
        <v>1</v>
      </c>
      <c r="L31" s="1" t="s">
        <v>1</v>
      </c>
      <c r="M31" s="1" t="s">
        <v>1</v>
      </c>
      <c r="N31" s="1" t="s">
        <v>1</v>
      </c>
      <c r="O31" s="1" t="s">
        <v>1</v>
      </c>
      <c r="P31" s="1" t="s">
        <v>1</v>
      </c>
      <c r="Q31" s="1" t="s">
        <v>1</v>
      </c>
      <c r="R31" s="1" t="s">
        <v>1</v>
      </c>
      <c r="S31" s="1" t="s">
        <v>1</v>
      </c>
    </row>
    <row r="32" spans="1:19" x14ac:dyDescent="0.2">
      <c r="A32" s="1"/>
      <c r="B32" s="1"/>
      <c r="C32" s="1"/>
      <c r="D32" s="1"/>
      <c r="E32" s="1"/>
      <c r="F32" s="1"/>
      <c r="G32" s="1"/>
      <c r="H32" s="1"/>
    </row>
    <row r="33" spans="1:19" x14ac:dyDescent="0.2">
      <c r="A33" s="1"/>
      <c r="B33" s="1"/>
      <c r="C33" s="1"/>
      <c r="D33" s="1"/>
      <c r="E33" s="1"/>
      <c r="F33" s="1"/>
      <c r="G33" s="1"/>
      <c r="H33" s="1"/>
    </row>
    <row r="34" spans="1:19" x14ac:dyDescent="0.2">
      <c r="A34" s="1"/>
      <c r="B34" s="1"/>
      <c r="C34" s="1"/>
      <c r="D34" s="1"/>
      <c r="E34" s="1"/>
      <c r="F34" s="1"/>
      <c r="G34" s="1"/>
      <c r="H34" s="1" t="s">
        <v>211</v>
      </c>
    </row>
    <row r="35" spans="1:19" x14ac:dyDescent="0.2">
      <c r="A35" s="1" t="s">
        <v>2</v>
      </c>
      <c r="B35" s="1" t="s">
        <v>3</v>
      </c>
      <c r="C35" s="1" t="s">
        <v>4</v>
      </c>
      <c r="D35" s="1" t="s">
        <v>5</v>
      </c>
      <c r="E35" s="1" t="s">
        <v>10</v>
      </c>
      <c r="F35" s="1" t="s">
        <v>6</v>
      </c>
      <c r="G35" s="1" t="s">
        <v>7</v>
      </c>
      <c r="H35" s="1" t="s">
        <v>114</v>
      </c>
      <c r="I35" s="1" t="s">
        <v>118</v>
      </c>
      <c r="J35" s="1" t="s">
        <v>119</v>
      </c>
      <c r="K35" t="s">
        <v>29</v>
      </c>
      <c r="L35" t="s">
        <v>30</v>
      </c>
      <c r="M35" t="s">
        <v>31</v>
      </c>
      <c r="N35" t="s">
        <v>32</v>
      </c>
      <c r="O35" t="s">
        <v>33</v>
      </c>
      <c r="P35" t="s">
        <v>34</v>
      </c>
      <c r="Q35" t="s">
        <v>36</v>
      </c>
      <c r="R35" t="s">
        <v>37</v>
      </c>
      <c r="S35" t="s">
        <v>38</v>
      </c>
    </row>
    <row r="36" spans="1:19" x14ac:dyDescent="0.2">
      <c r="A36" s="1"/>
      <c r="B36" s="1"/>
      <c r="C36" s="1"/>
      <c r="D36" s="1"/>
      <c r="E36" s="1"/>
      <c r="F36" s="1"/>
      <c r="G36" s="1"/>
      <c r="H36" s="1"/>
    </row>
    <row r="37" spans="1:19" x14ac:dyDescent="0.2">
      <c r="A37" s="3" t="s">
        <v>8</v>
      </c>
      <c r="B37" s="3" t="s">
        <v>8</v>
      </c>
      <c r="C37" s="3"/>
      <c r="D37" s="3" t="s">
        <v>9</v>
      </c>
      <c r="E37" s="3" t="s">
        <v>13</v>
      </c>
      <c r="F37" s="3" t="s">
        <v>11</v>
      </c>
      <c r="G37" s="3" t="s">
        <v>12</v>
      </c>
      <c r="H37" s="3" t="s">
        <v>113</v>
      </c>
      <c r="I37" s="3" t="s">
        <v>16</v>
      </c>
      <c r="J37" s="3" t="s">
        <v>15</v>
      </c>
      <c r="K37" s="3" t="s">
        <v>18</v>
      </c>
      <c r="L37" s="3" t="s">
        <v>19</v>
      </c>
      <c r="M37" s="3" t="s">
        <v>17</v>
      </c>
      <c r="N37" s="3" t="s">
        <v>20</v>
      </c>
      <c r="O37" s="3" t="s">
        <v>21</v>
      </c>
      <c r="P37" s="3" t="s">
        <v>22</v>
      </c>
      <c r="Q37" s="3" t="s">
        <v>35</v>
      </c>
      <c r="R37" s="3" t="s">
        <v>23</v>
      </c>
      <c r="S37" s="3" t="s">
        <v>24</v>
      </c>
    </row>
    <row r="38" spans="1:19" x14ac:dyDescent="0.2">
      <c r="A38" t="s">
        <v>14</v>
      </c>
      <c r="B38" t="s">
        <v>208</v>
      </c>
      <c r="C38" t="s">
        <v>76</v>
      </c>
      <c r="D38" t="b">
        <v>1</v>
      </c>
      <c r="E38" t="s">
        <v>25</v>
      </c>
      <c r="F38">
        <v>111</v>
      </c>
      <c r="G38">
        <v>105</v>
      </c>
      <c r="I38">
        <v>0.37</v>
      </c>
      <c r="J38">
        <v>0.04</v>
      </c>
      <c r="K38">
        <v>1</v>
      </c>
      <c r="Q38" t="b">
        <v>1</v>
      </c>
      <c r="R38">
        <v>0.3</v>
      </c>
      <c r="S38">
        <v>0.3</v>
      </c>
    </row>
    <row r="39" spans="1:19" x14ac:dyDescent="0.2">
      <c r="A39" t="s">
        <v>14</v>
      </c>
      <c r="B39" t="s">
        <v>208</v>
      </c>
      <c r="C39" t="s">
        <v>76</v>
      </c>
      <c r="D39" t="b">
        <v>1</v>
      </c>
      <c r="E39" t="s">
        <v>26</v>
      </c>
      <c r="F39">
        <v>222</v>
      </c>
      <c r="G39">
        <v>103</v>
      </c>
      <c r="I39">
        <v>0.37</v>
      </c>
      <c r="J39">
        <v>0.04</v>
      </c>
      <c r="K39">
        <v>1</v>
      </c>
      <c r="Q39" t="b">
        <v>1</v>
      </c>
      <c r="R39">
        <v>0.3</v>
      </c>
      <c r="S39">
        <v>0.3</v>
      </c>
    </row>
    <row r="40" spans="1:19" x14ac:dyDescent="0.2">
      <c r="A40" t="s">
        <v>14</v>
      </c>
      <c r="B40" t="s">
        <v>208</v>
      </c>
      <c r="C40" t="s">
        <v>76</v>
      </c>
      <c r="D40" t="b">
        <v>1</v>
      </c>
      <c r="E40" t="s">
        <v>27</v>
      </c>
      <c r="F40">
        <v>333</v>
      </c>
      <c r="G40">
        <v>200</v>
      </c>
      <c r="I40">
        <v>0.37</v>
      </c>
      <c r="J40">
        <v>0.04</v>
      </c>
      <c r="O40">
        <v>1</v>
      </c>
      <c r="Q40" t="b">
        <v>0</v>
      </c>
      <c r="R40">
        <v>0</v>
      </c>
      <c r="S40">
        <v>0</v>
      </c>
    </row>
    <row r="41" spans="1:19" x14ac:dyDescent="0.2">
      <c r="A41" s="2" t="s">
        <v>14</v>
      </c>
      <c r="B41" s="2" t="s">
        <v>208</v>
      </c>
      <c r="C41" s="2" t="s">
        <v>76</v>
      </c>
      <c r="D41" s="2" t="b">
        <v>1</v>
      </c>
      <c r="E41" s="2" t="s">
        <v>28</v>
      </c>
      <c r="F41" s="2">
        <v>444</v>
      </c>
      <c r="G41" s="2">
        <v>365</v>
      </c>
      <c r="H41" s="2"/>
      <c r="I41" s="2">
        <v>0.37</v>
      </c>
      <c r="J41" s="2">
        <v>0.04</v>
      </c>
      <c r="K41" s="2"/>
      <c r="L41" s="2"/>
      <c r="M41" s="2"/>
      <c r="N41" s="2"/>
      <c r="O41" s="2">
        <v>1</v>
      </c>
      <c r="P41" s="2"/>
      <c r="Q41" s="2" t="b">
        <v>0</v>
      </c>
      <c r="R41" s="2">
        <v>0</v>
      </c>
      <c r="S41" s="2">
        <v>0</v>
      </c>
    </row>
    <row r="42" spans="1:19" x14ac:dyDescent="0.2">
      <c r="A42" t="s">
        <v>41</v>
      </c>
      <c r="B42">
        <v>14</v>
      </c>
      <c r="C42" t="s">
        <v>75</v>
      </c>
      <c r="D42" t="b">
        <v>1</v>
      </c>
      <c r="E42" t="s">
        <v>25</v>
      </c>
      <c r="F42">
        <v>105</v>
      </c>
      <c r="G42">
        <v>75</v>
      </c>
      <c r="I42">
        <v>0.5</v>
      </c>
      <c r="J42">
        <v>7.9000000000000001E-2</v>
      </c>
      <c r="K42">
        <v>0.2</v>
      </c>
      <c r="L42">
        <v>0.1</v>
      </c>
      <c r="M42">
        <v>0.2</v>
      </c>
      <c r="N42">
        <v>0.2</v>
      </c>
      <c r="O42">
        <v>0.2</v>
      </c>
      <c r="P42">
        <v>0.1</v>
      </c>
      <c r="Q42" t="b">
        <v>1</v>
      </c>
      <c r="R42">
        <v>0.45</v>
      </c>
      <c r="S42">
        <v>0.25</v>
      </c>
    </row>
    <row r="43" spans="1:19" x14ac:dyDescent="0.2">
      <c r="A43" t="s">
        <v>41</v>
      </c>
      <c r="B43">
        <v>14</v>
      </c>
      <c r="C43" t="s">
        <v>75</v>
      </c>
      <c r="D43" t="b">
        <v>1</v>
      </c>
      <c r="E43" t="s">
        <v>26</v>
      </c>
      <c r="F43">
        <v>245</v>
      </c>
      <c r="G43">
        <v>290</v>
      </c>
      <c r="I43">
        <v>0.56000000000000005</v>
      </c>
      <c r="J43">
        <v>6.9000000000000006E-2</v>
      </c>
      <c r="K43">
        <v>0.2</v>
      </c>
      <c r="L43">
        <v>0.1</v>
      </c>
      <c r="M43">
        <v>0.2</v>
      </c>
      <c r="N43">
        <v>0.2</v>
      </c>
      <c r="O43">
        <v>0.2</v>
      </c>
      <c r="P43">
        <v>0.1</v>
      </c>
      <c r="Q43" t="b">
        <v>1</v>
      </c>
      <c r="R43">
        <v>0.45</v>
      </c>
      <c r="S43">
        <v>0.25</v>
      </c>
    </row>
    <row r="44" spans="1:19" x14ac:dyDescent="0.2">
      <c r="A44" t="s">
        <v>41</v>
      </c>
      <c r="B44">
        <v>14</v>
      </c>
      <c r="C44" t="s">
        <v>75</v>
      </c>
      <c r="D44" t="b">
        <v>1</v>
      </c>
      <c r="E44" t="s">
        <v>27</v>
      </c>
      <c r="F44">
        <v>434</v>
      </c>
      <c r="G44">
        <v>280</v>
      </c>
      <c r="I44">
        <v>0.45</v>
      </c>
      <c r="J44">
        <v>5.6000000000000001E-2</v>
      </c>
      <c r="K44">
        <v>0.2</v>
      </c>
      <c r="L44">
        <v>0.1</v>
      </c>
      <c r="M44">
        <v>0.2</v>
      </c>
      <c r="N44">
        <v>0.2</v>
      </c>
      <c r="O44">
        <v>0.2</v>
      </c>
      <c r="P44">
        <v>0.1</v>
      </c>
      <c r="Q44" t="b">
        <v>1</v>
      </c>
      <c r="R44">
        <v>0.45</v>
      </c>
      <c r="S44">
        <v>0.25</v>
      </c>
    </row>
    <row r="45" spans="1:19" x14ac:dyDescent="0.2">
      <c r="A45" s="2" t="s">
        <v>41</v>
      </c>
      <c r="B45" s="2">
        <v>14</v>
      </c>
      <c r="C45" s="2" t="s">
        <v>75</v>
      </c>
      <c r="D45" s="2" t="b">
        <v>1</v>
      </c>
      <c r="E45" s="2" t="s">
        <v>28</v>
      </c>
      <c r="F45" s="2">
        <v>44</v>
      </c>
      <c r="G45" s="2">
        <v>290</v>
      </c>
      <c r="H45" s="2"/>
      <c r="I45" s="2">
        <v>0.49</v>
      </c>
      <c r="J45" s="2">
        <f>0.039</f>
        <v>3.9E-2</v>
      </c>
      <c r="K45" s="2">
        <v>0.2</v>
      </c>
      <c r="L45" s="2">
        <v>0.1</v>
      </c>
      <c r="M45" s="2">
        <v>0.2</v>
      </c>
      <c r="N45" s="2">
        <v>0.2</v>
      </c>
      <c r="O45" s="2">
        <v>0.2</v>
      </c>
      <c r="P45" s="2">
        <v>0.1</v>
      </c>
      <c r="Q45" s="2" t="b">
        <v>1</v>
      </c>
      <c r="R45" s="2">
        <v>0.45</v>
      </c>
      <c r="S45" s="2">
        <v>0.25</v>
      </c>
    </row>
    <row r="46" spans="1:19" x14ac:dyDescent="0.2">
      <c r="A46" s="17" t="s">
        <v>64</v>
      </c>
      <c r="B46">
        <v>15</v>
      </c>
      <c r="C46" t="s">
        <v>77</v>
      </c>
      <c r="D46" t="b">
        <v>1</v>
      </c>
      <c r="E46" t="s">
        <v>25</v>
      </c>
      <c r="F46">
        <v>1000</v>
      </c>
      <c r="G46">
        <v>100</v>
      </c>
      <c r="I46">
        <v>0.46500000000000002</v>
      </c>
      <c r="J46">
        <v>4.4999999999999998E-2</v>
      </c>
      <c r="K46">
        <v>0.3</v>
      </c>
      <c r="N46">
        <v>0.3</v>
      </c>
      <c r="P46">
        <v>0.4</v>
      </c>
      <c r="Q46" t="b">
        <v>0</v>
      </c>
      <c r="R46">
        <v>0</v>
      </c>
      <c r="S46">
        <v>0</v>
      </c>
    </row>
    <row r="47" spans="1:19" x14ac:dyDescent="0.2">
      <c r="A47" s="17" t="s">
        <v>64</v>
      </c>
      <c r="B47">
        <v>15</v>
      </c>
      <c r="C47" t="s">
        <v>77</v>
      </c>
      <c r="D47" t="b">
        <v>1</v>
      </c>
      <c r="E47" t="s">
        <v>26</v>
      </c>
      <c r="F47">
        <v>233</v>
      </c>
      <c r="G47">
        <v>100</v>
      </c>
      <c r="I47">
        <v>0.45100000000000001</v>
      </c>
      <c r="J47">
        <v>3.3500000000000002E-2</v>
      </c>
      <c r="K47">
        <v>0.3</v>
      </c>
      <c r="N47">
        <v>0.3</v>
      </c>
      <c r="P47">
        <v>0.4</v>
      </c>
      <c r="Q47" t="b">
        <v>0</v>
      </c>
      <c r="R47">
        <v>0</v>
      </c>
      <c r="S47">
        <v>0</v>
      </c>
    </row>
    <row r="48" spans="1:19" x14ac:dyDescent="0.2">
      <c r="A48" s="17" t="s">
        <v>64</v>
      </c>
      <c r="B48">
        <v>15</v>
      </c>
      <c r="C48" t="s">
        <v>77</v>
      </c>
      <c r="D48" t="b">
        <v>1</v>
      </c>
      <c r="E48" t="s">
        <v>27</v>
      </c>
      <c r="F48">
        <v>923</v>
      </c>
      <c r="G48">
        <v>100</v>
      </c>
      <c r="I48">
        <v>0.437</v>
      </c>
      <c r="J48">
        <v>2.1999999999999999E-2</v>
      </c>
      <c r="M48">
        <v>0.5</v>
      </c>
      <c r="O48">
        <v>0.5</v>
      </c>
      <c r="Q48" t="b">
        <v>0</v>
      </c>
      <c r="R48">
        <v>0</v>
      </c>
      <c r="S48">
        <v>0</v>
      </c>
    </row>
    <row r="49" spans="1:19" x14ac:dyDescent="0.2">
      <c r="A49" s="22" t="s">
        <v>64</v>
      </c>
      <c r="B49" s="2">
        <v>15</v>
      </c>
      <c r="C49" s="2" t="s">
        <v>77</v>
      </c>
      <c r="D49" s="2" t="b">
        <v>1</v>
      </c>
      <c r="E49" s="2" t="s">
        <v>28</v>
      </c>
      <c r="F49" s="2">
        <v>122</v>
      </c>
      <c r="G49" s="2">
        <v>100</v>
      </c>
      <c r="H49" s="2"/>
      <c r="I49" s="2">
        <v>0.42299999999999999</v>
      </c>
      <c r="J49" s="2">
        <f>0.039</f>
        <v>3.9E-2</v>
      </c>
      <c r="K49" s="2"/>
      <c r="L49" s="2"/>
      <c r="M49" s="2">
        <v>0.5</v>
      </c>
      <c r="N49" s="2"/>
      <c r="O49" s="2">
        <v>0.5</v>
      </c>
      <c r="P49" s="2"/>
      <c r="Q49" s="2" t="b">
        <v>0</v>
      </c>
      <c r="R49" s="2">
        <v>0</v>
      </c>
      <c r="S49" s="2">
        <v>0</v>
      </c>
    </row>
    <row r="50" spans="1:19" x14ac:dyDescent="0.2">
      <c r="A50" t="s">
        <v>40</v>
      </c>
      <c r="B50" s="17">
        <v>25</v>
      </c>
      <c r="C50" t="s">
        <v>78</v>
      </c>
      <c r="D50" t="b">
        <v>0</v>
      </c>
      <c r="E50" t="s">
        <v>25</v>
      </c>
      <c r="F50">
        <v>750</v>
      </c>
      <c r="G50">
        <v>200</v>
      </c>
      <c r="I50">
        <v>0.38600000000000001</v>
      </c>
      <c r="J50">
        <v>5.6000000000000001E-2</v>
      </c>
      <c r="K50">
        <v>0.3</v>
      </c>
      <c r="N50">
        <v>0.3</v>
      </c>
      <c r="P50">
        <v>0.4</v>
      </c>
      <c r="Q50" t="b">
        <v>0</v>
      </c>
      <c r="R50" s="17">
        <v>0</v>
      </c>
      <c r="S50" s="17">
        <v>0</v>
      </c>
    </row>
    <row r="51" spans="1:19" x14ac:dyDescent="0.2">
      <c r="A51" t="s">
        <v>40</v>
      </c>
      <c r="B51" s="17">
        <v>25</v>
      </c>
      <c r="C51" t="s">
        <v>78</v>
      </c>
      <c r="D51" t="b">
        <v>0</v>
      </c>
      <c r="E51" t="s">
        <v>26</v>
      </c>
      <c r="F51">
        <v>600</v>
      </c>
      <c r="G51">
        <v>200</v>
      </c>
      <c r="I51">
        <v>0.64700000000000002</v>
      </c>
      <c r="J51">
        <v>5.6000000000000001E-2</v>
      </c>
      <c r="M51">
        <v>0.5</v>
      </c>
      <c r="O51">
        <v>0.5</v>
      </c>
      <c r="Q51" t="b">
        <v>0</v>
      </c>
      <c r="R51" s="17">
        <v>0</v>
      </c>
      <c r="S51" s="17">
        <v>0</v>
      </c>
    </row>
    <row r="52" spans="1:19" x14ac:dyDescent="0.2">
      <c r="A52" t="s">
        <v>40</v>
      </c>
      <c r="B52" s="17">
        <v>25</v>
      </c>
      <c r="C52" t="s">
        <v>78</v>
      </c>
      <c r="D52" t="b">
        <v>0</v>
      </c>
      <c r="E52" t="s">
        <v>27</v>
      </c>
      <c r="F52">
        <v>100</v>
      </c>
      <c r="G52">
        <v>299</v>
      </c>
      <c r="I52">
        <v>0.34</v>
      </c>
      <c r="J52">
        <v>3.4500000000000003E-2</v>
      </c>
      <c r="K52">
        <v>0.3</v>
      </c>
      <c r="N52">
        <v>0.3</v>
      </c>
      <c r="P52">
        <v>0.4</v>
      </c>
      <c r="Q52" t="b">
        <v>1</v>
      </c>
      <c r="R52" s="17">
        <v>0.23</v>
      </c>
      <c r="S52" s="17">
        <v>0.57999999999999996</v>
      </c>
    </row>
    <row r="53" spans="1:19" x14ac:dyDescent="0.2">
      <c r="A53" s="2" t="s">
        <v>40</v>
      </c>
      <c r="B53" s="2">
        <v>25</v>
      </c>
      <c r="C53" s="2" t="s">
        <v>78</v>
      </c>
      <c r="D53" s="2" t="b">
        <v>0</v>
      </c>
      <c r="E53" s="2" t="s">
        <v>28</v>
      </c>
      <c r="F53" s="2">
        <v>999</v>
      </c>
      <c r="G53" s="2">
        <v>299</v>
      </c>
      <c r="H53" s="2"/>
      <c r="I53" s="2">
        <v>0.45</v>
      </c>
      <c r="J53" s="2">
        <v>4.53E-2</v>
      </c>
      <c r="K53" s="2"/>
      <c r="L53" s="2"/>
      <c r="M53" s="2">
        <v>0.5</v>
      </c>
      <c r="N53" s="2"/>
      <c r="O53" s="2">
        <v>0.5</v>
      </c>
      <c r="P53" s="2"/>
      <c r="Q53" s="2" t="b">
        <v>1</v>
      </c>
      <c r="R53" s="2">
        <v>0.23</v>
      </c>
      <c r="S53" s="2">
        <v>0.57999999999999996</v>
      </c>
    </row>
    <row r="54" spans="1:19" x14ac:dyDescent="0.2">
      <c r="A54" t="s">
        <v>62</v>
      </c>
      <c r="B54">
        <v>26</v>
      </c>
      <c r="C54" t="s">
        <v>79</v>
      </c>
      <c r="D54" t="b">
        <v>1</v>
      </c>
      <c r="E54" t="s">
        <v>25</v>
      </c>
      <c r="F54">
        <v>105</v>
      </c>
      <c r="G54">
        <v>75</v>
      </c>
      <c r="I54" s="17">
        <v>0.68</v>
      </c>
      <c r="J54" s="17">
        <v>6.7799999999999999E-2</v>
      </c>
      <c r="K54">
        <v>0.2</v>
      </c>
      <c r="L54">
        <v>0.1</v>
      </c>
      <c r="M54">
        <v>0.2</v>
      </c>
      <c r="N54">
        <v>0.2</v>
      </c>
      <c r="O54">
        <v>0.2</v>
      </c>
      <c r="P54">
        <v>0.1</v>
      </c>
      <c r="Q54" t="b">
        <v>1</v>
      </c>
      <c r="R54" s="17">
        <v>0.25</v>
      </c>
      <c r="S54" s="17">
        <v>0.25</v>
      </c>
    </row>
    <row r="55" spans="1:19" x14ac:dyDescent="0.2">
      <c r="A55" t="s">
        <v>62</v>
      </c>
      <c r="B55">
        <v>26</v>
      </c>
      <c r="C55" t="s">
        <v>79</v>
      </c>
      <c r="D55" t="b">
        <v>1</v>
      </c>
      <c r="E55" t="s">
        <v>26</v>
      </c>
      <c r="F55">
        <v>245</v>
      </c>
      <c r="G55">
        <v>290</v>
      </c>
      <c r="I55" s="17">
        <v>0.69</v>
      </c>
      <c r="J55" s="17">
        <v>4.5999999999999999E-2</v>
      </c>
      <c r="K55">
        <v>0.2</v>
      </c>
      <c r="L55">
        <v>0.1</v>
      </c>
      <c r="M55">
        <v>0.2</v>
      </c>
      <c r="N55">
        <v>0.2</v>
      </c>
      <c r="O55">
        <v>0.2</v>
      </c>
      <c r="P55">
        <v>0.1</v>
      </c>
      <c r="Q55" t="b">
        <v>1</v>
      </c>
      <c r="R55" s="17">
        <v>0.26</v>
      </c>
      <c r="S55" s="17">
        <v>0.26</v>
      </c>
    </row>
    <row r="56" spans="1:19" x14ac:dyDescent="0.2">
      <c r="A56" t="s">
        <v>62</v>
      </c>
      <c r="B56">
        <v>26</v>
      </c>
      <c r="C56" t="s">
        <v>79</v>
      </c>
      <c r="D56" t="b">
        <v>1</v>
      </c>
      <c r="E56" t="s">
        <v>27</v>
      </c>
      <c r="F56">
        <v>434</v>
      </c>
      <c r="G56">
        <v>280</v>
      </c>
      <c r="I56" s="17">
        <v>0.7</v>
      </c>
      <c r="J56" s="17">
        <v>5.1999999999999998E-2</v>
      </c>
      <c r="K56">
        <v>0.2</v>
      </c>
      <c r="L56">
        <v>0.1</v>
      </c>
      <c r="M56">
        <v>0.2</v>
      </c>
      <c r="N56">
        <v>0.2</v>
      </c>
      <c r="O56">
        <v>0.2</v>
      </c>
      <c r="P56">
        <v>0.1</v>
      </c>
      <c r="Q56" t="b">
        <v>1</v>
      </c>
      <c r="R56" s="17">
        <v>0.27</v>
      </c>
      <c r="S56" s="17">
        <v>0.27</v>
      </c>
    </row>
    <row r="57" spans="1:19" x14ac:dyDescent="0.2">
      <c r="A57" s="2" t="s">
        <v>62</v>
      </c>
      <c r="B57" s="2">
        <v>26</v>
      </c>
      <c r="C57" s="2" t="s">
        <v>79</v>
      </c>
      <c r="D57" s="2" t="b">
        <v>1</v>
      </c>
      <c r="E57" s="2" t="s">
        <v>28</v>
      </c>
      <c r="F57" s="2">
        <v>44</v>
      </c>
      <c r="G57" s="2">
        <v>290</v>
      </c>
      <c r="H57" s="2"/>
      <c r="I57" s="2">
        <v>0.68</v>
      </c>
      <c r="J57" s="2">
        <v>4.4999999999999998E-2</v>
      </c>
      <c r="K57" s="2">
        <v>0.2</v>
      </c>
      <c r="L57" s="2">
        <v>0.1</v>
      </c>
      <c r="M57" s="2">
        <v>0.2</v>
      </c>
      <c r="N57" s="2">
        <v>0.2</v>
      </c>
      <c r="O57" s="2">
        <v>0.2</v>
      </c>
      <c r="P57" s="2">
        <v>0.1</v>
      </c>
      <c r="Q57" s="2" t="b">
        <v>1</v>
      </c>
      <c r="R57" s="2">
        <v>0.28000000000000003</v>
      </c>
      <c r="S57" s="2">
        <v>0.28000000000000003</v>
      </c>
    </row>
    <row r="58" spans="1:19" x14ac:dyDescent="0.2">
      <c r="A58" t="s">
        <v>39</v>
      </c>
      <c r="B58" s="9" t="s">
        <v>209</v>
      </c>
      <c r="C58" s="9" t="s">
        <v>75</v>
      </c>
      <c r="D58" s="9" t="b">
        <v>1</v>
      </c>
      <c r="E58" s="9" t="s">
        <v>25</v>
      </c>
      <c r="F58" s="9">
        <v>105</v>
      </c>
      <c r="G58" s="9">
        <v>75</v>
      </c>
      <c r="H58" s="9"/>
      <c r="I58">
        <v>0.37</v>
      </c>
      <c r="J58">
        <v>0.04</v>
      </c>
      <c r="K58" s="9">
        <v>0.2</v>
      </c>
      <c r="L58" s="9">
        <v>0.1</v>
      </c>
      <c r="M58" s="9">
        <v>0.2</v>
      </c>
      <c r="N58" s="9">
        <v>0.2</v>
      </c>
      <c r="O58" s="9">
        <v>0.2</v>
      </c>
      <c r="P58" s="9">
        <v>0.1</v>
      </c>
      <c r="Q58" s="9" t="b">
        <v>1</v>
      </c>
      <c r="R58" s="17">
        <v>0.28000000000000003</v>
      </c>
      <c r="S58" s="17">
        <v>0.25</v>
      </c>
    </row>
    <row r="59" spans="1:19" x14ac:dyDescent="0.2">
      <c r="A59" t="s">
        <v>39</v>
      </c>
      <c r="B59" s="9" t="s">
        <v>209</v>
      </c>
      <c r="C59" s="9" t="s">
        <v>75</v>
      </c>
      <c r="D59" s="9" t="b">
        <v>1</v>
      </c>
      <c r="E59" s="9" t="s">
        <v>26</v>
      </c>
      <c r="F59" s="9">
        <v>245</v>
      </c>
      <c r="G59" s="9">
        <v>290</v>
      </c>
      <c r="H59" s="9"/>
      <c r="I59">
        <v>0.37</v>
      </c>
      <c r="J59">
        <v>0.04</v>
      </c>
      <c r="K59" s="9">
        <v>0.2</v>
      </c>
      <c r="L59" s="9">
        <v>0.1</v>
      </c>
      <c r="M59" s="9">
        <v>0.2</v>
      </c>
      <c r="N59" s="9">
        <v>0.2</v>
      </c>
      <c r="O59" s="9">
        <v>0.2</v>
      </c>
      <c r="P59" s="9">
        <v>0.1</v>
      </c>
      <c r="Q59" s="9" t="b">
        <v>1</v>
      </c>
      <c r="R59" s="17">
        <v>0.27</v>
      </c>
      <c r="S59" s="17">
        <v>0.26</v>
      </c>
    </row>
    <row r="60" spans="1:19" x14ac:dyDescent="0.2">
      <c r="A60" t="s">
        <v>39</v>
      </c>
      <c r="B60" s="9" t="s">
        <v>209</v>
      </c>
      <c r="C60" s="9" t="s">
        <v>75</v>
      </c>
      <c r="D60" s="9" t="b">
        <v>1</v>
      </c>
      <c r="E60" s="9" t="s">
        <v>27</v>
      </c>
      <c r="F60" s="9">
        <v>434</v>
      </c>
      <c r="G60" s="9">
        <v>280</v>
      </c>
      <c r="H60" s="9"/>
      <c r="I60">
        <v>0.37</v>
      </c>
      <c r="J60">
        <v>0.04</v>
      </c>
      <c r="K60" s="9">
        <v>0.2</v>
      </c>
      <c r="L60" s="9">
        <v>0.1</v>
      </c>
      <c r="M60" s="9">
        <v>0.2</v>
      </c>
      <c r="N60" s="9">
        <v>0.2</v>
      </c>
      <c r="O60" s="9">
        <v>0.2</v>
      </c>
      <c r="P60" s="9">
        <v>0.1</v>
      </c>
      <c r="Q60" s="9" t="b">
        <v>1</v>
      </c>
      <c r="R60" s="17">
        <v>0.26</v>
      </c>
      <c r="S60" s="17">
        <v>0.27</v>
      </c>
    </row>
    <row r="61" spans="1:19" x14ac:dyDescent="0.2">
      <c r="A61" s="2" t="s">
        <v>39</v>
      </c>
      <c r="B61" s="18" t="s">
        <v>209</v>
      </c>
      <c r="C61" s="18" t="s">
        <v>75</v>
      </c>
      <c r="D61" s="18" t="b">
        <v>1</v>
      </c>
      <c r="E61" s="18" t="s">
        <v>28</v>
      </c>
      <c r="F61" s="18">
        <v>44</v>
      </c>
      <c r="G61" s="18">
        <v>290</v>
      </c>
      <c r="H61" s="18"/>
      <c r="I61" s="2">
        <v>0.37</v>
      </c>
      <c r="J61" s="2">
        <v>0.04</v>
      </c>
      <c r="K61" s="18">
        <v>0.2</v>
      </c>
      <c r="L61" s="18">
        <v>0.1</v>
      </c>
      <c r="M61" s="18">
        <v>0.2</v>
      </c>
      <c r="N61" s="18">
        <v>0.2</v>
      </c>
      <c r="O61" s="18">
        <v>0.2</v>
      </c>
      <c r="P61" s="18">
        <v>0.1</v>
      </c>
      <c r="Q61" s="18" t="b">
        <v>1</v>
      </c>
      <c r="R61" s="2">
        <v>0.25</v>
      </c>
      <c r="S61" s="2">
        <v>0.28000000000000003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140B-90DE-CB4B-9CF8-98219B6845E7}">
  <dimension ref="A2:BK26"/>
  <sheetViews>
    <sheetView topLeftCell="A7" workbookViewId="0">
      <selection activeCell="BB9" sqref="BB9"/>
    </sheetView>
  </sheetViews>
  <sheetFormatPr baseColWidth="10" defaultRowHeight="16" x14ac:dyDescent="0.2"/>
  <sheetData>
    <row r="2" spans="1:63" x14ac:dyDescent="0.2">
      <c r="A2" s="1" t="s">
        <v>0</v>
      </c>
      <c r="B2" s="1"/>
      <c r="C2" s="1"/>
      <c r="D2" s="1"/>
      <c r="E2" s="1"/>
      <c r="F2" s="1"/>
      <c r="G2" s="1"/>
      <c r="H2" s="1"/>
    </row>
    <row r="3" spans="1:63" x14ac:dyDescent="0.2">
      <c r="A3" s="1"/>
      <c r="B3" s="1"/>
      <c r="C3" s="1"/>
      <c r="D3" s="1"/>
      <c r="E3" s="1"/>
      <c r="F3" s="1"/>
      <c r="G3" s="1"/>
      <c r="H3" s="1"/>
    </row>
    <row r="4" spans="1:63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</v>
      </c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 t="s">
        <v>1</v>
      </c>
      <c r="T4" s="1" t="s">
        <v>191</v>
      </c>
      <c r="U4" s="1" t="s">
        <v>191</v>
      </c>
      <c r="V4" s="1" t="s">
        <v>191</v>
      </c>
      <c r="W4" s="1" t="s">
        <v>191</v>
      </c>
      <c r="X4" s="1" t="s">
        <v>191</v>
      </c>
      <c r="Y4" s="1" t="s">
        <v>191</v>
      </c>
      <c r="Z4" s="1" t="s">
        <v>192</v>
      </c>
      <c r="AA4" s="1" t="s">
        <v>192</v>
      </c>
      <c r="AB4" s="1" t="s">
        <v>192</v>
      </c>
      <c r="AC4" s="1" t="s">
        <v>192</v>
      </c>
      <c r="AD4" s="1" t="s">
        <v>192</v>
      </c>
      <c r="AE4" s="1" t="s">
        <v>192</v>
      </c>
      <c r="AF4" s="1" t="s">
        <v>192</v>
      </c>
      <c r="AG4" s="1" t="s">
        <v>192</v>
      </c>
      <c r="AH4" s="1" t="s">
        <v>192</v>
      </c>
      <c r="AI4" s="1" t="s">
        <v>191</v>
      </c>
      <c r="AJ4" s="1" t="s">
        <v>191</v>
      </c>
      <c r="AK4" s="1" t="s">
        <v>191</v>
      </c>
      <c r="AL4" s="1" t="s">
        <v>191</v>
      </c>
      <c r="AM4" s="1" t="s">
        <v>191</v>
      </c>
      <c r="AN4" s="1" t="s">
        <v>191</v>
      </c>
      <c r="AO4" t="s">
        <v>191</v>
      </c>
      <c r="AP4" s="1" t="s">
        <v>192</v>
      </c>
      <c r="AQ4" s="1" t="s">
        <v>192</v>
      </c>
      <c r="AR4" s="1" t="s">
        <v>192</v>
      </c>
      <c r="AS4" s="1" t="s">
        <v>192</v>
      </c>
      <c r="AT4" s="1" t="s">
        <v>192</v>
      </c>
      <c r="AU4" s="1" t="s">
        <v>192</v>
      </c>
      <c r="AV4" t="s">
        <v>191</v>
      </c>
      <c r="AW4" t="s">
        <v>191</v>
      </c>
      <c r="AX4" t="s">
        <v>191</v>
      </c>
      <c r="AY4" t="s">
        <v>191</v>
      </c>
      <c r="AZ4" t="s">
        <v>191</v>
      </c>
      <c r="BA4" t="s">
        <v>191</v>
      </c>
      <c r="BB4" t="s">
        <v>191</v>
      </c>
      <c r="BC4" t="s">
        <v>191</v>
      </c>
      <c r="BD4" t="s">
        <v>191</v>
      </c>
      <c r="BE4" t="s">
        <v>191</v>
      </c>
      <c r="BF4" t="s">
        <v>191</v>
      </c>
      <c r="BG4" t="s">
        <v>191</v>
      </c>
      <c r="BH4" t="s">
        <v>191</v>
      </c>
      <c r="BI4" t="s">
        <v>191</v>
      </c>
      <c r="BJ4" t="s">
        <v>191</v>
      </c>
      <c r="BK4" t="s">
        <v>191</v>
      </c>
    </row>
    <row r="5" spans="1:63" x14ac:dyDescent="0.2">
      <c r="A5" s="1"/>
      <c r="B5" s="1"/>
      <c r="C5" s="1"/>
      <c r="D5" s="1"/>
      <c r="E5" s="1"/>
      <c r="F5" s="1"/>
      <c r="G5" s="1"/>
      <c r="H5" s="1"/>
    </row>
    <row r="6" spans="1:63" x14ac:dyDescent="0.2">
      <c r="A6" s="1"/>
      <c r="B6" s="1"/>
      <c r="C6" s="1"/>
      <c r="D6" s="1"/>
      <c r="E6" s="1"/>
      <c r="F6" s="1"/>
      <c r="G6" s="1"/>
      <c r="H6" s="1"/>
      <c r="T6" t="s">
        <v>194</v>
      </c>
    </row>
    <row r="7" spans="1:63" x14ac:dyDescent="0.2">
      <c r="A7" s="1"/>
      <c r="B7" s="1"/>
      <c r="C7" s="1"/>
      <c r="D7" s="1"/>
      <c r="E7" s="1"/>
      <c r="F7" s="1"/>
      <c r="G7" s="1"/>
      <c r="H7" s="1"/>
      <c r="T7" t="s">
        <v>193</v>
      </c>
      <c r="Y7" t="s">
        <v>195</v>
      </c>
      <c r="AI7" t="s">
        <v>190</v>
      </c>
      <c r="BK7" t="s">
        <v>189</v>
      </c>
    </row>
    <row r="8" spans="1:63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116</v>
      </c>
      <c r="J8" s="1" t="s">
        <v>117</v>
      </c>
      <c r="K8" t="s">
        <v>29</v>
      </c>
      <c r="L8" t="s">
        <v>31</v>
      </c>
      <c r="M8" t="s">
        <v>32</v>
      </c>
      <c r="N8" t="s">
        <v>33</v>
      </c>
      <c r="O8" t="s">
        <v>34</v>
      </c>
      <c r="P8" t="s">
        <v>30</v>
      </c>
      <c r="Q8" t="s">
        <v>36</v>
      </c>
      <c r="R8" t="s">
        <v>37</v>
      </c>
    </row>
    <row r="9" spans="1:63" x14ac:dyDescent="0.2">
      <c r="A9" s="1"/>
      <c r="B9" s="1"/>
      <c r="C9" s="1"/>
      <c r="D9" s="1"/>
      <c r="E9" s="1"/>
      <c r="F9" s="1"/>
      <c r="G9" s="1"/>
      <c r="H9" s="1"/>
    </row>
    <row r="10" spans="1:63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17</v>
      </c>
      <c r="M10" s="3" t="s">
        <v>20</v>
      </c>
      <c r="N10" s="3" t="s">
        <v>21</v>
      </c>
      <c r="O10" s="3" t="s">
        <v>22</v>
      </c>
      <c r="P10" s="3" t="s">
        <v>19</v>
      </c>
      <c r="Q10" s="3" t="s">
        <v>35</v>
      </c>
      <c r="R10" s="3" t="s">
        <v>23</v>
      </c>
      <c r="S10" s="6" t="s">
        <v>24</v>
      </c>
      <c r="T10" s="6" t="s">
        <v>80</v>
      </c>
      <c r="U10" s="6" t="s">
        <v>81</v>
      </c>
      <c r="V10" s="7" t="s">
        <v>82</v>
      </c>
      <c r="W10" s="7" t="s">
        <v>83</v>
      </c>
      <c r="X10" s="7" t="s">
        <v>84</v>
      </c>
      <c r="Y10" s="7" t="s">
        <v>85</v>
      </c>
      <c r="Z10" s="7" t="s">
        <v>69</v>
      </c>
      <c r="AA10" s="7" t="s">
        <v>70</v>
      </c>
      <c r="AB10" s="7" t="s">
        <v>92</v>
      </c>
      <c r="AC10" s="7" t="s">
        <v>93</v>
      </c>
      <c r="AD10" s="7" t="s">
        <v>94</v>
      </c>
      <c r="AE10" s="7" t="s">
        <v>95</v>
      </c>
      <c r="AF10" s="7" t="s">
        <v>96</v>
      </c>
      <c r="AG10" s="7" t="s">
        <v>97</v>
      </c>
      <c r="AH10" s="7" t="s">
        <v>106</v>
      </c>
      <c r="AI10" s="7" t="s">
        <v>86</v>
      </c>
      <c r="AJ10" s="7" t="s">
        <v>87</v>
      </c>
      <c r="AK10" s="7" t="s">
        <v>88</v>
      </c>
      <c r="AL10" s="7" t="s">
        <v>89</v>
      </c>
      <c r="AM10" s="7" t="s">
        <v>90</v>
      </c>
      <c r="AN10" s="7" t="s">
        <v>91</v>
      </c>
      <c r="AO10" s="8" t="s">
        <v>98</v>
      </c>
      <c r="AP10" s="7" t="s">
        <v>99</v>
      </c>
      <c r="AQ10" s="7" t="s">
        <v>100</v>
      </c>
      <c r="AR10" s="7" t="s">
        <v>101</v>
      </c>
      <c r="AS10" s="7" t="s">
        <v>102</v>
      </c>
      <c r="AT10" s="7" t="s">
        <v>103</v>
      </c>
      <c r="AU10" s="7" t="s">
        <v>104</v>
      </c>
      <c r="AV10" s="7" t="s">
        <v>175</v>
      </c>
      <c r="AW10" s="7" t="s">
        <v>176</v>
      </c>
      <c r="AX10" s="7" t="s">
        <v>177</v>
      </c>
      <c r="AY10" s="7" t="s">
        <v>178</v>
      </c>
      <c r="AZ10" s="7" t="s">
        <v>179</v>
      </c>
      <c r="BA10" s="7" t="s">
        <v>180</v>
      </c>
      <c r="BB10" s="8" t="s">
        <v>105</v>
      </c>
      <c r="BC10" s="7" t="s">
        <v>183</v>
      </c>
      <c r="BD10" s="7" t="s">
        <v>185</v>
      </c>
      <c r="BE10" s="7" t="s">
        <v>184</v>
      </c>
      <c r="BF10" s="7" t="s">
        <v>107</v>
      </c>
      <c r="BG10" s="7" t="s">
        <v>108</v>
      </c>
      <c r="BH10" s="7" t="s">
        <v>109</v>
      </c>
      <c r="BI10" s="8" t="s">
        <v>110</v>
      </c>
      <c r="BJ10" s="8" t="s">
        <v>111</v>
      </c>
      <c r="BK10" s="8" t="s">
        <v>112</v>
      </c>
    </row>
    <row r="11" spans="1:63" x14ac:dyDescent="0.2">
      <c r="A11" t="str">
        <f>'Input Scenarios'!A11</f>
        <v>NSW</v>
      </c>
      <c r="B11">
        <f>'Input Scenarios'!B11</f>
        <v>0</v>
      </c>
      <c r="C11" t="str">
        <f>'Input Scenarios'!C11</f>
        <v>Irrigated crop</v>
      </c>
      <c r="D11" t="b">
        <f>'Input Scenarios'!D11</f>
        <v>1</v>
      </c>
      <c r="E11" t="str">
        <f>'Input Scenarios'!E11</f>
        <v>boars</v>
      </c>
      <c r="F11">
        <f>'Input Scenarios'!F11</f>
        <v>111</v>
      </c>
      <c r="G11">
        <f>'Input Scenarios'!G11</f>
        <v>105</v>
      </c>
      <c r="H11">
        <f>IF('Input Scenarios'!H11&lt;&gt;"", 'Input Scenarios'!H11, _xlfn.XLOOKUP($E11,Constants!$A$3:$A$6, Constants!B$3:B$6))</f>
        <v>2.62</v>
      </c>
      <c r="I11">
        <f>IF('Input Scenarios'!I11&lt;&gt;"", 'Input Scenarios'!I11, _xlfn.XLOOKUP($E11,Constants!$A$3:$A$6, Constants!C$3:C$6))</f>
        <v>0.4</v>
      </c>
      <c r="J11">
        <f>IF('Input Scenarios'!J11&lt;&gt;"", 'Input Scenarios'!J11, _xlfn.XLOOKUP($E11,Constants!$A$3:$A$6, Constants!D$3:D$6))</f>
        <v>4.5999999999999999E-2</v>
      </c>
      <c r="K11">
        <f>'Input Scenarios'!K11</f>
        <v>1</v>
      </c>
      <c r="L11">
        <f>'Input Scenarios'!L11</f>
        <v>0</v>
      </c>
      <c r="M11">
        <f>'Input Scenarios'!M11</f>
        <v>0</v>
      </c>
      <c r="N11">
        <f>'Input Scenarios'!N11</f>
        <v>0</v>
      </c>
      <c r="O11">
        <f>'Input Scenarios'!O11</f>
        <v>0</v>
      </c>
      <c r="P11">
        <f>'Input Scenarios'!P11</f>
        <v>0</v>
      </c>
      <c r="Q11" t="b">
        <f>'Input Scenarios'!Q11</f>
        <v>1</v>
      </c>
      <c r="R11">
        <f>IF('Input Scenarios'!$R11&lt;&gt;"", 'Input Scenarios'!$R11, IF($Q11, Constants!$B$19, 0))</f>
        <v>0.25</v>
      </c>
      <c r="S11">
        <f>IF('Input Scenarios'!$R11&lt;&gt;"", 'Input Scenarios'!$R11, IF($Q11, Constants!$B$20, 0))</f>
        <v>0.25</v>
      </c>
      <c r="T11">
        <f>K11*(1-$R11)</f>
        <v>0.75</v>
      </c>
      <c r="U11">
        <f>L11</f>
        <v>0</v>
      </c>
      <c r="V11">
        <f>M11*(1-$R11)</f>
        <v>0</v>
      </c>
      <c r="W11">
        <f>N11</f>
        <v>0</v>
      </c>
      <c r="X11">
        <f>O11*(1-$R11)</f>
        <v>0</v>
      </c>
      <c r="Y11">
        <f>P11+(SUM(K11,M11,O11)*R11)</f>
        <v>0.25</v>
      </c>
      <c r="Z11">
        <f>Constants!$B$21</f>
        <v>0.19</v>
      </c>
      <c r="AA11">
        <f>Constants!$B$22</f>
        <v>0.6784</v>
      </c>
      <c r="AB11">
        <f>_xlfn.XLOOKUP($A11,Constants!$F$9:$M$9,Constants!$F$10:$M$10)</f>
        <v>0.75</v>
      </c>
      <c r="AC11">
        <f>_xlfn.XLOOKUP($A11,Constants!$F$9:$M$9,Constants!$F$12:$M$12)</f>
        <v>0.01</v>
      </c>
      <c r="AD11">
        <f>_xlfn.XLOOKUP($A11,Constants!$F$9:$M$9,Constants!$F$13:$M$13)</f>
        <v>0.1</v>
      </c>
      <c r="AE11">
        <f>_xlfn.XLOOKUP($A11,Constants!$F$9:$M$9,Constants!$F$14:$M$14)</f>
        <v>0.04</v>
      </c>
      <c r="AF11">
        <f>_xlfn.XLOOKUP($A11,Constants!$F$9:$M$9,Constants!$F$15:$M$15)</f>
        <v>0.03</v>
      </c>
      <c r="AG11">
        <f>_xlfn.XLOOKUP($A11,Constants!$F$9:$M$9,Constants!$F$11:$M$11)</f>
        <v>0.02</v>
      </c>
      <c r="AH11">
        <f>_xlfn.XLOOKUP($A11,Constants!$F$9:$M$9,Constants!$F$16:$M$16)</f>
        <v>0</v>
      </c>
      <c r="AI11">
        <f>$I11*T11*AB11*$Z11*$AA11</f>
        <v>2.9001600000000006E-2</v>
      </c>
      <c r="AJ11">
        <f t="shared" ref="AJ11:AN11" si="0">$I11*U11*AC11*$Z11*$AA11</f>
        <v>0</v>
      </c>
      <c r="AK11">
        <f t="shared" si="0"/>
        <v>0</v>
      </c>
      <c r="AL11">
        <f t="shared" si="0"/>
        <v>0</v>
      </c>
      <c r="AM11">
        <f t="shared" si="0"/>
        <v>0</v>
      </c>
      <c r="AN11">
        <f t="shared" si="0"/>
        <v>2.5779200000000001E-4</v>
      </c>
      <c r="AO11">
        <f>(SUM(AI11:AN11)*F11*G11)/1000</f>
        <v>0.34101821376000008</v>
      </c>
      <c r="AP11">
        <f>Constants!$E$10</f>
        <v>0</v>
      </c>
      <c r="AQ11">
        <f>Constants!$E$12</f>
        <v>0</v>
      </c>
      <c r="AR11">
        <f>Constants!$E$13</f>
        <v>0.75</v>
      </c>
      <c r="AS11">
        <f>Constants!$E$14</f>
        <v>0.05</v>
      </c>
      <c r="AT11">
        <f>Constants!$E$15</f>
        <v>0</v>
      </c>
      <c r="AU11">
        <f>Constants!$E$11</f>
        <v>0</v>
      </c>
      <c r="AV11">
        <f t="shared" ref="AV11:AV14" si="1">(T11*(1-AP11))</f>
        <v>0.75</v>
      </c>
      <c r="AW11">
        <f>(U11*(1-AQ11))</f>
        <v>0</v>
      </c>
      <c r="AX11">
        <f t="shared" ref="AX11:AX14" si="2">(V11*(1-AR11))</f>
        <v>0</v>
      </c>
      <c r="AY11">
        <f t="shared" ref="AY11:AY14" si="3">(W11*(1-AS11))</f>
        <v>0</v>
      </c>
      <c r="AZ11">
        <f t="shared" ref="AZ11:AZ14" si="4">(X11*(1-AT11))</f>
        <v>0</v>
      </c>
      <c r="BA11">
        <f t="shared" ref="BA11:BA14" si="5">(Y11*(1-AU11))</f>
        <v>0.25</v>
      </c>
      <c r="BB11">
        <f t="shared" ref="BB11:BB14" si="6">SUM(AV11:BA11)*I11</f>
        <v>0.4</v>
      </c>
      <c r="BC11">
        <f>AX11*$I11</f>
        <v>0</v>
      </c>
      <c r="BD11">
        <f>AY11*$I11</f>
        <v>0</v>
      </c>
      <c r="BE11">
        <f>SUM(AV11:AW11, AZ11:BA11)*$I11</f>
        <v>0.4</v>
      </c>
      <c r="BF11">
        <f>BC11*$Z11*AB11*$AA11</f>
        <v>0</v>
      </c>
      <c r="BG11">
        <f>BD11*$Z11*AG11*$AA11</f>
        <v>0</v>
      </c>
      <c r="BH11">
        <f>BE11*$Z11*AH11*$AA11</f>
        <v>0</v>
      </c>
      <c r="BI11">
        <f>(SUM(BF11:BH11)*F11*G11)/1000</f>
        <v>0</v>
      </c>
      <c r="BJ11">
        <f t="shared" ref="BJ11:BJ14" si="7">SUM(AI11:AN11, BF11:BH11)*F11*G11/1000</f>
        <v>0.34101821376000008</v>
      </c>
      <c r="BK11">
        <f>SUM(BJ11:BJ14)</f>
        <v>1.4964640376448002</v>
      </c>
    </row>
    <row r="12" spans="1:63" x14ac:dyDescent="0.2">
      <c r="A12" t="str">
        <f>'Input Scenarios'!A12</f>
        <v>NSW</v>
      </c>
      <c r="B12">
        <f>'Input Scenarios'!B12</f>
        <v>0</v>
      </c>
      <c r="C12" t="str">
        <f>'Input Scenarios'!C12</f>
        <v>Irrigated crop</v>
      </c>
      <c r="D12" t="b">
        <f>'Input Scenarios'!D12</f>
        <v>1</v>
      </c>
      <c r="E12" t="str">
        <f>'Input Scenarios'!E12</f>
        <v>sows</v>
      </c>
      <c r="F12">
        <f>'Input Scenarios'!F12</f>
        <v>222</v>
      </c>
      <c r="G12">
        <f>'Input Scenarios'!G12</f>
        <v>103</v>
      </c>
      <c r="H12">
        <f>IF('Input Scenarios'!H12&lt;&gt;"", 'Input Scenarios'!H12, _xlfn.XLOOKUP($E12,Constants!$A$3:$A$6, Constants!B$3:B$6))</f>
        <v>2.2999999999999998</v>
      </c>
      <c r="I12">
        <f>IF('Input Scenarios'!I12&lt;&gt;"", 'Input Scenarios'!I12, _xlfn.XLOOKUP($E12,Constants!$A$3:$A$6, Constants!C$3:C$6))</f>
        <v>0.46</v>
      </c>
      <c r="J12">
        <f>IF('Input Scenarios'!J12&lt;&gt;"", 'Input Scenarios'!J12, _xlfn.XLOOKUP($E12,Constants!$A$3:$A$6, Constants!D$3:D$6))</f>
        <v>4.9000000000000002E-2</v>
      </c>
      <c r="K12">
        <f>'Input Scenarios'!K12</f>
        <v>1</v>
      </c>
      <c r="L12">
        <f>'Input Scenarios'!L12</f>
        <v>0</v>
      </c>
      <c r="M12">
        <f>'Input Scenarios'!M12</f>
        <v>0</v>
      </c>
      <c r="N12">
        <f>'Input Scenarios'!N12</f>
        <v>0</v>
      </c>
      <c r="O12">
        <f>'Input Scenarios'!O12</f>
        <v>0</v>
      </c>
      <c r="P12">
        <f>'Input Scenarios'!P12</f>
        <v>0</v>
      </c>
      <c r="Q12" t="b">
        <f>'Input Scenarios'!Q12</f>
        <v>1</v>
      </c>
      <c r="R12">
        <f>IF('Input Scenarios'!$R12&lt;&gt;"", 'Input Scenarios'!$R12, IF($Q12, Constants!$B$19, 0))</f>
        <v>0.25</v>
      </c>
      <c r="S12">
        <f>IF('Input Scenarios'!$R12&lt;&gt;"", 'Input Scenarios'!$R12, IF($Q12, Constants!$B$20, 0))</f>
        <v>0.25</v>
      </c>
      <c r="T12">
        <f t="shared" ref="T12:T26" si="8">K12*(1-$R12)</f>
        <v>0.75</v>
      </c>
      <c r="U12">
        <f t="shared" ref="U12:U26" si="9">L12</f>
        <v>0</v>
      </c>
      <c r="V12">
        <f t="shared" ref="V12:V26" si="10">M12*(1-$R12)</f>
        <v>0</v>
      </c>
      <c r="W12">
        <f t="shared" ref="W12:W26" si="11">N12</f>
        <v>0</v>
      </c>
      <c r="X12">
        <f t="shared" ref="X12:X26" si="12">O12*(1-$R12)</f>
        <v>0</v>
      </c>
      <c r="Y12">
        <f t="shared" ref="Y12:Y26" si="13">P12+(SUM(K12,M12,O12)*R12)</f>
        <v>0.25</v>
      </c>
      <c r="Z12">
        <f>Constants!$B$21</f>
        <v>0.19</v>
      </c>
      <c r="AA12">
        <f>Constants!$B$22</f>
        <v>0.6784</v>
      </c>
      <c r="AB12">
        <f>_xlfn.XLOOKUP($A12,Constants!$F$9:$M$9,Constants!$F$10:$M$10)</f>
        <v>0.75</v>
      </c>
      <c r="AC12">
        <f>_xlfn.XLOOKUP($A12,Constants!$F$9:$M$9,Constants!$F$12:$M$12)</f>
        <v>0.01</v>
      </c>
      <c r="AD12">
        <f>_xlfn.XLOOKUP($A12,Constants!$F$9:$M$9,Constants!$F$13:$M$13)</f>
        <v>0.1</v>
      </c>
      <c r="AE12">
        <f>_xlfn.XLOOKUP($A12,Constants!$F$9:$M$9,Constants!$F$14:$M$14)</f>
        <v>0.04</v>
      </c>
      <c r="AF12">
        <f>_xlfn.XLOOKUP($A12,Constants!$F$9:$M$9,Constants!$F$15:$M$15)</f>
        <v>0.03</v>
      </c>
      <c r="AG12">
        <f>_xlfn.XLOOKUP($A12,Constants!$F$9:$M$9,Constants!$F$11:$M$11)</f>
        <v>0.02</v>
      </c>
      <c r="AH12">
        <f>_xlfn.XLOOKUP($A12,Constants!$F$9:$M$9,Constants!$F$16:$M$16)</f>
        <v>0</v>
      </c>
      <c r="AI12">
        <f t="shared" ref="AI12:AI26" si="14">$I12*T12*AB12*$Z12*$AA12</f>
        <v>3.3351840000000001E-2</v>
      </c>
      <c r="AJ12">
        <f t="shared" ref="AJ12:AJ26" si="15">$I12*U12*AC12*$Z12*$AA12</f>
        <v>0</v>
      </c>
      <c r="AK12">
        <f t="shared" ref="AK12:AK26" si="16">$I12*V12*AD12*$Z12*$AA12</f>
        <v>0</v>
      </c>
      <c r="AL12">
        <f t="shared" ref="AL12:AL26" si="17">$I12*W12*AE12*$Z12*$AA12</f>
        <v>0</v>
      </c>
      <c r="AM12">
        <f t="shared" ref="AM12:AM26" si="18">$I12*X12*AF12*$Z12*$AA12</f>
        <v>0</v>
      </c>
      <c r="AN12">
        <f t="shared" ref="AN12:AN26" si="19">$I12*Y12*AG12*$Z12*$AA12</f>
        <v>2.9646080000000002E-4</v>
      </c>
      <c r="AO12">
        <f t="shared" ref="AO12:AO26" si="20">(SUM(AI12:AN12)*F12*G12)/1000</f>
        <v>0.76940204609280005</v>
      </c>
      <c r="AP12">
        <f>Constants!$E$10</f>
        <v>0</v>
      </c>
      <c r="AQ12">
        <f>Constants!$E$12</f>
        <v>0</v>
      </c>
      <c r="AR12">
        <f>Constants!$E$13</f>
        <v>0.75</v>
      </c>
      <c r="AS12">
        <f>Constants!$E$14</f>
        <v>0.05</v>
      </c>
      <c r="AT12">
        <f>Constants!$E$15</f>
        <v>0</v>
      </c>
      <c r="AU12">
        <f>Constants!$E$11</f>
        <v>0</v>
      </c>
      <c r="AV12">
        <f t="shared" si="1"/>
        <v>0.75</v>
      </c>
      <c r="AW12">
        <f t="shared" ref="AW12:AW14" si="21">(U12*(1-AQ12))</f>
        <v>0</v>
      </c>
      <c r="AX12">
        <f t="shared" si="2"/>
        <v>0</v>
      </c>
      <c r="AY12">
        <f t="shared" si="3"/>
        <v>0</v>
      </c>
      <c r="AZ12">
        <f t="shared" si="4"/>
        <v>0</v>
      </c>
      <c r="BA12">
        <f t="shared" si="5"/>
        <v>0.25</v>
      </c>
      <c r="BB12">
        <f t="shared" si="6"/>
        <v>0.46</v>
      </c>
      <c r="BC12">
        <f t="shared" ref="BC12:BC26" si="22">AX12*$I12</f>
        <v>0</v>
      </c>
      <c r="BD12">
        <f t="shared" ref="BD12:BD26" si="23">AY12*$I12</f>
        <v>0</v>
      </c>
      <c r="BE12">
        <f t="shared" ref="BE12:BE26" si="24">SUM(AV12:AW12, AZ12:BA12)*$I12</f>
        <v>0.46</v>
      </c>
      <c r="BF12">
        <f t="shared" ref="BF12:BF26" si="25">BC12*$Z12*AB12*$AA12</f>
        <v>0</v>
      </c>
      <c r="BG12">
        <f t="shared" ref="BG12:BG26" si="26">BD12*$Z12*AG12*$AA12</f>
        <v>0</v>
      </c>
      <c r="BH12">
        <f t="shared" ref="BH12:BH26" si="27">BE12*$Z12*AH12*$AA12</f>
        <v>0</v>
      </c>
      <c r="BI12">
        <f t="shared" ref="BI12:BI26" si="28">(SUM(BF12:BH12)*F12*G12)/1000</f>
        <v>0</v>
      </c>
      <c r="BJ12">
        <f t="shared" si="7"/>
        <v>0.76940204609280005</v>
      </c>
    </row>
    <row r="13" spans="1:63" x14ac:dyDescent="0.2">
      <c r="A13" t="str">
        <f>'Input Scenarios'!A13</f>
        <v>NSW</v>
      </c>
      <c r="B13">
        <f>'Input Scenarios'!B13</f>
        <v>0</v>
      </c>
      <c r="C13" t="str">
        <f>'Input Scenarios'!C13</f>
        <v>Irrigated crop</v>
      </c>
      <c r="D13" t="b">
        <f>'Input Scenarios'!D13</f>
        <v>1</v>
      </c>
      <c r="E13" t="str">
        <f>'Input Scenarios'!E13</f>
        <v>gilts</v>
      </c>
      <c r="F13">
        <f>'Input Scenarios'!F13</f>
        <v>333</v>
      </c>
      <c r="G13">
        <f>'Input Scenarios'!G13</f>
        <v>200</v>
      </c>
      <c r="H13">
        <f>IF('Input Scenarios'!H13&lt;&gt;"", 'Input Scenarios'!H13, _xlfn.XLOOKUP($E13,Constants!$A$3:$A$6, Constants!B$3:B$6))</f>
        <v>2.5</v>
      </c>
      <c r="I13">
        <f>IF('Input Scenarios'!I13&lt;&gt;"", 'Input Scenarios'!I13, _xlfn.XLOOKUP($E13,Constants!$A$3:$A$6, Constants!C$3:C$6))</f>
        <v>0.55000000000000004</v>
      </c>
      <c r="J13">
        <f>IF('Input Scenarios'!J13&lt;&gt;"", 'Input Scenarios'!J13, _xlfn.XLOOKUP($E13,Constants!$A$3:$A$6, Constants!D$3:D$6))</f>
        <v>4.5999999999999999E-2</v>
      </c>
      <c r="K13">
        <f>'Input Scenarios'!K13</f>
        <v>0</v>
      </c>
      <c r="L13">
        <f>'Input Scenarios'!L13</f>
        <v>0</v>
      </c>
      <c r="M13">
        <f>'Input Scenarios'!M13</f>
        <v>0</v>
      </c>
      <c r="N13">
        <f>'Input Scenarios'!N13</f>
        <v>0</v>
      </c>
      <c r="O13">
        <f>'Input Scenarios'!O13</f>
        <v>1</v>
      </c>
      <c r="P13">
        <f>'Input Scenarios'!P13</f>
        <v>0</v>
      </c>
      <c r="Q13" t="b">
        <f>'Input Scenarios'!Q13</f>
        <v>0</v>
      </c>
      <c r="R13">
        <f>IF('Input Scenarios'!$R13&lt;&gt;"", 'Input Scenarios'!$R13, IF($Q13, Constants!$B$19, 0))</f>
        <v>0</v>
      </c>
      <c r="S13">
        <f>IF('Input Scenarios'!$R13&lt;&gt;"", 'Input Scenarios'!$R13, IF($Q13, Constants!$B$20, 0))</f>
        <v>0</v>
      </c>
      <c r="T13">
        <f t="shared" si="8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1</v>
      </c>
      <c r="Y13">
        <f t="shared" si="13"/>
        <v>0</v>
      </c>
      <c r="Z13">
        <f>Constants!$B$21</f>
        <v>0.19</v>
      </c>
      <c r="AA13">
        <f>Constants!$B$22</f>
        <v>0.6784</v>
      </c>
      <c r="AB13">
        <f>_xlfn.XLOOKUP($A13,Constants!$F$9:$M$9,Constants!$F$10:$M$10)</f>
        <v>0.75</v>
      </c>
      <c r="AC13">
        <f>_xlfn.XLOOKUP($A13,Constants!$F$9:$M$9,Constants!$F$12:$M$12)</f>
        <v>0.01</v>
      </c>
      <c r="AD13">
        <f>_xlfn.XLOOKUP($A13,Constants!$F$9:$M$9,Constants!$F$13:$M$13)</f>
        <v>0.1</v>
      </c>
      <c r="AE13">
        <f>_xlfn.XLOOKUP($A13,Constants!$F$9:$M$9,Constants!$F$14:$M$14)</f>
        <v>0.04</v>
      </c>
      <c r="AF13">
        <f>_xlfn.XLOOKUP($A13,Constants!$F$9:$M$9,Constants!$F$15:$M$15)</f>
        <v>0.03</v>
      </c>
      <c r="AG13">
        <f>_xlfn.XLOOKUP($A13,Constants!$F$9:$M$9,Constants!$F$11:$M$11)</f>
        <v>0.02</v>
      </c>
      <c r="AH13">
        <f>_xlfn.XLOOKUP($A13,Constants!$F$9:$M$9,Constants!$F$16:$M$16)</f>
        <v>0</v>
      </c>
      <c r="AI13">
        <f t="shared" si="14"/>
        <v>0</v>
      </c>
      <c r="AJ13">
        <f t="shared" si="15"/>
        <v>0</v>
      </c>
      <c r="AK13">
        <f t="shared" si="16"/>
        <v>0</v>
      </c>
      <c r="AL13">
        <f t="shared" si="17"/>
        <v>0</v>
      </c>
      <c r="AM13">
        <f>$I13*X13*AF13*$Z13*$AA13</f>
        <v>2.1267840000000001E-3</v>
      </c>
      <c r="AN13">
        <f t="shared" si="19"/>
        <v>0</v>
      </c>
      <c r="AO13">
        <f t="shared" si="20"/>
        <v>0.14164381439999998</v>
      </c>
      <c r="AP13">
        <f>Constants!$E$10</f>
        <v>0</v>
      </c>
      <c r="AQ13">
        <f>Constants!$E$12</f>
        <v>0</v>
      </c>
      <c r="AR13">
        <f>Constants!$E$13</f>
        <v>0.75</v>
      </c>
      <c r="AS13">
        <f>Constants!$E$14</f>
        <v>0.05</v>
      </c>
      <c r="AT13">
        <f>Constants!$E$15</f>
        <v>0</v>
      </c>
      <c r="AU13">
        <f>Constants!$E$11</f>
        <v>0</v>
      </c>
      <c r="AV13">
        <f t="shared" si="1"/>
        <v>0</v>
      </c>
      <c r="AW13">
        <f t="shared" si="21"/>
        <v>0</v>
      </c>
      <c r="AX13">
        <f t="shared" si="2"/>
        <v>0</v>
      </c>
      <c r="AY13">
        <f t="shared" si="3"/>
        <v>0</v>
      </c>
      <c r="AZ13">
        <f t="shared" si="4"/>
        <v>1</v>
      </c>
      <c r="BA13">
        <f t="shared" si="5"/>
        <v>0</v>
      </c>
      <c r="BB13">
        <f t="shared" si="6"/>
        <v>0.55000000000000004</v>
      </c>
      <c r="BC13">
        <f t="shared" si="22"/>
        <v>0</v>
      </c>
      <c r="BD13">
        <f t="shared" si="23"/>
        <v>0</v>
      </c>
      <c r="BE13">
        <f t="shared" si="24"/>
        <v>0.55000000000000004</v>
      </c>
      <c r="BF13">
        <f t="shared" si="25"/>
        <v>0</v>
      </c>
      <c r="BG13">
        <f t="shared" si="26"/>
        <v>0</v>
      </c>
      <c r="BH13">
        <f t="shared" si="27"/>
        <v>0</v>
      </c>
      <c r="BI13">
        <f t="shared" si="28"/>
        <v>0</v>
      </c>
      <c r="BJ13">
        <f t="shared" si="7"/>
        <v>0.14164381439999998</v>
      </c>
    </row>
    <row r="14" spans="1:63" s="2" customFormat="1" x14ac:dyDescent="0.2">
      <c r="A14" s="2" t="str">
        <f>'Input Scenarios'!A14</f>
        <v>NSW</v>
      </c>
      <c r="B14" s="2">
        <f>'Input Scenarios'!B14</f>
        <v>0</v>
      </c>
      <c r="C14" s="2" t="str">
        <f>'Input Scenarios'!C14</f>
        <v>Irrigated crop</v>
      </c>
      <c r="D14" s="2" t="b">
        <f>'Input Scenarios'!D14</f>
        <v>1</v>
      </c>
      <c r="E14" s="2" t="str">
        <f>'Input Scenarios'!E14</f>
        <v>others</v>
      </c>
      <c r="F14" s="2">
        <f>'Input Scenarios'!F14</f>
        <v>444</v>
      </c>
      <c r="G14" s="2">
        <f>'Input Scenarios'!G14</f>
        <v>365</v>
      </c>
      <c r="H14">
        <f>IF('Input Scenarios'!H14&lt;&gt;"", 'Input Scenarios'!H14, _xlfn.XLOOKUP($E14,Constants!$A$3:$A$6, Constants!B$3:B$6))</f>
        <v>1.71</v>
      </c>
      <c r="I14">
        <f>IF('Input Scenarios'!I14&lt;&gt;"", 'Input Scenarios'!I14, _xlfn.XLOOKUP($E14,Constants!$A$3:$A$6, Constants!C$3:C$6))</f>
        <v>0.39</v>
      </c>
      <c r="J14">
        <f>IF('Input Scenarios'!J14&lt;&gt;"", 'Input Scenarios'!J14, _xlfn.XLOOKUP($E14,Constants!$A$3:$A$6, Constants!D$3:D$6))</f>
        <v>3.1232876712328769E-2</v>
      </c>
      <c r="K14" s="2">
        <f>'Input Scenarios'!K14</f>
        <v>0</v>
      </c>
      <c r="L14" s="2">
        <f>'Input Scenarios'!L14</f>
        <v>0</v>
      </c>
      <c r="M14" s="2">
        <f>'Input Scenarios'!M14</f>
        <v>0</v>
      </c>
      <c r="N14" s="2">
        <f>'Input Scenarios'!N14</f>
        <v>0</v>
      </c>
      <c r="O14" s="2">
        <f>'Input Scenarios'!O14</f>
        <v>1</v>
      </c>
      <c r="P14" s="2">
        <f>'Input Scenarios'!P14</f>
        <v>0</v>
      </c>
      <c r="Q14" s="2" t="b">
        <f>'Input Scenarios'!Q14</f>
        <v>0</v>
      </c>
      <c r="R14" s="2">
        <f>IF('Input Scenarios'!$R14&lt;&gt;"", 'Input Scenarios'!$R14, IF($Q14, Constants!$B$19, 0))</f>
        <v>0</v>
      </c>
      <c r="S14" s="2">
        <f>IF('Input Scenarios'!$R14&lt;&gt;"", 'Input Scenarios'!$R14, IF($Q14, Constants!$B$20, 0))</f>
        <v>0</v>
      </c>
      <c r="T14">
        <f t="shared" si="8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1</v>
      </c>
      <c r="Y14">
        <f t="shared" si="13"/>
        <v>0</v>
      </c>
      <c r="Z14" s="2">
        <f>Constants!$B$21</f>
        <v>0.19</v>
      </c>
      <c r="AA14" s="2">
        <f>Constants!$B$22</f>
        <v>0.6784</v>
      </c>
      <c r="AB14" s="2">
        <f>_xlfn.XLOOKUP($A14,Constants!$F$9:$M$9,Constants!$F$10:$M$10)</f>
        <v>0.75</v>
      </c>
      <c r="AC14" s="2">
        <f>_xlfn.XLOOKUP($A14,Constants!$F$9:$M$9,Constants!$F$12:$M$12)</f>
        <v>0.01</v>
      </c>
      <c r="AD14" s="2">
        <f>_xlfn.XLOOKUP($A14,Constants!$F$9:$M$9,Constants!$F$13:$M$13)</f>
        <v>0.1</v>
      </c>
      <c r="AE14" s="2">
        <f>_xlfn.XLOOKUP($A14,Constants!$F$9:$M$9,Constants!$F$14:$M$14)</f>
        <v>0.04</v>
      </c>
      <c r="AF14" s="2">
        <f>_xlfn.XLOOKUP($A14,Constants!$F$9:$M$9,Constants!$F$15:$M$15)</f>
        <v>0.03</v>
      </c>
      <c r="AG14" s="2">
        <f>_xlfn.XLOOKUP($A14,Constants!$F$9:$M$9,Constants!$F$11:$M$11)</f>
        <v>0.02</v>
      </c>
      <c r="AH14" s="2">
        <f>_xlfn.XLOOKUP($A14,Constants!$F$9:$M$9,Constants!$F$16:$M$16)</f>
        <v>0</v>
      </c>
      <c r="AI14">
        <f t="shared" si="14"/>
        <v>0</v>
      </c>
      <c r="AJ14">
        <f t="shared" si="15"/>
        <v>0</v>
      </c>
      <c r="AK14">
        <f t="shared" si="16"/>
        <v>0</v>
      </c>
      <c r="AL14">
        <f t="shared" si="17"/>
        <v>0</v>
      </c>
      <c r="AM14">
        <f t="shared" si="18"/>
        <v>1.5080832000000002E-3</v>
      </c>
      <c r="AN14">
        <f t="shared" si="19"/>
        <v>0</v>
      </c>
      <c r="AO14">
        <f t="shared" si="20"/>
        <v>0.24439996339200001</v>
      </c>
      <c r="AP14" s="2">
        <f>Constants!$E$10</f>
        <v>0</v>
      </c>
      <c r="AQ14" s="2">
        <f>Constants!$E$12</f>
        <v>0</v>
      </c>
      <c r="AR14" s="2">
        <f>Constants!$E$13</f>
        <v>0.75</v>
      </c>
      <c r="AS14" s="2">
        <f>Constants!$E$14</f>
        <v>0.05</v>
      </c>
      <c r="AT14" s="2">
        <f>Constants!$E$15</f>
        <v>0</v>
      </c>
      <c r="AU14" s="2">
        <f>Constants!$E$11</f>
        <v>0</v>
      </c>
      <c r="AV14">
        <f t="shared" si="1"/>
        <v>0</v>
      </c>
      <c r="AW14">
        <f t="shared" si="21"/>
        <v>0</v>
      </c>
      <c r="AX14">
        <f t="shared" si="2"/>
        <v>0</v>
      </c>
      <c r="AY14">
        <f t="shared" si="3"/>
        <v>0</v>
      </c>
      <c r="AZ14">
        <f t="shared" si="4"/>
        <v>1</v>
      </c>
      <c r="BA14">
        <f t="shared" si="5"/>
        <v>0</v>
      </c>
      <c r="BB14">
        <f t="shared" si="6"/>
        <v>0.39</v>
      </c>
      <c r="BC14">
        <f t="shared" si="22"/>
        <v>0</v>
      </c>
      <c r="BD14">
        <f t="shared" si="23"/>
        <v>0</v>
      </c>
      <c r="BE14">
        <f t="shared" si="24"/>
        <v>0.39</v>
      </c>
      <c r="BF14">
        <f t="shared" si="25"/>
        <v>0</v>
      </c>
      <c r="BG14">
        <f t="shared" si="26"/>
        <v>0</v>
      </c>
      <c r="BH14">
        <f t="shared" si="27"/>
        <v>0</v>
      </c>
      <c r="BI14">
        <f t="shared" si="28"/>
        <v>0</v>
      </c>
      <c r="BJ14">
        <f t="shared" si="7"/>
        <v>0.24439996339200001</v>
      </c>
    </row>
    <row r="15" spans="1:63" x14ac:dyDescent="0.2">
      <c r="A15" t="str">
        <f>'Input Scenarios'!A15</f>
        <v>NT</v>
      </c>
      <c r="B15">
        <f>'Input Scenarios'!B15</f>
        <v>0</v>
      </c>
      <c r="C15" t="str">
        <f>'Input Scenarios'!C15</f>
        <v>Irrigated pasture</v>
      </c>
      <c r="D15" t="b">
        <f>'Input Scenarios'!D15</f>
        <v>1</v>
      </c>
      <c r="E15" t="str">
        <f>'Input Scenarios'!E15</f>
        <v>boars</v>
      </c>
      <c r="F15">
        <f>'Input Scenarios'!F15</f>
        <v>105</v>
      </c>
      <c r="G15">
        <f>'Input Scenarios'!G15</f>
        <v>75</v>
      </c>
      <c r="H15">
        <f>IF('Input Scenarios'!H15&lt;&gt;"", 'Input Scenarios'!H15, _xlfn.XLOOKUP($E15,Constants!$A$3:$A$6, Constants!B$3:B$6))</f>
        <v>2.62</v>
      </c>
      <c r="I15">
        <f>IF('Input Scenarios'!I15&lt;&gt;"", 'Input Scenarios'!I15, _xlfn.XLOOKUP($E15,Constants!$A$3:$A$6, Constants!C$3:C$6))</f>
        <v>0.4</v>
      </c>
      <c r="J15">
        <f>IF('Input Scenarios'!J15&lt;&gt;"", 'Input Scenarios'!J15, _xlfn.XLOOKUP($E15,Constants!$A$3:$A$6, Constants!D$3:D$6))</f>
        <v>4.5999999999999999E-2</v>
      </c>
      <c r="K15">
        <f>'Input Scenarios'!K15</f>
        <v>0.2</v>
      </c>
      <c r="L15">
        <f>'Input Scenarios'!L15</f>
        <v>0.1</v>
      </c>
      <c r="M15">
        <f>'Input Scenarios'!M15</f>
        <v>0.2</v>
      </c>
      <c r="N15">
        <f>'Input Scenarios'!N15</f>
        <v>0.2</v>
      </c>
      <c r="O15">
        <f>'Input Scenarios'!O15</f>
        <v>0.2</v>
      </c>
      <c r="P15">
        <f>'Input Scenarios'!P15</f>
        <v>0.1</v>
      </c>
      <c r="Q15" t="b">
        <f>'Input Scenarios'!Q15</f>
        <v>1</v>
      </c>
      <c r="R15">
        <f>IF('Input Scenarios'!$R15&lt;&gt;"", 'Input Scenarios'!$R15, IF($Q15, Constants!$B$19, 0))</f>
        <v>0.25</v>
      </c>
      <c r="S15">
        <f>IF('Input Scenarios'!$R15&lt;&gt;"", 'Input Scenarios'!$R15, IF($Q15, Constants!$B$20, 0))</f>
        <v>0.25</v>
      </c>
      <c r="T15">
        <f t="shared" si="8"/>
        <v>0.15000000000000002</v>
      </c>
      <c r="U15">
        <f t="shared" si="9"/>
        <v>0.1</v>
      </c>
      <c r="V15">
        <f t="shared" si="10"/>
        <v>0.15000000000000002</v>
      </c>
      <c r="W15">
        <f t="shared" si="11"/>
        <v>0.2</v>
      </c>
      <c r="X15">
        <f t="shared" si="12"/>
        <v>0.15000000000000002</v>
      </c>
      <c r="Y15">
        <f t="shared" si="13"/>
        <v>0.25</v>
      </c>
      <c r="Z15">
        <f>Constants!$B$21</f>
        <v>0.19</v>
      </c>
      <c r="AA15">
        <f>Constants!$B$22</f>
        <v>0.6784</v>
      </c>
      <c r="AB15">
        <f>_xlfn.XLOOKUP($A15,Constants!$F$9:$M$9,Constants!$F$10:$M$10)</f>
        <v>0.78</v>
      </c>
      <c r="AC15">
        <f>_xlfn.XLOOKUP($A15,Constants!$F$9:$M$9,Constants!$F$12:$M$12)</f>
        <v>0.03</v>
      </c>
      <c r="AD15">
        <f>_xlfn.XLOOKUP($A15,Constants!$F$9:$M$9,Constants!$F$13:$M$13)</f>
        <v>0.1</v>
      </c>
      <c r="AE15">
        <f>_xlfn.XLOOKUP($A15,Constants!$F$9:$M$9,Constants!$F$14:$M$14)</f>
        <v>0.04</v>
      </c>
      <c r="AF15">
        <f>_xlfn.XLOOKUP($A15,Constants!$F$9:$M$9,Constants!$F$15:$M$15)</f>
        <v>0.03</v>
      </c>
      <c r="AG15">
        <f>_xlfn.XLOOKUP($A15,Constants!$F$9:$M$9,Constants!$F$11:$M$11)</f>
        <v>0.02</v>
      </c>
      <c r="AH15">
        <f>_xlfn.XLOOKUP($A15,Constants!$F$9:$M$9,Constants!$F$16:$M$16)</f>
        <v>0</v>
      </c>
      <c r="AI15">
        <f t="shared" si="14"/>
        <v>6.0323328000000016E-3</v>
      </c>
      <c r="AJ15">
        <f t="shared" si="15"/>
        <v>1.5467520000000002E-4</v>
      </c>
      <c r="AK15">
        <f t="shared" si="16"/>
        <v>7.7337600000000031E-4</v>
      </c>
      <c r="AL15">
        <f>$I15*W15*AE15*$Z15*$AA15</f>
        <v>4.1246720000000009E-4</v>
      </c>
      <c r="AM15">
        <f t="shared" si="18"/>
        <v>2.3201280000000006E-4</v>
      </c>
      <c r="AN15">
        <f t="shared" si="19"/>
        <v>2.5779200000000001E-4</v>
      </c>
      <c r="AO15">
        <f>(SUM(AI15:AN15)*F15*G15)/1000</f>
        <v>6.1918416000000018E-2</v>
      </c>
      <c r="AP15">
        <f>Constants!$E$10</f>
        <v>0</v>
      </c>
      <c r="AQ15">
        <f>Constants!$E$12</f>
        <v>0</v>
      </c>
      <c r="AR15">
        <f>Constants!$E$13</f>
        <v>0.75</v>
      </c>
      <c r="AS15">
        <f>Constants!$E$14</f>
        <v>0.05</v>
      </c>
      <c r="AT15">
        <f>Constants!$E$15</f>
        <v>0</v>
      </c>
      <c r="AU15">
        <f>Constants!$E$11</f>
        <v>0</v>
      </c>
      <c r="AV15">
        <f>(T15*(1-AP15))</f>
        <v>0.15000000000000002</v>
      </c>
      <c r="AW15">
        <f t="shared" ref="AW15:BA15" si="29">(U15*(1-AQ15))</f>
        <v>0.1</v>
      </c>
      <c r="AX15">
        <f t="shared" si="29"/>
        <v>3.7500000000000006E-2</v>
      </c>
      <c r="AY15">
        <f t="shared" si="29"/>
        <v>0.19</v>
      </c>
      <c r="AZ15">
        <f t="shared" si="29"/>
        <v>0.15000000000000002</v>
      </c>
      <c r="BA15">
        <f t="shared" si="29"/>
        <v>0.25</v>
      </c>
      <c r="BB15">
        <f>SUM(AV15:BA15)*I15</f>
        <v>0.35099999999999998</v>
      </c>
      <c r="BC15">
        <f>AX15*$I15</f>
        <v>1.5000000000000003E-2</v>
      </c>
      <c r="BD15">
        <f t="shared" si="23"/>
        <v>7.6000000000000012E-2</v>
      </c>
      <c r="BE15">
        <f t="shared" si="24"/>
        <v>0.26</v>
      </c>
      <c r="BF15">
        <f t="shared" si="25"/>
        <v>1.5080832000000004E-3</v>
      </c>
      <c r="BG15">
        <f t="shared" si="26"/>
        <v>1.9592192000000006E-4</v>
      </c>
      <c r="BH15">
        <f t="shared" si="27"/>
        <v>0</v>
      </c>
      <c r="BI15">
        <f t="shared" si="28"/>
        <v>1.3419040320000006E-2</v>
      </c>
      <c r="BJ15">
        <f>SUM(AI15:AN15, BF15:BH15)*F15*G15/1000</f>
        <v>7.533745632000001E-2</v>
      </c>
      <c r="BK15">
        <f t="shared" ref="BK15:BK23" si="30">SUM(BJ15:BJ18)</f>
        <v>2.5745176573171205</v>
      </c>
    </row>
    <row r="16" spans="1:63" x14ac:dyDescent="0.2">
      <c r="A16" t="str">
        <f>'Input Scenarios'!A16</f>
        <v>NT</v>
      </c>
      <c r="B16">
        <f>'Input Scenarios'!B16</f>
        <v>0</v>
      </c>
      <c r="C16" t="str">
        <f>'Input Scenarios'!C16</f>
        <v>Irrigated pasture</v>
      </c>
      <c r="D16" t="b">
        <f>'Input Scenarios'!D16</f>
        <v>1</v>
      </c>
      <c r="E16" t="str">
        <f>'Input Scenarios'!E16</f>
        <v>sows</v>
      </c>
      <c r="F16">
        <f>'Input Scenarios'!F16</f>
        <v>245</v>
      </c>
      <c r="G16">
        <f>'Input Scenarios'!G16</f>
        <v>290</v>
      </c>
      <c r="H16">
        <f>IF('Input Scenarios'!H16&lt;&gt;"", 'Input Scenarios'!H16, _xlfn.XLOOKUP($E16,Constants!$A$3:$A$6, Constants!B$3:B$6))</f>
        <v>2.2999999999999998</v>
      </c>
      <c r="I16">
        <f>IF('Input Scenarios'!I16&lt;&gt;"", 'Input Scenarios'!I16, _xlfn.XLOOKUP($E16,Constants!$A$3:$A$6, Constants!C$3:C$6))</f>
        <v>0.46</v>
      </c>
      <c r="J16">
        <f>IF('Input Scenarios'!J16&lt;&gt;"", 'Input Scenarios'!J16, _xlfn.XLOOKUP($E16,Constants!$A$3:$A$6, Constants!D$3:D$6))</f>
        <v>4.9000000000000002E-2</v>
      </c>
      <c r="K16">
        <f>'Input Scenarios'!K16</f>
        <v>0.2</v>
      </c>
      <c r="L16">
        <f>'Input Scenarios'!L16</f>
        <v>0.1</v>
      </c>
      <c r="M16">
        <f>'Input Scenarios'!M16</f>
        <v>0.2</v>
      </c>
      <c r="N16">
        <f>'Input Scenarios'!N16</f>
        <v>0.2</v>
      </c>
      <c r="O16">
        <f>'Input Scenarios'!O16</f>
        <v>0.2</v>
      </c>
      <c r="P16">
        <f>'Input Scenarios'!P16</f>
        <v>0.1</v>
      </c>
      <c r="Q16" t="b">
        <f>'Input Scenarios'!Q16</f>
        <v>1</v>
      </c>
      <c r="R16">
        <f>IF('Input Scenarios'!$R16&lt;&gt;"", 'Input Scenarios'!$R16, IF($Q16, Constants!$B$19, 0))</f>
        <v>0.25</v>
      </c>
      <c r="S16">
        <f>IF('Input Scenarios'!$R16&lt;&gt;"", 'Input Scenarios'!$R16, IF($Q16, Constants!$B$20, 0))</f>
        <v>0.25</v>
      </c>
      <c r="T16">
        <f t="shared" si="8"/>
        <v>0.15000000000000002</v>
      </c>
      <c r="U16">
        <f t="shared" si="9"/>
        <v>0.1</v>
      </c>
      <c r="V16">
        <f t="shared" si="10"/>
        <v>0.15000000000000002</v>
      </c>
      <c r="W16">
        <f t="shared" si="11"/>
        <v>0.2</v>
      </c>
      <c r="X16">
        <f t="shared" si="12"/>
        <v>0.15000000000000002</v>
      </c>
      <c r="Y16">
        <f t="shared" si="13"/>
        <v>0.25</v>
      </c>
      <c r="Z16">
        <f>Constants!$B$21</f>
        <v>0.19</v>
      </c>
      <c r="AA16">
        <f>Constants!$B$22</f>
        <v>0.6784</v>
      </c>
      <c r="AB16">
        <f>_xlfn.XLOOKUP($A16,Constants!$F$9:$M$9,Constants!$F$10:$M$10)</f>
        <v>0.78</v>
      </c>
      <c r="AC16">
        <f>_xlfn.XLOOKUP($A16,Constants!$F$9:$M$9,Constants!$F$12:$M$12)</f>
        <v>0.03</v>
      </c>
      <c r="AD16">
        <f>_xlfn.XLOOKUP($A16,Constants!$F$9:$M$9,Constants!$F$13:$M$13)</f>
        <v>0.1</v>
      </c>
      <c r="AE16">
        <f>_xlfn.XLOOKUP($A16,Constants!$F$9:$M$9,Constants!$F$14:$M$14)</f>
        <v>0.04</v>
      </c>
      <c r="AF16">
        <f>_xlfn.XLOOKUP($A16,Constants!$F$9:$M$9,Constants!$F$15:$M$15)</f>
        <v>0.03</v>
      </c>
      <c r="AG16">
        <f>_xlfn.XLOOKUP($A16,Constants!$F$9:$M$9,Constants!$F$11:$M$11)</f>
        <v>0.02</v>
      </c>
      <c r="AH16">
        <f>_xlfn.XLOOKUP($A16,Constants!$F$9:$M$9,Constants!$F$16:$M$16)</f>
        <v>0</v>
      </c>
      <c r="AI16">
        <f t="shared" si="14"/>
        <v>6.9371827200000024E-3</v>
      </c>
      <c r="AJ16">
        <f t="shared" si="15"/>
        <v>1.7787648000000002E-4</v>
      </c>
      <c r="AK16">
        <f t="shared" si="16"/>
        <v>8.8938240000000033E-4</v>
      </c>
      <c r="AL16">
        <f t="shared" si="17"/>
        <v>4.7433728000000004E-4</v>
      </c>
      <c r="AM16">
        <f t="shared" si="18"/>
        <v>2.6681472000000009E-4</v>
      </c>
      <c r="AN16">
        <f t="shared" si="19"/>
        <v>2.9646080000000002E-4</v>
      </c>
      <c r="AO16">
        <f t="shared" si="20"/>
        <v>0.64243796512000018</v>
      </c>
      <c r="AP16">
        <f>Constants!$E$10</f>
        <v>0</v>
      </c>
      <c r="AQ16">
        <f>Constants!$E$12</f>
        <v>0</v>
      </c>
      <c r="AR16">
        <f>Constants!$E$13</f>
        <v>0.75</v>
      </c>
      <c r="AS16">
        <f>Constants!$E$14</f>
        <v>0.05</v>
      </c>
      <c r="AT16">
        <f>Constants!$E$15</f>
        <v>0</v>
      </c>
      <c r="AU16">
        <f>Constants!$E$11</f>
        <v>0</v>
      </c>
      <c r="AV16">
        <f t="shared" ref="AV16:AV26" si="31">(T16*(1-AP16))</f>
        <v>0.15000000000000002</v>
      </c>
      <c r="AW16">
        <f t="shared" ref="AW16:AW26" si="32">(U16*(1-AQ16))</f>
        <v>0.1</v>
      </c>
      <c r="AX16">
        <f t="shared" ref="AX16:AX26" si="33">(V16*(1-AR16))</f>
        <v>3.7500000000000006E-2</v>
      </c>
      <c r="AY16">
        <f t="shared" ref="AY16:AY26" si="34">(W16*(1-AS16))</f>
        <v>0.19</v>
      </c>
      <c r="AZ16">
        <f t="shared" ref="AZ16:AZ26" si="35">(X16*(1-AT16))</f>
        <v>0.15000000000000002</v>
      </c>
      <c r="BA16">
        <f t="shared" ref="BA16:BA26" si="36">(Y16*(1-AU16))</f>
        <v>0.25</v>
      </c>
      <c r="BB16">
        <f t="shared" ref="BB16:BB26" si="37">SUM(AV16:BA16)*I16</f>
        <v>0.40365000000000001</v>
      </c>
      <c r="BC16">
        <f t="shared" si="22"/>
        <v>1.7250000000000005E-2</v>
      </c>
      <c r="BD16">
        <f t="shared" si="23"/>
        <v>8.7400000000000005E-2</v>
      </c>
      <c r="BE16">
        <f t="shared" si="24"/>
        <v>0.29900000000000004</v>
      </c>
      <c r="BF16">
        <f t="shared" si="25"/>
        <v>1.7342956800000006E-3</v>
      </c>
      <c r="BG16">
        <f t="shared" si="26"/>
        <v>2.2531020800000003E-4</v>
      </c>
      <c r="BH16">
        <f t="shared" si="27"/>
        <v>0</v>
      </c>
      <c r="BI16">
        <f t="shared" si="28"/>
        <v>0.13922999834240002</v>
      </c>
      <c r="BJ16">
        <f t="shared" ref="BJ16:BJ26" si="38">SUM(AI16:AN16, BF16:BH16)*F16*G16/1000</f>
        <v>0.78166796346240031</v>
      </c>
    </row>
    <row r="17" spans="1:63" x14ac:dyDescent="0.2">
      <c r="A17" t="str">
        <f>'Input Scenarios'!A17</f>
        <v>NT</v>
      </c>
      <c r="B17">
        <f>'Input Scenarios'!B17</f>
        <v>0</v>
      </c>
      <c r="C17" t="str">
        <f>'Input Scenarios'!C17</f>
        <v>Irrigated pasture</v>
      </c>
      <c r="D17" t="b">
        <f>'Input Scenarios'!D17</f>
        <v>1</v>
      </c>
      <c r="E17" t="str">
        <f>'Input Scenarios'!E17</f>
        <v>gilts</v>
      </c>
      <c r="F17">
        <f>'Input Scenarios'!F17</f>
        <v>434</v>
      </c>
      <c r="G17">
        <f>'Input Scenarios'!G17</f>
        <v>280</v>
      </c>
      <c r="H17">
        <f>IF('Input Scenarios'!H17&lt;&gt;"", 'Input Scenarios'!H17, _xlfn.XLOOKUP($E17,Constants!$A$3:$A$6, Constants!B$3:B$6))</f>
        <v>2.5</v>
      </c>
      <c r="I17">
        <f>IF('Input Scenarios'!I17&lt;&gt;"", 'Input Scenarios'!I17, _xlfn.XLOOKUP($E17,Constants!$A$3:$A$6, Constants!C$3:C$6))</f>
        <v>0.55000000000000004</v>
      </c>
      <c r="J17">
        <f>IF('Input Scenarios'!J17&lt;&gt;"", 'Input Scenarios'!J17, _xlfn.XLOOKUP($E17,Constants!$A$3:$A$6, Constants!D$3:D$6))</f>
        <v>4.5999999999999999E-2</v>
      </c>
      <c r="K17">
        <f>'Input Scenarios'!K17</f>
        <v>0.2</v>
      </c>
      <c r="L17">
        <f>'Input Scenarios'!L17</f>
        <v>0.1</v>
      </c>
      <c r="M17">
        <f>'Input Scenarios'!M17</f>
        <v>0.2</v>
      </c>
      <c r="N17">
        <f>'Input Scenarios'!N17</f>
        <v>0.2</v>
      </c>
      <c r="O17">
        <f>'Input Scenarios'!O17</f>
        <v>0.2</v>
      </c>
      <c r="P17">
        <f>'Input Scenarios'!P17</f>
        <v>0.1</v>
      </c>
      <c r="Q17" t="b">
        <f>'Input Scenarios'!Q17</f>
        <v>1</v>
      </c>
      <c r="R17">
        <f>IF('Input Scenarios'!$R17&lt;&gt;"", 'Input Scenarios'!$R17, IF($Q17, Constants!$B$19, 0))</f>
        <v>0.25</v>
      </c>
      <c r="S17">
        <f>IF('Input Scenarios'!$R17&lt;&gt;"", 'Input Scenarios'!$R17, IF($Q17, Constants!$B$20, 0))</f>
        <v>0.25</v>
      </c>
      <c r="T17">
        <f t="shared" si="8"/>
        <v>0.15000000000000002</v>
      </c>
      <c r="U17">
        <f t="shared" si="9"/>
        <v>0.1</v>
      </c>
      <c r="V17">
        <f t="shared" si="10"/>
        <v>0.15000000000000002</v>
      </c>
      <c r="W17">
        <f t="shared" si="11"/>
        <v>0.2</v>
      </c>
      <c r="X17">
        <f t="shared" si="12"/>
        <v>0.15000000000000002</v>
      </c>
      <c r="Y17">
        <f t="shared" si="13"/>
        <v>0.25</v>
      </c>
      <c r="Z17">
        <f>Constants!$B$21</f>
        <v>0.19</v>
      </c>
      <c r="AA17">
        <f>Constants!$B$22</f>
        <v>0.6784</v>
      </c>
      <c r="AB17">
        <f>_xlfn.XLOOKUP($A17,Constants!$F$9:$M$9,Constants!$F$10:$M$10)</f>
        <v>0.78</v>
      </c>
      <c r="AC17">
        <f>_xlfn.XLOOKUP($A17,Constants!$F$9:$M$9,Constants!$F$12:$M$12)</f>
        <v>0.03</v>
      </c>
      <c r="AD17">
        <f>_xlfn.XLOOKUP($A17,Constants!$F$9:$M$9,Constants!$F$13:$M$13)</f>
        <v>0.1</v>
      </c>
      <c r="AE17">
        <f>_xlfn.XLOOKUP($A17,Constants!$F$9:$M$9,Constants!$F$14:$M$14)</f>
        <v>0.04</v>
      </c>
      <c r="AF17">
        <f>_xlfn.XLOOKUP($A17,Constants!$F$9:$M$9,Constants!$F$15:$M$15)</f>
        <v>0.03</v>
      </c>
      <c r="AG17">
        <f>_xlfn.XLOOKUP($A17,Constants!$F$9:$M$9,Constants!$F$11:$M$11)</f>
        <v>0.02</v>
      </c>
      <c r="AH17">
        <f>_xlfn.XLOOKUP($A17,Constants!$F$9:$M$9,Constants!$F$16:$M$16)</f>
        <v>0</v>
      </c>
      <c r="AI17">
        <f t="shared" si="14"/>
        <v>8.2944576000000027E-3</v>
      </c>
      <c r="AJ17">
        <f t="shared" si="15"/>
        <v>2.1267840000000003E-4</v>
      </c>
      <c r="AK17">
        <f t="shared" si="16"/>
        <v>1.0633920000000002E-3</v>
      </c>
      <c r="AL17">
        <f t="shared" si="17"/>
        <v>5.671424E-4</v>
      </c>
      <c r="AM17">
        <f t="shared" si="18"/>
        <v>3.1901760000000009E-4</v>
      </c>
      <c r="AN17">
        <f t="shared" si="19"/>
        <v>3.5446400000000003E-4</v>
      </c>
      <c r="AO17">
        <f t="shared" si="20"/>
        <v>1.3137711910400003</v>
      </c>
      <c r="AP17">
        <f>Constants!$E$10</f>
        <v>0</v>
      </c>
      <c r="AQ17">
        <f>Constants!$E$12</f>
        <v>0</v>
      </c>
      <c r="AR17">
        <f>Constants!$E$13</f>
        <v>0.75</v>
      </c>
      <c r="AS17">
        <f>Constants!$E$14</f>
        <v>0.05</v>
      </c>
      <c r="AT17">
        <f>Constants!$E$15</f>
        <v>0</v>
      </c>
      <c r="AU17">
        <f>Constants!$E$11</f>
        <v>0</v>
      </c>
      <c r="AV17">
        <f t="shared" si="31"/>
        <v>0.15000000000000002</v>
      </c>
      <c r="AW17">
        <f t="shared" si="32"/>
        <v>0.1</v>
      </c>
      <c r="AX17">
        <f t="shared" si="33"/>
        <v>3.7500000000000006E-2</v>
      </c>
      <c r="AY17">
        <f t="shared" si="34"/>
        <v>0.19</v>
      </c>
      <c r="AZ17">
        <f t="shared" si="35"/>
        <v>0.15000000000000002</v>
      </c>
      <c r="BA17">
        <f t="shared" si="36"/>
        <v>0.25</v>
      </c>
      <c r="BB17">
        <f t="shared" si="37"/>
        <v>0.48262500000000003</v>
      </c>
      <c r="BC17">
        <f t="shared" si="22"/>
        <v>2.0625000000000004E-2</v>
      </c>
      <c r="BD17">
        <f t="shared" si="23"/>
        <v>0.10450000000000001</v>
      </c>
      <c r="BE17">
        <f t="shared" si="24"/>
        <v>0.35750000000000004</v>
      </c>
      <c r="BF17">
        <f t="shared" si="25"/>
        <v>2.0736144000000007E-3</v>
      </c>
      <c r="BG17">
        <f t="shared" si="26"/>
        <v>2.6939264000000002E-4</v>
      </c>
      <c r="BH17">
        <f t="shared" si="27"/>
        <v>0</v>
      </c>
      <c r="BI17">
        <f t="shared" si="28"/>
        <v>0.28472221550080007</v>
      </c>
      <c r="BJ17">
        <f t="shared" si="38"/>
        <v>1.5984934065408003</v>
      </c>
    </row>
    <row r="18" spans="1:63" s="2" customFormat="1" x14ac:dyDescent="0.2">
      <c r="A18" s="2" t="str">
        <f>'Input Scenarios'!A18</f>
        <v>NT</v>
      </c>
      <c r="B18" s="2">
        <f>'Input Scenarios'!B18</f>
        <v>0</v>
      </c>
      <c r="C18" s="2" t="str">
        <f>'Input Scenarios'!C18</f>
        <v>Irrigated pasture</v>
      </c>
      <c r="D18" s="2" t="b">
        <f>'Input Scenarios'!D18</f>
        <v>1</v>
      </c>
      <c r="E18" s="2" t="str">
        <f>'Input Scenarios'!E18</f>
        <v>others</v>
      </c>
      <c r="F18" s="2">
        <f>'Input Scenarios'!F18</f>
        <v>44</v>
      </c>
      <c r="G18" s="2">
        <f>'Input Scenarios'!G18</f>
        <v>290</v>
      </c>
      <c r="H18">
        <f>IF('Input Scenarios'!H18&lt;&gt;"", 'Input Scenarios'!H18, _xlfn.XLOOKUP($E18,Constants!$A$3:$A$6, Constants!B$3:B$6))</f>
        <v>1.71</v>
      </c>
      <c r="I18">
        <f>IF('Input Scenarios'!I18&lt;&gt;"", 'Input Scenarios'!I18, _xlfn.XLOOKUP($E18,Constants!$A$3:$A$6, Constants!C$3:C$6))</f>
        <v>0.39</v>
      </c>
      <c r="J18">
        <f>IF('Input Scenarios'!J18&lt;&gt;"", 'Input Scenarios'!J18, _xlfn.XLOOKUP($E18,Constants!$A$3:$A$6, Constants!D$3:D$6))</f>
        <v>3.1232876712328769E-2</v>
      </c>
      <c r="K18" s="2">
        <f>'Input Scenarios'!K18</f>
        <v>0.2</v>
      </c>
      <c r="L18" s="2">
        <f>'Input Scenarios'!L18</f>
        <v>0.1</v>
      </c>
      <c r="M18" s="2">
        <f>'Input Scenarios'!M18</f>
        <v>0.2</v>
      </c>
      <c r="N18" s="2">
        <f>'Input Scenarios'!N18</f>
        <v>0.2</v>
      </c>
      <c r="O18" s="2">
        <f>'Input Scenarios'!O18</f>
        <v>0.2</v>
      </c>
      <c r="P18" s="2">
        <f>'Input Scenarios'!P18</f>
        <v>0.1</v>
      </c>
      <c r="Q18" s="2" t="b">
        <f>'Input Scenarios'!Q18</f>
        <v>1</v>
      </c>
      <c r="R18" s="2">
        <f>IF('Input Scenarios'!$R18&lt;&gt;"", 'Input Scenarios'!$R18, IF($Q18, Constants!$B$19, 0))</f>
        <v>0.25</v>
      </c>
      <c r="S18" s="2">
        <f>IF('Input Scenarios'!$R18&lt;&gt;"", 'Input Scenarios'!$R18, IF($Q18, Constants!$B$20, 0))</f>
        <v>0.25</v>
      </c>
      <c r="T18">
        <f t="shared" si="8"/>
        <v>0.15000000000000002</v>
      </c>
      <c r="U18">
        <f t="shared" si="9"/>
        <v>0.1</v>
      </c>
      <c r="V18">
        <f t="shared" si="10"/>
        <v>0.15000000000000002</v>
      </c>
      <c r="W18">
        <f t="shared" si="11"/>
        <v>0.2</v>
      </c>
      <c r="X18">
        <f t="shared" si="12"/>
        <v>0.15000000000000002</v>
      </c>
      <c r="Y18">
        <f t="shared" si="13"/>
        <v>0.25</v>
      </c>
      <c r="Z18" s="2">
        <f>Constants!$B$21</f>
        <v>0.19</v>
      </c>
      <c r="AA18" s="2">
        <f>Constants!$B$22</f>
        <v>0.6784</v>
      </c>
      <c r="AB18" s="2">
        <f>_xlfn.XLOOKUP($A18,Constants!$F$9:$M$9,Constants!$F$10:$M$10)</f>
        <v>0.78</v>
      </c>
      <c r="AC18" s="2">
        <f>_xlfn.XLOOKUP($A18,Constants!$F$9:$M$9,Constants!$F$12:$M$12)</f>
        <v>0.03</v>
      </c>
      <c r="AD18" s="2">
        <f>_xlfn.XLOOKUP($A18,Constants!$F$9:$M$9,Constants!$F$13:$M$13)</f>
        <v>0.1</v>
      </c>
      <c r="AE18" s="2">
        <f>_xlfn.XLOOKUP($A18,Constants!$F$9:$M$9,Constants!$F$14:$M$14)</f>
        <v>0.04</v>
      </c>
      <c r="AF18" s="2">
        <f>_xlfn.XLOOKUP($A18,Constants!$F$9:$M$9,Constants!$F$15:$M$15)</f>
        <v>0.03</v>
      </c>
      <c r="AG18" s="2">
        <f>_xlfn.XLOOKUP($A18,Constants!$F$9:$M$9,Constants!$F$11:$M$11)</f>
        <v>0.02</v>
      </c>
      <c r="AH18" s="2">
        <f>_xlfn.XLOOKUP($A18,Constants!$F$9:$M$9,Constants!$F$16:$M$16)</f>
        <v>0</v>
      </c>
      <c r="AI18">
        <f t="shared" si="14"/>
        <v>5.8815244800000015E-3</v>
      </c>
      <c r="AJ18">
        <f t="shared" si="15"/>
        <v>1.5080832000000002E-4</v>
      </c>
      <c r="AK18">
        <f t="shared" si="16"/>
        <v>7.540416000000002E-4</v>
      </c>
      <c r="AL18">
        <f t="shared" si="17"/>
        <v>4.0215552000000016E-4</v>
      </c>
      <c r="AM18">
        <f t="shared" si="18"/>
        <v>2.2621248000000003E-4</v>
      </c>
      <c r="AN18">
        <f t="shared" si="19"/>
        <v>2.5134720000000003E-4</v>
      </c>
      <c r="AO18">
        <f t="shared" si="20"/>
        <v>9.7819303296000013E-2</v>
      </c>
      <c r="AP18" s="2">
        <f>Constants!$E$10</f>
        <v>0</v>
      </c>
      <c r="AQ18" s="2">
        <f>Constants!$E$12</f>
        <v>0</v>
      </c>
      <c r="AR18" s="2">
        <f>Constants!$E$13</f>
        <v>0.75</v>
      </c>
      <c r="AS18" s="2">
        <f>Constants!$E$14</f>
        <v>0.05</v>
      </c>
      <c r="AT18" s="2">
        <f>Constants!$E$15</f>
        <v>0</v>
      </c>
      <c r="AU18" s="2">
        <f>Constants!$E$11</f>
        <v>0</v>
      </c>
      <c r="AV18">
        <f t="shared" si="31"/>
        <v>0.15000000000000002</v>
      </c>
      <c r="AW18">
        <f t="shared" si="32"/>
        <v>0.1</v>
      </c>
      <c r="AX18">
        <f t="shared" si="33"/>
        <v>3.7500000000000006E-2</v>
      </c>
      <c r="AY18">
        <f t="shared" si="34"/>
        <v>0.19</v>
      </c>
      <c r="AZ18">
        <f t="shared" si="35"/>
        <v>0.15000000000000002</v>
      </c>
      <c r="BA18">
        <f t="shared" si="36"/>
        <v>0.25</v>
      </c>
      <c r="BB18">
        <f t="shared" si="37"/>
        <v>0.342225</v>
      </c>
      <c r="BC18">
        <f t="shared" si="22"/>
        <v>1.4625000000000003E-2</v>
      </c>
      <c r="BD18">
        <f t="shared" si="23"/>
        <v>7.4099999999999999E-2</v>
      </c>
      <c r="BE18">
        <f t="shared" si="24"/>
        <v>0.2535</v>
      </c>
      <c r="BF18">
        <f t="shared" si="25"/>
        <v>1.4703811200000004E-3</v>
      </c>
      <c r="BG18">
        <f t="shared" si="26"/>
        <v>1.9102387199999998E-4</v>
      </c>
      <c r="BH18">
        <f t="shared" si="27"/>
        <v>0</v>
      </c>
      <c r="BI18">
        <f t="shared" si="28"/>
        <v>2.1199527697920006E-2</v>
      </c>
      <c r="BJ18">
        <f t="shared" si="38"/>
        <v>0.11901883099392002</v>
      </c>
    </row>
    <row r="19" spans="1:63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pasture</v>
      </c>
      <c r="D19" t="b">
        <f>'Input Scenarios'!D19</f>
        <v>1</v>
      </c>
      <c r="E19" t="str">
        <f>'Input Scenarios'!E19</f>
        <v>boars</v>
      </c>
      <c r="F19">
        <f>'Input Scenarios'!F19</f>
        <v>1000</v>
      </c>
      <c r="G19">
        <f>'Input Scenarios'!G19</f>
        <v>100</v>
      </c>
      <c r="H19">
        <f>IF('Input Scenarios'!H19&lt;&gt;"", 'Input Scenarios'!H19, _xlfn.XLOOKUP($E19,Constants!$A$3:$A$6, Constants!B$3:B$6))</f>
        <v>2.62</v>
      </c>
      <c r="I19">
        <f>IF('Input Scenarios'!I19&lt;&gt;"", 'Input Scenarios'!I19, _xlfn.XLOOKUP($E19,Constants!$A$3:$A$6, Constants!C$3:C$6))</f>
        <v>0.4</v>
      </c>
      <c r="J19">
        <f>IF('Input Scenarios'!J19&lt;&gt;"", 'Input Scenarios'!J19, _xlfn.XLOOKUP($E19,Constants!$A$3:$A$6, Constants!D$3:D$6))</f>
        <v>4.5999999999999999E-2</v>
      </c>
      <c r="K19">
        <f>'Input Scenarios'!K19</f>
        <v>0.3</v>
      </c>
      <c r="L19">
        <f>'Input Scenarios'!L19</f>
        <v>0</v>
      </c>
      <c r="M19">
        <f>'Input Scenarios'!M19</f>
        <v>0</v>
      </c>
      <c r="N19">
        <f>'Input Scenarios'!N19</f>
        <v>0.3</v>
      </c>
      <c r="O19">
        <f>'Input Scenarios'!O19</f>
        <v>0</v>
      </c>
      <c r="P19">
        <f>'Input Scenarios'!P19</f>
        <v>0.4</v>
      </c>
      <c r="Q19" t="b">
        <f>'Input Scenarios'!Q19</f>
        <v>0</v>
      </c>
      <c r="R19">
        <f>IF('Input Scenarios'!$R19&lt;&gt;"", 'Input Scenarios'!$R19, IF($Q19, Constants!$B$19, 0))</f>
        <v>0</v>
      </c>
      <c r="S19">
        <f>IF('Input Scenarios'!$R19&lt;&gt;"", 'Input Scenarios'!$R19, IF($Q19, Constants!$B$20, 0))</f>
        <v>0</v>
      </c>
      <c r="T19">
        <f t="shared" si="8"/>
        <v>0.3</v>
      </c>
      <c r="U19">
        <f t="shared" si="9"/>
        <v>0</v>
      </c>
      <c r="V19">
        <f t="shared" si="10"/>
        <v>0</v>
      </c>
      <c r="W19">
        <f t="shared" si="11"/>
        <v>0.3</v>
      </c>
      <c r="X19">
        <f t="shared" si="12"/>
        <v>0</v>
      </c>
      <c r="Y19">
        <f t="shared" si="13"/>
        <v>0.4</v>
      </c>
      <c r="Z19">
        <f>Constants!$B$21</f>
        <v>0.19</v>
      </c>
      <c r="AA19">
        <f>Constants!$B$22</f>
        <v>0.6784</v>
      </c>
      <c r="AB19">
        <f>_xlfn.XLOOKUP($A19,Constants!$F$9:$M$9,Constants!$F$10:$M$10)</f>
        <v>0.78</v>
      </c>
      <c r="AC19">
        <f>_xlfn.XLOOKUP($A19,Constants!$F$9:$M$9,Constants!$F$12:$M$12)</f>
        <v>0.03</v>
      </c>
      <c r="AD19">
        <f>_xlfn.XLOOKUP($A19,Constants!$F$9:$M$9,Constants!$F$13:$M$13)</f>
        <v>0.1</v>
      </c>
      <c r="AE19">
        <f>_xlfn.XLOOKUP($A19,Constants!$F$9:$M$9,Constants!$F$14:$M$14)</f>
        <v>0.04</v>
      </c>
      <c r="AF19">
        <f>_xlfn.XLOOKUP($A19,Constants!$F$9:$M$9,Constants!$F$15:$M$15)</f>
        <v>0.03</v>
      </c>
      <c r="AG19">
        <f>_xlfn.XLOOKUP($A19,Constants!$F$9:$M$9,Constants!$F$11:$M$11)</f>
        <v>0.02</v>
      </c>
      <c r="AH19">
        <f>_xlfn.XLOOKUP($A19,Constants!$F$9:$M$9,Constants!$F$16:$M$16)</f>
        <v>0</v>
      </c>
      <c r="AI19">
        <f t="shared" si="14"/>
        <v>1.2064665600000002E-2</v>
      </c>
      <c r="AJ19">
        <f t="shared" si="15"/>
        <v>0</v>
      </c>
      <c r="AK19">
        <f t="shared" si="16"/>
        <v>0</v>
      </c>
      <c r="AL19">
        <f t="shared" si="17"/>
        <v>6.1870079999999997E-4</v>
      </c>
      <c r="AM19">
        <f t="shared" si="18"/>
        <v>0</v>
      </c>
      <c r="AN19">
        <f t="shared" si="19"/>
        <v>4.1246720000000009E-4</v>
      </c>
      <c r="AO19">
        <f t="shared" si="20"/>
        <v>1.3095833600000004</v>
      </c>
      <c r="AP19">
        <f>Constants!$E$10</f>
        <v>0</v>
      </c>
      <c r="AQ19">
        <f>Constants!$E$12</f>
        <v>0</v>
      </c>
      <c r="AR19">
        <f>Constants!$E$13</f>
        <v>0.75</v>
      </c>
      <c r="AS19">
        <f>Constants!$E$14</f>
        <v>0.05</v>
      </c>
      <c r="AT19">
        <f>Constants!$E$15</f>
        <v>0</v>
      </c>
      <c r="AU19">
        <f>Constants!$E$11</f>
        <v>0</v>
      </c>
      <c r="AV19">
        <f t="shared" si="31"/>
        <v>0.3</v>
      </c>
      <c r="AW19">
        <f t="shared" si="32"/>
        <v>0</v>
      </c>
      <c r="AX19">
        <f t="shared" si="33"/>
        <v>0</v>
      </c>
      <c r="AY19">
        <f t="shared" si="34"/>
        <v>0.28499999999999998</v>
      </c>
      <c r="AZ19">
        <f t="shared" si="35"/>
        <v>0</v>
      </c>
      <c r="BA19">
        <f t="shared" si="36"/>
        <v>0.4</v>
      </c>
      <c r="BB19">
        <f t="shared" si="37"/>
        <v>0.39400000000000002</v>
      </c>
      <c r="BC19">
        <f t="shared" si="22"/>
        <v>0</v>
      </c>
      <c r="BD19">
        <f t="shared" si="23"/>
        <v>0.11399999999999999</v>
      </c>
      <c r="BE19">
        <f t="shared" si="24"/>
        <v>0.27999999999999997</v>
      </c>
      <c r="BF19">
        <f t="shared" si="25"/>
        <v>0</v>
      </c>
      <c r="BG19">
        <f t="shared" si="26"/>
        <v>2.9388287999999998E-4</v>
      </c>
      <c r="BH19">
        <f t="shared" si="27"/>
        <v>0</v>
      </c>
      <c r="BI19">
        <f t="shared" si="28"/>
        <v>2.9388287999999995E-2</v>
      </c>
      <c r="BJ19">
        <f t="shared" si="38"/>
        <v>1.3389716480000002</v>
      </c>
      <c r="BK19">
        <f t="shared" si="30"/>
        <v>2.8607116498816003</v>
      </c>
    </row>
    <row r="20" spans="1:63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pasture</v>
      </c>
      <c r="D20" t="b">
        <f>'Input Scenarios'!D20</f>
        <v>1</v>
      </c>
      <c r="E20" t="str">
        <f>'Input Scenarios'!E20</f>
        <v>sows</v>
      </c>
      <c r="F20">
        <f>'Input Scenarios'!F20</f>
        <v>233</v>
      </c>
      <c r="G20">
        <f>'Input Scenarios'!G20</f>
        <v>100</v>
      </c>
      <c r="H20">
        <f>IF('Input Scenarios'!H20&lt;&gt;"", 'Input Scenarios'!H20, _xlfn.XLOOKUP($E20,Constants!$A$3:$A$6, Constants!B$3:B$6))</f>
        <v>2.2999999999999998</v>
      </c>
      <c r="I20">
        <f>IF('Input Scenarios'!I20&lt;&gt;"", 'Input Scenarios'!I20, _xlfn.XLOOKUP($E20,Constants!$A$3:$A$6, Constants!C$3:C$6))</f>
        <v>0.46</v>
      </c>
      <c r="J20">
        <f>IF('Input Scenarios'!J20&lt;&gt;"", 'Input Scenarios'!J20, _xlfn.XLOOKUP($E20,Constants!$A$3:$A$6, Constants!D$3:D$6))</f>
        <v>4.9000000000000002E-2</v>
      </c>
      <c r="K20">
        <f>'Input Scenarios'!K20</f>
        <v>0.3</v>
      </c>
      <c r="L20">
        <f>'Input Scenarios'!L20</f>
        <v>0</v>
      </c>
      <c r="M20">
        <f>'Input Scenarios'!M20</f>
        <v>0</v>
      </c>
      <c r="N20">
        <f>'Input Scenarios'!N20</f>
        <v>0.3</v>
      </c>
      <c r="O20">
        <f>'Input Scenarios'!O20</f>
        <v>0</v>
      </c>
      <c r="P20">
        <f>'Input Scenarios'!P20</f>
        <v>0.4</v>
      </c>
      <c r="Q20" t="b">
        <f>'Input Scenarios'!Q20</f>
        <v>0</v>
      </c>
      <c r="R20">
        <f>IF('Input Scenarios'!$R20&lt;&gt;"", 'Input Scenarios'!$R20, IF($Q20, Constants!$B$19, 0))</f>
        <v>0</v>
      </c>
      <c r="S20">
        <f>IF('Input Scenarios'!$R20&lt;&gt;"", 'Input Scenarios'!$R20, IF($Q20, Constants!$B$20, 0))</f>
        <v>0</v>
      </c>
      <c r="T20">
        <f t="shared" si="8"/>
        <v>0.3</v>
      </c>
      <c r="U20">
        <f t="shared" si="9"/>
        <v>0</v>
      </c>
      <c r="V20">
        <f t="shared" si="10"/>
        <v>0</v>
      </c>
      <c r="W20">
        <f t="shared" si="11"/>
        <v>0.3</v>
      </c>
      <c r="X20">
        <f t="shared" si="12"/>
        <v>0</v>
      </c>
      <c r="Y20">
        <f t="shared" si="13"/>
        <v>0.4</v>
      </c>
      <c r="Z20">
        <f>Constants!$B$21</f>
        <v>0.19</v>
      </c>
      <c r="AA20">
        <f>Constants!$B$22</f>
        <v>0.6784</v>
      </c>
      <c r="AB20">
        <f>_xlfn.XLOOKUP($A20,Constants!$F$9:$M$9,Constants!$F$10:$M$10)</f>
        <v>0.78</v>
      </c>
      <c r="AC20">
        <f>_xlfn.XLOOKUP($A20,Constants!$F$9:$M$9,Constants!$F$12:$M$12)</f>
        <v>0.03</v>
      </c>
      <c r="AD20">
        <f>_xlfn.XLOOKUP($A20,Constants!$F$9:$M$9,Constants!$F$13:$M$13)</f>
        <v>0.1</v>
      </c>
      <c r="AE20">
        <f>_xlfn.XLOOKUP($A20,Constants!$F$9:$M$9,Constants!$F$14:$M$14)</f>
        <v>0.04</v>
      </c>
      <c r="AF20">
        <f>_xlfn.XLOOKUP($A20,Constants!$F$9:$M$9,Constants!$F$15:$M$15)</f>
        <v>0.03</v>
      </c>
      <c r="AG20">
        <f>_xlfn.XLOOKUP($A20,Constants!$F$9:$M$9,Constants!$F$11:$M$11)</f>
        <v>0.02</v>
      </c>
      <c r="AH20">
        <f>_xlfn.XLOOKUP($A20,Constants!$F$9:$M$9,Constants!$F$16:$M$16)</f>
        <v>0</v>
      </c>
      <c r="AI20">
        <f t="shared" si="14"/>
        <v>1.3874365440000003E-2</v>
      </c>
      <c r="AJ20">
        <f t="shared" si="15"/>
        <v>0</v>
      </c>
      <c r="AK20">
        <f t="shared" si="16"/>
        <v>0</v>
      </c>
      <c r="AL20">
        <f t="shared" si="17"/>
        <v>7.1150592000000009E-4</v>
      </c>
      <c r="AM20">
        <f t="shared" si="18"/>
        <v>0</v>
      </c>
      <c r="AN20">
        <f t="shared" si="19"/>
        <v>4.7433728000000004E-4</v>
      </c>
      <c r="AO20">
        <f t="shared" si="20"/>
        <v>0.3509028613120001</v>
      </c>
      <c r="AP20">
        <f>Constants!$E$10</f>
        <v>0</v>
      </c>
      <c r="AQ20">
        <f>Constants!$E$12</f>
        <v>0</v>
      </c>
      <c r="AR20">
        <f>Constants!$E$13</f>
        <v>0.75</v>
      </c>
      <c r="AS20">
        <f>Constants!$E$14</f>
        <v>0.05</v>
      </c>
      <c r="AT20">
        <f>Constants!$E$15</f>
        <v>0</v>
      </c>
      <c r="AU20">
        <f>Constants!$E$11</f>
        <v>0</v>
      </c>
      <c r="AV20">
        <f t="shared" si="31"/>
        <v>0.3</v>
      </c>
      <c r="AW20">
        <f t="shared" si="32"/>
        <v>0</v>
      </c>
      <c r="AX20">
        <f t="shared" si="33"/>
        <v>0</v>
      </c>
      <c r="AY20">
        <f t="shared" si="34"/>
        <v>0.28499999999999998</v>
      </c>
      <c r="AZ20">
        <f t="shared" si="35"/>
        <v>0</v>
      </c>
      <c r="BA20">
        <f t="shared" si="36"/>
        <v>0.4</v>
      </c>
      <c r="BB20">
        <f t="shared" si="37"/>
        <v>0.4531</v>
      </c>
      <c r="BC20">
        <f t="shared" si="22"/>
        <v>0</v>
      </c>
      <c r="BD20">
        <f t="shared" si="23"/>
        <v>0.13109999999999999</v>
      </c>
      <c r="BE20">
        <f t="shared" si="24"/>
        <v>0.32200000000000001</v>
      </c>
      <c r="BF20">
        <f t="shared" si="25"/>
        <v>0</v>
      </c>
      <c r="BG20">
        <f t="shared" si="26"/>
        <v>3.3796531199999997E-4</v>
      </c>
      <c r="BH20">
        <f t="shared" si="27"/>
        <v>0</v>
      </c>
      <c r="BI20">
        <f t="shared" si="28"/>
        <v>7.8745917695999985E-3</v>
      </c>
      <c r="BJ20">
        <f t="shared" si="38"/>
        <v>0.35877745308160008</v>
      </c>
    </row>
    <row r="21" spans="1:63" x14ac:dyDescent="0.2">
      <c r="A21" t="str">
        <f>'Input Scenarios'!A21</f>
        <v>QLD</v>
      </c>
      <c r="B21">
        <f>'Input Scenarios'!B21</f>
        <v>0</v>
      </c>
      <c r="C21" t="str">
        <f>'Input Scenarios'!C21</f>
        <v>Non-irrigated pasture</v>
      </c>
      <c r="D21" t="b">
        <f>'Input Scenarios'!D21</f>
        <v>1</v>
      </c>
      <c r="E21" t="str">
        <f>'Input Scenarios'!E21</f>
        <v>gilts</v>
      </c>
      <c r="F21">
        <f>'Input Scenarios'!F21</f>
        <v>923</v>
      </c>
      <c r="G21">
        <f>'Input Scenarios'!G21</f>
        <v>100</v>
      </c>
      <c r="H21">
        <f>IF('Input Scenarios'!H21&lt;&gt;"", 'Input Scenarios'!H21, _xlfn.XLOOKUP($E21,Constants!$A$3:$A$6, Constants!B$3:B$6))</f>
        <v>2.5</v>
      </c>
      <c r="I21">
        <f>IF('Input Scenarios'!I21&lt;&gt;"", 'Input Scenarios'!I21, _xlfn.XLOOKUP($E21,Constants!$A$3:$A$6, Constants!C$3:C$6))</f>
        <v>0.55000000000000004</v>
      </c>
      <c r="J21">
        <f>IF('Input Scenarios'!J21&lt;&gt;"", 'Input Scenarios'!J21, _xlfn.XLOOKUP($E21,Constants!$A$3:$A$6, Constants!D$3:D$6))</f>
        <v>4.5999999999999999E-2</v>
      </c>
      <c r="K21">
        <f>'Input Scenarios'!K21</f>
        <v>0</v>
      </c>
      <c r="L21">
        <f>'Input Scenarios'!L21</f>
        <v>0</v>
      </c>
      <c r="M21">
        <f>'Input Scenarios'!M21</f>
        <v>0.5</v>
      </c>
      <c r="N21">
        <f>'Input Scenarios'!N21</f>
        <v>0</v>
      </c>
      <c r="O21">
        <f>'Input Scenarios'!O21</f>
        <v>0.5</v>
      </c>
      <c r="P21">
        <f>'Input Scenarios'!P21</f>
        <v>0</v>
      </c>
      <c r="Q21" t="b">
        <f>'Input Scenarios'!Q21</f>
        <v>0</v>
      </c>
      <c r="R21">
        <f>IF('Input Scenarios'!$R21&lt;&gt;"", 'Input Scenarios'!$R21, IF($Q21, Constants!$B$19, 0))</f>
        <v>0</v>
      </c>
      <c r="S21">
        <f>IF('Input Scenarios'!$R21&lt;&gt;"", 'Input Scenarios'!$R21, IF($Q21, Constants!$B$20, 0))</f>
        <v>0</v>
      </c>
      <c r="T21">
        <f t="shared" si="8"/>
        <v>0</v>
      </c>
      <c r="U21">
        <f t="shared" si="9"/>
        <v>0</v>
      </c>
      <c r="V21">
        <f t="shared" si="10"/>
        <v>0.5</v>
      </c>
      <c r="W21">
        <f t="shared" si="11"/>
        <v>0</v>
      </c>
      <c r="X21">
        <f t="shared" si="12"/>
        <v>0.5</v>
      </c>
      <c r="Y21">
        <f t="shared" si="13"/>
        <v>0</v>
      </c>
      <c r="Z21">
        <f>Constants!$B$21</f>
        <v>0.19</v>
      </c>
      <c r="AA21">
        <f>Constants!$B$22</f>
        <v>0.6784</v>
      </c>
      <c r="AB21">
        <f>_xlfn.XLOOKUP($A21,Constants!$F$9:$M$9,Constants!$F$10:$M$10)</f>
        <v>0.78</v>
      </c>
      <c r="AC21">
        <f>_xlfn.XLOOKUP($A21,Constants!$F$9:$M$9,Constants!$F$12:$M$12)</f>
        <v>0.03</v>
      </c>
      <c r="AD21">
        <f>_xlfn.XLOOKUP($A21,Constants!$F$9:$M$9,Constants!$F$13:$M$13)</f>
        <v>0.1</v>
      </c>
      <c r="AE21">
        <f>_xlfn.XLOOKUP($A21,Constants!$F$9:$M$9,Constants!$F$14:$M$14)</f>
        <v>0.04</v>
      </c>
      <c r="AF21">
        <f>_xlfn.XLOOKUP($A21,Constants!$F$9:$M$9,Constants!$F$15:$M$15)</f>
        <v>0.03</v>
      </c>
      <c r="AG21">
        <f>_xlfn.XLOOKUP($A21,Constants!$F$9:$M$9,Constants!$F$11:$M$11)</f>
        <v>0.02</v>
      </c>
      <c r="AH21">
        <f>_xlfn.XLOOKUP($A21,Constants!$F$9:$M$9,Constants!$F$16:$M$16)</f>
        <v>0</v>
      </c>
      <c r="AI21">
        <f t="shared" si="14"/>
        <v>0</v>
      </c>
      <c r="AJ21">
        <f t="shared" si="15"/>
        <v>0</v>
      </c>
      <c r="AK21">
        <f t="shared" si="16"/>
        <v>3.5446400000000004E-3</v>
      </c>
      <c r="AL21">
        <f t="shared" si="17"/>
        <v>0</v>
      </c>
      <c r="AM21">
        <f t="shared" si="18"/>
        <v>1.063392E-3</v>
      </c>
      <c r="AN21">
        <f t="shared" si="19"/>
        <v>0</v>
      </c>
      <c r="AO21">
        <f t="shared" si="20"/>
        <v>0.42532135360000006</v>
      </c>
      <c r="AP21">
        <f>Constants!$E$10</f>
        <v>0</v>
      </c>
      <c r="AQ21">
        <f>Constants!$E$12</f>
        <v>0</v>
      </c>
      <c r="AR21">
        <f>Constants!$E$13</f>
        <v>0.75</v>
      </c>
      <c r="AS21">
        <f>Constants!$E$14</f>
        <v>0.05</v>
      </c>
      <c r="AT21">
        <f>Constants!$E$15</f>
        <v>0</v>
      </c>
      <c r="AU21">
        <f>Constants!$E$11</f>
        <v>0</v>
      </c>
      <c r="AV21">
        <f t="shared" si="31"/>
        <v>0</v>
      </c>
      <c r="AW21">
        <f t="shared" si="32"/>
        <v>0</v>
      </c>
      <c r="AX21">
        <f t="shared" si="33"/>
        <v>0.125</v>
      </c>
      <c r="AY21">
        <f t="shared" si="34"/>
        <v>0</v>
      </c>
      <c r="AZ21">
        <f t="shared" si="35"/>
        <v>0.5</v>
      </c>
      <c r="BA21">
        <f t="shared" si="36"/>
        <v>0</v>
      </c>
      <c r="BB21">
        <f t="shared" si="37"/>
        <v>0.34375</v>
      </c>
      <c r="BC21">
        <f t="shared" si="22"/>
        <v>6.8750000000000006E-2</v>
      </c>
      <c r="BD21">
        <f t="shared" si="23"/>
        <v>0</v>
      </c>
      <c r="BE21">
        <f t="shared" si="24"/>
        <v>0.27500000000000002</v>
      </c>
      <c r="BF21">
        <f t="shared" si="25"/>
        <v>6.9120480000000014E-3</v>
      </c>
      <c r="BG21">
        <f t="shared" si="26"/>
        <v>0</v>
      </c>
      <c r="BH21">
        <f t="shared" si="27"/>
        <v>0</v>
      </c>
      <c r="BI21">
        <f t="shared" si="28"/>
        <v>0.63798203040000023</v>
      </c>
      <c r="BJ21">
        <f t="shared" si="38"/>
        <v>1.0633033840000001</v>
      </c>
    </row>
    <row r="22" spans="1:63" s="2" customFormat="1" x14ac:dyDescent="0.2">
      <c r="A22" s="2" t="str">
        <f>'Input Scenarios'!A22</f>
        <v>QLD</v>
      </c>
      <c r="B22" s="2">
        <f>'Input Scenarios'!B22</f>
        <v>0</v>
      </c>
      <c r="C22" s="2" t="str">
        <f>'Input Scenarios'!C22</f>
        <v>Non-irrigated pasture</v>
      </c>
      <c r="D22" s="2" t="b">
        <f>'Input Scenarios'!D22</f>
        <v>1</v>
      </c>
      <c r="E22" s="2" t="str">
        <f>'Input Scenarios'!E22</f>
        <v>others</v>
      </c>
      <c r="F22" s="2">
        <f>'Input Scenarios'!F22</f>
        <v>122</v>
      </c>
      <c r="G22" s="2">
        <f>'Input Scenarios'!G22</f>
        <v>100</v>
      </c>
      <c r="H22">
        <f>IF('Input Scenarios'!H22&lt;&gt;"", 'Input Scenarios'!H22, _xlfn.XLOOKUP($E22,Constants!$A$3:$A$6, Constants!B$3:B$6))</f>
        <v>1.71</v>
      </c>
      <c r="I22">
        <f>IF('Input Scenarios'!I22&lt;&gt;"", 'Input Scenarios'!I22, _xlfn.XLOOKUP($E22,Constants!$A$3:$A$6, Constants!C$3:C$6))</f>
        <v>0.39</v>
      </c>
      <c r="J22">
        <f>IF('Input Scenarios'!J22&lt;&gt;"", 'Input Scenarios'!J22, _xlfn.XLOOKUP($E22,Constants!$A$3:$A$6, Constants!D$3:D$6))</f>
        <v>3.1232876712328769E-2</v>
      </c>
      <c r="K22" s="2">
        <f>'Input Scenarios'!K22</f>
        <v>0</v>
      </c>
      <c r="L22" s="2">
        <f>'Input Scenarios'!L22</f>
        <v>0</v>
      </c>
      <c r="M22" s="2">
        <f>'Input Scenarios'!M22</f>
        <v>0.5</v>
      </c>
      <c r="N22" s="2">
        <f>'Input Scenarios'!N22</f>
        <v>0</v>
      </c>
      <c r="O22" s="2">
        <f>'Input Scenarios'!O22</f>
        <v>0.5</v>
      </c>
      <c r="P22" s="2">
        <f>'Input Scenarios'!P22</f>
        <v>0</v>
      </c>
      <c r="Q22" s="2" t="b">
        <f>'Input Scenarios'!Q22</f>
        <v>0</v>
      </c>
      <c r="R22" s="2">
        <f>IF('Input Scenarios'!$R22&lt;&gt;"", 'Input Scenarios'!$R22, IF($Q22, Constants!$B$19, 0))</f>
        <v>0</v>
      </c>
      <c r="S22" s="2">
        <f>IF('Input Scenarios'!$R22&lt;&gt;"", 'Input Scenarios'!$R22, IF($Q22, Constants!$B$20, 0))</f>
        <v>0</v>
      </c>
      <c r="T22">
        <f t="shared" si="8"/>
        <v>0</v>
      </c>
      <c r="U22">
        <f t="shared" si="9"/>
        <v>0</v>
      </c>
      <c r="V22">
        <f t="shared" si="10"/>
        <v>0.5</v>
      </c>
      <c r="W22">
        <f t="shared" si="11"/>
        <v>0</v>
      </c>
      <c r="X22">
        <f t="shared" si="12"/>
        <v>0.5</v>
      </c>
      <c r="Y22">
        <f t="shared" si="13"/>
        <v>0</v>
      </c>
      <c r="Z22" s="2">
        <f>Constants!$B$21</f>
        <v>0.19</v>
      </c>
      <c r="AA22" s="2">
        <f>Constants!$B$22</f>
        <v>0.6784</v>
      </c>
      <c r="AB22" s="2">
        <f>_xlfn.XLOOKUP($A22,Constants!$F$9:$M$9,Constants!$F$10:$M$10)</f>
        <v>0.78</v>
      </c>
      <c r="AC22" s="2">
        <f>_xlfn.XLOOKUP($A22,Constants!$F$9:$M$9,Constants!$F$12:$M$12)</f>
        <v>0.03</v>
      </c>
      <c r="AD22" s="2">
        <f>_xlfn.XLOOKUP($A22,Constants!$F$9:$M$9,Constants!$F$13:$M$13)</f>
        <v>0.1</v>
      </c>
      <c r="AE22" s="2">
        <f>_xlfn.XLOOKUP($A22,Constants!$F$9:$M$9,Constants!$F$14:$M$14)</f>
        <v>0.04</v>
      </c>
      <c r="AF22" s="2">
        <f>_xlfn.XLOOKUP($A22,Constants!$F$9:$M$9,Constants!$F$15:$M$15)</f>
        <v>0.03</v>
      </c>
      <c r="AG22" s="2">
        <f>_xlfn.XLOOKUP($A22,Constants!$F$9:$M$9,Constants!$F$11:$M$11)</f>
        <v>0.02</v>
      </c>
      <c r="AH22" s="2">
        <f>_xlfn.XLOOKUP($A22,Constants!$F$9:$M$9,Constants!$F$16:$M$16)</f>
        <v>0</v>
      </c>
      <c r="AI22">
        <f t="shared" si="14"/>
        <v>0</v>
      </c>
      <c r="AJ22">
        <f t="shared" si="15"/>
        <v>0</v>
      </c>
      <c r="AK22">
        <f t="shared" si="16"/>
        <v>2.5134720000000005E-3</v>
      </c>
      <c r="AL22">
        <f t="shared" si="17"/>
        <v>0</v>
      </c>
      <c r="AM22">
        <f t="shared" si="18"/>
        <v>7.540416000000001E-4</v>
      </c>
      <c r="AN22">
        <f t="shared" si="19"/>
        <v>0</v>
      </c>
      <c r="AO22">
        <f t="shared" si="20"/>
        <v>3.9863665920000006E-2</v>
      </c>
      <c r="AP22" s="2">
        <f>Constants!$E$10</f>
        <v>0</v>
      </c>
      <c r="AQ22" s="2">
        <f>Constants!$E$12</f>
        <v>0</v>
      </c>
      <c r="AR22" s="2">
        <f>Constants!$E$13</f>
        <v>0.75</v>
      </c>
      <c r="AS22" s="2">
        <f>Constants!$E$14</f>
        <v>0.05</v>
      </c>
      <c r="AT22" s="2">
        <f>Constants!$E$15</f>
        <v>0</v>
      </c>
      <c r="AU22" s="2">
        <f>Constants!$E$11</f>
        <v>0</v>
      </c>
      <c r="AV22">
        <f t="shared" si="31"/>
        <v>0</v>
      </c>
      <c r="AW22">
        <f t="shared" si="32"/>
        <v>0</v>
      </c>
      <c r="AX22">
        <f t="shared" si="33"/>
        <v>0.125</v>
      </c>
      <c r="AY22">
        <f t="shared" si="34"/>
        <v>0</v>
      </c>
      <c r="AZ22">
        <f t="shared" si="35"/>
        <v>0.5</v>
      </c>
      <c r="BA22">
        <f t="shared" si="36"/>
        <v>0</v>
      </c>
      <c r="BB22">
        <f t="shared" si="37"/>
        <v>0.24375000000000002</v>
      </c>
      <c r="BC22">
        <f t="shared" si="22"/>
        <v>4.8750000000000002E-2</v>
      </c>
      <c r="BD22">
        <f t="shared" si="23"/>
        <v>0</v>
      </c>
      <c r="BE22">
        <f t="shared" si="24"/>
        <v>0.19500000000000001</v>
      </c>
      <c r="BF22">
        <f t="shared" si="25"/>
        <v>4.9012704000000002E-3</v>
      </c>
      <c r="BG22">
        <f t="shared" si="26"/>
        <v>0</v>
      </c>
      <c r="BH22">
        <f t="shared" si="27"/>
        <v>0</v>
      </c>
      <c r="BI22">
        <f t="shared" si="28"/>
        <v>5.9795498879999999E-2</v>
      </c>
      <c r="BJ22">
        <f t="shared" si="38"/>
        <v>9.9659164800000033E-2</v>
      </c>
    </row>
    <row r="23" spans="1:63" x14ac:dyDescent="0.2">
      <c r="A23" t="str">
        <f>'Input Scenarios'!A23</f>
        <v>WA</v>
      </c>
      <c r="B23">
        <f>'Input Scenarios'!B23</f>
        <v>0</v>
      </c>
      <c r="C23" t="str">
        <f>'Input Scenarios'!C23</f>
        <v>Non-irrigated crop (low rainfall)</v>
      </c>
      <c r="D23" t="b">
        <f>'Input Scenarios'!D23</f>
        <v>0</v>
      </c>
      <c r="E23" t="str">
        <f>'Input Scenarios'!E23</f>
        <v>boars</v>
      </c>
      <c r="F23">
        <f>'Input Scenarios'!F23</f>
        <v>750</v>
      </c>
      <c r="G23">
        <f>'Input Scenarios'!G23</f>
        <v>200</v>
      </c>
      <c r="H23">
        <f>IF('Input Scenarios'!H23&lt;&gt;"", 'Input Scenarios'!H23, _xlfn.XLOOKUP($E23,Constants!$A$3:$A$6, Constants!B$3:B$6))</f>
        <v>2.62</v>
      </c>
      <c r="I23">
        <f>IF('Input Scenarios'!I23&lt;&gt;"", 'Input Scenarios'!I23, _xlfn.XLOOKUP($E23,Constants!$A$3:$A$6, Constants!C$3:C$6))</f>
        <v>0.4</v>
      </c>
      <c r="J23">
        <f>IF('Input Scenarios'!J23&lt;&gt;"", 'Input Scenarios'!J23, _xlfn.XLOOKUP($E23,Constants!$A$3:$A$6, Constants!D$3:D$6))</f>
        <v>4.5999999999999999E-2</v>
      </c>
      <c r="K23">
        <f>'Input Scenarios'!K23</f>
        <v>0.3</v>
      </c>
      <c r="L23">
        <f>'Input Scenarios'!L23</f>
        <v>0</v>
      </c>
      <c r="M23">
        <f>'Input Scenarios'!M23</f>
        <v>0</v>
      </c>
      <c r="N23">
        <f>'Input Scenarios'!N23</f>
        <v>0.3</v>
      </c>
      <c r="O23">
        <f>'Input Scenarios'!O23</f>
        <v>0</v>
      </c>
      <c r="P23">
        <f>'Input Scenarios'!P23</f>
        <v>0.4</v>
      </c>
      <c r="Q23" t="b">
        <f>'Input Scenarios'!Q23</f>
        <v>0</v>
      </c>
      <c r="R23">
        <f>IF('Input Scenarios'!$R23&lt;&gt;"", 'Input Scenarios'!$R23, IF($Q23, Constants!$B$19, 0))</f>
        <v>0</v>
      </c>
      <c r="S23">
        <f>IF('Input Scenarios'!$R23&lt;&gt;"", 'Input Scenarios'!$R23, IF($Q23, Constants!$B$20, 0))</f>
        <v>0</v>
      </c>
      <c r="T23">
        <f t="shared" si="8"/>
        <v>0.3</v>
      </c>
      <c r="U23">
        <f t="shared" si="9"/>
        <v>0</v>
      </c>
      <c r="V23">
        <f t="shared" si="10"/>
        <v>0</v>
      </c>
      <c r="W23">
        <f t="shared" si="11"/>
        <v>0.3</v>
      </c>
      <c r="X23">
        <f t="shared" si="12"/>
        <v>0</v>
      </c>
      <c r="Y23">
        <f t="shared" si="13"/>
        <v>0.4</v>
      </c>
      <c r="Z23">
        <f>Constants!$B$21</f>
        <v>0.19</v>
      </c>
      <c r="AA23">
        <f>Constants!$B$22</f>
        <v>0.6784</v>
      </c>
      <c r="AB23">
        <f>_xlfn.XLOOKUP($A23,Constants!$F$9:$M$9,Constants!$F$10:$M$10)</f>
        <v>0.76</v>
      </c>
      <c r="AC23">
        <f>_xlfn.XLOOKUP($A23,Constants!$F$9:$M$9,Constants!$F$12:$M$12)</f>
        <v>0.01</v>
      </c>
      <c r="AD23">
        <f>_xlfn.XLOOKUP($A23,Constants!$F$9:$M$9,Constants!$F$13:$M$13)</f>
        <v>0.1</v>
      </c>
      <c r="AE23">
        <f>_xlfn.XLOOKUP($A23,Constants!$F$9:$M$9,Constants!$F$14:$M$14)</f>
        <v>0.04</v>
      </c>
      <c r="AF23">
        <f>_xlfn.XLOOKUP($A23,Constants!$F$9:$M$9,Constants!$F$15:$M$15)</f>
        <v>0.03</v>
      </c>
      <c r="AG23">
        <f>_xlfn.XLOOKUP($A23,Constants!$F$9:$M$9,Constants!$F$11:$M$11)</f>
        <v>0.02</v>
      </c>
      <c r="AH23">
        <f>_xlfn.XLOOKUP($A23,Constants!$F$9:$M$9,Constants!$F$16:$M$16)</f>
        <v>0</v>
      </c>
      <c r="AI23">
        <f t="shared" si="14"/>
        <v>1.17553152E-2</v>
      </c>
      <c r="AJ23">
        <f t="shared" si="15"/>
        <v>0</v>
      </c>
      <c r="AK23">
        <f t="shared" si="16"/>
        <v>0</v>
      </c>
      <c r="AL23">
        <f t="shared" si="17"/>
        <v>6.1870079999999997E-4</v>
      </c>
      <c r="AM23">
        <f t="shared" si="18"/>
        <v>0</v>
      </c>
      <c r="AN23">
        <f t="shared" si="19"/>
        <v>4.1246720000000009E-4</v>
      </c>
      <c r="AO23">
        <f t="shared" si="20"/>
        <v>1.9179724800000004</v>
      </c>
      <c r="AP23">
        <f>Constants!$E$10</f>
        <v>0</v>
      </c>
      <c r="AQ23">
        <f>Constants!$E$12</f>
        <v>0</v>
      </c>
      <c r="AR23">
        <f>Constants!$E$13</f>
        <v>0.75</v>
      </c>
      <c r="AS23">
        <f>Constants!$E$14</f>
        <v>0.05</v>
      </c>
      <c r="AT23">
        <f>Constants!$E$15</f>
        <v>0</v>
      </c>
      <c r="AU23">
        <f>Constants!$E$11</f>
        <v>0</v>
      </c>
      <c r="AV23">
        <f t="shared" si="31"/>
        <v>0.3</v>
      </c>
      <c r="AW23">
        <f t="shared" si="32"/>
        <v>0</v>
      </c>
      <c r="AX23">
        <f t="shared" si="33"/>
        <v>0</v>
      </c>
      <c r="AY23">
        <f t="shared" si="34"/>
        <v>0.28499999999999998</v>
      </c>
      <c r="AZ23">
        <f t="shared" si="35"/>
        <v>0</v>
      </c>
      <c r="BA23">
        <f t="shared" si="36"/>
        <v>0.4</v>
      </c>
      <c r="BB23">
        <f t="shared" si="37"/>
        <v>0.39400000000000002</v>
      </c>
      <c r="BC23">
        <f t="shared" si="22"/>
        <v>0</v>
      </c>
      <c r="BD23">
        <f t="shared" si="23"/>
        <v>0.11399999999999999</v>
      </c>
      <c r="BE23">
        <f t="shared" si="24"/>
        <v>0.27999999999999997</v>
      </c>
      <c r="BF23">
        <f t="shared" si="25"/>
        <v>0</v>
      </c>
      <c r="BG23">
        <f t="shared" si="26"/>
        <v>2.9388287999999998E-4</v>
      </c>
      <c r="BH23">
        <f t="shared" si="27"/>
        <v>0</v>
      </c>
      <c r="BI23">
        <f t="shared" si="28"/>
        <v>4.4082431999999998E-2</v>
      </c>
      <c r="BJ23">
        <f t="shared" si="38"/>
        <v>1.9620549120000002</v>
      </c>
      <c r="BK23">
        <f t="shared" si="30"/>
        <v>5.3975293771840001</v>
      </c>
    </row>
    <row r="24" spans="1:63" x14ac:dyDescent="0.2">
      <c r="A24" t="str">
        <f>'Input Scenarios'!A24</f>
        <v>WA</v>
      </c>
      <c r="B24">
        <f>'Input Scenarios'!B24</f>
        <v>0</v>
      </c>
      <c r="C24" t="str">
        <f>'Input Scenarios'!C24</f>
        <v>Non-irrigated crop (low rainfall)</v>
      </c>
      <c r="D24" t="b">
        <f>'Input Scenarios'!D24</f>
        <v>0</v>
      </c>
      <c r="E24" t="str">
        <f>'Input Scenarios'!E24</f>
        <v>sows</v>
      </c>
      <c r="F24">
        <f>'Input Scenarios'!F24</f>
        <v>600</v>
      </c>
      <c r="G24">
        <f>'Input Scenarios'!G24</f>
        <v>200</v>
      </c>
      <c r="H24">
        <f>IF('Input Scenarios'!H24&lt;&gt;"", 'Input Scenarios'!H24, _xlfn.XLOOKUP($E24,Constants!$A$3:$A$6, Constants!B$3:B$6))</f>
        <v>2.2999999999999998</v>
      </c>
      <c r="I24">
        <f>IF('Input Scenarios'!I24&lt;&gt;"", 'Input Scenarios'!I24, _xlfn.XLOOKUP($E24,Constants!$A$3:$A$6, Constants!C$3:C$6))</f>
        <v>0.46</v>
      </c>
      <c r="J24">
        <f>IF('Input Scenarios'!J24&lt;&gt;"", 'Input Scenarios'!J24, _xlfn.XLOOKUP($E24,Constants!$A$3:$A$6, Constants!D$3:D$6))</f>
        <v>4.9000000000000002E-2</v>
      </c>
      <c r="K24">
        <f>'Input Scenarios'!K24</f>
        <v>0</v>
      </c>
      <c r="L24">
        <f>'Input Scenarios'!L24</f>
        <v>0</v>
      </c>
      <c r="M24">
        <f>'Input Scenarios'!M24</f>
        <v>0.5</v>
      </c>
      <c r="N24">
        <f>'Input Scenarios'!N24</f>
        <v>0</v>
      </c>
      <c r="O24">
        <f>'Input Scenarios'!O24</f>
        <v>0.5</v>
      </c>
      <c r="P24">
        <f>'Input Scenarios'!P24</f>
        <v>0</v>
      </c>
      <c r="Q24" t="b">
        <f>'Input Scenarios'!Q24</f>
        <v>0</v>
      </c>
      <c r="R24">
        <f>IF('Input Scenarios'!$R24&lt;&gt;"", 'Input Scenarios'!$R24, IF($Q24, Constants!$B$19, 0))</f>
        <v>0</v>
      </c>
      <c r="S24">
        <f>IF('Input Scenarios'!$R24&lt;&gt;"", 'Input Scenarios'!$R24, IF($Q24, Constants!$B$20, 0))</f>
        <v>0</v>
      </c>
      <c r="T24">
        <f t="shared" si="8"/>
        <v>0</v>
      </c>
      <c r="U24">
        <f t="shared" si="9"/>
        <v>0</v>
      </c>
      <c r="V24">
        <f t="shared" si="10"/>
        <v>0.5</v>
      </c>
      <c r="W24">
        <f t="shared" si="11"/>
        <v>0</v>
      </c>
      <c r="X24">
        <f t="shared" si="12"/>
        <v>0.5</v>
      </c>
      <c r="Y24">
        <f t="shared" si="13"/>
        <v>0</v>
      </c>
      <c r="Z24">
        <f>Constants!$B$21</f>
        <v>0.19</v>
      </c>
      <c r="AA24">
        <f>Constants!$B$22</f>
        <v>0.6784</v>
      </c>
      <c r="AB24">
        <f>_xlfn.XLOOKUP($A24,Constants!$F$9:$M$9,Constants!$F$10:$M$10)</f>
        <v>0.76</v>
      </c>
      <c r="AC24">
        <f>_xlfn.XLOOKUP($A24,Constants!$F$9:$M$9,Constants!$F$12:$M$12)</f>
        <v>0.01</v>
      </c>
      <c r="AD24">
        <f>_xlfn.XLOOKUP($A24,Constants!$F$9:$M$9,Constants!$F$13:$M$13)</f>
        <v>0.1</v>
      </c>
      <c r="AE24">
        <f>_xlfn.XLOOKUP($A24,Constants!$F$9:$M$9,Constants!$F$14:$M$14)</f>
        <v>0.04</v>
      </c>
      <c r="AF24">
        <f>_xlfn.XLOOKUP($A24,Constants!$F$9:$M$9,Constants!$F$15:$M$15)</f>
        <v>0.03</v>
      </c>
      <c r="AG24">
        <f>_xlfn.XLOOKUP($A24,Constants!$F$9:$M$9,Constants!$F$11:$M$11)</f>
        <v>0.02</v>
      </c>
      <c r="AH24">
        <f>_xlfn.XLOOKUP($A24,Constants!$F$9:$M$9,Constants!$F$16:$M$16)</f>
        <v>0</v>
      </c>
      <c r="AI24">
        <f t="shared" si="14"/>
        <v>0</v>
      </c>
      <c r="AJ24">
        <f t="shared" si="15"/>
        <v>0</v>
      </c>
      <c r="AK24">
        <f t="shared" si="16"/>
        <v>2.9646080000000005E-3</v>
      </c>
      <c r="AL24">
        <f t="shared" si="17"/>
        <v>0</v>
      </c>
      <c r="AM24">
        <f t="shared" si="18"/>
        <v>8.8938240000000011E-4</v>
      </c>
      <c r="AN24">
        <f t="shared" si="19"/>
        <v>0</v>
      </c>
      <c r="AO24">
        <f t="shared" si="20"/>
        <v>0.46247884800000016</v>
      </c>
      <c r="AP24">
        <f>Constants!$E$10</f>
        <v>0</v>
      </c>
      <c r="AQ24">
        <f>Constants!$E$12</f>
        <v>0</v>
      </c>
      <c r="AR24">
        <f>Constants!$E$13</f>
        <v>0.75</v>
      </c>
      <c r="AS24">
        <f>Constants!$E$14</f>
        <v>0.05</v>
      </c>
      <c r="AT24">
        <f>Constants!$E$15</f>
        <v>0</v>
      </c>
      <c r="AU24">
        <f>Constants!$E$11</f>
        <v>0</v>
      </c>
      <c r="AV24">
        <f t="shared" si="31"/>
        <v>0</v>
      </c>
      <c r="AW24">
        <f t="shared" si="32"/>
        <v>0</v>
      </c>
      <c r="AX24">
        <f t="shared" si="33"/>
        <v>0.125</v>
      </c>
      <c r="AY24">
        <f t="shared" si="34"/>
        <v>0</v>
      </c>
      <c r="AZ24">
        <f t="shared" si="35"/>
        <v>0.5</v>
      </c>
      <c r="BA24">
        <f t="shared" si="36"/>
        <v>0</v>
      </c>
      <c r="BB24">
        <f t="shared" si="37"/>
        <v>0.28750000000000003</v>
      </c>
      <c r="BC24">
        <f t="shared" si="22"/>
        <v>5.7500000000000002E-2</v>
      </c>
      <c r="BD24">
        <f t="shared" si="23"/>
        <v>0</v>
      </c>
      <c r="BE24">
        <f t="shared" si="24"/>
        <v>0.23</v>
      </c>
      <c r="BF24">
        <f t="shared" si="25"/>
        <v>5.6327552000000006E-3</v>
      </c>
      <c r="BG24">
        <f t="shared" si="26"/>
        <v>0</v>
      </c>
      <c r="BH24">
        <f t="shared" si="27"/>
        <v>0</v>
      </c>
      <c r="BI24">
        <f t="shared" si="28"/>
        <v>0.67593062400000004</v>
      </c>
      <c r="BJ24">
        <f t="shared" si="38"/>
        <v>1.1384094720000002</v>
      </c>
    </row>
    <row r="25" spans="1:63" x14ac:dyDescent="0.2">
      <c r="A25" t="str">
        <f>'Input Scenarios'!A25</f>
        <v>WA</v>
      </c>
      <c r="B25">
        <f>'Input Scenarios'!B25</f>
        <v>0</v>
      </c>
      <c r="C25" t="str">
        <f>'Input Scenarios'!C25</f>
        <v>Non-irrigated crop (low rainfall)</v>
      </c>
      <c r="D25" t="b">
        <f>'Input Scenarios'!D25</f>
        <v>0</v>
      </c>
      <c r="E25" t="str">
        <f>'Input Scenarios'!E25</f>
        <v>gilts</v>
      </c>
      <c r="F25">
        <f>'Input Scenarios'!F25</f>
        <v>100</v>
      </c>
      <c r="G25">
        <f>'Input Scenarios'!G25</f>
        <v>299</v>
      </c>
      <c r="H25">
        <f>IF('Input Scenarios'!H25&lt;&gt;"", 'Input Scenarios'!H25, _xlfn.XLOOKUP($E25,Constants!$A$3:$A$6, Constants!B$3:B$6))</f>
        <v>2.5</v>
      </c>
      <c r="I25">
        <f>IF('Input Scenarios'!I25&lt;&gt;"", 'Input Scenarios'!I25, _xlfn.XLOOKUP($E25,Constants!$A$3:$A$6, Constants!C$3:C$6))</f>
        <v>0.55000000000000004</v>
      </c>
      <c r="J25">
        <f>IF('Input Scenarios'!J25&lt;&gt;"", 'Input Scenarios'!J25, _xlfn.XLOOKUP($E25,Constants!$A$3:$A$6, Constants!D$3:D$6))</f>
        <v>4.5999999999999999E-2</v>
      </c>
      <c r="K25">
        <f>'Input Scenarios'!K25</f>
        <v>0.3</v>
      </c>
      <c r="L25">
        <f>'Input Scenarios'!L25</f>
        <v>0</v>
      </c>
      <c r="M25">
        <f>'Input Scenarios'!M25</f>
        <v>0</v>
      </c>
      <c r="N25">
        <f>'Input Scenarios'!N25</f>
        <v>0.3</v>
      </c>
      <c r="O25">
        <f>'Input Scenarios'!O25</f>
        <v>0</v>
      </c>
      <c r="P25">
        <f>'Input Scenarios'!P25</f>
        <v>0.4</v>
      </c>
      <c r="Q25" t="b">
        <f>'Input Scenarios'!Q25</f>
        <v>1</v>
      </c>
      <c r="R25">
        <f>IF('Input Scenarios'!$R25&lt;&gt;"", 'Input Scenarios'!$R25, IF($Q25, Constants!$B$19, 0))</f>
        <v>0.25</v>
      </c>
      <c r="S25">
        <f>IF('Input Scenarios'!$R25&lt;&gt;"", 'Input Scenarios'!$R25, IF($Q25, Constants!$B$20, 0))</f>
        <v>0.25</v>
      </c>
      <c r="T25">
        <f t="shared" si="8"/>
        <v>0.22499999999999998</v>
      </c>
      <c r="U25">
        <f t="shared" si="9"/>
        <v>0</v>
      </c>
      <c r="V25">
        <f t="shared" si="10"/>
        <v>0</v>
      </c>
      <c r="W25">
        <f t="shared" si="11"/>
        <v>0.3</v>
      </c>
      <c r="X25">
        <f t="shared" si="12"/>
        <v>0</v>
      </c>
      <c r="Y25">
        <f t="shared" si="13"/>
        <v>0.47500000000000003</v>
      </c>
      <c r="Z25">
        <f>Constants!$B$21</f>
        <v>0.19</v>
      </c>
      <c r="AA25">
        <f>Constants!$B$22</f>
        <v>0.6784</v>
      </c>
      <c r="AB25">
        <f>_xlfn.XLOOKUP($A25,Constants!$F$9:$M$9,Constants!$F$10:$M$10)</f>
        <v>0.76</v>
      </c>
      <c r="AC25">
        <f>_xlfn.XLOOKUP($A25,Constants!$F$9:$M$9,Constants!$F$12:$M$12)</f>
        <v>0.01</v>
      </c>
      <c r="AD25">
        <f>_xlfn.XLOOKUP($A25,Constants!$F$9:$M$9,Constants!$F$13:$M$13)</f>
        <v>0.1</v>
      </c>
      <c r="AE25">
        <f>_xlfn.XLOOKUP($A25,Constants!$F$9:$M$9,Constants!$F$14:$M$14)</f>
        <v>0.04</v>
      </c>
      <c r="AF25">
        <f>_xlfn.XLOOKUP($A25,Constants!$F$9:$M$9,Constants!$F$15:$M$15)</f>
        <v>0.03</v>
      </c>
      <c r="AG25">
        <f>_xlfn.XLOOKUP($A25,Constants!$F$9:$M$9,Constants!$F$11:$M$11)</f>
        <v>0.02</v>
      </c>
      <c r="AH25">
        <f>_xlfn.XLOOKUP($A25,Constants!$F$9:$M$9,Constants!$F$16:$M$16)</f>
        <v>0</v>
      </c>
      <c r="AI25">
        <f t="shared" si="14"/>
        <v>1.21226688E-2</v>
      </c>
      <c r="AJ25">
        <f t="shared" si="15"/>
        <v>0</v>
      </c>
      <c r="AK25">
        <f t="shared" si="16"/>
        <v>0</v>
      </c>
      <c r="AL25">
        <f t="shared" si="17"/>
        <v>8.5071360000000011E-4</v>
      </c>
      <c r="AM25">
        <f t="shared" si="18"/>
        <v>0</v>
      </c>
      <c r="AN25">
        <f t="shared" si="19"/>
        <v>6.7348160000000007E-4</v>
      </c>
      <c r="AO25">
        <f t="shared" si="20"/>
        <v>0.4080412336</v>
      </c>
      <c r="AP25">
        <f>Constants!$E$10</f>
        <v>0</v>
      </c>
      <c r="AQ25">
        <f>Constants!$E$12</f>
        <v>0</v>
      </c>
      <c r="AR25">
        <f>Constants!$E$13</f>
        <v>0.75</v>
      </c>
      <c r="AS25">
        <f>Constants!$E$14</f>
        <v>0.05</v>
      </c>
      <c r="AT25">
        <f>Constants!$E$15</f>
        <v>0</v>
      </c>
      <c r="AU25">
        <f>Constants!$E$11</f>
        <v>0</v>
      </c>
      <c r="AV25">
        <f t="shared" si="31"/>
        <v>0.22499999999999998</v>
      </c>
      <c r="AW25">
        <f t="shared" si="32"/>
        <v>0</v>
      </c>
      <c r="AX25">
        <f t="shared" si="33"/>
        <v>0</v>
      </c>
      <c r="AY25">
        <f t="shared" si="34"/>
        <v>0.28499999999999998</v>
      </c>
      <c r="AZ25">
        <f t="shared" si="35"/>
        <v>0</v>
      </c>
      <c r="BA25">
        <f t="shared" si="36"/>
        <v>0.47500000000000003</v>
      </c>
      <c r="BB25">
        <f t="shared" si="37"/>
        <v>0.54175000000000006</v>
      </c>
      <c r="BC25">
        <f t="shared" si="22"/>
        <v>0</v>
      </c>
      <c r="BD25">
        <f t="shared" si="23"/>
        <v>0.15675</v>
      </c>
      <c r="BE25">
        <f t="shared" si="24"/>
        <v>0.38500000000000001</v>
      </c>
      <c r="BF25">
        <f t="shared" si="25"/>
        <v>0</v>
      </c>
      <c r="BG25">
        <f t="shared" si="26"/>
        <v>4.0408896E-4</v>
      </c>
      <c r="BH25">
        <f t="shared" si="27"/>
        <v>0</v>
      </c>
      <c r="BI25">
        <f t="shared" si="28"/>
        <v>1.2082259904000001E-2</v>
      </c>
      <c r="BJ25">
        <f t="shared" si="38"/>
        <v>0.42012349350400002</v>
      </c>
    </row>
    <row r="26" spans="1:63" x14ac:dyDescent="0.2">
      <c r="A26" t="str">
        <f>'Input Scenarios'!A26</f>
        <v>WA</v>
      </c>
      <c r="B26">
        <f>'Input Scenarios'!B26</f>
        <v>0</v>
      </c>
      <c r="C26" t="str">
        <f>'Input Scenarios'!C26</f>
        <v>Non-irrigated crop (low rainfall)</v>
      </c>
      <c r="D26" t="b">
        <f>'Input Scenarios'!D26</f>
        <v>0</v>
      </c>
      <c r="E26" t="str">
        <f>'Input Scenarios'!E26</f>
        <v>others</v>
      </c>
      <c r="F26">
        <f>'Input Scenarios'!F26</f>
        <v>999</v>
      </c>
      <c r="G26">
        <f>'Input Scenarios'!G26</f>
        <v>299</v>
      </c>
      <c r="H26">
        <f>IF('Input Scenarios'!H26&lt;&gt;"", 'Input Scenarios'!H26, _xlfn.XLOOKUP($E26,Constants!$A$3:$A$6, Constants!B$3:B$6))</f>
        <v>1.71</v>
      </c>
      <c r="I26">
        <f>IF('Input Scenarios'!I26&lt;&gt;"", 'Input Scenarios'!I26, _xlfn.XLOOKUP($E26,Constants!$A$3:$A$6, Constants!C$3:C$6))</f>
        <v>0.39</v>
      </c>
      <c r="J26">
        <f>IF('Input Scenarios'!J26&lt;&gt;"", 'Input Scenarios'!J26, _xlfn.XLOOKUP($E26,Constants!$A$3:$A$6, Constants!D$3:D$6))</f>
        <v>3.1232876712328769E-2</v>
      </c>
      <c r="K26">
        <f>'Input Scenarios'!K26</f>
        <v>0</v>
      </c>
      <c r="L26">
        <f>'Input Scenarios'!L26</f>
        <v>0</v>
      </c>
      <c r="M26">
        <f>'Input Scenarios'!M26</f>
        <v>0.5</v>
      </c>
      <c r="N26">
        <f>'Input Scenarios'!N26</f>
        <v>0</v>
      </c>
      <c r="O26">
        <f>'Input Scenarios'!O26</f>
        <v>0.5</v>
      </c>
      <c r="P26">
        <f>'Input Scenarios'!P26</f>
        <v>0</v>
      </c>
      <c r="Q26" t="b">
        <f>'Input Scenarios'!Q26</f>
        <v>1</v>
      </c>
      <c r="R26">
        <f>IF('Input Scenarios'!$R26&lt;&gt;"", 'Input Scenarios'!$R26, IF($Q26, Constants!$B$19, 0))</f>
        <v>0.25</v>
      </c>
      <c r="S26">
        <f>IF('Input Scenarios'!$R26&lt;&gt;"", 'Input Scenarios'!$R26, IF($Q26, Constants!$B$20, 0))</f>
        <v>0.25</v>
      </c>
      <c r="T26">
        <f t="shared" si="8"/>
        <v>0</v>
      </c>
      <c r="U26">
        <f t="shared" si="9"/>
        <v>0</v>
      </c>
      <c r="V26">
        <f t="shared" si="10"/>
        <v>0.375</v>
      </c>
      <c r="W26">
        <f t="shared" si="11"/>
        <v>0</v>
      </c>
      <c r="X26">
        <f t="shared" si="12"/>
        <v>0.375</v>
      </c>
      <c r="Y26">
        <f t="shared" si="13"/>
        <v>0.25</v>
      </c>
      <c r="Z26">
        <f>Constants!$B$21</f>
        <v>0.19</v>
      </c>
      <c r="AA26">
        <f>Constants!$B$22</f>
        <v>0.6784</v>
      </c>
      <c r="AB26">
        <f>_xlfn.XLOOKUP($A26,Constants!$F$9:$M$9,Constants!$F$10:$M$10)</f>
        <v>0.76</v>
      </c>
      <c r="AC26">
        <f>_xlfn.XLOOKUP($A26,Constants!$F$9:$M$9,Constants!$F$12:$M$12)</f>
        <v>0.01</v>
      </c>
      <c r="AD26">
        <f>_xlfn.XLOOKUP($A26,Constants!$F$9:$M$9,Constants!$F$13:$M$13)</f>
        <v>0.1</v>
      </c>
      <c r="AE26">
        <f>_xlfn.XLOOKUP($A26,Constants!$F$9:$M$9,Constants!$F$14:$M$14)</f>
        <v>0.04</v>
      </c>
      <c r="AF26">
        <f>_xlfn.XLOOKUP($A26,Constants!$F$9:$M$9,Constants!$F$15:$M$15)</f>
        <v>0.03</v>
      </c>
      <c r="AG26">
        <f>_xlfn.XLOOKUP($A26,Constants!$F$9:$M$9,Constants!$F$11:$M$11)</f>
        <v>0.02</v>
      </c>
      <c r="AH26">
        <f>_xlfn.XLOOKUP($A26,Constants!$F$9:$M$9,Constants!$F$16:$M$16)</f>
        <v>0</v>
      </c>
      <c r="AI26">
        <f t="shared" si="14"/>
        <v>0</v>
      </c>
      <c r="AJ26">
        <f t="shared" si="15"/>
        <v>0</v>
      </c>
      <c r="AK26">
        <f t="shared" si="16"/>
        <v>1.8851040000000001E-3</v>
      </c>
      <c r="AL26">
        <f t="shared" si="17"/>
        <v>0</v>
      </c>
      <c r="AM26">
        <f t="shared" si="18"/>
        <v>5.6553119999999994E-4</v>
      </c>
      <c r="AN26">
        <f t="shared" si="19"/>
        <v>2.5134720000000003E-4</v>
      </c>
      <c r="AO26">
        <f t="shared" si="20"/>
        <v>0.80708484486240017</v>
      </c>
      <c r="AP26">
        <f>Constants!$E$10</f>
        <v>0</v>
      </c>
      <c r="AQ26">
        <f>Constants!$E$12</f>
        <v>0</v>
      </c>
      <c r="AR26">
        <f>Constants!$E$13</f>
        <v>0.75</v>
      </c>
      <c r="AS26">
        <f>Constants!$E$14</f>
        <v>0.05</v>
      </c>
      <c r="AT26">
        <f>Constants!$E$15</f>
        <v>0</v>
      </c>
      <c r="AU26">
        <f>Constants!$E$11</f>
        <v>0</v>
      </c>
      <c r="AV26">
        <f t="shared" si="31"/>
        <v>0</v>
      </c>
      <c r="AW26">
        <f t="shared" si="32"/>
        <v>0</v>
      </c>
      <c r="AX26">
        <f t="shared" si="33"/>
        <v>9.375E-2</v>
      </c>
      <c r="AY26">
        <f t="shared" si="34"/>
        <v>0</v>
      </c>
      <c r="AZ26">
        <f t="shared" si="35"/>
        <v>0.375</v>
      </c>
      <c r="BA26">
        <f t="shared" si="36"/>
        <v>0.25</v>
      </c>
      <c r="BB26">
        <f t="shared" si="37"/>
        <v>0.28031250000000002</v>
      </c>
      <c r="BC26">
        <f t="shared" si="22"/>
        <v>3.6562499999999998E-2</v>
      </c>
      <c r="BD26">
        <f t="shared" si="23"/>
        <v>0</v>
      </c>
      <c r="BE26">
        <f t="shared" si="24"/>
        <v>0.24375000000000002</v>
      </c>
      <c r="BF26">
        <f t="shared" si="25"/>
        <v>3.5816975999999998E-3</v>
      </c>
      <c r="BG26">
        <f t="shared" si="26"/>
        <v>0</v>
      </c>
      <c r="BH26">
        <f t="shared" si="27"/>
        <v>0</v>
      </c>
      <c r="BI26">
        <f t="shared" si="28"/>
        <v>1.0698566548176001</v>
      </c>
      <c r="BJ26">
        <f t="shared" si="38"/>
        <v>1.87694149968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E894A-F3E6-834D-A8A6-38753016E6A6}">
  <dimension ref="A2:BK34"/>
  <sheetViews>
    <sheetView tabSelected="1" workbookViewId="0">
      <selection activeCell="I31" sqref="I31"/>
    </sheetView>
  </sheetViews>
  <sheetFormatPr baseColWidth="10" defaultRowHeight="16" x14ac:dyDescent="0.2"/>
  <sheetData>
    <row r="2" spans="1:63" x14ac:dyDescent="0.2">
      <c r="A2" s="1" t="s">
        <v>210</v>
      </c>
      <c r="B2" s="1"/>
      <c r="C2" s="1"/>
      <c r="D2" s="1"/>
      <c r="E2" s="1"/>
      <c r="F2" s="1"/>
      <c r="G2" s="1"/>
      <c r="H2" s="1"/>
    </row>
    <row r="3" spans="1:63" x14ac:dyDescent="0.2">
      <c r="A3" s="1"/>
      <c r="B3" s="1"/>
      <c r="C3" s="1"/>
      <c r="D3" s="1"/>
      <c r="E3" s="1"/>
      <c r="F3" s="1"/>
      <c r="G3" s="1"/>
      <c r="H3" s="1"/>
    </row>
    <row r="4" spans="1:63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</v>
      </c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 t="s">
        <v>1</v>
      </c>
      <c r="T4" s="1" t="s">
        <v>191</v>
      </c>
      <c r="U4" s="1" t="s">
        <v>191</v>
      </c>
      <c r="V4" s="1" t="s">
        <v>191</v>
      </c>
      <c r="W4" s="1" t="s">
        <v>191</v>
      </c>
      <c r="X4" s="1" t="s">
        <v>191</v>
      </c>
      <c r="Y4" s="1" t="s">
        <v>191</v>
      </c>
      <c r="Z4" s="1" t="s">
        <v>192</v>
      </c>
      <c r="AA4" s="1" t="s">
        <v>192</v>
      </c>
      <c r="AB4" s="1" t="s">
        <v>192</v>
      </c>
      <c r="AC4" s="1" t="s">
        <v>192</v>
      </c>
      <c r="AD4" s="1" t="s">
        <v>192</v>
      </c>
      <c r="AE4" s="1" t="s">
        <v>192</v>
      </c>
      <c r="AF4" s="1" t="s">
        <v>192</v>
      </c>
      <c r="AG4" s="1" t="s">
        <v>192</v>
      </c>
      <c r="AH4" s="1" t="s">
        <v>192</v>
      </c>
      <c r="AI4" s="1" t="s">
        <v>191</v>
      </c>
      <c r="AJ4" s="1" t="s">
        <v>191</v>
      </c>
      <c r="AK4" s="1" t="s">
        <v>191</v>
      </c>
      <c r="AL4" s="1" t="s">
        <v>191</v>
      </c>
      <c r="AM4" s="1" t="s">
        <v>191</v>
      </c>
      <c r="AN4" s="1" t="s">
        <v>191</v>
      </c>
      <c r="AO4" t="s">
        <v>191</v>
      </c>
      <c r="AP4" s="1" t="s">
        <v>192</v>
      </c>
      <c r="AQ4" s="1" t="s">
        <v>192</v>
      </c>
      <c r="AR4" s="1" t="s">
        <v>192</v>
      </c>
      <c r="AS4" s="1" t="s">
        <v>192</v>
      </c>
      <c r="AT4" s="1" t="s">
        <v>192</v>
      </c>
      <c r="AU4" s="1" t="s">
        <v>192</v>
      </c>
      <c r="AV4" t="s">
        <v>191</v>
      </c>
      <c r="AW4" t="s">
        <v>191</v>
      </c>
      <c r="AX4" t="s">
        <v>191</v>
      </c>
      <c r="AY4" t="s">
        <v>191</v>
      </c>
      <c r="AZ4" t="s">
        <v>191</v>
      </c>
      <c r="BA4" t="s">
        <v>191</v>
      </c>
      <c r="BB4" t="s">
        <v>191</v>
      </c>
      <c r="BC4" t="s">
        <v>191</v>
      </c>
      <c r="BD4" t="s">
        <v>191</v>
      </c>
      <c r="BE4" t="s">
        <v>191</v>
      </c>
      <c r="BF4" t="s">
        <v>191</v>
      </c>
      <c r="BG4" t="s">
        <v>191</v>
      </c>
      <c r="BH4" t="s">
        <v>191</v>
      </c>
      <c r="BI4" t="s">
        <v>191</v>
      </c>
      <c r="BJ4" t="s">
        <v>191</v>
      </c>
      <c r="BK4" t="s">
        <v>191</v>
      </c>
    </row>
    <row r="5" spans="1:63" x14ac:dyDescent="0.2">
      <c r="A5" s="1"/>
      <c r="B5" s="1"/>
      <c r="C5" s="1"/>
      <c r="D5" s="1"/>
      <c r="E5" s="1"/>
      <c r="F5" s="1"/>
      <c r="G5" s="1"/>
      <c r="H5" s="1"/>
    </row>
    <row r="6" spans="1:63" x14ac:dyDescent="0.2">
      <c r="A6" s="1"/>
      <c r="B6" s="1"/>
      <c r="C6" s="1"/>
      <c r="D6" s="1"/>
      <c r="E6" s="1"/>
      <c r="F6" s="1"/>
      <c r="G6" s="1"/>
      <c r="H6" s="1"/>
      <c r="T6" t="s">
        <v>194</v>
      </c>
    </row>
    <row r="7" spans="1:63" x14ac:dyDescent="0.2">
      <c r="A7" s="1"/>
      <c r="B7" s="1"/>
      <c r="C7" s="1"/>
      <c r="D7" s="1"/>
      <c r="E7" s="1"/>
      <c r="F7" s="1"/>
      <c r="G7" s="1"/>
      <c r="H7" s="1"/>
      <c r="T7" t="s">
        <v>193</v>
      </c>
      <c r="Y7" t="s">
        <v>195</v>
      </c>
      <c r="AI7" t="s">
        <v>190</v>
      </c>
      <c r="BK7" t="s">
        <v>189</v>
      </c>
    </row>
    <row r="8" spans="1:63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116</v>
      </c>
      <c r="J8" s="1" t="s">
        <v>117</v>
      </c>
      <c r="K8" t="s">
        <v>29</v>
      </c>
      <c r="L8" t="s">
        <v>31</v>
      </c>
      <c r="M8" t="s">
        <v>32</v>
      </c>
      <c r="N8" t="s">
        <v>33</v>
      </c>
      <c r="O8" t="s">
        <v>34</v>
      </c>
      <c r="P8" t="s">
        <v>30</v>
      </c>
      <c r="Q8" t="s">
        <v>36</v>
      </c>
      <c r="R8" t="s">
        <v>37</v>
      </c>
    </row>
    <row r="9" spans="1:63" x14ac:dyDescent="0.2">
      <c r="A9" s="1"/>
      <c r="B9" s="1"/>
      <c r="C9" s="1"/>
      <c r="D9" s="1"/>
      <c r="E9" s="1"/>
      <c r="F9" s="1"/>
      <c r="G9" s="1"/>
      <c r="H9" s="1"/>
    </row>
    <row r="10" spans="1:63" s="2" customFormat="1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17</v>
      </c>
      <c r="M10" s="3" t="s">
        <v>20</v>
      </c>
      <c r="N10" s="3" t="s">
        <v>21</v>
      </c>
      <c r="O10" s="3" t="s">
        <v>22</v>
      </c>
      <c r="P10" s="3" t="s">
        <v>19</v>
      </c>
      <c r="Q10" s="3" t="s">
        <v>35</v>
      </c>
      <c r="R10" s="3" t="s">
        <v>23</v>
      </c>
      <c r="S10" s="3" t="s">
        <v>24</v>
      </c>
      <c r="T10" s="3" t="s">
        <v>80</v>
      </c>
      <c r="U10" s="3" t="s">
        <v>81</v>
      </c>
      <c r="V10" s="19" t="s">
        <v>82</v>
      </c>
      <c r="W10" s="19" t="s">
        <v>83</v>
      </c>
      <c r="X10" s="19" t="s">
        <v>84</v>
      </c>
      <c r="Y10" s="19" t="s">
        <v>85</v>
      </c>
      <c r="Z10" s="19" t="s">
        <v>69</v>
      </c>
      <c r="AA10" s="19" t="s">
        <v>70</v>
      </c>
      <c r="AB10" s="19" t="s">
        <v>92</v>
      </c>
      <c r="AC10" s="19" t="s">
        <v>93</v>
      </c>
      <c r="AD10" s="19" t="s">
        <v>94</v>
      </c>
      <c r="AE10" s="19" t="s">
        <v>95</v>
      </c>
      <c r="AF10" s="19" t="s">
        <v>96</v>
      </c>
      <c r="AG10" s="19" t="s">
        <v>97</v>
      </c>
      <c r="AH10" s="19" t="s">
        <v>106</v>
      </c>
      <c r="AI10" s="19" t="s">
        <v>86</v>
      </c>
      <c r="AJ10" s="19" t="s">
        <v>87</v>
      </c>
      <c r="AK10" s="19" t="s">
        <v>88</v>
      </c>
      <c r="AL10" s="19" t="s">
        <v>89</v>
      </c>
      <c r="AM10" s="19" t="s">
        <v>90</v>
      </c>
      <c r="AN10" s="19" t="s">
        <v>91</v>
      </c>
      <c r="AO10" s="20" t="s">
        <v>98</v>
      </c>
      <c r="AP10" s="19" t="s">
        <v>99</v>
      </c>
      <c r="AQ10" s="19" t="s">
        <v>100</v>
      </c>
      <c r="AR10" s="19" t="s">
        <v>101</v>
      </c>
      <c r="AS10" s="19" t="s">
        <v>102</v>
      </c>
      <c r="AT10" s="19" t="s">
        <v>103</v>
      </c>
      <c r="AU10" s="19" t="s">
        <v>104</v>
      </c>
      <c r="AV10" s="19" t="s">
        <v>175</v>
      </c>
      <c r="AW10" s="19" t="s">
        <v>176</v>
      </c>
      <c r="AX10" s="19" t="s">
        <v>177</v>
      </c>
      <c r="AY10" s="19" t="s">
        <v>178</v>
      </c>
      <c r="AZ10" s="19" t="s">
        <v>179</v>
      </c>
      <c r="BA10" s="19" t="s">
        <v>180</v>
      </c>
      <c r="BB10" s="20" t="s">
        <v>105</v>
      </c>
      <c r="BC10" s="19" t="s">
        <v>183</v>
      </c>
      <c r="BD10" s="19" t="s">
        <v>185</v>
      </c>
      <c r="BE10" s="19" t="s">
        <v>184</v>
      </c>
      <c r="BF10" s="19" t="s">
        <v>107</v>
      </c>
      <c r="BG10" s="19" t="s">
        <v>108</v>
      </c>
      <c r="BH10" s="19" t="s">
        <v>109</v>
      </c>
      <c r="BI10" s="20" t="s">
        <v>110</v>
      </c>
      <c r="BJ10" s="20" t="s">
        <v>111</v>
      </c>
      <c r="BK10" s="20" t="s">
        <v>112</v>
      </c>
    </row>
    <row r="11" spans="1:63" x14ac:dyDescent="0.2">
      <c r="A11" t="str">
        <f>'Input Scenarios'!A38</f>
        <v>NSW</v>
      </c>
      <c r="B11" t="str">
        <f>'Input Scenarios'!B38</f>
        <v>10 or below</v>
      </c>
      <c r="C11" t="str">
        <f>'Input Scenarios'!C38</f>
        <v>Irrigated crop</v>
      </c>
      <c r="D11" t="b">
        <f>'Input Scenarios'!D38</f>
        <v>1</v>
      </c>
      <c r="E11" t="str">
        <f>'Input Scenarios'!E38</f>
        <v>boars</v>
      </c>
      <c r="F11">
        <f>'Input Scenarios'!F38</f>
        <v>111</v>
      </c>
      <c r="G11">
        <f>'Input Scenarios'!G38</f>
        <v>105</v>
      </c>
      <c r="H11">
        <f>IF('Input Scenarios'!H38&lt;&gt;"", 'Input Scenarios'!H38, _xlfn.XLOOKUP($E11,Constants!$A$3:$A$6, Constants!B$3:B$6))</f>
        <v>2.62</v>
      </c>
      <c r="I11">
        <f>IF('Input Scenarios'!I38&lt;&gt;"", 'Input Scenarios'!I38, _xlfn.XLOOKUP($E11,Constants!$A$3:$A$6, Constants!C$3:C$6))</f>
        <v>0.37</v>
      </c>
      <c r="J11">
        <f>IF('Input Scenarios'!J38&lt;&gt;"", 'Input Scenarios'!J38, _xlfn.XLOOKUP($E11,Constants!$A$3:$A$6, Constants!D$3:D$6))</f>
        <v>0.04</v>
      </c>
      <c r="K11">
        <f>'Input Scenarios'!K38</f>
        <v>1</v>
      </c>
      <c r="L11">
        <f>'Input Scenarios'!L38</f>
        <v>0</v>
      </c>
      <c r="M11">
        <f>'Input Scenarios'!M38</f>
        <v>0</v>
      </c>
      <c r="N11">
        <f>'Input Scenarios'!N38</f>
        <v>0</v>
      </c>
      <c r="O11">
        <f>'Input Scenarios'!O38</f>
        <v>0</v>
      </c>
      <c r="P11">
        <f>'Input Scenarios'!P38</f>
        <v>0</v>
      </c>
      <c r="Q11" t="b">
        <f>'Input Scenarios'!Q38</f>
        <v>1</v>
      </c>
      <c r="R11">
        <f>IF('Input Scenarios'!$R38&lt;&gt;"", 'Input Scenarios'!$R38, IF($Q11, Constants!$B$19, 0))</f>
        <v>0.3</v>
      </c>
      <c r="S11">
        <f>IF('Input Scenarios'!$R38&lt;&gt;"", 'Input Scenarios'!$R38, IF($Q11, Constants!$B$20, 0))</f>
        <v>0.3</v>
      </c>
      <c r="T11">
        <f>K11*(1-$R11)</f>
        <v>0.7</v>
      </c>
      <c r="U11">
        <f>L11</f>
        <v>0</v>
      </c>
      <c r="V11">
        <f>M11*(1-$R11)</f>
        <v>0</v>
      </c>
      <c r="W11">
        <f>N11</f>
        <v>0</v>
      </c>
      <c r="X11">
        <f>O11*(1-$R11)</f>
        <v>0</v>
      </c>
      <c r="Y11">
        <f>P11+(SUM(K11,M11,O11)*R11)</f>
        <v>0.3</v>
      </c>
      <c r="Z11">
        <f>Constants!$B$21</f>
        <v>0.19</v>
      </c>
      <c r="AA11">
        <f>Constants!$B$22</f>
        <v>0.6784</v>
      </c>
      <c r="AB11">
        <f>_xlfn.XLOOKUP($B11,Constants!$G$20:$G$38, Constants!H$20:H$38)</f>
        <v>0.66</v>
      </c>
      <c r="AC11">
        <f>_xlfn.XLOOKUP($A11,Constants!$F$9:$M$9,Constants!$F$12:$M$12)</f>
        <v>0.01</v>
      </c>
      <c r="AD11">
        <f>_xlfn.XLOOKUP($B11,Constants!$G$20:$G$38, Constants!J$20:J$38)</f>
        <v>0.1</v>
      </c>
      <c r="AE11">
        <f>_xlfn.XLOOKUP($B11,Constants!$G$20:$G$38, Constants!K$20:K$38)</f>
        <v>0.04</v>
      </c>
      <c r="AF11">
        <f>_xlfn.XLOOKUP($B11,Constants!$G$20:$G$38, Constants!L$20:L$38)</f>
        <v>0.03</v>
      </c>
      <c r="AG11">
        <f>_xlfn.XLOOKUP($B11,Constants!$G$20:$G$38, Constants!I$20:I$38)</f>
        <v>0.02</v>
      </c>
      <c r="AH11">
        <f>_xlfn.XLOOKUP($B11,Constants!$G$20:$G$38, Constants!P$20:P$38)</f>
        <v>0</v>
      </c>
      <c r="AI11">
        <f>$I11*T11*AB11*$Z11*$AA11</f>
        <v>2.2033482240000003E-2</v>
      </c>
      <c r="AJ11">
        <f t="shared" ref="AJ11:AN26" si="0">$I11*U11*AC11*$Z11*$AA11</f>
        <v>0</v>
      </c>
      <c r="AK11">
        <f t="shared" si="0"/>
        <v>0</v>
      </c>
      <c r="AL11">
        <f t="shared" si="0"/>
        <v>0</v>
      </c>
      <c r="AM11">
        <f t="shared" si="0"/>
        <v>0</v>
      </c>
      <c r="AN11">
        <f t="shared" si="0"/>
        <v>2.8614912000000004E-4</v>
      </c>
      <c r="AO11">
        <f>(SUM(AI11:AN11)*F11*G11)/1000</f>
        <v>0.26013530350080005</v>
      </c>
      <c r="AP11">
        <f>Constants!$E$10</f>
        <v>0</v>
      </c>
      <c r="AQ11">
        <f>Constants!$E$12</f>
        <v>0</v>
      </c>
      <c r="AR11">
        <f>Constants!$E$13</f>
        <v>0.75</v>
      </c>
      <c r="AS11">
        <f>Constants!$E$14</f>
        <v>0.05</v>
      </c>
      <c r="AT11">
        <f>Constants!$E$15</f>
        <v>0</v>
      </c>
      <c r="AU11">
        <f>Constants!$E$11</f>
        <v>0</v>
      </c>
      <c r="AV11">
        <f t="shared" ref="AV11:BA26" si="1">(T11*(1-AP11))</f>
        <v>0.7</v>
      </c>
      <c r="AW11">
        <f>(U11*(1-AQ11))</f>
        <v>0</v>
      </c>
      <c r="AX11">
        <f t="shared" ref="AX11:BA14" si="2">(V11*(1-AR11))</f>
        <v>0</v>
      </c>
      <c r="AY11">
        <f t="shared" si="2"/>
        <v>0</v>
      </c>
      <c r="AZ11">
        <f t="shared" si="2"/>
        <v>0</v>
      </c>
      <c r="BA11">
        <f t="shared" si="2"/>
        <v>0.3</v>
      </c>
      <c r="BB11">
        <f t="shared" ref="BB11:BB14" si="3">SUM(AV11:BA11)*I11</f>
        <v>0.37</v>
      </c>
      <c r="BC11">
        <f>AX11*$I11</f>
        <v>0</v>
      </c>
      <c r="BD11">
        <f>AY11*$I11</f>
        <v>0</v>
      </c>
      <c r="BE11">
        <f>SUM(AV11:AW11, AZ11:BA11)*$I11</f>
        <v>0.37</v>
      </c>
      <c r="BF11">
        <f>BC11*$Z11*AB11*$AA11</f>
        <v>0</v>
      </c>
      <c r="BG11">
        <f>BD11*$Z11*AG11*$AA11</f>
        <v>0</v>
      </c>
      <c r="BH11">
        <f>BE11*$Z11*AH11*$AA11</f>
        <v>0</v>
      </c>
      <c r="BI11">
        <f>(SUM(BF11:BH11)*F11*G11)/1000</f>
        <v>0</v>
      </c>
      <c r="BJ11">
        <f t="shared" ref="BJ11:BJ14" si="4">SUM(AI11:AN11, BF11:BH11)*F11*G11/1000</f>
        <v>0.26013530350080005</v>
      </c>
      <c r="BK11">
        <f>SUM(BJ11:BJ14)</f>
        <v>1.09765028307456</v>
      </c>
    </row>
    <row r="12" spans="1:63" x14ac:dyDescent="0.2">
      <c r="A12" t="str">
        <f>'Input Scenarios'!A39</f>
        <v>NSW</v>
      </c>
      <c r="B12" t="str">
        <f>'Input Scenarios'!B39</f>
        <v>10 or below</v>
      </c>
      <c r="C12" t="str">
        <f>'Input Scenarios'!C39</f>
        <v>Irrigated crop</v>
      </c>
      <c r="D12" t="b">
        <f>'Input Scenarios'!D39</f>
        <v>1</v>
      </c>
      <c r="E12" t="str">
        <f>'Input Scenarios'!E39</f>
        <v>sows</v>
      </c>
      <c r="F12">
        <f>'Input Scenarios'!F39</f>
        <v>222</v>
      </c>
      <c r="G12">
        <f>'Input Scenarios'!G39</f>
        <v>103</v>
      </c>
      <c r="H12">
        <f>IF('Input Scenarios'!H39&lt;&gt;"", 'Input Scenarios'!H39, _xlfn.XLOOKUP($E12,Constants!$A$3:$A$6, Constants!B$3:B$6))</f>
        <v>2.2999999999999998</v>
      </c>
      <c r="I12">
        <f>IF('Input Scenarios'!I39&lt;&gt;"", 'Input Scenarios'!I39, _xlfn.XLOOKUP($E12,Constants!$A$3:$A$6, Constants!C$3:C$6))</f>
        <v>0.37</v>
      </c>
      <c r="J12">
        <f>IF('Input Scenarios'!J39&lt;&gt;"", 'Input Scenarios'!J39, _xlfn.XLOOKUP($E12,Constants!$A$3:$A$6, Constants!D$3:D$6))</f>
        <v>0.04</v>
      </c>
      <c r="K12">
        <f>'Input Scenarios'!K39</f>
        <v>1</v>
      </c>
      <c r="L12">
        <f>'Input Scenarios'!L39</f>
        <v>0</v>
      </c>
      <c r="M12">
        <f>'Input Scenarios'!M39</f>
        <v>0</v>
      </c>
      <c r="N12">
        <f>'Input Scenarios'!N39</f>
        <v>0</v>
      </c>
      <c r="O12">
        <f>'Input Scenarios'!O39</f>
        <v>0</v>
      </c>
      <c r="P12">
        <f>'Input Scenarios'!P39</f>
        <v>0</v>
      </c>
      <c r="Q12" t="b">
        <f>'Input Scenarios'!Q39</f>
        <v>1</v>
      </c>
      <c r="R12">
        <f>IF('Input Scenarios'!$R39&lt;&gt;"", 'Input Scenarios'!$R39, IF($Q12, Constants!$B$19, 0))</f>
        <v>0.3</v>
      </c>
      <c r="S12">
        <f>IF('Input Scenarios'!$R39&lt;&gt;"", 'Input Scenarios'!$R39, IF($Q12, Constants!$B$20, 0))</f>
        <v>0.3</v>
      </c>
      <c r="T12">
        <f t="shared" ref="T12:T30" si="5">K12*(1-$R12)</f>
        <v>0.7</v>
      </c>
      <c r="U12">
        <f t="shared" ref="U12:U30" si="6">L12</f>
        <v>0</v>
      </c>
      <c r="V12">
        <f t="shared" ref="V12:V30" si="7">M12*(1-$R12)</f>
        <v>0</v>
      </c>
      <c r="W12">
        <f t="shared" ref="W12:W30" si="8">N12</f>
        <v>0</v>
      </c>
      <c r="X12">
        <f t="shared" ref="X12:X30" si="9">O12*(1-$R12)</f>
        <v>0</v>
      </c>
      <c r="Y12">
        <f t="shared" ref="Y12:Y30" si="10">P12+(SUM(K12,M12,O12)*R12)</f>
        <v>0.3</v>
      </c>
      <c r="Z12">
        <f>Constants!$B$21</f>
        <v>0.19</v>
      </c>
      <c r="AA12">
        <f>Constants!$B$22</f>
        <v>0.6784</v>
      </c>
      <c r="AB12">
        <f>_xlfn.XLOOKUP($B12,Constants!$G$20:$G$38, Constants!H$20:H$38)</f>
        <v>0.66</v>
      </c>
      <c r="AC12">
        <f>_xlfn.XLOOKUP($A12,Constants!$F$9:$M$9,Constants!$F$12:$M$12)</f>
        <v>0.01</v>
      </c>
      <c r="AD12">
        <f>_xlfn.XLOOKUP($B12,Constants!$G$20:$G$38, Constants!J$20:J$38)</f>
        <v>0.1</v>
      </c>
      <c r="AE12">
        <f>_xlfn.XLOOKUP($B12,Constants!$G$20:$G$38, Constants!K$20:K$38)</f>
        <v>0.04</v>
      </c>
      <c r="AF12">
        <f>_xlfn.XLOOKUP($B12,Constants!$G$20:$G$38, Constants!L$20:L$38)</f>
        <v>0.03</v>
      </c>
      <c r="AG12">
        <f>_xlfn.XLOOKUP($B12,Constants!$G$20:$G$38, Constants!I$20:I$38)</f>
        <v>0.02</v>
      </c>
      <c r="AH12">
        <f>_xlfn.XLOOKUP($B12,Constants!$G$20:$G$38, Constants!P$20:P$38)</f>
        <v>0</v>
      </c>
      <c r="AI12">
        <f t="shared" ref="AI12:AI30" si="11">$I12*T12*AB12*$Z12*$AA12</f>
        <v>2.2033482240000003E-2</v>
      </c>
      <c r="AJ12">
        <f t="shared" ref="AJ12:AJ30" si="12">$I12*U12*AC12*$Z12*$AA12</f>
        <v>0</v>
      </c>
      <c r="AK12">
        <f t="shared" ref="AK12:AK30" si="13">$I12*V12*AD12*$Z12*$AA12</f>
        <v>0</v>
      </c>
      <c r="AL12">
        <f t="shared" ref="AL12:AL30" si="14">$I12*W12*AE12*$Z12*$AA12</f>
        <v>0</v>
      </c>
      <c r="AM12">
        <f t="shared" ref="AM12:AM30" si="15">$I12*X12*AF12*$Z12*$AA12</f>
        <v>0</v>
      </c>
      <c r="AN12">
        <f t="shared" ref="AN12:AN30" si="16">$I12*Y12*AG12*$Z12*$AA12</f>
        <v>2.8614912000000004E-4</v>
      </c>
      <c r="AO12">
        <f t="shared" ref="AO12:AO30" si="17">(SUM(AI12:AN12)*F12*G12)/1000</f>
        <v>0.51036069067776002</v>
      </c>
      <c r="AP12">
        <f>Constants!$E$10</f>
        <v>0</v>
      </c>
      <c r="AQ12">
        <f>Constants!$E$12</f>
        <v>0</v>
      </c>
      <c r="AR12">
        <f>Constants!$E$13</f>
        <v>0.75</v>
      </c>
      <c r="AS12">
        <f>Constants!$E$14</f>
        <v>0.05</v>
      </c>
      <c r="AT12">
        <f>Constants!$E$15</f>
        <v>0</v>
      </c>
      <c r="AU12">
        <f>Constants!$E$11</f>
        <v>0</v>
      </c>
      <c r="AV12">
        <f t="shared" ref="AV12:AV30" si="18">(T12*(1-AP12))</f>
        <v>0.7</v>
      </c>
      <c r="AW12">
        <f t="shared" ref="AW12:AW30" si="19">(U12*(1-AQ12))</f>
        <v>0</v>
      </c>
      <c r="AX12">
        <f t="shared" ref="AX12:AX30" si="20">(V12*(1-AR12))</f>
        <v>0</v>
      </c>
      <c r="AY12">
        <f t="shared" ref="AY12:AY30" si="21">(W12*(1-AS12))</f>
        <v>0</v>
      </c>
      <c r="AZ12">
        <f t="shared" ref="AZ12:AZ30" si="22">(X12*(1-AT12))</f>
        <v>0</v>
      </c>
      <c r="BA12">
        <f t="shared" ref="BA12:BA30" si="23">(Y12*(1-AU12))</f>
        <v>0.3</v>
      </c>
      <c r="BB12">
        <f t="shared" ref="BB12:BB30" si="24">SUM(AV12:BA12)*I12</f>
        <v>0.37</v>
      </c>
      <c r="BC12">
        <f t="shared" ref="BC12:BC30" si="25">AX12*$I12</f>
        <v>0</v>
      </c>
      <c r="BD12">
        <f t="shared" ref="BD12:BD30" si="26">AY12*$I12</f>
        <v>0</v>
      </c>
      <c r="BE12">
        <f t="shared" ref="BE12:BE30" si="27">SUM(AV12:AW12, AZ12:BA12)*$I12</f>
        <v>0.37</v>
      </c>
      <c r="BF12">
        <f t="shared" ref="BF12:BF30" si="28">BC12*$Z12*AB12*$AA12</f>
        <v>0</v>
      </c>
      <c r="BG12">
        <f t="shared" ref="BG12:BG30" si="29">BD12*$Z12*AG12*$AA12</f>
        <v>0</v>
      </c>
      <c r="BH12">
        <f t="shared" ref="BH12:BH30" si="30">BE12*$Z12*AH12*$AA12</f>
        <v>0</v>
      </c>
      <c r="BI12">
        <f t="shared" ref="BI12:BI30" si="31">(SUM(BF12:BH12)*F12*G12)/1000</f>
        <v>0</v>
      </c>
      <c r="BJ12">
        <f t="shared" ref="BJ12:BJ30" si="32">SUM(AI12:AN12, BF12:BH12)*F12*G12/1000</f>
        <v>0.51036069067776002</v>
      </c>
    </row>
    <row r="13" spans="1:63" x14ac:dyDescent="0.2">
      <c r="A13" t="str">
        <f>'Input Scenarios'!A40</f>
        <v>NSW</v>
      </c>
      <c r="B13" t="str">
        <f>'Input Scenarios'!B40</f>
        <v>10 or below</v>
      </c>
      <c r="C13" t="str">
        <f>'Input Scenarios'!C40</f>
        <v>Irrigated crop</v>
      </c>
      <c r="D13" t="b">
        <f>'Input Scenarios'!D40</f>
        <v>1</v>
      </c>
      <c r="E13" t="str">
        <f>'Input Scenarios'!E40</f>
        <v>gilts</v>
      </c>
      <c r="F13">
        <f>'Input Scenarios'!F40</f>
        <v>333</v>
      </c>
      <c r="G13">
        <f>'Input Scenarios'!G40</f>
        <v>200</v>
      </c>
      <c r="H13">
        <f>IF('Input Scenarios'!H40&lt;&gt;"", 'Input Scenarios'!H40, _xlfn.XLOOKUP($E13,Constants!$A$3:$A$6, Constants!B$3:B$6))</f>
        <v>2.5</v>
      </c>
      <c r="I13">
        <f>IF('Input Scenarios'!I40&lt;&gt;"", 'Input Scenarios'!I40, _xlfn.XLOOKUP($E13,Constants!$A$3:$A$6, Constants!C$3:C$6))</f>
        <v>0.37</v>
      </c>
      <c r="J13">
        <f>IF('Input Scenarios'!J40&lt;&gt;"", 'Input Scenarios'!J40, _xlfn.XLOOKUP($E13,Constants!$A$3:$A$6, Constants!D$3:D$6))</f>
        <v>0.04</v>
      </c>
      <c r="K13">
        <f>'Input Scenarios'!K40</f>
        <v>0</v>
      </c>
      <c r="L13">
        <f>'Input Scenarios'!L40</f>
        <v>0</v>
      </c>
      <c r="M13">
        <f>'Input Scenarios'!M40</f>
        <v>0</v>
      </c>
      <c r="N13">
        <f>'Input Scenarios'!N40</f>
        <v>0</v>
      </c>
      <c r="O13">
        <f>'Input Scenarios'!O40</f>
        <v>1</v>
      </c>
      <c r="P13">
        <f>'Input Scenarios'!P40</f>
        <v>0</v>
      </c>
      <c r="Q13" t="b">
        <f>'Input Scenarios'!Q40</f>
        <v>0</v>
      </c>
      <c r="R13">
        <f>IF('Input Scenarios'!$R40&lt;&gt;"", 'Input Scenarios'!$R40, IF($Q13, Constants!$B$19, 0))</f>
        <v>0</v>
      </c>
      <c r="S13">
        <f>IF('Input Scenarios'!$R40&lt;&gt;"", 'Input Scenarios'!$R40, IF($Q13, Constants!$B$20, 0))</f>
        <v>0</v>
      </c>
      <c r="T13">
        <f t="shared" si="5"/>
        <v>0</v>
      </c>
      <c r="U13">
        <f t="shared" si="6"/>
        <v>0</v>
      </c>
      <c r="V13">
        <f t="shared" si="7"/>
        <v>0</v>
      </c>
      <c r="W13">
        <f t="shared" si="8"/>
        <v>0</v>
      </c>
      <c r="X13">
        <f t="shared" si="9"/>
        <v>1</v>
      </c>
      <c r="Y13">
        <f t="shared" si="10"/>
        <v>0</v>
      </c>
      <c r="Z13">
        <f>Constants!$B$21</f>
        <v>0.19</v>
      </c>
      <c r="AA13">
        <f>Constants!$B$22</f>
        <v>0.6784</v>
      </c>
      <c r="AB13">
        <f>_xlfn.XLOOKUP($B13,Constants!$G$20:$G$38, Constants!H$20:H$38)</f>
        <v>0.66</v>
      </c>
      <c r="AC13">
        <f>_xlfn.XLOOKUP($A13,Constants!$F$9:$M$9,Constants!$F$12:$M$12)</f>
        <v>0.01</v>
      </c>
      <c r="AD13">
        <f>_xlfn.XLOOKUP($B13,Constants!$G$20:$G$38, Constants!J$20:J$38)</f>
        <v>0.1</v>
      </c>
      <c r="AE13">
        <f>_xlfn.XLOOKUP($B13,Constants!$G$20:$G$38, Constants!K$20:K$38)</f>
        <v>0.04</v>
      </c>
      <c r="AF13">
        <f>_xlfn.XLOOKUP($B13,Constants!$G$20:$G$38, Constants!L$20:L$38)</f>
        <v>0.03</v>
      </c>
      <c r="AG13">
        <f>_xlfn.XLOOKUP($B13,Constants!$G$20:$G$38, Constants!I$20:I$38)</f>
        <v>0.02</v>
      </c>
      <c r="AH13">
        <f>_xlfn.XLOOKUP($B13,Constants!$G$20:$G$38, Constants!P$20:P$38)</f>
        <v>0</v>
      </c>
      <c r="AI13">
        <f t="shared" si="11"/>
        <v>0</v>
      </c>
      <c r="AJ13">
        <f t="shared" si="12"/>
        <v>0</v>
      </c>
      <c r="AK13">
        <f t="shared" si="13"/>
        <v>0</v>
      </c>
      <c r="AL13">
        <f t="shared" si="14"/>
        <v>0</v>
      </c>
      <c r="AM13">
        <f t="shared" si="15"/>
        <v>1.4307455999999997E-3</v>
      </c>
      <c r="AN13">
        <f t="shared" si="16"/>
        <v>0</v>
      </c>
      <c r="AO13">
        <f t="shared" si="17"/>
        <v>9.5287656959999981E-2</v>
      </c>
      <c r="AP13">
        <f>Constants!$E$10</f>
        <v>0</v>
      </c>
      <c r="AQ13">
        <f>Constants!$E$12</f>
        <v>0</v>
      </c>
      <c r="AR13">
        <f>Constants!$E$13</f>
        <v>0.75</v>
      </c>
      <c r="AS13">
        <f>Constants!$E$14</f>
        <v>0.05</v>
      </c>
      <c r="AT13">
        <f>Constants!$E$15</f>
        <v>0</v>
      </c>
      <c r="AU13">
        <f>Constants!$E$11</f>
        <v>0</v>
      </c>
      <c r="AV13">
        <f t="shared" si="18"/>
        <v>0</v>
      </c>
      <c r="AW13">
        <f t="shared" si="19"/>
        <v>0</v>
      </c>
      <c r="AX13">
        <f t="shared" si="20"/>
        <v>0</v>
      </c>
      <c r="AY13">
        <f t="shared" si="21"/>
        <v>0</v>
      </c>
      <c r="AZ13">
        <f t="shared" si="22"/>
        <v>1</v>
      </c>
      <c r="BA13">
        <f t="shared" si="23"/>
        <v>0</v>
      </c>
      <c r="BB13">
        <f t="shared" si="24"/>
        <v>0.37</v>
      </c>
      <c r="BC13">
        <f t="shared" si="25"/>
        <v>0</v>
      </c>
      <c r="BD13">
        <f t="shared" si="26"/>
        <v>0</v>
      </c>
      <c r="BE13">
        <f t="shared" si="27"/>
        <v>0.37</v>
      </c>
      <c r="BF13">
        <f t="shared" si="28"/>
        <v>0</v>
      </c>
      <c r="BG13">
        <f t="shared" si="29"/>
        <v>0</v>
      </c>
      <c r="BH13">
        <f t="shared" si="30"/>
        <v>0</v>
      </c>
      <c r="BI13">
        <f t="shared" si="31"/>
        <v>0</v>
      </c>
      <c r="BJ13">
        <f t="shared" si="32"/>
        <v>9.5287656959999981E-2</v>
      </c>
    </row>
    <row r="14" spans="1:63" s="2" customFormat="1" x14ac:dyDescent="0.2">
      <c r="A14" s="2" t="str">
        <f>'Input Scenarios'!A41</f>
        <v>NSW</v>
      </c>
      <c r="B14" s="2" t="str">
        <f>'Input Scenarios'!B41</f>
        <v>10 or below</v>
      </c>
      <c r="C14" s="2" t="str">
        <f>'Input Scenarios'!C41</f>
        <v>Irrigated crop</v>
      </c>
      <c r="D14" s="2" t="b">
        <f>'Input Scenarios'!D41</f>
        <v>1</v>
      </c>
      <c r="E14" s="2" t="str">
        <f>'Input Scenarios'!E41</f>
        <v>others</v>
      </c>
      <c r="F14" s="2">
        <f>'Input Scenarios'!F41</f>
        <v>444</v>
      </c>
      <c r="G14" s="2">
        <f>'Input Scenarios'!G41</f>
        <v>365</v>
      </c>
      <c r="H14" s="2">
        <f>IF('Input Scenarios'!H41&lt;&gt;"", 'Input Scenarios'!H41, _xlfn.XLOOKUP($E14,Constants!$A$3:$A$6, Constants!B$3:B$6))</f>
        <v>1.71</v>
      </c>
      <c r="I14" s="2">
        <f>IF('Input Scenarios'!I41&lt;&gt;"", 'Input Scenarios'!I41, _xlfn.XLOOKUP($E14,Constants!$A$3:$A$6, Constants!C$3:C$6))</f>
        <v>0.37</v>
      </c>
      <c r="J14" s="2">
        <f>IF('Input Scenarios'!J41&lt;&gt;"", 'Input Scenarios'!J41, _xlfn.XLOOKUP($E14,Constants!$A$3:$A$6, Constants!D$3:D$6))</f>
        <v>0.04</v>
      </c>
      <c r="K14" s="2">
        <f>'Input Scenarios'!K41</f>
        <v>0</v>
      </c>
      <c r="L14" s="2">
        <f>'Input Scenarios'!L41</f>
        <v>0</v>
      </c>
      <c r="M14" s="2">
        <f>'Input Scenarios'!M41</f>
        <v>0</v>
      </c>
      <c r="N14" s="2">
        <f>'Input Scenarios'!N41</f>
        <v>0</v>
      </c>
      <c r="O14" s="2">
        <f>'Input Scenarios'!O41</f>
        <v>1</v>
      </c>
      <c r="P14" s="2">
        <f>'Input Scenarios'!P41</f>
        <v>0</v>
      </c>
      <c r="Q14" s="2" t="b">
        <f>'Input Scenarios'!Q41</f>
        <v>0</v>
      </c>
      <c r="R14" s="2">
        <f>IF('Input Scenarios'!$R41&lt;&gt;"", 'Input Scenarios'!$R41, IF($Q14, Constants!$B$19, 0))</f>
        <v>0</v>
      </c>
      <c r="S14" s="2">
        <f>IF('Input Scenarios'!$R41&lt;&gt;"", 'Input Scenarios'!$R41, IF($Q14, Constants!$B$20, 0))</f>
        <v>0</v>
      </c>
      <c r="T14" s="2">
        <f t="shared" si="5"/>
        <v>0</v>
      </c>
      <c r="U14" s="2">
        <f t="shared" si="6"/>
        <v>0</v>
      </c>
      <c r="V14" s="2">
        <f t="shared" si="7"/>
        <v>0</v>
      </c>
      <c r="W14" s="2">
        <f t="shared" si="8"/>
        <v>0</v>
      </c>
      <c r="X14" s="2">
        <f t="shared" si="9"/>
        <v>1</v>
      </c>
      <c r="Y14" s="2">
        <f t="shared" si="10"/>
        <v>0</v>
      </c>
      <c r="Z14" s="2">
        <f>Constants!$B$21</f>
        <v>0.19</v>
      </c>
      <c r="AA14" s="2">
        <f>Constants!$B$22</f>
        <v>0.6784</v>
      </c>
      <c r="AB14" s="2">
        <f>_xlfn.XLOOKUP($B14,Constants!$G$20:$G$38, Constants!H$20:H$38)</f>
        <v>0.66</v>
      </c>
      <c r="AC14" s="2">
        <f>_xlfn.XLOOKUP($A14,Constants!$F$9:$M$9,Constants!$F$12:$M$12)</f>
        <v>0.01</v>
      </c>
      <c r="AD14" s="2">
        <f>_xlfn.XLOOKUP($B14,Constants!$G$20:$G$38, Constants!J$20:J$38)</f>
        <v>0.1</v>
      </c>
      <c r="AE14" s="2">
        <f>_xlfn.XLOOKUP($B14,Constants!$G$20:$G$38, Constants!K$20:K$38)</f>
        <v>0.04</v>
      </c>
      <c r="AF14" s="2">
        <f>_xlfn.XLOOKUP($B14,Constants!$G$20:$G$38, Constants!L$20:L$38)</f>
        <v>0.03</v>
      </c>
      <c r="AG14" s="2">
        <f>_xlfn.XLOOKUP($B14,Constants!$G$20:$G$38, Constants!I$20:I$38)</f>
        <v>0.02</v>
      </c>
      <c r="AH14" s="2">
        <f>_xlfn.XLOOKUP($B14,Constants!$G$20:$G$38, Constants!P$20:P$38)</f>
        <v>0</v>
      </c>
      <c r="AI14" s="2">
        <f t="shared" si="11"/>
        <v>0</v>
      </c>
      <c r="AJ14" s="2">
        <f t="shared" si="12"/>
        <v>0</v>
      </c>
      <c r="AK14" s="2">
        <f t="shared" si="13"/>
        <v>0</v>
      </c>
      <c r="AL14" s="2">
        <f t="shared" si="14"/>
        <v>0</v>
      </c>
      <c r="AM14" s="2">
        <f t="shared" si="15"/>
        <v>1.4307455999999997E-3</v>
      </c>
      <c r="AN14" s="2">
        <f t="shared" si="16"/>
        <v>0</v>
      </c>
      <c r="AO14" s="2">
        <f t="shared" si="17"/>
        <v>0.23186663193599993</v>
      </c>
      <c r="AP14" s="2">
        <f>Constants!$E$10</f>
        <v>0</v>
      </c>
      <c r="AQ14" s="2">
        <f>Constants!$E$12</f>
        <v>0</v>
      </c>
      <c r="AR14" s="2">
        <f>Constants!$E$13</f>
        <v>0.75</v>
      </c>
      <c r="AS14" s="2">
        <f>Constants!$E$14</f>
        <v>0.05</v>
      </c>
      <c r="AT14" s="2">
        <f>Constants!$E$15</f>
        <v>0</v>
      </c>
      <c r="AU14" s="2">
        <f>Constants!$E$11</f>
        <v>0</v>
      </c>
      <c r="AV14" s="2">
        <f t="shared" si="18"/>
        <v>0</v>
      </c>
      <c r="AW14" s="2">
        <f t="shared" si="19"/>
        <v>0</v>
      </c>
      <c r="AX14" s="2">
        <f t="shared" si="20"/>
        <v>0</v>
      </c>
      <c r="AY14" s="2">
        <f t="shared" si="21"/>
        <v>0</v>
      </c>
      <c r="AZ14" s="2">
        <f t="shared" si="22"/>
        <v>1</v>
      </c>
      <c r="BA14" s="2">
        <f t="shared" si="23"/>
        <v>0</v>
      </c>
      <c r="BB14" s="2">
        <f t="shared" si="24"/>
        <v>0.37</v>
      </c>
      <c r="BC14" s="2">
        <f t="shared" si="25"/>
        <v>0</v>
      </c>
      <c r="BD14" s="2">
        <f t="shared" si="26"/>
        <v>0</v>
      </c>
      <c r="BE14" s="2">
        <f t="shared" si="27"/>
        <v>0.37</v>
      </c>
      <c r="BF14" s="2">
        <f t="shared" si="28"/>
        <v>0</v>
      </c>
      <c r="BG14" s="2">
        <f t="shared" si="29"/>
        <v>0</v>
      </c>
      <c r="BH14" s="2">
        <f t="shared" si="30"/>
        <v>0</v>
      </c>
      <c r="BI14" s="2">
        <f t="shared" si="31"/>
        <v>0</v>
      </c>
      <c r="BJ14" s="2">
        <f t="shared" si="32"/>
        <v>0.23186663193599993</v>
      </c>
    </row>
    <row r="15" spans="1:63" x14ac:dyDescent="0.2">
      <c r="A15" t="str">
        <f>'Input Scenarios'!A42</f>
        <v>NT</v>
      </c>
      <c r="B15">
        <f>'Input Scenarios'!B42</f>
        <v>14</v>
      </c>
      <c r="C15" t="str">
        <f>'Input Scenarios'!C42</f>
        <v>Irrigated pasture</v>
      </c>
      <c r="D15" t="b">
        <f>'Input Scenarios'!D42</f>
        <v>1</v>
      </c>
      <c r="E15" t="str">
        <f>'Input Scenarios'!E42</f>
        <v>boars</v>
      </c>
      <c r="F15">
        <f>'Input Scenarios'!F42</f>
        <v>105</v>
      </c>
      <c r="G15">
        <f>'Input Scenarios'!G42</f>
        <v>75</v>
      </c>
      <c r="H15">
        <f>IF('Input Scenarios'!H42&lt;&gt;"", 'Input Scenarios'!H42, _xlfn.XLOOKUP($E15,Constants!$A$3:$A$6, Constants!B$3:B$6))</f>
        <v>2.62</v>
      </c>
      <c r="I15">
        <f>IF('Input Scenarios'!I42&lt;&gt;"", 'Input Scenarios'!I42, _xlfn.XLOOKUP($E15,Constants!$A$3:$A$6, Constants!C$3:C$6))</f>
        <v>0.5</v>
      </c>
      <c r="J15">
        <f>IF('Input Scenarios'!J42&lt;&gt;"", 'Input Scenarios'!J42, _xlfn.XLOOKUP($E15,Constants!$A$3:$A$6, Constants!D$3:D$6))</f>
        <v>7.9000000000000001E-2</v>
      </c>
      <c r="K15">
        <f>'Input Scenarios'!K42</f>
        <v>0.2</v>
      </c>
      <c r="L15">
        <f>'Input Scenarios'!L42</f>
        <v>0.1</v>
      </c>
      <c r="M15">
        <f>'Input Scenarios'!M42</f>
        <v>0.2</v>
      </c>
      <c r="N15">
        <f>'Input Scenarios'!N42</f>
        <v>0.2</v>
      </c>
      <c r="O15">
        <f>'Input Scenarios'!O42</f>
        <v>0.2</v>
      </c>
      <c r="P15">
        <f>'Input Scenarios'!P42</f>
        <v>0.1</v>
      </c>
      <c r="Q15" t="b">
        <f>'Input Scenarios'!Q42</f>
        <v>1</v>
      </c>
      <c r="R15">
        <f>IF('Input Scenarios'!$R42&lt;&gt;"", 'Input Scenarios'!$R42, IF($Q15, Constants!$B$19, 0))</f>
        <v>0.45</v>
      </c>
      <c r="S15">
        <f>IF('Input Scenarios'!$R42&lt;&gt;"", 'Input Scenarios'!$R42, IF($Q15, Constants!$B$20, 0))</f>
        <v>0.45</v>
      </c>
      <c r="T15">
        <f t="shared" si="5"/>
        <v>0.11000000000000001</v>
      </c>
      <c r="U15">
        <f t="shared" si="6"/>
        <v>0.1</v>
      </c>
      <c r="V15">
        <f t="shared" si="7"/>
        <v>0.11000000000000001</v>
      </c>
      <c r="W15">
        <f t="shared" si="8"/>
        <v>0.2</v>
      </c>
      <c r="X15">
        <f t="shared" si="9"/>
        <v>0.11000000000000001</v>
      </c>
      <c r="Y15">
        <f t="shared" si="10"/>
        <v>0.37000000000000011</v>
      </c>
      <c r="Z15">
        <f>Constants!$B$21</f>
        <v>0.19</v>
      </c>
      <c r="AA15">
        <f>Constants!$B$22</f>
        <v>0.6784</v>
      </c>
      <c r="AB15">
        <f>_xlfn.XLOOKUP($B15,Constants!$G$20:$G$38, Constants!H$20:H$38)</f>
        <v>0.73</v>
      </c>
      <c r="AC15">
        <f>_xlfn.XLOOKUP($A15,Constants!$F$9:$M$9,Constants!$F$12:$M$12)</f>
        <v>0.03</v>
      </c>
      <c r="AD15">
        <f>_xlfn.XLOOKUP($B15,Constants!$G$20:$G$38, Constants!J$20:J$38)</f>
        <v>0.1</v>
      </c>
      <c r="AE15">
        <f>_xlfn.XLOOKUP($B15,Constants!$G$20:$G$38, Constants!K$20:K$38)</f>
        <v>0.04</v>
      </c>
      <c r="AF15">
        <f>_xlfn.XLOOKUP($B15,Constants!$G$20:$G$38, Constants!L$20:L$38)</f>
        <v>0.03</v>
      </c>
      <c r="AG15">
        <f>_xlfn.XLOOKUP($B15,Constants!$G$20:$G$38, Constants!I$20:I$38)</f>
        <v>0.02</v>
      </c>
      <c r="AH15">
        <f>_xlfn.XLOOKUP($B15,Constants!$G$20:$G$38, Constants!P$20:P$38)</f>
        <v>0</v>
      </c>
      <c r="AI15">
        <f t="shared" si="11"/>
        <v>5.1751744000000004E-3</v>
      </c>
      <c r="AJ15">
        <f t="shared" si="12"/>
        <v>1.93344E-4</v>
      </c>
      <c r="AK15">
        <f t="shared" si="13"/>
        <v>7.0892800000000027E-4</v>
      </c>
      <c r="AL15">
        <f t="shared" si="14"/>
        <v>5.1558400000000003E-4</v>
      </c>
      <c r="AM15">
        <f t="shared" si="15"/>
        <v>2.1267840000000003E-4</v>
      </c>
      <c r="AN15">
        <f t="shared" si="16"/>
        <v>4.7691520000000013E-4</v>
      </c>
      <c r="AO15">
        <f t="shared" si="17"/>
        <v>5.735066400000001E-2</v>
      </c>
      <c r="AP15">
        <f>Constants!$E$10</f>
        <v>0</v>
      </c>
      <c r="AQ15">
        <f>Constants!$E$12</f>
        <v>0</v>
      </c>
      <c r="AR15">
        <f>Constants!$E$13</f>
        <v>0.75</v>
      </c>
      <c r="AS15">
        <f>Constants!$E$14</f>
        <v>0.05</v>
      </c>
      <c r="AT15">
        <f>Constants!$E$15</f>
        <v>0</v>
      </c>
      <c r="AU15">
        <f>Constants!$E$11</f>
        <v>0</v>
      </c>
      <c r="AV15">
        <f t="shared" si="18"/>
        <v>0.11000000000000001</v>
      </c>
      <c r="AW15">
        <f t="shared" si="19"/>
        <v>0.1</v>
      </c>
      <c r="AX15">
        <f t="shared" si="20"/>
        <v>2.7500000000000004E-2</v>
      </c>
      <c r="AY15">
        <f t="shared" si="21"/>
        <v>0.19</v>
      </c>
      <c r="AZ15">
        <f t="shared" si="22"/>
        <v>0.11000000000000001</v>
      </c>
      <c r="BA15">
        <f t="shared" si="23"/>
        <v>0.37000000000000011</v>
      </c>
      <c r="BB15">
        <f t="shared" si="24"/>
        <v>0.45375000000000004</v>
      </c>
      <c r="BC15">
        <f t="shared" si="25"/>
        <v>1.3750000000000002E-2</v>
      </c>
      <c r="BD15">
        <f t="shared" si="26"/>
        <v>9.5000000000000001E-2</v>
      </c>
      <c r="BE15">
        <f t="shared" si="27"/>
        <v>0.34500000000000008</v>
      </c>
      <c r="BF15">
        <f t="shared" si="28"/>
        <v>1.2937936000000001E-3</v>
      </c>
      <c r="BG15">
        <f t="shared" si="29"/>
        <v>2.4490239999999999E-4</v>
      </c>
      <c r="BH15">
        <f t="shared" si="30"/>
        <v>0</v>
      </c>
      <c r="BI15">
        <f t="shared" si="31"/>
        <v>1.2117231000000001E-2</v>
      </c>
      <c r="BJ15">
        <f t="shared" si="32"/>
        <v>6.9467895000000016E-2</v>
      </c>
      <c r="BK15">
        <f t="shared" ref="BK15:BK23" si="33">SUM(BJ15:BJ18)</f>
        <v>1.8465122234160005</v>
      </c>
    </row>
    <row r="16" spans="1:63" x14ac:dyDescent="0.2">
      <c r="A16" t="str">
        <f>'Input Scenarios'!A43</f>
        <v>NT</v>
      </c>
      <c r="B16">
        <f>'Input Scenarios'!B43</f>
        <v>14</v>
      </c>
      <c r="C16" t="str">
        <f>'Input Scenarios'!C43</f>
        <v>Irrigated pasture</v>
      </c>
      <c r="D16" t="b">
        <f>'Input Scenarios'!D43</f>
        <v>1</v>
      </c>
      <c r="E16" t="str">
        <f>'Input Scenarios'!E43</f>
        <v>sows</v>
      </c>
      <c r="F16">
        <f>'Input Scenarios'!F43</f>
        <v>245</v>
      </c>
      <c r="G16">
        <f>'Input Scenarios'!G43</f>
        <v>290</v>
      </c>
      <c r="H16">
        <f>IF('Input Scenarios'!H43&lt;&gt;"", 'Input Scenarios'!H43, _xlfn.XLOOKUP($E16,Constants!$A$3:$A$6, Constants!B$3:B$6))</f>
        <v>2.2999999999999998</v>
      </c>
      <c r="I16">
        <f>IF('Input Scenarios'!I43&lt;&gt;"", 'Input Scenarios'!I43, _xlfn.XLOOKUP($E16,Constants!$A$3:$A$6, Constants!C$3:C$6))</f>
        <v>0.56000000000000005</v>
      </c>
      <c r="J16">
        <f>IF('Input Scenarios'!J43&lt;&gt;"", 'Input Scenarios'!J43, _xlfn.XLOOKUP($E16,Constants!$A$3:$A$6, Constants!D$3:D$6))</f>
        <v>6.9000000000000006E-2</v>
      </c>
      <c r="K16">
        <f>'Input Scenarios'!K43</f>
        <v>0.2</v>
      </c>
      <c r="L16">
        <f>'Input Scenarios'!L43</f>
        <v>0.1</v>
      </c>
      <c r="M16">
        <f>'Input Scenarios'!M43</f>
        <v>0.2</v>
      </c>
      <c r="N16">
        <f>'Input Scenarios'!N43</f>
        <v>0.2</v>
      </c>
      <c r="O16">
        <f>'Input Scenarios'!O43</f>
        <v>0.2</v>
      </c>
      <c r="P16">
        <f>'Input Scenarios'!P43</f>
        <v>0.1</v>
      </c>
      <c r="Q16" t="b">
        <f>'Input Scenarios'!Q43</f>
        <v>1</v>
      </c>
      <c r="R16">
        <f>IF('Input Scenarios'!$R43&lt;&gt;"", 'Input Scenarios'!$R43, IF($Q16, Constants!$B$19, 0))</f>
        <v>0.45</v>
      </c>
      <c r="S16">
        <f>IF('Input Scenarios'!$R43&lt;&gt;"", 'Input Scenarios'!$R43, IF($Q16, Constants!$B$20, 0))</f>
        <v>0.45</v>
      </c>
      <c r="T16">
        <f t="shared" si="5"/>
        <v>0.11000000000000001</v>
      </c>
      <c r="U16">
        <f t="shared" si="6"/>
        <v>0.1</v>
      </c>
      <c r="V16">
        <f t="shared" si="7"/>
        <v>0.11000000000000001</v>
      </c>
      <c r="W16">
        <f t="shared" si="8"/>
        <v>0.2</v>
      </c>
      <c r="X16">
        <f t="shared" si="9"/>
        <v>0.11000000000000001</v>
      </c>
      <c r="Y16">
        <f t="shared" si="10"/>
        <v>0.37000000000000011</v>
      </c>
      <c r="Z16">
        <f>Constants!$B$21</f>
        <v>0.19</v>
      </c>
      <c r="AA16">
        <f>Constants!$B$22</f>
        <v>0.6784</v>
      </c>
      <c r="AB16">
        <f>_xlfn.XLOOKUP($B16,Constants!$G$20:$G$38, Constants!H$20:H$38)</f>
        <v>0.73</v>
      </c>
      <c r="AC16">
        <f>_xlfn.XLOOKUP($A16,Constants!$F$9:$M$9,Constants!$F$12:$M$12)</f>
        <v>0.03</v>
      </c>
      <c r="AD16">
        <f>_xlfn.XLOOKUP($B16,Constants!$G$20:$G$38, Constants!J$20:J$38)</f>
        <v>0.1</v>
      </c>
      <c r="AE16">
        <f>_xlfn.XLOOKUP($B16,Constants!$G$20:$G$38, Constants!K$20:K$38)</f>
        <v>0.04</v>
      </c>
      <c r="AF16">
        <f>_xlfn.XLOOKUP($B16,Constants!$G$20:$G$38, Constants!L$20:L$38)</f>
        <v>0.03</v>
      </c>
      <c r="AG16">
        <f>_xlfn.XLOOKUP($B16,Constants!$G$20:$G$38, Constants!I$20:I$38)</f>
        <v>0.02</v>
      </c>
      <c r="AH16">
        <f>_xlfn.XLOOKUP($B16,Constants!$G$20:$G$38, Constants!P$20:P$38)</f>
        <v>0</v>
      </c>
      <c r="AI16">
        <f t="shared" si="11"/>
        <v>5.7961953280000009E-3</v>
      </c>
      <c r="AJ16">
        <f t="shared" si="12"/>
        <v>2.1654528000000005E-4</v>
      </c>
      <c r="AK16">
        <f t="shared" si="13"/>
        <v>7.9399936000000028E-4</v>
      </c>
      <c r="AL16">
        <f t="shared" si="14"/>
        <v>5.7745408000000004E-4</v>
      </c>
      <c r="AM16">
        <f t="shared" si="15"/>
        <v>2.3819980800000005E-4</v>
      </c>
      <c r="AN16">
        <f t="shared" si="16"/>
        <v>5.3414502400000031E-4</v>
      </c>
      <c r="AO16">
        <f t="shared" si="17"/>
        <v>0.57952208742400013</v>
      </c>
      <c r="AP16">
        <f>Constants!$E$10</f>
        <v>0</v>
      </c>
      <c r="AQ16">
        <f>Constants!$E$12</f>
        <v>0</v>
      </c>
      <c r="AR16">
        <f>Constants!$E$13</f>
        <v>0.75</v>
      </c>
      <c r="AS16">
        <f>Constants!$E$14</f>
        <v>0.05</v>
      </c>
      <c r="AT16">
        <f>Constants!$E$15</f>
        <v>0</v>
      </c>
      <c r="AU16">
        <f>Constants!$E$11</f>
        <v>0</v>
      </c>
      <c r="AV16">
        <f t="shared" si="18"/>
        <v>0.11000000000000001</v>
      </c>
      <c r="AW16">
        <f t="shared" si="19"/>
        <v>0.1</v>
      </c>
      <c r="AX16">
        <f t="shared" si="20"/>
        <v>2.7500000000000004E-2</v>
      </c>
      <c r="AY16">
        <f t="shared" si="21"/>
        <v>0.19</v>
      </c>
      <c r="AZ16">
        <f t="shared" si="22"/>
        <v>0.11000000000000001</v>
      </c>
      <c r="BA16">
        <f t="shared" si="23"/>
        <v>0.37000000000000011</v>
      </c>
      <c r="BB16">
        <f t="shared" si="24"/>
        <v>0.5082000000000001</v>
      </c>
      <c r="BC16">
        <f t="shared" si="25"/>
        <v>1.5400000000000004E-2</v>
      </c>
      <c r="BD16">
        <f t="shared" si="26"/>
        <v>0.10640000000000001</v>
      </c>
      <c r="BE16">
        <f t="shared" si="27"/>
        <v>0.38640000000000013</v>
      </c>
      <c r="BF16">
        <f t="shared" si="28"/>
        <v>1.4490488320000002E-3</v>
      </c>
      <c r="BG16">
        <f t="shared" si="29"/>
        <v>2.7429068800000002E-4</v>
      </c>
      <c r="BH16">
        <f t="shared" si="30"/>
        <v>0</v>
      </c>
      <c r="BI16">
        <f t="shared" si="31"/>
        <v>0.12244327289600003</v>
      </c>
      <c r="BJ16">
        <f t="shared" si="32"/>
        <v>0.70196536032000012</v>
      </c>
    </row>
    <row r="17" spans="1:63" x14ac:dyDescent="0.2">
      <c r="A17" t="str">
        <f>'Input Scenarios'!A44</f>
        <v>NT</v>
      </c>
      <c r="B17">
        <f>'Input Scenarios'!B44</f>
        <v>14</v>
      </c>
      <c r="C17" t="str">
        <f>'Input Scenarios'!C44</f>
        <v>Irrigated pasture</v>
      </c>
      <c r="D17" t="b">
        <f>'Input Scenarios'!D44</f>
        <v>1</v>
      </c>
      <c r="E17" t="str">
        <f>'Input Scenarios'!E44</f>
        <v>gilts</v>
      </c>
      <c r="F17">
        <f>'Input Scenarios'!F44</f>
        <v>434</v>
      </c>
      <c r="G17">
        <f>'Input Scenarios'!G44</f>
        <v>280</v>
      </c>
      <c r="H17">
        <f>IF('Input Scenarios'!H44&lt;&gt;"", 'Input Scenarios'!H44, _xlfn.XLOOKUP($E17,Constants!$A$3:$A$6, Constants!B$3:B$6))</f>
        <v>2.5</v>
      </c>
      <c r="I17">
        <f>IF('Input Scenarios'!I44&lt;&gt;"", 'Input Scenarios'!I44, _xlfn.XLOOKUP($E17,Constants!$A$3:$A$6, Constants!C$3:C$6))</f>
        <v>0.45</v>
      </c>
      <c r="J17">
        <f>IF('Input Scenarios'!J44&lt;&gt;"", 'Input Scenarios'!J44, _xlfn.XLOOKUP($E17,Constants!$A$3:$A$6, Constants!D$3:D$6))</f>
        <v>5.6000000000000001E-2</v>
      </c>
      <c r="K17">
        <f>'Input Scenarios'!K44</f>
        <v>0.2</v>
      </c>
      <c r="L17">
        <f>'Input Scenarios'!L44</f>
        <v>0.1</v>
      </c>
      <c r="M17">
        <f>'Input Scenarios'!M44</f>
        <v>0.2</v>
      </c>
      <c r="N17">
        <f>'Input Scenarios'!N44</f>
        <v>0.2</v>
      </c>
      <c r="O17">
        <f>'Input Scenarios'!O44</f>
        <v>0.2</v>
      </c>
      <c r="P17">
        <f>'Input Scenarios'!P44</f>
        <v>0.1</v>
      </c>
      <c r="Q17" t="b">
        <f>'Input Scenarios'!Q44</f>
        <v>1</v>
      </c>
      <c r="R17">
        <f>IF('Input Scenarios'!$R44&lt;&gt;"", 'Input Scenarios'!$R44, IF($Q17, Constants!$B$19, 0))</f>
        <v>0.45</v>
      </c>
      <c r="S17">
        <f>IF('Input Scenarios'!$R44&lt;&gt;"", 'Input Scenarios'!$R44, IF($Q17, Constants!$B$20, 0))</f>
        <v>0.45</v>
      </c>
      <c r="T17">
        <f t="shared" si="5"/>
        <v>0.11000000000000001</v>
      </c>
      <c r="U17">
        <f t="shared" si="6"/>
        <v>0.1</v>
      </c>
      <c r="V17">
        <f t="shared" si="7"/>
        <v>0.11000000000000001</v>
      </c>
      <c r="W17">
        <f t="shared" si="8"/>
        <v>0.2</v>
      </c>
      <c r="X17">
        <f t="shared" si="9"/>
        <v>0.11000000000000001</v>
      </c>
      <c r="Y17">
        <f t="shared" si="10"/>
        <v>0.37000000000000011</v>
      </c>
      <c r="Z17">
        <f>Constants!$B$21</f>
        <v>0.19</v>
      </c>
      <c r="AA17">
        <f>Constants!$B$22</f>
        <v>0.6784</v>
      </c>
      <c r="AB17">
        <f>_xlfn.XLOOKUP($B17,Constants!$G$20:$G$38, Constants!H$20:H$38)</f>
        <v>0.73</v>
      </c>
      <c r="AC17">
        <f>_xlfn.XLOOKUP($A17,Constants!$F$9:$M$9,Constants!$F$12:$M$12)</f>
        <v>0.03</v>
      </c>
      <c r="AD17">
        <f>_xlfn.XLOOKUP($B17,Constants!$G$20:$G$38, Constants!J$20:J$38)</f>
        <v>0.1</v>
      </c>
      <c r="AE17">
        <f>_xlfn.XLOOKUP($B17,Constants!$G$20:$G$38, Constants!K$20:K$38)</f>
        <v>0.04</v>
      </c>
      <c r="AF17">
        <f>_xlfn.XLOOKUP($B17,Constants!$G$20:$G$38, Constants!L$20:L$38)</f>
        <v>0.03</v>
      </c>
      <c r="AG17">
        <f>_xlfn.XLOOKUP($B17,Constants!$G$20:$G$38, Constants!I$20:I$38)</f>
        <v>0.02</v>
      </c>
      <c r="AH17">
        <f>_xlfn.XLOOKUP($B17,Constants!$G$20:$G$38, Constants!P$20:P$38)</f>
        <v>0</v>
      </c>
      <c r="AI17">
        <f t="shared" si="11"/>
        <v>4.657656960000001E-3</v>
      </c>
      <c r="AJ17">
        <f t="shared" si="12"/>
        <v>1.7400959999999999E-4</v>
      </c>
      <c r="AK17">
        <f t="shared" si="13"/>
        <v>6.3803520000000019E-4</v>
      </c>
      <c r="AL17">
        <f t="shared" si="14"/>
        <v>4.640256E-4</v>
      </c>
      <c r="AM17">
        <f t="shared" si="15"/>
        <v>1.9141056000000005E-4</v>
      </c>
      <c r="AN17">
        <f t="shared" si="16"/>
        <v>4.2922368000000016E-4</v>
      </c>
      <c r="AO17">
        <f t="shared" si="17"/>
        <v>0.79648602163200033</v>
      </c>
      <c r="AP17">
        <f>Constants!$E$10</f>
        <v>0</v>
      </c>
      <c r="AQ17">
        <f>Constants!$E$12</f>
        <v>0</v>
      </c>
      <c r="AR17">
        <f>Constants!$E$13</f>
        <v>0.75</v>
      </c>
      <c r="AS17">
        <f>Constants!$E$14</f>
        <v>0.05</v>
      </c>
      <c r="AT17">
        <f>Constants!$E$15</f>
        <v>0</v>
      </c>
      <c r="AU17">
        <f>Constants!$E$11</f>
        <v>0</v>
      </c>
      <c r="AV17">
        <f t="shared" si="18"/>
        <v>0.11000000000000001</v>
      </c>
      <c r="AW17">
        <f t="shared" si="19"/>
        <v>0.1</v>
      </c>
      <c r="AX17">
        <f t="shared" si="20"/>
        <v>2.7500000000000004E-2</v>
      </c>
      <c r="AY17">
        <f t="shared" si="21"/>
        <v>0.19</v>
      </c>
      <c r="AZ17">
        <f t="shared" si="22"/>
        <v>0.11000000000000001</v>
      </c>
      <c r="BA17">
        <f t="shared" si="23"/>
        <v>0.37000000000000011</v>
      </c>
      <c r="BB17">
        <f t="shared" si="24"/>
        <v>0.40837500000000004</v>
      </c>
      <c r="BC17">
        <f t="shared" si="25"/>
        <v>1.2375000000000002E-2</v>
      </c>
      <c r="BD17">
        <f t="shared" si="26"/>
        <v>8.5500000000000007E-2</v>
      </c>
      <c r="BE17">
        <f t="shared" si="27"/>
        <v>0.31050000000000011</v>
      </c>
      <c r="BF17">
        <f t="shared" si="28"/>
        <v>1.1644142400000002E-3</v>
      </c>
      <c r="BG17">
        <f t="shared" si="29"/>
        <v>2.2041216000000003E-4</v>
      </c>
      <c r="BH17">
        <f t="shared" si="30"/>
        <v>0</v>
      </c>
      <c r="BI17">
        <f t="shared" si="31"/>
        <v>0.16828410412800002</v>
      </c>
      <c r="BJ17">
        <f t="shared" si="32"/>
        <v>0.96477012576000043</v>
      </c>
    </row>
    <row r="18" spans="1:63" s="2" customFormat="1" x14ac:dyDescent="0.2">
      <c r="A18" s="2" t="str">
        <f>'Input Scenarios'!A45</f>
        <v>NT</v>
      </c>
      <c r="B18" s="2">
        <f>'Input Scenarios'!B45</f>
        <v>14</v>
      </c>
      <c r="C18" s="2" t="str">
        <f>'Input Scenarios'!C45</f>
        <v>Irrigated pasture</v>
      </c>
      <c r="D18" s="2" t="b">
        <f>'Input Scenarios'!D45</f>
        <v>1</v>
      </c>
      <c r="E18" s="2" t="str">
        <f>'Input Scenarios'!E45</f>
        <v>others</v>
      </c>
      <c r="F18" s="2">
        <f>'Input Scenarios'!F45</f>
        <v>44</v>
      </c>
      <c r="G18" s="2">
        <f>'Input Scenarios'!G45</f>
        <v>290</v>
      </c>
      <c r="H18" s="2">
        <f>IF('Input Scenarios'!H45&lt;&gt;"", 'Input Scenarios'!H45, _xlfn.XLOOKUP($E18,Constants!$A$3:$A$6, Constants!B$3:B$6))</f>
        <v>1.71</v>
      </c>
      <c r="I18" s="2">
        <f>IF('Input Scenarios'!I45&lt;&gt;"", 'Input Scenarios'!I45, _xlfn.XLOOKUP($E18,Constants!$A$3:$A$6, Constants!C$3:C$6))</f>
        <v>0.49</v>
      </c>
      <c r="J18" s="2">
        <f>IF('Input Scenarios'!J45&lt;&gt;"", 'Input Scenarios'!J45, _xlfn.XLOOKUP($E18,Constants!$A$3:$A$6, Constants!D$3:D$6))</f>
        <v>3.9E-2</v>
      </c>
      <c r="K18" s="2">
        <f>'Input Scenarios'!K45</f>
        <v>0.2</v>
      </c>
      <c r="L18" s="2">
        <f>'Input Scenarios'!L45</f>
        <v>0.1</v>
      </c>
      <c r="M18" s="2">
        <f>'Input Scenarios'!M45</f>
        <v>0.2</v>
      </c>
      <c r="N18" s="2">
        <f>'Input Scenarios'!N45</f>
        <v>0.2</v>
      </c>
      <c r="O18" s="2">
        <f>'Input Scenarios'!O45</f>
        <v>0.2</v>
      </c>
      <c r="P18" s="2">
        <f>'Input Scenarios'!P45</f>
        <v>0.1</v>
      </c>
      <c r="Q18" s="2" t="b">
        <f>'Input Scenarios'!Q45</f>
        <v>1</v>
      </c>
      <c r="R18" s="2">
        <f>IF('Input Scenarios'!$R45&lt;&gt;"", 'Input Scenarios'!$R45, IF($Q18, Constants!$B$19, 0))</f>
        <v>0.45</v>
      </c>
      <c r="S18" s="2">
        <f>IF('Input Scenarios'!$R45&lt;&gt;"", 'Input Scenarios'!$R45, IF($Q18, Constants!$B$20, 0))</f>
        <v>0.45</v>
      </c>
      <c r="T18" s="2">
        <f t="shared" si="5"/>
        <v>0.11000000000000001</v>
      </c>
      <c r="U18" s="2">
        <f t="shared" si="6"/>
        <v>0.1</v>
      </c>
      <c r="V18" s="2">
        <f t="shared" si="7"/>
        <v>0.11000000000000001</v>
      </c>
      <c r="W18" s="2">
        <f t="shared" si="8"/>
        <v>0.2</v>
      </c>
      <c r="X18" s="2">
        <f t="shared" si="9"/>
        <v>0.11000000000000001</v>
      </c>
      <c r="Y18" s="2">
        <f t="shared" si="10"/>
        <v>0.37000000000000011</v>
      </c>
      <c r="Z18" s="2">
        <f>Constants!$B$21</f>
        <v>0.19</v>
      </c>
      <c r="AA18" s="2">
        <f>Constants!$B$22</f>
        <v>0.6784</v>
      </c>
      <c r="AB18" s="2">
        <f>_xlfn.XLOOKUP($B18,Constants!$G$20:$G$38, Constants!H$20:H$38)</f>
        <v>0.73</v>
      </c>
      <c r="AC18" s="2">
        <f>_xlfn.XLOOKUP($A18,Constants!$F$9:$M$9,Constants!$F$12:$M$12)</f>
        <v>0.03</v>
      </c>
      <c r="AD18" s="2">
        <f>_xlfn.XLOOKUP($B18,Constants!$G$20:$G$38, Constants!J$20:J$38)</f>
        <v>0.1</v>
      </c>
      <c r="AE18" s="2">
        <f>_xlfn.XLOOKUP($B18,Constants!$G$20:$G$38, Constants!K$20:K$38)</f>
        <v>0.04</v>
      </c>
      <c r="AF18" s="2">
        <f>_xlfn.XLOOKUP($B18,Constants!$G$20:$G$38, Constants!L$20:L$38)</f>
        <v>0.03</v>
      </c>
      <c r="AG18" s="2">
        <f>_xlfn.XLOOKUP($B18,Constants!$G$20:$G$38, Constants!I$20:I$38)</f>
        <v>0.02</v>
      </c>
      <c r="AH18" s="2">
        <f>_xlfn.XLOOKUP($B18,Constants!$G$20:$G$38, Constants!P$20:P$38)</f>
        <v>0</v>
      </c>
      <c r="AI18" s="2">
        <f t="shared" si="11"/>
        <v>5.0716709120000002E-3</v>
      </c>
      <c r="AJ18" s="2">
        <f t="shared" si="12"/>
        <v>1.8947712E-4</v>
      </c>
      <c r="AK18" s="2">
        <f t="shared" si="13"/>
        <v>6.9474944000000012E-4</v>
      </c>
      <c r="AL18" s="2">
        <f t="shared" si="14"/>
        <v>5.0527231999999999E-4</v>
      </c>
      <c r="AM18" s="2">
        <f t="shared" si="15"/>
        <v>2.0842483199999998E-4</v>
      </c>
      <c r="AN18" s="2">
        <f t="shared" si="16"/>
        <v>4.6737689600000014E-4</v>
      </c>
      <c r="AO18" s="2">
        <f t="shared" si="17"/>
        <v>9.10677565952E-2</v>
      </c>
      <c r="AP18" s="2">
        <f>Constants!$E$10</f>
        <v>0</v>
      </c>
      <c r="AQ18" s="2">
        <f>Constants!$E$12</f>
        <v>0</v>
      </c>
      <c r="AR18" s="2">
        <f>Constants!$E$13</f>
        <v>0.75</v>
      </c>
      <c r="AS18" s="2">
        <f>Constants!$E$14</f>
        <v>0.05</v>
      </c>
      <c r="AT18" s="2">
        <f>Constants!$E$15</f>
        <v>0</v>
      </c>
      <c r="AU18" s="2">
        <f>Constants!$E$11</f>
        <v>0</v>
      </c>
      <c r="AV18" s="2">
        <f t="shared" si="18"/>
        <v>0.11000000000000001</v>
      </c>
      <c r="AW18" s="2">
        <f t="shared" si="19"/>
        <v>0.1</v>
      </c>
      <c r="AX18" s="2">
        <f t="shared" si="20"/>
        <v>2.7500000000000004E-2</v>
      </c>
      <c r="AY18" s="2">
        <f t="shared" si="21"/>
        <v>0.19</v>
      </c>
      <c r="AZ18" s="2">
        <f t="shared" si="22"/>
        <v>0.11000000000000001</v>
      </c>
      <c r="BA18" s="2">
        <f t="shared" si="23"/>
        <v>0.37000000000000011</v>
      </c>
      <c r="BB18" s="2">
        <f t="shared" si="24"/>
        <v>0.44467500000000004</v>
      </c>
      <c r="BC18" s="2">
        <f t="shared" si="25"/>
        <v>1.3475000000000001E-2</v>
      </c>
      <c r="BD18" s="2">
        <f t="shared" si="26"/>
        <v>9.3100000000000002E-2</v>
      </c>
      <c r="BE18" s="2">
        <f t="shared" si="27"/>
        <v>0.33810000000000007</v>
      </c>
      <c r="BF18" s="2">
        <f t="shared" si="28"/>
        <v>1.2679177279999998E-3</v>
      </c>
      <c r="BG18" s="2">
        <f t="shared" si="29"/>
        <v>2.4000435199999999E-4</v>
      </c>
      <c r="BH18" s="2">
        <f t="shared" si="30"/>
        <v>0</v>
      </c>
      <c r="BI18" s="2">
        <f t="shared" si="31"/>
        <v>1.9241085740799996E-2</v>
      </c>
      <c r="BJ18" s="2">
        <f t="shared" si="32"/>
        <v>0.110308842336</v>
      </c>
    </row>
    <row r="19" spans="1:63" x14ac:dyDescent="0.2">
      <c r="A19" t="str">
        <f>'Input Scenarios'!A46</f>
        <v>VIC</v>
      </c>
      <c r="B19">
        <f>'Input Scenarios'!B46</f>
        <v>15</v>
      </c>
      <c r="C19" t="str">
        <f>'Input Scenarios'!C46</f>
        <v>Non-irrigated pasture</v>
      </c>
      <c r="D19" t="b">
        <f>'Input Scenarios'!D46</f>
        <v>1</v>
      </c>
      <c r="E19" t="str">
        <f>'Input Scenarios'!E46</f>
        <v>boars</v>
      </c>
      <c r="F19">
        <f>'Input Scenarios'!F46</f>
        <v>1000</v>
      </c>
      <c r="G19">
        <f>'Input Scenarios'!G46</f>
        <v>100</v>
      </c>
      <c r="H19">
        <f>IF('Input Scenarios'!H46&lt;&gt;"", 'Input Scenarios'!H46, _xlfn.XLOOKUP($E19,Constants!$A$3:$A$6, Constants!B$3:B$6))</f>
        <v>2.62</v>
      </c>
      <c r="I19">
        <f>IF('Input Scenarios'!I46&lt;&gt;"", 'Input Scenarios'!I46, _xlfn.XLOOKUP($E19,Constants!$A$3:$A$6, Constants!C$3:C$6))</f>
        <v>0.46500000000000002</v>
      </c>
      <c r="J19">
        <f>IF('Input Scenarios'!J46&lt;&gt;"", 'Input Scenarios'!J46, _xlfn.XLOOKUP($E19,Constants!$A$3:$A$6, Constants!D$3:D$6))</f>
        <v>4.4999999999999998E-2</v>
      </c>
      <c r="K19">
        <f>'Input Scenarios'!K46</f>
        <v>0.3</v>
      </c>
      <c r="L19">
        <f>'Input Scenarios'!L46</f>
        <v>0</v>
      </c>
      <c r="M19">
        <f>'Input Scenarios'!M46</f>
        <v>0</v>
      </c>
      <c r="N19">
        <f>'Input Scenarios'!N46</f>
        <v>0.3</v>
      </c>
      <c r="O19">
        <f>'Input Scenarios'!O46</f>
        <v>0</v>
      </c>
      <c r="P19">
        <f>'Input Scenarios'!P46</f>
        <v>0.4</v>
      </c>
      <c r="Q19" t="b">
        <f>'Input Scenarios'!Q46</f>
        <v>0</v>
      </c>
      <c r="R19">
        <f>IF('Input Scenarios'!$R46&lt;&gt;"", 'Input Scenarios'!$R46, IF($Q19, Constants!$B$19, 0))</f>
        <v>0</v>
      </c>
      <c r="S19">
        <f>IF('Input Scenarios'!$R46&lt;&gt;"", 'Input Scenarios'!$R46, IF($Q19, Constants!$B$20, 0))</f>
        <v>0</v>
      </c>
      <c r="T19">
        <f t="shared" si="5"/>
        <v>0.3</v>
      </c>
      <c r="U19">
        <f t="shared" si="6"/>
        <v>0</v>
      </c>
      <c r="V19">
        <f t="shared" si="7"/>
        <v>0</v>
      </c>
      <c r="W19">
        <f t="shared" si="8"/>
        <v>0.3</v>
      </c>
      <c r="X19">
        <f t="shared" si="9"/>
        <v>0</v>
      </c>
      <c r="Y19">
        <f t="shared" si="10"/>
        <v>0.4</v>
      </c>
      <c r="Z19">
        <f>Constants!$B$21</f>
        <v>0.19</v>
      </c>
      <c r="AA19">
        <f>Constants!$B$22</f>
        <v>0.6784</v>
      </c>
      <c r="AB19">
        <f>_xlfn.XLOOKUP($B19,Constants!$G$20:$G$38, Constants!H$20:H$38)</f>
        <v>0.74</v>
      </c>
      <c r="AC19">
        <f>_xlfn.XLOOKUP($A19,Constants!$F$9:$M$9,Constants!$F$12:$M$12)</f>
        <v>0.01</v>
      </c>
      <c r="AD19">
        <f>_xlfn.XLOOKUP($B19,Constants!$G$20:$G$38, Constants!J$20:J$38)</f>
        <v>0.1</v>
      </c>
      <c r="AE19">
        <f>_xlfn.XLOOKUP($B19,Constants!$G$20:$G$38, Constants!K$20:K$38)</f>
        <v>0.04</v>
      </c>
      <c r="AF19">
        <f>_xlfn.XLOOKUP($B19,Constants!$G$20:$G$38, Constants!L$20:L$38)</f>
        <v>0.03</v>
      </c>
      <c r="AG19">
        <f>_xlfn.XLOOKUP($B19,Constants!$G$20:$G$38, Constants!I$20:I$38)</f>
        <v>0.02</v>
      </c>
      <c r="AH19">
        <f>_xlfn.XLOOKUP($B19,Constants!$G$20:$G$38, Constants!P$20:P$38)</f>
        <v>0</v>
      </c>
      <c r="AI19">
        <f t="shared" si="11"/>
        <v>1.3305934080000002E-2</v>
      </c>
      <c r="AJ19">
        <f t="shared" si="12"/>
        <v>0</v>
      </c>
      <c r="AK19">
        <f t="shared" si="13"/>
        <v>0</v>
      </c>
      <c r="AL19">
        <f t="shared" si="14"/>
        <v>7.1923968000000009E-4</v>
      </c>
      <c r="AM19">
        <f t="shared" si="15"/>
        <v>0</v>
      </c>
      <c r="AN19">
        <f t="shared" si="16"/>
        <v>4.7949312000000012E-4</v>
      </c>
      <c r="AO19">
        <f t="shared" si="17"/>
        <v>1.4504666880000001</v>
      </c>
      <c r="AP19">
        <f>Constants!$E$10</f>
        <v>0</v>
      </c>
      <c r="AQ19">
        <f>Constants!$E$12</f>
        <v>0</v>
      </c>
      <c r="AR19">
        <f>Constants!$E$13</f>
        <v>0.75</v>
      </c>
      <c r="AS19">
        <f>Constants!$E$14</f>
        <v>0.05</v>
      </c>
      <c r="AT19">
        <f>Constants!$E$15</f>
        <v>0</v>
      </c>
      <c r="AU19">
        <f>Constants!$E$11</f>
        <v>0</v>
      </c>
      <c r="AV19">
        <f t="shared" si="18"/>
        <v>0.3</v>
      </c>
      <c r="AW19">
        <f t="shared" si="19"/>
        <v>0</v>
      </c>
      <c r="AX19">
        <f t="shared" si="20"/>
        <v>0</v>
      </c>
      <c r="AY19">
        <f t="shared" si="21"/>
        <v>0.28499999999999998</v>
      </c>
      <c r="AZ19">
        <f t="shared" si="22"/>
        <v>0</v>
      </c>
      <c r="BA19">
        <f t="shared" si="23"/>
        <v>0.4</v>
      </c>
      <c r="BB19">
        <f t="shared" si="24"/>
        <v>0.45802500000000002</v>
      </c>
      <c r="BC19">
        <f t="shared" si="25"/>
        <v>0</v>
      </c>
      <c r="BD19">
        <f t="shared" si="26"/>
        <v>0.132525</v>
      </c>
      <c r="BE19">
        <f t="shared" si="27"/>
        <v>0.32550000000000001</v>
      </c>
      <c r="BF19">
        <f t="shared" si="28"/>
        <v>0</v>
      </c>
      <c r="BG19">
        <f t="shared" si="29"/>
        <v>3.4163884800000004E-4</v>
      </c>
      <c r="BH19">
        <f t="shared" si="30"/>
        <v>0</v>
      </c>
      <c r="BI19">
        <f t="shared" si="31"/>
        <v>3.4163884800000002E-2</v>
      </c>
      <c r="BJ19">
        <f t="shared" si="32"/>
        <v>1.4846305728000002</v>
      </c>
      <c r="BK19">
        <f t="shared" si="33"/>
        <v>2.7437483981593607</v>
      </c>
    </row>
    <row r="20" spans="1:63" x14ac:dyDescent="0.2">
      <c r="A20" t="str">
        <f>'Input Scenarios'!A47</f>
        <v>VIC</v>
      </c>
      <c r="B20">
        <f>'Input Scenarios'!B47</f>
        <v>15</v>
      </c>
      <c r="C20" t="str">
        <f>'Input Scenarios'!C47</f>
        <v>Non-irrigated pasture</v>
      </c>
      <c r="D20" t="b">
        <f>'Input Scenarios'!D47</f>
        <v>1</v>
      </c>
      <c r="E20" t="str">
        <f>'Input Scenarios'!E47</f>
        <v>sows</v>
      </c>
      <c r="F20">
        <f>'Input Scenarios'!F47</f>
        <v>233</v>
      </c>
      <c r="G20">
        <f>'Input Scenarios'!G47</f>
        <v>100</v>
      </c>
      <c r="H20">
        <f>IF('Input Scenarios'!H47&lt;&gt;"", 'Input Scenarios'!H47, _xlfn.XLOOKUP($E20,Constants!$A$3:$A$6, Constants!B$3:B$6))</f>
        <v>2.2999999999999998</v>
      </c>
      <c r="I20">
        <f>IF('Input Scenarios'!I47&lt;&gt;"", 'Input Scenarios'!I47, _xlfn.XLOOKUP($E20,Constants!$A$3:$A$6, Constants!C$3:C$6))</f>
        <v>0.45100000000000001</v>
      </c>
      <c r="J20">
        <f>IF('Input Scenarios'!J47&lt;&gt;"", 'Input Scenarios'!J47, _xlfn.XLOOKUP($E20,Constants!$A$3:$A$6, Constants!D$3:D$6))</f>
        <v>3.3500000000000002E-2</v>
      </c>
      <c r="K20">
        <f>'Input Scenarios'!K47</f>
        <v>0.3</v>
      </c>
      <c r="L20">
        <f>'Input Scenarios'!L47</f>
        <v>0</v>
      </c>
      <c r="M20">
        <f>'Input Scenarios'!M47</f>
        <v>0</v>
      </c>
      <c r="N20">
        <f>'Input Scenarios'!N47</f>
        <v>0.3</v>
      </c>
      <c r="O20">
        <f>'Input Scenarios'!O47</f>
        <v>0</v>
      </c>
      <c r="P20">
        <f>'Input Scenarios'!P47</f>
        <v>0.4</v>
      </c>
      <c r="Q20" t="b">
        <f>'Input Scenarios'!Q47</f>
        <v>0</v>
      </c>
      <c r="R20">
        <f>IF('Input Scenarios'!$R47&lt;&gt;"", 'Input Scenarios'!$R47, IF($Q20, Constants!$B$19, 0))</f>
        <v>0</v>
      </c>
      <c r="S20">
        <f>IF('Input Scenarios'!$R47&lt;&gt;"", 'Input Scenarios'!$R47, IF($Q20, Constants!$B$20, 0))</f>
        <v>0</v>
      </c>
      <c r="T20">
        <f t="shared" si="5"/>
        <v>0.3</v>
      </c>
      <c r="U20">
        <f t="shared" si="6"/>
        <v>0</v>
      </c>
      <c r="V20">
        <f t="shared" si="7"/>
        <v>0</v>
      </c>
      <c r="W20">
        <f t="shared" si="8"/>
        <v>0.3</v>
      </c>
      <c r="X20">
        <f t="shared" si="9"/>
        <v>0</v>
      </c>
      <c r="Y20">
        <f t="shared" si="10"/>
        <v>0.4</v>
      </c>
      <c r="Z20">
        <f>Constants!$B$21</f>
        <v>0.19</v>
      </c>
      <c r="AA20">
        <f>Constants!$B$22</f>
        <v>0.6784</v>
      </c>
      <c r="AB20">
        <f>_xlfn.XLOOKUP($B20,Constants!$G$20:$G$38, Constants!H$20:H$38)</f>
        <v>0.74</v>
      </c>
      <c r="AC20">
        <f>_xlfn.XLOOKUP($A20,Constants!$F$9:$M$9,Constants!$F$12:$M$12)</f>
        <v>0.01</v>
      </c>
      <c r="AD20">
        <f>_xlfn.XLOOKUP($B20,Constants!$G$20:$G$38, Constants!J$20:J$38)</f>
        <v>0.1</v>
      </c>
      <c r="AE20">
        <f>_xlfn.XLOOKUP($B20,Constants!$G$20:$G$38, Constants!K$20:K$38)</f>
        <v>0.04</v>
      </c>
      <c r="AF20">
        <f>_xlfn.XLOOKUP($B20,Constants!$G$20:$G$38, Constants!L$20:L$38)</f>
        <v>0.03</v>
      </c>
      <c r="AG20">
        <f>_xlfn.XLOOKUP($B20,Constants!$G$20:$G$38, Constants!I$20:I$38)</f>
        <v>0.02</v>
      </c>
      <c r="AH20">
        <f>_xlfn.XLOOKUP($B20,Constants!$G$20:$G$38, Constants!P$20:P$38)</f>
        <v>0</v>
      </c>
      <c r="AI20">
        <f t="shared" si="11"/>
        <v>1.2905325312000001E-2</v>
      </c>
      <c r="AJ20">
        <f t="shared" si="12"/>
        <v>0</v>
      </c>
      <c r="AK20">
        <f t="shared" si="13"/>
        <v>0</v>
      </c>
      <c r="AL20">
        <f t="shared" si="14"/>
        <v>6.9758515200000007E-4</v>
      </c>
      <c r="AM20">
        <f t="shared" si="15"/>
        <v>0</v>
      </c>
      <c r="AN20">
        <f t="shared" si="16"/>
        <v>4.6505676800000001E-4</v>
      </c>
      <c r="AO20">
        <f t="shared" si="17"/>
        <v>0.32778363650560005</v>
      </c>
      <c r="AP20">
        <f>Constants!$E$10</f>
        <v>0</v>
      </c>
      <c r="AQ20">
        <f>Constants!$E$12</f>
        <v>0</v>
      </c>
      <c r="AR20">
        <f>Constants!$E$13</f>
        <v>0.75</v>
      </c>
      <c r="AS20">
        <f>Constants!$E$14</f>
        <v>0.05</v>
      </c>
      <c r="AT20">
        <f>Constants!$E$15</f>
        <v>0</v>
      </c>
      <c r="AU20">
        <f>Constants!$E$11</f>
        <v>0</v>
      </c>
      <c r="AV20">
        <f t="shared" si="18"/>
        <v>0.3</v>
      </c>
      <c r="AW20">
        <f t="shared" si="19"/>
        <v>0</v>
      </c>
      <c r="AX20">
        <f t="shared" si="20"/>
        <v>0</v>
      </c>
      <c r="AY20">
        <f t="shared" si="21"/>
        <v>0.28499999999999998</v>
      </c>
      <c r="AZ20">
        <f t="shared" si="22"/>
        <v>0</v>
      </c>
      <c r="BA20">
        <f t="shared" si="23"/>
        <v>0.4</v>
      </c>
      <c r="BB20">
        <f t="shared" si="24"/>
        <v>0.44423499999999999</v>
      </c>
      <c r="BC20">
        <f t="shared" si="25"/>
        <v>0</v>
      </c>
      <c r="BD20">
        <f t="shared" si="26"/>
        <v>0.12853499999999998</v>
      </c>
      <c r="BE20">
        <f t="shared" si="27"/>
        <v>0.31569999999999998</v>
      </c>
      <c r="BF20">
        <f t="shared" si="28"/>
        <v>0</v>
      </c>
      <c r="BG20">
        <f t="shared" si="29"/>
        <v>3.3135294719999995E-4</v>
      </c>
      <c r="BH20">
        <f t="shared" si="30"/>
        <v>0</v>
      </c>
      <c r="BI20">
        <f t="shared" si="31"/>
        <v>7.7205236697599983E-3</v>
      </c>
      <c r="BJ20">
        <f t="shared" si="32"/>
        <v>0.33550416017536011</v>
      </c>
    </row>
    <row r="21" spans="1:63" x14ac:dyDescent="0.2">
      <c r="A21" t="str">
        <f>'Input Scenarios'!A48</f>
        <v>VIC</v>
      </c>
      <c r="B21">
        <f>'Input Scenarios'!B48</f>
        <v>15</v>
      </c>
      <c r="C21" t="str">
        <f>'Input Scenarios'!C48</f>
        <v>Non-irrigated pasture</v>
      </c>
      <c r="D21" t="b">
        <f>'Input Scenarios'!D48</f>
        <v>1</v>
      </c>
      <c r="E21" t="str">
        <f>'Input Scenarios'!E48</f>
        <v>gilts</v>
      </c>
      <c r="F21">
        <f>'Input Scenarios'!F48</f>
        <v>923</v>
      </c>
      <c r="G21">
        <f>'Input Scenarios'!G48</f>
        <v>100</v>
      </c>
      <c r="H21">
        <f>IF('Input Scenarios'!H48&lt;&gt;"", 'Input Scenarios'!H48, _xlfn.XLOOKUP($E21,Constants!$A$3:$A$6, Constants!B$3:B$6))</f>
        <v>2.5</v>
      </c>
      <c r="I21">
        <f>IF('Input Scenarios'!I48&lt;&gt;"", 'Input Scenarios'!I48, _xlfn.XLOOKUP($E21,Constants!$A$3:$A$6, Constants!C$3:C$6))</f>
        <v>0.437</v>
      </c>
      <c r="J21">
        <f>IF('Input Scenarios'!J48&lt;&gt;"", 'Input Scenarios'!J48, _xlfn.XLOOKUP($E21,Constants!$A$3:$A$6, Constants!D$3:D$6))</f>
        <v>2.1999999999999999E-2</v>
      </c>
      <c r="K21">
        <f>'Input Scenarios'!K48</f>
        <v>0</v>
      </c>
      <c r="L21">
        <f>'Input Scenarios'!L48</f>
        <v>0</v>
      </c>
      <c r="M21">
        <f>'Input Scenarios'!M48</f>
        <v>0.5</v>
      </c>
      <c r="N21">
        <f>'Input Scenarios'!N48</f>
        <v>0</v>
      </c>
      <c r="O21">
        <f>'Input Scenarios'!O48</f>
        <v>0.5</v>
      </c>
      <c r="P21">
        <f>'Input Scenarios'!P48</f>
        <v>0</v>
      </c>
      <c r="Q21" t="b">
        <f>'Input Scenarios'!Q48</f>
        <v>0</v>
      </c>
      <c r="R21">
        <f>IF('Input Scenarios'!$R48&lt;&gt;"", 'Input Scenarios'!$R48, IF($Q21, Constants!$B$19, 0))</f>
        <v>0</v>
      </c>
      <c r="S21">
        <f>IF('Input Scenarios'!$R48&lt;&gt;"", 'Input Scenarios'!$R48, IF($Q21, Constants!$B$20, 0))</f>
        <v>0</v>
      </c>
      <c r="T21">
        <f t="shared" si="5"/>
        <v>0</v>
      </c>
      <c r="U21">
        <f t="shared" si="6"/>
        <v>0</v>
      </c>
      <c r="V21">
        <f t="shared" si="7"/>
        <v>0.5</v>
      </c>
      <c r="W21">
        <f t="shared" si="8"/>
        <v>0</v>
      </c>
      <c r="X21">
        <f t="shared" si="9"/>
        <v>0.5</v>
      </c>
      <c r="Y21">
        <f t="shared" si="10"/>
        <v>0</v>
      </c>
      <c r="Z21">
        <f>Constants!$B$21</f>
        <v>0.19</v>
      </c>
      <c r="AA21">
        <f>Constants!$B$22</f>
        <v>0.6784</v>
      </c>
      <c r="AB21">
        <f>_xlfn.XLOOKUP($B21,Constants!$G$20:$G$38, Constants!H$20:H$38)</f>
        <v>0.74</v>
      </c>
      <c r="AC21">
        <f>_xlfn.XLOOKUP($A21,Constants!$F$9:$M$9,Constants!$F$12:$M$12)</f>
        <v>0.01</v>
      </c>
      <c r="AD21">
        <f>_xlfn.XLOOKUP($B21,Constants!$G$20:$G$38, Constants!J$20:J$38)</f>
        <v>0.1</v>
      </c>
      <c r="AE21">
        <f>_xlfn.XLOOKUP($B21,Constants!$G$20:$G$38, Constants!K$20:K$38)</f>
        <v>0.04</v>
      </c>
      <c r="AF21">
        <f>_xlfn.XLOOKUP($B21,Constants!$G$20:$G$38, Constants!L$20:L$38)</f>
        <v>0.03</v>
      </c>
      <c r="AG21">
        <f>_xlfn.XLOOKUP($B21,Constants!$G$20:$G$38, Constants!I$20:I$38)</f>
        <v>0.02</v>
      </c>
      <c r="AH21">
        <f>_xlfn.XLOOKUP($B21,Constants!$G$20:$G$38, Constants!P$20:P$38)</f>
        <v>0</v>
      </c>
      <c r="AI21">
        <f t="shared" si="11"/>
        <v>0</v>
      </c>
      <c r="AJ21">
        <f t="shared" si="12"/>
        <v>0</v>
      </c>
      <c r="AK21">
        <f t="shared" si="13"/>
        <v>2.8163776000000003E-3</v>
      </c>
      <c r="AL21">
        <f t="shared" si="14"/>
        <v>0</v>
      </c>
      <c r="AM21">
        <f t="shared" si="15"/>
        <v>8.4491327999999994E-4</v>
      </c>
      <c r="AN21">
        <f t="shared" si="16"/>
        <v>0</v>
      </c>
      <c r="AO21">
        <f t="shared" si="17"/>
        <v>0.33793714822400006</v>
      </c>
      <c r="AP21">
        <f>Constants!$E$10</f>
        <v>0</v>
      </c>
      <c r="AQ21">
        <f>Constants!$E$12</f>
        <v>0</v>
      </c>
      <c r="AR21">
        <f>Constants!$E$13</f>
        <v>0.75</v>
      </c>
      <c r="AS21">
        <f>Constants!$E$14</f>
        <v>0.05</v>
      </c>
      <c r="AT21">
        <f>Constants!$E$15</f>
        <v>0</v>
      </c>
      <c r="AU21">
        <f>Constants!$E$11</f>
        <v>0</v>
      </c>
      <c r="AV21">
        <f t="shared" si="18"/>
        <v>0</v>
      </c>
      <c r="AW21">
        <f t="shared" si="19"/>
        <v>0</v>
      </c>
      <c r="AX21">
        <f t="shared" si="20"/>
        <v>0.125</v>
      </c>
      <c r="AY21">
        <f t="shared" si="21"/>
        <v>0</v>
      </c>
      <c r="AZ21">
        <f t="shared" si="22"/>
        <v>0.5</v>
      </c>
      <c r="BA21">
        <f t="shared" si="23"/>
        <v>0</v>
      </c>
      <c r="BB21">
        <f t="shared" si="24"/>
        <v>0.27312500000000001</v>
      </c>
      <c r="BC21">
        <f t="shared" si="25"/>
        <v>5.4625E-2</v>
      </c>
      <c r="BD21">
        <f t="shared" si="26"/>
        <v>0</v>
      </c>
      <c r="BE21">
        <f t="shared" si="27"/>
        <v>0.2185</v>
      </c>
      <c r="BF21">
        <f t="shared" si="28"/>
        <v>5.2102985599999999E-3</v>
      </c>
      <c r="BG21">
        <f t="shared" si="29"/>
        <v>0</v>
      </c>
      <c r="BH21">
        <f t="shared" si="30"/>
        <v>0</v>
      </c>
      <c r="BI21">
        <f t="shared" si="31"/>
        <v>0.48091055708800001</v>
      </c>
      <c r="BJ21">
        <f t="shared" si="32"/>
        <v>0.81884770531200013</v>
      </c>
    </row>
    <row r="22" spans="1:63" s="2" customFormat="1" x14ac:dyDescent="0.2">
      <c r="A22" s="2" t="str">
        <f>'Input Scenarios'!A49</f>
        <v>VIC</v>
      </c>
      <c r="B22" s="2">
        <f>'Input Scenarios'!B49</f>
        <v>15</v>
      </c>
      <c r="C22" s="2" t="str">
        <f>'Input Scenarios'!C49</f>
        <v>Non-irrigated pasture</v>
      </c>
      <c r="D22" s="2" t="b">
        <f>'Input Scenarios'!D49</f>
        <v>1</v>
      </c>
      <c r="E22" s="2" t="str">
        <f>'Input Scenarios'!E49</f>
        <v>others</v>
      </c>
      <c r="F22" s="2">
        <f>'Input Scenarios'!F49</f>
        <v>122</v>
      </c>
      <c r="G22" s="2">
        <f>'Input Scenarios'!G49</f>
        <v>100</v>
      </c>
      <c r="H22" s="2">
        <f>IF('Input Scenarios'!H49&lt;&gt;"", 'Input Scenarios'!H49, _xlfn.XLOOKUP($E22,Constants!$A$3:$A$6, Constants!B$3:B$6))</f>
        <v>1.71</v>
      </c>
      <c r="I22" s="2">
        <f>IF('Input Scenarios'!I49&lt;&gt;"", 'Input Scenarios'!I49, _xlfn.XLOOKUP($E22,Constants!$A$3:$A$6, Constants!C$3:C$6))</f>
        <v>0.42299999999999999</v>
      </c>
      <c r="J22" s="2">
        <f>IF('Input Scenarios'!J49&lt;&gt;"", 'Input Scenarios'!J49, _xlfn.XLOOKUP($E22,Constants!$A$3:$A$6, Constants!D$3:D$6))</f>
        <v>3.9E-2</v>
      </c>
      <c r="K22" s="2">
        <f>'Input Scenarios'!K49</f>
        <v>0</v>
      </c>
      <c r="L22" s="2">
        <f>'Input Scenarios'!L49</f>
        <v>0</v>
      </c>
      <c r="M22" s="2">
        <f>'Input Scenarios'!M49</f>
        <v>0.5</v>
      </c>
      <c r="N22" s="2">
        <f>'Input Scenarios'!N49</f>
        <v>0</v>
      </c>
      <c r="O22" s="2">
        <f>'Input Scenarios'!O49</f>
        <v>0.5</v>
      </c>
      <c r="P22" s="2">
        <f>'Input Scenarios'!P49</f>
        <v>0</v>
      </c>
      <c r="Q22" s="2" t="b">
        <f>'Input Scenarios'!Q49</f>
        <v>0</v>
      </c>
      <c r="R22" s="2">
        <f>IF('Input Scenarios'!$R49&lt;&gt;"", 'Input Scenarios'!$R49, IF($Q22, Constants!$B$19, 0))</f>
        <v>0</v>
      </c>
      <c r="S22" s="2">
        <f>IF('Input Scenarios'!$R49&lt;&gt;"", 'Input Scenarios'!$R49, IF($Q22, Constants!$B$20, 0))</f>
        <v>0</v>
      </c>
      <c r="T22" s="2">
        <f t="shared" si="5"/>
        <v>0</v>
      </c>
      <c r="U22" s="2">
        <f t="shared" si="6"/>
        <v>0</v>
      </c>
      <c r="V22" s="2">
        <f t="shared" si="7"/>
        <v>0.5</v>
      </c>
      <c r="W22" s="2">
        <f t="shared" si="8"/>
        <v>0</v>
      </c>
      <c r="X22" s="2">
        <f t="shared" si="9"/>
        <v>0.5</v>
      </c>
      <c r="Y22" s="2">
        <f t="shared" si="10"/>
        <v>0</v>
      </c>
      <c r="Z22" s="2">
        <f>Constants!$B$21</f>
        <v>0.19</v>
      </c>
      <c r="AA22" s="2">
        <f>Constants!$B$22</f>
        <v>0.6784</v>
      </c>
      <c r="AB22" s="2">
        <f>_xlfn.XLOOKUP($B22,Constants!$G$20:$G$38, Constants!H$20:H$38)</f>
        <v>0.74</v>
      </c>
      <c r="AC22" s="2">
        <f>_xlfn.XLOOKUP($A22,Constants!$F$9:$M$9,Constants!$F$12:$M$12)</f>
        <v>0.01</v>
      </c>
      <c r="AD22" s="2">
        <f>_xlfn.XLOOKUP($B22,Constants!$G$20:$G$38, Constants!J$20:J$38)</f>
        <v>0.1</v>
      </c>
      <c r="AE22" s="2">
        <f>_xlfn.XLOOKUP($B22,Constants!$G$20:$G$38, Constants!K$20:K$38)</f>
        <v>0.04</v>
      </c>
      <c r="AF22" s="2">
        <f>_xlfn.XLOOKUP($B22,Constants!$G$20:$G$38, Constants!L$20:L$38)</f>
        <v>0.03</v>
      </c>
      <c r="AG22" s="2">
        <f>_xlfn.XLOOKUP($B22,Constants!$G$20:$G$38, Constants!I$20:I$38)</f>
        <v>0.02</v>
      </c>
      <c r="AH22" s="2">
        <f>_xlfn.XLOOKUP($B22,Constants!$G$20:$G$38, Constants!P$20:P$38)</f>
        <v>0</v>
      </c>
      <c r="AI22" s="2">
        <f t="shared" si="11"/>
        <v>0</v>
      </c>
      <c r="AJ22" s="2">
        <f t="shared" si="12"/>
        <v>0</v>
      </c>
      <c r="AK22" s="2">
        <f t="shared" si="13"/>
        <v>2.7261504000000002E-3</v>
      </c>
      <c r="AL22" s="2">
        <f t="shared" si="14"/>
        <v>0</v>
      </c>
      <c r="AM22" s="2">
        <f t="shared" si="15"/>
        <v>8.1784512000000005E-4</v>
      </c>
      <c r="AN22" s="2">
        <f t="shared" si="16"/>
        <v>0</v>
      </c>
      <c r="AO22" s="2">
        <f t="shared" si="17"/>
        <v>4.3236745344000009E-2</v>
      </c>
      <c r="AP22" s="2">
        <f>Constants!$E$10</f>
        <v>0</v>
      </c>
      <c r="AQ22" s="2">
        <f>Constants!$E$12</f>
        <v>0</v>
      </c>
      <c r="AR22" s="2">
        <f>Constants!$E$13</f>
        <v>0.75</v>
      </c>
      <c r="AS22" s="2">
        <f>Constants!$E$14</f>
        <v>0.05</v>
      </c>
      <c r="AT22" s="2">
        <f>Constants!$E$15</f>
        <v>0</v>
      </c>
      <c r="AU22" s="2">
        <f>Constants!$E$11</f>
        <v>0</v>
      </c>
      <c r="AV22" s="2">
        <f t="shared" si="18"/>
        <v>0</v>
      </c>
      <c r="AW22" s="2">
        <f t="shared" si="19"/>
        <v>0</v>
      </c>
      <c r="AX22" s="2">
        <f t="shared" si="20"/>
        <v>0.125</v>
      </c>
      <c r="AY22" s="2">
        <f t="shared" si="21"/>
        <v>0</v>
      </c>
      <c r="AZ22" s="2">
        <f t="shared" si="22"/>
        <v>0.5</v>
      </c>
      <c r="BA22" s="2">
        <f t="shared" si="23"/>
        <v>0</v>
      </c>
      <c r="BB22" s="2">
        <f t="shared" si="24"/>
        <v>0.26437499999999997</v>
      </c>
      <c r="BC22" s="2">
        <f t="shared" si="25"/>
        <v>5.2874999999999998E-2</v>
      </c>
      <c r="BD22" s="2">
        <f t="shared" si="26"/>
        <v>0</v>
      </c>
      <c r="BE22" s="2">
        <f t="shared" si="27"/>
        <v>0.21149999999999999</v>
      </c>
      <c r="BF22" s="2">
        <f t="shared" si="28"/>
        <v>5.0433782400000002E-3</v>
      </c>
      <c r="BG22" s="2">
        <f t="shared" si="29"/>
        <v>0</v>
      </c>
      <c r="BH22" s="2">
        <f t="shared" si="30"/>
        <v>0</v>
      </c>
      <c r="BI22" s="2">
        <f t="shared" si="31"/>
        <v>6.1529214527999997E-2</v>
      </c>
      <c r="BJ22" s="2">
        <f t="shared" si="32"/>
        <v>0.10476595987200001</v>
      </c>
    </row>
    <row r="23" spans="1:63" x14ac:dyDescent="0.2">
      <c r="A23" t="str">
        <f>'Input Scenarios'!A50</f>
        <v>WA</v>
      </c>
      <c r="B23">
        <f>'Input Scenarios'!B50</f>
        <v>25</v>
      </c>
      <c r="C23" t="str">
        <f>'Input Scenarios'!C50</f>
        <v>Non-irrigated crop (low rainfall)</v>
      </c>
      <c r="D23" t="b">
        <f>'Input Scenarios'!D50</f>
        <v>0</v>
      </c>
      <c r="E23" t="str">
        <f>'Input Scenarios'!E50</f>
        <v>boars</v>
      </c>
      <c r="F23">
        <f>'Input Scenarios'!F50</f>
        <v>750</v>
      </c>
      <c r="G23">
        <f>'Input Scenarios'!G50</f>
        <v>200</v>
      </c>
      <c r="H23">
        <f>IF('Input Scenarios'!H50&lt;&gt;"", 'Input Scenarios'!H50, _xlfn.XLOOKUP($E23,Constants!$A$3:$A$6, Constants!B$3:B$6))</f>
        <v>2.62</v>
      </c>
      <c r="I23">
        <f>IF('Input Scenarios'!I50&lt;&gt;"", 'Input Scenarios'!I50, _xlfn.XLOOKUP($E23,Constants!$A$3:$A$6, Constants!C$3:C$6))</f>
        <v>0.38600000000000001</v>
      </c>
      <c r="J23">
        <f>IF('Input Scenarios'!J50&lt;&gt;"", 'Input Scenarios'!J50, _xlfn.XLOOKUP($E23,Constants!$A$3:$A$6, Constants!D$3:D$6))</f>
        <v>5.6000000000000001E-2</v>
      </c>
      <c r="K23">
        <f>'Input Scenarios'!K50</f>
        <v>0.3</v>
      </c>
      <c r="L23">
        <f>'Input Scenarios'!L50</f>
        <v>0</v>
      </c>
      <c r="M23">
        <f>'Input Scenarios'!M50</f>
        <v>0</v>
      </c>
      <c r="N23">
        <f>'Input Scenarios'!N50</f>
        <v>0.3</v>
      </c>
      <c r="O23">
        <f>'Input Scenarios'!O50</f>
        <v>0</v>
      </c>
      <c r="P23">
        <f>'Input Scenarios'!P50</f>
        <v>0.4</v>
      </c>
      <c r="Q23" t="b">
        <f>'Input Scenarios'!Q50</f>
        <v>0</v>
      </c>
      <c r="R23">
        <f>IF('Input Scenarios'!$R50&lt;&gt;"", 'Input Scenarios'!$R50, IF($Q23, Constants!$B$19, 0))</f>
        <v>0</v>
      </c>
      <c r="S23">
        <f>IF('Input Scenarios'!$R50&lt;&gt;"", 'Input Scenarios'!$R50, IF($Q23, Constants!$B$20, 0))</f>
        <v>0</v>
      </c>
      <c r="T23">
        <f t="shared" si="5"/>
        <v>0.3</v>
      </c>
      <c r="U23">
        <f t="shared" si="6"/>
        <v>0</v>
      </c>
      <c r="V23">
        <f t="shared" si="7"/>
        <v>0</v>
      </c>
      <c r="W23">
        <f t="shared" si="8"/>
        <v>0.3</v>
      </c>
      <c r="X23">
        <f t="shared" si="9"/>
        <v>0</v>
      </c>
      <c r="Y23">
        <f t="shared" si="10"/>
        <v>0.4</v>
      </c>
      <c r="Z23">
        <f>Constants!$B$21</f>
        <v>0.19</v>
      </c>
      <c r="AA23">
        <f>Constants!$B$22</f>
        <v>0.6784</v>
      </c>
      <c r="AB23">
        <f>_xlfn.XLOOKUP($B23,Constants!$G$20:$G$38, Constants!H$20:H$38)</f>
        <v>0.79</v>
      </c>
      <c r="AC23">
        <f>_xlfn.XLOOKUP($A23,Constants!$F$9:$M$9,Constants!$F$12:$M$12)</f>
        <v>0.01</v>
      </c>
      <c r="AD23">
        <f>_xlfn.XLOOKUP($B23,Constants!$G$20:$G$38, Constants!J$20:J$38)</f>
        <v>0.1</v>
      </c>
      <c r="AE23">
        <f>_xlfn.XLOOKUP($B23,Constants!$G$20:$G$38, Constants!K$20:K$38)</f>
        <v>0.04</v>
      </c>
      <c r="AF23">
        <f>_xlfn.XLOOKUP($B23,Constants!$G$20:$G$38, Constants!L$20:L$38)</f>
        <v>0.03</v>
      </c>
      <c r="AG23">
        <f>_xlfn.XLOOKUP($B23,Constants!$G$20:$G$38, Constants!I$20:I$38)</f>
        <v>0.02</v>
      </c>
      <c r="AH23">
        <f>_xlfn.XLOOKUP($B23,Constants!$G$20:$G$38, Constants!P$20:P$38)</f>
        <v>0</v>
      </c>
      <c r="AI23">
        <f t="shared" si="11"/>
        <v>1.1791663872000001E-2</v>
      </c>
      <c r="AJ23">
        <f t="shared" si="12"/>
        <v>0</v>
      </c>
      <c r="AK23">
        <f t="shared" si="13"/>
        <v>0</v>
      </c>
      <c r="AL23">
        <f t="shared" si="14"/>
        <v>5.9704627199999995E-4</v>
      </c>
      <c r="AM23">
        <f t="shared" si="15"/>
        <v>0</v>
      </c>
      <c r="AN23">
        <f t="shared" si="16"/>
        <v>3.9803084800000009E-4</v>
      </c>
      <c r="AO23">
        <f t="shared" si="17"/>
        <v>1.9180111488000002</v>
      </c>
      <c r="AP23">
        <f>Constants!$E$10</f>
        <v>0</v>
      </c>
      <c r="AQ23">
        <f>Constants!$E$12</f>
        <v>0</v>
      </c>
      <c r="AR23">
        <f>Constants!$E$13</f>
        <v>0.75</v>
      </c>
      <c r="AS23">
        <f>Constants!$E$14</f>
        <v>0.05</v>
      </c>
      <c r="AT23">
        <f>Constants!$E$15</f>
        <v>0</v>
      </c>
      <c r="AU23">
        <f>Constants!$E$11</f>
        <v>0</v>
      </c>
      <c r="AV23">
        <f t="shared" si="18"/>
        <v>0.3</v>
      </c>
      <c r="AW23">
        <f t="shared" si="19"/>
        <v>0</v>
      </c>
      <c r="AX23">
        <f t="shared" si="20"/>
        <v>0</v>
      </c>
      <c r="AY23">
        <f t="shared" si="21"/>
        <v>0.28499999999999998</v>
      </c>
      <c r="AZ23">
        <f t="shared" si="22"/>
        <v>0</v>
      </c>
      <c r="BA23">
        <f t="shared" si="23"/>
        <v>0.4</v>
      </c>
      <c r="BB23">
        <f t="shared" si="24"/>
        <v>0.38020999999999999</v>
      </c>
      <c r="BC23">
        <f t="shared" si="25"/>
        <v>0</v>
      </c>
      <c r="BD23">
        <f t="shared" si="26"/>
        <v>0.11001</v>
      </c>
      <c r="BE23">
        <f t="shared" si="27"/>
        <v>0.2702</v>
      </c>
      <c r="BF23">
        <f t="shared" si="28"/>
        <v>0</v>
      </c>
      <c r="BG23">
        <f t="shared" si="29"/>
        <v>2.835969792E-4</v>
      </c>
      <c r="BH23">
        <f t="shared" si="30"/>
        <v>0</v>
      </c>
      <c r="BI23">
        <f t="shared" si="31"/>
        <v>4.2539546880000001E-2</v>
      </c>
      <c r="BJ23">
        <f t="shared" si="32"/>
        <v>1.9605506956800001</v>
      </c>
      <c r="BK23">
        <f t="shared" si="33"/>
        <v>6.1381290567767204</v>
      </c>
    </row>
    <row r="24" spans="1:63" x14ac:dyDescent="0.2">
      <c r="A24" t="str">
        <f>'Input Scenarios'!A51</f>
        <v>WA</v>
      </c>
      <c r="B24">
        <f>'Input Scenarios'!B51</f>
        <v>25</v>
      </c>
      <c r="C24" t="str">
        <f>'Input Scenarios'!C51</f>
        <v>Non-irrigated crop (low rainfall)</v>
      </c>
      <c r="D24" t="b">
        <f>'Input Scenarios'!D51</f>
        <v>0</v>
      </c>
      <c r="E24" t="str">
        <f>'Input Scenarios'!E51</f>
        <v>sows</v>
      </c>
      <c r="F24">
        <f>'Input Scenarios'!F51</f>
        <v>600</v>
      </c>
      <c r="G24">
        <f>'Input Scenarios'!G51</f>
        <v>200</v>
      </c>
      <c r="H24">
        <f>IF('Input Scenarios'!H51&lt;&gt;"", 'Input Scenarios'!H51, _xlfn.XLOOKUP($E24,Constants!$A$3:$A$6, Constants!B$3:B$6))</f>
        <v>2.2999999999999998</v>
      </c>
      <c r="I24">
        <f>IF('Input Scenarios'!I51&lt;&gt;"", 'Input Scenarios'!I51, _xlfn.XLOOKUP($E24,Constants!$A$3:$A$6, Constants!C$3:C$6))</f>
        <v>0.64700000000000002</v>
      </c>
      <c r="J24">
        <f>IF('Input Scenarios'!J51&lt;&gt;"", 'Input Scenarios'!J51, _xlfn.XLOOKUP($E24,Constants!$A$3:$A$6, Constants!D$3:D$6))</f>
        <v>5.6000000000000001E-2</v>
      </c>
      <c r="K24">
        <f>'Input Scenarios'!K51</f>
        <v>0</v>
      </c>
      <c r="L24">
        <f>'Input Scenarios'!L51</f>
        <v>0</v>
      </c>
      <c r="M24">
        <f>'Input Scenarios'!M51</f>
        <v>0.5</v>
      </c>
      <c r="N24">
        <f>'Input Scenarios'!N51</f>
        <v>0</v>
      </c>
      <c r="O24">
        <f>'Input Scenarios'!O51</f>
        <v>0.5</v>
      </c>
      <c r="P24">
        <f>'Input Scenarios'!P51</f>
        <v>0</v>
      </c>
      <c r="Q24" t="b">
        <f>'Input Scenarios'!Q51</f>
        <v>0</v>
      </c>
      <c r="R24">
        <f>IF('Input Scenarios'!$R51&lt;&gt;"", 'Input Scenarios'!$R51, IF($Q24, Constants!$B$19, 0))</f>
        <v>0</v>
      </c>
      <c r="S24">
        <f>IF('Input Scenarios'!$R51&lt;&gt;"", 'Input Scenarios'!$R51, IF($Q24, Constants!$B$20, 0))</f>
        <v>0</v>
      </c>
      <c r="T24">
        <f t="shared" si="5"/>
        <v>0</v>
      </c>
      <c r="U24">
        <f t="shared" si="6"/>
        <v>0</v>
      </c>
      <c r="V24">
        <f t="shared" si="7"/>
        <v>0.5</v>
      </c>
      <c r="W24">
        <f t="shared" si="8"/>
        <v>0</v>
      </c>
      <c r="X24">
        <f t="shared" si="9"/>
        <v>0.5</v>
      </c>
      <c r="Y24">
        <f t="shared" si="10"/>
        <v>0</v>
      </c>
      <c r="Z24">
        <f>Constants!$B$21</f>
        <v>0.19</v>
      </c>
      <c r="AA24">
        <f>Constants!$B$22</f>
        <v>0.6784</v>
      </c>
      <c r="AB24">
        <f>_xlfn.XLOOKUP($B24,Constants!$G$20:$G$38, Constants!H$20:H$38)</f>
        <v>0.79</v>
      </c>
      <c r="AC24">
        <f>_xlfn.XLOOKUP($A24,Constants!$F$9:$M$9,Constants!$F$12:$M$12)</f>
        <v>0.01</v>
      </c>
      <c r="AD24">
        <f>_xlfn.XLOOKUP($B24,Constants!$G$20:$G$38, Constants!J$20:J$38)</f>
        <v>0.1</v>
      </c>
      <c r="AE24">
        <f>_xlfn.XLOOKUP($B24,Constants!$G$20:$G$38, Constants!K$20:K$38)</f>
        <v>0.04</v>
      </c>
      <c r="AF24">
        <f>_xlfn.XLOOKUP($B24,Constants!$G$20:$G$38, Constants!L$20:L$38)</f>
        <v>0.03</v>
      </c>
      <c r="AG24">
        <f>_xlfn.XLOOKUP($B24,Constants!$G$20:$G$38, Constants!I$20:I$38)</f>
        <v>0.02</v>
      </c>
      <c r="AH24">
        <f>_xlfn.XLOOKUP($B24,Constants!$G$20:$G$38, Constants!P$20:P$38)</f>
        <v>0</v>
      </c>
      <c r="AI24">
        <f t="shared" si="11"/>
        <v>0</v>
      </c>
      <c r="AJ24">
        <f t="shared" si="12"/>
        <v>0</v>
      </c>
      <c r="AK24">
        <f t="shared" si="13"/>
        <v>4.1697856000000007E-3</v>
      </c>
      <c r="AL24">
        <f t="shared" si="14"/>
        <v>0</v>
      </c>
      <c r="AM24">
        <f t="shared" si="15"/>
        <v>1.25093568E-3</v>
      </c>
      <c r="AN24">
        <f t="shared" si="16"/>
        <v>0</v>
      </c>
      <c r="AO24">
        <f t="shared" si="17"/>
        <v>0.65048655360000007</v>
      </c>
      <c r="AP24">
        <f>Constants!$E$10</f>
        <v>0</v>
      </c>
      <c r="AQ24">
        <f>Constants!$E$12</f>
        <v>0</v>
      </c>
      <c r="AR24">
        <f>Constants!$E$13</f>
        <v>0.75</v>
      </c>
      <c r="AS24">
        <f>Constants!$E$14</f>
        <v>0.05</v>
      </c>
      <c r="AT24">
        <f>Constants!$E$15</f>
        <v>0</v>
      </c>
      <c r="AU24">
        <f>Constants!$E$11</f>
        <v>0</v>
      </c>
      <c r="AV24">
        <f t="shared" si="18"/>
        <v>0</v>
      </c>
      <c r="AW24">
        <f t="shared" si="19"/>
        <v>0</v>
      </c>
      <c r="AX24">
        <f t="shared" si="20"/>
        <v>0.125</v>
      </c>
      <c r="AY24">
        <f t="shared" si="21"/>
        <v>0</v>
      </c>
      <c r="AZ24">
        <f t="shared" si="22"/>
        <v>0.5</v>
      </c>
      <c r="BA24">
        <f t="shared" si="23"/>
        <v>0</v>
      </c>
      <c r="BB24">
        <f t="shared" si="24"/>
        <v>0.40437500000000004</v>
      </c>
      <c r="BC24">
        <f t="shared" si="25"/>
        <v>8.0875000000000002E-2</v>
      </c>
      <c r="BD24">
        <f t="shared" si="26"/>
        <v>0</v>
      </c>
      <c r="BE24">
        <f t="shared" si="27"/>
        <v>0.32350000000000001</v>
      </c>
      <c r="BF24">
        <f t="shared" si="28"/>
        <v>8.2353265600000006E-3</v>
      </c>
      <c r="BG24">
        <f t="shared" si="29"/>
        <v>0</v>
      </c>
      <c r="BH24">
        <f t="shared" si="30"/>
        <v>0</v>
      </c>
      <c r="BI24">
        <f t="shared" si="31"/>
        <v>0.98823918720000015</v>
      </c>
      <c r="BJ24">
        <f t="shared" si="32"/>
        <v>1.6387257408</v>
      </c>
    </row>
    <row r="25" spans="1:63" x14ac:dyDescent="0.2">
      <c r="A25" t="str">
        <f>'Input Scenarios'!A52</f>
        <v>WA</v>
      </c>
      <c r="B25">
        <f>'Input Scenarios'!B52</f>
        <v>25</v>
      </c>
      <c r="C25" t="str">
        <f>'Input Scenarios'!C52</f>
        <v>Non-irrigated crop (low rainfall)</v>
      </c>
      <c r="D25" t="b">
        <f>'Input Scenarios'!D52</f>
        <v>0</v>
      </c>
      <c r="E25" t="str">
        <f>'Input Scenarios'!E52</f>
        <v>gilts</v>
      </c>
      <c r="F25">
        <f>'Input Scenarios'!F52</f>
        <v>100</v>
      </c>
      <c r="G25">
        <f>'Input Scenarios'!G52</f>
        <v>299</v>
      </c>
      <c r="H25">
        <f>IF('Input Scenarios'!H52&lt;&gt;"", 'Input Scenarios'!H52, _xlfn.XLOOKUP($E25,Constants!$A$3:$A$6, Constants!B$3:B$6))</f>
        <v>2.5</v>
      </c>
      <c r="I25">
        <f>IF('Input Scenarios'!I52&lt;&gt;"", 'Input Scenarios'!I52, _xlfn.XLOOKUP($E25,Constants!$A$3:$A$6, Constants!C$3:C$6))</f>
        <v>0.34</v>
      </c>
      <c r="J25">
        <f>IF('Input Scenarios'!J52&lt;&gt;"", 'Input Scenarios'!J52, _xlfn.XLOOKUP($E25,Constants!$A$3:$A$6, Constants!D$3:D$6))</f>
        <v>3.4500000000000003E-2</v>
      </c>
      <c r="K25">
        <f>'Input Scenarios'!K52</f>
        <v>0.3</v>
      </c>
      <c r="L25">
        <f>'Input Scenarios'!L52</f>
        <v>0</v>
      </c>
      <c r="M25">
        <f>'Input Scenarios'!M52</f>
        <v>0</v>
      </c>
      <c r="N25">
        <f>'Input Scenarios'!N52</f>
        <v>0.3</v>
      </c>
      <c r="O25">
        <f>'Input Scenarios'!O52</f>
        <v>0</v>
      </c>
      <c r="P25">
        <f>'Input Scenarios'!P52</f>
        <v>0.4</v>
      </c>
      <c r="Q25" t="b">
        <f>'Input Scenarios'!Q52</f>
        <v>1</v>
      </c>
      <c r="R25">
        <f>IF('Input Scenarios'!$R52&lt;&gt;"", 'Input Scenarios'!$R52, IF($Q25, Constants!$B$19, 0))</f>
        <v>0.23</v>
      </c>
      <c r="S25">
        <f>IF('Input Scenarios'!$R52&lt;&gt;"", 'Input Scenarios'!$R52, IF($Q25, Constants!$B$20, 0))</f>
        <v>0.23</v>
      </c>
      <c r="T25">
        <f t="shared" si="5"/>
        <v>0.23099999999999998</v>
      </c>
      <c r="U25">
        <f t="shared" si="6"/>
        <v>0</v>
      </c>
      <c r="V25">
        <f t="shared" si="7"/>
        <v>0</v>
      </c>
      <c r="W25">
        <f t="shared" si="8"/>
        <v>0.3</v>
      </c>
      <c r="X25">
        <f t="shared" si="9"/>
        <v>0</v>
      </c>
      <c r="Y25">
        <f t="shared" si="10"/>
        <v>0.46900000000000003</v>
      </c>
      <c r="Z25">
        <f>Constants!$B$21</f>
        <v>0.19</v>
      </c>
      <c r="AA25">
        <f>Constants!$B$22</f>
        <v>0.6784</v>
      </c>
      <c r="AB25">
        <f>_xlfn.XLOOKUP($B25,Constants!$G$20:$G$38, Constants!H$20:H$38)</f>
        <v>0.79</v>
      </c>
      <c r="AC25">
        <f>_xlfn.XLOOKUP($A25,Constants!$F$9:$M$9,Constants!$F$12:$M$12)</f>
        <v>0.01</v>
      </c>
      <c r="AD25">
        <f>_xlfn.XLOOKUP($B25,Constants!$G$20:$G$38, Constants!J$20:J$38)</f>
        <v>0.1</v>
      </c>
      <c r="AE25">
        <f>_xlfn.XLOOKUP($B25,Constants!$G$20:$G$38, Constants!K$20:K$38)</f>
        <v>0.04</v>
      </c>
      <c r="AF25">
        <f>_xlfn.XLOOKUP($B25,Constants!$G$20:$G$38, Constants!L$20:L$38)</f>
        <v>0.03</v>
      </c>
      <c r="AG25">
        <f>_xlfn.XLOOKUP($B25,Constants!$G$20:$G$38, Constants!I$20:I$38)</f>
        <v>0.02</v>
      </c>
      <c r="AH25">
        <f>_xlfn.XLOOKUP($B25,Constants!$G$20:$G$38, Constants!P$20:P$38)</f>
        <v>0</v>
      </c>
      <c r="AI25">
        <f t="shared" si="11"/>
        <v>7.9975585535999993E-3</v>
      </c>
      <c r="AJ25">
        <f t="shared" si="12"/>
        <v>0</v>
      </c>
      <c r="AK25">
        <f t="shared" si="13"/>
        <v>0</v>
      </c>
      <c r="AL25">
        <f t="shared" si="14"/>
        <v>5.2589568000000007E-4</v>
      </c>
      <c r="AM25">
        <f t="shared" si="15"/>
        <v>0</v>
      </c>
      <c r="AN25">
        <f t="shared" si="16"/>
        <v>4.1107512320000012E-4</v>
      </c>
      <c r="AO25">
        <f t="shared" si="17"/>
        <v>0.26714242776832003</v>
      </c>
      <c r="AP25">
        <f>Constants!$E$10</f>
        <v>0</v>
      </c>
      <c r="AQ25">
        <f>Constants!$E$12</f>
        <v>0</v>
      </c>
      <c r="AR25">
        <f>Constants!$E$13</f>
        <v>0.75</v>
      </c>
      <c r="AS25">
        <f>Constants!$E$14</f>
        <v>0.05</v>
      </c>
      <c r="AT25">
        <f>Constants!$E$15</f>
        <v>0</v>
      </c>
      <c r="AU25">
        <f>Constants!$E$11</f>
        <v>0</v>
      </c>
      <c r="AV25">
        <f t="shared" si="18"/>
        <v>0.23099999999999998</v>
      </c>
      <c r="AW25">
        <f t="shared" si="19"/>
        <v>0</v>
      </c>
      <c r="AX25">
        <f t="shared" si="20"/>
        <v>0</v>
      </c>
      <c r="AY25">
        <f t="shared" si="21"/>
        <v>0.28499999999999998</v>
      </c>
      <c r="AZ25">
        <f t="shared" si="22"/>
        <v>0</v>
      </c>
      <c r="BA25">
        <f t="shared" si="23"/>
        <v>0.46900000000000003</v>
      </c>
      <c r="BB25">
        <f t="shared" si="24"/>
        <v>0.33490000000000003</v>
      </c>
      <c r="BC25">
        <f t="shared" si="25"/>
        <v>0</v>
      </c>
      <c r="BD25">
        <f t="shared" si="26"/>
        <v>9.69E-2</v>
      </c>
      <c r="BE25">
        <f t="shared" si="27"/>
        <v>0.23799999999999999</v>
      </c>
      <c r="BF25">
        <f t="shared" si="28"/>
        <v>0</v>
      </c>
      <c r="BG25">
        <f t="shared" si="29"/>
        <v>2.49800448E-4</v>
      </c>
      <c r="BH25">
        <f t="shared" si="30"/>
        <v>0</v>
      </c>
      <c r="BI25">
        <f t="shared" si="31"/>
        <v>7.4690333952000003E-3</v>
      </c>
      <c r="BJ25">
        <f t="shared" si="32"/>
        <v>0.27461146116352003</v>
      </c>
    </row>
    <row r="26" spans="1:63" s="2" customFormat="1" x14ac:dyDescent="0.2">
      <c r="A26" s="2" t="str">
        <f>'Input Scenarios'!A53</f>
        <v>WA</v>
      </c>
      <c r="B26" s="2">
        <f>'Input Scenarios'!B53</f>
        <v>25</v>
      </c>
      <c r="C26" s="2" t="str">
        <f>'Input Scenarios'!C53</f>
        <v>Non-irrigated crop (low rainfall)</v>
      </c>
      <c r="D26" s="2" t="b">
        <f>'Input Scenarios'!D53</f>
        <v>0</v>
      </c>
      <c r="E26" s="2" t="str">
        <f>'Input Scenarios'!E53</f>
        <v>others</v>
      </c>
      <c r="F26" s="2">
        <f>'Input Scenarios'!F53</f>
        <v>999</v>
      </c>
      <c r="G26" s="2">
        <f>'Input Scenarios'!G53</f>
        <v>299</v>
      </c>
      <c r="H26" s="2">
        <f>IF('Input Scenarios'!H53&lt;&gt;"", 'Input Scenarios'!H53, _xlfn.XLOOKUP($E26,Constants!$A$3:$A$6, Constants!B$3:B$6))</f>
        <v>1.71</v>
      </c>
      <c r="I26" s="2">
        <f>IF('Input Scenarios'!I53&lt;&gt;"", 'Input Scenarios'!I53, _xlfn.XLOOKUP($E26,Constants!$A$3:$A$6, Constants!C$3:C$6))</f>
        <v>0.45</v>
      </c>
      <c r="J26" s="2">
        <f>IF('Input Scenarios'!J53&lt;&gt;"", 'Input Scenarios'!J53, _xlfn.XLOOKUP($E26,Constants!$A$3:$A$6, Constants!D$3:D$6))</f>
        <v>4.53E-2</v>
      </c>
      <c r="K26" s="2">
        <f>'Input Scenarios'!K53</f>
        <v>0</v>
      </c>
      <c r="L26" s="2">
        <f>'Input Scenarios'!L53</f>
        <v>0</v>
      </c>
      <c r="M26" s="2">
        <f>'Input Scenarios'!M53</f>
        <v>0.5</v>
      </c>
      <c r="N26" s="2">
        <f>'Input Scenarios'!N53</f>
        <v>0</v>
      </c>
      <c r="O26" s="2">
        <f>'Input Scenarios'!O53</f>
        <v>0.5</v>
      </c>
      <c r="P26" s="2">
        <f>'Input Scenarios'!P53</f>
        <v>0</v>
      </c>
      <c r="Q26" s="2" t="b">
        <f>'Input Scenarios'!Q53</f>
        <v>1</v>
      </c>
      <c r="R26" s="2">
        <f>IF('Input Scenarios'!$R53&lt;&gt;"", 'Input Scenarios'!$R53, IF($Q26, Constants!$B$19, 0))</f>
        <v>0.23</v>
      </c>
      <c r="S26" s="2">
        <f>IF('Input Scenarios'!$R53&lt;&gt;"", 'Input Scenarios'!$R53, IF($Q26, Constants!$B$20, 0))</f>
        <v>0.23</v>
      </c>
      <c r="T26" s="2">
        <f t="shared" si="5"/>
        <v>0</v>
      </c>
      <c r="U26" s="2">
        <f t="shared" si="6"/>
        <v>0</v>
      </c>
      <c r="V26" s="2">
        <f t="shared" si="7"/>
        <v>0.38500000000000001</v>
      </c>
      <c r="W26" s="2">
        <f t="shared" si="8"/>
        <v>0</v>
      </c>
      <c r="X26" s="2">
        <f t="shared" si="9"/>
        <v>0.38500000000000001</v>
      </c>
      <c r="Y26" s="2">
        <f t="shared" si="10"/>
        <v>0.23</v>
      </c>
      <c r="Z26" s="2">
        <f>Constants!$B$21</f>
        <v>0.19</v>
      </c>
      <c r="AA26" s="2">
        <f>Constants!$B$22</f>
        <v>0.6784</v>
      </c>
      <c r="AB26" s="2">
        <f>_xlfn.XLOOKUP($B26,Constants!$G$20:$G$38, Constants!H$20:H$38)</f>
        <v>0.79</v>
      </c>
      <c r="AC26" s="2">
        <f>_xlfn.XLOOKUP($A26,Constants!$F$9:$M$9,Constants!$F$12:$M$12)</f>
        <v>0.01</v>
      </c>
      <c r="AD26" s="2">
        <f>_xlfn.XLOOKUP($B26,Constants!$G$20:$G$38, Constants!J$20:J$38)</f>
        <v>0.1</v>
      </c>
      <c r="AE26" s="2">
        <f>_xlfn.XLOOKUP($B26,Constants!$G$20:$G$38, Constants!K$20:K$38)</f>
        <v>0.04</v>
      </c>
      <c r="AF26" s="2">
        <f>_xlfn.XLOOKUP($B26,Constants!$G$20:$G$38, Constants!L$20:L$38)</f>
        <v>0.03</v>
      </c>
      <c r="AG26" s="2">
        <f>_xlfn.XLOOKUP($B26,Constants!$G$20:$G$38, Constants!I$20:I$38)</f>
        <v>0.02</v>
      </c>
      <c r="AH26" s="2">
        <f>_xlfn.XLOOKUP($B26,Constants!$G$20:$G$38, Constants!P$20:P$38)</f>
        <v>0</v>
      </c>
      <c r="AI26" s="2">
        <f t="shared" si="11"/>
        <v>0</v>
      </c>
      <c r="AJ26" s="2">
        <f t="shared" si="12"/>
        <v>0</v>
      </c>
      <c r="AK26" s="2">
        <f t="shared" si="13"/>
        <v>2.2331232000000006E-3</v>
      </c>
      <c r="AL26" s="2">
        <f t="shared" si="14"/>
        <v>0</v>
      </c>
      <c r="AM26" s="2">
        <f t="shared" si="15"/>
        <v>6.6993695999999995E-4</v>
      </c>
      <c r="AN26" s="2">
        <f t="shared" si="16"/>
        <v>2.6681472000000003E-4</v>
      </c>
      <c r="AO26" s="2">
        <f t="shared" si="17"/>
        <v>0.94684479653088005</v>
      </c>
      <c r="AP26" s="2">
        <f>Constants!$E$10</f>
        <v>0</v>
      </c>
      <c r="AQ26" s="2">
        <f>Constants!$E$12</f>
        <v>0</v>
      </c>
      <c r="AR26" s="2">
        <f>Constants!$E$13</f>
        <v>0.75</v>
      </c>
      <c r="AS26" s="2">
        <f>Constants!$E$14</f>
        <v>0.05</v>
      </c>
      <c r="AT26" s="2">
        <f>Constants!$E$15</f>
        <v>0</v>
      </c>
      <c r="AU26" s="2">
        <f>Constants!$E$11</f>
        <v>0</v>
      </c>
      <c r="AV26" s="2">
        <f t="shared" si="18"/>
        <v>0</v>
      </c>
      <c r="AW26" s="2">
        <f t="shared" si="19"/>
        <v>0</v>
      </c>
      <c r="AX26" s="2">
        <f t="shared" si="20"/>
        <v>9.6250000000000002E-2</v>
      </c>
      <c r="AY26" s="2">
        <f t="shared" si="21"/>
        <v>0</v>
      </c>
      <c r="AZ26" s="2">
        <f t="shared" si="22"/>
        <v>0.38500000000000001</v>
      </c>
      <c r="BA26" s="2">
        <f t="shared" si="23"/>
        <v>0.23</v>
      </c>
      <c r="BB26" s="2">
        <f t="shared" si="24"/>
        <v>0.32006250000000003</v>
      </c>
      <c r="BC26" s="2">
        <f t="shared" si="25"/>
        <v>4.3312500000000004E-2</v>
      </c>
      <c r="BD26" s="2">
        <f t="shared" si="26"/>
        <v>0</v>
      </c>
      <c r="BE26" s="2">
        <f t="shared" si="27"/>
        <v>0.27675</v>
      </c>
      <c r="BF26" s="2">
        <f t="shared" si="28"/>
        <v>4.4104183200000006E-3</v>
      </c>
      <c r="BG26" s="2">
        <f t="shared" si="29"/>
        <v>0</v>
      </c>
      <c r="BH26" s="2">
        <f t="shared" si="30"/>
        <v>0</v>
      </c>
      <c r="BI26" s="2">
        <f t="shared" si="31"/>
        <v>1.3173963626023202</v>
      </c>
      <c r="BJ26" s="2">
        <f t="shared" si="32"/>
        <v>2.2642411591332001</v>
      </c>
    </row>
    <row r="27" spans="1:63" x14ac:dyDescent="0.2">
      <c r="A27" t="str">
        <f>'Input Scenarios'!A54</f>
        <v>SA</v>
      </c>
      <c r="B27">
        <f>'Input Scenarios'!B54</f>
        <v>26</v>
      </c>
      <c r="C27" t="str">
        <f>'Input Scenarios'!C54</f>
        <v>Non-irrigated crop (high rainfall)</v>
      </c>
      <c r="D27" t="b">
        <f>'Input Scenarios'!D54</f>
        <v>1</v>
      </c>
      <c r="E27" t="str">
        <f>'Input Scenarios'!E54</f>
        <v>boars</v>
      </c>
      <c r="F27">
        <f>'Input Scenarios'!F54</f>
        <v>105</v>
      </c>
      <c r="G27">
        <f>'Input Scenarios'!G54</f>
        <v>75</v>
      </c>
      <c r="H27">
        <f>IF('Input Scenarios'!H54&lt;&gt;"", 'Input Scenarios'!H54, _xlfn.XLOOKUP($E27,Constants!$A$3:$A$6, Constants!B$3:B$6))</f>
        <v>2.62</v>
      </c>
      <c r="I27">
        <f>IF('Input Scenarios'!I54&lt;&gt;"", 'Input Scenarios'!I54, _xlfn.XLOOKUP($E27,Constants!$A$3:$A$6, Constants!C$3:C$6))</f>
        <v>0.68</v>
      </c>
      <c r="J27">
        <f>IF('Input Scenarios'!J54&lt;&gt;"", 'Input Scenarios'!J54, _xlfn.XLOOKUP($E27,Constants!$A$3:$A$6, Constants!D$3:D$6))</f>
        <v>6.7799999999999999E-2</v>
      </c>
      <c r="K27">
        <f>'Input Scenarios'!K54</f>
        <v>0.2</v>
      </c>
      <c r="L27">
        <f>'Input Scenarios'!L54</f>
        <v>0.1</v>
      </c>
      <c r="M27">
        <f>'Input Scenarios'!M54</f>
        <v>0.2</v>
      </c>
      <c r="N27">
        <f>'Input Scenarios'!N54</f>
        <v>0.2</v>
      </c>
      <c r="O27">
        <f>'Input Scenarios'!O54</f>
        <v>0.2</v>
      </c>
      <c r="P27">
        <f>'Input Scenarios'!P54</f>
        <v>0.1</v>
      </c>
      <c r="Q27" t="b">
        <f>'Input Scenarios'!Q54</f>
        <v>1</v>
      </c>
      <c r="R27">
        <f>IF('Input Scenarios'!$R54&lt;&gt;"", 'Input Scenarios'!$R54, IF($Q27, Constants!$B$19, 0))</f>
        <v>0.25</v>
      </c>
      <c r="S27">
        <f>IF('Input Scenarios'!$R54&lt;&gt;"", 'Input Scenarios'!$R54, IF($Q27, Constants!$B$20, 0))</f>
        <v>0.25</v>
      </c>
      <c r="T27">
        <f t="shared" si="5"/>
        <v>0.15000000000000002</v>
      </c>
      <c r="U27">
        <f t="shared" si="6"/>
        <v>0.1</v>
      </c>
      <c r="V27">
        <f t="shared" si="7"/>
        <v>0.15000000000000002</v>
      </c>
      <c r="W27">
        <f t="shared" si="8"/>
        <v>0.2</v>
      </c>
      <c r="X27">
        <f t="shared" si="9"/>
        <v>0.15000000000000002</v>
      </c>
      <c r="Y27">
        <f t="shared" si="10"/>
        <v>0.25</v>
      </c>
      <c r="Z27">
        <f>Constants!$B$21</f>
        <v>0.19</v>
      </c>
      <c r="AA27">
        <f>Constants!$B$22</f>
        <v>0.6784</v>
      </c>
      <c r="AB27">
        <f>_xlfn.XLOOKUP($B27,Constants!$G$20:$G$38, Constants!H$20:H$38)</f>
        <v>0.79</v>
      </c>
      <c r="AC27">
        <f>_xlfn.XLOOKUP($A27,Constants!$F$9:$M$9,Constants!$F$12:$M$12)</f>
        <v>0.01</v>
      </c>
      <c r="AD27">
        <f>_xlfn.XLOOKUP($B27,Constants!$G$20:$G$38, Constants!J$20:J$38)</f>
        <v>0.1</v>
      </c>
      <c r="AE27">
        <f>_xlfn.XLOOKUP($B27,Constants!$G$20:$G$38, Constants!K$20:K$38)</f>
        <v>0.04</v>
      </c>
      <c r="AF27">
        <f>_xlfn.XLOOKUP($B27,Constants!$G$20:$G$38, Constants!L$20:L$38)</f>
        <v>0.03</v>
      </c>
      <c r="AG27">
        <f>_xlfn.XLOOKUP($B27,Constants!$G$20:$G$38, Constants!I$20:I$38)</f>
        <v>0.02</v>
      </c>
      <c r="AH27">
        <f>_xlfn.XLOOKUP($B27,Constants!$G$20:$G$38, Constants!P$20:P$38)</f>
        <v>0</v>
      </c>
      <c r="AI27">
        <f t="shared" si="11"/>
        <v>1.0386439680000003E-2</v>
      </c>
      <c r="AJ27">
        <f t="shared" si="12"/>
        <v>8.764928000000002E-5</v>
      </c>
      <c r="AK27">
        <f t="shared" si="13"/>
        <v>1.3147392000000004E-3</v>
      </c>
      <c r="AL27">
        <f t="shared" si="14"/>
        <v>7.0119424000000016E-4</v>
      </c>
      <c r="AM27">
        <f t="shared" si="15"/>
        <v>3.944217600000001E-4</v>
      </c>
      <c r="AN27">
        <f t="shared" si="16"/>
        <v>4.3824640000000007E-4</v>
      </c>
      <c r="AO27">
        <f t="shared" si="17"/>
        <v>0.10491618816000001</v>
      </c>
      <c r="AP27">
        <f>Constants!$E$10</f>
        <v>0</v>
      </c>
      <c r="AQ27">
        <f>Constants!$E$12</f>
        <v>0</v>
      </c>
      <c r="AR27">
        <f>Constants!$E$13</f>
        <v>0.75</v>
      </c>
      <c r="AS27">
        <f>Constants!$E$14</f>
        <v>0.05</v>
      </c>
      <c r="AT27">
        <f>Constants!$E$15</f>
        <v>0</v>
      </c>
      <c r="AU27">
        <f>Constants!$E$11</f>
        <v>0</v>
      </c>
      <c r="AV27">
        <f t="shared" si="18"/>
        <v>0.15000000000000002</v>
      </c>
      <c r="AW27">
        <f t="shared" si="19"/>
        <v>0.1</v>
      </c>
      <c r="AX27">
        <f t="shared" si="20"/>
        <v>3.7500000000000006E-2</v>
      </c>
      <c r="AY27">
        <f t="shared" si="21"/>
        <v>0.19</v>
      </c>
      <c r="AZ27">
        <f t="shared" si="22"/>
        <v>0.15000000000000002</v>
      </c>
      <c r="BA27">
        <f t="shared" si="23"/>
        <v>0.25</v>
      </c>
      <c r="BB27">
        <f t="shared" si="24"/>
        <v>0.59670000000000001</v>
      </c>
      <c r="BC27">
        <f t="shared" si="25"/>
        <v>2.5500000000000005E-2</v>
      </c>
      <c r="BD27">
        <f t="shared" si="26"/>
        <v>0.12920000000000001</v>
      </c>
      <c r="BE27">
        <f t="shared" si="27"/>
        <v>0.44200000000000006</v>
      </c>
      <c r="BF27">
        <f t="shared" si="28"/>
        <v>2.5966099200000008E-3</v>
      </c>
      <c r="BG27">
        <f t="shared" si="29"/>
        <v>3.3306726400000002E-4</v>
      </c>
      <c r="BH27">
        <f t="shared" si="30"/>
        <v>0</v>
      </c>
      <c r="BI27">
        <f t="shared" si="31"/>
        <v>2.3071207824000007E-2</v>
      </c>
      <c r="BJ27">
        <f t="shared" si="32"/>
        <v>0.12798739598400002</v>
      </c>
      <c r="BK27">
        <f t="shared" ref="BK27" si="34">SUM(BJ27:BJ30)</f>
        <v>3.4733147273674243</v>
      </c>
    </row>
    <row r="28" spans="1:63" x14ac:dyDescent="0.2">
      <c r="A28" t="str">
        <f>'Input Scenarios'!A55</f>
        <v>SA</v>
      </c>
      <c r="B28">
        <f>'Input Scenarios'!B55</f>
        <v>26</v>
      </c>
      <c r="C28" t="str">
        <f>'Input Scenarios'!C55</f>
        <v>Non-irrigated crop (high rainfall)</v>
      </c>
      <c r="D28" t="b">
        <f>'Input Scenarios'!D55</f>
        <v>1</v>
      </c>
      <c r="E28" t="str">
        <f>'Input Scenarios'!E55</f>
        <v>sows</v>
      </c>
      <c r="F28">
        <f>'Input Scenarios'!F55</f>
        <v>245</v>
      </c>
      <c r="G28">
        <f>'Input Scenarios'!G55</f>
        <v>290</v>
      </c>
      <c r="H28">
        <f>IF('Input Scenarios'!H55&lt;&gt;"", 'Input Scenarios'!H55, _xlfn.XLOOKUP($E28,Constants!$A$3:$A$6, Constants!B$3:B$6))</f>
        <v>2.2999999999999998</v>
      </c>
      <c r="I28">
        <f>IF('Input Scenarios'!I55&lt;&gt;"", 'Input Scenarios'!I55, _xlfn.XLOOKUP($E28,Constants!$A$3:$A$6, Constants!C$3:C$6))</f>
        <v>0.69</v>
      </c>
      <c r="J28">
        <f>IF('Input Scenarios'!J55&lt;&gt;"", 'Input Scenarios'!J55, _xlfn.XLOOKUP($E28,Constants!$A$3:$A$6, Constants!D$3:D$6))</f>
        <v>4.5999999999999999E-2</v>
      </c>
      <c r="K28">
        <f>'Input Scenarios'!K55</f>
        <v>0.2</v>
      </c>
      <c r="L28">
        <f>'Input Scenarios'!L55</f>
        <v>0.1</v>
      </c>
      <c r="M28">
        <f>'Input Scenarios'!M55</f>
        <v>0.2</v>
      </c>
      <c r="N28">
        <f>'Input Scenarios'!N55</f>
        <v>0.2</v>
      </c>
      <c r="O28">
        <f>'Input Scenarios'!O55</f>
        <v>0.2</v>
      </c>
      <c r="P28">
        <f>'Input Scenarios'!P55</f>
        <v>0.1</v>
      </c>
      <c r="Q28" t="b">
        <f>'Input Scenarios'!Q55</f>
        <v>1</v>
      </c>
      <c r="R28">
        <f>IF('Input Scenarios'!$R55&lt;&gt;"", 'Input Scenarios'!$R55, IF($Q28, Constants!$B$19, 0))</f>
        <v>0.26</v>
      </c>
      <c r="S28">
        <f>IF('Input Scenarios'!$R55&lt;&gt;"", 'Input Scenarios'!$R55, IF($Q28, Constants!$B$20, 0))</f>
        <v>0.26</v>
      </c>
      <c r="T28">
        <f t="shared" si="5"/>
        <v>0.14799999999999999</v>
      </c>
      <c r="U28">
        <f t="shared" si="6"/>
        <v>0.1</v>
      </c>
      <c r="V28">
        <f t="shared" si="7"/>
        <v>0.14799999999999999</v>
      </c>
      <c r="W28">
        <f t="shared" si="8"/>
        <v>0.2</v>
      </c>
      <c r="X28">
        <f t="shared" si="9"/>
        <v>0.14799999999999999</v>
      </c>
      <c r="Y28">
        <f t="shared" si="10"/>
        <v>0.25600000000000001</v>
      </c>
      <c r="Z28">
        <f>Constants!$B$21</f>
        <v>0.19</v>
      </c>
      <c r="AA28">
        <f>Constants!$B$22</f>
        <v>0.6784</v>
      </c>
      <c r="AB28">
        <f>_xlfn.XLOOKUP($B28,Constants!$G$20:$G$38, Constants!H$20:H$38)</f>
        <v>0.79</v>
      </c>
      <c r="AC28">
        <f>_xlfn.XLOOKUP($A28,Constants!$F$9:$M$9,Constants!$F$12:$M$12)</f>
        <v>0.01</v>
      </c>
      <c r="AD28">
        <f>_xlfn.XLOOKUP($B28,Constants!$G$20:$G$38, Constants!J$20:J$38)</f>
        <v>0.1</v>
      </c>
      <c r="AE28">
        <f>_xlfn.XLOOKUP($B28,Constants!$G$20:$G$38, Constants!K$20:K$38)</f>
        <v>0.04</v>
      </c>
      <c r="AF28">
        <f>_xlfn.XLOOKUP($B28,Constants!$G$20:$G$38, Constants!L$20:L$38)</f>
        <v>0.03</v>
      </c>
      <c r="AG28">
        <f>_xlfn.XLOOKUP($B28,Constants!$G$20:$G$38, Constants!I$20:I$38)</f>
        <v>0.02</v>
      </c>
      <c r="AH28">
        <f>_xlfn.XLOOKUP($B28,Constants!$G$20:$G$38, Constants!P$20:P$38)</f>
        <v>0</v>
      </c>
      <c r="AI28">
        <f t="shared" si="11"/>
        <v>1.03986590208E-2</v>
      </c>
      <c r="AJ28">
        <f t="shared" si="12"/>
        <v>8.8938239999999998E-5</v>
      </c>
      <c r="AK28">
        <f t="shared" si="13"/>
        <v>1.3162859519999998E-3</v>
      </c>
      <c r="AL28">
        <f t="shared" si="14"/>
        <v>7.1150591999999998E-4</v>
      </c>
      <c r="AM28">
        <f t="shared" si="15"/>
        <v>3.9488578559999997E-4</v>
      </c>
      <c r="AN28">
        <f t="shared" si="16"/>
        <v>4.5536378880000001E-4</v>
      </c>
      <c r="AO28">
        <f t="shared" si="17"/>
        <v>0.94962863014655985</v>
      </c>
      <c r="AP28">
        <f>Constants!$E$10</f>
        <v>0</v>
      </c>
      <c r="AQ28">
        <f>Constants!$E$12</f>
        <v>0</v>
      </c>
      <c r="AR28">
        <f>Constants!$E$13</f>
        <v>0.75</v>
      </c>
      <c r="AS28">
        <f>Constants!$E$14</f>
        <v>0.05</v>
      </c>
      <c r="AT28">
        <f>Constants!$E$15</f>
        <v>0</v>
      </c>
      <c r="AU28">
        <f>Constants!$E$11</f>
        <v>0</v>
      </c>
      <c r="AV28">
        <f t="shared" si="18"/>
        <v>0.14799999999999999</v>
      </c>
      <c r="AW28">
        <f t="shared" si="19"/>
        <v>0.1</v>
      </c>
      <c r="AX28">
        <f t="shared" si="20"/>
        <v>3.6999999999999998E-2</v>
      </c>
      <c r="AY28">
        <f t="shared" si="21"/>
        <v>0.19</v>
      </c>
      <c r="AZ28">
        <f t="shared" si="22"/>
        <v>0.14799999999999999</v>
      </c>
      <c r="BA28">
        <f t="shared" si="23"/>
        <v>0.25600000000000001</v>
      </c>
      <c r="BB28">
        <f t="shared" si="24"/>
        <v>0.60650999999999999</v>
      </c>
      <c r="BC28">
        <f t="shared" si="25"/>
        <v>2.5529999999999997E-2</v>
      </c>
      <c r="BD28">
        <f t="shared" si="26"/>
        <v>0.13109999999999999</v>
      </c>
      <c r="BE28">
        <f t="shared" si="27"/>
        <v>0.44988</v>
      </c>
      <c r="BF28">
        <f t="shared" si="28"/>
        <v>2.5996647552E-3</v>
      </c>
      <c r="BG28">
        <f t="shared" si="29"/>
        <v>3.3796531199999997E-4</v>
      </c>
      <c r="BH28">
        <f t="shared" si="30"/>
        <v>0</v>
      </c>
      <c r="BI28">
        <f t="shared" si="31"/>
        <v>0.20871861627456001</v>
      </c>
      <c r="BJ28">
        <f t="shared" si="32"/>
        <v>1.15834724642112</v>
      </c>
    </row>
    <row r="29" spans="1:63" x14ac:dyDescent="0.2">
      <c r="A29" t="str">
        <f>'Input Scenarios'!A56</f>
        <v>SA</v>
      </c>
      <c r="B29">
        <f>'Input Scenarios'!B56</f>
        <v>26</v>
      </c>
      <c r="C29" t="str">
        <f>'Input Scenarios'!C56</f>
        <v>Non-irrigated crop (high rainfall)</v>
      </c>
      <c r="D29" t="b">
        <f>'Input Scenarios'!D56</f>
        <v>1</v>
      </c>
      <c r="E29" t="str">
        <f>'Input Scenarios'!E56</f>
        <v>gilts</v>
      </c>
      <c r="F29">
        <f>'Input Scenarios'!F56</f>
        <v>434</v>
      </c>
      <c r="G29">
        <f>'Input Scenarios'!G56</f>
        <v>280</v>
      </c>
      <c r="H29">
        <f>IF('Input Scenarios'!H56&lt;&gt;"", 'Input Scenarios'!H56, _xlfn.XLOOKUP($E29,Constants!$A$3:$A$6, Constants!B$3:B$6))</f>
        <v>2.5</v>
      </c>
      <c r="I29">
        <f>IF('Input Scenarios'!I56&lt;&gt;"", 'Input Scenarios'!I56, _xlfn.XLOOKUP($E29,Constants!$A$3:$A$6, Constants!C$3:C$6))</f>
        <v>0.7</v>
      </c>
      <c r="J29">
        <f>IF('Input Scenarios'!J56&lt;&gt;"", 'Input Scenarios'!J56, _xlfn.XLOOKUP($E29,Constants!$A$3:$A$6, Constants!D$3:D$6))</f>
        <v>5.1999999999999998E-2</v>
      </c>
      <c r="K29">
        <f>'Input Scenarios'!K56</f>
        <v>0.2</v>
      </c>
      <c r="L29">
        <f>'Input Scenarios'!L56</f>
        <v>0.1</v>
      </c>
      <c r="M29">
        <f>'Input Scenarios'!M56</f>
        <v>0.2</v>
      </c>
      <c r="N29">
        <f>'Input Scenarios'!N56</f>
        <v>0.2</v>
      </c>
      <c r="O29">
        <f>'Input Scenarios'!O56</f>
        <v>0.2</v>
      </c>
      <c r="P29">
        <f>'Input Scenarios'!P56</f>
        <v>0.1</v>
      </c>
      <c r="Q29" t="b">
        <f>'Input Scenarios'!Q56</f>
        <v>1</v>
      </c>
      <c r="R29">
        <f>IF('Input Scenarios'!$R56&lt;&gt;"", 'Input Scenarios'!$R56, IF($Q29, Constants!$B$19, 0))</f>
        <v>0.27</v>
      </c>
      <c r="S29">
        <f>IF('Input Scenarios'!$R56&lt;&gt;"", 'Input Scenarios'!$R56, IF($Q29, Constants!$B$20, 0))</f>
        <v>0.27</v>
      </c>
      <c r="T29">
        <f t="shared" si="5"/>
        <v>0.14599999999999999</v>
      </c>
      <c r="U29">
        <f t="shared" si="6"/>
        <v>0.1</v>
      </c>
      <c r="V29">
        <f t="shared" si="7"/>
        <v>0.14599999999999999</v>
      </c>
      <c r="W29">
        <f t="shared" si="8"/>
        <v>0.2</v>
      </c>
      <c r="X29">
        <f t="shared" si="9"/>
        <v>0.14599999999999999</v>
      </c>
      <c r="Y29">
        <f t="shared" si="10"/>
        <v>0.26200000000000001</v>
      </c>
      <c r="Z29">
        <f>Constants!$B$21</f>
        <v>0.19</v>
      </c>
      <c r="AA29">
        <f>Constants!$B$22</f>
        <v>0.6784</v>
      </c>
      <c r="AB29">
        <f>_xlfn.XLOOKUP($B29,Constants!$G$20:$G$38, Constants!H$20:H$38)</f>
        <v>0.79</v>
      </c>
      <c r="AC29">
        <f>_xlfn.XLOOKUP($A29,Constants!$F$9:$M$9,Constants!$F$12:$M$12)</f>
        <v>0.01</v>
      </c>
      <c r="AD29">
        <f>_xlfn.XLOOKUP($B29,Constants!$G$20:$G$38, Constants!J$20:J$38)</f>
        <v>0.1</v>
      </c>
      <c r="AE29">
        <f>_xlfn.XLOOKUP($B29,Constants!$G$20:$G$38, Constants!K$20:K$38)</f>
        <v>0.04</v>
      </c>
      <c r="AF29">
        <f>_xlfn.XLOOKUP($B29,Constants!$G$20:$G$38, Constants!L$20:L$38)</f>
        <v>0.03</v>
      </c>
      <c r="AG29">
        <f>_xlfn.XLOOKUP($B29,Constants!$G$20:$G$38, Constants!I$20:I$38)</f>
        <v>0.02</v>
      </c>
      <c r="AH29">
        <f>_xlfn.XLOOKUP($B29,Constants!$G$20:$G$38, Constants!P$20:P$38)</f>
        <v>0</v>
      </c>
      <c r="AI29">
        <f t="shared" si="11"/>
        <v>1.0406805247999999E-2</v>
      </c>
      <c r="AJ29">
        <f t="shared" si="12"/>
        <v>9.0227200000000002E-5</v>
      </c>
      <c r="AK29">
        <f t="shared" si="13"/>
        <v>1.3173171200000001E-3</v>
      </c>
      <c r="AL29">
        <f t="shared" si="14"/>
        <v>7.2181760000000002E-4</v>
      </c>
      <c r="AM29">
        <f t="shared" si="15"/>
        <v>3.9519513599999993E-4</v>
      </c>
      <c r="AN29">
        <f t="shared" si="16"/>
        <v>4.7279052800000006E-4</v>
      </c>
      <c r="AO29">
        <f t="shared" si="17"/>
        <v>1.6288726521446399</v>
      </c>
      <c r="AP29">
        <f>Constants!$E$10</f>
        <v>0</v>
      </c>
      <c r="AQ29">
        <f>Constants!$E$12</f>
        <v>0</v>
      </c>
      <c r="AR29">
        <f>Constants!$E$13</f>
        <v>0.75</v>
      </c>
      <c r="AS29">
        <f>Constants!$E$14</f>
        <v>0.05</v>
      </c>
      <c r="AT29">
        <f>Constants!$E$15</f>
        <v>0</v>
      </c>
      <c r="AU29">
        <f>Constants!$E$11</f>
        <v>0</v>
      </c>
      <c r="AV29">
        <f t="shared" si="18"/>
        <v>0.14599999999999999</v>
      </c>
      <c r="AW29">
        <f t="shared" si="19"/>
        <v>0.1</v>
      </c>
      <c r="AX29">
        <f t="shared" si="20"/>
        <v>3.6499999999999998E-2</v>
      </c>
      <c r="AY29">
        <f t="shared" si="21"/>
        <v>0.19</v>
      </c>
      <c r="AZ29">
        <f t="shared" si="22"/>
        <v>0.14599999999999999</v>
      </c>
      <c r="BA29">
        <f t="shared" si="23"/>
        <v>0.26200000000000001</v>
      </c>
      <c r="BB29">
        <f t="shared" si="24"/>
        <v>0.61634999999999995</v>
      </c>
      <c r="BC29">
        <f t="shared" si="25"/>
        <v>2.5549999999999996E-2</v>
      </c>
      <c r="BD29">
        <f t="shared" si="26"/>
        <v>0.13299999999999998</v>
      </c>
      <c r="BE29">
        <f t="shared" si="27"/>
        <v>0.45779999999999998</v>
      </c>
      <c r="BF29">
        <f t="shared" si="28"/>
        <v>2.6017013119999997E-3</v>
      </c>
      <c r="BG29">
        <f t="shared" si="29"/>
        <v>3.4286335999999997E-4</v>
      </c>
      <c r="BH29">
        <f t="shared" si="30"/>
        <v>0</v>
      </c>
      <c r="BI29">
        <f t="shared" si="31"/>
        <v>0.35782349894143994</v>
      </c>
      <c r="BJ29">
        <f t="shared" si="32"/>
        <v>1.9866961510860801</v>
      </c>
    </row>
    <row r="30" spans="1:63" s="2" customFormat="1" x14ac:dyDescent="0.2">
      <c r="A30" s="2" t="str">
        <f>'Input Scenarios'!A57</f>
        <v>SA</v>
      </c>
      <c r="B30" s="2">
        <f>'Input Scenarios'!B57</f>
        <v>26</v>
      </c>
      <c r="C30" s="2" t="str">
        <f>'Input Scenarios'!C57</f>
        <v>Non-irrigated crop (high rainfall)</v>
      </c>
      <c r="D30" s="2" t="b">
        <f>'Input Scenarios'!D57</f>
        <v>1</v>
      </c>
      <c r="E30" s="2" t="str">
        <f>'Input Scenarios'!E57</f>
        <v>others</v>
      </c>
      <c r="F30" s="2">
        <f>'Input Scenarios'!F57</f>
        <v>44</v>
      </c>
      <c r="G30" s="2">
        <f>'Input Scenarios'!G57</f>
        <v>290</v>
      </c>
      <c r="H30" s="2">
        <f>IF('Input Scenarios'!H57&lt;&gt;"", 'Input Scenarios'!H57, _xlfn.XLOOKUP($E30,Constants!$A$3:$A$6, Constants!B$3:B$6))</f>
        <v>1.71</v>
      </c>
      <c r="I30" s="2">
        <f>IF('Input Scenarios'!I57&lt;&gt;"", 'Input Scenarios'!I57, _xlfn.XLOOKUP($E30,Constants!$A$3:$A$6, Constants!C$3:C$6))</f>
        <v>0.68</v>
      </c>
      <c r="J30" s="2">
        <f>IF('Input Scenarios'!J57&lt;&gt;"", 'Input Scenarios'!J57, _xlfn.XLOOKUP($E30,Constants!$A$3:$A$6, Constants!D$3:D$6))</f>
        <v>4.4999999999999998E-2</v>
      </c>
      <c r="K30" s="2">
        <f>'Input Scenarios'!K57</f>
        <v>0.2</v>
      </c>
      <c r="L30" s="2">
        <f>'Input Scenarios'!L57</f>
        <v>0.1</v>
      </c>
      <c r="M30" s="2">
        <f>'Input Scenarios'!M57</f>
        <v>0.2</v>
      </c>
      <c r="N30" s="2">
        <f>'Input Scenarios'!N57</f>
        <v>0.2</v>
      </c>
      <c r="O30" s="2">
        <f>'Input Scenarios'!O57</f>
        <v>0.2</v>
      </c>
      <c r="P30" s="2">
        <f>'Input Scenarios'!P57</f>
        <v>0.1</v>
      </c>
      <c r="Q30" s="2" t="b">
        <f>'Input Scenarios'!Q57</f>
        <v>1</v>
      </c>
      <c r="R30" s="2">
        <f>IF('Input Scenarios'!$R57&lt;&gt;"", 'Input Scenarios'!$R57, IF($Q30, Constants!$B$19, 0))</f>
        <v>0.28000000000000003</v>
      </c>
      <c r="S30" s="2">
        <f>IF('Input Scenarios'!$R57&lt;&gt;"", 'Input Scenarios'!$R57, IF($Q30, Constants!$B$20, 0))</f>
        <v>0.28000000000000003</v>
      </c>
      <c r="T30" s="2">
        <f t="shared" si="5"/>
        <v>0.14399999999999999</v>
      </c>
      <c r="U30" s="2">
        <f t="shared" si="6"/>
        <v>0.1</v>
      </c>
      <c r="V30" s="2">
        <f t="shared" si="7"/>
        <v>0.14399999999999999</v>
      </c>
      <c r="W30" s="2">
        <f t="shared" si="8"/>
        <v>0.2</v>
      </c>
      <c r="X30" s="2">
        <f t="shared" si="9"/>
        <v>0.14399999999999999</v>
      </c>
      <c r="Y30" s="2">
        <f t="shared" si="10"/>
        <v>0.26800000000000002</v>
      </c>
      <c r="Z30" s="2">
        <f>Constants!$B$21</f>
        <v>0.19</v>
      </c>
      <c r="AA30" s="2">
        <f>Constants!$B$22</f>
        <v>0.6784</v>
      </c>
      <c r="AB30" s="2">
        <f>_xlfn.XLOOKUP($B30,Constants!$G$20:$G$38, Constants!H$20:H$38)</f>
        <v>0.79</v>
      </c>
      <c r="AC30" s="2">
        <f>_xlfn.XLOOKUP($A30,Constants!$F$9:$M$9,Constants!$F$12:$M$12)</f>
        <v>0.01</v>
      </c>
      <c r="AD30" s="2">
        <f>_xlfn.XLOOKUP($B30,Constants!$G$20:$G$38, Constants!J$20:J$38)</f>
        <v>0.1</v>
      </c>
      <c r="AE30" s="2">
        <f>_xlfn.XLOOKUP($B30,Constants!$G$20:$G$38, Constants!K$20:K$38)</f>
        <v>0.04</v>
      </c>
      <c r="AF30" s="2">
        <f>_xlfn.XLOOKUP($B30,Constants!$G$20:$G$38, Constants!L$20:L$38)</f>
        <v>0.03</v>
      </c>
      <c r="AG30" s="2">
        <f>_xlfn.XLOOKUP($B30,Constants!$G$20:$G$38, Constants!I$20:I$38)</f>
        <v>0.02</v>
      </c>
      <c r="AH30" s="2">
        <f>_xlfn.XLOOKUP($B30,Constants!$G$20:$G$38, Constants!P$20:P$38)</f>
        <v>0</v>
      </c>
      <c r="AI30" s="2">
        <f t="shared" si="11"/>
        <v>9.9709820928000001E-3</v>
      </c>
      <c r="AJ30" s="2">
        <f t="shared" si="12"/>
        <v>8.764928000000002E-5</v>
      </c>
      <c r="AK30" s="2">
        <f t="shared" si="13"/>
        <v>1.262149632E-3</v>
      </c>
      <c r="AL30" s="2">
        <f t="shared" si="14"/>
        <v>7.0119424000000016E-4</v>
      </c>
      <c r="AM30" s="2">
        <f t="shared" si="15"/>
        <v>3.7864488959999998E-4</v>
      </c>
      <c r="AN30" s="2">
        <f t="shared" si="16"/>
        <v>4.6980014080000006E-4</v>
      </c>
      <c r="AO30" s="2">
        <f t="shared" si="17"/>
        <v>0.16422656271155198</v>
      </c>
      <c r="AP30" s="2">
        <f>Constants!$E$10</f>
        <v>0</v>
      </c>
      <c r="AQ30" s="2">
        <f>Constants!$E$12</f>
        <v>0</v>
      </c>
      <c r="AR30" s="2">
        <f>Constants!$E$13</f>
        <v>0.75</v>
      </c>
      <c r="AS30" s="2">
        <f>Constants!$E$14</f>
        <v>0.05</v>
      </c>
      <c r="AT30" s="2">
        <f>Constants!$E$15</f>
        <v>0</v>
      </c>
      <c r="AU30" s="2">
        <f>Constants!$E$11</f>
        <v>0</v>
      </c>
      <c r="AV30" s="2">
        <f t="shared" si="18"/>
        <v>0.14399999999999999</v>
      </c>
      <c r="AW30" s="2">
        <f t="shared" si="19"/>
        <v>0.1</v>
      </c>
      <c r="AX30" s="2">
        <f t="shared" si="20"/>
        <v>3.5999999999999997E-2</v>
      </c>
      <c r="AY30" s="2">
        <f t="shared" si="21"/>
        <v>0.19</v>
      </c>
      <c r="AZ30" s="2">
        <f t="shared" si="22"/>
        <v>0.14399999999999999</v>
      </c>
      <c r="BA30" s="2">
        <f t="shared" si="23"/>
        <v>0.26800000000000002</v>
      </c>
      <c r="BB30" s="2">
        <f t="shared" si="24"/>
        <v>0.59976000000000007</v>
      </c>
      <c r="BC30" s="2">
        <f t="shared" si="25"/>
        <v>2.4479999999999998E-2</v>
      </c>
      <c r="BD30" s="2">
        <f t="shared" si="26"/>
        <v>0.12920000000000001</v>
      </c>
      <c r="BE30" s="2">
        <f t="shared" si="27"/>
        <v>0.44608000000000003</v>
      </c>
      <c r="BF30" s="2">
        <f t="shared" si="28"/>
        <v>2.4927455232E-3</v>
      </c>
      <c r="BG30" s="2">
        <f t="shared" si="29"/>
        <v>3.3306726400000002E-4</v>
      </c>
      <c r="BH30" s="2">
        <f t="shared" si="30"/>
        <v>0</v>
      </c>
      <c r="BI30" s="2">
        <f t="shared" si="31"/>
        <v>3.6057371164671996E-2</v>
      </c>
      <c r="BJ30" s="2">
        <f t="shared" si="32"/>
        <v>0.20028393387622398</v>
      </c>
    </row>
    <row r="31" spans="1:63" x14ac:dyDescent="0.2">
      <c r="A31" t="str">
        <f>'Input Scenarios'!A58</f>
        <v>QLD</v>
      </c>
      <c r="B31" t="str">
        <f>'Input Scenarios'!B58</f>
        <v>28 or above</v>
      </c>
      <c r="C31" t="str">
        <f>'Input Scenarios'!C58</f>
        <v>Irrigated pasture</v>
      </c>
      <c r="D31" t="b">
        <f>'Input Scenarios'!D58</f>
        <v>1</v>
      </c>
      <c r="E31" t="str">
        <f>'Input Scenarios'!E58</f>
        <v>boars</v>
      </c>
      <c r="F31">
        <f>'Input Scenarios'!F58</f>
        <v>105</v>
      </c>
      <c r="G31">
        <f>'Input Scenarios'!G58</f>
        <v>75</v>
      </c>
      <c r="H31">
        <f>IF('Input Scenarios'!H58&lt;&gt;"", 'Input Scenarios'!H58, _xlfn.XLOOKUP($E31,Constants!$A$3:$A$6, Constants!B$3:B$6))</f>
        <v>2.62</v>
      </c>
      <c r="I31">
        <f>IF('Input Scenarios'!I58&lt;&gt;"", 'Input Scenarios'!I58, _xlfn.XLOOKUP($E31,Constants!$A$3:$A$6, Constants!C$3:C$6))</f>
        <v>0.37</v>
      </c>
      <c r="J31">
        <f>IF('Input Scenarios'!J58&lt;&gt;"", 'Input Scenarios'!J58, _xlfn.XLOOKUP($E31,Constants!$A$3:$A$6, Constants!D$3:D$6))</f>
        <v>0.04</v>
      </c>
      <c r="K31">
        <f>'Input Scenarios'!K58</f>
        <v>0.2</v>
      </c>
      <c r="L31">
        <f>'Input Scenarios'!L58</f>
        <v>0.1</v>
      </c>
      <c r="M31">
        <f>'Input Scenarios'!M58</f>
        <v>0.2</v>
      </c>
      <c r="N31">
        <f>'Input Scenarios'!N58</f>
        <v>0.2</v>
      </c>
      <c r="O31">
        <f>'Input Scenarios'!O58</f>
        <v>0.2</v>
      </c>
      <c r="P31">
        <f>'Input Scenarios'!P58</f>
        <v>0.1</v>
      </c>
      <c r="Q31" t="b">
        <f>'Input Scenarios'!Q58</f>
        <v>1</v>
      </c>
      <c r="R31">
        <f>IF('Input Scenarios'!$R58&lt;&gt;"", 'Input Scenarios'!$R58, IF($Q31, Constants!$B$19, 0))</f>
        <v>0.28000000000000003</v>
      </c>
      <c r="S31">
        <f>IF('Input Scenarios'!$R58&lt;&gt;"", 'Input Scenarios'!$R58, IF($Q31, Constants!$B$20, 0))</f>
        <v>0.28000000000000003</v>
      </c>
      <c r="T31">
        <f t="shared" ref="T31:T34" si="35">K31*(1-$R31)</f>
        <v>0.14399999999999999</v>
      </c>
      <c r="U31">
        <f t="shared" ref="U31:U34" si="36">L31</f>
        <v>0.1</v>
      </c>
      <c r="V31">
        <f t="shared" ref="V31:V34" si="37">M31*(1-$R31)</f>
        <v>0.14399999999999999</v>
      </c>
      <c r="W31">
        <f t="shared" ref="W31:W34" si="38">N31</f>
        <v>0.2</v>
      </c>
      <c r="X31">
        <f t="shared" ref="X31:X34" si="39">O31*(1-$R31)</f>
        <v>0.14399999999999999</v>
      </c>
      <c r="Y31">
        <f t="shared" ref="Y31:Y34" si="40">P31+(SUM(K31,M31,O31)*R31)</f>
        <v>0.26800000000000002</v>
      </c>
      <c r="Z31">
        <f>Constants!$B$21</f>
        <v>0.19</v>
      </c>
      <c r="AA31">
        <f>Constants!$B$22</f>
        <v>0.6784</v>
      </c>
      <c r="AB31">
        <f>_xlfn.XLOOKUP($B31,Constants!$G$20:$G$38, Constants!H$20:H$38)</f>
        <v>0.8</v>
      </c>
      <c r="AC31">
        <f>_xlfn.XLOOKUP($A31,Constants!$F$9:$M$9,Constants!$F$12:$M$12)</f>
        <v>0.03</v>
      </c>
      <c r="AD31">
        <f>_xlfn.XLOOKUP($B31,Constants!$G$20:$G$38, Constants!J$20:J$38)</f>
        <v>0.1</v>
      </c>
      <c r="AE31">
        <f>_xlfn.XLOOKUP($B31,Constants!$G$20:$G$38, Constants!K$20:K$38)</f>
        <v>0.04</v>
      </c>
      <c r="AF31">
        <f>_xlfn.XLOOKUP($B31,Constants!$G$20:$G$38, Constants!L$20:L$38)</f>
        <v>0.03</v>
      </c>
      <c r="AG31">
        <f>_xlfn.XLOOKUP($B31,Constants!$G$20:$G$38, Constants!I$20:I$38)</f>
        <v>0.02</v>
      </c>
      <c r="AH31">
        <f>_xlfn.XLOOKUP($B31,Constants!$G$20:$G$38, Constants!P$20:P$38)</f>
        <v>0</v>
      </c>
      <c r="AI31">
        <f t="shared" ref="AI31:AI34" si="41">$I31*T31*AB31*$Z31*$AA31</f>
        <v>5.494063104E-3</v>
      </c>
      <c r="AJ31">
        <f t="shared" ref="AJ31:AJ34" si="42">$I31*U31*AC31*$Z31*$AA31</f>
        <v>1.4307455999999999E-4</v>
      </c>
      <c r="AK31">
        <f t="shared" ref="AK31:AK34" si="43">$I31*V31*AD31*$Z31*$AA31</f>
        <v>6.86757888E-4</v>
      </c>
      <c r="AL31">
        <f t="shared" ref="AL31:AL34" si="44">$I31*W31*AE31*$Z31*$AA31</f>
        <v>3.8153216000000003E-4</v>
      </c>
      <c r="AM31">
        <f t="shared" ref="AM31:AM34" si="45">$I31*X31*AF31*$Z31*$AA31</f>
        <v>2.0602736639999995E-4</v>
      </c>
      <c r="AN31">
        <f t="shared" ref="AN31:AN34" si="46">$I31*Y31*AG31*$Z31*$AA31</f>
        <v>2.556265472E-4</v>
      </c>
      <c r="AO31">
        <f t="shared" ref="AO31:AO34" si="47">(SUM(AI31:AN31)*F31*G31)/1000</f>
        <v>5.6440767801600004E-2</v>
      </c>
      <c r="AP31">
        <f>Constants!$E$10</f>
        <v>0</v>
      </c>
      <c r="AQ31">
        <f>Constants!$E$12</f>
        <v>0</v>
      </c>
      <c r="AR31">
        <f>Constants!$E$13</f>
        <v>0.75</v>
      </c>
      <c r="AS31">
        <f>Constants!$E$14</f>
        <v>0.05</v>
      </c>
      <c r="AT31">
        <f>Constants!$E$15</f>
        <v>0</v>
      </c>
      <c r="AU31">
        <f>Constants!$E$11</f>
        <v>0</v>
      </c>
      <c r="AV31">
        <f t="shared" ref="AV31:AV34" si="48">(T31*(1-AP31))</f>
        <v>0.14399999999999999</v>
      </c>
      <c r="AW31">
        <f t="shared" ref="AW31:AW34" si="49">(U31*(1-AQ31))</f>
        <v>0.1</v>
      </c>
      <c r="AX31">
        <f t="shared" ref="AX31:AX34" si="50">(V31*(1-AR31))</f>
        <v>3.5999999999999997E-2</v>
      </c>
      <c r="AY31">
        <f t="shared" ref="AY31:AY34" si="51">(W31*(1-AS31))</f>
        <v>0.19</v>
      </c>
      <c r="AZ31">
        <f t="shared" ref="AZ31:AZ34" si="52">(X31*(1-AT31))</f>
        <v>0.14399999999999999</v>
      </c>
      <c r="BA31">
        <f t="shared" ref="BA31:BA34" si="53">(Y31*(1-AU31))</f>
        <v>0.26800000000000002</v>
      </c>
      <c r="BB31">
        <f t="shared" ref="BB31:BB34" si="54">SUM(AV31:BA31)*I31</f>
        <v>0.32634000000000002</v>
      </c>
      <c r="BC31">
        <f t="shared" ref="BC31:BC34" si="55">AX31*$I31</f>
        <v>1.3319999999999999E-2</v>
      </c>
      <c r="BD31">
        <f t="shared" ref="BD31:BD34" si="56">AY31*$I31</f>
        <v>7.0300000000000001E-2</v>
      </c>
      <c r="BE31">
        <f t="shared" ref="BE31:BE34" si="57">SUM(AV31:AW31, AZ31:BA31)*$I31</f>
        <v>0.24272000000000002</v>
      </c>
      <c r="BF31">
        <f t="shared" ref="BF31:BF34" si="58">BC31*$Z31*AB31*$AA31</f>
        <v>1.373515776E-3</v>
      </c>
      <c r="BG31">
        <f t="shared" ref="BG31:BG34" si="59">BD31*$Z31*AG31*$AA31</f>
        <v>1.8122777600000002E-4</v>
      </c>
      <c r="BH31">
        <f t="shared" ref="BH31:BH34" si="60">BE31*$Z31*AH31*$AA31</f>
        <v>0</v>
      </c>
      <c r="BI31">
        <f t="shared" ref="BI31:BI34" si="61">(SUM(BF31:BH31)*F31*G31)/1000</f>
        <v>1.2243605472000001E-2</v>
      </c>
      <c r="BJ31">
        <f t="shared" ref="BJ31:BJ34" si="62">SUM(AI31:AN31, BF31:BH31)*F31*G31/1000</f>
        <v>6.8684373273599983E-2</v>
      </c>
      <c r="BK31">
        <f t="shared" ref="BK31" si="63">SUM(BJ31:BJ34)</f>
        <v>1.8954995673213437</v>
      </c>
    </row>
    <row r="32" spans="1:63" x14ac:dyDescent="0.2">
      <c r="A32" t="str">
        <f>'Input Scenarios'!A59</f>
        <v>QLD</v>
      </c>
      <c r="B32" t="str">
        <f>'Input Scenarios'!B59</f>
        <v>28 or above</v>
      </c>
      <c r="C32" t="str">
        <f>'Input Scenarios'!C59</f>
        <v>Irrigated pasture</v>
      </c>
      <c r="D32" t="b">
        <f>'Input Scenarios'!D59</f>
        <v>1</v>
      </c>
      <c r="E32" t="str">
        <f>'Input Scenarios'!E59</f>
        <v>sows</v>
      </c>
      <c r="F32">
        <f>'Input Scenarios'!F59</f>
        <v>245</v>
      </c>
      <c r="G32">
        <f>'Input Scenarios'!G59</f>
        <v>290</v>
      </c>
      <c r="H32">
        <f>IF('Input Scenarios'!H59&lt;&gt;"", 'Input Scenarios'!H59, _xlfn.XLOOKUP($E32,Constants!$A$3:$A$6, Constants!B$3:B$6))</f>
        <v>2.2999999999999998</v>
      </c>
      <c r="I32">
        <f>IF('Input Scenarios'!I59&lt;&gt;"", 'Input Scenarios'!I59, _xlfn.XLOOKUP($E32,Constants!$A$3:$A$6, Constants!C$3:C$6))</f>
        <v>0.37</v>
      </c>
      <c r="J32">
        <f>IF('Input Scenarios'!J59&lt;&gt;"", 'Input Scenarios'!J59, _xlfn.XLOOKUP($E32,Constants!$A$3:$A$6, Constants!D$3:D$6))</f>
        <v>0.04</v>
      </c>
      <c r="K32">
        <f>'Input Scenarios'!K59</f>
        <v>0.2</v>
      </c>
      <c r="L32">
        <f>'Input Scenarios'!L59</f>
        <v>0.1</v>
      </c>
      <c r="M32">
        <f>'Input Scenarios'!M59</f>
        <v>0.2</v>
      </c>
      <c r="N32">
        <f>'Input Scenarios'!N59</f>
        <v>0.2</v>
      </c>
      <c r="O32">
        <f>'Input Scenarios'!O59</f>
        <v>0.2</v>
      </c>
      <c r="P32">
        <f>'Input Scenarios'!P59</f>
        <v>0.1</v>
      </c>
      <c r="Q32" t="b">
        <f>'Input Scenarios'!Q59</f>
        <v>1</v>
      </c>
      <c r="R32">
        <f>IF('Input Scenarios'!$R59&lt;&gt;"", 'Input Scenarios'!$R59, IF($Q32, Constants!$B$19, 0))</f>
        <v>0.27</v>
      </c>
      <c r="S32">
        <f>IF('Input Scenarios'!$R59&lt;&gt;"", 'Input Scenarios'!$R59, IF($Q32, Constants!$B$20, 0))</f>
        <v>0.27</v>
      </c>
      <c r="T32">
        <f t="shared" si="35"/>
        <v>0.14599999999999999</v>
      </c>
      <c r="U32">
        <f t="shared" si="36"/>
        <v>0.1</v>
      </c>
      <c r="V32">
        <f t="shared" si="37"/>
        <v>0.14599999999999999</v>
      </c>
      <c r="W32">
        <f t="shared" si="38"/>
        <v>0.2</v>
      </c>
      <c r="X32">
        <f t="shared" si="39"/>
        <v>0.14599999999999999</v>
      </c>
      <c r="Y32">
        <f t="shared" si="40"/>
        <v>0.26200000000000001</v>
      </c>
      <c r="Z32">
        <f>Constants!$B$21</f>
        <v>0.19</v>
      </c>
      <c r="AA32">
        <f>Constants!$B$22</f>
        <v>0.6784</v>
      </c>
      <c r="AB32">
        <f>_xlfn.XLOOKUP($B32,Constants!$G$20:$G$38, Constants!H$20:H$38)</f>
        <v>0.8</v>
      </c>
      <c r="AC32">
        <f>_xlfn.XLOOKUP($A32,Constants!$F$9:$M$9,Constants!$F$12:$M$12)</f>
        <v>0.03</v>
      </c>
      <c r="AD32">
        <f>_xlfn.XLOOKUP($B32,Constants!$G$20:$G$38, Constants!J$20:J$38)</f>
        <v>0.1</v>
      </c>
      <c r="AE32">
        <f>_xlfn.XLOOKUP($B32,Constants!$G$20:$G$38, Constants!K$20:K$38)</f>
        <v>0.04</v>
      </c>
      <c r="AF32">
        <f>_xlfn.XLOOKUP($B32,Constants!$G$20:$G$38, Constants!L$20:L$38)</f>
        <v>0.03</v>
      </c>
      <c r="AG32">
        <f>_xlfn.XLOOKUP($B32,Constants!$G$20:$G$38, Constants!I$20:I$38)</f>
        <v>0.02</v>
      </c>
      <c r="AH32">
        <f>_xlfn.XLOOKUP($B32,Constants!$G$20:$G$38, Constants!P$20:P$38)</f>
        <v>0</v>
      </c>
      <c r="AI32">
        <f t="shared" si="41"/>
        <v>5.5703695360000008E-3</v>
      </c>
      <c r="AJ32">
        <f t="shared" si="42"/>
        <v>1.4307455999999999E-4</v>
      </c>
      <c r="AK32">
        <f t="shared" si="43"/>
        <v>6.962961920000001E-4</v>
      </c>
      <c r="AL32">
        <f t="shared" si="44"/>
        <v>3.8153216000000003E-4</v>
      </c>
      <c r="AM32">
        <f t="shared" si="45"/>
        <v>2.0888885759999998E-4</v>
      </c>
      <c r="AN32">
        <f t="shared" si="46"/>
        <v>2.499035648E-4</v>
      </c>
      <c r="AO32">
        <f t="shared" si="47"/>
        <v>0.5151171090419201</v>
      </c>
      <c r="AP32">
        <f>Constants!$E$10</f>
        <v>0</v>
      </c>
      <c r="AQ32">
        <f>Constants!$E$12</f>
        <v>0</v>
      </c>
      <c r="AR32">
        <f>Constants!$E$13</f>
        <v>0.75</v>
      </c>
      <c r="AS32">
        <f>Constants!$E$14</f>
        <v>0.05</v>
      </c>
      <c r="AT32">
        <f>Constants!$E$15</f>
        <v>0</v>
      </c>
      <c r="AU32">
        <f>Constants!$E$11</f>
        <v>0</v>
      </c>
      <c r="AV32">
        <f t="shared" si="48"/>
        <v>0.14599999999999999</v>
      </c>
      <c r="AW32">
        <f t="shared" si="49"/>
        <v>0.1</v>
      </c>
      <c r="AX32">
        <f t="shared" si="50"/>
        <v>3.6499999999999998E-2</v>
      </c>
      <c r="AY32">
        <f t="shared" si="51"/>
        <v>0.19</v>
      </c>
      <c r="AZ32">
        <f t="shared" si="52"/>
        <v>0.14599999999999999</v>
      </c>
      <c r="BA32">
        <f t="shared" si="53"/>
        <v>0.26200000000000001</v>
      </c>
      <c r="BB32">
        <f t="shared" si="54"/>
        <v>0.32578499999999999</v>
      </c>
      <c r="BC32">
        <f t="shared" si="55"/>
        <v>1.3505E-2</v>
      </c>
      <c r="BD32">
        <f t="shared" si="56"/>
        <v>7.0300000000000001E-2</v>
      </c>
      <c r="BE32">
        <f t="shared" si="57"/>
        <v>0.24198</v>
      </c>
      <c r="BF32">
        <f t="shared" si="58"/>
        <v>1.3925923840000002E-3</v>
      </c>
      <c r="BG32">
        <f t="shared" si="59"/>
        <v>1.8122777600000002E-4</v>
      </c>
      <c r="BH32">
        <f t="shared" si="60"/>
        <v>0</v>
      </c>
      <c r="BI32">
        <f t="shared" si="61"/>
        <v>0.11181992236800002</v>
      </c>
      <c r="BJ32">
        <f t="shared" si="62"/>
        <v>0.62693703140992008</v>
      </c>
    </row>
    <row r="33" spans="1:63" x14ac:dyDescent="0.2">
      <c r="A33" t="str">
        <f>'Input Scenarios'!A60</f>
        <v>QLD</v>
      </c>
      <c r="B33" t="str">
        <f>'Input Scenarios'!B60</f>
        <v>28 or above</v>
      </c>
      <c r="C33" t="str">
        <f>'Input Scenarios'!C60</f>
        <v>Irrigated pasture</v>
      </c>
      <c r="D33" t="b">
        <f>'Input Scenarios'!D60</f>
        <v>1</v>
      </c>
      <c r="E33" t="str">
        <f>'Input Scenarios'!E60</f>
        <v>gilts</v>
      </c>
      <c r="F33">
        <f>'Input Scenarios'!F60</f>
        <v>434</v>
      </c>
      <c r="G33">
        <f>'Input Scenarios'!G60</f>
        <v>280</v>
      </c>
      <c r="H33">
        <f>IF('Input Scenarios'!H60&lt;&gt;"", 'Input Scenarios'!H60, _xlfn.XLOOKUP($E33,Constants!$A$3:$A$6, Constants!B$3:B$6))</f>
        <v>2.5</v>
      </c>
      <c r="I33">
        <f>IF('Input Scenarios'!I60&lt;&gt;"", 'Input Scenarios'!I60, _xlfn.XLOOKUP($E33,Constants!$A$3:$A$6, Constants!C$3:C$6))</f>
        <v>0.37</v>
      </c>
      <c r="J33">
        <f>IF('Input Scenarios'!J60&lt;&gt;"", 'Input Scenarios'!J60, _xlfn.XLOOKUP($E33,Constants!$A$3:$A$6, Constants!D$3:D$6))</f>
        <v>0.04</v>
      </c>
      <c r="K33">
        <f>'Input Scenarios'!K60</f>
        <v>0.2</v>
      </c>
      <c r="L33">
        <f>'Input Scenarios'!L60</f>
        <v>0.1</v>
      </c>
      <c r="M33">
        <f>'Input Scenarios'!M60</f>
        <v>0.2</v>
      </c>
      <c r="N33">
        <f>'Input Scenarios'!N60</f>
        <v>0.2</v>
      </c>
      <c r="O33">
        <f>'Input Scenarios'!O60</f>
        <v>0.2</v>
      </c>
      <c r="P33">
        <f>'Input Scenarios'!P60</f>
        <v>0.1</v>
      </c>
      <c r="Q33" t="b">
        <f>'Input Scenarios'!Q60</f>
        <v>1</v>
      </c>
      <c r="R33">
        <f>IF('Input Scenarios'!$R60&lt;&gt;"", 'Input Scenarios'!$R60, IF($Q33, Constants!$B$19, 0))</f>
        <v>0.26</v>
      </c>
      <c r="S33">
        <f>IF('Input Scenarios'!$R60&lt;&gt;"", 'Input Scenarios'!$R60, IF($Q33, Constants!$B$20, 0))</f>
        <v>0.26</v>
      </c>
      <c r="T33">
        <f t="shared" si="35"/>
        <v>0.14799999999999999</v>
      </c>
      <c r="U33">
        <f t="shared" si="36"/>
        <v>0.1</v>
      </c>
      <c r="V33">
        <f t="shared" si="37"/>
        <v>0.14799999999999999</v>
      </c>
      <c r="W33">
        <f t="shared" si="38"/>
        <v>0.2</v>
      </c>
      <c r="X33">
        <f t="shared" si="39"/>
        <v>0.14799999999999999</v>
      </c>
      <c r="Y33">
        <f t="shared" si="40"/>
        <v>0.25600000000000001</v>
      </c>
      <c r="Z33">
        <f>Constants!$B$21</f>
        <v>0.19</v>
      </c>
      <c r="AA33">
        <f>Constants!$B$22</f>
        <v>0.6784</v>
      </c>
      <c r="AB33">
        <f>_xlfn.XLOOKUP($B33,Constants!$G$20:$G$38, Constants!H$20:H$38)</f>
        <v>0.8</v>
      </c>
      <c r="AC33">
        <f>_xlfn.XLOOKUP($A33,Constants!$F$9:$M$9,Constants!$F$12:$M$12)</f>
        <v>0.03</v>
      </c>
      <c r="AD33">
        <f>_xlfn.XLOOKUP($B33,Constants!$G$20:$G$38, Constants!J$20:J$38)</f>
        <v>0.1</v>
      </c>
      <c r="AE33">
        <f>_xlfn.XLOOKUP($B33,Constants!$G$20:$G$38, Constants!K$20:K$38)</f>
        <v>0.04</v>
      </c>
      <c r="AF33">
        <f>_xlfn.XLOOKUP($B33,Constants!$G$20:$G$38, Constants!L$20:L$38)</f>
        <v>0.03</v>
      </c>
      <c r="AG33">
        <f>_xlfn.XLOOKUP($B33,Constants!$G$20:$G$38, Constants!I$20:I$38)</f>
        <v>0.02</v>
      </c>
      <c r="AH33">
        <f>_xlfn.XLOOKUP($B33,Constants!$G$20:$G$38, Constants!P$20:P$38)</f>
        <v>0</v>
      </c>
      <c r="AI33">
        <f t="shared" si="41"/>
        <v>5.646675967999999E-3</v>
      </c>
      <c r="AJ33">
        <f t="shared" si="42"/>
        <v>1.4307455999999999E-4</v>
      </c>
      <c r="AK33">
        <f t="shared" si="43"/>
        <v>7.0583449599999988E-4</v>
      </c>
      <c r="AL33">
        <f t="shared" si="44"/>
        <v>3.8153216000000003E-4</v>
      </c>
      <c r="AM33">
        <f t="shared" si="45"/>
        <v>2.1175034879999997E-4</v>
      </c>
      <c r="AN33">
        <f t="shared" si="46"/>
        <v>2.4418058240000001E-4</v>
      </c>
      <c r="AO33">
        <f t="shared" si="47"/>
        <v>0.89111200695910386</v>
      </c>
      <c r="AP33">
        <f>Constants!$E$10</f>
        <v>0</v>
      </c>
      <c r="AQ33">
        <f>Constants!$E$12</f>
        <v>0</v>
      </c>
      <c r="AR33">
        <f>Constants!$E$13</f>
        <v>0.75</v>
      </c>
      <c r="AS33">
        <f>Constants!$E$14</f>
        <v>0.05</v>
      </c>
      <c r="AT33">
        <f>Constants!$E$15</f>
        <v>0</v>
      </c>
      <c r="AU33">
        <f>Constants!$E$11</f>
        <v>0</v>
      </c>
      <c r="AV33">
        <f t="shared" si="48"/>
        <v>0.14799999999999999</v>
      </c>
      <c r="AW33">
        <f t="shared" si="49"/>
        <v>0.1</v>
      </c>
      <c r="AX33">
        <f t="shared" si="50"/>
        <v>3.6999999999999998E-2</v>
      </c>
      <c r="AY33">
        <f t="shared" si="51"/>
        <v>0.19</v>
      </c>
      <c r="AZ33">
        <f t="shared" si="52"/>
        <v>0.14799999999999999</v>
      </c>
      <c r="BA33">
        <f t="shared" si="53"/>
        <v>0.25600000000000001</v>
      </c>
      <c r="BB33">
        <f t="shared" si="54"/>
        <v>0.32523000000000002</v>
      </c>
      <c r="BC33">
        <f t="shared" si="55"/>
        <v>1.3689999999999999E-2</v>
      </c>
      <c r="BD33">
        <f t="shared" si="56"/>
        <v>7.0300000000000001E-2</v>
      </c>
      <c r="BE33">
        <f t="shared" si="57"/>
        <v>0.24124000000000001</v>
      </c>
      <c r="BF33">
        <f t="shared" si="58"/>
        <v>1.4116689919999998E-3</v>
      </c>
      <c r="BG33">
        <f t="shared" si="59"/>
        <v>1.8122777600000002E-4</v>
      </c>
      <c r="BH33">
        <f t="shared" si="60"/>
        <v>0</v>
      </c>
      <c r="BI33">
        <f t="shared" si="61"/>
        <v>0.19356881524735997</v>
      </c>
      <c r="BJ33">
        <f t="shared" si="62"/>
        <v>1.0846808222064637</v>
      </c>
    </row>
    <row r="34" spans="1:63" x14ac:dyDescent="0.2">
      <c r="A34" s="2" t="str">
        <f>'Input Scenarios'!A61</f>
        <v>QLD</v>
      </c>
      <c r="B34" s="2" t="str">
        <f>'Input Scenarios'!B61</f>
        <v>28 or above</v>
      </c>
      <c r="C34" s="2" t="str">
        <f>'Input Scenarios'!C61</f>
        <v>Irrigated pasture</v>
      </c>
      <c r="D34" s="2" t="b">
        <f>'Input Scenarios'!D61</f>
        <v>1</v>
      </c>
      <c r="E34" s="2" t="str">
        <f>'Input Scenarios'!E61</f>
        <v>others</v>
      </c>
      <c r="F34" s="2">
        <f>'Input Scenarios'!F61</f>
        <v>44</v>
      </c>
      <c r="G34" s="2">
        <f>'Input Scenarios'!G61</f>
        <v>290</v>
      </c>
      <c r="H34" s="2">
        <f>IF('Input Scenarios'!H61&lt;&gt;"", 'Input Scenarios'!H61, _xlfn.XLOOKUP($E34,Constants!$A$3:$A$6, Constants!B$3:B$6))</f>
        <v>1.71</v>
      </c>
      <c r="I34" s="2">
        <f>IF('Input Scenarios'!I61&lt;&gt;"", 'Input Scenarios'!I61, _xlfn.XLOOKUP($E34,Constants!$A$3:$A$6, Constants!C$3:C$6))</f>
        <v>0.37</v>
      </c>
      <c r="J34" s="2">
        <f>IF('Input Scenarios'!J61&lt;&gt;"", 'Input Scenarios'!J61, _xlfn.XLOOKUP($E34,Constants!$A$3:$A$6, Constants!D$3:D$6))</f>
        <v>0.04</v>
      </c>
      <c r="K34" s="2">
        <f>'Input Scenarios'!K61</f>
        <v>0.2</v>
      </c>
      <c r="L34" s="2">
        <f>'Input Scenarios'!L61</f>
        <v>0.1</v>
      </c>
      <c r="M34" s="2">
        <f>'Input Scenarios'!M61</f>
        <v>0.2</v>
      </c>
      <c r="N34" s="2">
        <f>'Input Scenarios'!N61</f>
        <v>0.2</v>
      </c>
      <c r="O34" s="2">
        <f>'Input Scenarios'!O61</f>
        <v>0.2</v>
      </c>
      <c r="P34" s="2">
        <f>'Input Scenarios'!P61</f>
        <v>0.1</v>
      </c>
      <c r="Q34" s="2" t="b">
        <f>'Input Scenarios'!Q61</f>
        <v>1</v>
      </c>
      <c r="R34" s="2">
        <f>IF('Input Scenarios'!$R61&lt;&gt;"", 'Input Scenarios'!$R61, IF($Q34, Constants!$B$19, 0))</f>
        <v>0.25</v>
      </c>
      <c r="S34" s="2">
        <f>IF('Input Scenarios'!$R61&lt;&gt;"", 'Input Scenarios'!$R61, IF($Q34, Constants!$B$20, 0))</f>
        <v>0.25</v>
      </c>
      <c r="T34" s="2">
        <f t="shared" si="35"/>
        <v>0.15000000000000002</v>
      </c>
      <c r="U34" s="2">
        <f t="shared" si="36"/>
        <v>0.1</v>
      </c>
      <c r="V34" s="2">
        <f t="shared" si="37"/>
        <v>0.15000000000000002</v>
      </c>
      <c r="W34" s="2">
        <f t="shared" si="38"/>
        <v>0.2</v>
      </c>
      <c r="X34" s="2">
        <f t="shared" si="39"/>
        <v>0.15000000000000002</v>
      </c>
      <c r="Y34" s="2">
        <f t="shared" si="40"/>
        <v>0.25</v>
      </c>
      <c r="Z34" s="2">
        <f>Constants!$B$21</f>
        <v>0.19</v>
      </c>
      <c r="AA34" s="2">
        <f>Constants!$B$22</f>
        <v>0.6784</v>
      </c>
      <c r="AB34" s="2">
        <f>_xlfn.XLOOKUP($B34,Constants!$G$20:$G$38, Constants!H$20:H$38)</f>
        <v>0.8</v>
      </c>
      <c r="AC34" s="2">
        <f>_xlfn.XLOOKUP($A34,Constants!$F$9:$M$9,Constants!$F$12:$M$12)</f>
        <v>0.03</v>
      </c>
      <c r="AD34" s="2">
        <f>_xlfn.XLOOKUP($B34,Constants!$G$20:$G$38, Constants!J$20:J$38)</f>
        <v>0.1</v>
      </c>
      <c r="AE34" s="2">
        <f>_xlfn.XLOOKUP($B34,Constants!$G$20:$G$38, Constants!K$20:K$38)</f>
        <v>0.04</v>
      </c>
      <c r="AF34" s="2">
        <f>_xlfn.XLOOKUP($B34,Constants!$G$20:$G$38, Constants!L$20:L$38)</f>
        <v>0.03</v>
      </c>
      <c r="AG34" s="2">
        <f>_xlfn.XLOOKUP($B34,Constants!$G$20:$G$38, Constants!I$20:I$38)</f>
        <v>0.02</v>
      </c>
      <c r="AH34" s="2">
        <f>_xlfn.XLOOKUP($B34,Constants!$G$20:$G$38, Constants!P$20:P$38)</f>
        <v>0</v>
      </c>
      <c r="AI34" s="2">
        <f t="shared" si="41"/>
        <v>5.7229824000000016E-3</v>
      </c>
      <c r="AJ34" s="2">
        <f t="shared" si="42"/>
        <v>1.4307455999999999E-4</v>
      </c>
      <c r="AK34" s="2">
        <f t="shared" si="43"/>
        <v>7.153728000000002E-4</v>
      </c>
      <c r="AL34" s="2">
        <f t="shared" si="44"/>
        <v>3.8153216000000003E-4</v>
      </c>
      <c r="AM34" s="2">
        <f t="shared" si="45"/>
        <v>2.1461184000000005E-4</v>
      </c>
      <c r="AN34" s="2">
        <f t="shared" si="46"/>
        <v>2.3845760000000001E-4</v>
      </c>
      <c r="AO34" s="2">
        <f t="shared" si="47"/>
        <v>9.4628560153600022E-2</v>
      </c>
      <c r="AP34" s="2">
        <f>Constants!$E$10</f>
        <v>0</v>
      </c>
      <c r="AQ34" s="2">
        <f>Constants!$E$12</f>
        <v>0</v>
      </c>
      <c r="AR34" s="2">
        <f>Constants!$E$13</f>
        <v>0.75</v>
      </c>
      <c r="AS34" s="2">
        <f>Constants!$E$14</f>
        <v>0.05</v>
      </c>
      <c r="AT34" s="2">
        <f>Constants!$E$15</f>
        <v>0</v>
      </c>
      <c r="AU34" s="2">
        <f>Constants!$E$11</f>
        <v>0</v>
      </c>
      <c r="AV34" s="2">
        <f t="shared" si="48"/>
        <v>0.15000000000000002</v>
      </c>
      <c r="AW34" s="2">
        <f t="shared" si="49"/>
        <v>0.1</v>
      </c>
      <c r="AX34" s="2">
        <f t="shared" si="50"/>
        <v>3.7500000000000006E-2</v>
      </c>
      <c r="AY34" s="2">
        <f t="shared" si="51"/>
        <v>0.19</v>
      </c>
      <c r="AZ34" s="2">
        <f t="shared" si="52"/>
        <v>0.15000000000000002</v>
      </c>
      <c r="BA34" s="2">
        <f t="shared" si="53"/>
        <v>0.25</v>
      </c>
      <c r="BB34" s="2">
        <f t="shared" si="54"/>
        <v>0.32467499999999999</v>
      </c>
      <c r="BC34" s="2">
        <f t="shared" si="55"/>
        <v>1.3875000000000002E-2</v>
      </c>
      <c r="BD34" s="2">
        <f t="shared" si="56"/>
        <v>7.0300000000000001E-2</v>
      </c>
      <c r="BE34" s="2">
        <f t="shared" si="57"/>
        <v>0.24049999999999999</v>
      </c>
      <c r="BF34" s="2">
        <f t="shared" si="58"/>
        <v>1.4307456000000004E-3</v>
      </c>
      <c r="BG34" s="2">
        <f t="shared" si="59"/>
        <v>1.8122777600000002E-4</v>
      </c>
      <c r="BH34" s="2">
        <f t="shared" si="60"/>
        <v>0</v>
      </c>
      <c r="BI34" s="2">
        <f t="shared" si="61"/>
        <v>2.0568780277760004E-2</v>
      </c>
      <c r="BJ34" s="2">
        <f t="shared" si="62"/>
        <v>0.11519734043136001</v>
      </c>
      <c r="BK34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5317-E2B3-354C-A35E-1257035FEE0E}">
  <dimension ref="A2:BL26"/>
  <sheetViews>
    <sheetView topLeftCell="AY4" workbookViewId="0">
      <selection activeCell="AT14" sqref="AT14"/>
    </sheetView>
  </sheetViews>
  <sheetFormatPr baseColWidth="10" defaultRowHeight="16" x14ac:dyDescent="0.2"/>
  <sheetData>
    <row r="2" spans="1:64" x14ac:dyDescent="0.2">
      <c r="A2" s="1" t="s">
        <v>0</v>
      </c>
      <c r="B2" s="1"/>
      <c r="C2" s="1"/>
      <c r="D2" s="1"/>
      <c r="E2" s="1"/>
      <c r="F2" s="1"/>
      <c r="G2" s="1"/>
      <c r="H2" s="1"/>
    </row>
    <row r="3" spans="1:64" x14ac:dyDescent="0.2">
      <c r="A3" s="1"/>
      <c r="B3" s="1"/>
      <c r="C3" s="1"/>
      <c r="D3" s="1"/>
      <c r="E3" s="1"/>
      <c r="F3" s="1"/>
      <c r="G3" s="1"/>
      <c r="H3" s="1"/>
    </row>
    <row r="4" spans="1:64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192</v>
      </c>
      <c r="I4" s="1" t="s">
        <v>192</v>
      </c>
      <c r="J4" s="1" t="s">
        <v>192</v>
      </c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 t="s">
        <v>1</v>
      </c>
      <c r="T4" s="1" t="s">
        <v>191</v>
      </c>
      <c r="U4" s="1" t="s">
        <v>191</v>
      </c>
      <c r="V4" s="1" t="s">
        <v>191</v>
      </c>
      <c r="W4" s="1" t="s">
        <v>191</v>
      </c>
      <c r="X4" s="1" t="s">
        <v>191</v>
      </c>
      <c r="Y4" s="1" t="s">
        <v>191</v>
      </c>
      <c r="Z4" s="1" t="s">
        <v>191</v>
      </c>
      <c r="AA4" s="1" t="s">
        <v>191</v>
      </c>
      <c r="AB4" s="1" t="s">
        <v>191</v>
      </c>
      <c r="AC4" s="1" t="s">
        <v>191</v>
      </c>
      <c r="AD4" s="1" t="s">
        <v>191</v>
      </c>
      <c r="AE4" s="1" t="s">
        <v>191</v>
      </c>
      <c r="AF4" s="1" t="s">
        <v>191</v>
      </c>
      <c r="AG4" s="1" t="s">
        <v>192</v>
      </c>
      <c r="AH4" s="1" t="s">
        <v>192</v>
      </c>
      <c r="AI4" s="1" t="s">
        <v>192</v>
      </c>
      <c r="AJ4" s="1" t="s">
        <v>192</v>
      </c>
      <c r="AK4" s="1" t="s">
        <v>192</v>
      </c>
      <c r="AL4" s="1" t="s">
        <v>192</v>
      </c>
      <c r="AM4" s="1" t="s">
        <v>192</v>
      </c>
      <c r="AN4" s="1" t="s">
        <v>192</v>
      </c>
      <c r="AO4" s="1" t="s">
        <v>192</v>
      </c>
      <c r="AP4" s="1" t="s">
        <v>192</v>
      </c>
      <c r="AQ4" s="1" t="s">
        <v>192</v>
      </c>
      <c r="AR4" s="1" t="s">
        <v>192</v>
      </c>
      <c r="AS4" s="1" t="s">
        <v>191</v>
      </c>
      <c r="AT4" s="1" t="s">
        <v>191</v>
      </c>
      <c r="AU4" s="1" t="s">
        <v>191</v>
      </c>
      <c r="AV4" s="1" t="s">
        <v>191</v>
      </c>
      <c r="AW4" s="1" t="s">
        <v>191</v>
      </c>
      <c r="AX4" s="1" t="s">
        <v>191</v>
      </c>
      <c r="AY4" s="1" t="s">
        <v>191</v>
      </c>
      <c r="AZ4" s="1" t="s">
        <v>191</v>
      </c>
      <c r="BA4" s="1" t="s">
        <v>191</v>
      </c>
      <c r="BB4" s="1" t="s">
        <v>191</v>
      </c>
      <c r="BC4" s="1" t="s">
        <v>192</v>
      </c>
      <c r="BD4" s="12" t="s">
        <v>191</v>
      </c>
      <c r="BE4" s="12" t="s">
        <v>191</v>
      </c>
      <c r="BF4" s="12" t="s">
        <v>191</v>
      </c>
      <c r="BG4" s="12" t="s">
        <v>191</v>
      </c>
      <c r="BH4" s="12" t="s">
        <v>191</v>
      </c>
      <c r="BI4" s="12" t="s">
        <v>191</v>
      </c>
      <c r="BJ4" s="12" t="s">
        <v>191</v>
      </c>
      <c r="BK4" s="12" t="s">
        <v>191</v>
      </c>
      <c r="BL4" s="12" t="s">
        <v>191</v>
      </c>
    </row>
    <row r="5" spans="1:64" x14ac:dyDescent="0.2">
      <c r="A5" s="1"/>
      <c r="B5" s="1"/>
      <c r="C5" s="1"/>
      <c r="D5" s="1"/>
      <c r="E5" s="1"/>
      <c r="F5" s="1"/>
      <c r="G5" s="1"/>
      <c r="H5" s="1"/>
    </row>
    <row r="6" spans="1:64" x14ac:dyDescent="0.2">
      <c r="A6" s="1"/>
      <c r="B6" s="1"/>
      <c r="C6" s="1"/>
      <c r="D6" s="1"/>
      <c r="E6" s="1"/>
      <c r="F6" s="1"/>
      <c r="G6" s="1"/>
      <c r="H6" s="1"/>
      <c r="U6" t="s">
        <v>203</v>
      </c>
      <c r="Z6" t="s">
        <v>204</v>
      </c>
    </row>
    <row r="7" spans="1:64" x14ac:dyDescent="0.2">
      <c r="A7" s="1"/>
      <c r="B7" s="1"/>
      <c r="C7" s="1"/>
      <c r="D7" s="1"/>
      <c r="E7" s="1"/>
      <c r="F7" s="1"/>
      <c r="G7" s="1"/>
      <c r="H7" s="1"/>
      <c r="T7" t="s">
        <v>202</v>
      </c>
      <c r="AA7" t="s">
        <v>205</v>
      </c>
    </row>
    <row r="8" spans="1:64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116</v>
      </c>
      <c r="J8" s="1" t="s">
        <v>117</v>
      </c>
      <c r="K8" s="1" t="s">
        <v>206</v>
      </c>
      <c r="Q8" t="s">
        <v>36</v>
      </c>
      <c r="R8" t="s">
        <v>37</v>
      </c>
      <c r="T8" t="s">
        <v>196</v>
      </c>
      <c r="U8" t="s">
        <v>199</v>
      </c>
      <c r="AA8" t="s">
        <v>200</v>
      </c>
      <c r="AS8" t="s">
        <v>201</v>
      </c>
      <c r="AY8" t="s">
        <v>197</v>
      </c>
      <c r="AZ8" t="s">
        <v>198</v>
      </c>
    </row>
    <row r="9" spans="1:64" x14ac:dyDescent="0.2">
      <c r="A9" s="1"/>
      <c r="B9" s="1"/>
      <c r="C9" s="1"/>
      <c r="D9" s="1"/>
      <c r="E9" s="1"/>
      <c r="F9" s="1"/>
      <c r="G9" s="1"/>
      <c r="H9" s="1"/>
      <c r="K9" t="s">
        <v>29</v>
      </c>
      <c r="L9" t="s">
        <v>31</v>
      </c>
      <c r="M9" t="s">
        <v>32</v>
      </c>
      <c r="N9" t="s">
        <v>33</v>
      </c>
      <c r="O9" t="s">
        <v>34</v>
      </c>
      <c r="P9" t="s">
        <v>30</v>
      </c>
      <c r="U9" t="s">
        <v>29</v>
      </c>
      <c r="V9" t="s">
        <v>31</v>
      </c>
      <c r="W9" t="s">
        <v>32</v>
      </c>
      <c r="X9" t="s">
        <v>33</v>
      </c>
      <c r="Y9" t="s">
        <v>34</v>
      </c>
      <c r="Z9" t="s">
        <v>30</v>
      </c>
      <c r="AA9" t="s">
        <v>29</v>
      </c>
      <c r="AB9" t="s">
        <v>31</v>
      </c>
      <c r="AC9" t="s">
        <v>32</v>
      </c>
      <c r="AD9" t="s">
        <v>33</v>
      </c>
      <c r="AE9" t="s">
        <v>34</v>
      </c>
      <c r="AF9" t="s">
        <v>30</v>
      </c>
      <c r="AG9" t="s">
        <v>29</v>
      </c>
      <c r="AH9" t="s">
        <v>31</v>
      </c>
      <c r="AI9" t="s">
        <v>32</v>
      </c>
      <c r="AJ9" t="s">
        <v>33</v>
      </c>
      <c r="AK9" t="s">
        <v>34</v>
      </c>
      <c r="AL9" t="s">
        <v>30</v>
      </c>
      <c r="AM9" t="s">
        <v>29</v>
      </c>
      <c r="AN9" t="s">
        <v>31</v>
      </c>
      <c r="AO9" t="s">
        <v>32</v>
      </c>
      <c r="AP9" t="s">
        <v>33</v>
      </c>
      <c r="AQ9" t="s">
        <v>34</v>
      </c>
      <c r="AR9" t="s">
        <v>30</v>
      </c>
      <c r="AS9" t="s">
        <v>29</v>
      </c>
      <c r="AT9" t="s">
        <v>31</v>
      </c>
      <c r="AU9" t="s">
        <v>32</v>
      </c>
      <c r="AV9" t="s">
        <v>33</v>
      </c>
      <c r="AW9" t="s">
        <v>34</v>
      </c>
      <c r="AX9" t="s">
        <v>30</v>
      </c>
      <c r="BD9" t="s">
        <v>182</v>
      </c>
      <c r="BJ9" t="s">
        <v>181</v>
      </c>
    </row>
    <row r="10" spans="1:64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17</v>
      </c>
      <c r="M10" s="3" t="s">
        <v>20</v>
      </c>
      <c r="N10" s="3" t="s">
        <v>21</v>
      </c>
      <c r="O10" s="3" t="s">
        <v>22</v>
      </c>
      <c r="P10" s="3" t="s">
        <v>19</v>
      </c>
      <c r="Q10" s="3" t="s">
        <v>35</v>
      </c>
      <c r="R10" s="3" t="s">
        <v>23</v>
      </c>
      <c r="S10" s="6" t="s">
        <v>24</v>
      </c>
      <c r="T10" s="6" t="s">
        <v>115</v>
      </c>
      <c r="U10" s="6" t="s">
        <v>120</v>
      </c>
      <c r="V10" s="6" t="s">
        <v>121</v>
      </c>
      <c r="W10" s="7" t="s">
        <v>122</v>
      </c>
      <c r="X10" s="7" t="s">
        <v>123</v>
      </c>
      <c r="Y10" s="7" t="s">
        <v>124</v>
      </c>
      <c r="Z10" s="7" t="s">
        <v>125</v>
      </c>
      <c r="AA10" s="7" t="s">
        <v>145</v>
      </c>
      <c r="AB10" s="7" t="s">
        <v>146</v>
      </c>
      <c r="AC10" s="7" t="s">
        <v>147</v>
      </c>
      <c r="AD10" s="7" t="s">
        <v>148</v>
      </c>
      <c r="AE10" s="7" t="s">
        <v>149</v>
      </c>
      <c r="AF10" s="7" t="s">
        <v>150</v>
      </c>
      <c r="AG10" s="7" t="s">
        <v>126</v>
      </c>
      <c r="AH10" s="7" t="s">
        <v>128</v>
      </c>
      <c r="AI10" s="7" t="s">
        <v>129</v>
      </c>
      <c r="AJ10" s="7" t="s">
        <v>130</v>
      </c>
      <c r="AK10" s="7" t="s">
        <v>131</v>
      </c>
      <c r="AL10" s="7" t="s">
        <v>127</v>
      </c>
      <c r="AM10" s="7" t="s">
        <v>132</v>
      </c>
      <c r="AN10" s="7" t="s">
        <v>133</v>
      </c>
      <c r="AO10" s="7" t="s">
        <v>135</v>
      </c>
      <c r="AP10" s="7" t="s">
        <v>136</v>
      </c>
      <c r="AQ10" s="7" t="s">
        <v>137</v>
      </c>
      <c r="AR10" s="7" t="s">
        <v>134</v>
      </c>
      <c r="AS10" s="7" t="s">
        <v>139</v>
      </c>
      <c r="AT10" s="7" t="s">
        <v>140</v>
      </c>
      <c r="AU10" s="7" t="s">
        <v>141</v>
      </c>
      <c r="AV10" s="7" t="s">
        <v>143</v>
      </c>
      <c r="AW10" s="7" t="s">
        <v>144</v>
      </c>
      <c r="AX10" s="7" t="s">
        <v>142</v>
      </c>
      <c r="AY10" s="8" t="s">
        <v>138</v>
      </c>
      <c r="AZ10" s="7" t="s">
        <v>151</v>
      </c>
      <c r="BA10" s="7" t="s">
        <v>152</v>
      </c>
      <c r="BB10" s="7" t="s">
        <v>186</v>
      </c>
      <c r="BC10" s="7" t="s">
        <v>71</v>
      </c>
      <c r="BD10" s="8" t="s">
        <v>159</v>
      </c>
      <c r="BE10" s="8" t="s">
        <v>158</v>
      </c>
      <c r="BF10" s="8" t="s">
        <v>157</v>
      </c>
      <c r="BG10" s="8" t="s">
        <v>156</v>
      </c>
      <c r="BH10" s="8" t="s">
        <v>155</v>
      </c>
      <c r="BI10" s="10" t="s">
        <v>153</v>
      </c>
      <c r="BJ10" s="10" t="s">
        <v>154</v>
      </c>
      <c r="BK10" s="10" t="s">
        <v>153</v>
      </c>
      <c r="BL10" s="10" t="s">
        <v>160</v>
      </c>
    </row>
    <row r="11" spans="1:64" x14ac:dyDescent="0.2">
      <c r="A11" t="str">
        <f>'Input Scenarios'!A11</f>
        <v>NSW</v>
      </c>
      <c r="B11">
        <f>'Input Scenarios'!B11</f>
        <v>0</v>
      </c>
      <c r="C11" t="str">
        <f>'Input Scenarios'!C11</f>
        <v>Irrigated crop</v>
      </c>
      <c r="D11" t="b">
        <f>'Input Scenarios'!D11</f>
        <v>1</v>
      </c>
      <c r="E11" t="str">
        <f>'Input Scenarios'!E11</f>
        <v>boars</v>
      </c>
      <c r="F11">
        <f>'Input Scenarios'!F11</f>
        <v>111</v>
      </c>
      <c r="G11">
        <f>'Input Scenarios'!G11</f>
        <v>105</v>
      </c>
      <c r="H11">
        <f>IF('Input Scenarios'!H11&lt;&gt;"", 'Input Scenarios'!H11, _xlfn.XLOOKUP($E11,Constants!$A$3:$A$6, Constants!B$3:B$6))</f>
        <v>2.62</v>
      </c>
      <c r="I11">
        <f>IF('Input Scenarios'!I11&lt;&gt;"", 'Input Scenarios'!I11, _xlfn.XLOOKUP($E11,Constants!$A$3:$A$6, Constants!C$3:C$6))</f>
        <v>0.4</v>
      </c>
      <c r="J11">
        <f>IF('Input Scenarios'!J11&lt;&gt;"", 'Input Scenarios'!J11, _xlfn.XLOOKUP($E11,Constants!$A$3:$A$6, Constants!D$3:D$6))</f>
        <v>4.5999999999999999E-2</v>
      </c>
      <c r="K11">
        <f>'Input Scenarios'!K11</f>
        <v>1</v>
      </c>
      <c r="L11">
        <f>'Input Scenarios'!L11</f>
        <v>0</v>
      </c>
      <c r="M11">
        <f>'Input Scenarios'!M11</f>
        <v>0</v>
      </c>
      <c r="N11">
        <f>'Input Scenarios'!N11</f>
        <v>0</v>
      </c>
      <c r="O11">
        <f>'Input Scenarios'!O11</f>
        <v>0</v>
      </c>
      <c r="P11">
        <f>'Input Scenarios'!P11</f>
        <v>0</v>
      </c>
      <c r="Q11" t="b">
        <f>'Input Scenarios'!Q11</f>
        <v>1</v>
      </c>
      <c r="R11">
        <f>IF('Input Scenarios'!$R11&lt;&gt;"", 'Input Scenarios'!$R11, IF($Q11, Constants!$B$19, 0))</f>
        <v>0.25</v>
      </c>
      <c r="S11">
        <f>IF('Input Scenarios'!$R11&lt;&gt;"", 'Input Scenarios'!$R11, IF($Q11, Constants!$B$20, 0))</f>
        <v>0.25</v>
      </c>
      <c r="T11">
        <f>F11*G11*J11</f>
        <v>536.13</v>
      </c>
      <c r="U11">
        <f>K11*(1-$S11)</f>
        <v>0.75</v>
      </c>
      <c r="V11">
        <f>L11</f>
        <v>0</v>
      </c>
      <c r="W11">
        <f t="shared" ref="W11:Y11" si="0">M11*(1-$S11)</f>
        <v>0</v>
      </c>
      <c r="X11">
        <f>N11</f>
        <v>0</v>
      </c>
      <c r="Y11">
        <f t="shared" si="0"/>
        <v>0</v>
      </c>
      <c r="Z11">
        <f>P11+(SUM(K11, M11, O11)*S11)</f>
        <v>0.25</v>
      </c>
      <c r="AA11">
        <f>$T11*U11</f>
        <v>402.09749999999997</v>
      </c>
      <c r="AB11">
        <f t="shared" ref="AB11:AF11" si="1">$T11*V11</f>
        <v>0</v>
      </c>
      <c r="AC11">
        <f t="shared" si="1"/>
        <v>0</v>
      </c>
      <c r="AD11">
        <f t="shared" si="1"/>
        <v>0</v>
      </c>
      <c r="AE11">
        <f t="shared" si="1"/>
        <v>0</v>
      </c>
      <c r="AF11">
        <f t="shared" si="1"/>
        <v>134.0325</v>
      </c>
      <c r="AG11" s="9">
        <f>Constants!$C$10</f>
        <v>0.55000000000000004</v>
      </c>
      <c r="AH11" s="9">
        <f>Constants!$C$12</f>
        <v>0.3</v>
      </c>
      <c r="AI11" s="9">
        <f>Constants!$C$13</f>
        <v>0</v>
      </c>
      <c r="AJ11" s="9">
        <f>Constants!$C$14</f>
        <v>0.125</v>
      </c>
      <c r="AK11" s="9">
        <f>Constants!$C$15</f>
        <v>0.25</v>
      </c>
      <c r="AL11" s="9">
        <f>Constants!$C$11</f>
        <v>0.2</v>
      </c>
      <c r="AM11" s="9">
        <f>Constants!$D$10</f>
        <v>0</v>
      </c>
      <c r="AN11" s="9">
        <f>Constants!$D$12</f>
        <v>0.02</v>
      </c>
      <c r="AO11" s="9">
        <f>Constants!$D$13</f>
        <v>0</v>
      </c>
      <c r="AP11" s="9">
        <f>Constants!$D$14</f>
        <v>0.01</v>
      </c>
      <c r="AQ11" s="9">
        <f>Constants!$D$15</f>
        <v>2E-3</v>
      </c>
      <c r="AR11" s="9">
        <f>Constants!$D$11</f>
        <v>5.0000000000000001E-3</v>
      </c>
      <c r="AS11">
        <f>AA11*(1-AG11-AM11)</f>
        <v>180.94387499999996</v>
      </c>
      <c r="AT11">
        <f t="shared" ref="AT11:AX11" si="2">AB11*(1-AH11-AN11)</f>
        <v>0</v>
      </c>
      <c r="AU11">
        <f t="shared" si="2"/>
        <v>0</v>
      </c>
      <c r="AV11">
        <f>AD11*(1-AJ11-AP11)</f>
        <v>0</v>
      </c>
      <c r="AW11">
        <f t="shared" si="2"/>
        <v>0</v>
      </c>
      <c r="AX11">
        <f t="shared" si="2"/>
        <v>106.55583750000001</v>
      </c>
      <c r="AY11">
        <f>SUM(AS11:AX11)</f>
        <v>287.49971249999999</v>
      </c>
      <c r="AZ11">
        <f>AU11</f>
        <v>0</v>
      </c>
      <c r="BA11">
        <f>AV11</f>
        <v>0</v>
      </c>
      <c r="BB11">
        <f>SUM(AS11:AT11,AW11:AX11)</f>
        <v>287.49971249999999</v>
      </c>
      <c r="BC11">
        <f>Constants!$B$23</f>
        <v>1.5714285714285714</v>
      </c>
      <c r="BD11">
        <f t="shared" ref="BD11:BI11" si="3">(AA11*AM11*$BC11)</f>
        <v>0</v>
      </c>
      <c r="BE11">
        <f t="shared" si="3"/>
        <v>0</v>
      </c>
      <c r="BF11">
        <f t="shared" si="3"/>
        <v>0</v>
      </c>
      <c r="BG11">
        <f t="shared" si="3"/>
        <v>0</v>
      </c>
      <c r="BH11">
        <f t="shared" si="3"/>
        <v>0</v>
      </c>
      <c r="BI11">
        <f t="shared" si="3"/>
        <v>1.0531124999999999</v>
      </c>
      <c r="BJ11">
        <f>(AZ11*AM11*$BC11)</f>
        <v>0</v>
      </c>
      <c r="BK11">
        <f>(BA11*AR11*$BC11)</f>
        <v>0</v>
      </c>
      <c r="BL11">
        <f>SUM(BD11:BK14)/1000</f>
        <v>2.8790307857142858E-2</v>
      </c>
    </row>
    <row r="12" spans="1:64" x14ac:dyDescent="0.2">
      <c r="A12" t="str">
        <f>'Input Scenarios'!A12</f>
        <v>NSW</v>
      </c>
      <c r="B12">
        <f>'Input Scenarios'!B12</f>
        <v>0</v>
      </c>
      <c r="C12" t="str">
        <f>'Input Scenarios'!C12</f>
        <v>Irrigated crop</v>
      </c>
      <c r="D12" t="b">
        <f>'Input Scenarios'!D12</f>
        <v>1</v>
      </c>
      <c r="E12" t="str">
        <f>'Input Scenarios'!E12</f>
        <v>sows</v>
      </c>
      <c r="F12">
        <f>'Input Scenarios'!F12</f>
        <v>222</v>
      </c>
      <c r="G12">
        <f>'Input Scenarios'!G12</f>
        <v>103</v>
      </c>
      <c r="H12">
        <f>IF('Input Scenarios'!H12&lt;&gt;"", 'Input Scenarios'!H12, _xlfn.XLOOKUP($E12,Constants!$A$3:$A$6, Constants!B$3:B$6))</f>
        <v>2.2999999999999998</v>
      </c>
      <c r="I12">
        <f>IF('Input Scenarios'!I12&lt;&gt;"", 'Input Scenarios'!I12, _xlfn.XLOOKUP($E12,Constants!$A$3:$A$6, Constants!C$3:C$6))</f>
        <v>0.46</v>
      </c>
      <c r="J12">
        <f>IF('Input Scenarios'!J12&lt;&gt;"", 'Input Scenarios'!J12, _xlfn.XLOOKUP($E12,Constants!$A$3:$A$6, Constants!D$3:D$6))</f>
        <v>4.9000000000000002E-2</v>
      </c>
      <c r="K12">
        <f>'Input Scenarios'!K12</f>
        <v>1</v>
      </c>
      <c r="L12">
        <f>'Input Scenarios'!L12</f>
        <v>0</v>
      </c>
      <c r="M12">
        <f>'Input Scenarios'!M12</f>
        <v>0</v>
      </c>
      <c r="N12">
        <f>'Input Scenarios'!N12</f>
        <v>0</v>
      </c>
      <c r="O12">
        <f>'Input Scenarios'!O12</f>
        <v>0</v>
      </c>
      <c r="P12">
        <f>'Input Scenarios'!P12</f>
        <v>0</v>
      </c>
      <c r="Q12" t="b">
        <f>'Input Scenarios'!Q12</f>
        <v>1</v>
      </c>
      <c r="R12">
        <f>IF('Input Scenarios'!$R12&lt;&gt;"", 'Input Scenarios'!$R12, IF($Q12, Constants!$B$19, 0))</f>
        <v>0.25</v>
      </c>
      <c r="S12">
        <f>IF('Input Scenarios'!$R12&lt;&gt;"", 'Input Scenarios'!$R12, IF($Q12, Constants!$B$20, 0))</f>
        <v>0.25</v>
      </c>
      <c r="T12">
        <f t="shared" ref="T12:T26" si="4">F12*G12*J12</f>
        <v>1120.434</v>
      </c>
      <c r="U12">
        <f t="shared" ref="U12:U26" si="5">K12*(1-$S12)</f>
        <v>0.75</v>
      </c>
      <c r="V12">
        <f t="shared" ref="V12:V26" si="6">L12</f>
        <v>0</v>
      </c>
      <c r="W12">
        <f t="shared" ref="W12:W26" si="7">M12*(1-$S12)</f>
        <v>0</v>
      </c>
      <c r="X12">
        <f t="shared" ref="X12:X26" si="8">N12</f>
        <v>0</v>
      </c>
      <c r="Y12">
        <f t="shared" ref="Y12:Y26" si="9">O12*(1-$S12)</f>
        <v>0</v>
      </c>
      <c r="Z12">
        <f t="shared" ref="Z12:Z26" si="10">P12+(SUM(K12, M12, O12)*S12)</f>
        <v>0.25</v>
      </c>
      <c r="AA12">
        <f t="shared" ref="AA12:AA26" si="11">$T12*U12</f>
        <v>840.32549999999992</v>
      </c>
      <c r="AB12">
        <f t="shared" ref="AB12:AB26" si="12">$T12*V12</f>
        <v>0</v>
      </c>
      <c r="AC12">
        <f t="shared" ref="AC12:AC26" si="13">$T12*W12</f>
        <v>0</v>
      </c>
      <c r="AD12">
        <f t="shared" ref="AD12:AD26" si="14">$T12*X12</f>
        <v>0</v>
      </c>
      <c r="AE12">
        <f t="shared" ref="AE12:AE26" si="15">$T12*Y12</f>
        <v>0</v>
      </c>
      <c r="AF12">
        <f t="shared" ref="AF12:AF26" si="16">$T12*Z12</f>
        <v>280.10849999999999</v>
      </c>
      <c r="AG12" s="9">
        <f>Constants!$C$10</f>
        <v>0.55000000000000004</v>
      </c>
      <c r="AH12" s="9">
        <f>Constants!$C$12</f>
        <v>0.3</v>
      </c>
      <c r="AI12" s="9">
        <f>Constants!$C$13</f>
        <v>0</v>
      </c>
      <c r="AJ12" s="9">
        <f>Constants!$C$14</f>
        <v>0.125</v>
      </c>
      <c r="AK12" s="9">
        <f>Constants!$C$15</f>
        <v>0.25</v>
      </c>
      <c r="AL12" s="9">
        <f>Constants!$C$11</f>
        <v>0.2</v>
      </c>
      <c r="AM12" s="9">
        <f>Constants!$D$10</f>
        <v>0</v>
      </c>
      <c r="AN12" s="9">
        <f>Constants!$D$12</f>
        <v>0.02</v>
      </c>
      <c r="AO12" s="9">
        <f>Constants!$D$13</f>
        <v>0</v>
      </c>
      <c r="AP12" s="9">
        <f>Constants!$D$14</f>
        <v>0.01</v>
      </c>
      <c r="AQ12" s="9">
        <f>Constants!$D$15</f>
        <v>2E-3</v>
      </c>
      <c r="AR12" s="9">
        <f>Constants!$D$11</f>
        <v>5.0000000000000001E-3</v>
      </c>
      <c r="AS12">
        <f t="shared" ref="AS12:AS26" si="17">AA12*(1-AG12-AM12)</f>
        <v>378.14647499999995</v>
      </c>
      <c r="AT12">
        <f t="shared" ref="AT12:AT26" si="18">AB12*(1-AH12-AN12)</f>
        <v>0</v>
      </c>
      <c r="AU12">
        <f t="shared" ref="AU12:AU26" si="19">AC12*(1-AI12-AO12)</f>
        <v>0</v>
      </c>
      <c r="AV12">
        <f t="shared" ref="AV12:AV26" si="20">AD12*(1-AJ12-AP12)</f>
        <v>0</v>
      </c>
      <c r="AW12">
        <f t="shared" ref="AW12:AW26" si="21">AE12*(1-AK12-AQ12)</f>
        <v>0</v>
      </c>
      <c r="AX12">
        <f t="shared" ref="AX12:AX26" si="22">AF12*(1-AL12-AR12)</f>
        <v>222.68625750000001</v>
      </c>
      <c r="AY12">
        <f t="shared" ref="AY12:AY26" si="23">SUM(AS12:AX12)</f>
        <v>600.83273250000002</v>
      </c>
      <c r="AZ12">
        <f t="shared" ref="AZ12:AZ26" si="24">AU12</f>
        <v>0</v>
      </c>
      <c r="BA12">
        <f t="shared" ref="BA12:BA26" si="25">AV12</f>
        <v>0</v>
      </c>
      <c r="BB12">
        <f t="shared" ref="BB12:BB26" si="26">SUM(AS12:AT12,AW12:AX12)</f>
        <v>600.83273250000002</v>
      </c>
      <c r="BC12">
        <f>Constants!$B$23</f>
        <v>1.5714285714285714</v>
      </c>
      <c r="BD12">
        <f t="shared" ref="BD12:BD26" si="27">(AA12*AM12*$BC12)</f>
        <v>0</v>
      </c>
      <c r="BE12">
        <f t="shared" ref="BE12:BE26" si="28">(AB12*AN12*$BC12)</f>
        <v>0</v>
      </c>
      <c r="BF12">
        <f t="shared" ref="BF12:BF26" si="29">(AC12*AO12*$BC12)</f>
        <v>0</v>
      </c>
      <c r="BG12">
        <f t="shared" ref="BG12:BG26" si="30">(AD12*AP12*$BC12)</f>
        <v>0</v>
      </c>
      <c r="BH12">
        <f t="shared" ref="BH12:BH26" si="31">(AE12*AQ12*$BC12)</f>
        <v>0</v>
      </c>
      <c r="BI12">
        <f t="shared" ref="BI12:BI26" si="32">(AF12*AR12*$BC12)</f>
        <v>2.2008524999999999</v>
      </c>
      <c r="BJ12">
        <f t="shared" ref="BJ12:BJ26" si="33">(AZ12*AM12*$BC12)</f>
        <v>0</v>
      </c>
      <c r="BK12">
        <f t="shared" ref="BK12:BK26" si="34">(BA12*AR12*$BC12)</f>
        <v>0</v>
      </c>
    </row>
    <row r="13" spans="1:64" x14ac:dyDescent="0.2">
      <c r="A13" t="str">
        <f>'Input Scenarios'!A13</f>
        <v>NSW</v>
      </c>
      <c r="B13">
        <f>'Input Scenarios'!B13</f>
        <v>0</v>
      </c>
      <c r="C13" t="str">
        <f>'Input Scenarios'!C13</f>
        <v>Irrigated crop</v>
      </c>
      <c r="D13" t="b">
        <f>'Input Scenarios'!D13</f>
        <v>1</v>
      </c>
      <c r="E13" t="str">
        <f>'Input Scenarios'!E13</f>
        <v>gilts</v>
      </c>
      <c r="F13">
        <f>'Input Scenarios'!F13</f>
        <v>333</v>
      </c>
      <c r="G13">
        <f>'Input Scenarios'!G13</f>
        <v>200</v>
      </c>
      <c r="H13">
        <f>IF('Input Scenarios'!H13&lt;&gt;"", 'Input Scenarios'!H13, _xlfn.XLOOKUP($E13,Constants!$A$3:$A$6, Constants!B$3:B$6))</f>
        <v>2.5</v>
      </c>
      <c r="I13">
        <f>IF('Input Scenarios'!I13&lt;&gt;"", 'Input Scenarios'!I13, _xlfn.XLOOKUP($E13,Constants!$A$3:$A$6, Constants!C$3:C$6))</f>
        <v>0.55000000000000004</v>
      </c>
      <c r="J13">
        <f>IF('Input Scenarios'!J13&lt;&gt;"", 'Input Scenarios'!J13, _xlfn.XLOOKUP($E13,Constants!$A$3:$A$6, Constants!D$3:D$6))</f>
        <v>4.5999999999999999E-2</v>
      </c>
      <c r="K13">
        <f>'Input Scenarios'!K13</f>
        <v>0</v>
      </c>
      <c r="L13">
        <f>'Input Scenarios'!L13</f>
        <v>0</v>
      </c>
      <c r="M13">
        <f>'Input Scenarios'!M13</f>
        <v>0</v>
      </c>
      <c r="N13">
        <f>'Input Scenarios'!N13</f>
        <v>0</v>
      </c>
      <c r="O13">
        <f>'Input Scenarios'!O13</f>
        <v>1</v>
      </c>
      <c r="P13">
        <f>'Input Scenarios'!P13</f>
        <v>0</v>
      </c>
      <c r="Q13" t="b">
        <f>'Input Scenarios'!Q13</f>
        <v>0</v>
      </c>
      <c r="R13">
        <f>IF('Input Scenarios'!$R13&lt;&gt;"", 'Input Scenarios'!$R13, IF($Q13, Constants!$B$19, 0))</f>
        <v>0</v>
      </c>
      <c r="S13">
        <f>IF('Input Scenarios'!$R13&lt;&gt;"", 'Input Scenarios'!$R13, IF($Q13, Constants!$B$20, 0))</f>
        <v>0</v>
      </c>
      <c r="T13">
        <f t="shared" si="4"/>
        <v>3063.6</v>
      </c>
      <c r="U13">
        <f t="shared" si="5"/>
        <v>0</v>
      </c>
      <c r="V13">
        <f t="shared" si="6"/>
        <v>0</v>
      </c>
      <c r="W13">
        <f t="shared" si="7"/>
        <v>0</v>
      </c>
      <c r="X13">
        <f t="shared" si="8"/>
        <v>0</v>
      </c>
      <c r="Y13">
        <f t="shared" si="9"/>
        <v>1</v>
      </c>
      <c r="Z13">
        <f t="shared" si="10"/>
        <v>0</v>
      </c>
      <c r="AA13">
        <f t="shared" si="11"/>
        <v>0</v>
      </c>
      <c r="AB13">
        <f t="shared" si="12"/>
        <v>0</v>
      </c>
      <c r="AC13">
        <f t="shared" si="13"/>
        <v>0</v>
      </c>
      <c r="AD13">
        <f t="shared" si="14"/>
        <v>0</v>
      </c>
      <c r="AE13">
        <f t="shared" si="15"/>
        <v>3063.6</v>
      </c>
      <c r="AF13">
        <f t="shared" si="16"/>
        <v>0</v>
      </c>
      <c r="AG13" s="9">
        <f>Constants!$C$10</f>
        <v>0.55000000000000004</v>
      </c>
      <c r="AH13" s="9">
        <f>Constants!$C$12</f>
        <v>0.3</v>
      </c>
      <c r="AI13" s="9">
        <f>Constants!$C$13</f>
        <v>0</v>
      </c>
      <c r="AJ13" s="9">
        <f>Constants!$C$14</f>
        <v>0.125</v>
      </c>
      <c r="AK13" s="9">
        <f>Constants!$C$15</f>
        <v>0.25</v>
      </c>
      <c r="AL13" s="9">
        <f>Constants!$C$11</f>
        <v>0.2</v>
      </c>
      <c r="AM13" s="9">
        <f>Constants!$D$10</f>
        <v>0</v>
      </c>
      <c r="AN13" s="9">
        <f>Constants!$D$12</f>
        <v>0.02</v>
      </c>
      <c r="AO13" s="9">
        <f>Constants!$D$13</f>
        <v>0</v>
      </c>
      <c r="AP13" s="9">
        <f>Constants!$D$14</f>
        <v>0.01</v>
      </c>
      <c r="AQ13" s="9">
        <f>Constants!$D$15</f>
        <v>2E-3</v>
      </c>
      <c r="AR13" s="9">
        <f>Constants!$D$11</f>
        <v>5.0000000000000001E-3</v>
      </c>
      <c r="AS13">
        <f t="shared" si="17"/>
        <v>0</v>
      </c>
      <c r="AT13">
        <f t="shared" si="18"/>
        <v>0</v>
      </c>
      <c r="AU13">
        <f t="shared" si="19"/>
        <v>0</v>
      </c>
      <c r="AV13">
        <f t="shared" si="20"/>
        <v>0</v>
      </c>
      <c r="AW13">
        <f t="shared" si="21"/>
        <v>2291.5727999999999</v>
      </c>
      <c r="AX13">
        <f t="shared" si="22"/>
        <v>0</v>
      </c>
      <c r="AY13">
        <f t="shared" si="23"/>
        <v>2291.5727999999999</v>
      </c>
      <c r="AZ13">
        <f t="shared" si="24"/>
        <v>0</v>
      </c>
      <c r="BA13">
        <f t="shared" si="25"/>
        <v>0</v>
      </c>
      <c r="BB13">
        <f t="shared" si="26"/>
        <v>2291.5727999999999</v>
      </c>
      <c r="BC13">
        <f>Constants!$B$23</f>
        <v>1.5714285714285714</v>
      </c>
      <c r="BD13">
        <f t="shared" si="27"/>
        <v>0</v>
      </c>
      <c r="BE13">
        <f t="shared" si="28"/>
        <v>0</v>
      </c>
      <c r="BF13">
        <f t="shared" si="29"/>
        <v>0</v>
      </c>
      <c r="BG13">
        <f t="shared" si="30"/>
        <v>0</v>
      </c>
      <c r="BH13">
        <f t="shared" si="31"/>
        <v>9.6284571428571422</v>
      </c>
      <c r="BI13">
        <f t="shared" si="32"/>
        <v>0</v>
      </c>
      <c r="BJ13">
        <f t="shared" si="33"/>
        <v>0</v>
      </c>
      <c r="BK13">
        <f t="shared" si="34"/>
        <v>0</v>
      </c>
    </row>
    <row r="14" spans="1:64" s="2" customFormat="1" x14ac:dyDescent="0.2">
      <c r="A14" s="2" t="str">
        <f>'Input Scenarios'!A14</f>
        <v>NSW</v>
      </c>
      <c r="B14" s="2">
        <f>'Input Scenarios'!B14</f>
        <v>0</v>
      </c>
      <c r="C14" s="2" t="str">
        <f>'Input Scenarios'!C14</f>
        <v>Irrigated crop</v>
      </c>
      <c r="D14" s="2" t="b">
        <f>'Input Scenarios'!D14</f>
        <v>1</v>
      </c>
      <c r="E14" s="2" t="str">
        <f>'Input Scenarios'!E14</f>
        <v>others</v>
      </c>
      <c r="F14" s="2">
        <f>'Input Scenarios'!F14</f>
        <v>444</v>
      </c>
      <c r="G14" s="2">
        <f>'Input Scenarios'!G14</f>
        <v>365</v>
      </c>
      <c r="H14">
        <f>IF('Input Scenarios'!H14&lt;&gt;"", 'Input Scenarios'!H14, _xlfn.XLOOKUP($E14,Constants!$A$3:$A$6, Constants!B$3:B$6))</f>
        <v>1.71</v>
      </c>
      <c r="I14">
        <f>IF('Input Scenarios'!I14&lt;&gt;"", 'Input Scenarios'!I14, _xlfn.XLOOKUP($E14,Constants!$A$3:$A$6, Constants!C$3:C$6))</f>
        <v>0.39</v>
      </c>
      <c r="J14">
        <f>IF('Input Scenarios'!J14&lt;&gt;"", 'Input Scenarios'!J14, _xlfn.XLOOKUP($E14,Constants!$A$3:$A$6, Constants!D$3:D$6))</f>
        <v>3.1232876712328769E-2</v>
      </c>
      <c r="K14" s="2">
        <f>'Input Scenarios'!K14</f>
        <v>0</v>
      </c>
      <c r="L14" s="2">
        <f>'Input Scenarios'!L14</f>
        <v>0</v>
      </c>
      <c r="M14" s="2">
        <f>'Input Scenarios'!M14</f>
        <v>0</v>
      </c>
      <c r="N14" s="2">
        <f>'Input Scenarios'!N14</f>
        <v>0</v>
      </c>
      <c r="O14" s="2">
        <f>'Input Scenarios'!O14</f>
        <v>1</v>
      </c>
      <c r="P14" s="2">
        <f>'Input Scenarios'!P14</f>
        <v>0</v>
      </c>
      <c r="Q14" s="2" t="b">
        <f>'Input Scenarios'!Q14</f>
        <v>0</v>
      </c>
      <c r="R14" s="2">
        <f>IF('Input Scenarios'!$R14&lt;&gt;"", 'Input Scenarios'!$R14, IF($Q14, Constants!$B$19, 0))</f>
        <v>0</v>
      </c>
      <c r="S14" s="2">
        <f>IF('Input Scenarios'!$R14&lt;&gt;"", 'Input Scenarios'!$R14, IF($Q14, Constants!$B$20, 0))</f>
        <v>0</v>
      </c>
      <c r="T14">
        <f t="shared" si="4"/>
        <v>5061.6000000000004</v>
      </c>
      <c r="U14">
        <f t="shared" si="5"/>
        <v>0</v>
      </c>
      <c r="V14">
        <f t="shared" si="6"/>
        <v>0</v>
      </c>
      <c r="W14">
        <f t="shared" si="7"/>
        <v>0</v>
      </c>
      <c r="X14">
        <f t="shared" si="8"/>
        <v>0</v>
      </c>
      <c r="Y14">
        <f t="shared" si="9"/>
        <v>1</v>
      </c>
      <c r="Z14">
        <f t="shared" si="10"/>
        <v>0</v>
      </c>
      <c r="AA14">
        <f t="shared" si="11"/>
        <v>0</v>
      </c>
      <c r="AB14">
        <f t="shared" si="12"/>
        <v>0</v>
      </c>
      <c r="AC14">
        <f t="shared" si="13"/>
        <v>0</v>
      </c>
      <c r="AD14">
        <f t="shared" si="14"/>
        <v>0</v>
      </c>
      <c r="AE14">
        <f t="shared" si="15"/>
        <v>5061.6000000000004</v>
      </c>
      <c r="AF14">
        <f t="shared" si="16"/>
        <v>0</v>
      </c>
      <c r="AG14" s="9">
        <f>Constants!$C$10</f>
        <v>0.55000000000000004</v>
      </c>
      <c r="AH14" s="9">
        <f>Constants!$C$12</f>
        <v>0.3</v>
      </c>
      <c r="AI14" s="9">
        <f>Constants!$C$13</f>
        <v>0</v>
      </c>
      <c r="AJ14" s="9">
        <f>Constants!$C$14</f>
        <v>0.125</v>
      </c>
      <c r="AK14" s="9">
        <f>Constants!$C$15</f>
        <v>0.25</v>
      </c>
      <c r="AL14" s="9">
        <f>Constants!$C$11</f>
        <v>0.2</v>
      </c>
      <c r="AM14" s="9">
        <f>Constants!$D$10</f>
        <v>0</v>
      </c>
      <c r="AN14" s="9">
        <f>Constants!$D$12</f>
        <v>0.02</v>
      </c>
      <c r="AO14" s="9">
        <f>Constants!$D$13</f>
        <v>0</v>
      </c>
      <c r="AP14" s="9">
        <f>Constants!$D$14</f>
        <v>0.01</v>
      </c>
      <c r="AQ14" s="9">
        <f>Constants!$D$15</f>
        <v>2E-3</v>
      </c>
      <c r="AR14" s="9">
        <f>Constants!$D$11</f>
        <v>5.0000000000000001E-3</v>
      </c>
      <c r="AS14">
        <f t="shared" si="17"/>
        <v>0</v>
      </c>
      <c r="AT14">
        <f t="shared" si="18"/>
        <v>0</v>
      </c>
      <c r="AU14">
        <f t="shared" si="19"/>
        <v>0</v>
      </c>
      <c r="AV14">
        <f t="shared" si="20"/>
        <v>0</v>
      </c>
      <c r="AW14">
        <f t="shared" si="21"/>
        <v>3786.0768000000003</v>
      </c>
      <c r="AX14">
        <f t="shared" si="22"/>
        <v>0</v>
      </c>
      <c r="AY14">
        <f t="shared" si="23"/>
        <v>3786.0768000000003</v>
      </c>
      <c r="AZ14">
        <f t="shared" si="24"/>
        <v>0</v>
      </c>
      <c r="BA14">
        <f t="shared" si="25"/>
        <v>0</v>
      </c>
      <c r="BB14">
        <f t="shared" si="26"/>
        <v>3786.0768000000003</v>
      </c>
      <c r="BC14">
        <f>Constants!$B$23</f>
        <v>1.5714285714285714</v>
      </c>
      <c r="BD14">
        <f t="shared" si="27"/>
        <v>0</v>
      </c>
      <c r="BE14">
        <f t="shared" si="28"/>
        <v>0</v>
      </c>
      <c r="BF14">
        <f t="shared" si="29"/>
        <v>0</v>
      </c>
      <c r="BG14">
        <f t="shared" si="30"/>
        <v>0</v>
      </c>
      <c r="BH14">
        <f t="shared" si="31"/>
        <v>15.907885714285715</v>
      </c>
      <c r="BI14">
        <f t="shared" si="32"/>
        <v>0</v>
      </c>
      <c r="BJ14">
        <f t="shared" si="33"/>
        <v>0</v>
      </c>
      <c r="BK14">
        <f t="shared" si="34"/>
        <v>0</v>
      </c>
    </row>
    <row r="15" spans="1:64" x14ac:dyDescent="0.2">
      <c r="A15" t="str">
        <f>'Input Scenarios'!A15</f>
        <v>NT</v>
      </c>
      <c r="B15">
        <f>'Input Scenarios'!B15</f>
        <v>0</v>
      </c>
      <c r="C15" t="str">
        <f>'Input Scenarios'!C15</f>
        <v>Irrigated pasture</v>
      </c>
      <c r="D15" t="b">
        <f>'Input Scenarios'!D15</f>
        <v>1</v>
      </c>
      <c r="E15" t="str">
        <f>'Input Scenarios'!E15</f>
        <v>boars</v>
      </c>
      <c r="F15">
        <f>'Input Scenarios'!F15</f>
        <v>105</v>
      </c>
      <c r="G15">
        <f>'Input Scenarios'!G15</f>
        <v>75</v>
      </c>
      <c r="H15">
        <f>IF('Input Scenarios'!H15&lt;&gt;"", 'Input Scenarios'!H15, _xlfn.XLOOKUP($E15,Constants!$A$3:$A$6, Constants!B$3:B$6))</f>
        <v>2.62</v>
      </c>
      <c r="I15">
        <f>IF('Input Scenarios'!I15&lt;&gt;"", 'Input Scenarios'!I15, _xlfn.XLOOKUP($E15,Constants!$A$3:$A$6, Constants!C$3:C$6))</f>
        <v>0.4</v>
      </c>
      <c r="J15">
        <f>IF('Input Scenarios'!J15&lt;&gt;"", 'Input Scenarios'!J15, _xlfn.XLOOKUP($E15,Constants!$A$3:$A$6, Constants!D$3:D$6))</f>
        <v>4.5999999999999999E-2</v>
      </c>
      <c r="K15">
        <f>'Input Scenarios'!K15</f>
        <v>0.2</v>
      </c>
      <c r="L15">
        <f>'Input Scenarios'!L15</f>
        <v>0.1</v>
      </c>
      <c r="M15">
        <f>'Input Scenarios'!M15</f>
        <v>0.2</v>
      </c>
      <c r="N15">
        <f>'Input Scenarios'!N15</f>
        <v>0.2</v>
      </c>
      <c r="O15">
        <f>'Input Scenarios'!O15</f>
        <v>0.2</v>
      </c>
      <c r="P15">
        <f>'Input Scenarios'!P15</f>
        <v>0.1</v>
      </c>
      <c r="Q15" t="b">
        <f>'Input Scenarios'!Q15</f>
        <v>1</v>
      </c>
      <c r="R15">
        <f>IF('Input Scenarios'!$R15&lt;&gt;"", 'Input Scenarios'!$R15, IF($Q15, Constants!$B$19, 0))</f>
        <v>0.25</v>
      </c>
      <c r="S15">
        <f>IF('Input Scenarios'!$R15&lt;&gt;"", 'Input Scenarios'!$R15, IF($Q15, Constants!$B$20, 0))</f>
        <v>0.25</v>
      </c>
      <c r="T15">
        <f t="shared" si="4"/>
        <v>362.25</v>
      </c>
      <c r="U15">
        <f t="shared" si="5"/>
        <v>0.15000000000000002</v>
      </c>
      <c r="V15">
        <f t="shared" si="6"/>
        <v>0.1</v>
      </c>
      <c r="W15">
        <f t="shared" si="7"/>
        <v>0.15000000000000002</v>
      </c>
      <c r="X15">
        <f t="shared" si="8"/>
        <v>0.2</v>
      </c>
      <c r="Y15">
        <f t="shared" si="9"/>
        <v>0.15000000000000002</v>
      </c>
      <c r="Z15">
        <f t="shared" si="10"/>
        <v>0.25</v>
      </c>
      <c r="AA15">
        <f t="shared" si="11"/>
        <v>54.337500000000006</v>
      </c>
      <c r="AB15">
        <f>$T15*V15</f>
        <v>36.225000000000001</v>
      </c>
      <c r="AC15">
        <f t="shared" si="13"/>
        <v>54.337500000000006</v>
      </c>
      <c r="AD15">
        <f t="shared" si="14"/>
        <v>72.45</v>
      </c>
      <c r="AE15">
        <f t="shared" si="15"/>
        <v>54.337500000000006</v>
      </c>
      <c r="AF15">
        <f t="shared" si="16"/>
        <v>90.5625</v>
      </c>
      <c r="AG15" s="9">
        <f>Constants!$C$10</f>
        <v>0.55000000000000004</v>
      </c>
      <c r="AH15" s="9">
        <f>Constants!$C$12</f>
        <v>0.3</v>
      </c>
      <c r="AI15" s="9">
        <f>Constants!$C$13</f>
        <v>0</v>
      </c>
      <c r="AJ15" s="9">
        <f>Constants!$C$14</f>
        <v>0.125</v>
      </c>
      <c r="AK15" s="9">
        <f>Constants!$C$15</f>
        <v>0.25</v>
      </c>
      <c r="AL15" s="9">
        <f>Constants!$C$11</f>
        <v>0.2</v>
      </c>
      <c r="AM15" s="9">
        <f>Constants!$D$10</f>
        <v>0</v>
      </c>
      <c r="AN15" s="9">
        <f>Constants!$D$12</f>
        <v>0.02</v>
      </c>
      <c r="AO15" s="9">
        <f>Constants!$D$13</f>
        <v>0</v>
      </c>
      <c r="AP15" s="9">
        <f>Constants!$D$14</f>
        <v>0.01</v>
      </c>
      <c r="AQ15" s="9">
        <f>Constants!$D$15</f>
        <v>2E-3</v>
      </c>
      <c r="AR15" s="9">
        <f>Constants!$D$11</f>
        <v>5.0000000000000001E-3</v>
      </c>
      <c r="AS15">
        <f t="shared" si="17"/>
        <v>24.451875000000001</v>
      </c>
      <c r="AT15">
        <f>AB15*(1-AH15-AN15)</f>
        <v>24.632999999999999</v>
      </c>
      <c r="AU15">
        <f t="shared" si="19"/>
        <v>54.337500000000006</v>
      </c>
      <c r="AV15">
        <f>AD15*(1-AJ15-AP15)</f>
        <v>62.669250000000005</v>
      </c>
      <c r="AW15">
        <f t="shared" si="21"/>
        <v>40.644450000000006</v>
      </c>
      <c r="AX15">
        <f>AF15*(1-AL15-AR15)</f>
        <v>71.99718750000001</v>
      </c>
      <c r="AY15">
        <f t="shared" si="23"/>
        <v>278.73326250000002</v>
      </c>
      <c r="AZ15">
        <f t="shared" si="24"/>
        <v>54.337500000000006</v>
      </c>
      <c r="BA15">
        <f t="shared" si="25"/>
        <v>62.669250000000005</v>
      </c>
      <c r="BB15">
        <f t="shared" si="26"/>
        <v>161.72651250000001</v>
      </c>
      <c r="BC15">
        <f>Constants!$B$23</f>
        <v>1.5714285714285714</v>
      </c>
      <c r="BD15">
        <f t="shared" si="27"/>
        <v>0</v>
      </c>
      <c r="BE15">
        <f t="shared" si="28"/>
        <v>1.1385000000000001</v>
      </c>
      <c r="BF15">
        <f t="shared" si="29"/>
        <v>0</v>
      </c>
      <c r="BG15">
        <f t="shared" si="30"/>
        <v>1.1385000000000001</v>
      </c>
      <c r="BH15">
        <f t="shared" si="31"/>
        <v>0.17077500000000001</v>
      </c>
      <c r="BI15">
        <f t="shared" si="32"/>
        <v>0.71156249999999999</v>
      </c>
      <c r="BJ15">
        <f t="shared" si="33"/>
        <v>0</v>
      </c>
      <c r="BK15">
        <f t="shared" si="34"/>
        <v>0.49240125000000007</v>
      </c>
      <c r="BL15">
        <f>SUM(BD15:BK18)/1000</f>
        <v>9.9115110154403135E-2</v>
      </c>
    </row>
    <row r="16" spans="1:64" x14ac:dyDescent="0.2">
      <c r="A16" t="str">
        <f>'Input Scenarios'!A16</f>
        <v>NT</v>
      </c>
      <c r="B16">
        <f>'Input Scenarios'!B16</f>
        <v>0</v>
      </c>
      <c r="C16" t="str">
        <f>'Input Scenarios'!C16</f>
        <v>Irrigated pasture</v>
      </c>
      <c r="D16" t="b">
        <f>'Input Scenarios'!D16</f>
        <v>1</v>
      </c>
      <c r="E16" t="str">
        <f>'Input Scenarios'!E16</f>
        <v>sows</v>
      </c>
      <c r="F16">
        <f>'Input Scenarios'!F16</f>
        <v>245</v>
      </c>
      <c r="G16">
        <f>'Input Scenarios'!G16</f>
        <v>290</v>
      </c>
      <c r="H16">
        <f>IF('Input Scenarios'!H16&lt;&gt;"", 'Input Scenarios'!H16, _xlfn.XLOOKUP($E16,Constants!$A$3:$A$6, Constants!B$3:B$6))</f>
        <v>2.2999999999999998</v>
      </c>
      <c r="I16">
        <f>IF('Input Scenarios'!I16&lt;&gt;"", 'Input Scenarios'!I16, _xlfn.XLOOKUP($E16,Constants!$A$3:$A$6, Constants!C$3:C$6))</f>
        <v>0.46</v>
      </c>
      <c r="J16">
        <f>IF('Input Scenarios'!J16&lt;&gt;"", 'Input Scenarios'!J16, _xlfn.XLOOKUP($E16,Constants!$A$3:$A$6, Constants!D$3:D$6))</f>
        <v>4.9000000000000002E-2</v>
      </c>
      <c r="K16">
        <f>'Input Scenarios'!K16</f>
        <v>0.2</v>
      </c>
      <c r="L16">
        <f>'Input Scenarios'!L16</f>
        <v>0.1</v>
      </c>
      <c r="M16">
        <f>'Input Scenarios'!M16</f>
        <v>0.2</v>
      </c>
      <c r="N16">
        <f>'Input Scenarios'!N16</f>
        <v>0.2</v>
      </c>
      <c r="O16">
        <f>'Input Scenarios'!O16</f>
        <v>0.2</v>
      </c>
      <c r="P16">
        <f>'Input Scenarios'!P16</f>
        <v>0.1</v>
      </c>
      <c r="Q16" t="b">
        <f>'Input Scenarios'!Q16</f>
        <v>1</v>
      </c>
      <c r="R16">
        <f>IF('Input Scenarios'!$R16&lt;&gt;"", 'Input Scenarios'!$R16, IF($Q16, Constants!$B$19, 0))</f>
        <v>0.25</v>
      </c>
      <c r="S16">
        <f>IF('Input Scenarios'!$R16&lt;&gt;"", 'Input Scenarios'!$R16, IF($Q16, Constants!$B$20, 0))</f>
        <v>0.25</v>
      </c>
      <c r="T16">
        <f t="shared" si="4"/>
        <v>3481.4500000000003</v>
      </c>
      <c r="U16">
        <f t="shared" si="5"/>
        <v>0.15000000000000002</v>
      </c>
      <c r="V16">
        <f t="shared" si="6"/>
        <v>0.1</v>
      </c>
      <c r="W16">
        <f t="shared" si="7"/>
        <v>0.15000000000000002</v>
      </c>
      <c r="X16">
        <f t="shared" si="8"/>
        <v>0.2</v>
      </c>
      <c r="Y16">
        <f t="shared" si="9"/>
        <v>0.15000000000000002</v>
      </c>
      <c r="Z16">
        <f t="shared" si="10"/>
        <v>0.25</v>
      </c>
      <c r="AA16">
        <f t="shared" si="11"/>
        <v>522.21750000000009</v>
      </c>
      <c r="AB16">
        <f t="shared" si="12"/>
        <v>348.14500000000004</v>
      </c>
      <c r="AC16">
        <f t="shared" si="13"/>
        <v>522.21750000000009</v>
      </c>
      <c r="AD16">
        <f t="shared" si="14"/>
        <v>696.29000000000008</v>
      </c>
      <c r="AE16">
        <f t="shared" si="15"/>
        <v>522.21750000000009</v>
      </c>
      <c r="AF16">
        <f t="shared" si="16"/>
        <v>870.36250000000007</v>
      </c>
      <c r="AG16" s="9">
        <f>Constants!$C$10</f>
        <v>0.55000000000000004</v>
      </c>
      <c r="AH16" s="9">
        <f>Constants!$C$12</f>
        <v>0.3</v>
      </c>
      <c r="AI16" s="9">
        <f>Constants!$C$13</f>
        <v>0</v>
      </c>
      <c r="AJ16" s="9">
        <f>Constants!$C$14</f>
        <v>0.125</v>
      </c>
      <c r="AK16" s="9">
        <f>Constants!$C$15</f>
        <v>0.25</v>
      </c>
      <c r="AL16" s="9">
        <f>Constants!$C$11</f>
        <v>0.2</v>
      </c>
      <c r="AM16" s="9">
        <f>Constants!$D$10</f>
        <v>0</v>
      </c>
      <c r="AN16" s="9">
        <f>Constants!$D$12</f>
        <v>0.02</v>
      </c>
      <c r="AO16" s="9">
        <f>Constants!$D$13</f>
        <v>0</v>
      </c>
      <c r="AP16" s="9">
        <f>Constants!$D$14</f>
        <v>0.01</v>
      </c>
      <c r="AQ16" s="9">
        <f>Constants!$D$15</f>
        <v>2E-3</v>
      </c>
      <c r="AR16" s="9">
        <f>Constants!$D$11</f>
        <v>5.0000000000000001E-3</v>
      </c>
      <c r="AS16">
        <f t="shared" si="17"/>
        <v>234.99787500000002</v>
      </c>
      <c r="AT16">
        <f t="shared" si="18"/>
        <v>236.73859999999999</v>
      </c>
      <c r="AU16">
        <f t="shared" si="19"/>
        <v>522.21750000000009</v>
      </c>
      <c r="AV16">
        <f t="shared" si="20"/>
        <v>602.29085000000009</v>
      </c>
      <c r="AW16">
        <f t="shared" si="21"/>
        <v>390.61869000000007</v>
      </c>
      <c r="AX16">
        <f t="shared" si="22"/>
        <v>691.93818750000014</v>
      </c>
      <c r="AY16">
        <f t="shared" si="23"/>
        <v>2678.8017025000004</v>
      </c>
      <c r="AZ16">
        <f t="shared" si="24"/>
        <v>522.21750000000009</v>
      </c>
      <c r="BA16">
        <f t="shared" si="25"/>
        <v>602.29085000000009</v>
      </c>
      <c r="BB16">
        <f t="shared" si="26"/>
        <v>1554.2933525000003</v>
      </c>
      <c r="BC16">
        <f>Constants!$B$23</f>
        <v>1.5714285714285714</v>
      </c>
      <c r="BD16">
        <f t="shared" si="27"/>
        <v>0</v>
      </c>
      <c r="BE16">
        <f t="shared" si="28"/>
        <v>10.941700000000001</v>
      </c>
      <c r="BF16">
        <f t="shared" si="29"/>
        <v>0</v>
      </c>
      <c r="BG16">
        <f t="shared" si="30"/>
        <v>10.941700000000001</v>
      </c>
      <c r="BH16">
        <f t="shared" si="31"/>
        <v>1.6412550000000004</v>
      </c>
      <c r="BI16">
        <f t="shared" si="32"/>
        <v>6.8385625000000001</v>
      </c>
      <c r="BJ16">
        <f t="shared" si="33"/>
        <v>0</v>
      </c>
      <c r="BK16">
        <f t="shared" si="34"/>
        <v>4.7322852500000003</v>
      </c>
    </row>
    <row r="17" spans="1:64" x14ac:dyDescent="0.2">
      <c r="A17" t="str">
        <f>'Input Scenarios'!A17</f>
        <v>NT</v>
      </c>
      <c r="B17">
        <f>'Input Scenarios'!B17</f>
        <v>0</v>
      </c>
      <c r="C17" t="str">
        <f>'Input Scenarios'!C17</f>
        <v>Irrigated pasture</v>
      </c>
      <c r="D17" t="b">
        <f>'Input Scenarios'!D17</f>
        <v>1</v>
      </c>
      <c r="E17" t="str">
        <f>'Input Scenarios'!E17</f>
        <v>gilts</v>
      </c>
      <c r="F17">
        <f>'Input Scenarios'!F17</f>
        <v>434</v>
      </c>
      <c r="G17">
        <f>'Input Scenarios'!G17</f>
        <v>280</v>
      </c>
      <c r="H17">
        <f>IF('Input Scenarios'!H17&lt;&gt;"", 'Input Scenarios'!H17, _xlfn.XLOOKUP($E17,Constants!$A$3:$A$6, Constants!B$3:B$6))</f>
        <v>2.5</v>
      </c>
      <c r="I17">
        <f>IF('Input Scenarios'!I17&lt;&gt;"", 'Input Scenarios'!I17, _xlfn.XLOOKUP($E17,Constants!$A$3:$A$6, Constants!C$3:C$6))</f>
        <v>0.55000000000000004</v>
      </c>
      <c r="J17">
        <f>IF('Input Scenarios'!J17&lt;&gt;"", 'Input Scenarios'!J17, _xlfn.XLOOKUP($E17,Constants!$A$3:$A$6, Constants!D$3:D$6))</f>
        <v>4.5999999999999999E-2</v>
      </c>
      <c r="K17">
        <f>'Input Scenarios'!K17</f>
        <v>0.2</v>
      </c>
      <c r="L17">
        <f>'Input Scenarios'!L17</f>
        <v>0.1</v>
      </c>
      <c r="M17">
        <f>'Input Scenarios'!M17</f>
        <v>0.2</v>
      </c>
      <c r="N17">
        <f>'Input Scenarios'!N17</f>
        <v>0.2</v>
      </c>
      <c r="O17">
        <f>'Input Scenarios'!O17</f>
        <v>0.2</v>
      </c>
      <c r="P17">
        <f>'Input Scenarios'!P17</f>
        <v>0.1</v>
      </c>
      <c r="Q17" t="b">
        <f>'Input Scenarios'!Q17</f>
        <v>1</v>
      </c>
      <c r="R17">
        <f>IF('Input Scenarios'!$R17&lt;&gt;"", 'Input Scenarios'!$R17, IF($Q17, Constants!$B$19, 0))</f>
        <v>0.25</v>
      </c>
      <c r="S17">
        <f>IF('Input Scenarios'!$R17&lt;&gt;"", 'Input Scenarios'!$R17, IF($Q17, Constants!$B$20, 0))</f>
        <v>0.25</v>
      </c>
      <c r="T17">
        <f t="shared" si="4"/>
        <v>5589.92</v>
      </c>
      <c r="U17">
        <f t="shared" si="5"/>
        <v>0.15000000000000002</v>
      </c>
      <c r="V17">
        <f t="shared" si="6"/>
        <v>0.1</v>
      </c>
      <c r="W17">
        <f t="shared" si="7"/>
        <v>0.15000000000000002</v>
      </c>
      <c r="X17">
        <f t="shared" si="8"/>
        <v>0.2</v>
      </c>
      <c r="Y17">
        <f t="shared" si="9"/>
        <v>0.15000000000000002</v>
      </c>
      <c r="Z17">
        <f t="shared" si="10"/>
        <v>0.25</v>
      </c>
      <c r="AA17">
        <f t="shared" si="11"/>
        <v>838.48800000000017</v>
      </c>
      <c r="AB17">
        <f t="shared" si="12"/>
        <v>558.99200000000008</v>
      </c>
      <c r="AC17">
        <f t="shared" si="13"/>
        <v>838.48800000000017</v>
      </c>
      <c r="AD17">
        <f t="shared" si="14"/>
        <v>1117.9840000000002</v>
      </c>
      <c r="AE17">
        <f t="shared" si="15"/>
        <v>838.48800000000017</v>
      </c>
      <c r="AF17">
        <f t="shared" si="16"/>
        <v>1397.48</v>
      </c>
      <c r="AG17" s="9">
        <f>Constants!$C$10</f>
        <v>0.55000000000000004</v>
      </c>
      <c r="AH17" s="9">
        <f>Constants!$C$12</f>
        <v>0.3</v>
      </c>
      <c r="AI17" s="9">
        <f>Constants!$C$13</f>
        <v>0</v>
      </c>
      <c r="AJ17" s="9">
        <f>Constants!$C$14</f>
        <v>0.125</v>
      </c>
      <c r="AK17" s="9">
        <f>Constants!$C$15</f>
        <v>0.25</v>
      </c>
      <c r="AL17" s="9">
        <f>Constants!$C$11</f>
        <v>0.2</v>
      </c>
      <c r="AM17" s="9">
        <f>Constants!$D$10</f>
        <v>0</v>
      </c>
      <c r="AN17" s="9">
        <f>Constants!$D$12</f>
        <v>0.02</v>
      </c>
      <c r="AO17" s="9">
        <f>Constants!$D$13</f>
        <v>0</v>
      </c>
      <c r="AP17" s="9">
        <f>Constants!$D$14</f>
        <v>0.01</v>
      </c>
      <c r="AQ17" s="9">
        <f>Constants!$D$15</f>
        <v>2E-3</v>
      </c>
      <c r="AR17" s="9">
        <f>Constants!$D$11</f>
        <v>5.0000000000000001E-3</v>
      </c>
      <c r="AS17">
        <f t="shared" si="17"/>
        <v>377.31960000000004</v>
      </c>
      <c r="AT17">
        <f t="shared" si="18"/>
        <v>380.11456000000004</v>
      </c>
      <c r="AU17">
        <f t="shared" si="19"/>
        <v>838.48800000000017</v>
      </c>
      <c r="AV17">
        <f t="shared" si="20"/>
        <v>967.05616000000009</v>
      </c>
      <c r="AW17">
        <f t="shared" si="21"/>
        <v>627.18902400000013</v>
      </c>
      <c r="AX17">
        <f t="shared" si="22"/>
        <v>1110.9966000000002</v>
      </c>
      <c r="AY17">
        <f t="shared" si="23"/>
        <v>4301.1639440000008</v>
      </c>
      <c r="AZ17">
        <f t="shared" si="24"/>
        <v>838.48800000000017</v>
      </c>
      <c r="BA17">
        <f t="shared" si="25"/>
        <v>967.05616000000009</v>
      </c>
      <c r="BB17">
        <f t="shared" si="26"/>
        <v>2495.6197840000004</v>
      </c>
      <c r="BC17">
        <f>Constants!$B$23</f>
        <v>1.5714285714285714</v>
      </c>
      <c r="BD17">
        <f t="shared" si="27"/>
        <v>0</v>
      </c>
      <c r="BE17">
        <f t="shared" si="28"/>
        <v>17.568320000000003</v>
      </c>
      <c r="BF17">
        <f t="shared" si="29"/>
        <v>0</v>
      </c>
      <c r="BG17">
        <f t="shared" si="30"/>
        <v>17.568320000000003</v>
      </c>
      <c r="BH17">
        <f t="shared" si="31"/>
        <v>2.6352480000000007</v>
      </c>
      <c r="BI17">
        <f t="shared" si="32"/>
        <v>10.9802</v>
      </c>
      <c r="BJ17">
        <f t="shared" si="33"/>
        <v>0</v>
      </c>
      <c r="BK17">
        <f t="shared" si="34"/>
        <v>7.5982984000000009</v>
      </c>
    </row>
    <row r="18" spans="1:64" s="2" customFormat="1" x14ac:dyDescent="0.2">
      <c r="A18" s="2" t="str">
        <f>'Input Scenarios'!A18</f>
        <v>NT</v>
      </c>
      <c r="B18" s="2">
        <f>'Input Scenarios'!B18</f>
        <v>0</v>
      </c>
      <c r="C18" s="2" t="str">
        <f>'Input Scenarios'!C18</f>
        <v>Irrigated pasture</v>
      </c>
      <c r="D18" s="2" t="b">
        <f>'Input Scenarios'!D18</f>
        <v>1</v>
      </c>
      <c r="E18" s="2" t="str">
        <f>'Input Scenarios'!E18</f>
        <v>others</v>
      </c>
      <c r="F18" s="2">
        <f>'Input Scenarios'!F18</f>
        <v>44</v>
      </c>
      <c r="G18" s="2">
        <f>'Input Scenarios'!G18</f>
        <v>290</v>
      </c>
      <c r="H18">
        <f>IF('Input Scenarios'!H18&lt;&gt;"", 'Input Scenarios'!H18, _xlfn.XLOOKUP($E18,Constants!$A$3:$A$6, Constants!B$3:B$6))</f>
        <v>1.71</v>
      </c>
      <c r="I18">
        <f>IF('Input Scenarios'!I18&lt;&gt;"", 'Input Scenarios'!I18, _xlfn.XLOOKUP($E18,Constants!$A$3:$A$6, Constants!C$3:C$6))</f>
        <v>0.39</v>
      </c>
      <c r="J18">
        <f>IF('Input Scenarios'!J18&lt;&gt;"", 'Input Scenarios'!J18, _xlfn.XLOOKUP($E18,Constants!$A$3:$A$6, Constants!D$3:D$6))</f>
        <v>3.1232876712328769E-2</v>
      </c>
      <c r="K18" s="2">
        <f>'Input Scenarios'!K18</f>
        <v>0.2</v>
      </c>
      <c r="L18" s="2">
        <f>'Input Scenarios'!L18</f>
        <v>0.1</v>
      </c>
      <c r="M18" s="2">
        <f>'Input Scenarios'!M18</f>
        <v>0.2</v>
      </c>
      <c r="N18" s="2">
        <f>'Input Scenarios'!N18</f>
        <v>0.2</v>
      </c>
      <c r="O18" s="2">
        <f>'Input Scenarios'!O18</f>
        <v>0.2</v>
      </c>
      <c r="P18" s="2">
        <f>'Input Scenarios'!P18</f>
        <v>0.1</v>
      </c>
      <c r="Q18" s="2" t="b">
        <f>'Input Scenarios'!Q18</f>
        <v>1</v>
      </c>
      <c r="R18" s="2">
        <f>IF('Input Scenarios'!$R18&lt;&gt;"", 'Input Scenarios'!$R18, IF($Q18, Constants!$B$19, 0))</f>
        <v>0.25</v>
      </c>
      <c r="S18" s="2">
        <f>IF('Input Scenarios'!$R18&lt;&gt;"", 'Input Scenarios'!$R18, IF($Q18, Constants!$B$20, 0))</f>
        <v>0.25</v>
      </c>
      <c r="T18">
        <f t="shared" si="4"/>
        <v>398.53150684931506</v>
      </c>
      <c r="U18">
        <f t="shared" si="5"/>
        <v>0.15000000000000002</v>
      </c>
      <c r="V18">
        <f t="shared" si="6"/>
        <v>0.1</v>
      </c>
      <c r="W18">
        <f t="shared" si="7"/>
        <v>0.15000000000000002</v>
      </c>
      <c r="X18">
        <f t="shared" si="8"/>
        <v>0.2</v>
      </c>
      <c r="Y18">
        <f t="shared" si="9"/>
        <v>0.15000000000000002</v>
      </c>
      <c r="Z18">
        <f t="shared" si="10"/>
        <v>0.25</v>
      </c>
      <c r="AA18">
        <f t="shared" si="11"/>
        <v>59.779726027397267</v>
      </c>
      <c r="AB18">
        <f t="shared" si="12"/>
        <v>39.853150684931506</v>
      </c>
      <c r="AC18">
        <f t="shared" si="13"/>
        <v>59.779726027397267</v>
      </c>
      <c r="AD18">
        <f t="shared" si="14"/>
        <v>79.706301369863013</v>
      </c>
      <c r="AE18">
        <f t="shared" si="15"/>
        <v>59.779726027397267</v>
      </c>
      <c r="AF18">
        <f t="shared" si="16"/>
        <v>99.632876712328766</v>
      </c>
      <c r="AG18" s="9">
        <f>Constants!$C$10</f>
        <v>0.55000000000000004</v>
      </c>
      <c r="AH18" s="9">
        <f>Constants!$C$12</f>
        <v>0.3</v>
      </c>
      <c r="AI18" s="9">
        <f>Constants!$C$13</f>
        <v>0</v>
      </c>
      <c r="AJ18" s="9">
        <f>Constants!$C$14</f>
        <v>0.125</v>
      </c>
      <c r="AK18" s="9">
        <f>Constants!$C$15</f>
        <v>0.25</v>
      </c>
      <c r="AL18" s="9">
        <f>Constants!$C$11</f>
        <v>0.2</v>
      </c>
      <c r="AM18" s="9">
        <f>Constants!$D$10</f>
        <v>0</v>
      </c>
      <c r="AN18" s="9">
        <f>Constants!$D$12</f>
        <v>0.02</v>
      </c>
      <c r="AO18" s="9">
        <f>Constants!$D$13</f>
        <v>0</v>
      </c>
      <c r="AP18" s="9">
        <f>Constants!$D$14</f>
        <v>0.01</v>
      </c>
      <c r="AQ18" s="9">
        <f>Constants!$D$15</f>
        <v>2E-3</v>
      </c>
      <c r="AR18" s="9">
        <f>Constants!$D$11</f>
        <v>5.0000000000000001E-3</v>
      </c>
      <c r="AS18">
        <f t="shared" si="17"/>
        <v>26.900876712328767</v>
      </c>
      <c r="AT18">
        <f t="shared" si="18"/>
        <v>27.100142465753422</v>
      </c>
      <c r="AU18">
        <f t="shared" si="19"/>
        <v>59.779726027397267</v>
      </c>
      <c r="AV18">
        <f t="shared" si="20"/>
        <v>68.945950684931503</v>
      </c>
      <c r="AW18">
        <f t="shared" si="21"/>
        <v>44.715235068493158</v>
      </c>
      <c r="AX18">
        <f t="shared" si="22"/>
        <v>79.208136986301369</v>
      </c>
      <c r="AY18">
        <f t="shared" si="23"/>
        <v>306.65006794520548</v>
      </c>
      <c r="AZ18">
        <f t="shared" si="24"/>
        <v>59.779726027397267</v>
      </c>
      <c r="BA18">
        <f t="shared" si="25"/>
        <v>68.945950684931503</v>
      </c>
      <c r="BB18">
        <f t="shared" si="26"/>
        <v>177.9243912328767</v>
      </c>
      <c r="BC18">
        <f>Constants!$B$23</f>
        <v>1.5714285714285714</v>
      </c>
      <c r="BD18">
        <f t="shared" si="27"/>
        <v>0</v>
      </c>
      <c r="BE18">
        <f t="shared" si="28"/>
        <v>1.2525275929549904</v>
      </c>
      <c r="BF18">
        <f t="shared" si="29"/>
        <v>0</v>
      </c>
      <c r="BG18">
        <f t="shared" si="30"/>
        <v>1.2525275929549904</v>
      </c>
      <c r="BH18">
        <f t="shared" si="31"/>
        <v>0.18787913894324856</v>
      </c>
      <c r="BI18">
        <f t="shared" si="32"/>
        <v>0.78282974559686891</v>
      </c>
      <c r="BJ18">
        <f t="shared" si="33"/>
        <v>0</v>
      </c>
      <c r="BK18">
        <f t="shared" si="34"/>
        <v>0.54171818395303317</v>
      </c>
    </row>
    <row r="19" spans="1:64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pasture</v>
      </c>
      <c r="D19" t="b">
        <f>'Input Scenarios'!D19</f>
        <v>1</v>
      </c>
      <c r="E19" t="str">
        <f>'Input Scenarios'!E19</f>
        <v>boars</v>
      </c>
      <c r="F19">
        <f>'Input Scenarios'!F19</f>
        <v>1000</v>
      </c>
      <c r="G19">
        <f>'Input Scenarios'!G19</f>
        <v>100</v>
      </c>
      <c r="H19">
        <f>IF('Input Scenarios'!H19&lt;&gt;"", 'Input Scenarios'!H19, _xlfn.XLOOKUP($E19,Constants!$A$3:$A$6, Constants!B$3:B$6))</f>
        <v>2.62</v>
      </c>
      <c r="I19">
        <f>IF('Input Scenarios'!I19&lt;&gt;"", 'Input Scenarios'!I19, _xlfn.XLOOKUP($E19,Constants!$A$3:$A$6, Constants!C$3:C$6))</f>
        <v>0.4</v>
      </c>
      <c r="J19">
        <f>IF('Input Scenarios'!J19&lt;&gt;"", 'Input Scenarios'!J19, _xlfn.XLOOKUP($E19,Constants!$A$3:$A$6, Constants!D$3:D$6))</f>
        <v>4.5999999999999999E-2</v>
      </c>
      <c r="K19">
        <f>'Input Scenarios'!K19</f>
        <v>0.3</v>
      </c>
      <c r="L19">
        <f>'Input Scenarios'!L19</f>
        <v>0</v>
      </c>
      <c r="M19">
        <f>'Input Scenarios'!M19</f>
        <v>0</v>
      </c>
      <c r="N19">
        <f>'Input Scenarios'!N19</f>
        <v>0.3</v>
      </c>
      <c r="O19">
        <f>'Input Scenarios'!O19</f>
        <v>0</v>
      </c>
      <c r="P19">
        <f>'Input Scenarios'!P19</f>
        <v>0.4</v>
      </c>
      <c r="Q19" t="b">
        <f>'Input Scenarios'!Q19</f>
        <v>0</v>
      </c>
      <c r="R19">
        <f>IF('Input Scenarios'!$R19&lt;&gt;"", 'Input Scenarios'!$R19, IF($Q19, Constants!$B$19, 0))</f>
        <v>0</v>
      </c>
      <c r="S19">
        <f>IF('Input Scenarios'!$R19&lt;&gt;"", 'Input Scenarios'!$R19, IF($Q19, Constants!$B$20, 0))</f>
        <v>0</v>
      </c>
      <c r="T19">
        <f t="shared" si="4"/>
        <v>4600</v>
      </c>
      <c r="U19">
        <f t="shared" si="5"/>
        <v>0.3</v>
      </c>
      <c r="V19">
        <f t="shared" si="6"/>
        <v>0</v>
      </c>
      <c r="W19">
        <f t="shared" si="7"/>
        <v>0</v>
      </c>
      <c r="X19">
        <f t="shared" si="8"/>
        <v>0.3</v>
      </c>
      <c r="Y19">
        <f t="shared" si="9"/>
        <v>0</v>
      </c>
      <c r="Z19">
        <f t="shared" si="10"/>
        <v>0.4</v>
      </c>
      <c r="AA19">
        <f t="shared" si="11"/>
        <v>1380</v>
      </c>
      <c r="AB19">
        <f t="shared" si="12"/>
        <v>0</v>
      </c>
      <c r="AC19">
        <f t="shared" si="13"/>
        <v>0</v>
      </c>
      <c r="AD19">
        <f t="shared" si="14"/>
        <v>1380</v>
      </c>
      <c r="AE19">
        <f t="shared" si="15"/>
        <v>0</v>
      </c>
      <c r="AF19">
        <f t="shared" si="16"/>
        <v>1840</v>
      </c>
      <c r="AG19" s="9">
        <f>Constants!$C$10</f>
        <v>0.55000000000000004</v>
      </c>
      <c r="AH19" s="9">
        <f>Constants!$C$12</f>
        <v>0.3</v>
      </c>
      <c r="AI19" s="9">
        <f>Constants!$C$13</f>
        <v>0</v>
      </c>
      <c r="AJ19" s="9">
        <f>Constants!$C$14</f>
        <v>0.125</v>
      </c>
      <c r="AK19" s="9">
        <f>Constants!$C$15</f>
        <v>0.25</v>
      </c>
      <c r="AL19" s="9">
        <f>Constants!$C$11</f>
        <v>0.2</v>
      </c>
      <c r="AM19" s="9">
        <f>Constants!$D$10</f>
        <v>0</v>
      </c>
      <c r="AN19" s="9">
        <f>Constants!$D$12</f>
        <v>0.02</v>
      </c>
      <c r="AO19" s="9">
        <f>Constants!$D$13</f>
        <v>0</v>
      </c>
      <c r="AP19" s="9">
        <f>Constants!$D$14</f>
        <v>0.01</v>
      </c>
      <c r="AQ19" s="9">
        <f>Constants!$D$15</f>
        <v>2E-3</v>
      </c>
      <c r="AR19" s="9">
        <f>Constants!$D$11</f>
        <v>5.0000000000000001E-3</v>
      </c>
      <c r="AS19">
        <f t="shared" si="17"/>
        <v>620.99999999999989</v>
      </c>
      <c r="AT19">
        <f t="shared" si="18"/>
        <v>0</v>
      </c>
      <c r="AU19">
        <f t="shared" si="19"/>
        <v>0</v>
      </c>
      <c r="AV19">
        <f t="shared" si="20"/>
        <v>1193.7</v>
      </c>
      <c r="AW19">
        <f t="shared" si="21"/>
        <v>0</v>
      </c>
      <c r="AX19">
        <f t="shared" si="22"/>
        <v>1462.8000000000002</v>
      </c>
      <c r="AY19">
        <f t="shared" si="23"/>
        <v>3277.5</v>
      </c>
      <c r="AZ19">
        <f t="shared" si="24"/>
        <v>0</v>
      </c>
      <c r="BA19">
        <f t="shared" si="25"/>
        <v>1193.7</v>
      </c>
      <c r="BB19">
        <f t="shared" si="26"/>
        <v>2083.8000000000002</v>
      </c>
      <c r="BC19">
        <f>Constants!$B$23</f>
        <v>1.5714285714285714</v>
      </c>
      <c r="BD19">
        <f t="shared" si="27"/>
        <v>0</v>
      </c>
      <c r="BE19">
        <f t="shared" si="28"/>
        <v>0</v>
      </c>
      <c r="BF19">
        <f t="shared" si="29"/>
        <v>0</v>
      </c>
      <c r="BG19">
        <f t="shared" si="30"/>
        <v>21.685714285714287</v>
      </c>
      <c r="BH19">
        <f t="shared" si="31"/>
        <v>0</v>
      </c>
      <c r="BI19">
        <f t="shared" si="32"/>
        <v>14.457142857142859</v>
      </c>
      <c r="BJ19">
        <f t="shared" si="33"/>
        <v>0</v>
      </c>
      <c r="BK19">
        <f t="shared" si="34"/>
        <v>9.3790714285714287</v>
      </c>
      <c r="BL19">
        <f>SUM(BD19:BK22)/1000</f>
        <v>6.4091023614970641E-2</v>
      </c>
    </row>
    <row r="20" spans="1:64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pasture</v>
      </c>
      <c r="D20" t="b">
        <f>'Input Scenarios'!D20</f>
        <v>1</v>
      </c>
      <c r="E20" t="str">
        <f>'Input Scenarios'!E20</f>
        <v>sows</v>
      </c>
      <c r="F20">
        <f>'Input Scenarios'!F20</f>
        <v>233</v>
      </c>
      <c r="G20">
        <f>'Input Scenarios'!G20</f>
        <v>100</v>
      </c>
      <c r="H20">
        <f>IF('Input Scenarios'!H20&lt;&gt;"", 'Input Scenarios'!H20, _xlfn.XLOOKUP($E20,Constants!$A$3:$A$6, Constants!B$3:B$6))</f>
        <v>2.2999999999999998</v>
      </c>
      <c r="I20">
        <f>IF('Input Scenarios'!I20&lt;&gt;"", 'Input Scenarios'!I20, _xlfn.XLOOKUP($E20,Constants!$A$3:$A$6, Constants!C$3:C$6))</f>
        <v>0.46</v>
      </c>
      <c r="J20">
        <f>IF('Input Scenarios'!J20&lt;&gt;"", 'Input Scenarios'!J20, _xlfn.XLOOKUP($E20,Constants!$A$3:$A$6, Constants!D$3:D$6))</f>
        <v>4.9000000000000002E-2</v>
      </c>
      <c r="K20">
        <f>'Input Scenarios'!K20</f>
        <v>0.3</v>
      </c>
      <c r="L20">
        <f>'Input Scenarios'!L20</f>
        <v>0</v>
      </c>
      <c r="M20">
        <f>'Input Scenarios'!M20</f>
        <v>0</v>
      </c>
      <c r="N20">
        <f>'Input Scenarios'!N20</f>
        <v>0.3</v>
      </c>
      <c r="O20">
        <f>'Input Scenarios'!O20</f>
        <v>0</v>
      </c>
      <c r="P20">
        <f>'Input Scenarios'!P20</f>
        <v>0.4</v>
      </c>
      <c r="Q20" t="b">
        <f>'Input Scenarios'!Q20</f>
        <v>0</v>
      </c>
      <c r="R20">
        <f>IF('Input Scenarios'!$R20&lt;&gt;"", 'Input Scenarios'!$R20, IF($Q20, Constants!$B$19, 0))</f>
        <v>0</v>
      </c>
      <c r="S20">
        <f>IF('Input Scenarios'!$R20&lt;&gt;"", 'Input Scenarios'!$R20, IF($Q20, Constants!$B$20, 0))</f>
        <v>0</v>
      </c>
      <c r="T20">
        <f t="shared" si="4"/>
        <v>1141.7</v>
      </c>
      <c r="U20">
        <f t="shared" si="5"/>
        <v>0.3</v>
      </c>
      <c r="V20">
        <f t="shared" si="6"/>
        <v>0</v>
      </c>
      <c r="W20">
        <f t="shared" si="7"/>
        <v>0</v>
      </c>
      <c r="X20">
        <f t="shared" si="8"/>
        <v>0.3</v>
      </c>
      <c r="Y20">
        <f t="shared" si="9"/>
        <v>0</v>
      </c>
      <c r="Z20">
        <f t="shared" si="10"/>
        <v>0.4</v>
      </c>
      <c r="AA20">
        <f t="shared" si="11"/>
        <v>342.51</v>
      </c>
      <c r="AB20">
        <f t="shared" si="12"/>
        <v>0</v>
      </c>
      <c r="AC20">
        <f t="shared" si="13"/>
        <v>0</v>
      </c>
      <c r="AD20">
        <f t="shared" si="14"/>
        <v>342.51</v>
      </c>
      <c r="AE20">
        <f t="shared" si="15"/>
        <v>0</v>
      </c>
      <c r="AF20">
        <f t="shared" si="16"/>
        <v>456.68000000000006</v>
      </c>
      <c r="AG20" s="9">
        <f>Constants!$C$10</f>
        <v>0.55000000000000004</v>
      </c>
      <c r="AH20" s="9">
        <f>Constants!$C$12</f>
        <v>0.3</v>
      </c>
      <c r="AI20" s="9">
        <f>Constants!$C$13</f>
        <v>0</v>
      </c>
      <c r="AJ20" s="9">
        <f>Constants!$C$14</f>
        <v>0.125</v>
      </c>
      <c r="AK20" s="9">
        <f>Constants!$C$15</f>
        <v>0.25</v>
      </c>
      <c r="AL20" s="9">
        <f>Constants!$C$11</f>
        <v>0.2</v>
      </c>
      <c r="AM20" s="9">
        <f>Constants!$D$10</f>
        <v>0</v>
      </c>
      <c r="AN20" s="9">
        <f>Constants!$D$12</f>
        <v>0.02</v>
      </c>
      <c r="AO20" s="9">
        <f>Constants!$D$13</f>
        <v>0</v>
      </c>
      <c r="AP20" s="9">
        <f>Constants!$D$14</f>
        <v>0.01</v>
      </c>
      <c r="AQ20" s="9">
        <f>Constants!$D$15</f>
        <v>2E-3</v>
      </c>
      <c r="AR20" s="9">
        <f>Constants!$D$11</f>
        <v>5.0000000000000001E-3</v>
      </c>
      <c r="AS20">
        <f t="shared" si="17"/>
        <v>154.12949999999998</v>
      </c>
      <c r="AT20">
        <f t="shared" si="18"/>
        <v>0</v>
      </c>
      <c r="AU20">
        <f t="shared" si="19"/>
        <v>0</v>
      </c>
      <c r="AV20">
        <f t="shared" si="20"/>
        <v>296.27114999999998</v>
      </c>
      <c r="AW20">
        <f t="shared" si="21"/>
        <v>0</v>
      </c>
      <c r="AX20">
        <f t="shared" si="22"/>
        <v>363.06060000000008</v>
      </c>
      <c r="AY20">
        <f t="shared" si="23"/>
        <v>813.46125000000006</v>
      </c>
      <c r="AZ20">
        <f t="shared" si="24"/>
        <v>0</v>
      </c>
      <c r="BA20">
        <f t="shared" si="25"/>
        <v>296.27114999999998</v>
      </c>
      <c r="BB20">
        <f t="shared" si="26"/>
        <v>517.19010000000003</v>
      </c>
      <c r="BC20">
        <f>Constants!$B$23</f>
        <v>1.5714285714285714</v>
      </c>
      <c r="BD20">
        <f t="shared" si="27"/>
        <v>0</v>
      </c>
      <c r="BE20">
        <f t="shared" si="28"/>
        <v>0</v>
      </c>
      <c r="BF20">
        <f t="shared" si="29"/>
        <v>0</v>
      </c>
      <c r="BG20">
        <f t="shared" si="30"/>
        <v>5.3822999999999999</v>
      </c>
      <c r="BH20">
        <f t="shared" si="31"/>
        <v>0</v>
      </c>
      <c r="BI20">
        <f t="shared" si="32"/>
        <v>3.5882000000000005</v>
      </c>
      <c r="BJ20">
        <f t="shared" si="33"/>
        <v>0</v>
      </c>
      <c r="BK20">
        <f t="shared" si="34"/>
        <v>2.3278447499999997</v>
      </c>
    </row>
    <row r="21" spans="1:64" x14ac:dyDescent="0.2">
      <c r="A21" t="str">
        <f>'Input Scenarios'!A21</f>
        <v>QLD</v>
      </c>
      <c r="B21">
        <f>'Input Scenarios'!B21</f>
        <v>0</v>
      </c>
      <c r="C21" t="str">
        <f>'Input Scenarios'!C21</f>
        <v>Non-irrigated pasture</v>
      </c>
      <c r="D21" t="b">
        <f>'Input Scenarios'!D21</f>
        <v>1</v>
      </c>
      <c r="E21" t="str">
        <f>'Input Scenarios'!E21</f>
        <v>gilts</v>
      </c>
      <c r="F21">
        <f>'Input Scenarios'!F21</f>
        <v>923</v>
      </c>
      <c r="G21">
        <f>'Input Scenarios'!G21</f>
        <v>100</v>
      </c>
      <c r="H21">
        <f>IF('Input Scenarios'!H21&lt;&gt;"", 'Input Scenarios'!H21, _xlfn.XLOOKUP($E21,Constants!$A$3:$A$6, Constants!B$3:B$6))</f>
        <v>2.5</v>
      </c>
      <c r="I21">
        <f>IF('Input Scenarios'!I21&lt;&gt;"", 'Input Scenarios'!I21, _xlfn.XLOOKUP($E21,Constants!$A$3:$A$6, Constants!C$3:C$6))</f>
        <v>0.55000000000000004</v>
      </c>
      <c r="J21">
        <f>IF('Input Scenarios'!J21&lt;&gt;"", 'Input Scenarios'!J21, _xlfn.XLOOKUP($E21,Constants!$A$3:$A$6, Constants!D$3:D$6))</f>
        <v>4.5999999999999999E-2</v>
      </c>
      <c r="K21">
        <f>'Input Scenarios'!K21</f>
        <v>0</v>
      </c>
      <c r="L21">
        <f>'Input Scenarios'!L21</f>
        <v>0</v>
      </c>
      <c r="M21">
        <f>'Input Scenarios'!M21</f>
        <v>0.5</v>
      </c>
      <c r="N21">
        <f>'Input Scenarios'!N21</f>
        <v>0</v>
      </c>
      <c r="O21">
        <f>'Input Scenarios'!O21</f>
        <v>0.5</v>
      </c>
      <c r="P21">
        <f>'Input Scenarios'!P21</f>
        <v>0</v>
      </c>
      <c r="Q21" t="b">
        <f>'Input Scenarios'!Q21</f>
        <v>0</v>
      </c>
      <c r="R21">
        <f>IF('Input Scenarios'!$R21&lt;&gt;"", 'Input Scenarios'!$R21, IF($Q21, Constants!$B$19, 0))</f>
        <v>0</v>
      </c>
      <c r="S21">
        <f>IF('Input Scenarios'!$R21&lt;&gt;"", 'Input Scenarios'!$R21, IF($Q21, Constants!$B$20, 0))</f>
        <v>0</v>
      </c>
      <c r="T21">
        <f t="shared" si="4"/>
        <v>4245.8</v>
      </c>
      <c r="U21">
        <f t="shared" si="5"/>
        <v>0</v>
      </c>
      <c r="V21">
        <f t="shared" si="6"/>
        <v>0</v>
      </c>
      <c r="W21">
        <f t="shared" si="7"/>
        <v>0.5</v>
      </c>
      <c r="X21">
        <f t="shared" si="8"/>
        <v>0</v>
      </c>
      <c r="Y21">
        <f t="shared" si="9"/>
        <v>0.5</v>
      </c>
      <c r="Z21">
        <f t="shared" si="10"/>
        <v>0</v>
      </c>
      <c r="AA21">
        <f t="shared" si="11"/>
        <v>0</v>
      </c>
      <c r="AB21">
        <f t="shared" si="12"/>
        <v>0</v>
      </c>
      <c r="AC21">
        <f t="shared" si="13"/>
        <v>2122.9</v>
      </c>
      <c r="AD21">
        <f t="shared" si="14"/>
        <v>0</v>
      </c>
      <c r="AE21">
        <f t="shared" si="15"/>
        <v>2122.9</v>
      </c>
      <c r="AF21">
        <f t="shared" si="16"/>
        <v>0</v>
      </c>
      <c r="AG21" s="9">
        <f>Constants!$C$10</f>
        <v>0.55000000000000004</v>
      </c>
      <c r="AH21" s="9">
        <f>Constants!$C$12</f>
        <v>0.3</v>
      </c>
      <c r="AI21" s="9">
        <f>Constants!$C$13</f>
        <v>0</v>
      </c>
      <c r="AJ21" s="9">
        <f>Constants!$C$14</f>
        <v>0.125</v>
      </c>
      <c r="AK21" s="9">
        <f>Constants!$C$15</f>
        <v>0.25</v>
      </c>
      <c r="AL21" s="9">
        <f>Constants!$C$11</f>
        <v>0.2</v>
      </c>
      <c r="AM21" s="9">
        <f>Constants!$D$10</f>
        <v>0</v>
      </c>
      <c r="AN21" s="9">
        <f>Constants!$D$12</f>
        <v>0.02</v>
      </c>
      <c r="AO21" s="9">
        <f>Constants!$D$13</f>
        <v>0</v>
      </c>
      <c r="AP21" s="9">
        <f>Constants!$D$14</f>
        <v>0.01</v>
      </c>
      <c r="AQ21" s="9">
        <f>Constants!$D$15</f>
        <v>2E-3</v>
      </c>
      <c r="AR21" s="9">
        <f>Constants!$D$11</f>
        <v>5.0000000000000001E-3</v>
      </c>
      <c r="AS21">
        <f t="shared" si="17"/>
        <v>0</v>
      </c>
      <c r="AT21">
        <f t="shared" si="18"/>
        <v>0</v>
      </c>
      <c r="AU21">
        <f t="shared" si="19"/>
        <v>2122.9</v>
      </c>
      <c r="AV21">
        <f t="shared" si="20"/>
        <v>0</v>
      </c>
      <c r="AW21">
        <f t="shared" si="21"/>
        <v>1587.9292</v>
      </c>
      <c r="AX21">
        <f t="shared" si="22"/>
        <v>0</v>
      </c>
      <c r="AY21">
        <f t="shared" si="23"/>
        <v>3710.8292000000001</v>
      </c>
      <c r="AZ21">
        <f t="shared" si="24"/>
        <v>2122.9</v>
      </c>
      <c r="BA21">
        <f t="shared" si="25"/>
        <v>0</v>
      </c>
      <c r="BB21">
        <f t="shared" si="26"/>
        <v>1587.9292</v>
      </c>
      <c r="BC21">
        <f>Constants!$B$23</f>
        <v>1.5714285714285714</v>
      </c>
      <c r="BD21">
        <f t="shared" si="27"/>
        <v>0</v>
      </c>
      <c r="BE21">
        <f t="shared" si="28"/>
        <v>0</v>
      </c>
      <c r="BF21">
        <f t="shared" si="29"/>
        <v>0</v>
      </c>
      <c r="BG21">
        <f t="shared" si="30"/>
        <v>0</v>
      </c>
      <c r="BH21">
        <f t="shared" si="31"/>
        <v>6.6719714285714282</v>
      </c>
      <c r="BI21">
        <f t="shared" si="32"/>
        <v>0</v>
      </c>
      <c r="BJ21">
        <f t="shared" si="33"/>
        <v>0</v>
      </c>
      <c r="BK21">
        <f t="shared" si="34"/>
        <v>0</v>
      </c>
    </row>
    <row r="22" spans="1:64" s="2" customFormat="1" x14ac:dyDescent="0.2">
      <c r="A22" s="2" t="str">
        <f>'Input Scenarios'!A22</f>
        <v>QLD</v>
      </c>
      <c r="B22" s="2">
        <f>'Input Scenarios'!B22</f>
        <v>0</v>
      </c>
      <c r="C22" s="2" t="str">
        <f>'Input Scenarios'!C22</f>
        <v>Non-irrigated pasture</v>
      </c>
      <c r="D22" s="2" t="b">
        <f>'Input Scenarios'!D22</f>
        <v>1</v>
      </c>
      <c r="E22" s="2" t="str">
        <f>'Input Scenarios'!E22</f>
        <v>others</v>
      </c>
      <c r="F22" s="2">
        <f>'Input Scenarios'!F22</f>
        <v>122</v>
      </c>
      <c r="G22" s="2">
        <f>'Input Scenarios'!G22</f>
        <v>100</v>
      </c>
      <c r="H22">
        <f>IF('Input Scenarios'!H22&lt;&gt;"", 'Input Scenarios'!H22, _xlfn.XLOOKUP($E22,Constants!$A$3:$A$6, Constants!B$3:B$6))</f>
        <v>1.71</v>
      </c>
      <c r="I22">
        <f>IF('Input Scenarios'!I22&lt;&gt;"", 'Input Scenarios'!I22, _xlfn.XLOOKUP($E22,Constants!$A$3:$A$6, Constants!C$3:C$6))</f>
        <v>0.39</v>
      </c>
      <c r="J22">
        <f>IF('Input Scenarios'!J22&lt;&gt;"", 'Input Scenarios'!J22, _xlfn.XLOOKUP($E22,Constants!$A$3:$A$6, Constants!D$3:D$6))</f>
        <v>3.1232876712328769E-2</v>
      </c>
      <c r="K22" s="2">
        <f>'Input Scenarios'!K22</f>
        <v>0</v>
      </c>
      <c r="L22" s="2">
        <f>'Input Scenarios'!L22</f>
        <v>0</v>
      </c>
      <c r="M22" s="2">
        <f>'Input Scenarios'!M22</f>
        <v>0.5</v>
      </c>
      <c r="N22" s="2">
        <f>'Input Scenarios'!N22</f>
        <v>0</v>
      </c>
      <c r="O22" s="2">
        <f>'Input Scenarios'!O22</f>
        <v>0.5</v>
      </c>
      <c r="P22" s="2">
        <f>'Input Scenarios'!P22</f>
        <v>0</v>
      </c>
      <c r="Q22" s="2" t="b">
        <f>'Input Scenarios'!Q22</f>
        <v>0</v>
      </c>
      <c r="R22" s="2">
        <f>IF('Input Scenarios'!$R22&lt;&gt;"", 'Input Scenarios'!$R22, IF($Q22, Constants!$B$19, 0))</f>
        <v>0</v>
      </c>
      <c r="S22" s="2">
        <f>IF('Input Scenarios'!$R22&lt;&gt;"", 'Input Scenarios'!$R22, IF($Q22, Constants!$B$20, 0))</f>
        <v>0</v>
      </c>
      <c r="T22">
        <f t="shared" si="4"/>
        <v>381.04109589041099</v>
      </c>
      <c r="U22">
        <f t="shared" si="5"/>
        <v>0</v>
      </c>
      <c r="V22">
        <f t="shared" si="6"/>
        <v>0</v>
      </c>
      <c r="W22">
        <f t="shared" si="7"/>
        <v>0.5</v>
      </c>
      <c r="X22">
        <f t="shared" si="8"/>
        <v>0</v>
      </c>
      <c r="Y22">
        <f t="shared" si="9"/>
        <v>0.5</v>
      </c>
      <c r="Z22">
        <f t="shared" si="10"/>
        <v>0</v>
      </c>
      <c r="AA22">
        <f t="shared" si="11"/>
        <v>0</v>
      </c>
      <c r="AB22">
        <f t="shared" si="12"/>
        <v>0</v>
      </c>
      <c r="AC22">
        <f t="shared" si="13"/>
        <v>190.52054794520549</v>
      </c>
      <c r="AD22">
        <f t="shared" si="14"/>
        <v>0</v>
      </c>
      <c r="AE22">
        <f t="shared" si="15"/>
        <v>190.52054794520549</v>
      </c>
      <c r="AF22">
        <f t="shared" si="16"/>
        <v>0</v>
      </c>
      <c r="AG22" s="9">
        <f>Constants!$C$10</f>
        <v>0.55000000000000004</v>
      </c>
      <c r="AH22" s="9">
        <f>Constants!$C$12</f>
        <v>0.3</v>
      </c>
      <c r="AI22" s="9">
        <f>Constants!$C$13</f>
        <v>0</v>
      </c>
      <c r="AJ22" s="9">
        <f>Constants!$C$14</f>
        <v>0.125</v>
      </c>
      <c r="AK22" s="9">
        <f>Constants!$C$15</f>
        <v>0.25</v>
      </c>
      <c r="AL22" s="9">
        <f>Constants!$C$11</f>
        <v>0.2</v>
      </c>
      <c r="AM22" s="9">
        <f>Constants!$D$10</f>
        <v>0</v>
      </c>
      <c r="AN22" s="9">
        <f>Constants!$D$12</f>
        <v>0.02</v>
      </c>
      <c r="AO22" s="9">
        <f>Constants!$D$13</f>
        <v>0</v>
      </c>
      <c r="AP22" s="9">
        <f>Constants!$D$14</f>
        <v>0.01</v>
      </c>
      <c r="AQ22" s="9">
        <f>Constants!$D$15</f>
        <v>2E-3</v>
      </c>
      <c r="AR22" s="9">
        <f>Constants!$D$11</f>
        <v>5.0000000000000001E-3</v>
      </c>
      <c r="AS22">
        <f t="shared" si="17"/>
        <v>0</v>
      </c>
      <c r="AT22">
        <f t="shared" si="18"/>
        <v>0</v>
      </c>
      <c r="AU22">
        <f t="shared" si="19"/>
        <v>190.52054794520549</v>
      </c>
      <c r="AV22">
        <f t="shared" si="20"/>
        <v>0</v>
      </c>
      <c r="AW22">
        <f t="shared" si="21"/>
        <v>142.50936986301372</v>
      </c>
      <c r="AX22">
        <f t="shared" si="22"/>
        <v>0</v>
      </c>
      <c r="AY22">
        <f t="shared" si="23"/>
        <v>333.02991780821924</v>
      </c>
      <c r="AZ22">
        <f t="shared" si="24"/>
        <v>190.52054794520549</v>
      </c>
      <c r="BA22">
        <f t="shared" si="25"/>
        <v>0</v>
      </c>
      <c r="BB22">
        <f t="shared" si="26"/>
        <v>142.50936986301372</v>
      </c>
      <c r="BC22">
        <f>Constants!$B$23</f>
        <v>1.5714285714285714</v>
      </c>
      <c r="BD22">
        <f t="shared" si="27"/>
        <v>0</v>
      </c>
      <c r="BE22">
        <f t="shared" si="28"/>
        <v>0</v>
      </c>
      <c r="BF22">
        <f t="shared" si="29"/>
        <v>0</v>
      </c>
      <c r="BG22">
        <f t="shared" si="30"/>
        <v>0</v>
      </c>
      <c r="BH22">
        <f t="shared" si="31"/>
        <v>0.59877886497064592</v>
      </c>
      <c r="BI22">
        <f t="shared" si="32"/>
        <v>0</v>
      </c>
      <c r="BJ22">
        <f t="shared" si="33"/>
        <v>0</v>
      </c>
      <c r="BK22">
        <f t="shared" si="34"/>
        <v>0</v>
      </c>
    </row>
    <row r="23" spans="1:64" x14ac:dyDescent="0.2">
      <c r="A23" t="str">
        <f>'Input Scenarios'!A23</f>
        <v>WA</v>
      </c>
      <c r="B23">
        <f>'Input Scenarios'!B23</f>
        <v>0</v>
      </c>
      <c r="C23" t="str">
        <f>'Input Scenarios'!C23</f>
        <v>Non-irrigated crop (low rainfall)</v>
      </c>
      <c r="D23" t="b">
        <f>'Input Scenarios'!D23</f>
        <v>0</v>
      </c>
      <c r="E23" t="str">
        <f>'Input Scenarios'!E23</f>
        <v>boars</v>
      </c>
      <c r="F23">
        <f>'Input Scenarios'!F23</f>
        <v>750</v>
      </c>
      <c r="G23">
        <f>'Input Scenarios'!G23</f>
        <v>200</v>
      </c>
      <c r="H23">
        <f>IF('Input Scenarios'!H23&lt;&gt;"", 'Input Scenarios'!H23, _xlfn.XLOOKUP($E23,Constants!$A$3:$A$6, Constants!B$3:B$6))</f>
        <v>2.62</v>
      </c>
      <c r="I23">
        <f>IF('Input Scenarios'!I23&lt;&gt;"", 'Input Scenarios'!I23, _xlfn.XLOOKUP($E23,Constants!$A$3:$A$6, Constants!C$3:C$6))</f>
        <v>0.4</v>
      </c>
      <c r="J23">
        <f>IF('Input Scenarios'!J23&lt;&gt;"", 'Input Scenarios'!J23, _xlfn.XLOOKUP($E23,Constants!$A$3:$A$6, Constants!D$3:D$6))</f>
        <v>4.5999999999999999E-2</v>
      </c>
      <c r="K23">
        <f>'Input Scenarios'!K23</f>
        <v>0.3</v>
      </c>
      <c r="L23">
        <f>'Input Scenarios'!L23</f>
        <v>0</v>
      </c>
      <c r="M23">
        <f>'Input Scenarios'!M23</f>
        <v>0</v>
      </c>
      <c r="N23">
        <f>'Input Scenarios'!N23</f>
        <v>0.3</v>
      </c>
      <c r="O23">
        <f>'Input Scenarios'!O23</f>
        <v>0</v>
      </c>
      <c r="P23">
        <f>'Input Scenarios'!P23</f>
        <v>0.4</v>
      </c>
      <c r="Q23" t="b">
        <f>'Input Scenarios'!Q23</f>
        <v>0</v>
      </c>
      <c r="R23">
        <f>IF('Input Scenarios'!$R23&lt;&gt;"", 'Input Scenarios'!$R23, IF($Q23, Constants!$B$19, 0))</f>
        <v>0</v>
      </c>
      <c r="S23">
        <f>IF('Input Scenarios'!$R23&lt;&gt;"", 'Input Scenarios'!$R23, IF($Q23, Constants!$B$20, 0))</f>
        <v>0</v>
      </c>
      <c r="T23">
        <f t="shared" si="4"/>
        <v>6900</v>
      </c>
      <c r="U23">
        <f t="shared" si="5"/>
        <v>0.3</v>
      </c>
      <c r="V23">
        <f t="shared" si="6"/>
        <v>0</v>
      </c>
      <c r="W23">
        <f t="shared" si="7"/>
        <v>0</v>
      </c>
      <c r="X23">
        <f t="shared" si="8"/>
        <v>0.3</v>
      </c>
      <c r="Y23">
        <f t="shared" si="9"/>
        <v>0</v>
      </c>
      <c r="Z23">
        <f t="shared" si="10"/>
        <v>0.4</v>
      </c>
      <c r="AA23">
        <f t="shared" si="11"/>
        <v>2070</v>
      </c>
      <c r="AB23">
        <f t="shared" si="12"/>
        <v>0</v>
      </c>
      <c r="AC23">
        <f t="shared" si="13"/>
        <v>0</v>
      </c>
      <c r="AD23">
        <f t="shared" si="14"/>
        <v>2070</v>
      </c>
      <c r="AE23">
        <f t="shared" si="15"/>
        <v>0</v>
      </c>
      <c r="AF23">
        <f t="shared" si="16"/>
        <v>2760</v>
      </c>
      <c r="AG23" s="9">
        <f>Constants!$C$10</f>
        <v>0.55000000000000004</v>
      </c>
      <c r="AH23" s="9">
        <f>Constants!$C$12</f>
        <v>0.3</v>
      </c>
      <c r="AI23" s="9">
        <f>Constants!$C$13</f>
        <v>0</v>
      </c>
      <c r="AJ23" s="9">
        <f>Constants!$C$14</f>
        <v>0.125</v>
      </c>
      <c r="AK23" s="9">
        <f>Constants!$C$15</f>
        <v>0.25</v>
      </c>
      <c r="AL23" s="9">
        <f>Constants!$C$11</f>
        <v>0.2</v>
      </c>
      <c r="AM23" s="9">
        <f>Constants!$D$10</f>
        <v>0</v>
      </c>
      <c r="AN23" s="9">
        <f>Constants!$D$12</f>
        <v>0.02</v>
      </c>
      <c r="AO23" s="9">
        <f>Constants!$D$13</f>
        <v>0</v>
      </c>
      <c r="AP23" s="9">
        <f>Constants!$D$14</f>
        <v>0.01</v>
      </c>
      <c r="AQ23" s="9">
        <f>Constants!$D$15</f>
        <v>2E-3</v>
      </c>
      <c r="AR23" s="9">
        <f>Constants!$D$11</f>
        <v>5.0000000000000001E-3</v>
      </c>
      <c r="AS23">
        <f t="shared" si="17"/>
        <v>931.49999999999989</v>
      </c>
      <c r="AT23">
        <f t="shared" si="18"/>
        <v>0</v>
      </c>
      <c r="AU23">
        <f t="shared" si="19"/>
        <v>0</v>
      </c>
      <c r="AV23">
        <f t="shared" si="20"/>
        <v>1790.55</v>
      </c>
      <c r="AW23">
        <f t="shared" si="21"/>
        <v>0</v>
      </c>
      <c r="AX23">
        <f t="shared" si="22"/>
        <v>2194.2000000000003</v>
      </c>
      <c r="AY23">
        <f t="shared" si="23"/>
        <v>4916.25</v>
      </c>
      <c r="AZ23">
        <f t="shared" si="24"/>
        <v>0</v>
      </c>
      <c r="BA23">
        <f t="shared" si="25"/>
        <v>1790.55</v>
      </c>
      <c r="BB23">
        <f t="shared" si="26"/>
        <v>3125.7000000000003</v>
      </c>
      <c r="BC23">
        <f>Constants!$B$23</f>
        <v>1.5714285714285714</v>
      </c>
      <c r="BD23">
        <f t="shared" si="27"/>
        <v>0</v>
      </c>
      <c r="BE23">
        <f t="shared" si="28"/>
        <v>0</v>
      </c>
      <c r="BF23">
        <f t="shared" si="29"/>
        <v>0</v>
      </c>
      <c r="BG23">
        <f t="shared" si="30"/>
        <v>32.528571428571425</v>
      </c>
      <c r="BH23">
        <f t="shared" si="31"/>
        <v>0</v>
      </c>
      <c r="BI23">
        <f t="shared" si="32"/>
        <v>21.685714285714287</v>
      </c>
      <c r="BJ23">
        <f t="shared" si="33"/>
        <v>0</v>
      </c>
      <c r="BK23">
        <f t="shared" si="34"/>
        <v>14.068607142857143</v>
      </c>
      <c r="BL23">
        <f>SUM(BD23:BK26)/1000</f>
        <v>0.12126508352152639</v>
      </c>
    </row>
    <row r="24" spans="1:64" x14ac:dyDescent="0.2">
      <c r="A24" t="str">
        <f>'Input Scenarios'!A24</f>
        <v>WA</v>
      </c>
      <c r="B24">
        <f>'Input Scenarios'!B24</f>
        <v>0</v>
      </c>
      <c r="C24" t="str">
        <f>'Input Scenarios'!C24</f>
        <v>Non-irrigated crop (low rainfall)</v>
      </c>
      <c r="D24" t="b">
        <f>'Input Scenarios'!D24</f>
        <v>0</v>
      </c>
      <c r="E24" t="str">
        <f>'Input Scenarios'!E24</f>
        <v>sows</v>
      </c>
      <c r="F24">
        <f>'Input Scenarios'!F24</f>
        <v>600</v>
      </c>
      <c r="G24">
        <f>'Input Scenarios'!G24</f>
        <v>200</v>
      </c>
      <c r="H24">
        <f>IF('Input Scenarios'!H24&lt;&gt;"", 'Input Scenarios'!H24, _xlfn.XLOOKUP($E24,Constants!$A$3:$A$6, Constants!B$3:B$6))</f>
        <v>2.2999999999999998</v>
      </c>
      <c r="I24">
        <f>IF('Input Scenarios'!I24&lt;&gt;"", 'Input Scenarios'!I24, _xlfn.XLOOKUP($E24,Constants!$A$3:$A$6, Constants!C$3:C$6))</f>
        <v>0.46</v>
      </c>
      <c r="J24">
        <f>IF('Input Scenarios'!J24&lt;&gt;"", 'Input Scenarios'!J24, _xlfn.XLOOKUP($E24,Constants!$A$3:$A$6, Constants!D$3:D$6))</f>
        <v>4.9000000000000002E-2</v>
      </c>
      <c r="K24">
        <f>'Input Scenarios'!K24</f>
        <v>0</v>
      </c>
      <c r="L24">
        <f>'Input Scenarios'!L24</f>
        <v>0</v>
      </c>
      <c r="M24">
        <f>'Input Scenarios'!M24</f>
        <v>0.5</v>
      </c>
      <c r="N24">
        <f>'Input Scenarios'!N24</f>
        <v>0</v>
      </c>
      <c r="O24">
        <f>'Input Scenarios'!O24</f>
        <v>0.5</v>
      </c>
      <c r="P24">
        <f>'Input Scenarios'!P24</f>
        <v>0</v>
      </c>
      <c r="Q24" t="b">
        <f>'Input Scenarios'!Q24</f>
        <v>0</v>
      </c>
      <c r="R24">
        <f>IF('Input Scenarios'!$R24&lt;&gt;"", 'Input Scenarios'!$R24, IF($Q24, Constants!$B$19, 0))</f>
        <v>0</v>
      </c>
      <c r="S24">
        <f>IF('Input Scenarios'!$R24&lt;&gt;"", 'Input Scenarios'!$R24, IF($Q24, Constants!$B$20, 0))</f>
        <v>0</v>
      </c>
      <c r="T24">
        <f t="shared" si="4"/>
        <v>5880</v>
      </c>
      <c r="U24">
        <f t="shared" si="5"/>
        <v>0</v>
      </c>
      <c r="V24">
        <f t="shared" si="6"/>
        <v>0</v>
      </c>
      <c r="W24">
        <f t="shared" si="7"/>
        <v>0.5</v>
      </c>
      <c r="X24">
        <f t="shared" si="8"/>
        <v>0</v>
      </c>
      <c r="Y24">
        <f t="shared" si="9"/>
        <v>0.5</v>
      </c>
      <c r="Z24">
        <f t="shared" si="10"/>
        <v>0</v>
      </c>
      <c r="AA24">
        <f t="shared" si="11"/>
        <v>0</v>
      </c>
      <c r="AB24">
        <f t="shared" si="12"/>
        <v>0</v>
      </c>
      <c r="AC24">
        <f t="shared" si="13"/>
        <v>2940</v>
      </c>
      <c r="AD24">
        <f t="shared" si="14"/>
        <v>0</v>
      </c>
      <c r="AE24">
        <f t="shared" si="15"/>
        <v>2940</v>
      </c>
      <c r="AF24">
        <f t="shared" si="16"/>
        <v>0</v>
      </c>
      <c r="AG24" s="9">
        <f>Constants!$C$10</f>
        <v>0.55000000000000004</v>
      </c>
      <c r="AH24" s="9">
        <f>Constants!$C$12</f>
        <v>0.3</v>
      </c>
      <c r="AI24" s="9">
        <f>Constants!$C$13</f>
        <v>0</v>
      </c>
      <c r="AJ24" s="9">
        <f>Constants!$C$14</f>
        <v>0.125</v>
      </c>
      <c r="AK24" s="9">
        <f>Constants!$C$15</f>
        <v>0.25</v>
      </c>
      <c r="AL24" s="9">
        <f>Constants!$C$11</f>
        <v>0.2</v>
      </c>
      <c r="AM24" s="9">
        <f>Constants!$D$10</f>
        <v>0</v>
      </c>
      <c r="AN24" s="9">
        <f>Constants!$D$12</f>
        <v>0.02</v>
      </c>
      <c r="AO24" s="9">
        <f>Constants!$D$13</f>
        <v>0</v>
      </c>
      <c r="AP24" s="9">
        <f>Constants!$D$14</f>
        <v>0.01</v>
      </c>
      <c r="AQ24" s="9">
        <f>Constants!$D$15</f>
        <v>2E-3</v>
      </c>
      <c r="AR24" s="9">
        <f>Constants!$D$11</f>
        <v>5.0000000000000001E-3</v>
      </c>
      <c r="AS24">
        <f t="shared" si="17"/>
        <v>0</v>
      </c>
      <c r="AT24">
        <f t="shared" si="18"/>
        <v>0</v>
      </c>
      <c r="AU24">
        <f t="shared" si="19"/>
        <v>2940</v>
      </c>
      <c r="AV24">
        <f t="shared" si="20"/>
        <v>0</v>
      </c>
      <c r="AW24">
        <f t="shared" si="21"/>
        <v>2199.12</v>
      </c>
      <c r="AX24">
        <f t="shared" si="22"/>
        <v>0</v>
      </c>
      <c r="AY24">
        <f t="shared" si="23"/>
        <v>5139.12</v>
      </c>
      <c r="AZ24">
        <f t="shared" si="24"/>
        <v>2940</v>
      </c>
      <c r="BA24">
        <f t="shared" si="25"/>
        <v>0</v>
      </c>
      <c r="BB24">
        <f t="shared" si="26"/>
        <v>2199.12</v>
      </c>
      <c r="BC24">
        <f>Constants!$B$23</f>
        <v>1.5714285714285714</v>
      </c>
      <c r="BD24">
        <f t="shared" si="27"/>
        <v>0</v>
      </c>
      <c r="BE24">
        <f t="shared" si="28"/>
        <v>0</v>
      </c>
      <c r="BF24">
        <f t="shared" si="29"/>
        <v>0</v>
      </c>
      <c r="BG24">
        <f t="shared" si="30"/>
        <v>0</v>
      </c>
      <c r="BH24">
        <f t="shared" si="31"/>
        <v>9.24</v>
      </c>
      <c r="BI24">
        <f t="shared" si="32"/>
        <v>0</v>
      </c>
      <c r="BJ24">
        <f t="shared" si="33"/>
        <v>0</v>
      </c>
      <c r="BK24">
        <f t="shared" si="34"/>
        <v>0</v>
      </c>
    </row>
    <row r="25" spans="1:64" x14ac:dyDescent="0.2">
      <c r="A25" t="str">
        <f>'Input Scenarios'!A25</f>
        <v>WA</v>
      </c>
      <c r="B25">
        <f>'Input Scenarios'!B25</f>
        <v>0</v>
      </c>
      <c r="C25" t="str">
        <f>'Input Scenarios'!C25</f>
        <v>Non-irrigated crop (low rainfall)</v>
      </c>
      <c r="D25" t="b">
        <f>'Input Scenarios'!D25</f>
        <v>0</v>
      </c>
      <c r="E25" t="str">
        <f>'Input Scenarios'!E25</f>
        <v>gilts</v>
      </c>
      <c r="F25">
        <f>'Input Scenarios'!F25</f>
        <v>100</v>
      </c>
      <c r="G25">
        <f>'Input Scenarios'!G25</f>
        <v>299</v>
      </c>
      <c r="H25">
        <f>IF('Input Scenarios'!H25&lt;&gt;"", 'Input Scenarios'!H25, _xlfn.XLOOKUP($E25,Constants!$A$3:$A$6, Constants!B$3:B$6))</f>
        <v>2.5</v>
      </c>
      <c r="I25">
        <f>IF('Input Scenarios'!I25&lt;&gt;"", 'Input Scenarios'!I25, _xlfn.XLOOKUP($E25,Constants!$A$3:$A$6, Constants!C$3:C$6))</f>
        <v>0.55000000000000004</v>
      </c>
      <c r="J25">
        <f>IF('Input Scenarios'!J25&lt;&gt;"", 'Input Scenarios'!J25, _xlfn.XLOOKUP($E25,Constants!$A$3:$A$6, Constants!D$3:D$6))</f>
        <v>4.5999999999999999E-2</v>
      </c>
      <c r="K25">
        <f>'Input Scenarios'!K25</f>
        <v>0.3</v>
      </c>
      <c r="L25">
        <f>'Input Scenarios'!L25</f>
        <v>0</v>
      </c>
      <c r="M25">
        <f>'Input Scenarios'!M25</f>
        <v>0</v>
      </c>
      <c r="N25">
        <f>'Input Scenarios'!N25</f>
        <v>0.3</v>
      </c>
      <c r="O25">
        <f>'Input Scenarios'!O25</f>
        <v>0</v>
      </c>
      <c r="P25">
        <f>'Input Scenarios'!P25</f>
        <v>0.4</v>
      </c>
      <c r="Q25" t="b">
        <f>'Input Scenarios'!Q25</f>
        <v>1</v>
      </c>
      <c r="R25">
        <f>IF('Input Scenarios'!$R25&lt;&gt;"", 'Input Scenarios'!$R25, IF($Q25, Constants!$B$19, 0))</f>
        <v>0.25</v>
      </c>
      <c r="S25">
        <f>IF('Input Scenarios'!$R25&lt;&gt;"", 'Input Scenarios'!$R25, IF($Q25, Constants!$B$20, 0))</f>
        <v>0.25</v>
      </c>
      <c r="T25">
        <f t="shared" si="4"/>
        <v>1375.3999999999999</v>
      </c>
      <c r="U25">
        <f t="shared" si="5"/>
        <v>0.22499999999999998</v>
      </c>
      <c r="V25">
        <f t="shared" si="6"/>
        <v>0</v>
      </c>
      <c r="W25">
        <f t="shared" si="7"/>
        <v>0</v>
      </c>
      <c r="X25">
        <f t="shared" si="8"/>
        <v>0.3</v>
      </c>
      <c r="Y25">
        <f t="shared" si="9"/>
        <v>0</v>
      </c>
      <c r="Z25">
        <f t="shared" si="10"/>
        <v>0.47500000000000003</v>
      </c>
      <c r="AA25">
        <f t="shared" si="11"/>
        <v>309.46499999999992</v>
      </c>
      <c r="AB25">
        <f t="shared" si="12"/>
        <v>0</v>
      </c>
      <c r="AC25">
        <f t="shared" si="13"/>
        <v>0</v>
      </c>
      <c r="AD25">
        <f t="shared" si="14"/>
        <v>412.61999999999995</v>
      </c>
      <c r="AE25">
        <f t="shared" si="15"/>
        <v>0</v>
      </c>
      <c r="AF25">
        <f t="shared" si="16"/>
        <v>653.31499999999994</v>
      </c>
      <c r="AG25" s="9">
        <f>Constants!$C$10</f>
        <v>0.55000000000000004</v>
      </c>
      <c r="AH25" s="9">
        <f>Constants!$C$12</f>
        <v>0.3</v>
      </c>
      <c r="AI25" s="9">
        <f>Constants!$C$13</f>
        <v>0</v>
      </c>
      <c r="AJ25" s="9">
        <f>Constants!$C$14</f>
        <v>0.125</v>
      </c>
      <c r="AK25" s="9">
        <f>Constants!$C$15</f>
        <v>0.25</v>
      </c>
      <c r="AL25" s="9">
        <f>Constants!$C$11</f>
        <v>0.2</v>
      </c>
      <c r="AM25" s="9">
        <f>Constants!$D$10</f>
        <v>0</v>
      </c>
      <c r="AN25" s="9">
        <f>Constants!$D$12</f>
        <v>0.02</v>
      </c>
      <c r="AO25" s="9">
        <f>Constants!$D$13</f>
        <v>0</v>
      </c>
      <c r="AP25" s="9">
        <f>Constants!$D$14</f>
        <v>0.01</v>
      </c>
      <c r="AQ25" s="9">
        <f>Constants!$D$15</f>
        <v>2E-3</v>
      </c>
      <c r="AR25" s="9">
        <f>Constants!$D$11</f>
        <v>5.0000000000000001E-3</v>
      </c>
      <c r="AS25">
        <f t="shared" si="17"/>
        <v>139.25924999999995</v>
      </c>
      <c r="AT25">
        <f t="shared" si="18"/>
        <v>0</v>
      </c>
      <c r="AU25">
        <f t="shared" si="19"/>
        <v>0</v>
      </c>
      <c r="AV25">
        <f t="shared" si="20"/>
        <v>356.91629999999998</v>
      </c>
      <c r="AW25">
        <f t="shared" si="21"/>
        <v>0</v>
      </c>
      <c r="AX25">
        <f t="shared" si="22"/>
        <v>519.38542499999994</v>
      </c>
      <c r="AY25">
        <f t="shared" si="23"/>
        <v>1015.5609749999999</v>
      </c>
      <c r="AZ25">
        <f t="shared" si="24"/>
        <v>0</v>
      </c>
      <c r="BA25">
        <f t="shared" si="25"/>
        <v>356.91629999999998</v>
      </c>
      <c r="BB25">
        <f t="shared" si="26"/>
        <v>658.64467499999989</v>
      </c>
      <c r="BC25">
        <f>Constants!$B$23</f>
        <v>1.5714285714285714</v>
      </c>
      <c r="BD25">
        <f t="shared" si="27"/>
        <v>0</v>
      </c>
      <c r="BE25">
        <f t="shared" si="28"/>
        <v>0</v>
      </c>
      <c r="BF25">
        <f t="shared" si="29"/>
        <v>0</v>
      </c>
      <c r="BG25">
        <f t="shared" si="30"/>
        <v>6.4840285714285715</v>
      </c>
      <c r="BH25">
        <f t="shared" si="31"/>
        <v>0</v>
      </c>
      <c r="BI25">
        <f t="shared" si="32"/>
        <v>5.1331892857142849</v>
      </c>
      <c r="BJ25">
        <f t="shared" si="33"/>
        <v>0</v>
      </c>
      <c r="BK25">
        <f t="shared" si="34"/>
        <v>2.8043423571428567</v>
      </c>
    </row>
    <row r="26" spans="1:64" x14ac:dyDescent="0.2">
      <c r="A26" t="str">
        <f>'Input Scenarios'!A26</f>
        <v>WA</v>
      </c>
      <c r="B26">
        <f>'Input Scenarios'!B26</f>
        <v>0</v>
      </c>
      <c r="C26" t="str">
        <f>'Input Scenarios'!C26</f>
        <v>Non-irrigated crop (low rainfall)</v>
      </c>
      <c r="D26" t="b">
        <f>'Input Scenarios'!D26</f>
        <v>0</v>
      </c>
      <c r="E26" t="str">
        <f>'Input Scenarios'!E26</f>
        <v>others</v>
      </c>
      <c r="F26">
        <f>'Input Scenarios'!F26</f>
        <v>999</v>
      </c>
      <c r="G26">
        <f>'Input Scenarios'!G26</f>
        <v>299</v>
      </c>
      <c r="H26">
        <f>IF('Input Scenarios'!H26&lt;&gt;"", 'Input Scenarios'!H26, _xlfn.XLOOKUP($E26,Constants!$A$3:$A$6, Constants!B$3:B$6))</f>
        <v>1.71</v>
      </c>
      <c r="I26">
        <f>IF('Input Scenarios'!I26&lt;&gt;"", 'Input Scenarios'!I26, _xlfn.XLOOKUP($E26,Constants!$A$3:$A$6, Constants!C$3:C$6))</f>
        <v>0.39</v>
      </c>
      <c r="J26">
        <f>IF('Input Scenarios'!J26&lt;&gt;"", 'Input Scenarios'!J26, _xlfn.XLOOKUP($E26,Constants!$A$3:$A$6, Constants!D$3:D$6))</f>
        <v>3.1232876712328769E-2</v>
      </c>
      <c r="K26">
        <f>'Input Scenarios'!K26</f>
        <v>0</v>
      </c>
      <c r="L26">
        <f>'Input Scenarios'!L26</f>
        <v>0</v>
      </c>
      <c r="M26">
        <f>'Input Scenarios'!M26</f>
        <v>0.5</v>
      </c>
      <c r="N26">
        <f>'Input Scenarios'!N26</f>
        <v>0</v>
      </c>
      <c r="O26">
        <f>'Input Scenarios'!O26</f>
        <v>0.5</v>
      </c>
      <c r="P26">
        <f>'Input Scenarios'!P26</f>
        <v>0</v>
      </c>
      <c r="Q26" t="b">
        <f>'Input Scenarios'!Q26</f>
        <v>1</v>
      </c>
      <c r="R26">
        <f>IF('Input Scenarios'!$R26&lt;&gt;"", 'Input Scenarios'!$R26, IF($Q26, Constants!$B$19, 0))</f>
        <v>0.25</v>
      </c>
      <c r="S26">
        <f>IF('Input Scenarios'!$R26&lt;&gt;"", 'Input Scenarios'!$R26, IF($Q26, Constants!$B$20, 0))</f>
        <v>0.25</v>
      </c>
      <c r="T26">
        <f t="shared" si="4"/>
        <v>9329.2915068493148</v>
      </c>
      <c r="U26">
        <f t="shared" si="5"/>
        <v>0</v>
      </c>
      <c r="V26">
        <f t="shared" si="6"/>
        <v>0</v>
      </c>
      <c r="W26">
        <f t="shared" si="7"/>
        <v>0.375</v>
      </c>
      <c r="X26">
        <f t="shared" si="8"/>
        <v>0</v>
      </c>
      <c r="Y26">
        <f t="shared" si="9"/>
        <v>0.375</v>
      </c>
      <c r="Z26">
        <f t="shared" si="10"/>
        <v>0.25</v>
      </c>
      <c r="AA26">
        <f t="shared" si="11"/>
        <v>0</v>
      </c>
      <c r="AB26">
        <f t="shared" si="12"/>
        <v>0</v>
      </c>
      <c r="AC26">
        <f t="shared" si="13"/>
        <v>3498.4843150684928</v>
      </c>
      <c r="AD26">
        <f t="shared" si="14"/>
        <v>0</v>
      </c>
      <c r="AE26">
        <f t="shared" si="15"/>
        <v>3498.4843150684928</v>
      </c>
      <c r="AF26">
        <f t="shared" si="16"/>
        <v>2332.3228767123287</v>
      </c>
      <c r="AG26" s="9">
        <f>Constants!$C$10</f>
        <v>0.55000000000000004</v>
      </c>
      <c r="AH26" s="9">
        <f>Constants!$C$12</f>
        <v>0.3</v>
      </c>
      <c r="AI26" s="9">
        <f>Constants!$C$13</f>
        <v>0</v>
      </c>
      <c r="AJ26" s="9">
        <f>Constants!$C$14</f>
        <v>0.125</v>
      </c>
      <c r="AK26" s="9">
        <f>Constants!$C$15</f>
        <v>0.25</v>
      </c>
      <c r="AL26" s="9">
        <f>Constants!$C$11</f>
        <v>0.2</v>
      </c>
      <c r="AM26" s="9">
        <f>Constants!$D$10</f>
        <v>0</v>
      </c>
      <c r="AN26" s="9">
        <f>Constants!$D$12</f>
        <v>0.02</v>
      </c>
      <c r="AO26" s="9">
        <f>Constants!$D$13</f>
        <v>0</v>
      </c>
      <c r="AP26" s="9">
        <f>Constants!$D$14</f>
        <v>0.01</v>
      </c>
      <c r="AQ26" s="9">
        <f>Constants!$D$15</f>
        <v>2E-3</v>
      </c>
      <c r="AR26" s="9">
        <f>Constants!$D$11</f>
        <v>5.0000000000000001E-3</v>
      </c>
      <c r="AS26">
        <f t="shared" si="17"/>
        <v>0</v>
      </c>
      <c r="AT26">
        <f t="shared" si="18"/>
        <v>0</v>
      </c>
      <c r="AU26">
        <f t="shared" si="19"/>
        <v>3498.4843150684928</v>
      </c>
      <c r="AV26">
        <f t="shared" si="20"/>
        <v>0</v>
      </c>
      <c r="AW26">
        <f t="shared" si="21"/>
        <v>2616.8662676712324</v>
      </c>
      <c r="AX26">
        <f t="shared" si="22"/>
        <v>1854.1966869863013</v>
      </c>
      <c r="AY26">
        <f t="shared" si="23"/>
        <v>7969.5472697260266</v>
      </c>
      <c r="AZ26">
        <f t="shared" si="24"/>
        <v>3498.4843150684928</v>
      </c>
      <c r="BA26">
        <f t="shared" si="25"/>
        <v>0</v>
      </c>
      <c r="BB26">
        <f t="shared" si="26"/>
        <v>4471.0629546575337</v>
      </c>
      <c r="BC26">
        <f>Constants!$B$23</f>
        <v>1.5714285714285714</v>
      </c>
      <c r="BD26">
        <f t="shared" si="27"/>
        <v>0</v>
      </c>
      <c r="BE26">
        <f t="shared" si="28"/>
        <v>0</v>
      </c>
      <c r="BF26">
        <f t="shared" si="29"/>
        <v>0</v>
      </c>
      <c r="BG26">
        <f t="shared" si="30"/>
        <v>0</v>
      </c>
      <c r="BH26">
        <f t="shared" si="31"/>
        <v>10.995236418786693</v>
      </c>
      <c r="BI26">
        <f t="shared" si="32"/>
        <v>18.325394031311152</v>
      </c>
      <c r="BJ26">
        <f t="shared" si="33"/>
        <v>0</v>
      </c>
      <c r="BK26">
        <f t="shared" si="3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22886-B770-E040-B8BE-9892346BE117}">
  <dimension ref="A2:BL34"/>
  <sheetViews>
    <sheetView workbookViewId="0">
      <selection activeCell="A3" sqref="A3"/>
    </sheetView>
  </sheetViews>
  <sheetFormatPr baseColWidth="10" defaultRowHeight="16" x14ac:dyDescent="0.2"/>
  <sheetData>
    <row r="2" spans="1:64" x14ac:dyDescent="0.2">
      <c r="A2" s="1" t="s">
        <v>210</v>
      </c>
      <c r="B2" s="1"/>
      <c r="C2" s="1"/>
      <c r="D2" s="1"/>
      <c r="E2" s="1"/>
      <c r="F2" s="1"/>
      <c r="G2" s="1"/>
      <c r="H2" s="1"/>
    </row>
    <row r="3" spans="1:64" x14ac:dyDescent="0.2">
      <c r="A3" s="1"/>
      <c r="B3" s="1"/>
      <c r="C3" s="1"/>
      <c r="D3" s="1"/>
      <c r="E3" s="1"/>
      <c r="F3" s="1"/>
      <c r="G3" s="1"/>
      <c r="H3" s="1"/>
    </row>
    <row r="4" spans="1:64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192</v>
      </c>
      <c r="I4" s="1" t="s">
        <v>192</v>
      </c>
      <c r="J4" s="1" t="s">
        <v>192</v>
      </c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 t="s">
        <v>1</v>
      </c>
      <c r="T4" s="1" t="s">
        <v>191</v>
      </c>
      <c r="U4" s="1" t="s">
        <v>191</v>
      </c>
      <c r="V4" s="1" t="s">
        <v>191</v>
      </c>
      <c r="W4" s="1" t="s">
        <v>191</v>
      </c>
      <c r="X4" s="1" t="s">
        <v>191</v>
      </c>
      <c r="Y4" s="1" t="s">
        <v>191</v>
      </c>
      <c r="Z4" s="1" t="s">
        <v>191</v>
      </c>
      <c r="AA4" s="1" t="s">
        <v>191</v>
      </c>
      <c r="AB4" s="1" t="s">
        <v>191</v>
      </c>
      <c r="AC4" s="1" t="s">
        <v>191</v>
      </c>
      <c r="AD4" s="1" t="s">
        <v>191</v>
      </c>
      <c r="AE4" s="1" t="s">
        <v>191</v>
      </c>
      <c r="AF4" s="1" t="s">
        <v>191</v>
      </c>
      <c r="AG4" s="1" t="s">
        <v>192</v>
      </c>
      <c r="AH4" s="1" t="s">
        <v>192</v>
      </c>
      <c r="AI4" s="1" t="s">
        <v>192</v>
      </c>
      <c r="AJ4" s="1" t="s">
        <v>192</v>
      </c>
      <c r="AK4" s="1" t="s">
        <v>192</v>
      </c>
      <c r="AL4" s="1" t="s">
        <v>192</v>
      </c>
      <c r="AM4" s="1" t="s">
        <v>192</v>
      </c>
      <c r="AN4" s="1" t="s">
        <v>192</v>
      </c>
      <c r="AO4" s="1" t="s">
        <v>192</v>
      </c>
      <c r="AP4" s="1" t="s">
        <v>192</v>
      </c>
      <c r="AQ4" s="1" t="s">
        <v>192</v>
      </c>
      <c r="AR4" s="1" t="s">
        <v>192</v>
      </c>
      <c r="AS4" s="1" t="s">
        <v>191</v>
      </c>
      <c r="AT4" s="1" t="s">
        <v>191</v>
      </c>
      <c r="AU4" s="1" t="s">
        <v>191</v>
      </c>
      <c r="AV4" s="1" t="s">
        <v>191</v>
      </c>
      <c r="AW4" s="1" t="s">
        <v>191</v>
      </c>
      <c r="AX4" s="1" t="s">
        <v>191</v>
      </c>
      <c r="AY4" s="1" t="s">
        <v>191</v>
      </c>
      <c r="AZ4" s="1" t="s">
        <v>191</v>
      </c>
      <c r="BA4" s="1" t="s">
        <v>191</v>
      </c>
      <c r="BB4" s="1" t="s">
        <v>191</v>
      </c>
      <c r="BC4" s="1" t="s">
        <v>192</v>
      </c>
      <c r="BD4" s="12" t="s">
        <v>191</v>
      </c>
      <c r="BE4" s="12" t="s">
        <v>191</v>
      </c>
      <c r="BF4" s="12" t="s">
        <v>191</v>
      </c>
      <c r="BG4" s="12" t="s">
        <v>191</v>
      </c>
      <c r="BH4" s="12" t="s">
        <v>191</v>
      </c>
      <c r="BI4" s="12" t="s">
        <v>191</v>
      </c>
      <c r="BJ4" s="12" t="s">
        <v>191</v>
      </c>
      <c r="BK4" s="12" t="s">
        <v>191</v>
      </c>
      <c r="BL4" s="12" t="s">
        <v>191</v>
      </c>
    </row>
    <row r="5" spans="1:64" x14ac:dyDescent="0.2">
      <c r="A5" s="1"/>
      <c r="B5" s="1"/>
      <c r="C5" s="1"/>
      <c r="D5" s="1"/>
      <c r="E5" s="1"/>
      <c r="F5" s="1"/>
      <c r="G5" s="1"/>
      <c r="H5" s="1"/>
    </row>
    <row r="6" spans="1:64" x14ac:dyDescent="0.2">
      <c r="A6" s="1"/>
      <c r="B6" s="1"/>
      <c r="C6" s="1"/>
      <c r="D6" s="1"/>
      <c r="E6" s="1"/>
      <c r="F6" s="1"/>
      <c r="G6" s="1"/>
      <c r="H6" s="1"/>
      <c r="U6" t="s">
        <v>203</v>
      </c>
      <c r="Z6" t="s">
        <v>204</v>
      </c>
    </row>
    <row r="7" spans="1:64" x14ac:dyDescent="0.2">
      <c r="A7" s="1"/>
      <c r="B7" s="1"/>
      <c r="C7" s="1"/>
      <c r="D7" s="1"/>
      <c r="E7" s="1"/>
      <c r="F7" s="1"/>
      <c r="G7" s="1"/>
      <c r="H7" s="1"/>
      <c r="T7" t="s">
        <v>202</v>
      </c>
      <c r="AA7" t="s">
        <v>205</v>
      </c>
    </row>
    <row r="8" spans="1:64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116</v>
      </c>
      <c r="J8" s="1" t="s">
        <v>117</v>
      </c>
      <c r="K8" s="1" t="s">
        <v>206</v>
      </c>
      <c r="Q8" t="s">
        <v>36</v>
      </c>
      <c r="R8" t="s">
        <v>37</v>
      </c>
      <c r="T8" t="s">
        <v>196</v>
      </c>
      <c r="U8" t="s">
        <v>199</v>
      </c>
      <c r="AA8" t="s">
        <v>200</v>
      </c>
      <c r="AS8" t="s">
        <v>201</v>
      </c>
      <c r="AY8" t="s">
        <v>197</v>
      </c>
      <c r="AZ8" t="s">
        <v>198</v>
      </c>
    </row>
    <row r="9" spans="1:64" x14ac:dyDescent="0.2">
      <c r="A9" s="1"/>
      <c r="B9" s="1"/>
      <c r="C9" s="1"/>
      <c r="D9" s="1"/>
      <c r="E9" s="1"/>
      <c r="F9" s="1"/>
      <c r="G9" s="1"/>
      <c r="H9" s="1"/>
      <c r="K9" t="s">
        <v>29</v>
      </c>
      <c r="L9" t="s">
        <v>31</v>
      </c>
      <c r="M9" t="s">
        <v>32</v>
      </c>
      <c r="N9" t="s">
        <v>33</v>
      </c>
      <c r="O9" t="s">
        <v>34</v>
      </c>
      <c r="P9" t="s">
        <v>30</v>
      </c>
      <c r="U9" t="s">
        <v>29</v>
      </c>
      <c r="V9" t="s">
        <v>31</v>
      </c>
      <c r="W9" t="s">
        <v>32</v>
      </c>
      <c r="X9" t="s">
        <v>33</v>
      </c>
      <c r="Y9" t="s">
        <v>34</v>
      </c>
      <c r="Z9" t="s">
        <v>30</v>
      </c>
      <c r="AA9" t="s">
        <v>29</v>
      </c>
      <c r="AB9" t="s">
        <v>31</v>
      </c>
      <c r="AC9" t="s">
        <v>32</v>
      </c>
      <c r="AD9" t="s">
        <v>33</v>
      </c>
      <c r="AE9" t="s">
        <v>34</v>
      </c>
      <c r="AF9" t="s">
        <v>30</v>
      </c>
      <c r="AG9" t="s">
        <v>29</v>
      </c>
      <c r="AH9" t="s">
        <v>31</v>
      </c>
      <c r="AI9" t="s">
        <v>32</v>
      </c>
      <c r="AJ9" t="s">
        <v>33</v>
      </c>
      <c r="AK9" t="s">
        <v>34</v>
      </c>
      <c r="AL9" t="s">
        <v>30</v>
      </c>
      <c r="AM9" t="s">
        <v>29</v>
      </c>
      <c r="AN9" t="s">
        <v>31</v>
      </c>
      <c r="AO9" t="s">
        <v>32</v>
      </c>
      <c r="AP9" t="s">
        <v>33</v>
      </c>
      <c r="AQ9" t="s">
        <v>34</v>
      </c>
      <c r="AR9" t="s">
        <v>30</v>
      </c>
      <c r="AS9" t="s">
        <v>29</v>
      </c>
      <c r="AT9" t="s">
        <v>31</v>
      </c>
      <c r="AU9" t="s">
        <v>32</v>
      </c>
      <c r="AV9" t="s">
        <v>33</v>
      </c>
      <c r="AW9" t="s">
        <v>34</v>
      </c>
      <c r="AX9" t="s">
        <v>30</v>
      </c>
      <c r="BD9" t="s">
        <v>182</v>
      </c>
      <c r="BJ9" t="s">
        <v>181</v>
      </c>
    </row>
    <row r="10" spans="1:64" s="2" customFormat="1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17</v>
      </c>
      <c r="M10" s="3" t="s">
        <v>20</v>
      </c>
      <c r="N10" s="3" t="s">
        <v>21</v>
      </c>
      <c r="O10" s="3" t="s">
        <v>22</v>
      </c>
      <c r="P10" s="3" t="s">
        <v>19</v>
      </c>
      <c r="Q10" s="3" t="s">
        <v>35</v>
      </c>
      <c r="R10" s="3" t="s">
        <v>23</v>
      </c>
      <c r="S10" s="3" t="s">
        <v>24</v>
      </c>
      <c r="T10" s="3" t="s">
        <v>115</v>
      </c>
      <c r="U10" s="3" t="s">
        <v>120</v>
      </c>
      <c r="V10" s="3" t="s">
        <v>121</v>
      </c>
      <c r="W10" s="19" t="s">
        <v>122</v>
      </c>
      <c r="X10" s="19" t="s">
        <v>123</v>
      </c>
      <c r="Y10" s="19" t="s">
        <v>124</v>
      </c>
      <c r="Z10" s="19" t="s">
        <v>125</v>
      </c>
      <c r="AA10" s="19" t="s">
        <v>145</v>
      </c>
      <c r="AB10" s="19" t="s">
        <v>146</v>
      </c>
      <c r="AC10" s="19" t="s">
        <v>147</v>
      </c>
      <c r="AD10" s="19" t="s">
        <v>148</v>
      </c>
      <c r="AE10" s="19" t="s">
        <v>149</v>
      </c>
      <c r="AF10" s="19" t="s">
        <v>150</v>
      </c>
      <c r="AG10" s="19" t="s">
        <v>126</v>
      </c>
      <c r="AH10" s="19" t="s">
        <v>128</v>
      </c>
      <c r="AI10" s="19" t="s">
        <v>129</v>
      </c>
      <c r="AJ10" s="19" t="s">
        <v>130</v>
      </c>
      <c r="AK10" s="19" t="s">
        <v>131</v>
      </c>
      <c r="AL10" s="19" t="s">
        <v>127</v>
      </c>
      <c r="AM10" s="19" t="s">
        <v>132</v>
      </c>
      <c r="AN10" s="19" t="s">
        <v>133</v>
      </c>
      <c r="AO10" s="19" t="s">
        <v>135</v>
      </c>
      <c r="AP10" s="19" t="s">
        <v>136</v>
      </c>
      <c r="AQ10" s="19" t="s">
        <v>137</v>
      </c>
      <c r="AR10" s="19" t="s">
        <v>134</v>
      </c>
      <c r="AS10" s="19" t="s">
        <v>139</v>
      </c>
      <c r="AT10" s="19" t="s">
        <v>140</v>
      </c>
      <c r="AU10" s="19" t="s">
        <v>141</v>
      </c>
      <c r="AV10" s="19" t="s">
        <v>143</v>
      </c>
      <c r="AW10" s="19" t="s">
        <v>144</v>
      </c>
      <c r="AX10" s="19" t="s">
        <v>142</v>
      </c>
      <c r="AY10" s="20" t="s">
        <v>138</v>
      </c>
      <c r="AZ10" s="19" t="s">
        <v>151</v>
      </c>
      <c r="BA10" s="19" t="s">
        <v>152</v>
      </c>
      <c r="BB10" s="19" t="s">
        <v>186</v>
      </c>
      <c r="BC10" s="19" t="s">
        <v>71</v>
      </c>
      <c r="BD10" s="20" t="s">
        <v>159</v>
      </c>
      <c r="BE10" s="20" t="s">
        <v>158</v>
      </c>
      <c r="BF10" s="20" t="s">
        <v>157</v>
      </c>
      <c r="BG10" s="20" t="s">
        <v>156</v>
      </c>
      <c r="BH10" s="20" t="s">
        <v>155</v>
      </c>
      <c r="BI10" s="21" t="s">
        <v>153</v>
      </c>
      <c r="BJ10" s="21" t="s">
        <v>154</v>
      </c>
      <c r="BK10" s="21" t="s">
        <v>153</v>
      </c>
      <c r="BL10" s="21" t="s">
        <v>160</v>
      </c>
    </row>
    <row r="11" spans="1:64" x14ac:dyDescent="0.2">
      <c r="A11" t="str">
        <f>'Input Scenarios'!A38</f>
        <v>NSW</v>
      </c>
      <c r="B11" t="str">
        <f>'Input Scenarios'!B38</f>
        <v>10 or below</v>
      </c>
      <c r="C11" t="str">
        <f>'Input Scenarios'!C38</f>
        <v>Irrigated crop</v>
      </c>
      <c r="D11" t="b">
        <f>'Input Scenarios'!D38</f>
        <v>1</v>
      </c>
      <c r="E11" t="str">
        <f>'Input Scenarios'!E38</f>
        <v>boars</v>
      </c>
      <c r="F11">
        <f>'Input Scenarios'!F38</f>
        <v>111</v>
      </c>
      <c r="G11">
        <f>'Input Scenarios'!G38</f>
        <v>105</v>
      </c>
      <c r="H11">
        <f>IF('Input Scenarios'!H38&lt;&gt;"", 'Input Scenarios'!H38, _xlfn.XLOOKUP($E11,Constants!$A$3:$A$6, Constants!B$3:B$6))</f>
        <v>2.62</v>
      </c>
      <c r="I11">
        <f>IF('Input Scenarios'!I38&lt;&gt;"", 'Input Scenarios'!I38, _xlfn.XLOOKUP($E11,Constants!$A$3:$A$6, Constants!C$3:C$6))</f>
        <v>0.37</v>
      </c>
      <c r="J11">
        <f>IF('Input Scenarios'!J38&lt;&gt;"", 'Input Scenarios'!J38, _xlfn.XLOOKUP($E11,Constants!$A$3:$A$6, Constants!D$3:D$6))</f>
        <v>0.04</v>
      </c>
      <c r="K11">
        <f>'Input Scenarios'!K38</f>
        <v>1</v>
      </c>
      <c r="L11">
        <f>'Input Scenarios'!L38</f>
        <v>0</v>
      </c>
      <c r="M11">
        <f>'Input Scenarios'!M38</f>
        <v>0</v>
      </c>
      <c r="N11">
        <f>'Input Scenarios'!N38</f>
        <v>0</v>
      </c>
      <c r="O11">
        <f>'Input Scenarios'!O38</f>
        <v>0</v>
      </c>
      <c r="P11">
        <f>'Input Scenarios'!P38</f>
        <v>0</v>
      </c>
      <c r="Q11" t="b">
        <f>'Input Scenarios'!Q38</f>
        <v>1</v>
      </c>
      <c r="R11">
        <f>IF('Input Scenarios'!$R38&lt;&gt;"", 'Input Scenarios'!$R38, IF($Q11, Constants!$B$19, 0))</f>
        <v>0.3</v>
      </c>
      <c r="S11">
        <f>IF('Input Scenarios'!$R38&lt;&gt;"", 'Input Scenarios'!$R38, IF($Q11, Constants!$B$20, 0))</f>
        <v>0.3</v>
      </c>
      <c r="T11">
        <f>F11*G11*J11</f>
        <v>466.2</v>
      </c>
      <c r="U11">
        <f>K11*(1-$S11)</f>
        <v>0.7</v>
      </c>
      <c r="V11">
        <f>L11</f>
        <v>0</v>
      </c>
      <c r="W11">
        <f t="shared" ref="W11:Y26" si="0">M11*(1-$S11)</f>
        <v>0</v>
      </c>
      <c r="X11">
        <f>N11</f>
        <v>0</v>
      </c>
      <c r="Y11">
        <f t="shared" si="0"/>
        <v>0</v>
      </c>
      <c r="Z11">
        <f>P11+(SUM(K11, M11, O11)*S11)</f>
        <v>0.3</v>
      </c>
      <c r="AA11">
        <f>$T11*U11</f>
        <v>326.33999999999997</v>
      </c>
      <c r="AB11">
        <f t="shared" ref="AB11:AF26" si="1">$T11*V11</f>
        <v>0</v>
      </c>
      <c r="AC11">
        <f t="shared" si="1"/>
        <v>0</v>
      </c>
      <c r="AD11">
        <f t="shared" si="1"/>
        <v>0</v>
      </c>
      <c r="AE11">
        <f t="shared" si="1"/>
        <v>0</v>
      </c>
      <c r="AF11">
        <f t="shared" si="1"/>
        <v>139.85999999999999</v>
      </c>
      <c r="AG11" s="9">
        <f>Constants!$C$10</f>
        <v>0.55000000000000004</v>
      </c>
      <c r="AH11" s="9">
        <f>Constants!$C$12</f>
        <v>0.3</v>
      </c>
      <c r="AI11" s="9">
        <f>Constants!$C$13</f>
        <v>0</v>
      </c>
      <c r="AJ11" s="9">
        <f>Constants!$C$14</f>
        <v>0.125</v>
      </c>
      <c r="AK11" s="9">
        <f>Constants!$C$15</f>
        <v>0.25</v>
      </c>
      <c r="AL11" s="9">
        <f>Constants!$C$11</f>
        <v>0.2</v>
      </c>
      <c r="AM11" s="9">
        <f>Constants!$D$10</f>
        <v>0</v>
      </c>
      <c r="AN11" s="9">
        <f>Constants!$D$12</f>
        <v>0.02</v>
      </c>
      <c r="AO11" s="9">
        <f>Constants!$D$13</f>
        <v>0</v>
      </c>
      <c r="AP11" s="9">
        <f>Constants!$D$14</f>
        <v>0.01</v>
      </c>
      <c r="AQ11" s="9">
        <f>Constants!$D$15</f>
        <v>2E-3</v>
      </c>
      <c r="AR11" s="9">
        <f>Constants!$D$11</f>
        <v>5.0000000000000001E-3</v>
      </c>
      <c r="AS11">
        <f>AA11*(1-AG11-AM11)</f>
        <v>146.85299999999998</v>
      </c>
      <c r="AT11">
        <f t="shared" ref="AT11:AX26" si="2">AB11*(1-AH11-AN11)</f>
        <v>0</v>
      </c>
      <c r="AU11">
        <f t="shared" si="2"/>
        <v>0</v>
      </c>
      <c r="AV11">
        <f>AD11*(1-AJ11-AP11)</f>
        <v>0</v>
      </c>
      <c r="AW11">
        <f t="shared" si="2"/>
        <v>0</v>
      </c>
      <c r="AX11">
        <f t="shared" si="2"/>
        <v>111.1887</v>
      </c>
      <c r="AY11">
        <f>SUM(AS11:AX11)</f>
        <v>258.04169999999999</v>
      </c>
      <c r="AZ11">
        <f>AU11</f>
        <v>0</v>
      </c>
      <c r="BA11">
        <f>AV11</f>
        <v>0</v>
      </c>
      <c r="BB11">
        <f>SUM(AS11:AT11,AW11:AX11)</f>
        <v>258.04169999999999</v>
      </c>
      <c r="BC11">
        <f>Constants!$B$23</f>
        <v>1.5714285714285714</v>
      </c>
      <c r="BD11">
        <f t="shared" ref="BD11:BI26" si="3">(AA11*AM11*$BC11)</f>
        <v>0</v>
      </c>
      <c r="BE11">
        <f t="shared" si="3"/>
        <v>0</v>
      </c>
      <c r="BF11">
        <f t="shared" si="3"/>
        <v>0</v>
      </c>
      <c r="BG11">
        <f t="shared" si="3"/>
        <v>0</v>
      </c>
      <c r="BH11">
        <f t="shared" si="3"/>
        <v>0</v>
      </c>
      <c r="BI11">
        <f t="shared" si="3"/>
        <v>1.0988999999999998</v>
      </c>
      <c r="BJ11">
        <f>(AZ11*AM11*$BC11)</f>
        <v>0</v>
      </c>
      <c r="BK11">
        <f>(BA11*AR11*$BC11)</f>
        <v>0</v>
      </c>
      <c r="BL11">
        <f>SUM(BD11:BK14)/1000</f>
        <v>3.2000665714285718E-2</v>
      </c>
    </row>
    <row r="12" spans="1:64" x14ac:dyDescent="0.2">
      <c r="A12" t="str">
        <f>'Input Scenarios'!A39</f>
        <v>NSW</v>
      </c>
      <c r="B12" t="str">
        <f>'Input Scenarios'!B39</f>
        <v>10 or below</v>
      </c>
      <c r="C12" t="str">
        <f>'Input Scenarios'!C39</f>
        <v>Irrigated crop</v>
      </c>
      <c r="D12" t="b">
        <f>'Input Scenarios'!D39</f>
        <v>1</v>
      </c>
      <c r="E12" t="str">
        <f>'Input Scenarios'!E39</f>
        <v>sows</v>
      </c>
      <c r="F12">
        <f>'Input Scenarios'!F39</f>
        <v>222</v>
      </c>
      <c r="G12">
        <f>'Input Scenarios'!G39</f>
        <v>103</v>
      </c>
      <c r="H12">
        <f>IF('Input Scenarios'!H39&lt;&gt;"", 'Input Scenarios'!H39, _xlfn.XLOOKUP($E12,Constants!$A$3:$A$6, Constants!B$3:B$6))</f>
        <v>2.2999999999999998</v>
      </c>
      <c r="I12">
        <f>IF('Input Scenarios'!I39&lt;&gt;"", 'Input Scenarios'!I39, _xlfn.XLOOKUP($E12,Constants!$A$3:$A$6, Constants!C$3:C$6))</f>
        <v>0.37</v>
      </c>
      <c r="J12">
        <f>IF('Input Scenarios'!J39&lt;&gt;"", 'Input Scenarios'!J39, _xlfn.XLOOKUP($E12,Constants!$A$3:$A$6, Constants!D$3:D$6))</f>
        <v>0.04</v>
      </c>
      <c r="K12">
        <f>'Input Scenarios'!K39</f>
        <v>1</v>
      </c>
      <c r="L12">
        <f>'Input Scenarios'!L39</f>
        <v>0</v>
      </c>
      <c r="M12">
        <f>'Input Scenarios'!M39</f>
        <v>0</v>
      </c>
      <c r="N12">
        <f>'Input Scenarios'!N39</f>
        <v>0</v>
      </c>
      <c r="O12">
        <f>'Input Scenarios'!O39</f>
        <v>0</v>
      </c>
      <c r="P12">
        <f>'Input Scenarios'!P39</f>
        <v>0</v>
      </c>
      <c r="Q12" t="b">
        <f>'Input Scenarios'!Q39</f>
        <v>1</v>
      </c>
      <c r="R12">
        <f>IF('Input Scenarios'!$R39&lt;&gt;"", 'Input Scenarios'!$R39, IF($Q12, Constants!$B$19, 0))</f>
        <v>0.3</v>
      </c>
      <c r="S12">
        <f>IF('Input Scenarios'!$R39&lt;&gt;"", 'Input Scenarios'!$R39, IF($Q12, Constants!$B$20, 0))</f>
        <v>0.3</v>
      </c>
      <c r="T12">
        <f t="shared" ref="T12:T30" si="4">F12*G12*J12</f>
        <v>914.64</v>
      </c>
      <c r="U12">
        <f t="shared" ref="U12:U30" si="5">K12*(1-$S12)</f>
        <v>0.7</v>
      </c>
      <c r="V12">
        <f t="shared" ref="V12:V30" si="6">L12</f>
        <v>0</v>
      </c>
      <c r="W12">
        <f t="shared" ref="W12:W30" si="7">M12*(1-$S12)</f>
        <v>0</v>
      </c>
      <c r="X12">
        <f t="shared" ref="X12:X30" si="8">N12</f>
        <v>0</v>
      </c>
      <c r="Y12">
        <f t="shared" ref="Y12:Y30" si="9">O12*(1-$S12)</f>
        <v>0</v>
      </c>
      <c r="Z12">
        <f t="shared" ref="Z12:Z30" si="10">P12+(SUM(K12, M12, O12)*S12)</f>
        <v>0.3</v>
      </c>
      <c r="AA12">
        <f t="shared" ref="AA12:AA30" si="11">$T12*U12</f>
        <v>640.24799999999993</v>
      </c>
      <c r="AB12">
        <f t="shared" ref="AB12:AB30" si="12">$T12*V12</f>
        <v>0</v>
      </c>
      <c r="AC12">
        <f t="shared" ref="AC12:AC30" si="13">$T12*W12</f>
        <v>0</v>
      </c>
      <c r="AD12">
        <f t="shared" ref="AD12:AD30" si="14">$T12*X12</f>
        <v>0</v>
      </c>
      <c r="AE12">
        <f t="shared" ref="AE12:AE30" si="15">$T12*Y12</f>
        <v>0</v>
      </c>
      <c r="AF12">
        <f t="shared" ref="AF12:AF30" si="16">$T12*Z12</f>
        <v>274.392</v>
      </c>
      <c r="AG12" s="9">
        <f>Constants!$C$10</f>
        <v>0.55000000000000004</v>
      </c>
      <c r="AH12" s="9">
        <f>Constants!$C$12</f>
        <v>0.3</v>
      </c>
      <c r="AI12" s="9">
        <f>Constants!$C$13</f>
        <v>0</v>
      </c>
      <c r="AJ12" s="9">
        <f>Constants!$C$14</f>
        <v>0.125</v>
      </c>
      <c r="AK12" s="9">
        <f>Constants!$C$15</f>
        <v>0.25</v>
      </c>
      <c r="AL12" s="9">
        <f>Constants!$C$11</f>
        <v>0.2</v>
      </c>
      <c r="AM12" s="9">
        <f>Constants!$D$10</f>
        <v>0</v>
      </c>
      <c r="AN12" s="9">
        <f>Constants!$D$12</f>
        <v>0.02</v>
      </c>
      <c r="AO12" s="9">
        <f>Constants!$D$13</f>
        <v>0</v>
      </c>
      <c r="AP12" s="9">
        <f>Constants!$D$14</f>
        <v>0.01</v>
      </c>
      <c r="AQ12" s="9">
        <f>Constants!$D$15</f>
        <v>2E-3</v>
      </c>
      <c r="AR12" s="9">
        <f>Constants!$D$11</f>
        <v>5.0000000000000001E-3</v>
      </c>
      <c r="AS12">
        <f t="shared" ref="AS12:AS30" si="17">AA12*(1-AG12-AM12)</f>
        <v>288.11159999999995</v>
      </c>
      <c r="AT12">
        <f t="shared" ref="AT12:AT30" si="18">AB12*(1-AH12-AN12)</f>
        <v>0</v>
      </c>
      <c r="AU12">
        <f t="shared" ref="AU12:AU30" si="19">AC12*(1-AI12-AO12)</f>
        <v>0</v>
      </c>
      <c r="AV12">
        <f t="shared" ref="AV12:AV30" si="20">AD12*(1-AJ12-AP12)</f>
        <v>0</v>
      </c>
      <c r="AW12">
        <f t="shared" ref="AW12:AW30" si="21">AE12*(1-AK12-AQ12)</f>
        <v>0</v>
      </c>
      <c r="AX12">
        <f t="shared" ref="AX12:AX30" si="22">AF12*(1-AL12-AR12)</f>
        <v>218.14164</v>
      </c>
      <c r="AY12">
        <f t="shared" ref="AY12:AY30" si="23">SUM(AS12:AX12)</f>
        <v>506.25323999999995</v>
      </c>
      <c r="AZ12">
        <f t="shared" ref="AZ12:AZ30" si="24">AU12</f>
        <v>0</v>
      </c>
      <c r="BA12">
        <f t="shared" ref="BA12:BA30" si="25">AV12</f>
        <v>0</v>
      </c>
      <c r="BB12">
        <f t="shared" ref="BB12:BB30" si="26">SUM(AS12:AT12,AW12:AX12)</f>
        <v>506.25323999999995</v>
      </c>
      <c r="BC12">
        <f>Constants!$B$23</f>
        <v>1.5714285714285714</v>
      </c>
      <c r="BD12">
        <f t="shared" ref="BD12:BD30" si="27">(AA12*AM12*$BC12)</f>
        <v>0</v>
      </c>
      <c r="BE12">
        <f t="shared" ref="BE12:BE30" si="28">(AB12*AN12*$BC12)</f>
        <v>0</v>
      </c>
      <c r="BF12">
        <f t="shared" ref="BF12:BF30" si="29">(AC12*AO12*$BC12)</f>
        <v>0</v>
      </c>
      <c r="BG12">
        <f t="shared" ref="BG12:BG30" si="30">(AD12*AP12*$BC12)</f>
        <v>0</v>
      </c>
      <c r="BH12">
        <f t="shared" ref="BH12:BH30" si="31">(AE12*AQ12*$BC12)</f>
        <v>0</v>
      </c>
      <c r="BI12">
        <f t="shared" ref="BI12:BI30" si="32">(AF12*AR12*$BC12)</f>
        <v>2.1559371428571428</v>
      </c>
      <c r="BJ12">
        <f t="shared" ref="BJ12:BJ30" si="33">(AZ12*AM12*$BC12)</f>
        <v>0</v>
      </c>
      <c r="BK12">
        <f t="shared" ref="BK12:BK30" si="34">(BA12*AR12*$BC12)</f>
        <v>0</v>
      </c>
    </row>
    <row r="13" spans="1:64" x14ac:dyDescent="0.2">
      <c r="A13" t="str">
        <f>'Input Scenarios'!A40</f>
        <v>NSW</v>
      </c>
      <c r="B13" t="str">
        <f>'Input Scenarios'!B40</f>
        <v>10 or below</v>
      </c>
      <c r="C13" t="str">
        <f>'Input Scenarios'!C40</f>
        <v>Irrigated crop</v>
      </c>
      <c r="D13" t="b">
        <f>'Input Scenarios'!D40</f>
        <v>1</v>
      </c>
      <c r="E13" t="str">
        <f>'Input Scenarios'!E40</f>
        <v>gilts</v>
      </c>
      <c r="F13">
        <f>'Input Scenarios'!F40</f>
        <v>333</v>
      </c>
      <c r="G13">
        <f>'Input Scenarios'!G40</f>
        <v>200</v>
      </c>
      <c r="H13">
        <f>IF('Input Scenarios'!H40&lt;&gt;"", 'Input Scenarios'!H40, _xlfn.XLOOKUP($E13,Constants!$A$3:$A$6, Constants!B$3:B$6))</f>
        <v>2.5</v>
      </c>
      <c r="I13">
        <f>IF('Input Scenarios'!I40&lt;&gt;"", 'Input Scenarios'!I40, _xlfn.XLOOKUP($E13,Constants!$A$3:$A$6, Constants!C$3:C$6))</f>
        <v>0.37</v>
      </c>
      <c r="J13">
        <f>IF('Input Scenarios'!J40&lt;&gt;"", 'Input Scenarios'!J40, _xlfn.XLOOKUP($E13,Constants!$A$3:$A$6, Constants!D$3:D$6))</f>
        <v>0.04</v>
      </c>
      <c r="K13">
        <f>'Input Scenarios'!K40</f>
        <v>0</v>
      </c>
      <c r="L13">
        <f>'Input Scenarios'!L40</f>
        <v>0</v>
      </c>
      <c r="M13">
        <f>'Input Scenarios'!M40</f>
        <v>0</v>
      </c>
      <c r="N13">
        <f>'Input Scenarios'!N40</f>
        <v>0</v>
      </c>
      <c r="O13">
        <f>'Input Scenarios'!O40</f>
        <v>1</v>
      </c>
      <c r="P13">
        <f>'Input Scenarios'!P40</f>
        <v>0</v>
      </c>
      <c r="Q13" t="b">
        <f>'Input Scenarios'!Q40</f>
        <v>0</v>
      </c>
      <c r="R13">
        <f>IF('Input Scenarios'!$R40&lt;&gt;"", 'Input Scenarios'!$R40, IF($Q13, Constants!$B$19, 0))</f>
        <v>0</v>
      </c>
      <c r="S13">
        <f>IF('Input Scenarios'!$R40&lt;&gt;"", 'Input Scenarios'!$R40, IF($Q13, Constants!$B$20, 0))</f>
        <v>0</v>
      </c>
      <c r="T13">
        <f t="shared" si="4"/>
        <v>2664</v>
      </c>
      <c r="U13">
        <f t="shared" si="5"/>
        <v>0</v>
      </c>
      <c r="V13">
        <f t="shared" si="6"/>
        <v>0</v>
      </c>
      <c r="W13">
        <f t="shared" si="7"/>
        <v>0</v>
      </c>
      <c r="X13">
        <f t="shared" si="8"/>
        <v>0</v>
      </c>
      <c r="Y13">
        <f t="shared" si="9"/>
        <v>1</v>
      </c>
      <c r="Z13">
        <f t="shared" si="10"/>
        <v>0</v>
      </c>
      <c r="AA13">
        <f t="shared" si="11"/>
        <v>0</v>
      </c>
      <c r="AB13">
        <f t="shared" si="12"/>
        <v>0</v>
      </c>
      <c r="AC13">
        <f t="shared" si="13"/>
        <v>0</v>
      </c>
      <c r="AD13">
        <f t="shared" si="14"/>
        <v>0</v>
      </c>
      <c r="AE13">
        <f t="shared" si="15"/>
        <v>2664</v>
      </c>
      <c r="AF13">
        <f t="shared" si="16"/>
        <v>0</v>
      </c>
      <c r="AG13" s="9">
        <f>Constants!$C$10</f>
        <v>0.55000000000000004</v>
      </c>
      <c r="AH13" s="9">
        <f>Constants!$C$12</f>
        <v>0.3</v>
      </c>
      <c r="AI13" s="9">
        <f>Constants!$C$13</f>
        <v>0</v>
      </c>
      <c r="AJ13" s="9">
        <f>Constants!$C$14</f>
        <v>0.125</v>
      </c>
      <c r="AK13" s="9">
        <f>Constants!$C$15</f>
        <v>0.25</v>
      </c>
      <c r="AL13" s="9">
        <f>Constants!$C$11</f>
        <v>0.2</v>
      </c>
      <c r="AM13" s="9">
        <f>Constants!$D$10</f>
        <v>0</v>
      </c>
      <c r="AN13" s="9">
        <f>Constants!$D$12</f>
        <v>0.02</v>
      </c>
      <c r="AO13" s="9">
        <f>Constants!$D$13</f>
        <v>0</v>
      </c>
      <c r="AP13" s="9">
        <f>Constants!$D$14</f>
        <v>0.01</v>
      </c>
      <c r="AQ13" s="9">
        <f>Constants!$D$15</f>
        <v>2E-3</v>
      </c>
      <c r="AR13" s="9">
        <f>Constants!$D$11</f>
        <v>5.0000000000000001E-3</v>
      </c>
      <c r="AS13">
        <f t="shared" si="17"/>
        <v>0</v>
      </c>
      <c r="AT13">
        <f t="shared" si="18"/>
        <v>0</v>
      </c>
      <c r="AU13">
        <f t="shared" si="19"/>
        <v>0</v>
      </c>
      <c r="AV13">
        <f t="shared" si="20"/>
        <v>0</v>
      </c>
      <c r="AW13">
        <f t="shared" si="21"/>
        <v>1992.672</v>
      </c>
      <c r="AX13">
        <f t="shared" si="22"/>
        <v>0</v>
      </c>
      <c r="AY13">
        <f t="shared" si="23"/>
        <v>1992.672</v>
      </c>
      <c r="AZ13">
        <f t="shared" si="24"/>
        <v>0</v>
      </c>
      <c r="BA13">
        <f t="shared" si="25"/>
        <v>0</v>
      </c>
      <c r="BB13">
        <f t="shared" si="26"/>
        <v>1992.672</v>
      </c>
      <c r="BC13">
        <f>Constants!$B$23</f>
        <v>1.5714285714285714</v>
      </c>
      <c r="BD13">
        <f t="shared" si="27"/>
        <v>0</v>
      </c>
      <c r="BE13">
        <f t="shared" si="28"/>
        <v>0</v>
      </c>
      <c r="BF13">
        <f t="shared" si="29"/>
        <v>0</v>
      </c>
      <c r="BG13">
        <f t="shared" si="30"/>
        <v>0</v>
      </c>
      <c r="BH13">
        <f t="shared" si="31"/>
        <v>8.3725714285714297</v>
      </c>
      <c r="BI13">
        <f t="shared" si="32"/>
        <v>0</v>
      </c>
      <c r="BJ13">
        <f t="shared" si="33"/>
        <v>0</v>
      </c>
      <c r="BK13">
        <f t="shared" si="34"/>
        <v>0</v>
      </c>
    </row>
    <row r="14" spans="1:64" s="2" customFormat="1" x14ac:dyDescent="0.2">
      <c r="A14" s="2" t="str">
        <f>'Input Scenarios'!A41</f>
        <v>NSW</v>
      </c>
      <c r="B14" s="2" t="str">
        <f>'Input Scenarios'!B41</f>
        <v>10 or below</v>
      </c>
      <c r="C14" s="2" t="str">
        <f>'Input Scenarios'!C41</f>
        <v>Irrigated crop</v>
      </c>
      <c r="D14" s="2" t="b">
        <f>'Input Scenarios'!D41</f>
        <v>1</v>
      </c>
      <c r="E14" s="2" t="str">
        <f>'Input Scenarios'!E41</f>
        <v>others</v>
      </c>
      <c r="F14" s="2">
        <f>'Input Scenarios'!F41</f>
        <v>444</v>
      </c>
      <c r="G14" s="2">
        <f>'Input Scenarios'!G41</f>
        <v>365</v>
      </c>
      <c r="H14" s="2">
        <f>IF('Input Scenarios'!H41&lt;&gt;"", 'Input Scenarios'!H41, _xlfn.XLOOKUP($E14,Constants!$A$3:$A$6, Constants!B$3:B$6))</f>
        <v>1.71</v>
      </c>
      <c r="I14" s="2">
        <f>IF('Input Scenarios'!I41&lt;&gt;"", 'Input Scenarios'!I41, _xlfn.XLOOKUP($E14,Constants!$A$3:$A$6, Constants!C$3:C$6))</f>
        <v>0.37</v>
      </c>
      <c r="J14" s="2">
        <f>IF('Input Scenarios'!J41&lt;&gt;"", 'Input Scenarios'!J41, _xlfn.XLOOKUP($E14,Constants!$A$3:$A$6, Constants!D$3:D$6))</f>
        <v>0.04</v>
      </c>
      <c r="K14" s="2">
        <f>'Input Scenarios'!K41</f>
        <v>0</v>
      </c>
      <c r="L14" s="2">
        <f>'Input Scenarios'!L41</f>
        <v>0</v>
      </c>
      <c r="M14" s="2">
        <f>'Input Scenarios'!M41</f>
        <v>0</v>
      </c>
      <c r="N14" s="2">
        <f>'Input Scenarios'!N41</f>
        <v>0</v>
      </c>
      <c r="O14" s="2">
        <f>'Input Scenarios'!O41</f>
        <v>1</v>
      </c>
      <c r="P14" s="2">
        <f>'Input Scenarios'!P41</f>
        <v>0</v>
      </c>
      <c r="Q14" s="2" t="b">
        <f>'Input Scenarios'!Q41</f>
        <v>0</v>
      </c>
      <c r="R14" s="2">
        <f>IF('Input Scenarios'!$R41&lt;&gt;"", 'Input Scenarios'!$R41, IF($Q14, Constants!$B$19, 0))</f>
        <v>0</v>
      </c>
      <c r="S14" s="2">
        <f>IF('Input Scenarios'!$R41&lt;&gt;"", 'Input Scenarios'!$R41, IF($Q14, Constants!$B$20, 0))</f>
        <v>0</v>
      </c>
      <c r="T14" s="2">
        <f t="shared" si="4"/>
        <v>6482.4000000000005</v>
      </c>
      <c r="U14" s="2">
        <f t="shared" si="5"/>
        <v>0</v>
      </c>
      <c r="V14" s="2">
        <f t="shared" si="6"/>
        <v>0</v>
      </c>
      <c r="W14" s="2">
        <f t="shared" si="7"/>
        <v>0</v>
      </c>
      <c r="X14" s="2">
        <f t="shared" si="8"/>
        <v>0</v>
      </c>
      <c r="Y14" s="2">
        <f t="shared" si="9"/>
        <v>1</v>
      </c>
      <c r="Z14" s="2">
        <f t="shared" si="10"/>
        <v>0</v>
      </c>
      <c r="AA14" s="2">
        <f t="shared" si="11"/>
        <v>0</v>
      </c>
      <c r="AB14" s="2">
        <f t="shared" si="12"/>
        <v>0</v>
      </c>
      <c r="AC14" s="2">
        <f t="shared" si="13"/>
        <v>0</v>
      </c>
      <c r="AD14" s="2">
        <f t="shared" si="14"/>
        <v>0</v>
      </c>
      <c r="AE14" s="2">
        <f t="shared" si="15"/>
        <v>6482.4000000000005</v>
      </c>
      <c r="AF14" s="2">
        <f t="shared" si="16"/>
        <v>0</v>
      </c>
      <c r="AG14" s="18">
        <f>Constants!$C$10</f>
        <v>0.55000000000000004</v>
      </c>
      <c r="AH14" s="18">
        <f>Constants!$C$12</f>
        <v>0.3</v>
      </c>
      <c r="AI14" s="18">
        <f>Constants!$C$13</f>
        <v>0</v>
      </c>
      <c r="AJ14" s="18">
        <f>Constants!$C$14</f>
        <v>0.125</v>
      </c>
      <c r="AK14" s="18">
        <f>Constants!$C$15</f>
        <v>0.25</v>
      </c>
      <c r="AL14" s="18">
        <f>Constants!$C$11</f>
        <v>0.2</v>
      </c>
      <c r="AM14" s="18">
        <f>Constants!$D$10</f>
        <v>0</v>
      </c>
      <c r="AN14" s="18">
        <f>Constants!$D$12</f>
        <v>0.02</v>
      </c>
      <c r="AO14" s="18">
        <f>Constants!$D$13</f>
        <v>0</v>
      </c>
      <c r="AP14" s="18">
        <f>Constants!$D$14</f>
        <v>0.01</v>
      </c>
      <c r="AQ14" s="18">
        <f>Constants!$D$15</f>
        <v>2E-3</v>
      </c>
      <c r="AR14" s="18">
        <f>Constants!$D$11</f>
        <v>5.0000000000000001E-3</v>
      </c>
      <c r="AS14" s="2">
        <f t="shared" si="17"/>
        <v>0</v>
      </c>
      <c r="AT14" s="2">
        <f t="shared" si="18"/>
        <v>0</v>
      </c>
      <c r="AU14" s="2">
        <f t="shared" si="19"/>
        <v>0</v>
      </c>
      <c r="AV14" s="2">
        <f t="shared" si="20"/>
        <v>0</v>
      </c>
      <c r="AW14" s="2">
        <f t="shared" si="21"/>
        <v>4848.8352000000004</v>
      </c>
      <c r="AX14" s="2">
        <f t="shared" si="22"/>
        <v>0</v>
      </c>
      <c r="AY14" s="2">
        <f t="shared" si="23"/>
        <v>4848.8352000000004</v>
      </c>
      <c r="AZ14" s="2">
        <f t="shared" si="24"/>
        <v>0</v>
      </c>
      <c r="BA14" s="2">
        <f t="shared" si="25"/>
        <v>0</v>
      </c>
      <c r="BB14" s="2">
        <f t="shared" si="26"/>
        <v>4848.8352000000004</v>
      </c>
      <c r="BC14" s="2">
        <f>Constants!$B$23</f>
        <v>1.5714285714285714</v>
      </c>
      <c r="BD14" s="2">
        <f t="shared" si="27"/>
        <v>0</v>
      </c>
      <c r="BE14" s="2">
        <f t="shared" si="28"/>
        <v>0</v>
      </c>
      <c r="BF14" s="2">
        <f t="shared" si="29"/>
        <v>0</v>
      </c>
      <c r="BG14" s="2">
        <f t="shared" si="30"/>
        <v>0</v>
      </c>
      <c r="BH14" s="2">
        <f t="shared" si="31"/>
        <v>20.373257142857145</v>
      </c>
      <c r="BI14" s="2">
        <f t="shared" si="32"/>
        <v>0</v>
      </c>
      <c r="BJ14" s="2">
        <f t="shared" si="33"/>
        <v>0</v>
      </c>
      <c r="BK14" s="2">
        <f t="shared" si="34"/>
        <v>0</v>
      </c>
    </row>
    <row r="15" spans="1:64" x14ac:dyDescent="0.2">
      <c r="A15" t="str">
        <f>'Input Scenarios'!A42</f>
        <v>NT</v>
      </c>
      <c r="B15">
        <f>'Input Scenarios'!B42</f>
        <v>14</v>
      </c>
      <c r="C15" t="str">
        <f>'Input Scenarios'!C42</f>
        <v>Irrigated pasture</v>
      </c>
      <c r="D15" t="b">
        <f>'Input Scenarios'!D42</f>
        <v>1</v>
      </c>
      <c r="E15" t="str">
        <f>'Input Scenarios'!E42</f>
        <v>boars</v>
      </c>
      <c r="F15">
        <f>'Input Scenarios'!F42</f>
        <v>105</v>
      </c>
      <c r="G15">
        <f>'Input Scenarios'!G42</f>
        <v>75</v>
      </c>
      <c r="H15">
        <f>IF('Input Scenarios'!H42&lt;&gt;"", 'Input Scenarios'!H42, _xlfn.XLOOKUP($E15,Constants!$A$3:$A$6, Constants!B$3:B$6))</f>
        <v>2.62</v>
      </c>
      <c r="I15">
        <f>IF('Input Scenarios'!I42&lt;&gt;"", 'Input Scenarios'!I42, _xlfn.XLOOKUP($E15,Constants!$A$3:$A$6, Constants!C$3:C$6))</f>
        <v>0.5</v>
      </c>
      <c r="J15">
        <f>IF('Input Scenarios'!J42&lt;&gt;"", 'Input Scenarios'!J42, _xlfn.XLOOKUP($E15,Constants!$A$3:$A$6, Constants!D$3:D$6))</f>
        <v>7.9000000000000001E-2</v>
      </c>
      <c r="K15">
        <f>'Input Scenarios'!K42</f>
        <v>0.2</v>
      </c>
      <c r="L15">
        <f>'Input Scenarios'!L42</f>
        <v>0.1</v>
      </c>
      <c r="M15">
        <f>'Input Scenarios'!M42</f>
        <v>0.2</v>
      </c>
      <c r="N15">
        <f>'Input Scenarios'!N42</f>
        <v>0.2</v>
      </c>
      <c r="O15">
        <f>'Input Scenarios'!O42</f>
        <v>0.2</v>
      </c>
      <c r="P15">
        <f>'Input Scenarios'!P42</f>
        <v>0.1</v>
      </c>
      <c r="Q15" t="b">
        <f>'Input Scenarios'!Q42</f>
        <v>1</v>
      </c>
      <c r="R15">
        <f>IF('Input Scenarios'!$R42&lt;&gt;"", 'Input Scenarios'!$R42, IF($Q15, Constants!$B$19, 0))</f>
        <v>0.45</v>
      </c>
      <c r="S15">
        <f>IF('Input Scenarios'!$R42&lt;&gt;"", 'Input Scenarios'!$R42, IF($Q15, Constants!$B$20, 0))</f>
        <v>0.45</v>
      </c>
      <c r="T15">
        <f t="shared" si="4"/>
        <v>622.125</v>
      </c>
      <c r="U15">
        <f t="shared" si="5"/>
        <v>0.11000000000000001</v>
      </c>
      <c r="V15">
        <f t="shared" si="6"/>
        <v>0.1</v>
      </c>
      <c r="W15">
        <f t="shared" si="7"/>
        <v>0.11000000000000001</v>
      </c>
      <c r="X15">
        <f t="shared" si="8"/>
        <v>0.2</v>
      </c>
      <c r="Y15">
        <f t="shared" si="9"/>
        <v>0.11000000000000001</v>
      </c>
      <c r="Z15">
        <f t="shared" si="10"/>
        <v>0.37000000000000011</v>
      </c>
      <c r="AA15">
        <f t="shared" si="11"/>
        <v>68.433750000000003</v>
      </c>
      <c r="AB15">
        <f t="shared" si="12"/>
        <v>62.212500000000006</v>
      </c>
      <c r="AC15">
        <f t="shared" si="13"/>
        <v>68.433750000000003</v>
      </c>
      <c r="AD15">
        <f t="shared" si="14"/>
        <v>124.42500000000001</v>
      </c>
      <c r="AE15">
        <f t="shared" si="15"/>
        <v>68.433750000000003</v>
      </c>
      <c r="AF15">
        <f t="shared" si="16"/>
        <v>230.18625000000006</v>
      </c>
      <c r="AG15" s="9">
        <f>Constants!$C$10</f>
        <v>0.55000000000000004</v>
      </c>
      <c r="AH15" s="9">
        <f>Constants!$C$12</f>
        <v>0.3</v>
      </c>
      <c r="AI15" s="9">
        <f>Constants!$C$13</f>
        <v>0</v>
      </c>
      <c r="AJ15" s="9">
        <f>Constants!$C$14</f>
        <v>0.125</v>
      </c>
      <c r="AK15" s="9">
        <f>Constants!$C$15</f>
        <v>0.25</v>
      </c>
      <c r="AL15" s="9">
        <f>Constants!$C$11</f>
        <v>0.2</v>
      </c>
      <c r="AM15" s="9">
        <f>Constants!$D$10</f>
        <v>0</v>
      </c>
      <c r="AN15" s="9">
        <f>Constants!$D$12</f>
        <v>0.02</v>
      </c>
      <c r="AO15" s="9">
        <f>Constants!$D$13</f>
        <v>0</v>
      </c>
      <c r="AP15" s="9">
        <f>Constants!$D$14</f>
        <v>0.01</v>
      </c>
      <c r="AQ15" s="9">
        <f>Constants!$D$15</f>
        <v>2E-3</v>
      </c>
      <c r="AR15" s="9">
        <f>Constants!$D$11</f>
        <v>5.0000000000000001E-3</v>
      </c>
      <c r="AS15">
        <f t="shared" si="17"/>
        <v>30.795187499999997</v>
      </c>
      <c r="AT15">
        <f t="shared" si="18"/>
        <v>42.304499999999997</v>
      </c>
      <c r="AU15">
        <f t="shared" si="19"/>
        <v>68.433750000000003</v>
      </c>
      <c r="AV15">
        <f t="shared" si="20"/>
        <v>107.62762500000001</v>
      </c>
      <c r="AW15">
        <f t="shared" si="21"/>
        <v>51.188445000000002</v>
      </c>
      <c r="AX15">
        <f t="shared" si="22"/>
        <v>182.99806875000004</v>
      </c>
      <c r="AY15">
        <f t="shared" si="23"/>
        <v>483.34757625000009</v>
      </c>
      <c r="AZ15">
        <f t="shared" si="24"/>
        <v>68.433750000000003</v>
      </c>
      <c r="BA15">
        <f t="shared" si="25"/>
        <v>107.62762500000001</v>
      </c>
      <c r="BB15">
        <f t="shared" si="26"/>
        <v>307.28620125000003</v>
      </c>
      <c r="BC15">
        <f>Constants!$B$23</f>
        <v>1.5714285714285714</v>
      </c>
      <c r="BD15">
        <f t="shared" si="27"/>
        <v>0</v>
      </c>
      <c r="BE15">
        <f t="shared" si="28"/>
        <v>1.9552500000000002</v>
      </c>
      <c r="BF15">
        <f t="shared" si="29"/>
        <v>0</v>
      </c>
      <c r="BG15">
        <f t="shared" si="30"/>
        <v>1.9552500000000002</v>
      </c>
      <c r="BH15">
        <f t="shared" si="31"/>
        <v>0.2150775</v>
      </c>
      <c r="BI15">
        <f t="shared" si="32"/>
        <v>1.8086062500000006</v>
      </c>
      <c r="BJ15">
        <f t="shared" si="33"/>
        <v>0</v>
      </c>
      <c r="BK15">
        <f t="shared" si="34"/>
        <v>0.84564562500000007</v>
      </c>
      <c r="BL15">
        <f>SUM(BD15:BK18)/1000</f>
        <v>0.13979046435357148</v>
      </c>
    </row>
    <row r="16" spans="1:64" x14ac:dyDescent="0.2">
      <c r="A16" t="str">
        <f>'Input Scenarios'!A43</f>
        <v>NT</v>
      </c>
      <c r="B16">
        <f>'Input Scenarios'!B43</f>
        <v>14</v>
      </c>
      <c r="C16" t="str">
        <f>'Input Scenarios'!C43</f>
        <v>Irrigated pasture</v>
      </c>
      <c r="D16" t="b">
        <f>'Input Scenarios'!D43</f>
        <v>1</v>
      </c>
      <c r="E16" t="str">
        <f>'Input Scenarios'!E43</f>
        <v>sows</v>
      </c>
      <c r="F16">
        <f>'Input Scenarios'!F43</f>
        <v>245</v>
      </c>
      <c r="G16">
        <f>'Input Scenarios'!G43</f>
        <v>290</v>
      </c>
      <c r="H16">
        <f>IF('Input Scenarios'!H43&lt;&gt;"", 'Input Scenarios'!H43, _xlfn.XLOOKUP($E16,Constants!$A$3:$A$6, Constants!B$3:B$6))</f>
        <v>2.2999999999999998</v>
      </c>
      <c r="I16">
        <f>IF('Input Scenarios'!I43&lt;&gt;"", 'Input Scenarios'!I43, _xlfn.XLOOKUP($E16,Constants!$A$3:$A$6, Constants!C$3:C$6))</f>
        <v>0.56000000000000005</v>
      </c>
      <c r="J16">
        <f>IF('Input Scenarios'!J43&lt;&gt;"", 'Input Scenarios'!J43, _xlfn.XLOOKUP($E16,Constants!$A$3:$A$6, Constants!D$3:D$6))</f>
        <v>6.9000000000000006E-2</v>
      </c>
      <c r="K16">
        <f>'Input Scenarios'!K43</f>
        <v>0.2</v>
      </c>
      <c r="L16">
        <f>'Input Scenarios'!L43</f>
        <v>0.1</v>
      </c>
      <c r="M16">
        <f>'Input Scenarios'!M43</f>
        <v>0.2</v>
      </c>
      <c r="N16">
        <f>'Input Scenarios'!N43</f>
        <v>0.2</v>
      </c>
      <c r="O16">
        <f>'Input Scenarios'!O43</f>
        <v>0.2</v>
      </c>
      <c r="P16">
        <f>'Input Scenarios'!P43</f>
        <v>0.1</v>
      </c>
      <c r="Q16" t="b">
        <f>'Input Scenarios'!Q43</f>
        <v>1</v>
      </c>
      <c r="R16">
        <f>IF('Input Scenarios'!$R43&lt;&gt;"", 'Input Scenarios'!$R43, IF($Q16, Constants!$B$19, 0))</f>
        <v>0.45</v>
      </c>
      <c r="S16">
        <f>IF('Input Scenarios'!$R43&lt;&gt;"", 'Input Scenarios'!$R43, IF($Q16, Constants!$B$20, 0))</f>
        <v>0.45</v>
      </c>
      <c r="T16">
        <f t="shared" si="4"/>
        <v>4902.4500000000007</v>
      </c>
      <c r="U16">
        <f t="shared" si="5"/>
        <v>0.11000000000000001</v>
      </c>
      <c r="V16">
        <f t="shared" si="6"/>
        <v>0.1</v>
      </c>
      <c r="W16">
        <f t="shared" si="7"/>
        <v>0.11000000000000001</v>
      </c>
      <c r="X16">
        <f t="shared" si="8"/>
        <v>0.2</v>
      </c>
      <c r="Y16">
        <f t="shared" si="9"/>
        <v>0.11000000000000001</v>
      </c>
      <c r="Z16">
        <f t="shared" si="10"/>
        <v>0.37000000000000011</v>
      </c>
      <c r="AA16">
        <f t="shared" si="11"/>
        <v>539.26950000000011</v>
      </c>
      <c r="AB16">
        <f t="shared" si="12"/>
        <v>490.24500000000012</v>
      </c>
      <c r="AC16">
        <f t="shared" si="13"/>
        <v>539.26950000000011</v>
      </c>
      <c r="AD16">
        <f t="shared" si="14"/>
        <v>980.49000000000024</v>
      </c>
      <c r="AE16">
        <f t="shared" si="15"/>
        <v>539.26950000000011</v>
      </c>
      <c r="AF16">
        <f t="shared" si="16"/>
        <v>1813.9065000000007</v>
      </c>
      <c r="AG16" s="9">
        <f>Constants!$C$10</f>
        <v>0.55000000000000004</v>
      </c>
      <c r="AH16" s="9">
        <f>Constants!$C$12</f>
        <v>0.3</v>
      </c>
      <c r="AI16" s="9">
        <f>Constants!$C$13</f>
        <v>0</v>
      </c>
      <c r="AJ16" s="9">
        <f>Constants!$C$14</f>
        <v>0.125</v>
      </c>
      <c r="AK16" s="9">
        <f>Constants!$C$15</f>
        <v>0.25</v>
      </c>
      <c r="AL16" s="9">
        <f>Constants!$C$11</f>
        <v>0.2</v>
      </c>
      <c r="AM16" s="9">
        <f>Constants!$D$10</f>
        <v>0</v>
      </c>
      <c r="AN16" s="9">
        <f>Constants!$D$12</f>
        <v>0.02</v>
      </c>
      <c r="AO16" s="9">
        <f>Constants!$D$13</f>
        <v>0</v>
      </c>
      <c r="AP16" s="9">
        <f>Constants!$D$14</f>
        <v>0.01</v>
      </c>
      <c r="AQ16" s="9">
        <f>Constants!$D$15</f>
        <v>2E-3</v>
      </c>
      <c r="AR16" s="9">
        <f>Constants!$D$11</f>
        <v>5.0000000000000001E-3</v>
      </c>
      <c r="AS16">
        <f t="shared" si="17"/>
        <v>242.67127500000004</v>
      </c>
      <c r="AT16">
        <f t="shared" si="18"/>
        <v>333.36660000000006</v>
      </c>
      <c r="AU16">
        <f t="shared" si="19"/>
        <v>539.26950000000011</v>
      </c>
      <c r="AV16">
        <f t="shared" si="20"/>
        <v>848.12385000000017</v>
      </c>
      <c r="AW16">
        <f t="shared" si="21"/>
        <v>403.3735860000001</v>
      </c>
      <c r="AX16">
        <f t="shared" si="22"/>
        <v>1442.0556675000007</v>
      </c>
      <c r="AY16">
        <f t="shared" si="23"/>
        <v>3808.8604785000011</v>
      </c>
      <c r="AZ16">
        <f t="shared" si="24"/>
        <v>539.26950000000011</v>
      </c>
      <c r="BA16">
        <f t="shared" si="25"/>
        <v>848.12385000000017</v>
      </c>
      <c r="BB16">
        <f t="shared" si="26"/>
        <v>2421.4671285000009</v>
      </c>
      <c r="BC16">
        <f>Constants!$B$23</f>
        <v>1.5714285714285714</v>
      </c>
      <c r="BD16">
        <f t="shared" si="27"/>
        <v>0</v>
      </c>
      <c r="BE16">
        <f t="shared" si="28"/>
        <v>15.407700000000002</v>
      </c>
      <c r="BF16">
        <f t="shared" si="29"/>
        <v>0</v>
      </c>
      <c r="BG16">
        <f t="shared" si="30"/>
        <v>15.407700000000002</v>
      </c>
      <c r="BH16">
        <f t="shared" si="31"/>
        <v>1.6948470000000002</v>
      </c>
      <c r="BI16">
        <f t="shared" si="32"/>
        <v>14.252122500000008</v>
      </c>
      <c r="BJ16">
        <f t="shared" si="33"/>
        <v>0</v>
      </c>
      <c r="BK16">
        <f t="shared" si="34"/>
        <v>6.6638302500000011</v>
      </c>
    </row>
    <row r="17" spans="1:64" x14ac:dyDescent="0.2">
      <c r="A17" t="str">
        <f>'Input Scenarios'!A44</f>
        <v>NT</v>
      </c>
      <c r="B17">
        <f>'Input Scenarios'!B44</f>
        <v>14</v>
      </c>
      <c r="C17" t="str">
        <f>'Input Scenarios'!C44</f>
        <v>Irrigated pasture</v>
      </c>
      <c r="D17" t="b">
        <f>'Input Scenarios'!D44</f>
        <v>1</v>
      </c>
      <c r="E17" t="str">
        <f>'Input Scenarios'!E44</f>
        <v>gilts</v>
      </c>
      <c r="F17">
        <f>'Input Scenarios'!F44</f>
        <v>434</v>
      </c>
      <c r="G17">
        <f>'Input Scenarios'!G44</f>
        <v>280</v>
      </c>
      <c r="H17">
        <f>IF('Input Scenarios'!H44&lt;&gt;"", 'Input Scenarios'!H44, _xlfn.XLOOKUP($E17,Constants!$A$3:$A$6, Constants!B$3:B$6))</f>
        <v>2.5</v>
      </c>
      <c r="I17">
        <f>IF('Input Scenarios'!I44&lt;&gt;"", 'Input Scenarios'!I44, _xlfn.XLOOKUP($E17,Constants!$A$3:$A$6, Constants!C$3:C$6))</f>
        <v>0.45</v>
      </c>
      <c r="J17">
        <f>IF('Input Scenarios'!J44&lt;&gt;"", 'Input Scenarios'!J44, _xlfn.XLOOKUP($E17,Constants!$A$3:$A$6, Constants!D$3:D$6))</f>
        <v>5.6000000000000001E-2</v>
      </c>
      <c r="K17">
        <f>'Input Scenarios'!K44</f>
        <v>0.2</v>
      </c>
      <c r="L17">
        <f>'Input Scenarios'!L44</f>
        <v>0.1</v>
      </c>
      <c r="M17">
        <f>'Input Scenarios'!M44</f>
        <v>0.2</v>
      </c>
      <c r="N17">
        <f>'Input Scenarios'!N44</f>
        <v>0.2</v>
      </c>
      <c r="O17">
        <f>'Input Scenarios'!O44</f>
        <v>0.2</v>
      </c>
      <c r="P17">
        <f>'Input Scenarios'!P44</f>
        <v>0.1</v>
      </c>
      <c r="Q17" t="b">
        <f>'Input Scenarios'!Q44</f>
        <v>1</v>
      </c>
      <c r="R17">
        <f>IF('Input Scenarios'!$R44&lt;&gt;"", 'Input Scenarios'!$R44, IF($Q17, Constants!$B$19, 0))</f>
        <v>0.45</v>
      </c>
      <c r="S17">
        <f>IF('Input Scenarios'!$R44&lt;&gt;"", 'Input Scenarios'!$R44, IF($Q17, Constants!$B$20, 0))</f>
        <v>0.45</v>
      </c>
      <c r="T17">
        <f t="shared" si="4"/>
        <v>6805.12</v>
      </c>
      <c r="U17">
        <f t="shared" si="5"/>
        <v>0.11000000000000001</v>
      </c>
      <c r="V17">
        <f t="shared" si="6"/>
        <v>0.1</v>
      </c>
      <c r="W17">
        <f t="shared" si="7"/>
        <v>0.11000000000000001</v>
      </c>
      <c r="X17">
        <f t="shared" si="8"/>
        <v>0.2</v>
      </c>
      <c r="Y17">
        <f t="shared" si="9"/>
        <v>0.11000000000000001</v>
      </c>
      <c r="Z17">
        <f t="shared" si="10"/>
        <v>0.37000000000000011</v>
      </c>
      <c r="AA17">
        <f t="shared" si="11"/>
        <v>748.56320000000005</v>
      </c>
      <c r="AB17">
        <f t="shared" si="12"/>
        <v>680.51200000000006</v>
      </c>
      <c r="AC17">
        <f t="shared" si="13"/>
        <v>748.56320000000005</v>
      </c>
      <c r="AD17">
        <f t="shared" si="14"/>
        <v>1361.0240000000001</v>
      </c>
      <c r="AE17">
        <f t="shared" si="15"/>
        <v>748.56320000000005</v>
      </c>
      <c r="AF17">
        <f t="shared" si="16"/>
        <v>2517.8944000000006</v>
      </c>
      <c r="AG17" s="9">
        <f>Constants!$C$10</f>
        <v>0.55000000000000004</v>
      </c>
      <c r="AH17" s="9">
        <f>Constants!$C$12</f>
        <v>0.3</v>
      </c>
      <c r="AI17" s="9">
        <f>Constants!$C$13</f>
        <v>0</v>
      </c>
      <c r="AJ17" s="9">
        <f>Constants!$C$14</f>
        <v>0.125</v>
      </c>
      <c r="AK17" s="9">
        <f>Constants!$C$15</f>
        <v>0.25</v>
      </c>
      <c r="AL17" s="9">
        <f>Constants!$C$11</f>
        <v>0.2</v>
      </c>
      <c r="AM17" s="9">
        <f>Constants!$D$10</f>
        <v>0</v>
      </c>
      <c r="AN17" s="9">
        <f>Constants!$D$12</f>
        <v>0.02</v>
      </c>
      <c r="AO17" s="9">
        <f>Constants!$D$13</f>
        <v>0</v>
      </c>
      <c r="AP17" s="9">
        <f>Constants!$D$14</f>
        <v>0.01</v>
      </c>
      <c r="AQ17" s="9">
        <f>Constants!$D$15</f>
        <v>2E-3</v>
      </c>
      <c r="AR17" s="9">
        <f>Constants!$D$11</f>
        <v>5.0000000000000001E-3</v>
      </c>
      <c r="AS17">
        <f t="shared" si="17"/>
        <v>336.85343999999998</v>
      </c>
      <c r="AT17">
        <f t="shared" si="18"/>
        <v>462.74815999999998</v>
      </c>
      <c r="AU17">
        <f t="shared" si="19"/>
        <v>748.56320000000005</v>
      </c>
      <c r="AV17">
        <f t="shared" si="20"/>
        <v>1177.28576</v>
      </c>
      <c r="AW17">
        <f t="shared" si="21"/>
        <v>559.92527360000008</v>
      </c>
      <c r="AX17">
        <f t="shared" si="22"/>
        <v>2001.7260480000007</v>
      </c>
      <c r="AY17">
        <f t="shared" si="23"/>
        <v>5287.1018816000005</v>
      </c>
      <c r="AZ17">
        <f t="shared" si="24"/>
        <v>748.56320000000005</v>
      </c>
      <c r="BA17">
        <f t="shared" si="25"/>
        <v>1177.28576</v>
      </c>
      <c r="BB17">
        <f t="shared" si="26"/>
        <v>3361.2529216000007</v>
      </c>
      <c r="BC17">
        <f>Constants!$B$23</f>
        <v>1.5714285714285714</v>
      </c>
      <c r="BD17">
        <f t="shared" si="27"/>
        <v>0</v>
      </c>
      <c r="BE17">
        <f t="shared" si="28"/>
        <v>21.387520000000002</v>
      </c>
      <c r="BF17">
        <f t="shared" si="29"/>
        <v>0</v>
      </c>
      <c r="BG17">
        <f t="shared" si="30"/>
        <v>21.387520000000002</v>
      </c>
      <c r="BH17">
        <f t="shared" si="31"/>
        <v>2.3526272000000001</v>
      </c>
      <c r="BI17">
        <f t="shared" si="32"/>
        <v>19.783456000000005</v>
      </c>
      <c r="BJ17">
        <f t="shared" si="33"/>
        <v>0</v>
      </c>
      <c r="BK17">
        <f t="shared" si="34"/>
        <v>9.2501023999999994</v>
      </c>
    </row>
    <row r="18" spans="1:64" s="2" customFormat="1" x14ac:dyDescent="0.2">
      <c r="A18" s="2" t="str">
        <f>'Input Scenarios'!A45</f>
        <v>NT</v>
      </c>
      <c r="B18" s="2">
        <f>'Input Scenarios'!B45</f>
        <v>14</v>
      </c>
      <c r="C18" s="2" t="str">
        <f>'Input Scenarios'!C45</f>
        <v>Irrigated pasture</v>
      </c>
      <c r="D18" s="2" t="b">
        <f>'Input Scenarios'!D45</f>
        <v>1</v>
      </c>
      <c r="E18" s="2" t="str">
        <f>'Input Scenarios'!E45</f>
        <v>others</v>
      </c>
      <c r="F18" s="2">
        <f>'Input Scenarios'!F45</f>
        <v>44</v>
      </c>
      <c r="G18" s="2">
        <f>'Input Scenarios'!G45</f>
        <v>290</v>
      </c>
      <c r="H18" s="2">
        <f>IF('Input Scenarios'!H45&lt;&gt;"", 'Input Scenarios'!H45, _xlfn.XLOOKUP($E18,Constants!$A$3:$A$6, Constants!B$3:B$6))</f>
        <v>1.71</v>
      </c>
      <c r="I18" s="2">
        <f>IF('Input Scenarios'!I45&lt;&gt;"", 'Input Scenarios'!I45, _xlfn.XLOOKUP($E18,Constants!$A$3:$A$6, Constants!C$3:C$6))</f>
        <v>0.49</v>
      </c>
      <c r="J18" s="2">
        <f>IF('Input Scenarios'!J45&lt;&gt;"", 'Input Scenarios'!J45, _xlfn.XLOOKUP($E18,Constants!$A$3:$A$6, Constants!D$3:D$6))</f>
        <v>3.9E-2</v>
      </c>
      <c r="K18" s="2">
        <f>'Input Scenarios'!K45</f>
        <v>0.2</v>
      </c>
      <c r="L18" s="2">
        <f>'Input Scenarios'!L45</f>
        <v>0.1</v>
      </c>
      <c r="M18" s="2">
        <f>'Input Scenarios'!M45</f>
        <v>0.2</v>
      </c>
      <c r="N18" s="2">
        <f>'Input Scenarios'!N45</f>
        <v>0.2</v>
      </c>
      <c r="O18" s="2">
        <f>'Input Scenarios'!O45</f>
        <v>0.2</v>
      </c>
      <c r="P18" s="2">
        <f>'Input Scenarios'!P45</f>
        <v>0.1</v>
      </c>
      <c r="Q18" s="2" t="b">
        <f>'Input Scenarios'!Q45</f>
        <v>1</v>
      </c>
      <c r="R18" s="2">
        <f>IF('Input Scenarios'!$R45&lt;&gt;"", 'Input Scenarios'!$R45, IF($Q18, Constants!$B$19, 0))</f>
        <v>0.45</v>
      </c>
      <c r="S18" s="2">
        <f>IF('Input Scenarios'!$R45&lt;&gt;"", 'Input Scenarios'!$R45, IF($Q18, Constants!$B$20, 0))</f>
        <v>0.45</v>
      </c>
      <c r="T18" s="2">
        <f t="shared" si="4"/>
        <v>497.64</v>
      </c>
      <c r="U18" s="2">
        <f t="shared" si="5"/>
        <v>0.11000000000000001</v>
      </c>
      <c r="V18" s="2">
        <f t="shared" si="6"/>
        <v>0.1</v>
      </c>
      <c r="W18" s="2">
        <f t="shared" si="7"/>
        <v>0.11000000000000001</v>
      </c>
      <c r="X18" s="2">
        <f t="shared" si="8"/>
        <v>0.2</v>
      </c>
      <c r="Y18" s="2">
        <f t="shared" si="9"/>
        <v>0.11000000000000001</v>
      </c>
      <c r="Z18" s="2">
        <f t="shared" si="10"/>
        <v>0.37000000000000011</v>
      </c>
      <c r="AA18" s="2">
        <f t="shared" si="11"/>
        <v>54.740400000000008</v>
      </c>
      <c r="AB18" s="2">
        <f t="shared" si="12"/>
        <v>49.764000000000003</v>
      </c>
      <c r="AC18" s="2">
        <f t="shared" si="13"/>
        <v>54.740400000000008</v>
      </c>
      <c r="AD18" s="2">
        <f t="shared" si="14"/>
        <v>99.528000000000006</v>
      </c>
      <c r="AE18" s="2">
        <f t="shared" si="15"/>
        <v>54.740400000000008</v>
      </c>
      <c r="AF18" s="2">
        <f t="shared" si="16"/>
        <v>184.12680000000006</v>
      </c>
      <c r="AG18" s="18">
        <f>Constants!$C$10</f>
        <v>0.55000000000000004</v>
      </c>
      <c r="AH18" s="18">
        <f>Constants!$C$12</f>
        <v>0.3</v>
      </c>
      <c r="AI18" s="18">
        <f>Constants!$C$13</f>
        <v>0</v>
      </c>
      <c r="AJ18" s="18">
        <f>Constants!$C$14</f>
        <v>0.125</v>
      </c>
      <c r="AK18" s="18">
        <f>Constants!$C$15</f>
        <v>0.25</v>
      </c>
      <c r="AL18" s="18">
        <f>Constants!$C$11</f>
        <v>0.2</v>
      </c>
      <c r="AM18" s="18">
        <f>Constants!$D$10</f>
        <v>0</v>
      </c>
      <c r="AN18" s="18">
        <f>Constants!$D$12</f>
        <v>0.02</v>
      </c>
      <c r="AO18" s="18">
        <f>Constants!$D$13</f>
        <v>0</v>
      </c>
      <c r="AP18" s="18">
        <f>Constants!$D$14</f>
        <v>0.01</v>
      </c>
      <c r="AQ18" s="18">
        <f>Constants!$D$15</f>
        <v>2E-3</v>
      </c>
      <c r="AR18" s="18">
        <f>Constants!$D$11</f>
        <v>5.0000000000000001E-3</v>
      </c>
      <c r="AS18" s="2">
        <f t="shared" si="17"/>
        <v>24.633180000000003</v>
      </c>
      <c r="AT18" s="2">
        <f t="shared" si="18"/>
        <v>33.83952</v>
      </c>
      <c r="AU18" s="2">
        <f t="shared" si="19"/>
        <v>54.740400000000008</v>
      </c>
      <c r="AV18" s="2">
        <f t="shared" si="20"/>
        <v>86.091720000000009</v>
      </c>
      <c r="AW18" s="2">
        <f t="shared" si="21"/>
        <v>40.945819200000003</v>
      </c>
      <c r="AX18" s="2">
        <f t="shared" si="22"/>
        <v>146.38080600000006</v>
      </c>
      <c r="AY18" s="2">
        <f t="shared" si="23"/>
        <v>386.63144520000009</v>
      </c>
      <c r="AZ18" s="2">
        <f t="shared" si="24"/>
        <v>54.740400000000008</v>
      </c>
      <c r="BA18" s="2">
        <f t="shared" si="25"/>
        <v>86.091720000000009</v>
      </c>
      <c r="BB18" s="2">
        <f t="shared" si="26"/>
        <v>245.79932520000006</v>
      </c>
      <c r="BC18" s="2">
        <f>Constants!$B$23</f>
        <v>1.5714285714285714</v>
      </c>
      <c r="BD18" s="2">
        <f t="shared" si="27"/>
        <v>0</v>
      </c>
      <c r="BE18" s="2">
        <f t="shared" si="28"/>
        <v>1.5640114285714286</v>
      </c>
      <c r="BF18" s="2">
        <f t="shared" si="29"/>
        <v>0</v>
      </c>
      <c r="BG18" s="2">
        <f t="shared" si="30"/>
        <v>1.5640114285714286</v>
      </c>
      <c r="BH18" s="2">
        <f t="shared" si="31"/>
        <v>0.17204125714285717</v>
      </c>
      <c r="BI18" s="2">
        <f t="shared" si="32"/>
        <v>1.446710571428572</v>
      </c>
      <c r="BJ18" s="2">
        <f t="shared" si="33"/>
        <v>0</v>
      </c>
      <c r="BK18" s="2">
        <f t="shared" si="34"/>
        <v>0.67643494285714301</v>
      </c>
    </row>
    <row r="19" spans="1:64" x14ac:dyDescent="0.2">
      <c r="A19" t="str">
        <f>'Input Scenarios'!A46</f>
        <v>VIC</v>
      </c>
      <c r="B19">
        <f>'Input Scenarios'!B46</f>
        <v>15</v>
      </c>
      <c r="C19" t="str">
        <f>'Input Scenarios'!C46</f>
        <v>Non-irrigated pasture</v>
      </c>
      <c r="D19" t="b">
        <f>'Input Scenarios'!D46</f>
        <v>1</v>
      </c>
      <c r="E19" t="str">
        <f>'Input Scenarios'!E46</f>
        <v>boars</v>
      </c>
      <c r="F19">
        <f>'Input Scenarios'!F46</f>
        <v>1000</v>
      </c>
      <c r="G19">
        <f>'Input Scenarios'!G46</f>
        <v>100</v>
      </c>
      <c r="H19">
        <f>IF('Input Scenarios'!H46&lt;&gt;"", 'Input Scenarios'!H46, _xlfn.XLOOKUP($E19,Constants!$A$3:$A$6, Constants!B$3:B$6))</f>
        <v>2.62</v>
      </c>
      <c r="I19">
        <f>IF('Input Scenarios'!I46&lt;&gt;"", 'Input Scenarios'!I46, _xlfn.XLOOKUP($E19,Constants!$A$3:$A$6, Constants!C$3:C$6))</f>
        <v>0.46500000000000002</v>
      </c>
      <c r="J19">
        <f>IF('Input Scenarios'!J46&lt;&gt;"", 'Input Scenarios'!J46, _xlfn.XLOOKUP($E19,Constants!$A$3:$A$6, Constants!D$3:D$6))</f>
        <v>4.4999999999999998E-2</v>
      </c>
      <c r="K19">
        <f>'Input Scenarios'!K46</f>
        <v>0.3</v>
      </c>
      <c r="L19">
        <f>'Input Scenarios'!L46</f>
        <v>0</v>
      </c>
      <c r="M19">
        <f>'Input Scenarios'!M46</f>
        <v>0</v>
      </c>
      <c r="N19">
        <f>'Input Scenarios'!N46</f>
        <v>0.3</v>
      </c>
      <c r="O19">
        <f>'Input Scenarios'!O46</f>
        <v>0</v>
      </c>
      <c r="P19">
        <f>'Input Scenarios'!P46</f>
        <v>0.4</v>
      </c>
      <c r="Q19" t="b">
        <f>'Input Scenarios'!Q46</f>
        <v>0</v>
      </c>
      <c r="R19">
        <f>IF('Input Scenarios'!$R46&lt;&gt;"", 'Input Scenarios'!$R46, IF($Q19, Constants!$B$19, 0))</f>
        <v>0</v>
      </c>
      <c r="S19">
        <f>IF('Input Scenarios'!$R46&lt;&gt;"", 'Input Scenarios'!$R46, IF($Q19, Constants!$B$20, 0))</f>
        <v>0</v>
      </c>
      <c r="T19">
        <f t="shared" si="4"/>
        <v>4500</v>
      </c>
      <c r="U19">
        <f t="shared" si="5"/>
        <v>0.3</v>
      </c>
      <c r="V19">
        <f t="shared" si="6"/>
        <v>0</v>
      </c>
      <c r="W19">
        <f t="shared" si="7"/>
        <v>0</v>
      </c>
      <c r="X19">
        <f t="shared" si="8"/>
        <v>0.3</v>
      </c>
      <c r="Y19">
        <f t="shared" si="9"/>
        <v>0</v>
      </c>
      <c r="Z19">
        <f t="shared" si="10"/>
        <v>0.4</v>
      </c>
      <c r="AA19">
        <f t="shared" si="11"/>
        <v>1350</v>
      </c>
      <c r="AB19">
        <f t="shared" si="12"/>
        <v>0</v>
      </c>
      <c r="AC19">
        <f t="shared" si="13"/>
        <v>0</v>
      </c>
      <c r="AD19">
        <f t="shared" si="14"/>
        <v>1350</v>
      </c>
      <c r="AE19">
        <f t="shared" si="15"/>
        <v>0</v>
      </c>
      <c r="AF19">
        <f t="shared" si="16"/>
        <v>1800</v>
      </c>
      <c r="AG19" s="9">
        <f>Constants!$C$10</f>
        <v>0.55000000000000004</v>
      </c>
      <c r="AH19" s="9">
        <f>Constants!$C$12</f>
        <v>0.3</v>
      </c>
      <c r="AI19" s="9">
        <f>Constants!$C$13</f>
        <v>0</v>
      </c>
      <c r="AJ19" s="9">
        <f>Constants!$C$14</f>
        <v>0.125</v>
      </c>
      <c r="AK19" s="9">
        <f>Constants!$C$15</f>
        <v>0.25</v>
      </c>
      <c r="AL19" s="9">
        <f>Constants!$C$11</f>
        <v>0.2</v>
      </c>
      <c r="AM19" s="9">
        <f>Constants!$D$10</f>
        <v>0</v>
      </c>
      <c r="AN19" s="9">
        <f>Constants!$D$12</f>
        <v>0.02</v>
      </c>
      <c r="AO19" s="9">
        <f>Constants!$D$13</f>
        <v>0</v>
      </c>
      <c r="AP19" s="9">
        <f>Constants!$D$14</f>
        <v>0.01</v>
      </c>
      <c r="AQ19" s="9">
        <f>Constants!$D$15</f>
        <v>2E-3</v>
      </c>
      <c r="AR19" s="9">
        <f>Constants!$D$11</f>
        <v>5.0000000000000001E-3</v>
      </c>
      <c r="AS19">
        <f t="shared" si="17"/>
        <v>607.49999999999989</v>
      </c>
      <c r="AT19">
        <f t="shared" si="18"/>
        <v>0</v>
      </c>
      <c r="AU19">
        <f t="shared" si="19"/>
        <v>0</v>
      </c>
      <c r="AV19">
        <f t="shared" si="20"/>
        <v>1167.75</v>
      </c>
      <c r="AW19">
        <f t="shared" si="21"/>
        <v>0</v>
      </c>
      <c r="AX19">
        <f t="shared" si="22"/>
        <v>1431</v>
      </c>
      <c r="AY19">
        <f t="shared" si="23"/>
        <v>3206.25</v>
      </c>
      <c r="AZ19">
        <f t="shared" si="24"/>
        <v>0</v>
      </c>
      <c r="BA19">
        <f t="shared" si="25"/>
        <v>1167.75</v>
      </c>
      <c r="BB19">
        <f t="shared" si="26"/>
        <v>2038.5</v>
      </c>
      <c r="BC19">
        <f>Constants!$B$23</f>
        <v>1.5714285714285714</v>
      </c>
      <c r="BD19">
        <f t="shared" si="27"/>
        <v>0</v>
      </c>
      <c r="BE19">
        <f t="shared" si="28"/>
        <v>0</v>
      </c>
      <c r="BF19">
        <f t="shared" si="29"/>
        <v>0</v>
      </c>
      <c r="BG19">
        <f t="shared" si="30"/>
        <v>21.214285714285715</v>
      </c>
      <c r="BH19">
        <f t="shared" si="31"/>
        <v>0</v>
      </c>
      <c r="BI19">
        <f t="shared" si="32"/>
        <v>14.142857142857142</v>
      </c>
      <c r="BJ19">
        <f t="shared" si="33"/>
        <v>0</v>
      </c>
      <c r="BK19">
        <f t="shared" si="34"/>
        <v>9.175178571428571</v>
      </c>
      <c r="BL19">
        <f>SUM(BD19:BK22)/1000</f>
        <v>5.6195328553571434E-2</v>
      </c>
    </row>
    <row r="20" spans="1:64" x14ac:dyDescent="0.2">
      <c r="A20" t="str">
        <f>'Input Scenarios'!A47</f>
        <v>VIC</v>
      </c>
      <c r="B20">
        <f>'Input Scenarios'!B47</f>
        <v>15</v>
      </c>
      <c r="C20" t="str">
        <f>'Input Scenarios'!C47</f>
        <v>Non-irrigated pasture</v>
      </c>
      <c r="D20" t="b">
        <f>'Input Scenarios'!D47</f>
        <v>1</v>
      </c>
      <c r="E20" t="str">
        <f>'Input Scenarios'!E47</f>
        <v>sows</v>
      </c>
      <c r="F20">
        <f>'Input Scenarios'!F47</f>
        <v>233</v>
      </c>
      <c r="G20">
        <f>'Input Scenarios'!G47</f>
        <v>100</v>
      </c>
      <c r="H20">
        <f>IF('Input Scenarios'!H47&lt;&gt;"", 'Input Scenarios'!H47, _xlfn.XLOOKUP($E20,Constants!$A$3:$A$6, Constants!B$3:B$6))</f>
        <v>2.2999999999999998</v>
      </c>
      <c r="I20">
        <f>IF('Input Scenarios'!I47&lt;&gt;"", 'Input Scenarios'!I47, _xlfn.XLOOKUP($E20,Constants!$A$3:$A$6, Constants!C$3:C$6))</f>
        <v>0.45100000000000001</v>
      </c>
      <c r="J20">
        <f>IF('Input Scenarios'!J47&lt;&gt;"", 'Input Scenarios'!J47, _xlfn.XLOOKUP($E20,Constants!$A$3:$A$6, Constants!D$3:D$6))</f>
        <v>3.3500000000000002E-2</v>
      </c>
      <c r="K20">
        <f>'Input Scenarios'!K47</f>
        <v>0.3</v>
      </c>
      <c r="L20">
        <f>'Input Scenarios'!L47</f>
        <v>0</v>
      </c>
      <c r="M20">
        <f>'Input Scenarios'!M47</f>
        <v>0</v>
      </c>
      <c r="N20">
        <f>'Input Scenarios'!N47</f>
        <v>0.3</v>
      </c>
      <c r="O20">
        <f>'Input Scenarios'!O47</f>
        <v>0</v>
      </c>
      <c r="P20">
        <f>'Input Scenarios'!P47</f>
        <v>0.4</v>
      </c>
      <c r="Q20" t="b">
        <f>'Input Scenarios'!Q47</f>
        <v>0</v>
      </c>
      <c r="R20">
        <f>IF('Input Scenarios'!$R47&lt;&gt;"", 'Input Scenarios'!$R47, IF($Q20, Constants!$B$19, 0))</f>
        <v>0</v>
      </c>
      <c r="S20">
        <f>IF('Input Scenarios'!$R47&lt;&gt;"", 'Input Scenarios'!$R47, IF($Q20, Constants!$B$20, 0))</f>
        <v>0</v>
      </c>
      <c r="T20">
        <f t="shared" si="4"/>
        <v>780.55000000000007</v>
      </c>
      <c r="U20">
        <f t="shared" si="5"/>
        <v>0.3</v>
      </c>
      <c r="V20">
        <f t="shared" si="6"/>
        <v>0</v>
      </c>
      <c r="W20">
        <f t="shared" si="7"/>
        <v>0</v>
      </c>
      <c r="X20">
        <f t="shared" si="8"/>
        <v>0.3</v>
      </c>
      <c r="Y20">
        <f t="shared" si="9"/>
        <v>0</v>
      </c>
      <c r="Z20">
        <f t="shared" si="10"/>
        <v>0.4</v>
      </c>
      <c r="AA20">
        <f t="shared" si="11"/>
        <v>234.16500000000002</v>
      </c>
      <c r="AB20">
        <f t="shared" si="12"/>
        <v>0</v>
      </c>
      <c r="AC20">
        <f t="shared" si="13"/>
        <v>0</v>
      </c>
      <c r="AD20">
        <f t="shared" si="14"/>
        <v>234.16500000000002</v>
      </c>
      <c r="AE20">
        <f t="shared" si="15"/>
        <v>0</v>
      </c>
      <c r="AF20">
        <f t="shared" si="16"/>
        <v>312.22000000000003</v>
      </c>
      <c r="AG20" s="9">
        <f>Constants!$C$10</f>
        <v>0.55000000000000004</v>
      </c>
      <c r="AH20" s="9">
        <f>Constants!$C$12</f>
        <v>0.3</v>
      </c>
      <c r="AI20" s="9">
        <f>Constants!$C$13</f>
        <v>0</v>
      </c>
      <c r="AJ20" s="9">
        <f>Constants!$C$14</f>
        <v>0.125</v>
      </c>
      <c r="AK20" s="9">
        <f>Constants!$C$15</f>
        <v>0.25</v>
      </c>
      <c r="AL20" s="9">
        <f>Constants!$C$11</f>
        <v>0.2</v>
      </c>
      <c r="AM20" s="9">
        <f>Constants!$D$10</f>
        <v>0</v>
      </c>
      <c r="AN20" s="9">
        <f>Constants!$D$12</f>
        <v>0.02</v>
      </c>
      <c r="AO20" s="9">
        <f>Constants!$D$13</f>
        <v>0</v>
      </c>
      <c r="AP20" s="9">
        <f>Constants!$D$14</f>
        <v>0.01</v>
      </c>
      <c r="AQ20" s="9">
        <f>Constants!$D$15</f>
        <v>2E-3</v>
      </c>
      <c r="AR20" s="9">
        <f>Constants!$D$11</f>
        <v>5.0000000000000001E-3</v>
      </c>
      <c r="AS20">
        <f t="shared" si="17"/>
        <v>105.37425</v>
      </c>
      <c r="AT20">
        <f t="shared" si="18"/>
        <v>0</v>
      </c>
      <c r="AU20">
        <f t="shared" si="19"/>
        <v>0</v>
      </c>
      <c r="AV20">
        <f t="shared" si="20"/>
        <v>202.55272500000001</v>
      </c>
      <c r="AW20">
        <f t="shared" si="21"/>
        <v>0</v>
      </c>
      <c r="AX20">
        <f t="shared" si="22"/>
        <v>248.21490000000003</v>
      </c>
      <c r="AY20">
        <f t="shared" si="23"/>
        <v>556.14187500000003</v>
      </c>
      <c r="AZ20">
        <f t="shared" si="24"/>
        <v>0</v>
      </c>
      <c r="BA20">
        <f t="shared" si="25"/>
        <v>202.55272500000001</v>
      </c>
      <c r="BB20">
        <f t="shared" si="26"/>
        <v>353.58915000000002</v>
      </c>
      <c r="BC20">
        <f>Constants!$B$23</f>
        <v>1.5714285714285714</v>
      </c>
      <c r="BD20">
        <f t="shared" si="27"/>
        <v>0</v>
      </c>
      <c r="BE20">
        <f t="shared" si="28"/>
        <v>0</v>
      </c>
      <c r="BF20">
        <f t="shared" si="29"/>
        <v>0</v>
      </c>
      <c r="BG20">
        <f t="shared" si="30"/>
        <v>3.679735714285715</v>
      </c>
      <c r="BH20">
        <f t="shared" si="31"/>
        <v>0</v>
      </c>
      <c r="BI20">
        <f t="shared" si="32"/>
        <v>2.453157142857143</v>
      </c>
      <c r="BJ20">
        <f t="shared" si="33"/>
        <v>0</v>
      </c>
      <c r="BK20">
        <f t="shared" si="34"/>
        <v>1.5914856964285715</v>
      </c>
    </row>
    <row r="21" spans="1:64" x14ac:dyDescent="0.2">
      <c r="A21" t="str">
        <f>'Input Scenarios'!A48</f>
        <v>VIC</v>
      </c>
      <c r="B21">
        <f>'Input Scenarios'!B48</f>
        <v>15</v>
      </c>
      <c r="C21" t="str">
        <f>'Input Scenarios'!C48</f>
        <v>Non-irrigated pasture</v>
      </c>
      <c r="D21" t="b">
        <f>'Input Scenarios'!D48</f>
        <v>1</v>
      </c>
      <c r="E21" t="str">
        <f>'Input Scenarios'!E48</f>
        <v>gilts</v>
      </c>
      <c r="F21">
        <f>'Input Scenarios'!F48</f>
        <v>923</v>
      </c>
      <c r="G21">
        <f>'Input Scenarios'!G48</f>
        <v>100</v>
      </c>
      <c r="H21">
        <f>IF('Input Scenarios'!H48&lt;&gt;"", 'Input Scenarios'!H48, _xlfn.XLOOKUP($E21,Constants!$A$3:$A$6, Constants!B$3:B$6))</f>
        <v>2.5</v>
      </c>
      <c r="I21">
        <f>IF('Input Scenarios'!I48&lt;&gt;"", 'Input Scenarios'!I48, _xlfn.XLOOKUP($E21,Constants!$A$3:$A$6, Constants!C$3:C$6))</f>
        <v>0.437</v>
      </c>
      <c r="J21">
        <f>IF('Input Scenarios'!J48&lt;&gt;"", 'Input Scenarios'!J48, _xlfn.XLOOKUP($E21,Constants!$A$3:$A$6, Constants!D$3:D$6))</f>
        <v>2.1999999999999999E-2</v>
      </c>
      <c r="K21">
        <f>'Input Scenarios'!K48</f>
        <v>0</v>
      </c>
      <c r="L21">
        <f>'Input Scenarios'!L48</f>
        <v>0</v>
      </c>
      <c r="M21">
        <f>'Input Scenarios'!M48</f>
        <v>0.5</v>
      </c>
      <c r="N21">
        <f>'Input Scenarios'!N48</f>
        <v>0</v>
      </c>
      <c r="O21">
        <f>'Input Scenarios'!O48</f>
        <v>0.5</v>
      </c>
      <c r="P21">
        <f>'Input Scenarios'!P48</f>
        <v>0</v>
      </c>
      <c r="Q21" t="b">
        <f>'Input Scenarios'!Q48</f>
        <v>0</v>
      </c>
      <c r="R21">
        <f>IF('Input Scenarios'!$R48&lt;&gt;"", 'Input Scenarios'!$R48, IF($Q21, Constants!$B$19, 0))</f>
        <v>0</v>
      </c>
      <c r="S21">
        <f>IF('Input Scenarios'!$R48&lt;&gt;"", 'Input Scenarios'!$R48, IF($Q21, Constants!$B$20, 0))</f>
        <v>0</v>
      </c>
      <c r="T21">
        <f t="shared" si="4"/>
        <v>2030.6</v>
      </c>
      <c r="U21">
        <f t="shared" si="5"/>
        <v>0</v>
      </c>
      <c r="V21">
        <f t="shared" si="6"/>
        <v>0</v>
      </c>
      <c r="W21">
        <f t="shared" si="7"/>
        <v>0.5</v>
      </c>
      <c r="X21">
        <f t="shared" si="8"/>
        <v>0</v>
      </c>
      <c r="Y21">
        <f t="shared" si="9"/>
        <v>0.5</v>
      </c>
      <c r="Z21">
        <f t="shared" si="10"/>
        <v>0</v>
      </c>
      <c r="AA21">
        <f t="shared" si="11"/>
        <v>0</v>
      </c>
      <c r="AB21">
        <f t="shared" si="12"/>
        <v>0</v>
      </c>
      <c r="AC21">
        <f t="shared" si="13"/>
        <v>1015.3</v>
      </c>
      <c r="AD21">
        <f t="shared" si="14"/>
        <v>0</v>
      </c>
      <c r="AE21">
        <f t="shared" si="15"/>
        <v>1015.3</v>
      </c>
      <c r="AF21">
        <f t="shared" si="16"/>
        <v>0</v>
      </c>
      <c r="AG21" s="9">
        <f>Constants!$C$10</f>
        <v>0.55000000000000004</v>
      </c>
      <c r="AH21" s="9">
        <f>Constants!$C$12</f>
        <v>0.3</v>
      </c>
      <c r="AI21" s="9">
        <f>Constants!$C$13</f>
        <v>0</v>
      </c>
      <c r="AJ21" s="9">
        <f>Constants!$C$14</f>
        <v>0.125</v>
      </c>
      <c r="AK21" s="9">
        <f>Constants!$C$15</f>
        <v>0.25</v>
      </c>
      <c r="AL21" s="9">
        <f>Constants!$C$11</f>
        <v>0.2</v>
      </c>
      <c r="AM21" s="9">
        <f>Constants!$D$10</f>
        <v>0</v>
      </c>
      <c r="AN21" s="9">
        <f>Constants!$D$12</f>
        <v>0.02</v>
      </c>
      <c r="AO21" s="9">
        <f>Constants!$D$13</f>
        <v>0</v>
      </c>
      <c r="AP21" s="9">
        <f>Constants!$D$14</f>
        <v>0.01</v>
      </c>
      <c r="AQ21" s="9">
        <f>Constants!$D$15</f>
        <v>2E-3</v>
      </c>
      <c r="AR21" s="9">
        <f>Constants!$D$11</f>
        <v>5.0000000000000001E-3</v>
      </c>
      <c r="AS21">
        <f t="shared" si="17"/>
        <v>0</v>
      </c>
      <c r="AT21">
        <f t="shared" si="18"/>
        <v>0</v>
      </c>
      <c r="AU21">
        <f t="shared" si="19"/>
        <v>1015.3</v>
      </c>
      <c r="AV21">
        <f t="shared" si="20"/>
        <v>0</v>
      </c>
      <c r="AW21">
        <f t="shared" si="21"/>
        <v>759.44439999999997</v>
      </c>
      <c r="AX21">
        <f t="shared" si="22"/>
        <v>0</v>
      </c>
      <c r="AY21">
        <f t="shared" si="23"/>
        <v>1774.7444</v>
      </c>
      <c r="AZ21">
        <f t="shared" si="24"/>
        <v>1015.3</v>
      </c>
      <c r="BA21">
        <f t="shared" si="25"/>
        <v>0</v>
      </c>
      <c r="BB21">
        <f t="shared" si="26"/>
        <v>759.44439999999997</v>
      </c>
      <c r="BC21">
        <f>Constants!$B$23</f>
        <v>1.5714285714285714</v>
      </c>
      <c r="BD21">
        <f t="shared" si="27"/>
        <v>0</v>
      </c>
      <c r="BE21">
        <f t="shared" si="28"/>
        <v>0</v>
      </c>
      <c r="BF21">
        <f t="shared" si="29"/>
        <v>0</v>
      </c>
      <c r="BG21">
        <f t="shared" si="30"/>
        <v>0</v>
      </c>
      <c r="BH21">
        <f t="shared" si="31"/>
        <v>3.1909428571428569</v>
      </c>
      <c r="BI21">
        <f t="shared" si="32"/>
        <v>0</v>
      </c>
      <c r="BJ21">
        <f t="shared" si="33"/>
        <v>0</v>
      </c>
      <c r="BK21">
        <f t="shared" si="34"/>
        <v>0</v>
      </c>
    </row>
    <row r="22" spans="1:64" s="2" customFormat="1" x14ac:dyDescent="0.2">
      <c r="A22" s="2" t="str">
        <f>'Input Scenarios'!A49</f>
        <v>VIC</v>
      </c>
      <c r="B22" s="2">
        <f>'Input Scenarios'!B49</f>
        <v>15</v>
      </c>
      <c r="C22" s="2" t="str">
        <f>'Input Scenarios'!C49</f>
        <v>Non-irrigated pasture</v>
      </c>
      <c r="D22" s="2" t="b">
        <f>'Input Scenarios'!D49</f>
        <v>1</v>
      </c>
      <c r="E22" s="2" t="str">
        <f>'Input Scenarios'!E49</f>
        <v>others</v>
      </c>
      <c r="F22" s="2">
        <f>'Input Scenarios'!F49</f>
        <v>122</v>
      </c>
      <c r="G22" s="2">
        <f>'Input Scenarios'!G49</f>
        <v>100</v>
      </c>
      <c r="H22" s="2">
        <f>IF('Input Scenarios'!H49&lt;&gt;"", 'Input Scenarios'!H49, _xlfn.XLOOKUP($E22,Constants!$A$3:$A$6, Constants!B$3:B$6))</f>
        <v>1.71</v>
      </c>
      <c r="I22" s="2">
        <f>IF('Input Scenarios'!I49&lt;&gt;"", 'Input Scenarios'!I49, _xlfn.XLOOKUP($E22,Constants!$A$3:$A$6, Constants!C$3:C$6))</f>
        <v>0.42299999999999999</v>
      </c>
      <c r="J22" s="2">
        <f>IF('Input Scenarios'!J49&lt;&gt;"", 'Input Scenarios'!J49, _xlfn.XLOOKUP($E22,Constants!$A$3:$A$6, Constants!D$3:D$6))</f>
        <v>3.9E-2</v>
      </c>
      <c r="K22" s="2">
        <f>'Input Scenarios'!K49</f>
        <v>0</v>
      </c>
      <c r="L22" s="2">
        <f>'Input Scenarios'!L49</f>
        <v>0</v>
      </c>
      <c r="M22" s="2">
        <f>'Input Scenarios'!M49</f>
        <v>0.5</v>
      </c>
      <c r="N22" s="2">
        <f>'Input Scenarios'!N49</f>
        <v>0</v>
      </c>
      <c r="O22" s="2">
        <f>'Input Scenarios'!O49</f>
        <v>0.5</v>
      </c>
      <c r="P22" s="2">
        <f>'Input Scenarios'!P49</f>
        <v>0</v>
      </c>
      <c r="Q22" s="2" t="b">
        <f>'Input Scenarios'!Q49</f>
        <v>0</v>
      </c>
      <c r="R22" s="2">
        <f>IF('Input Scenarios'!$R49&lt;&gt;"", 'Input Scenarios'!$R49, IF($Q22, Constants!$B$19, 0))</f>
        <v>0</v>
      </c>
      <c r="S22" s="2">
        <f>IF('Input Scenarios'!$R49&lt;&gt;"", 'Input Scenarios'!$R49, IF($Q22, Constants!$B$20, 0))</f>
        <v>0</v>
      </c>
      <c r="T22" s="2">
        <f t="shared" si="4"/>
        <v>475.8</v>
      </c>
      <c r="U22" s="2">
        <f t="shared" si="5"/>
        <v>0</v>
      </c>
      <c r="V22" s="2">
        <f t="shared" si="6"/>
        <v>0</v>
      </c>
      <c r="W22" s="2">
        <f t="shared" si="7"/>
        <v>0.5</v>
      </c>
      <c r="X22" s="2">
        <f t="shared" si="8"/>
        <v>0</v>
      </c>
      <c r="Y22" s="2">
        <f t="shared" si="9"/>
        <v>0.5</v>
      </c>
      <c r="Z22" s="2">
        <f t="shared" si="10"/>
        <v>0</v>
      </c>
      <c r="AA22" s="2">
        <f t="shared" si="11"/>
        <v>0</v>
      </c>
      <c r="AB22" s="2">
        <f t="shared" si="12"/>
        <v>0</v>
      </c>
      <c r="AC22" s="2">
        <f t="shared" si="13"/>
        <v>237.9</v>
      </c>
      <c r="AD22" s="2">
        <f t="shared" si="14"/>
        <v>0</v>
      </c>
      <c r="AE22" s="2">
        <f t="shared" si="15"/>
        <v>237.9</v>
      </c>
      <c r="AF22" s="2">
        <f t="shared" si="16"/>
        <v>0</v>
      </c>
      <c r="AG22" s="18">
        <f>Constants!$C$10</f>
        <v>0.55000000000000004</v>
      </c>
      <c r="AH22" s="18">
        <f>Constants!$C$12</f>
        <v>0.3</v>
      </c>
      <c r="AI22" s="18">
        <f>Constants!$C$13</f>
        <v>0</v>
      </c>
      <c r="AJ22" s="18">
        <f>Constants!$C$14</f>
        <v>0.125</v>
      </c>
      <c r="AK22" s="18">
        <f>Constants!$C$15</f>
        <v>0.25</v>
      </c>
      <c r="AL22" s="18">
        <f>Constants!$C$11</f>
        <v>0.2</v>
      </c>
      <c r="AM22" s="18">
        <f>Constants!$D$10</f>
        <v>0</v>
      </c>
      <c r="AN22" s="18">
        <f>Constants!$D$12</f>
        <v>0.02</v>
      </c>
      <c r="AO22" s="18">
        <f>Constants!$D$13</f>
        <v>0</v>
      </c>
      <c r="AP22" s="18">
        <f>Constants!$D$14</f>
        <v>0.01</v>
      </c>
      <c r="AQ22" s="18">
        <f>Constants!$D$15</f>
        <v>2E-3</v>
      </c>
      <c r="AR22" s="18">
        <f>Constants!$D$11</f>
        <v>5.0000000000000001E-3</v>
      </c>
      <c r="AS22" s="2">
        <f t="shared" si="17"/>
        <v>0</v>
      </c>
      <c r="AT22" s="2">
        <f t="shared" si="18"/>
        <v>0</v>
      </c>
      <c r="AU22" s="2">
        <f t="shared" si="19"/>
        <v>237.9</v>
      </c>
      <c r="AV22" s="2">
        <f t="shared" si="20"/>
        <v>0</v>
      </c>
      <c r="AW22" s="2">
        <f t="shared" si="21"/>
        <v>177.94919999999999</v>
      </c>
      <c r="AX22" s="2">
        <f t="shared" si="22"/>
        <v>0</v>
      </c>
      <c r="AY22" s="2">
        <f t="shared" si="23"/>
        <v>415.8492</v>
      </c>
      <c r="AZ22" s="2">
        <f t="shared" si="24"/>
        <v>237.9</v>
      </c>
      <c r="BA22" s="2">
        <f t="shared" si="25"/>
        <v>0</v>
      </c>
      <c r="BB22" s="2">
        <f t="shared" si="26"/>
        <v>177.94919999999999</v>
      </c>
      <c r="BC22" s="2">
        <f>Constants!$B$23</f>
        <v>1.5714285714285714</v>
      </c>
      <c r="BD22" s="2">
        <f t="shared" si="27"/>
        <v>0</v>
      </c>
      <c r="BE22" s="2">
        <f t="shared" si="28"/>
        <v>0</v>
      </c>
      <c r="BF22" s="2">
        <f t="shared" si="29"/>
        <v>0</v>
      </c>
      <c r="BG22" s="2">
        <f t="shared" si="30"/>
        <v>0</v>
      </c>
      <c r="BH22" s="2">
        <f t="shared" si="31"/>
        <v>0.74768571428571429</v>
      </c>
      <c r="BI22" s="2">
        <f t="shared" si="32"/>
        <v>0</v>
      </c>
      <c r="BJ22" s="2">
        <f t="shared" si="33"/>
        <v>0</v>
      </c>
      <c r="BK22" s="2">
        <f t="shared" si="34"/>
        <v>0</v>
      </c>
    </row>
    <row r="23" spans="1:64" x14ac:dyDescent="0.2">
      <c r="A23" t="str">
        <f>'Input Scenarios'!A50</f>
        <v>WA</v>
      </c>
      <c r="B23">
        <f>'Input Scenarios'!B50</f>
        <v>25</v>
      </c>
      <c r="C23" t="str">
        <f>'Input Scenarios'!C50</f>
        <v>Non-irrigated crop (low rainfall)</v>
      </c>
      <c r="D23" t="b">
        <f>'Input Scenarios'!D50</f>
        <v>0</v>
      </c>
      <c r="E23" t="str">
        <f>'Input Scenarios'!E50</f>
        <v>boars</v>
      </c>
      <c r="F23">
        <f>'Input Scenarios'!F50</f>
        <v>750</v>
      </c>
      <c r="G23">
        <f>'Input Scenarios'!G50</f>
        <v>200</v>
      </c>
      <c r="H23">
        <f>IF('Input Scenarios'!H50&lt;&gt;"", 'Input Scenarios'!H50, _xlfn.XLOOKUP($E23,Constants!$A$3:$A$6, Constants!B$3:B$6))</f>
        <v>2.62</v>
      </c>
      <c r="I23">
        <f>IF('Input Scenarios'!I50&lt;&gt;"", 'Input Scenarios'!I50, _xlfn.XLOOKUP($E23,Constants!$A$3:$A$6, Constants!C$3:C$6))</f>
        <v>0.38600000000000001</v>
      </c>
      <c r="J23">
        <f>IF('Input Scenarios'!J50&lt;&gt;"", 'Input Scenarios'!J50, _xlfn.XLOOKUP($E23,Constants!$A$3:$A$6, Constants!D$3:D$6))</f>
        <v>5.6000000000000001E-2</v>
      </c>
      <c r="K23">
        <f>'Input Scenarios'!K50</f>
        <v>0.3</v>
      </c>
      <c r="L23">
        <f>'Input Scenarios'!L50</f>
        <v>0</v>
      </c>
      <c r="M23">
        <f>'Input Scenarios'!M50</f>
        <v>0</v>
      </c>
      <c r="N23">
        <f>'Input Scenarios'!N50</f>
        <v>0.3</v>
      </c>
      <c r="O23">
        <f>'Input Scenarios'!O50</f>
        <v>0</v>
      </c>
      <c r="P23">
        <f>'Input Scenarios'!P50</f>
        <v>0.4</v>
      </c>
      <c r="Q23" t="b">
        <f>'Input Scenarios'!Q50</f>
        <v>0</v>
      </c>
      <c r="R23">
        <f>IF('Input Scenarios'!$R50&lt;&gt;"", 'Input Scenarios'!$R50, IF($Q23, Constants!$B$19, 0))</f>
        <v>0</v>
      </c>
      <c r="S23">
        <f>IF('Input Scenarios'!$R50&lt;&gt;"", 'Input Scenarios'!$R50, IF($Q23, Constants!$B$20, 0))</f>
        <v>0</v>
      </c>
      <c r="T23">
        <f t="shared" si="4"/>
        <v>8400</v>
      </c>
      <c r="U23">
        <f t="shared" si="5"/>
        <v>0.3</v>
      </c>
      <c r="V23">
        <f t="shared" si="6"/>
        <v>0</v>
      </c>
      <c r="W23">
        <f t="shared" si="7"/>
        <v>0</v>
      </c>
      <c r="X23">
        <f t="shared" si="8"/>
        <v>0.3</v>
      </c>
      <c r="Y23">
        <f t="shared" si="9"/>
        <v>0</v>
      </c>
      <c r="Z23">
        <f t="shared" si="10"/>
        <v>0.4</v>
      </c>
      <c r="AA23">
        <f t="shared" si="11"/>
        <v>2520</v>
      </c>
      <c r="AB23">
        <f t="shared" si="12"/>
        <v>0</v>
      </c>
      <c r="AC23">
        <f t="shared" si="13"/>
        <v>0</v>
      </c>
      <c r="AD23">
        <f t="shared" si="14"/>
        <v>2520</v>
      </c>
      <c r="AE23">
        <f t="shared" si="15"/>
        <v>0</v>
      </c>
      <c r="AF23">
        <f t="shared" si="16"/>
        <v>3360</v>
      </c>
      <c r="AG23" s="9">
        <f>Constants!$C$10</f>
        <v>0.55000000000000004</v>
      </c>
      <c r="AH23" s="9">
        <f>Constants!$C$12</f>
        <v>0.3</v>
      </c>
      <c r="AI23" s="9">
        <f>Constants!$C$13</f>
        <v>0</v>
      </c>
      <c r="AJ23" s="9">
        <f>Constants!$C$14</f>
        <v>0.125</v>
      </c>
      <c r="AK23" s="9">
        <f>Constants!$C$15</f>
        <v>0.25</v>
      </c>
      <c r="AL23" s="9">
        <f>Constants!$C$11</f>
        <v>0.2</v>
      </c>
      <c r="AM23" s="9">
        <f>Constants!$D$10</f>
        <v>0</v>
      </c>
      <c r="AN23" s="9">
        <f>Constants!$D$12</f>
        <v>0.02</v>
      </c>
      <c r="AO23" s="9">
        <f>Constants!$D$13</f>
        <v>0</v>
      </c>
      <c r="AP23" s="9">
        <f>Constants!$D$14</f>
        <v>0.01</v>
      </c>
      <c r="AQ23" s="9">
        <f>Constants!$D$15</f>
        <v>2E-3</v>
      </c>
      <c r="AR23" s="9">
        <f>Constants!$D$11</f>
        <v>5.0000000000000001E-3</v>
      </c>
      <c r="AS23">
        <f t="shared" si="17"/>
        <v>1134</v>
      </c>
      <c r="AT23">
        <f t="shared" si="18"/>
        <v>0</v>
      </c>
      <c r="AU23">
        <f t="shared" si="19"/>
        <v>0</v>
      </c>
      <c r="AV23">
        <f t="shared" si="20"/>
        <v>2179.8000000000002</v>
      </c>
      <c r="AW23">
        <f t="shared" si="21"/>
        <v>0</v>
      </c>
      <c r="AX23">
        <f t="shared" si="22"/>
        <v>2671.2000000000003</v>
      </c>
      <c r="AY23">
        <f t="shared" si="23"/>
        <v>5985</v>
      </c>
      <c r="AZ23">
        <f t="shared" si="24"/>
        <v>0</v>
      </c>
      <c r="BA23">
        <f t="shared" si="25"/>
        <v>2179.8000000000002</v>
      </c>
      <c r="BB23">
        <f t="shared" si="26"/>
        <v>3805.2000000000003</v>
      </c>
      <c r="BC23">
        <f>Constants!$B$23</f>
        <v>1.5714285714285714</v>
      </c>
      <c r="BD23">
        <f t="shared" si="27"/>
        <v>0</v>
      </c>
      <c r="BE23">
        <f t="shared" si="28"/>
        <v>0</v>
      </c>
      <c r="BF23">
        <f t="shared" si="29"/>
        <v>0</v>
      </c>
      <c r="BG23">
        <f t="shared" si="30"/>
        <v>39.6</v>
      </c>
      <c r="BH23">
        <f t="shared" si="31"/>
        <v>0</v>
      </c>
      <c r="BI23">
        <f t="shared" si="32"/>
        <v>26.400000000000002</v>
      </c>
      <c r="BJ23">
        <f t="shared" si="33"/>
        <v>0</v>
      </c>
      <c r="BK23">
        <f t="shared" si="34"/>
        <v>17.127000000000002</v>
      </c>
      <c r="BL23">
        <f>SUM(BD23:BK26)/1000</f>
        <v>0.1452799685087143</v>
      </c>
    </row>
    <row r="24" spans="1:64" x14ac:dyDescent="0.2">
      <c r="A24" t="str">
        <f>'Input Scenarios'!A51</f>
        <v>WA</v>
      </c>
      <c r="B24">
        <f>'Input Scenarios'!B51</f>
        <v>25</v>
      </c>
      <c r="C24" t="str">
        <f>'Input Scenarios'!C51</f>
        <v>Non-irrigated crop (low rainfall)</v>
      </c>
      <c r="D24" t="b">
        <f>'Input Scenarios'!D51</f>
        <v>0</v>
      </c>
      <c r="E24" t="str">
        <f>'Input Scenarios'!E51</f>
        <v>sows</v>
      </c>
      <c r="F24">
        <f>'Input Scenarios'!F51</f>
        <v>600</v>
      </c>
      <c r="G24">
        <f>'Input Scenarios'!G51</f>
        <v>200</v>
      </c>
      <c r="H24">
        <f>IF('Input Scenarios'!H51&lt;&gt;"", 'Input Scenarios'!H51, _xlfn.XLOOKUP($E24,Constants!$A$3:$A$6, Constants!B$3:B$6))</f>
        <v>2.2999999999999998</v>
      </c>
      <c r="I24">
        <f>IF('Input Scenarios'!I51&lt;&gt;"", 'Input Scenarios'!I51, _xlfn.XLOOKUP($E24,Constants!$A$3:$A$6, Constants!C$3:C$6))</f>
        <v>0.64700000000000002</v>
      </c>
      <c r="J24">
        <f>IF('Input Scenarios'!J51&lt;&gt;"", 'Input Scenarios'!J51, _xlfn.XLOOKUP($E24,Constants!$A$3:$A$6, Constants!D$3:D$6))</f>
        <v>5.6000000000000001E-2</v>
      </c>
      <c r="K24">
        <f>'Input Scenarios'!K51</f>
        <v>0</v>
      </c>
      <c r="L24">
        <f>'Input Scenarios'!L51</f>
        <v>0</v>
      </c>
      <c r="M24">
        <f>'Input Scenarios'!M51</f>
        <v>0.5</v>
      </c>
      <c r="N24">
        <f>'Input Scenarios'!N51</f>
        <v>0</v>
      </c>
      <c r="O24">
        <f>'Input Scenarios'!O51</f>
        <v>0.5</v>
      </c>
      <c r="P24">
        <f>'Input Scenarios'!P51</f>
        <v>0</v>
      </c>
      <c r="Q24" t="b">
        <f>'Input Scenarios'!Q51</f>
        <v>0</v>
      </c>
      <c r="R24">
        <f>IF('Input Scenarios'!$R51&lt;&gt;"", 'Input Scenarios'!$R51, IF($Q24, Constants!$B$19, 0))</f>
        <v>0</v>
      </c>
      <c r="S24">
        <f>IF('Input Scenarios'!$R51&lt;&gt;"", 'Input Scenarios'!$R51, IF($Q24, Constants!$B$20, 0))</f>
        <v>0</v>
      </c>
      <c r="T24">
        <f t="shared" si="4"/>
        <v>6720</v>
      </c>
      <c r="U24">
        <f t="shared" si="5"/>
        <v>0</v>
      </c>
      <c r="V24">
        <f t="shared" si="6"/>
        <v>0</v>
      </c>
      <c r="W24">
        <f t="shared" si="7"/>
        <v>0.5</v>
      </c>
      <c r="X24">
        <f t="shared" si="8"/>
        <v>0</v>
      </c>
      <c r="Y24">
        <f t="shared" si="9"/>
        <v>0.5</v>
      </c>
      <c r="Z24">
        <f t="shared" si="10"/>
        <v>0</v>
      </c>
      <c r="AA24">
        <f t="shared" si="11"/>
        <v>0</v>
      </c>
      <c r="AB24">
        <f t="shared" si="12"/>
        <v>0</v>
      </c>
      <c r="AC24">
        <f t="shared" si="13"/>
        <v>3360</v>
      </c>
      <c r="AD24">
        <f t="shared" si="14"/>
        <v>0</v>
      </c>
      <c r="AE24">
        <f t="shared" si="15"/>
        <v>3360</v>
      </c>
      <c r="AF24">
        <f t="shared" si="16"/>
        <v>0</v>
      </c>
      <c r="AG24" s="9">
        <f>Constants!$C$10</f>
        <v>0.55000000000000004</v>
      </c>
      <c r="AH24" s="9">
        <f>Constants!$C$12</f>
        <v>0.3</v>
      </c>
      <c r="AI24" s="9">
        <f>Constants!$C$13</f>
        <v>0</v>
      </c>
      <c r="AJ24" s="9">
        <f>Constants!$C$14</f>
        <v>0.125</v>
      </c>
      <c r="AK24" s="9">
        <f>Constants!$C$15</f>
        <v>0.25</v>
      </c>
      <c r="AL24" s="9">
        <f>Constants!$C$11</f>
        <v>0.2</v>
      </c>
      <c r="AM24" s="9">
        <f>Constants!$D$10</f>
        <v>0</v>
      </c>
      <c r="AN24" s="9">
        <f>Constants!$D$12</f>
        <v>0.02</v>
      </c>
      <c r="AO24" s="9">
        <f>Constants!$D$13</f>
        <v>0</v>
      </c>
      <c r="AP24" s="9">
        <f>Constants!$D$14</f>
        <v>0.01</v>
      </c>
      <c r="AQ24" s="9">
        <f>Constants!$D$15</f>
        <v>2E-3</v>
      </c>
      <c r="AR24" s="9">
        <f>Constants!$D$11</f>
        <v>5.0000000000000001E-3</v>
      </c>
      <c r="AS24">
        <f t="shared" si="17"/>
        <v>0</v>
      </c>
      <c r="AT24">
        <f t="shared" si="18"/>
        <v>0</v>
      </c>
      <c r="AU24">
        <f t="shared" si="19"/>
        <v>3360</v>
      </c>
      <c r="AV24">
        <f t="shared" si="20"/>
        <v>0</v>
      </c>
      <c r="AW24">
        <f t="shared" si="21"/>
        <v>2513.2800000000002</v>
      </c>
      <c r="AX24">
        <f t="shared" si="22"/>
        <v>0</v>
      </c>
      <c r="AY24">
        <f t="shared" si="23"/>
        <v>5873.2800000000007</v>
      </c>
      <c r="AZ24">
        <f t="shared" si="24"/>
        <v>3360</v>
      </c>
      <c r="BA24">
        <f t="shared" si="25"/>
        <v>0</v>
      </c>
      <c r="BB24">
        <f t="shared" si="26"/>
        <v>2513.2800000000002</v>
      </c>
      <c r="BC24">
        <f>Constants!$B$23</f>
        <v>1.5714285714285714</v>
      </c>
      <c r="BD24">
        <f t="shared" si="27"/>
        <v>0</v>
      </c>
      <c r="BE24">
        <f t="shared" si="28"/>
        <v>0</v>
      </c>
      <c r="BF24">
        <f t="shared" si="29"/>
        <v>0</v>
      </c>
      <c r="BG24">
        <f t="shared" si="30"/>
        <v>0</v>
      </c>
      <c r="BH24">
        <f t="shared" si="31"/>
        <v>10.559999999999999</v>
      </c>
      <c r="BI24">
        <f t="shared" si="32"/>
        <v>0</v>
      </c>
      <c r="BJ24">
        <f t="shared" si="33"/>
        <v>0</v>
      </c>
      <c r="BK24">
        <f t="shared" si="34"/>
        <v>0</v>
      </c>
    </row>
    <row r="25" spans="1:64" x14ac:dyDescent="0.2">
      <c r="A25" t="str">
        <f>'Input Scenarios'!A52</f>
        <v>WA</v>
      </c>
      <c r="B25">
        <f>'Input Scenarios'!B52</f>
        <v>25</v>
      </c>
      <c r="C25" t="str">
        <f>'Input Scenarios'!C52</f>
        <v>Non-irrigated crop (low rainfall)</v>
      </c>
      <c r="D25" t="b">
        <f>'Input Scenarios'!D52</f>
        <v>0</v>
      </c>
      <c r="E25" t="str">
        <f>'Input Scenarios'!E52</f>
        <v>gilts</v>
      </c>
      <c r="F25">
        <f>'Input Scenarios'!F52</f>
        <v>100</v>
      </c>
      <c r="G25">
        <f>'Input Scenarios'!G52</f>
        <v>299</v>
      </c>
      <c r="H25">
        <f>IF('Input Scenarios'!H52&lt;&gt;"", 'Input Scenarios'!H52, _xlfn.XLOOKUP($E25,Constants!$A$3:$A$6, Constants!B$3:B$6))</f>
        <v>2.5</v>
      </c>
      <c r="I25">
        <f>IF('Input Scenarios'!I52&lt;&gt;"", 'Input Scenarios'!I52, _xlfn.XLOOKUP($E25,Constants!$A$3:$A$6, Constants!C$3:C$6))</f>
        <v>0.34</v>
      </c>
      <c r="J25">
        <f>IF('Input Scenarios'!J52&lt;&gt;"", 'Input Scenarios'!J52, _xlfn.XLOOKUP($E25,Constants!$A$3:$A$6, Constants!D$3:D$6))</f>
        <v>3.4500000000000003E-2</v>
      </c>
      <c r="K25">
        <f>'Input Scenarios'!K52</f>
        <v>0.3</v>
      </c>
      <c r="L25">
        <f>'Input Scenarios'!L52</f>
        <v>0</v>
      </c>
      <c r="M25">
        <f>'Input Scenarios'!M52</f>
        <v>0</v>
      </c>
      <c r="N25">
        <f>'Input Scenarios'!N52</f>
        <v>0.3</v>
      </c>
      <c r="O25">
        <f>'Input Scenarios'!O52</f>
        <v>0</v>
      </c>
      <c r="P25">
        <f>'Input Scenarios'!P52</f>
        <v>0.4</v>
      </c>
      <c r="Q25" t="b">
        <f>'Input Scenarios'!Q52</f>
        <v>1</v>
      </c>
      <c r="R25">
        <f>IF('Input Scenarios'!$R52&lt;&gt;"", 'Input Scenarios'!$R52, IF($Q25, Constants!$B$19, 0))</f>
        <v>0.23</v>
      </c>
      <c r="S25">
        <f>IF('Input Scenarios'!$R52&lt;&gt;"", 'Input Scenarios'!$R52, IF($Q25, Constants!$B$20, 0))</f>
        <v>0.23</v>
      </c>
      <c r="T25">
        <f t="shared" si="4"/>
        <v>1031.5500000000002</v>
      </c>
      <c r="U25">
        <f t="shared" si="5"/>
        <v>0.23099999999999998</v>
      </c>
      <c r="V25">
        <f t="shared" si="6"/>
        <v>0</v>
      </c>
      <c r="W25">
        <f t="shared" si="7"/>
        <v>0</v>
      </c>
      <c r="X25">
        <f t="shared" si="8"/>
        <v>0.3</v>
      </c>
      <c r="Y25">
        <f t="shared" si="9"/>
        <v>0</v>
      </c>
      <c r="Z25">
        <f t="shared" si="10"/>
        <v>0.46900000000000003</v>
      </c>
      <c r="AA25">
        <f t="shared" si="11"/>
        <v>238.28805000000003</v>
      </c>
      <c r="AB25">
        <f t="shared" si="12"/>
        <v>0</v>
      </c>
      <c r="AC25">
        <f t="shared" si="13"/>
        <v>0</v>
      </c>
      <c r="AD25">
        <f t="shared" si="14"/>
        <v>309.46500000000003</v>
      </c>
      <c r="AE25">
        <f t="shared" si="15"/>
        <v>0</v>
      </c>
      <c r="AF25">
        <f t="shared" si="16"/>
        <v>483.79695000000009</v>
      </c>
      <c r="AG25" s="9">
        <f>Constants!$C$10</f>
        <v>0.55000000000000004</v>
      </c>
      <c r="AH25" s="9">
        <f>Constants!$C$12</f>
        <v>0.3</v>
      </c>
      <c r="AI25" s="9">
        <f>Constants!$C$13</f>
        <v>0</v>
      </c>
      <c r="AJ25" s="9">
        <f>Constants!$C$14</f>
        <v>0.125</v>
      </c>
      <c r="AK25" s="9">
        <f>Constants!$C$15</f>
        <v>0.25</v>
      </c>
      <c r="AL25" s="9">
        <f>Constants!$C$11</f>
        <v>0.2</v>
      </c>
      <c r="AM25" s="9">
        <f>Constants!$D$10</f>
        <v>0</v>
      </c>
      <c r="AN25" s="9">
        <f>Constants!$D$12</f>
        <v>0.02</v>
      </c>
      <c r="AO25" s="9">
        <f>Constants!$D$13</f>
        <v>0</v>
      </c>
      <c r="AP25" s="9">
        <f>Constants!$D$14</f>
        <v>0.01</v>
      </c>
      <c r="AQ25" s="9">
        <f>Constants!$D$15</f>
        <v>2E-3</v>
      </c>
      <c r="AR25" s="9">
        <f>Constants!$D$11</f>
        <v>5.0000000000000001E-3</v>
      </c>
      <c r="AS25">
        <f t="shared" si="17"/>
        <v>107.2296225</v>
      </c>
      <c r="AT25">
        <f t="shared" si="18"/>
        <v>0</v>
      </c>
      <c r="AU25">
        <f t="shared" si="19"/>
        <v>0</v>
      </c>
      <c r="AV25">
        <f t="shared" si="20"/>
        <v>267.68722500000001</v>
      </c>
      <c r="AW25">
        <f t="shared" si="21"/>
        <v>0</v>
      </c>
      <c r="AX25">
        <f t="shared" si="22"/>
        <v>384.61857525000011</v>
      </c>
      <c r="AY25">
        <f t="shared" si="23"/>
        <v>759.53542275000018</v>
      </c>
      <c r="AZ25">
        <f t="shared" si="24"/>
        <v>0</v>
      </c>
      <c r="BA25">
        <f t="shared" si="25"/>
        <v>267.68722500000001</v>
      </c>
      <c r="BB25">
        <f t="shared" si="26"/>
        <v>491.84819775000011</v>
      </c>
      <c r="BC25">
        <f>Constants!$B$23</f>
        <v>1.5714285714285714</v>
      </c>
      <c r="BD25">
        <f t="shared" si="27"/>
        <v>0</v>
      </c>
      <c r="BE25">
        <f t="shared" si="28"/>
        <v>0</v>
      </c>
      <c r="BF25">
        <f t="shared" si="29"/>
        <v>0</v>
      </c>
      <c r="BG25">
        <f t="shared" si="30"/>
        <v>4.8630214285714297</v>
      </c>
      <c r="BH25">
        <f t="shared" si="31"/>
        <v>0</v>
      </c>
      <c r="BI25">
        <f t="shared" si="32"/>
        <v>3.8012617500000005</v>
      </c>
      <c r="BJ25">
        <f t="shared" si="33"/>
        <v>0</v>
      </c>
      <c r="BK25">
        <f t="shared" si="34"/>
        <v>2.1032567678571428</v>
      </c>
    </row>
    <row r="26" spans="1:64" s="2" customFormat="1" x14ac:dyDescent="0.2">
      <c r="A26" s="2" t="str">
        <f>'Input Scenarios'!A53</f>
        <v>WA</v>
      </c>
      <c r="B26" s="2">
        <f>'Input Scenarios'!B53</f>
        <v>25</v>
      </c>
      <c r="C26" s="2" t="str">
        <f>'Input Scenarios'!C53</f>
        <v>Non-irrigated crop (low rainfall)</v>
      </c>
      <c r="D26" s="2" t="b">
        <f>'Input Scenarios'!D53</f>
        <v>0</v>
      </c>
      <c r="E26" s="2" t="str">
        <f>'Input Scenarios'!E53</f>
        <v>others</v>
      </c>
      <c r="F26" s="2">
        <f>'Input Scenarios'!F53</f>
        <v>999</v>
      </c>
      <c r="G26" s="2">
        <f>'Input Scenarios'!G53</f>
        <v>299</v>
      </c>
      <c r="H26" s="2">
        <f>IF('Input Scenarios'!H53&lt;&gt;"", 'Input Scenarios'!H53, _xlfn.XLOOKUP($E26,Constants!$A$3:$A$6, Constants!B$3:B$6))</f>
        <v>1.71</v>
      </c>
      <c r="I26" s="2">
        <f>IF('Input Scenarios'!I53&lt;&gt;"", 'Input Scenarios'!I53, _xlfn.XLOOKUP($E26,Constants!$A$3:$A$6, Constants!C$3:C$6))</f>
        <v>0.45</v>
      </c>
      <c r="J26" s="2">
        <f>IF('Input Scenarios'!J53&lt;&gt;"", 'Input Scenarios'!J53, _xlfn.XLOOKUP($E26,Constants!$A$3:$A$6, Constants!D$3:D$6))</f>
        <v>4.53E-2</v>
      </c>
      <c r="K26" s="2">
        <f>'Input Scenarios'!K53</f>
        <v>0</v>
      </c>
      <c r="L26" s="2">
        <f>'Input Scenarios'!L53</f>
        <v>0</v>
      </c>
      <c r="M26" s="2">
        <f>'Input Scenarios'!M53</f>
        <v>0.5</v>
      </c>
      <c r="N26" s="2">
        <f>'Input Scenarios'!N53</f>
        <v>0</v>
      </c>
      <c r="O26" s="2">
        <f>'Input Scenarios'!O53</f>
        <v>0.5</v>
      </c>
      <c r="P26" s="2">
        <f>'Input Scenarios'!P53</f>
        <v>0</v>
      </c>
      <c r="Q26" s="2" t="b">
        <f>'Input Scenarios'!Q53</f>
        <v>1</v>
      </c>
      <c r="R26" s="2">
        <f>IF('Input Scenarios'!$R53&lt;&gt;"", 'Input Scenarios'!$R53, IF($Q26, Constants!$B$19, 0))</f>
        <v>0.23</v>
      </c>
      <c r="S26" s="2">
        <f>IF('Input Scenarios'!$R53&lt;&gt;"", 'Input Scenarios'!$R53, IF($Q26, Constants!$B$20, 0))</f>
        <v>0.23</v>
      </c>
      <c r="T26" s="2">
        <f t="shared" si="4"/>
        <v>13531.1553</v>
      </c>
      <c r="U26" s="2">
        <f t="shared" si="5"/>
        <v>0</v>
      </c>
      <c r="V26" s="2">
        <f t="shared" si="6"/>
        <v>0</v>
      </c>
      <c r="W26" s="2">
        <f t="shared" si="7"/>
        <v>0.38500000000000001</v>
      </c>
      <c r="X26" s="2">
        <f t="shared" si="8"/>
        <v>0</v>
      </c>
      <c r="Y26" s="2">
        <f t="shared" si="9"/>
        <v>0.38500000000000001</v>
      </c>
      <c r="Z26" s="2">
        <f t="shared" si="10"/>
        <v>0.23</v>
      </c>
      <c r="AA26" s="2">
        <f t="shared" si="11"/>
        <v>0</v>
      </c>
      <c r="AB26" s="2">
        <f t="shared" si="12"/>
        <v>0</v>
      </c>
      <c r="AC26" s="2">
        <f t="shared" si="13"/>
        <v>5209.4947904999999</v>
      </c>
      <c r="AD26" s="2">
        <f t="shared" si="14"/>
        <v>0</v>
      </c>
      <c r="AE26" s="2">
        <f t="shared" si="15"/>
        <v>5209.4947904999999</v>
      </c>
      <c r="AF26" s="2">
        <f t="shared" si="16"/>
        <v>3112.1657190000001</v>
      </c>
      <c r="AG26" s="18">
        <f>Constants!$C$10</f>
        <v>0.55000000000000004</v>
      </c>
      <c r="AH26" s="18">
        <f>Constants!$C$12</f>
        <v>0.3</v>
      </c>
      <c r="AI26" s="18">
        <f>Constants!$C$13</f>
        <v>0</v>
      </c>
      <c r="AJ26" s="18">
        <f>Constants!$C$14</f>
        <v>0.125</v>
      </c>
      <c r="AK26" s="18">
        <f>Constants!$C$15</f>
        <v>0.25</v>
      </c>
      <c r="AL26" s="18">
        <f>Constants!$C$11</f>
        <v>0.2</v>
      </c>
      <c r="AM26" s="18">
        <f>Constants!$D$10</f>
        <v>0</v>
      </c>
      <c r="AN26" s="18">
        <f>Constants!$D$12</f>
        <v>0.02</v>
      </c>
      <c r="AO26" s="18">
        <f>Constants!$D$13</f>
        <v>0</v>
      </c>
      <c r="AP26" s="18">
        <f>Constants!$D$14</f>
        <v>0.01</v>
      </c>
      <c r="AQ26" s="18">
        <f>Constants!$D$15</f>
        <v>2E-3</v>
      </c>
      <c r="AR26" s="18">
        <f>Constants!$D$11</f>
        <v>5.0000000000000001E-3</v>
      </c>
      <c r="AS26" s="2">
        <f t="shared" si="17"/>
        <v>0</v>
      </c>
      <c r="AT26" s="2">
        <f t="shared" si="18"/>
        <v>0</v>
      </c>
      <c r="AU26" s="2">
        <f t="shared" si="19"/>
        <v>5209.4947904999999</v>
      </c>
      <c r="AV26" s="2">
        <f t="shared" si="20"/>
        <v>0</v>
      </c>
      <c r="AW26" s="2">
        <f t="shared" si="21"/>
        <v>3896.7021032939997</v>
      </c>
      <c r="AX26" s="2">
        <f t="shared" si="22"/>
        <v>2474.1717466050004</v>
      </c>
      <c r="AY26" s="2">
        <f t="shared" si="23"/>
        <v>11580.368640399</v>
      </c>
      <c r="AZ26" s="2">
        <f t="shared" si="24"/>
        <v>5209.4947904999999</v>
      </c>
      <c r="BA26" s="2">
        <f t="shared" si="25"/>
        <v>0</v>
      </c>
      <c r="BB26" s="2">
        <f t="shared" si="26"/>
        <v>6370.8738498990006</v>
      </c>
      <c r="BC26" s="2">
        <f>Constants!$B$23</f>
        <v>1.5714285714285714</v>
      </c>
      <c r="BD26" s="2">
        <f t="shared" si="27"/>
        <v>0</v>
      </c>
      <c r="BE26" s="2">
        <f t="shared" si="28"/>
        <v>0</v>
      </c>
      <c r="BF26" s="2">
        <f t="shared" si="29"/>
        <v>0</v>
      </c>
      <c r="BG26" s="2">
        <f t="shared" si="30"/>
        <v>0</v>
      </c>
      <c r="BH26" s="2">
        <f t="shared" si="31"/>
        <v>16.372697913</v>
      </c>
      <c r="BI26" s="2">
        <f t="shared" si="32"/>
        <v>24.452730649285716</v>
      </c>
      <c r="BJ26" s="2">
        <f t="shared" si="33"/>
        <v>0</v>
      </c>
      <c r="BK26" s="2">
        <f t="shared" si="34"/>
        <v>0</v>
      </c>
    </row>
    <row r="27" spans="1:64" x14ac:dyDescent="0.2">
      <c r="A27" t="str">
        <f>'Input Scenarios'!A54</f>
        <v>SA</v>
      </c>
      <c r="B27">
        <f>'Input Scenarios'!B54</f>
        <v>26</v>
      </c>
      <c r="C27" t="str">
        <f>'Input Scenarios'!C54</f>
        <v>Non-irrigated crop (high rainfall)</v>
      </c>
      <c r="D27" t="b">
        <f>'Input Scenarios'!D54</f>
        <v>1</v>
      </c>
      <c r="E27" t="str">
        <f>'Input Scenarios'!E54</f>
        <v>boars</v>
      </c>
      <c r="F27">
        <f>'Input Scenarios'!F54</f>
        <v>105</v>
      </c>
      <c r="G27">
        <f>'Input Scenarios'!G54</f>
        <v>75</v>
      </c>
      <c r="H27">
        <f>IF('Input Scenarios'!H54&lt;&gt;"", 'Input Scenarios'!H54, _xlfn.XLOOKUP($E27,Constants!$A$3:$A$6, Constants!B$3:B$6))</f>
        <v>2.62</v>
      </c>
      <c r="I27">
        <f>IF('Input Scenarios'!I54&lt;&gt;"", 'Input Scenarios'!I54, _xlfn.XLOOKUP($E27,Constants!$A$3:$A$6, Constants!C$3:C$6))</f>
        <v>0.68</v>
      </c>
      <c r="J27">
        <f>IF('Input Scenarios'!J54&lt;&gt;"", 'Input Scenarios'!J54, _xlfn.XLOOKUP($E27,Constants!$A$3:$A$6, Constants!D$3:D$6))</f>
        <v>6.7799999999999999E-2</v>
      </c>
      <c r="K27">
        <f>'Input Scenarios'!K54</f>
        <v>0.2</v>
      </c>
      <c r="L27">
        <f>'Input Scenarios'!L54</f>
        <v>0.1</v>
      </c>
      <c r="M27">
        <f>'Input Scenarios'!M54</f>
        <v>0.2</v>
      </c>
      <c r="N27">
        <f>'Input Scenarios'!N54</f>
        <v>0.2</v>
      </c>
      <c r="O27">
        <f>'Input Scenarios'!O54</f>
        <v>0.2</v>
      </c>
      <c r="P27">
        <f>'Input Scenarios'!P54</f>
        <v>0.1</v>
      </c>
      <c r="Q27" t="b">
        <f>'Input Scenarios'!Q54</f>
        <v>1</v>
      </c>
      <c r="R27">
        <f>IF('Input Scenarios'!$R54&lt;&gt;"", 'Input Scenarios'!$R54, IF($Q27, Constants!$B$19, 0))</f>
        <v>0.25</v>
      </c>
      <c r="S27">
        <f>IF('Input Scenarios'!$R54&lt;&gt;"", 'Input Scenarios'!$R54, IF($Q27, Constants!$B$20, 0))</f>
        <v>0.25</v>
      </c>
      <c r="T27">
        <f t="shared" si="4"/>
        <v>533.92499999999995</v>
      </c>
      <c r="U27">
        <f t="shared" si="5"/>
        <v>0.15000000000000002</v>
      </c>
      <c r="V27">
        <f t="shared" si="6"/>
        <v>0.1</v>
      </c>
      <c r="W27">
        <f t="shared" si="7"/>
        <v>0.15000000000000002</v>
      </c>
      <c r="X27">
        <f t="shared" si="8"/>
        <v>0.2</v>
      </c>
      <c r="Y27">
        <f t="shared" si="9"/>
        <v>0.15000000000000002</v>
      </c>
      <c r="Z27">
        <f t="shared" si="10"/>
        <v>0.25</v>
      </c>
      <c r="AA27">
        <f t="shared" si="11"/>
        <v>80.088750000000005</v>
      </c>
      <c r="AB27">
        <f t="shared" si="12"/>
        <v>53.392499999999998</v>
      </c>
      <c r="AC27">
        <f t="shared" si="13"/>
        <v>80.088750000000005</v>
      </c>
      <c r="AD27">
        <f t="shared" si="14"/>
        <v>106.785</v>
      </c>
      <c r="AE27">
        <f t="shared" si="15"/>
        <v>80.088750000000005</v>
      </c>
      <c r="AF27">
        <f t="shared" si="16"/>
        <v>133.48124999999999</v>
      </c>
      <c r="AG27" s="9">
        <f>Constants!$C$10</f>
        <v>0.55000000000000004</v>
      </c>
      <c r="AH27" s="9">
        <f>Constants!$C$12</f>
        <v>0.3</v>
      </c>
      <c r="AI27" s="9">
        <f>Constants!$C$13</f>
        <v>0</v>
      </c>
      <c r="AJ27" s="9">
        <f>Constants!$C$14</f>
        <v>0.125</v>
      </c>
      <c r="AK27" s="9">
        <f>Constants!$C$15</f>
        <v>0.25</v>
      </c>
      <c r="AL27" s="9">
        <f>Constants!$C$11</f>
        <v>0.2</v>
      </c>
      <c r="AM27" s="9">
        <f>Constants!$D$10</f>
        <v>0</v>
      </c>
      <c r="AN27" s="9">
        <f>Constants!$D$12</f>
        <v>0.02</v>
      </c>
      <c r="AO27" s="9">
        <f>Constants!$D$13</f>
        <v>0</v>
      </c>
      <c r="AP27" s="9">
        <f>Constants!$D$14</f>
        <v>0.01</v>
      </c>
      <c r="AQ27" s="9">
        <f>Constants!$D$15</f>
        <v>2E-3</v>
      </c>
      <c r="AR27" s="9">
        <f>Constants!$D$11</f>
        <v>5.0000000000000001E-3</v>
      </c>
      <c r="AS27">
        <f t="shared" si="17"/>
        <v>36.039937500000001</v>
      </c>
      <c r="AT27">
        <f t="shared" si="18"/>
        <v>36.306899999999999</v>
      </c>
      <c r="AU27">
        <f t="shared" si="19"/>
        <v>80.088750000000005</v>
      </c>
      <c r="AV27">
        <f t="shared" si="20"/>
        <v>92.369024999999993</v>
      </c>
      <c r="AW27">
        <f t="shared" si="21"/>
        <v>59.906385</v>
      </c>
      <c r="AX27">
        <f t="shared" si="22"/>
        <v>106.11759375</v>
      </c>
      <c r="AY27">
        <f t="shared" si="23"/>
        <v>410.82859124999993</v>
      </c>
      <c r="AZ27">
        <f t="shared" si="24"/>
        <v>80.088750000000005</v>
      </c>
      <c r="BA27">
        <f t="shared" si="25"/>
        <v>92.369024999999993</v>
      </c>
      <c r="BB27">
        <f t="shared" si="26"/>
        <v>238.37081624999999</v>
      </c>
      <c r="BC27">
        <f>Constants!$B$23</f>
        <v>1.5714285714285714</v>
      </c>
      <c r="BD27">
        <f t="shared" si="27"/>
        <v>0</v>
      </c>
      <c r="BE27">
        <f t="shared" si="28"/>
        <v>1.6780499999999998</v>
      </c>
      <c r="BF27">
        <f t="shared" si="29"/>
        <v>0</v>
      </c>
      <c r="BG27">
        <f t="shared" si="30"/>
        <v>1.6780499999999998</v>
      </c>
      <c r="BH27">
        <f t="shared" si="31"/>
        <v>0.25170749999999997</v>
      </c>
      <c r="BI27">
        <f t="shared" si="32"/>
        <v>1.04878125</v>
      </c>
      <c r="BJ27">
        <f t="shared" si="33"/>
        <v>0</v>
      </c>
      <c r="BK27">
        <f t="shared" si="34"/>
        <v>0.72575662499999993</v>
      </c>
      <c r="BL27">
        <f>SUM(BD27:BK30)/1000</f>
        <v>0.10853819657214284</v>
      </c>
    </row>
    <row r="28" spans="1:64" x14ac:dyDescent="0.2">
      <c r="A28" t="str">
        <f>'Input Scenarios'!A55</f>
        <v>SA</v>
      </c>
      <c r="B28">
        <f>'Input Scenarios'!B55</f>
        <v>26</v>
      </c>
      <c r="C28" t="str">
        <f>'Input Scenarios'!C55</f>
        <v>Non-irrigated crop (high rainfall)</v>
      </c>
      <c r="D28" t="b">
        <f>'Input Scenarios'!D55</f>
        <v>1</v>
      </c>
      <c r="E28" t="str">
        <f>'Input Scenarios'!E55</f>
        <v>sows</v>
      </c>
      <c r="F28">
        <f>'Input Scenarios'!F55</f>
        <v>245</v>
      </c>
      <c r="G28">
        <f>'Input Scenarios'!G55</f>
        <v>290</v>
      </c>
      <c r="H28">
        <f>IF('Input Scenarios'!H55&lt;&gt;"", 'Input Scenarios'!H55, _xlfn.XLOOKUP($E28,Constants!$A$3:$A$6, Constants!B$3:B$6))</f>
        <v>2.2999999999999998</v>
      </c>
      <c r="I28">
        <f>IF('Input Scenarios'!I55&lt;&gt;"", 'Input Scenarios'!I55, _xlfn.XLOOKUP($E28,Constants!$A$3:$A$6, Constants!C$3:C$6))</f>
        <v>0.69</v>
      </c>
      <c r="J28">
        <f>IF('Input Scenarios'!J55&lt;&gt;"", 'Input Scenarios'!J55, _xlfn.XLOOKUP($E28,Constants!$A$3:$A$6, Constants!D$3:D$6))</f>
        <v>4.5999999999999999E-2</v>
      </c>
      <c r="K28">
        <f>'Input Scenarios'!K55</f>
        <v>0.2</v>
      </c>
      <c r="L28">
        <f>'Input Scenarios'!L55</f>
        <v>0.1</v>
      </c>
      <c r="M28">
        <f>'Input Scenarios'!M55</f>
        <v>0.2</v>
      </c>
      <c r="N28">
        <f>'Input Scenarios'!N55</f>
        <v>0.2</v>
      </c>
      <c r="O28">
        <f>'Input Scenarios'!O55</f>
        <v>0.2</v>
      </c>
      <c r="P28">
        <f>'Input Scenarios'!P55</f>
        <v>0.1</v>
      </c>
      <c r="Q28" t="b">
        <f>'Input Scenarios'!Q55</f>
        <v>1</v>
      </c>
      <c r="R28">
        <f>IF('Input Scenarios'!$R55&lt;&gt;"", 'Input Scenarios'!$R55, IF($Q28, Constants!$B$19, 0))</f>
        <v>0.26</v>
      </c>
      <c r="S28">
        <f>IF('Input Scenarios'!$R55&lt;&gt;"", 'Input Scenarios'!$R55, IF($Q28, Constants!$B$20, 0))</f>
        <v>0.26</v>
      </c>
      <c r="T28">
        <f t="shared" si="4"/>
        <v>3268.2999999999997</v>
      </c>
      <c r="U28">
        <f t="shared" si="5"/>
        <v>0.14799999999999999</v>
      </c>
      <c r="V28">
        <f t="shared" si="6"/>
        <v>0.1</v>
      </c>
      <c r="W28">
        <f t="shared" si="7"/>
        <v>0.14799999999999999</v>
      </c>
      <c r="X28">
        <f t="shared" si="8"/>
        <v>0.2</v>
      </c>
      <c r="Y28">
        <f t="shared" si="9"/>
        <v>0.14799999999999999</v>
      </c>
      <c r="Z28">
        <f t="shared" si="10"/>
        <v>0.25600000000000001</v>
      </c>
      <c r="AA28">
        <f t="shared" si="11"/>
        <v>483.70839999999993</v>
      </c>
      <c r="AB28">
        <f t="shared" si="12"/>
        <v>326.83</v>
      </c>
      <c r="AC28">
        <f t="shared" si="13"/>
        <v>483.70839999999993</v>
      </c>
      <c r="AD28">
        <f t="shared" si="14"/>
        <v>653.66</v>
      </c>
      <c r="AE28">
        <f t="shared" si="15"/>
        <v>483.70839999999993</v>
      </c>
      <c r="AF28">
        <f t="shared" si="16"/>
        <v>836.6848</v>
      </c>
      <c r="AG28" s="9">
        <f>Constants!$C$10</f>
        <v>0.55000000000000004</v>
      </c>
      <c r="AH28" s="9">
        <f>Constants!$C$12</f>
        <v>0.3</v>
      </c>
      <c r="AI28" s="9">
        <f>Constants!$C$13</f>
        <v>0</v>
      </c>
      <c r="AJ28" s="9">
        <f>Constants!$C$14</f>
        <v>0.125</v>
      </c>
      <c r="AK28" s="9">
        <f>Constants!$C$15</f>
        <v>0.25</v>
      </c>
      <c r="AL28" s="9">
        <f>Constants!$C$11</f>
        <v>0.2</v>
      </c>
      <c r="AM28" s="9">
        <f>Constants!$D$10</f>
        <v>0</v>
      </c>
      <c r="AN28" s="9">
        <f>Constants!$D$12</f>
        <v>0.02</v>
      </c>
      <c r="AO28" s="9">
        <f>Constants!$D$13</f>
        <v>0</v>
      </c>
      <c r="AP28" s="9">
        <f>Constants!$D$14</f>
        <v>0.01</v>
      </c>
      <c r="AQ28" s="9">
        <f>Constants!$D$15</f>
        <v>2E-3</v>
      </c>
      <c r="AR28" s="9">
        <f>Constants!$D$11</f>
        <v>5.0000000000000001E-3</v>
      </c>
      <c r="AS28">
        <f t="shared" si="17"/>
        <v>217.66877999999994</v>
      </c>
      <c r="AT28">
        <f t="shared" si="18"/>
        <v>222.24439999999996</v>
      </c>
      <c r="AU28">
        <f t="shared" si="19"/>
        <v>483.70839999999993</v>
      </c>
      <c r="AV28">
        <f t="shared" si="20"/>
        <v>565.41589999999997</v>
      </c>
      <c r="AW28">
        <f t="shared" si="21"/>
        <v>361.81388319999996</v>
      </c>
      <c r="AX28">
        <f t="shared" si="22"/>
        <v>665.16441600000007</v>
      </c>
      <c r="AY28">
        <f t="shared" si="23"/>
        <v>2516.0157792</v>
      </c>
      <c r="AZ28">
        <f t="shared" si="24"/>
        <v>483.70839999999993</v>
      </c>
      <c r="BA28">
        <f t="shared" si="25"/>
        <v>565.41589999999997</v>
      </c>
      <c r="BB28">
        <f t="shared" si="26"/>
        <v>1466.8914792</v>
      </c>
      <c r="BC28">
        <f>Constants!$B$23</f>
        <v>1.5714285714285714</v>
      </c>
      <c r="BD28">
        <f t="shared" si="27"/>
        <v>0</v>
      </c>
      <c r="BE28">
        <f t="shared" si="28"/>
        <v>10.271799999999999</v>
      </c>
      <c r="BF28">
        <f t="shared" si="29"/>
        <v>0</v>
      </c>
      <c r="BG28">
        <f t="shared" si="30"/>
        <v>10.271799999999999</v>
      </c>
      <c r="BH28">
        <f t="shared" si="31"/>
        <v>1.5202263999999996</v>
      </c>
      <c r="BI28">
        <f t="shared" si="32"/>
        <v>6.5739520000000002</v>
      </c>
      <c r="BJ28">
        <f t="shared" si="33"/>
        <v>0</v>
      </c>
      <c r="BK28">
        <f t="shared" si="34"/>
        <v>4.4425534999999998</v>
      </c>
    </row>
    <row r="29" spans="1:64" x14ac:dyDescent="0.2">
      <c r="A29" t="str">
        <f>'Input Scenarios'!A56</f>
        <v>SA</v>
      </c>
      <c r="B29">
        <f>'Input Scenarios'!B56</f>
        <v>26</v>
      </c>
      <c r="C29" t="str">
        <f>'Input Scenarios'!C56</f>
        <v>Non-irrigated crop (high rainfall)</v>
      </c>
      <c r="D29" t="b">
        <f>'Input Scenarios'!D56</f>
        <v>1</v>
      </c>
      <c r="E29" t="str">
        <f>'Input Scenarios'!E56</f>
        <v>gilts</v>
      </c>
      <c r="F29">
        <f>'Input Scenarios'!F56</f>
        <v>434</v>
      </c>
      <c r="G29">
        <f>'Input Scenarios'!G56</f>
        <v>280</v>
      </c>
      <c r="H29">
        <f>IF('Input Scenarios'!H56&lt;&gt;"", 'Input Scenarios'!H56, _xlfn.XLOOKUP($E29,Constants!$A$3:$A$6, Constants!B$3:B$6))</f>
        <v>2.5</v>
      </c>
      <c r="I29">
        <f>IF('Input Scenarios'!I56&lt;&gt;"", 'Input Scenarios'!I56, _xlfn.XLOOKUP($E29,Constants!$A$3:$A$6, Constants!C$3:C$6))</f>
        <v>0.7</v>
      </c>
      <c r="J29">
        <f>IF('Input Scenarios'!J56&lt;&gt;"", 'Input Scenarios'!J56, _xlfn.XLOOKUP($E29,Constants!$A$3:$A$6, Constants!D$3:D$6))</f>
        <v>5.1999999999999998E-2</v>
      </c>
      <c r="K29">
        <f>'Input Scenarios'!K56</f>
        <v>0.2</v>
      </c>
      <c r="L29">
        <f>'Input Scenarios'!L56</f>
        <v>0.1</v>
      </c>
      <c r="M29">
        <f>'Input Scenarios'!M56</f>
        <v>0.2</v>
      </c>
      <c r="N29">
        <f>'Input Scenarios'!N56</f>
        <v>0.2</v>
      </c>
      <c r="O29">
        <f>'Input Scenarios'!O56</f>
        <v>0.2</v>
      </c>
      <c r="P29">
        <f>'Input Scenarios'!P56</f>
        <v>0.1</v>
      </c>
      <c r="Q29" t="b">
        <f>'Input Scenarios'!Q56</f>
        <v>1</v>
      </c>
      <c r="R29">
        <f>IF('Input Scenarios'!$R56&lt;&gt;"", 'Input Scenarios'!$R56, IF($Q29, Constants!$B$19, 0))</f>
        <v>0.27</v>
      </c>
      <c r="S29">
        <f>IF('Input Scenarios'!$R56&lt;&gt;"", 'Input Scenarios'!$R56, IF($Q29, Constants!$B$20, 0))</f>
        <v>0.27</v>
      </c>
      <c r="T29">
        <f t="shared" si="4"/>
        <v>6319.04</v>
      </c>
      <c r="U29">
        <f t="shared" si="5"/>
        <v>0.14599999999999999</v>
      </c>
      <c r="V29">
        <f t="shared" si="6"/>
        <v>0.1</v>
      </c>
      <c r="W29">
        <f t="shared" si="7"/>
        <v>0.14599999999999999</v>
      </c>
      <c r="X29">
        <f t="shared" si="8"/>
        <v>0.2</v>
      </c>
      <c r="Y29">
        <f t="shared" si="9"/>
        <v>0.14599999999999999</v>
      </c>
      <c r="Z29">
        <f t="shared" si="10"/>
        <v>0.26200000000000001</v>
      </c>
      <c r="AA29">
        <f t="shared" si="11"/>
        <v>922.57983999999999</v>
      </c>
      <c r="AB29">
        <f t="shared" si="12"/>
        <v>631.904</v>
      </c>
      <c r="AC29">
        <f t="shared" si="13"/>
        <v>922.57983999999999</v>
      </c>
      <c r="AD29">
        <f t="shared" si="14"/>
        <v>1263.808</v>
      </c>
      <c r="AE29">
        <f t="shared" si="15"/>
        <v>922.57983999999999</v>
      </c>
      <c r="AF29">
        <f t="shared" si="16"/>
        <v>1655.5884800000001</v>
      </c>
      <c r="AG29" s="9">
        <f>Constants!$C$10</f>
        <v>0.55000000000000004</v>
      </c>
      <c r="AH29" s="9">
        <f>Constants!$C$12</f>
        <v>0.3</v>
      </c>
      <c r="AI29" s="9">
        <f>Constants!$C$13</f>
        <v>0</v>
      </c>
      <c r="AJ29" s="9">
        <f>Constants!$C$14</f>
        <v>0.125</v>
      </c>
      <c r="AK29" s="9">
        <f>Constants!$C$15</f>
        <v>0.25</v>
      </c>
      <c r="AL29" s="9">
        <f>Constants!$C$11</f>
        <v>0.2</v>
      </c>
      <c r="AM29" s="9">
        <f>Constants!$D$10</f>
        <v>0</v>
      </c>
      <c r="AN29" s="9">
        <f>Constants!$D$12</f>
        <v>0.02</v>
      </c>
      <c r="AO29" s="9">
        <f>Constants!$D$13</f>
        <v>0</v>
      </c>
      <c r="AP29" s="9">
        <f>Constants!$D$14</f>
        <v>0.01</v>
      </c>
      <c r="AQ29" s="9">
        <f>Constants!$D$15</f>
        <v>2E-3</v>
      </c>
      <c r="AR29" s="9">
        <f>Constants!$D$11</f>
        <v>5.0000000000000001E-3</v>
      </c>
      <c r="AS29">
        <f t="shared" si="17"/>
        <v>415.16092799999996</v>
      </c>
      <c r="AT29">
        <f t="shared" si="18"/>
        <v>429.69471999999996</v>
      </c>
      <c r="AU29">
        <f t="shared" si="19"/>
        <v>922.57983999999999</v>
      </c>
      <c r="AV29">
        <f t="shared" si="20"/>
        <v>1093.1939199999999</v>
      </c>
      <c r="AW29">
        <f t="shared" si="21"/>
        <v>690.08972031999997</v>
      </c>
      <c r="AX29">
        <f t="shared" si="22"/>
        <v>1316.1928416000001</v>
      </c>
      <c r="AY29">
        <f t="shared" si="23"/>
        <v>4866.91196992</v>
      </c>
      <c r="AZ29">
        <f t="shared" si="24"/>
        <v>922.57983999999999</v>
      </c>
      <c r="BA29">
        <f t="shared" si="25"/>
        <v>1093.1939199999999</v>
      </c>
      <c r="BB29">
        <f t="shared" si="26"/>
        <v>2851.13820992</v>
      </c>
      <c r="BC29">
        <f>Constants!$B$23</f>
        <v>1.5714285714285714</v>
      </c>
      <c r="BD29">
        <f t="shared" si="27"/>
        <v>0</v>
      </c>
      <c r="BE29">
        <f t="shared" si="28"/>
        <v>19.859840000000002</v>
      </c>
      <c r="BF29">
        <f t="shared" si="29"/>
        <v>0</v>
      </c>
      <c r="BG29">
        <f t="shared" si="30"/>
        <v>19.859840000000002</v>
      </c>
      <c r="BH29">
        <f t="shared" si="31"/>
        <v>2.89953664</v>
      </c>
      <c r="BI29">
        <f t="shared" si="32"/>
        <v>13.008195200000001</v>
      </c>
      <c r="BJ29">
        <f t="shared" si="33"/>
        <v>0</v>
      </c>
      <c r="BK29">
        <f t="shared" si="34"/>
        <v>8.5893808000000007</v>
      </c>
    </row>
    <row r="30" spans="1:64" s="2" customFormat="1" x14ac:dyDescent="0.2">
      <c r="A30" s="2" t="str">
        <f>'Input Scenarios'!A57</f>
        <v>SA</v>
      </c>
      <c r="B30" s="2">
        <f>'Input Scenarios'!B57</f>
        <v>26</v>
      </c>
      <c r="C30" s="2" t="str">
        <f>'Input Scenarios'!C57</f>
        <v>Non-irrigated crop (high rainfall)</v>
      </c>
      <c r="D30" s="2" t="b">
        <f>'Input Scenarios'!D57</f>
        <v>1</v>
      </c>
      <c r="E30" s="2" t="str">
        <f>'Input Scenarios'!E57</f>
        <v>others</v>
      </c>
      <c r="F30" s="2">
        <f>'Input Scenarios'!F57</f>
        <v>44</v>
      </c>
      <c r="G30" s="2">
        <f>'Input Scenarios'!G57</f>
        <v>290</v>
      </c>
      <c r="H30" s="2">
        <f>IF('Input Scenarios'!H57&lt;&gt;"", 'Input Scenarios'!H57, _xlfn.XLOOKUP($E30,Constants!$A$3:$A$6, Constants!B$3:B$6))</f>
        <v>1.71</v>
      </c>
      <c r="I30" s="2">
        <f>IF('Input Scenarios'!I57&lt;&gt;"", 'Input Scenarios'!I57, _xlfn.XLOOKUP($E30,Constants!$A$3:$A$6, Constants!C$3:C$6))</f>
        <v>0.68</v>
      </c>
      <c r="J30" s="2">
        <f>IF('Input Scenarios'!J57&lt;&gt;"", 'Input Scenarios'!J57, _xlfn.XLOOKUP($E30,Constants!$A$3:$A$6, Constants!D$3:D$6))</f>
        <v>4.4999999999999998E-2</v>
      </c>
      <c r="K30" s="2">
        <f>'Input Scenarios'!K57</f>
        <v>0.2</v>
      </c>
      <c r="L30" s="2">
        <f>'Input Scenarios'!L57</f>
        <v>0.1</v>
      </c>
      <c r="M30" s="2">
        <f>'Input Scenarios'!M57</f>
        <v>0.2</v>
      </c>
      <c r="N30" s="2">
        <f>'Input Scenarios'!N57</f>
        <v>0.2</v>
      </c>
      <c r="O30" s="2">
        <f>'Input Scenarios'!O57</f>
        <v>0.2</v>
      </c>
      <c r="P30" s="2">
        <f>'Input Scenarios'!P57</f>
        <v>0.1</v>
      </c>
      <c r="Q30" s="2" t="b">
        <f>'Input Scenarios'!Q57</f>
        <v>1</v>
      </c>
      <c r="R30" s="2">
        <f>IF('Input Scenarios'!$R57&lt;&gt;"", 'Input Scenarios'!$R57, IF($Q30, Constants!$B$19, 0))</f>
        <v>0.28000000000000003</v>
      </c>
      <c r="S30" s="2">
        <f>IF('Input Scenarios'!$R57&lt;&gt;"", 'Input Scenarios'!$R57, IF($Q30, Constants!$B$20, 0))</f>
        <v>0.28000000000000003</v>
      </c>
      <c r="T30" s="2">
        <f t="shared" si="4"/>
        <v>574.19999999999993</v>
      </c>
      <c r="U30" s="2">
        <f t="shared" si="5"/>
        <v>0.14399999999999999</v>
      </c>
      <c r="V30" s="2">
        <f t="shared" si="6"/>
        <v>0.1</v>
      </c>
      <c r="W30" s="2">
        <f t="shared" si="7"/>
        <v>0.14399999999999999</v>
      </c>
      <c r="X30" s="2">
        <f t="shared" si="8"/>
        <v>0.2</v>
      </c>
      <c r="Y30" s="2">
        <f t="shared" si="9"/>
        <v>0.14399999999999999</v>
      </c>
      <c r="Z30" s="2">
        <f t="shared" si="10"/>
        <v>0.26800000000000002</v>
      </c>
      <c r="AA30" s="2">
        <f t="shared" si="11"/>
        <v>82.684799999999981</v>
      </c>
      <c r="AB30" s="2">
        <f t="shared" si="12"/>
        <v>57.419999999999995</v>
      </c>
      <c r="AC30" s="2">
        <f t="shared" si="13"/>
        <v>82.684799999999981</v>
      </c>
      <c r="AD30" s="2">
        <f t="shared" si="14"/>
        <v>114.83999999999999</v>
      </c>
      <c r="AE30" s="2">
        <f t="shared" si="15"/>
        <v>82.684799999999981</v>
      </c>
      <c r="AF30" s="2">
        <f t="shared" si="16"/>
        <v>153.88559999999998</v>
      </c>
      <c r="AG30" s="18">
        <f>Constants!$C$10</f>
        <v>0.55000000000000004</v>
      </c>
      <c r="AH30" s="18">
        <f>Constants!$C$12</f>
        <v>0.3</v>
      </c>
      <c r="AI30" s="18">
        <f>Constants!$C$13</f>
        <v>0</v>
      </c>
      <c r="AJ30" s="18">
        <f>Constants!$C$14</f>
        <v>0.125</v>
      </c>
      <c r="AK30" s="18">
        <f>Constants!$C$15</f>
        <v>0.25</v>
      </c>
      <c r="AL30" s="18">
        <f>Constants!$C$11</f>
        <v>0.2</v>
      </c>
      <c r="AM30" s="18">
        <f>Constants!$D$10</f>
        <v>0</v>
      </c>
      <c r="AN30" s="18">
        <f>Constants!$D$12</f>
        <v>0.02</v>
      </c>
      <c r="AO30" s="18">
        <f>Constants!$D$13</f>
        <v>0</v>
      </c>
      <c r="AP30" s="18">
        <f>Constants!$D$14</f>
        <v>0.01</v>
      </c>
      <c r="AQ30" s="18">
        <f>Constants!$D$15</f>
        <v>2E-3</v>
      </c>
      <c r="AR30" s="18">
        <f>Constants!$D$11</f>
        <v>5.0000000000000001E-3</v>
      </c>
      <c r="AS30" s="2">
        <f t="shared" si="17"/>
        <v>37.208159999999985</v>
      </c>
      <c r="AT30" s="2">
        <f t="shared" si="18"/>
        <v>39.045599999999993</v>
      </c>
      <c r="AU30" s="2">
        <f t="shared" si="19"/>
        <v>82.684799999999981</v>
      </c>
      <c r="AV30" s="2">
        <f t="shared" si="20"/>
        <v>99.33659999999999</v>
      </c>
      <c r="AW30" s="2">
        <f t="shared" si="21"/>
        <v>61.848230399999984</v>
      </c>
      <c r="AX30" s="2">
        <f t="shared" si="22"/>
        <v>122.339052</v>
      </c>
      <c r="AY30" s="2">
        <f t="shared" si="23"/>
        <v>442.46244239999987</v>
      </c>
      <c r="AZ30" s="2">
        <f t="shared" si="24"/>
        <v>82.684799999999981</v>
      </c>
      <c r="BA30" s="2">
        <f t="shared" si="25"/>
        <v>99.33659999999999</v>
      </c>
      <c r="BB30" s="2">
        <f t="shared" si="26"/>
        <v>260.44104239999996</v>
      </c>
      <c r="BC30" s="2">
        <f>Constants!$B$23</f>
        <v>1.5714285714285714</v>
      </c>
      <c r="BD30" s="2">
        <f t="shared" si="27"/>
        <v>0</v>
      </c>
      <c r="BE30" s="2">
        <f t="shared" si="28"/>
        <v>1.8046285714285712</v>
      </c>
      <c r="BF30" s="2">
        <f t="shared" si="29"/>
        <v>0</v>
      </c>
      <c r="BG30" s="2">
        <f t="shared" si="30"/>
        <v>1.8046285714285712</v>
      </c>
      <c r="BH30" s="2">
        <f t="shared" si="31"/>
        <v>0.25986651428571422</v>
      </c>
      <c r="BI30" s="2">
        <f t="shared" si="32"/>
        <v>1.2091011428571428</v>
      </c>
      <c r="BJ30" s="2">
        <f t="shared" si="33"/>
        <v>0</v>
      </c>
      <c r="BK30" s="2">
        <f t="shared" si="34"/>
        <v>0.78050185714285714</v>
      </c>
    </row>
    <row r="31" spans="1:64" x14ac:dyDescent="0.2">
      <c r="A31" t="str">
        <f>'Input Scenarios'!A58</f>
        <v>QLD</v>
      </c>
      <c r="B31" t="str">
        <f>'Input Scenarios'!B58</f>
        <v>28 or above</v>
      </c>
      <c r="C31" t="str">
        <f>'Input Scenarios'!C58</f>
        <v>Irrigated pasture</v>
      </c>
      <c r="D31" t="b">
        <f>'Input Scenarios'!D58</f>
        <v>1</v>
      </c>
      <c r="E31" t="str">
        <f>'Input Scenarios'!E58</f>
        <v>boars</v>
      </c>
      <c r="F31">
        <f>'Input Scenarios'!F58</f>
        <v>105</v>
      </c>
      <c r="G31">
        <f>'Input Scenarios'!G58</f>
        <v>75</v>
      </c>
      <c r="H31">
        <f>IF('Input Scenarios'!H58&lt;&gt;"", 'Input Scenarios'!H58, _xlfn.XLOOKUP($E31,Constants!$A$3:$A$6, Constants!B$3:B$6))</f>
        <v>2.62</v>
      </c>
      <c r="I31">
        <f>IF('Input Scenarios'!I58&lt;&gt;"", 'Input Scenarios'!I58, _xlfn.XLOOKUP($E31,Constants!$A$3:$A$6, Constants!C$3:C$6))</f>
        <v>0.37</v>
      </c>
      <c r="J31">
        <f>IF('Input Scenarios'!J58&lt;&gt;"", 'Input Scenarios'!J58, _xlfn.XLOOKUP($E31,Constants!$A$3:$A$6, Constants!D$3:D$6))</f>
        <v>0.04</v>
      </c>
      <c r="K31">
        <f>'Input Scenarios'!K58</f>
        <v>0.2</v>
      </c>
      <c r="L31">
        <f>'Input Scenarios'!L58</f>
        <v>0.1</v>
      </c>
      <c r="M31">
        <f>'Input Scenarios'!M58</f>
        <v>0.2</v>
      </c>
      <c r="N31">
        <f>'Input Scenarios'!N58</f>
        <v>0.2</v>
      </c>
      <c r="O31">
        <f>'Input Scenarios'!O58</f>
        <v>0.2</v>
      </c>
      <c r="P31">
        <f>'Input Scenarios'!P58</f>
        <v>0.1</v>
      </c>
      <c r="Q31" t="b">
        <f>'Input Scenarios'!Q58</f>
        <v>1</v>
      </c>
      <c r="R31">
        <f>IF('Input Scenarios'!$R58&lt;&gt;"", 'Input Scenarios'!$R58, IF($Q31, Constants!$B$19, 0))</f>
        <v>0.28000000000000003</v>
      </c>
      <c r="S31">
        <f>IF('Input Scenarios'!$R58&lt;&gt;"", 'Input Scenarios'!$R58, IF($Q31, Constants!$B$20, 0))</f>
        <v>0.28000000000000003</v>
      </c>
      <c r="T31">
        <f t="shared" ref="T31:T34" si="35">F31*G31*J31</f>
        <v>315</v>
      </c>
      <c r="U31">
        <f t="shared" ref="U31:U34" si="36">K31*(1-$S31)</f>
        <v>0.14399999999999999</v>
      </c>
      <c r="V31">
        <f t="shared" ref="V31:V34" si="37">L31</f>
        <v>0.1</v>
      </c>
      <c r="W31">
        <f t="shared" ref="W31:W34" si="38">M31*(1-$S31)</f>
        <v>0.14399999999999999</v>
      </c>
      <c r="X31">
        <f t="shared" ref="X31:X34" si="39">N31</f>
        <v>0.2</v>
      </c>
      <c r="Y31">
        <f t="shared" ref="Y31:Y34" si="40">O31*(1-$S31)</f>
        <v>0.14399999999999999</v>
      </c>
      <c r="Z31">
        <f t="shared" ref="Z31:Z34" si="41">P31+(SUM(K31, M31, O31)*S31)</f>
        <v>0.26800000000000002</v>
      </c>
      <c r="AA31">
        <f t="shared" ref="AA31:AA34" si="42">$T31*U31</f>
        <v>45.36</v>
      </c>
      <c r="AB31">
        <f t="shared" ref="AB31:AB34" si="43">$T31*V31</f>
        <v>31.5</v>
      </c>
      <c r="AC31">
        <f t="shared" ref="AC31:AC34" si="44">$T31*W31</f>
        <v>45.36</v>
      </c>
      <c r="AD31">
        <f t="shared" ref="AD31:AD34" si="45">$T31*X31</f>
        <v>63</v>
      </c>
      <c r="AE31">
        <f t="shared" ref="AE31:AE34" si="46">$T31*Y31</f>
        <v>45.36</v>
      </c>
      <c r="AF31">
        <f t="shared" ref="AF31:AF34" si="47">$T31*Z31</f>
        <v>84.42</v>
      </c>
      <c r="AG31" s="9">
        <f>Constants!$C$10</f>
        <v>0.55000000000000004</v>
      </c>
      <c r="AH31" s="9">
        <f>Constants!$C$12</f>
        <v>0.3</v>
      </c>
      <c r="AI31" s="9">
        <f>Constants!$C$13</f>
        <v>0</v>
      </c>
      <c r="AJ31" s="9">
        <f>Constants!$C$14</f>
        <v>0.125</v>
      </c>
      <c r="AK31" s="9">
        <f>Constants!$C$15</f>
        <v>0.25</v>
      </c>
      <c r="AL31" s="9">
        <f>Constants!$C$11</f>
        <v>0.2</v>
      </c>
      <c r="AM31" s="9">
        <f>Constants!$D$10</f>
        <v>0</v>
      </c>
      <c r="AN31" s="9">
        <f>Constants!$D$12</f>
        <v>0.02</v>
      </c>
      <c r="AO31" s="9">
        <f>Constants!$D$13</f>
        <v>0</v>
      </c>
      <c r="AP31" s="9">
        <f>Constants!$D$14</f>
        <v>0.01</v>
      </c>
      <c r="AQ31" s="9">
        <f>Constants!$D$15</f>
        <v>2E-3</v>
      </c>
      <c r="AR31" s="9">
        <f>Constants!$D$11</f>
        <v>5.0000000000000001E-3</v>
      </c>
      <c r="AS31">
        <f t="shared" ref="AS31:AS34" si="48">AA31*(1-AG31-AM31)</f>
        <v>20.411999999999999</v>
      </c>
      <c r="AT31">
        <f t="shared" ref="AT31:AT34" si="49">AB31*(1-AH31-AN31)</f>
        <v>21.419999999999998</v>
      </c>
      <c r="AU31">
        <f t="shared" ref="AU31:AU34" si="50">AC31*(1-AI31-AO31)</f>
        <v>45.36</v>
      </c>
      <c r="AV31">
        <f t="shared" ref="AV31:AV34" si="51">AD31*(1-AJ31-AP31)</f>
        <v>54.494999999999997</v>
      </c>
      <c r="AW31">
        <f t="shared" ref="AW31:AW34" si="52">AE31*(1-AK31-AQ31)</f>
        <v>33.929279999999999</v>
      </c>
      <c r="AX31">
        <f t="shared" ref="AX31:AX34" si="53">AF31*(1-AL31-AR31)</f>
        <v>67.113900000000001</v>
      </c>
      <c r="AY31">
        <f t="shared" ref="AY31:AY34" si="54">SUM(AS31:AX31)</f>
        <v>242.73017999999999</v>
      </c>
      <c r="AZ31">
        <f t="shared" ref="AZ31:AZ34" si="55">AU31</f>
        <v>45.36</v>
      </c>
      <c r="BA31">
        <f t="shared" ref="BA31:BA34" si="56">AV31</f>
        <v>54.494999999999997</v>
      </c>
      <c r="BB31">
        <f t="shared" ref="BB31:BB34" si="57">SUM(AS31:AT31,AW31:AX31)</f>
        <v>142.87518</v>
      </c>
      <c r="BC31">
        <f>Constants!$B$23</f>
        <v>1.5714285714285714</v>
      </c>
      <c r="BD31">
        <f t="shared" ref="BD31:BD34" si="58">(AA31*AM31*$BC31)</f>
        <v>0</v>
      </c>
      <c r="BE31">
        <f t="shared" ref="BE31:BE34" si="59">(AB31*AN31*$BC31)</f>
        <v>0.99</v>
      </c>
      <c r="BF31">
        <f t="shared" ref="BF31:BF34" si="60">(AC31*AO31*$BC31)</f>
        <v>0</v>
      </c>
      <c r="BG31">
        <f t="shared" ref="BG31:BG34" si="61">(AD31*AP31*$BC31)</f>
        <v>0.99</v>
      </c>
      <c r="BH31">
        <f t="shared" ref="BH31:BH34" si="62">(AE31*AQ31*$BC31)</f>
        <v>0.14255999999999999</v>
      </c>
      <c r="BI31">
        <f t="shared" ref="BI31:BI34" si="63">(AF31*AR31*$BC31)</f>
        <v>0.6633</v>
      </c>
      <c r="BJ31">
        <f t="shared" ref="BJ31:BJ34" si="64">(AZ31*AM31*$BC31)</f>
        <v>0</v>
      </c>
      <c r="BK31">
        <f t="shared" ref="BK31:BK34" si="65">(BA31*AR31*$BC31)</f>
        <v>0.42817499999999992</v>
      </c>
      <c r="BL31">
        <f>SUM(BD31:BK34)/1000</f>
        <v>8.6439787971428581E-2</v>
      </c>
    </row>
    <row r="32" spans="1:64" x14ac:dyDescent="0.2">
      <c r="A32" t="str">
        <f>'Input Scenarios'!A59</f>
        <v>QLD</v>
      </c>
      <c r="B32" t="str">
        <f>'Input Scenarios'!B59</f>
        <v>28 or above</v>
      </c>
      <c r="C32" t="str">
        <f>'Input Scenarios'!C59</f>
        <v>Irrigated pasture</v>
      </c>
      <c r="D32" t="b">
        <f>'Input Scenarios'!D59</f>
        <v>1</v>
      </c>
      <c r="E32" t="str">
        <f>'Input Scenarios'!E59</f>
        <v>sows</v>
      </c>
      <c r="F32">
        <f>'Input Scenarios'!F59</f>
        <v>245</v>
      </c>
      <c r="G32">
        <f>'Input Scenarios'!G59</f>
        <v>290</v>
      </c>
      <c r="H32">
        <f>IF('Input Scenarios'!H59&lt;&gt;"", 'Input Scenarios'!H59, _xlfn.XLOOKUP($E32,Constants!$A$3:$A$6, Constants!B$3:B$6))</f>
        <v>2.2999999999999998</v>
      </c>
      <c r="I32">
        <f>IF('Input Scenarios'!I59&lt;&gt;"", 'Input Scenarios'!I59, _xlfn.XLOOKUP($E32,Constants!$A$3:$A$6, Constants!C$3:C$6))</f>
        <v>0.37</v>
      </c>
      <c r="J32">
        <f>IF('Input Scenarios'!J59&lt;&gt;"", 'Input Scenarios'!J59, _xlfn.XLOOKUP($E32,Constants!$A$3:$A$6, Constants!D$3:D$6))</f>
        <v>0.04</v>
      </c>
      <c r="K32">
        <f>'Input Scenarios'!K59</f>
        <v>0.2</v>
      </c>
      <c r="L32">
        <f>'Input Scenarios'!L59</f>
        <v>0.1</v>
      </c>
      <c r="M32">
        <f>'Input Scenarios'!M59</f>
        <v>0.2</v>
      </c>
      <c r="N32">
        <f>'Input Scenarios'!N59</f>
        <v>0.2</v>
      </c>
      <c r="O32">
        <f>'Input Scenarios'!O59</f>
        <v>0.2</v>
      </c>
      <c r="P32">
        <f>'Input Scenarios'!P59</f>
        <v>0.1</v>
      </c>
      <c r="Q32" t="b">
        <f>'Input Scenarios'!Q59</f>
        <v>1</v>
      </c>
      <c r="R32">
        <f>IF('Input Scenarios'!$R59&lt;&gt;"", 'Input Scenarios'!$R59, IF($Q32, Constants!$B$19, 0))</f>
        <v>0.27</v>
      </c>
      <c r="S32">
        <f>IF('Input Scenarios'!$R59&lt;&gt;"", 'Input Scenarios'!$R59, IF($Q32, Constants!$B$20, 0))</f>
        <v>0.27</v>
      </c>
      <c r="T32">
        <f t="shared" si="35"/>
        <v>2842</v>
      </c>
      <c r="U32">
        <f t="shared" si="36"/>
        <v>0.14599999999999999</v>
      </c>
      <c r="V32">
        <f t="shared" si="37"/>
        <v>0.1</v>
      </c>
      <c r="W32">
        <f t="shared" si="38"/>
        <v>0.14599999999999999</v>
      </c>
      <c r="X32">
        <f t="shared" si="39"/>
        <v>0.2</v>
      </c>
      <c r="Y32">
        <f t="shared" si="40"/>
        <v>0.14599999999999999</v>
      </c>
      <c r="Z32">
        <f t="shared" si="41"/>
        <v>0.26200000000000001</v>
      </c>
      <c r="AA32">
        <f t="shared" si="42"/>
        <v>414.93199999999996</v>
      </c>
      <c r="AB32">
        <f t="shared" si="43"/>
        <v>284.2</v>
      </c>
      <c r="AC32">
        <f t="shared" si="44"/>
        <v>414.93199999999996</v>
      </c>
      <c r="AD32">
        <f t="shared" si="45"/>
        <v>568.4</v>
      </c>
      <c r="AE32">
        <f t="shared" si="46"/>
        <v>414.93199999999996</v>
      </c>
      <c r="AF32">
        <f t="shared" si="47"/>
        <v>744.60400000000004</v>
      </c>
      <c r="AG32" s="9">
        <f>Constants!$C$10</f>
        <v>0.55000000000000004</v>
      </c>
      <c r="AH32" s="9">
        <f>Constants!$C$12</f>
        <v>0.3</v>
      </c>
      <c r="AI32" s="9">
        <f>Constants!$C$13</f>
        <v>0</v>
      </c>
      <c r="AJ32" s="9">
        <f>Constants!$C$14</f>
        <v>0.125</v>
      </c>
      <c r="AK32" s="9">
        <f>Constants!$C$15</f>
        <v>0.25</v>
      </c>
      <c r="AL32" s="9">
        <f>Constants!$C$11</f>
        <v>0.2</v>
      </c>
      <c r="AM32" s="9">
        <f>Constants!$D$10</f>
        <v>0</v>
      </c>
      <c r="AN32" s="9">
        <f>Constants!$D$12</f>
        <v>0.02</v>
      </c>
      <c r="AO32" s="9">
        <f>Constants!$D$13</f>
        <v>0</v>
      </c>
      <c r="AP32" s="9">
        <f>Constants!$D$14</f>
        <v>0.01</v>
      </c>
      <c r="AQ32" s="9">
        <f>Constants!$D$15</f>
        <v>2E-3</v>
      </c>
      <c r="AR32" s="9">
        <f>Constants!$D$11</f>
        <v>5.0000000000000001E-3</v>
      </c>
      <c r="AS32">
        <f t="shared" si="48"/>
        <v>186.71939999999995</v>
      </c>
      <c r="AT32">
        <f t="shared" si="49"/>
        <v>193.25599999999997</v>
      </c>
      <c r="AU32">
        <f t="shared" si="50"/>
        <v>414.93199999999996</v>
      </c>
      <c r="AV32">
        <f t="shared" si="51"/>
        <v>491.666</v>
      </c>
      <c r="AW32">
        <f t="shared" si="52"/>
        <v>310.36913599999997</v>
      </c>
      <c r="AX32">
        <f t="shared" si="53"/>
        <v>591.96018000000004</v>
      </c>
      <c r="AY32">
        <f t="shared" si="54"/>
        <v>2188.9027159999996</v>
      </c>
      <c r="AZ32">
        <f t="shared" si="55"/>
        <v>414.93199999999996</v>
      </c>
      <c r="BA32">
        <f t="shared" si="56"/>
        <v>491.666</v>
      </c>
      <c r="BB32">
        <f t="shared" si="57"/>
        <v>1282.3047159999999</v>
      </c>
      <c r="BC32">
        <f>Constants!$B$23</f>
        <v>1.5714285714285714</v>
      </c>
      <c r="BD32">
        <f t="shared" si="58"/>
        <v>0</v>
      </c>
      <c r="BE32">
        <f t="shared" si="59"/>
        <v>8.9320000000000004</v>
      </c>
      <c r="BF32">
        <f t="shared" si="60"/>
        <v>0</v>
      </c>
      <c r="BG32">
        <f t="shared" si="61"/>
        <v>8.9320000000000004</v>
      </c>
      <c r="BH32">
        <f t="shared" si="62"/>
        <v>1.3040719999999999</v>
      </c>
      <c r="BI32">
        <f t="shared" si="63"/>
        <v>5.8504600000000009</v>
      </c>
      <c r="BJ32">
        <f t="shared" si="64"/>
        <v>0</v>
      </c>
      <c r="BK32">
        <f t="shared" si="65"/>
        <v>3.8630900000000001</v>
      </c>
    </row>
    <row r="33" spans="1:64" x14ac:dyDescent="0.2">
      <c r="A33" t="str">
        <f>'Input Scenarios'!A60</f>
        <v>QLD</v>
      </c>
      <c r="B33" t="str">
        <f>'Input Scenarios'!B60</f>
        <v>28 or above</v>
      </c>
      <c r="C33" t="str">
        <f>'Input Scenarios'!C60</f>
        <v>Irrigated pasture</v>
      </c>
      <c r="D33" t="b">
        <f>'Input Scenarios'!D60</f>
        <v>1</v>
      </c>
      <c r="E33" t="str">
        <f>'Input Scenarios'!E60</f>
        <v>gilts</v>
      </c>
      <c r="F33">
        <f>'Input Scenarios'!F60</f>
        <v>434</v>
      </c>
      <c r="G33">
        <f>'Input Scenarios'!G60</f>
        <v>280</v>
      </c>
      <c r="H33">
        <f>IF('Input Scenarios'!H60&lt;&gt;"", 'Input Scenarios'!H60, _xlfn.XLOOKUP($E33,Constants!$A$3:$A$6, Constants!B$3:B$6))</f>
        <v>2.5</v>
      </c>
      <c r="I33">
        <f>IF('Input Scenarios'!I60&lt;&gt;"", 'Input Scenarios'!I60, _xlfn.XLOOKUP($E33,Constants!$A$3:$A$6, Constants!C$3:C$6))</f>
        <v>0.37</v>
      </c>
      <c r="J33">
        <f>IF('Input Scenarios'!J60&lt;&gt;"", 'Input Scenarios'!J60, _xlfn.XLOOKUP($E33,Constants!$A$3:$A$6, Constants!D$3:D$6))</f>
        <v>0.04</v>
      </c>
      <c r="K33">
        <f>'Input Scenarios'!K60</f>
        <v>0.2</v>
      </c>
      <c r="L33">
        <f>'Input Scenarios'!L60</f>
        <v>0.1</v>
      </c>
      <c r="M33">
        <f>'Input Scenarios'!M60</f>
        <v>0.2</v>
      </c>
      <c r="N33">
        <f>'Input Scenarios'!N60</f>
        <v>0.2</v>
      </c>
      <c r="O33">
        <f>'Input Scenarios'!O60</f>
        <v>0.2</v>
      </c>
      <c r="P33">
        <f>'Input Scenarios'!P60</f>
        <v>0.1</v>
      </c>
      <c r="Q33" t="b">
        <f>'Input Scenarios'!Q60</f>
        <v>1</v>
      </c>
      <c r="R33">
        <f>IF('Input Scenarios'!$R60&lt;&gt;"", 'Input Scenarios'!$R60, IF($Q33, Constants!$B$19, 0))</f>
        <v>0.26</v>
      </c>
      <c r="S33">
        <f>IF('Input Scenarios'!$R60&lt;&gt;"", 'Input Scenarios'!$R60, IF($Q33, Constants!$B$20, 0))</f>
        <v>0.26</v>
      </c>
      <c r="T33">
        <f t="shared" si="35"/>
        <v>4860.8</v>
      </c>
      <c r="U33">
        <f t="shared" si="36"/>
        <v>0.14799999999999999</v>
      </c>
      <c r="V33">
        <f t="shared" si="37"/>
        <v>0.1</v>
      </c>
      <c r="W33">
        <f t="shared" si="38"/>
        <v>0.14799999999999999</v>
      </c>
      <c r="X33">
        <f t="shared" si="39"/>
        <v>0.2</v>
      </c>
      <c r="Y33">
        <f t="shared" si="40"/>
        <v>0.14799999999999999</v>
      </c>
      <c r="Z33">
        <f t="shared" si="41"/>
        <v>0.25600000000000001</v>
      </c>
      <c r="AA33">
        <f t="shared" si="42"/>
        <v>719.39840000000004</v>
      </c>
      <c r="AB33">
        <f t="shared" si="43"/>
        <v>486.08000000000004</v>
      </c>
      <c r="AC33">
        <f t="shared" si="44"/>
        <v>719.39840000000004</v>
      </c>
      <c r="AD33">
        <f t="shared" si="45"/>
        <v>972.16000000000008</v>
      </c>
      <c r="AE33">
        <f t="shared" si="46"/>
        <v>719.39840000000004</v>
      </c>
      <c r="AF33">
        <f t="shared" si="47"/>
        <v>1244.3648000000001</v>
      </c>
      <c r="AG33" s="9">
        <f>Constants!$C$10</f>
        <v>0.55000000000000004</v>
      </c>
      <c r="AH33" s="9">
        <f>Constants!$C$12</f>
        <v>0.3</v>
      </c>
      <c r="AI33" s="9">
        <f>Constants!$C$13</f>
        <v>0</v>
      </c>
      <c r="AJ33" s="9">
        <f>Constants!$C$14</f>
        <v>0.125</v>
      </c>
      <c r="AK33" s="9">
        <f>Constants!$C$15</f>
        <v>0.25</v>
      </c>
      <c r="AL33" s="9">
        <f>Constants!$C$11</f>
        <v>0.2</v>
      </c>
      <c r="AM33" s="9">
        <f>Constants!$D$10</f>
        <v>0</v>
      </c>
      <c r="AN33" s="9">
        <f>Constants!$D$12</f>
        <v>0.02</v>
      </c>
      <c r="AO33" s="9">
        <f>Constants!$D$13</f>
        <v>0</v>
      </c>
      <c r="AP33" s="9">
        <f>Constants!$D$14</f>
        <v>0.01</v>
      </c>
      <c r="AQ33" s="9">
        <f>Constants!$D$15</f>
        <v>2E-3</v>
      </c>
      <c r="AR33" s="9">
        <f>Constants!$D$11</f>
        <v>5.0000000000000001E-3</v>
      </c>
      <c r="AS33">
        <f t="shared" si="48"/>
        <v>323.72927999999996</v>
      </c>
      <c r="AT33">
        <f t="shared" si="49"/>
        <v>330.53440000000001</v>
      </c>
      <c r="AU33">
        <f t="shared" si="50"/>
        <v>719.39840000000004</v>
      </c>
      <c r="AV33">
        <f t="shared" si="51"/>
        <v>840.91840000000002</v>
      </c>
      <c r="AW33">
        <f t="shared" si="52"/>
        <v>538.11000320000005</v>
      </c>
      <c r="AX33">
        <f t="shared" si="53"/>
        <v>989.27001600000006</v>
      </c>
      <c r="AY33">
        <f t="shared" si="54"/>
        <v>3741.9604992</v>
      </c>
      <c r="AZ33">
        <f t="shared" si="55"/>
        <v>719.39840000000004</v>
      </c>
      <c r="BA33">
        <f t="shared" si="56"/>
        <v>840.91840000000002</v>
      </c>
      <c r="BB33">
        <f t="shared" si="57"/>
        <v>2181.6436991999999</v>
      </c>
      <c r="BC33">
        <f>Constants!$B$23</f>
        <v>1.5714285714285714</v>
      </c>
      <c r="BD33">
        <f t="shared" si="58"/>
        <v>0</v>
      </c>
      <c r="BE33">
        <f t="shared" si="59"/>
        <v>15.2768</v>
      </c>
      <c r="BF33">
        <f t="shared" si="60"/>
        <v>0</v>
      </c>
      <c r="BG33">
        <f t="shared" si="61"/>
        <v>15.2768</v>
      </c>
      <c r="BH33">
        <f t="shared" si="62"/>
        <v>2.2609664000000005</v>
      </c>
      <c r="BI33">
        <f t="shared" si="63"/>
        <v>9.777152000000001</v>
      </c>
      <c r="BJ33">
        <f t="shared" si="64"/>
        <v>0</v>
      </c>
      <c r="BK33">
        <f t="shared" si="65"/>
        <v>6.6072159999999993</v>
      </c>
    </row>
    <row r="34" spans="1:64" x14ac:dyDescent="0.2">
      <c r="A34" s="2" t="str">
        <f>'Input Scenarios'!A61</f>
        <v>QLD</v>
      </c>
      <c r="B34" s="2" t="str">
        <f>'Input Scenarios'!B61</f>
        <v>28 or above</v>
      </c>
      <c r="C34" s="2" t="str">
        <f>'Input Scenarios'!C61</f>
        <v>Irrigated pasture</v>
      </c>
      <c r="D34" s="2" t="b">
        <f>'Input Scenarios'!D61</f>
        <v>1</v>
      </c>
      <c r="E34" s="2" t="str">
        <f>'Input Scenarios'!E61</f>
        <v>others</v>
      </c>
      <c r="F34" s="2">
        <f>'Input Scenarios'!F61</f>
        <v>44</v>
      </c>
      <c r="G34" s="2">
        <f>'Input Scenarios'!G61</f>
        <v>290</v>
      </c>
      <c r="H34" s="2">
        <f>IF('Input Scenarios'!H61&lt;&gt;"", 'Input Scenarios'!H61, _xlfn.XLOOKUP($E34,Constants!$A$3:$A$6, Constants!B$3:B$6))</f>
        <v>1.71</v>
      </c>
      <c r="I34" s="2">
        <f>IF('Input Scenarios'!I61&lt;&gt;"", 'Input Scenarios'!I61, _xlfn.XLOOKUP($E34,Constants!$A$3:$A$6, Constants!C$3:C$6))</f>
        <v>0.37</v>
      </c>
      <c r="J34" s="2">
        <f>IF('Input Scenarios'!J61&lt;&gt;"", 'Input Scenarios'!J61, _xlfn.XLOOKUP($E34,Constants!$A$3:$A$6, Constants!D$3:D$6))</f>
        <v>0.04</v>
      </c>
      <c r="K34" s="2">
        <f>'Input Scenarios'!K61</f>
        <v>0.2</v>
      </c>
      <c r="L34" s="2">
        <f>'Input Scenarios'!L61</f>
        <v>0.1</v>
      </c>
      <c r="M34" s="2">
        <f>'Input Scenarios'!M61</f>
        <v>0.2</v>
      </c>
      <c r="N34" s="2">
        <f>'Input Scenarios'!N61</f>
        <v>0.2</v>
      </c>
      <c r="O34" s="2">
        <f>'Input Scenarios'!O61</f>
        <v>0.2</v>
      </c>
      <c r="P34" s="2">
        <f>'Input Scenarios'!P61</f>
        <v>0.1</v>
      </c>
      <c r="Q34" s="2" t="b">
        <f>'Input Scenarios'!Q61</f>
        <v>1</v>
      </c>
      <c r="R34" s="2">
        <f>IF('Input Scenarios'!$R61&lt;&gt;"", 'Input Scenarios'!$R61, IF($Q34, Constants!$B$19, 0))</f>
        <v>0.25</v>
      </c>
      <c r="S34" s="2">
        <f>IF('Input Scenarios'!$R61&lt;&gt;"", 'Input Scenarios'!$R61, IF($Q34, Constants!$B$20, 0))</f>
        <v>0.25</v>
      </c>
      <c r="T34" s="2">
        <f t="shared" si="35"/>
        <v>510.40000000000003</v>
      </c>
      <c r="U34" s="2">
        <f t="shared" si="36"/>
        <v>0.15000000000000002</v>
      </c>
      <c r="V34" s="2">
        <f t="shared" si="37"/>
        <v>0.1</v>
      </c>
      <c r="W34" s="2">
        <f t="shared" si="38"/>
        <v>0.15000000000000002</v>
      </c>
      <c r="X34" s="2">
        <f t="shared" si="39"/>
        <v>0.2</v>
      </c>
      <c r="Y34" s="2">
        <f t="shared" si="40"/>
        <v>0.15000000000000002</v>
      </c>
      <c r="Z34" s="2">
        <f t="shared" si="41"/>
        <v>0.25</v>
      </c>
      <c r="AA34" s="2">
        <f t="shared" si="42"/>
        <v>76.560000000000016</v>
      </c>
      <c r="AB34" s="2">
        <f t="shared" si="43"/>
        <v>51.040000000000006</v>
      </c>
      <c r="AC34" s="2">
        <f t="shared" si="44"/>
        <v>76.560000000000016</v>
      </c>
      <c r="AD34" s="2">
        <f t="shared" si="45"/>
        <v>102.08000000000001</v>
      </c>
      <c r="AE34" s="2">
        <f t="shared" si="46"/>
        <v>76.560000000000016</v>
      </c>
      <c r="AF34" s="2">
        <f t="shared" si="47"/>
        <v>127.60000000000001</v>
      </c>
      <c r="AG34" s="18">
        <f>Constants!$C$10</f>
        <v>0.55000000000000004</v>
      </c>
      <c r="AH34" s="18">
        <f>Constants!$C$12</f>
        <v>0.3</v>
      </c>
      <c r="AI34" s="18">
        <f>Constants!$C$13</f>
        <v>0</v>
      </c>
      <c r="AJ34" s="18">
        <f>Constants!$C$14</f>
        <v>0.125</v>
      </c>
      <c r="AK34" s="18">
        <f>Constants!$C$15</f>
        <v>0.25</v>
      </c>
      <c r="AL34" s="18">
        <f>Constants!$C$11</f>
        <v>0.2</v>
      </c>
      <c r="AM34" s="18">
        <f>Constants!$D$10</f>
        <v>0</v>
      </c>
      <c r="AN34" s="18">
        <f>Constants!$D$12</f>
        <v>0.02</v>
      </c>
      <c r="AO34" s="18">
        <f>Constants!$D$13</f>
        <v>0</v>
      </c>
      <c r="AP34" s="18">
        <f>Constants!$D$14</f>
        <v>0.01</v>
      </c>
      <c r="AQ34" s="18">
        <f>Constants!$D$15</f>
        <v>2E-3</v>
      </c>
      <c r="AR34" s="18">
        <f>Constants!$D$11</f>
        <v>5.0000000000000001E-3</v>
      </c>
      <c r="AS34" s="2">
        <f t="shared" si="48"/>
        <v>34.452000000000005</v>
      </c>
      <c r="AT34" s="2">
        <f t="shared" si="49"/>
        <v>34.7072</v>
      </c>
      <c r="AU34" s="2">
        <f t="shared" si="50"/>
        <v>76.560000000000016</v>
      </c>
      <c r="AV34" s="2">
        <f t="shared" si="51"/>
        <v>88.299200000000013</v>
      </c>
      <c r="AW34" s="2">
        <f t="shared" si="52"/>
        <v>57.266880000000015</v>
      </c>
      <c r="AX34" s="2">
        <f t="shared" si="53"/>
        <v>101.44200000000001</v>
      </c>
      <c r="AY34" s="2">
        <f t="shared" si="54"/>
        <v>392.72728000000006</v>
      </c>
      <c r="AZ34" s="2">
        <f t="shared" si="55"/>
        <v>76.560000000000016</v>
      </c>
      <c r="BA34" s="2">
        <f t="shared" si="56"/>
        <v>88.299200000000013</v>
      </c>
      <c r="BB34" s="2">
        <f t="shared" si="57"/>
        <v>227.86808000000002</v>
      </c>
      <c r="BC34" s="2">
        <f>Constants!$B$23</f>
        <v>1.5714285714285714</v>
      </c>
      <c r="BD34" s="2">
        <f t="shared" si="58"/>
        <v>0</v>
      </c>
      <c r="BE34" s="2">
        <f t="shared" si="59"/>
        <v>1.6041142857142858</v>
      </c>
      <c r="BF34" s="2">
        <f t="shared" si="60"/>
        <v>0</v>
      </c>
      <c r="BG34" s="2">
        <f t="shared" si="61"/>
        <v>1.6041142857142858</v>
      </c>
      <c r="BH34" s="2">
        <f t="shared" si="62"/>
        <v>0.24061714285714292</v>
      </c>
      <c r="BI34" s="2">
        <f t="shared" si="63"/>
        <v>1.0025714285714287</v>
      </c>
      <c r="BJ34" s="2">
        <f t="shared" si="64"/>
        <v>0</v>
      </c>
      <c r="BK34" s="2">
        <f t="shared" si="65"/>
        <v>0.6937794285714286</v>
      </c>
      <c r="BL34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E42AA-E45B-5543-9803-D6C647B11E76}">
  <dimension ref="A2:BO26"/>
  <sheetViews>
    <sheetView topLeftCell="I10" workbookViewId="0">
      <selection activeCell="T9" sqref="T9"/>
    </sheetView>
  </sheetViews>
  <sheetFormatPr baseColWidth="10" defaultRowHeight="16" x14ac:dyDescent="0.2"/>
  <cols>
    <col min="64" max="64" width="12.5" customWidth="1"/>
  </cols>
  <sheetData>
    <row r="2" spans="1:67" x14ac:dyDescent="0.2">
      <c r="A2" s="1" t="s">
        <v>0</v>
      </c>
      <c r="B2" s="1"/>
      <c r="C2" s="1"/>
      <c r="D2" s="1"/>
      <c r="E2" s="1"/>
      <c r="F2" s="1"/>
      <c r="G2" s="1"/>
      <c r="H2" s="1"/>
    </row>
    <row r="3" spans="1:67" x14ac:dyDescent="0.2">
      <c r="A3" s="1"/>
      <c r="B3" s="1"/>
      <c r="C3" s="1"/>
      <c r="D3" s="1"/>
      <c r="E3" s="1"/>
      <c r="F3" s="1"/>
      <c r="G3" s="1"/>
      <c r="H3" s="1"/>
    </row>
    <row r="4" spans="1:67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/>
      <c r="I4" s="1" t="s">
        <v>1</v>
      </c>
      <c r="J4" s="1"/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/>
    </row>
    <row r="5" spans="1:67" x14ac:dyDescent="0.2">
      <c r="A5" s="1"/>
      <c r="B5" s="1"/>
      <c r="C5" s="1"/>
      <c r="D5" s="1"/>
      <c r="E5" s="1"/>
      <c r="F5" s="1"/>
      <c r="G5" s="1"/>
      <c r="H5" s="1"/>
    </row>
    <row r="6" spans="1:67" x14ac:dyDescent="0.2">
      <c r="A6" s="1"/>
      <c r="B6" s="1"/>
      <c r="C6" s="1"/>
      <c r="D6" s="1"/>
      <c r="E6" s="1"/>
      <c r="F6" s="1"/>
      <c r="G6" s="1"/>
      <c r="H6" s="1"/>
    </row>
    <row r="7" spans="1:67" x14ac:dyDescent="0.2">
      <c r="A7" s="1"/>
      <c r="B7" s="1"/>
      <c r="C7" s="1"/>
      <c r="D7" s="1"/>
      <c r="E7" s="1"/>
      <c r="F7" s="1"/>
      <c r="G7" s="1"/>
      <c r="H7" s="1"/>
    </row>
    <row r="8" spans="1:67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116</v>
      </c>
      <c r="J8" s="1" t="s">
        <v>117</v>
      </c>
      <c r="K8" t="s">
        <v>29</v>
      </c>
      <c r="L8" t="s">
        <v>31</v>
      </c>
      <c r="M8" t="s">
        <v>32</v>
      </c>
      <c r="N8" t="s">
        <v>33</v>
      </c>
      <c r="O8" t="s">
        <v>34</v>
      </c>
      <c r="P8" t="s">
        <v>30</v>
      </c>
      <c r="Q8" t="s">
        <v>36</v>
      </c>
      <c r="R8" t="s">
        <v>37</v>
      </c>
      <c r="S8" t="s">
        <v>38</v>
      </c>
      <c r="T8" t="s">
        <v>196</v>
      </c>
      <c r="U8" t="s">
        <v>199</v>
      </c>
      <c r="AA8" t="s">
        <v>200</v>
      </c>
      <c r="AS8" t="s">
        <v>201</v>
      </c>
    </row>
    <row r="9" spans="1:67" x14ac:dyDescent="0.2">
      <c r="A9" s="1"/>
      <c r="B9" s="1"/>
      <c r="C9" s="1"/>
      <c r="D9" s="1"/>
      <c r="E9" s="1"/>
      <c r="F9" s="1"/>
      <c r="G9" s="1"/>
      <c r="H9" s="1"/>
      <c r="U9" t="s">
        <v>29</v>
      </c>
      <c r="V9" t="s">
        <v>31</v>
      </c>
      <c r="W9" t="s">
        <v>32</v>
      </c>
      <c r="X9" t="s">
        <v>33</v>
      </c>
      <c r="Y9" t="s">
        <v>34</v>
      </c>
      <c r="Z9" t="s">
        <v>30</v>
      </c>
      <c r="AA9" t="s">
        <v>29</v>
      </c>
      <c r="AB9" t="s">
        <v>31</v>
      </c>
      <c r="AC9" t="s">
        <v>32</v>
      </c>
      <c r="AD9" t="s">
        <v>33</v>
      </c>
      <c r="AE9" t="s">
        <v>34</v>
      </c>
      <c r="AF9" t="s">
        <v>30</v>
      </c>
      <c r="AG9" t="s">
        <v>29</v>
      </c>
      <c r="AH9" t="s">
        <v>31</v>
      </c>
      <c r="AI9" t="s">
        <v>32</v>
      </c>
      <c r="AJ9" t="s">
        <v>33</v>
      </c>
      <c r="AK9" t="s">
        <v>34</v>
      </c>
      <c r="AL9" t="s">
        <v>30</v>
      </c>
      <c r="AM9" t="s">
        <v>29</v>
      </c>
      <c r="AN9" t="s">
        <v>31</v>
      </c>
      <c r="AO9" t="s">
        <v>32</v>
      </c>
      <c r="AP9" t="s">
        <v>33</v>
      </c>
      <c r="AQ9" t="s">
        <v>34</v>
      </c>
      <c r="AR9" t="s">
        <v>30</v>
      </c>
      <c r="AS9" t="s">
        <v>29</v>
      </c>
      <c r="AT9" t="s">
        <v>31</v>
      </c>
      <c r="AU9" t="s">
        <v>32</v>
      </c>
      <c r="AV9" t="s">
        <v>33</v>
      </c>
      <c r="AW9" t="s">
        <v>34</v>
      </c>
      <c r="AX9" t="s">
        <v>30</v>
      </c>
    </row>
    <row r="10" spans="1:67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17</v>
      </c>
      <c r="M10" s="3" t="s">
        <v>20</v>
      </c>
      <c r="N10" s="3" t="s">
        <v>21</v>
      </c>
      <c r="O10" s="3" t="s">
        <v>22</v>
      </c>
      <c r="P10" s="3" t="s">
        <v>19</v>
      </c>
      <c r="Q10" s="3" t="s">
        <v>35</v>
      </c>
      <c r="R10" s="3" t="s">
        <v>23</v>
      </c>
      <c r="S10" s="6" t="s">
        <v>24</v>
      </c>
      <c r="T10" s="6" t="s">
        <v>115</v>
      </c>
      <c r="U10" s="6" t="s">
        <v>120</v>
      </c>
      <c r="V10" s="6" t="s">
        <v>121</v>
      </c>
      <c r="W10" s="7" t="s">
        <v>122</v>
      </c>
      <c r="X10" s="7" t="s">
        <v>123</v>
      </c>
      <c r="Y10" s="7" t="s">
        <v>124</v>
      </c>
      <c r="Z10" s="7" t="s">
        <v>125</v>
      </c>
      <c r="AA10" s="7" t="s">
        <v>145</v>
      </c>
      <c r="AB10" s="7" t="s">
        <v>146</v>
      </c>
      <c r="AC10" s="7" t="s">
        <v>147</v>
      </c>
      <c r="AD10" s="7" t="s">
        <v>148</v>
      </c>
      <c r="AE10" s="7" t="s">
        <v>149</v>
      </c>
      <c r="AF10" s="7" t="s">
        <v>150</v>
      </c>
      <c r="AG10" s="7" t="s">
        <v>126</v>
      </c>
      <c r="AH10" s="7" t="s">
        <v>128</v>
      </c>
      <c r="AI10" s="7" t="s">
        <v>129</v>
      </c>
      <c r="AJ10" s="7" t="s">
        <v>130</v>
      </c>
      <c r="AK10" s="7" t="s">
        <v>131</v>
      </c>
      <c r="AL10" s="7" t="s">
        <v>127</v>
      </c>
      <c r="AM10" s="7" t="s">
        <v>132</v>
      </c>
      <c r="AN10" s="7" t="s">
        <v>133</v>
      </c>
      <c r="AO10" s="7" t="s">
        <v>135</v>
      </c>
      <c r="AP10" s="7" t="s">
        <v>136</v>
      </c>
      <c r="AQ10" s="7" t="s">
        <v>137</v>
      </c>
      <c r="AR10" s="7" t="s">
        <v>134</v>
      </c>
      <c r="AS10" s="7" t="s">
        <v>139</v>
      </c>
      <c r="AT10" s="7" t="s">
        <v>140</v>
      </c>
      <c r="AU10" s="7" t="s">
        <v>141</v>
      </c>
      <c r="AV10" s="7" t="s">
        <v>143</v>
      </c>
      <c r="AW10" s="7" t="s">
        <v>144</v>
      </c>
      <c r="AX10" s="7" t="s">
        <v>142</v>
      </c>
      <c r="AY10" s="7" t="s">
        <v>138</v>
      </c>
      <c r="AZ10" s="7" t="s">
        <v>151</v>
      </c>
      <c r="BA10" s="7" t="s">
        <v>152</v>
      </c>
      <c r="BB10" s="7" t="s">
        <v>186</v>
      </c>
      <c r="BC10" s="7" t="s">
        <v>71</v>
      </c>
      <c r="BD10" s="11" t="s">
        <v>161</v>
      </c>
      <c r="BE10" s="11" t="s">
        <v>163</v>
      </c>
      <c r="BF10" s="11" t="s">
        <v>164</v>
      </c>
      <c r="BG10" s="11" t="s">
        <v>165</v>
      </c>
      <c r="BH10" s="11" t="s">
        <v>166</v>
      </c>
      <c r="BI10" s="11" t="s">
        <v>168</v>
      </c>
      <c r="BJ10" s="11" t="s">
        <v>162</v>
      </c>
      <c r="BK10" s="11" t="s">
        <v>167</v>
      </c>
      <c r="BL10" s="11" t="s">
        <v>169</v>
      </c>
      <c r="BM10" s="11" t="s">
        <v>74</v>
      </c>
      <c r="BN10" s="8" t="s">
        <v>171</v>
      </c>
      <c r="BO10" s="8" t="s">
        <v>170</v>
      </c>
    </row>
    <row r="11" spans="1:67" x14ac:dyDescent="0.2">
      <c r="A11" t="str">
        <f>'Input Scenarios'!A11</f>
        <v>NSW</v>
      </c>
      <c r="B11">
        <f>'Input Scenarios'!B11</f>
        <v>0</v>
      </c>
      <c r="C11" t="str">
        <f>'Input Scenarios'!C11</f>
        <v>Irrigated crop</v>
      </c>
      <c r="D11" t="b">
        <f>'Input Scenarios'!D11</f>
        <v>1</v>
      </c>
      <c r="E11" t="str">
        <f>'Input Scenarios'!E11</f>
        <v>boars</v>
      </c>
      <c r="F11">
        <f>'Input Scenarios'!F11</f>
        <v>111</v>
      </c>
      <c r="G11">
        <f>'Input Scenarios'!G11</f>
        <v>105</v>
      </c>
      <c r="H11">
        <f>IF('Input Scenarios'!H11&lt;&gt;"", 'Input Scenarios'!H11, _xlfn.XLOOKUP($E11,Constants!$A$3:$A$6, Constants!B$3:B$6))</f>
        <v>2.62</v>
      </c>
      <c r="I11">
        <f>IF('Input Scenarios'!I11&lt;&gt;"", 'Input Scenarios'!I11, _xlfn.XLOOKUP($E11,Constants!$A$3:$A$6, Constants!C$3:C$6))</f>
        <v>0.4</v>
      </c>
      <c r="J11">
        <f>IF('Input Scenarios'!J11&lt;&gt;"", 'Input Scenarios'!J11, _xlfn.XLOOKUP($E11,Constants!$A$3:$A$6, Constants!D$3:D$6))</f>
        <v>4.5999999999999999E-2</v>
      </c>
      <c r="K11">
        <f>'Input Scenarios'!K11</f>
        <v>1</v>
      </c>
      <c r="L11">
        <f>'Input Scenarios'!L11</f>
        <v>0</v>
      </c>
      <c r="M11">
        <f>'Input Scenarios'!M11</f>
        <v>0</v>
      </c>
      <c r="N11">
        <f>'Input Scenarios'!N11</f>
        <v>0</v>
      </c>
      <c r="O11">
        <f>'Input Scenarios'!O11</f>
        <v>0</v>
      </c>
      <c r="P11">
        <f>'Input Scenarios'!P11</f>
        <v>0</v>
      </c>
      <c r="Q11" t="b">
        <f>'Input Scenarios'!Q11</f>
        <v>1</v>
      </c>
      <c r="R11">
        <f>IF('Input Scenarios'!$R11&lt;&gt;"", 'Input Scenarios'!$R11, IF($Q11, Constants!$B$19, 0))</f>
        <v>0.25</v>
      </c>
      <c r="S11">
        <f>IF('Input Scenarios'!$R11&lt;&gt;"", 'Input Scenarios'!$R11, IF($Q11, Constants!$B$20, 0))</f>
        <v>0.25</v>
      </c>
      <c r="T11">
        <f>F11*G11*J11</f>
        <v>536.13</v>
      </c>
      <c r="U11">
        <f>K11*(1-$S11)</f>
        <v>0.75</v>
      </c>
      <c r="V11">
        <f>L11</f>
        <v>0</v>
      </c>
      <c r="W11">
        <f t="shared" ref="W11:Y26" si="0">M11*(1-$S11)</f>
        <v>0</v>
      </c>
      <c r="X11">
        <f>N11</f>
        <v>0</v>
      </c>
      <c r="Y11">
        <f t="shared" si="0"/>
        <v>0</v>
      </c>
      <c r="Z11">
        <f>P11+(SUM(K11, M11, O11)*S11)</f>
        <v>0.25</v>
      </c>
      <c r="AA11">
        <f>$T11*U11</f>
        <v>402.09749999999997</v>
      </c>
      <c r="AB11">
        <f t="shared" ref="AB11:AF26" si="1">$T11*V11</f>
        <v>0</v>
      </c>
      <c r="AC11">
        <f t="shared" si="1"/>
        <v>0</v>
      </c>
      <c r="AD11">
        <f t="shared" si="1"/>
        <v>0</v>
      </c>
      <c r="AE11">
        <f t="shared" si="1"/>
        <v>0</v>
      </c>
      <c r="AF11">
        <f t="shared" si="1"/>
        <v>134.0325</v>
      </c>
      <c r="AG11" s="9">
        <f>Constants!$C$10</f>
        <v>0.55000000000000004</v>
      </c>
      <c r="AH11" s="9">
        <f>Constants!$C$12</f>
        <v>0.3</v>
      </c>
      <c r="AI11" s="9">
        <f>Constants!$C$13</f>
        <v>0</v>
      </c>
      <c r="AJ11" s="9">
        <f>Constants!$C$14</f>
        <v>0.125</v>
      </c>
      <c r="AK11" s="9">
        <f>Constants!$C$15</f>
        <v>0.25</v>
      </c>
      <c r="AL11" s="9">
        <f>Constants!$C$11</f>
        <v>0.2</v>
      </c>
      <c r="AM11" s="9">
        <f>Constants!$D$10</f>
        <v>0</v>
      </c>
      <c r="AN11" s="9">
        <f>Constants!$D$12</f>
        <v>0.02</v>
      </c>
      <c r="AO11" s="9">
        <f>Constants!$D$13</f>
        <v>0</v>
      </c>
      <c r="AP11" s="9">
        <f>Constants!$D$14</f>
        <v>0.01</v>
      </c>
      <c r="AQ11" s="9">
        <f>Constants!$D$15</f>
        <v>2E-3</v>
      </c>
      <c r="AR11" s="9">
        <f>Constants!$D$11</f>
        <v>5.0000000000000001E-3</v>
      </c>
      <c r="AS11">
        <f>AA11*(1-AG11-AM11)</f>
        <v>180.94387499999996</v>
      </c>
      <c r="AT11">
        <f t="shared" ref="AT11:AX26" si="2">AB11*(1-AH11-AN11)</f>
        <v>0</v>
      </c>
      <c r="AU11">
        <f t="shared" si="2"/>
        <v>0</v>
      </c>
      <c r="AV11">
        <f t="shared" si="2"/>
        <v>0</v>
      </c>
      <c r="AW11">
        <f t="shared" si="2"/>
        <v>0</v>
      </c>
      <c r="AX11">
        <f t="shared" si="2"/>
        <v>106.55583750000001</v>
      </c>
      <c r="AY11">
        <f>SUM(AS11:AX11)</f>
        <v>287.49971249999999</v>
      </c>
      <c r="AZ11">
        <f>AU11</f>
        <v>0</v>
      </c>
      <c r="BA11">
        <f>AV11</f>
        <v>0</v>
      </c>
      <c r="BB11">
        <f>SUM(AS11:AT11,AW11:AX11)</f>
        <v>287.49971249999999</v>
      </c>
      <c r="BC11">
        <f>Constants!$B$23</f>
        <v>1.5714285714285714</v>
      </c>
      <c r="BD11">
        <f t="shared" ref="BD11:BD26" si="3">AA11*AG11</f>
        <v>221.15362500000001</v>
      </c>
      <c r="BE11">
        <f t="shared" ref="BE11:BE26" si="4">AB11*AH11</f>
        <v>0</v>
      </c>
      <c r="BF11">
        <f t="shared" ref="BF11:BF26" si="5">AC11*AI11</f>
        <v>0</v>
      </c>
      <c r="BG11">
        <f t="shared" ref="BG11:BG26" si="6">AD11*AJ11</f>
        <v>0</v>
      </c>
      <c r="BH11">
        <f t="shared" ref="BH11:BH26" si="7">AE11*AK11</f>
        <v>0</v>
      </c>
      <c r="BI11">
        <f t="shared" ref="BI11:BI26" si="8">AF11*AL11</f>
        <v>26.8065</v>
      </c>
      <c r="BJ11">
        <f>AZ11*AG11</f>
        <v>0</v>
      </c>
      <c r="BK11">
        <f>BA11*AL11</f>
        <v>0</v>
      </c>
      <c r="BL11">
        <f>SUM(BD11:BK11)</f>
        <v>247.96012500000001</v>
      </c>
      <c r="BM11">
        <f>_xlfn.XLOOKUP(C11, Constants!$D$19:$D$23, Constants!$E$19:$E$23)</f>
        <v>7.0000000000000001E-3</v>
      </c>
      <c r="BN11">
        <f>(BL11*BM11*BC11)/1000</f>
        <v>2.7275613750000001E-3</v>
      </c>
      <c r="BO11">
        <f>SUM(BN11:BN14)</f>
        <v>3.077206935E-2</v>
      </c>
    </row>
    <row r="12" spans="1:67" x14ac:dyDescent="0.2">
      <c r="A12" t="str">
        <f>'Input Scenarios'!A12</f>
        <v>NSW</v>
      </c>
      <c r="B12">
        <f>'Input Scenarios'!B12</f>
        <v>0</v>
      </c>
      <c r="C12" t="str">
        <f>'Input Scenarios'!C12</f>
        <v>Irrigated crop</v>
      </c>
      <c r="D12" t="b">
        <f>'Input Scenarios'!D12</f>
        <v>1</v>
      </c>
      <c r="E12" t="str">
        <f>'Input Scenarios'!E12</f>
        <v>sows</v>
      </c>
      <c r="F12">
        <f>'Input Scenarios'!F12</f>
        <v>222</v>
      </c>
      <c r="G12">
        <f>'Input Scenarios'!G12</f>
        <v>103</v>
      </c>
      <c r="H12">
        <f>IF('Input Scenarios'!H12&lt;&gt;"", 'Input Scenarios'!H12, _xlfn.XLOOKUP($E12,Constants!$A$3:$A$6, Constants!B$3:B$6))</f>
        <v>2.2999999999999998</v>
      </c>
      <c r="I12">
        <f>IF('Input Scenarios'!I12&lt;&gt;"", 'Input Scenarios'!I12, _xlfn.XLOOKUP($E12,Constants!$A$3:$A$6, Constants!C$3:C$6))</f>
        <v>0.46</v>
      </c>
      <c r="J12">
        <f>IF('Input Scenarios'!J12&lt;&gt;"", 'Input Scenarios'!J12, _xlfn.XLOOKUP($E12,Constants!$A$3:$A$6, Constants!D$3:D$6))</f>
        <v>4.9000000000000002E-2</v>
      </c>
      <c r="K12">
        <f>'Input Scenarios'!K12</f>
        <v>1</v>
      </c>
      <c r="L12">
        <f>'Input Scenarios'!L12</f>
        <v>0</v>
      </c>
      <c r="M12">
        <f>'Input Scenarios'!M12</f>
        <v>0</v>
      </c>
      <c r="N12">
        <f>'Input Scenarios'!N12</f>
        <v>0</v>
      </c>
      <c r="O12">
        <f>'Input Scenarios'!O12</f>
        <v>0</v>
      </c>
      <c r="P12">
        <f>'Input Scenarios'!P12</f>
        <v>0</v>
      </c>
      <c r="Q12" t="b">
        <f>'Input Scenarios'!Q12</f>
        <v>1</v>
      </c>
      <c r="R12">
        <f>IF('Input Scenarios'!$R12&lt;&gt;"", 'Input Scenarios'!$R12, IF($Q12, Constants!$B$19, 0))</f>
        <v>0.25</v>
      </c>
      <c r="S12">
        <f>IF('Input Scenarios'!$R12&lt;&gt;"", 'Input Scenarios'!$R12, IF($Q12, Constants!$B$20, 0))</f>
        <v>0.25</v>
      </c>
      <c r="T12">
        <f t="shared" ref="T12:T26" si="9">F12*G12*J12</f>
        <v>1120.434</v>
      </c>
      <c r="U12">
        <f t="shared" ref="U12:U26" si="10">K12*(1-$S12)</f>
        <v>0.75</v>
      </c>
      <c r="V12">
        <f t="shared" ref="V12:V26" si="11">L12</f>
        <v>0</v>
      </c>
      <c r="W12">
        <f t="shared" si="0"/>
        <v>0</v>
      </c>
      <c r="X12">
        <f t="shared" ref="X12:X26" si="12">N12</f>
        <v>0</v>
      </c>
      <c r="Y12">
        <f t="shared" si="0"/>
        <v>0</v>
      </c>
      <c r="Z12">
        <f t="shared" ref="Z12:Z26" si="13">P12+(SUM(K12, M12, O12)*S12)</f>
        <v>0.25</v>
      </c>
      <c r="AA12">
        <f t="shared" ref="AA12:AA26" si="14">$T12*U12</f>
        <v>840.32549999999992</v>
      </c>
      <c r="AB12">
        <f t="shared" si="1"/>
        <v>0</v>
      </c>
      <c r="AC12">
        <f t="shared" si="1"/>
        <v>0</v>
      </c>
      <c r="AD12">
        <f t="shared" si="1"/>
        <v>0</v>
      </c>
      <c r="AE12">
        <f t="shared" si="1"/>
        <v>0</v>
      </c>
      <c r="AF12">
        <f t="shared" si="1"/>
        <v>280.10849999999999</v>
      </c>
      <c r="AG12" s="9">
        <f>Constants!$C$10</f>
        <v>0.55000000000000004</v>
      </c>
      <c r="AH12" s="9">
        <f>Constants!$C$12</f>
        <v>0.3</v>
      </c>
      <c r="AI12" s="9">
        <f>Constants!$C$13</f>
        <v>0</v>
      </c>
      <c r="AJ12" s="9">
        <f>Constants!$C$14</f>
        <v>0.125</v>
      </c>
      <c r="AK12" s="9">
        <f>Constants!$C$15</f>
        <v>0.25</v>
      </c>
      <c r="AL12" s="9">
        <f>Constants!$C$11</f>
        <v>0.2</v>
      </c>
      <c r="AM12" s="9">
        <f>Constants!$D$10</f>
        <v>0</v>
      </c>
      <c r="AN12" s="9">
        <f>Constants!$D$12</f>
        <v>0.02</v>
      </c>
      <c r="AO12" s="9">
        <f>Constants!$D$13</f>
        <v>0</v>
      </c>
      <c r="AP12" s="9">
        <f>Constants!$D$14</f>
        <v>0.01</v>
      </c>
      <c r="AQ12" s="9">
        <f>Constants!$D$15</f>
        <v>2E-3</v>
      </c>
      <c r="AR12" s="9">
        <f>Constants!$D$11</f>
        <v>5.0000000000000001E-3</v>
      </c>
      <c r="AS12">
        <f t="shared" ref="AS12:AS26" si="15">AA12*(1-AG12-AM12)</f>
        <v>378.14647499999995</v>
      </c>
      <c r="AT12">
        <f t="shared" si="2"/>
        <v>0</v>
      </c>
      <c r="AU12">
        <f t="shared" si="2"/>
        <v>0</v>
      </c>
      <c r="AV12">
        <f t="shared" si="2"/>
        <v>0</v>
      </c>
      <c r="AW12">
        <f t="shared" si="2"/>
        <v>0</v>
      </c>
      <c r="AX12">
        <f t="shared" si="2"/>
        <v>222.68625750000001</v>
      </c>
      <c r="AY12">
        <f t="shared" ref="AY12:AY26" si="16">SUM(AS12:AX12)</f>
        <v>600.83273250000002</v>
      </c>
      <c r="AZ12">
        <f t="shared" ref="AZ12:BA26" si="17">AU12</f>
        <v>0</v>
      </c>
      <c r="BA12">
        <f t="shared" si="17"/>
        <v>0</v>
      </c>
      <c r="BB12">
        <f t="shared" ref="BB12:BB26" si="18">SUM(AS12:AT12,AW12:AX12)</f>
        <v>600.83273250000002</v>
      </c>
      <c r="BC12">
        <f>Constants!$B$23</f>
        <v>1.5714285714285714</v>
      </c>
      <c r="BD12">
        <f t="shared" si="3"/>
        <v>462.17902499999997</v>
      </c>
      <c r="BE12">
        <f t="shared" si="4"/>
        <v>0</v>
      </c>
      <c r="BF12">
        <f t="shared" si="5"/>
        <v>0</v>
      </c>
      <c r="BG12">
        <f t="shared" si="6"/>
        <v>0</v>
      </c>
      <c r="BH12">
        <f t="shared" si="7"/>
        <v>0</v>
      </c>
      <c r="BI12">
        <f t="shared" si="8"/>
        <v>56.021700000000003</v>
      </c>
      <c r="BJ12">
        <f t="shared" ref="BJ12:BJ26" si="19">AZ12*AG12</f>
        <v>0</v>
      </c>
      <c r="BK12">
        <f t="shared" ref="BK12:BK26" si="20">BA12*AL12</f>
        <v>0</v>
      </c>
      <c r="BL12">
        <f t="shared" ref="BL12:BL26" si="21">SUM(BD12:BK12)</f>
        <v>518.20072499999992</v>
      </c>
      <c r="BM12">
        <f>_xlfn.XLOOKUP(C12, Constants!$D$19:$D$23, Constants!$E$19:$E$23)</f>
        <v>7.0000000000000001E-3</v>
      </c>
      <c r="BN12">
        <f t="shared" ref="BN12:BN26" si="22">(BL12*BM12*BC12)/1000</f>
        <v>5.7002079749999988E-3</v>
      </c>
    </row>
    <row r="13" spans="1:67" x14ac:dyDescent="0.2">
      <c r="A13" t="str">
        <f>'Input Scenarios'!A13</f>
        <v>NSW</v>
      </c>
      <c r="B13">
        <f>'Input Scenarios'!B13</f>
        <v>0</v>
      </c>
      <c r="C13" t="str">
        <f>'Input Scenarios'!C13</f>
        <v>Irrigated crop</v>
      </c>
      <c r="D13" t="b">
        <f>'Input Scenarios'!D13</f>
        <v>1</v>
      </c>
      <c r="E13" t="str">
        <f>'Input Scenarios'!E13</f>
        <v>gilts</v>
      </c>
      <c r="F13">
        <f>'Input Scenarios'!F13</f>
        <v>333</v>
      </c>
      <c r="G13">
        <f>'Input Scenarios'!G13</f>
        <v>200</v>
      </c>
      <c r="H13">
        <f>IF('Input Scenarios'!H13&lt;&gt;"", 'Input Scenarios'!H13, _xlfn.XLOOKUP($E13,Constants!$A$3:$A$6, Constants!B$3:B$6))</f>
        <v>2.5</v>
      </c>
      <c r="I13">
        <f>IF('Input Scenarios'!I13&lt;&gt;"", 'Input Scenarios'!I13, _xlfn.XLOOKUP($E13,Constants!$A$3:$A$6, Constants!C$3:C$6))</f>
        <v>0.55000000000000004</v>
      </c>
      <c r="J13">
        <f>IF('Input Scenarios'!J13&lt;&gt;"", 'Input Scenarios'!J13, _xlfn.XLOOKUP($E13,Constants!$A$3:$A$6, Constants!D$3:D$6))</f>
        <v>4.5999999999999999E-2</v>
      </c>
      <c r="K13">
        <f>'Input Scenarios'!K13</f>
        <v>0</v>
      </c>
      <c r="L13">
        <f>'Input Scenarios'!L13</f>
        <v>0</v>
      </c>
      <c r="M13">
        <f>'Input Scenarios'!M13</f>
        <v>0</v>
      </c>
      <c r="N13">
        <f>'Input Scenarios'!N13</f>
        <v>0</v>
      </c>
      <c r="O13">
        <f>'Input Scenarios'!O13</f>
        <v>1</v>
      </c>
      <c r="P13">
        <f>'Input Scenarios'!P13</f>
        <v>0</v>
      </c>
      <c r="Q13" t="b">
        <f>'Input Scenarios'!Q13</f>
        <v>0</v>
      </c>
      <c r="R13">
        <f>IF('Input Scenarios'!$R13&lt;&gt;"", 'Input Scenarios'!$R13, IF($Q13, Constants!$B$19, 0))</f>
        <v>0</v>
      </c>
      <c r="S13">
        <f>IF('Input Scenarios'!$R13&lt;&gt;"", 'Input Scenarios'!$R13, IF($Q13, Constants!$B$20, 0))</f>
        <v>0</v>
      </c>
      <c r="T13">
        <f t="shared" si="9"/>
        <v>3063.6</v>
      </c>
      <c r="U13">
        <f t="shared" si="10"/>
        <v>0</v>
      </c>
      <c r="V13">
        <f t="shared" si="11"/>
        <v>0</v>
      </c>
      <c r="W13">
        <f t="shared" si="0"/>
        <v>0</v>
      </c>
      <c r="X13">
        <f t="shared" si="12"/>
        <v>0</v>
      </c>
      <c r="Y13">
        <f t="shared" si="0"/>
        <v>1</v>
      </c>
      <c r="Z13">
        <f t="shared" si="13"/>
        <v>0</v>
      </c>
      <c r="AA13">
        <f t="shared" si="14"/>
        <v>0</v>
      </c>
      <c r="AB13">
        <f t="shared" si="1"/>
        <v>0</v>
      </c>
      <c r="AC13">
        <f t="shared" si="1"/>
        <v>0</v>
      </c>
      <c r="AD13">
        <f t="shared" si="1"/>
        <v>0</v>
      </c>
      <c r="AE13">
        <f t="shared" si="1"/>
        <v>3063.6</v>
      </c>
      <c r="AF13">
        <f t="shared" si="1"/>
        <v>0</v>
      </c>
      <c r="AG13" s="9">
        <f>Constants!$C$10</f>
        <v>0.55000000000000004</v>
      </c>
      <c r="AH13" s="9">
        <f>Constants!$C$12</f>
        <v>0.3</v>
      </c>
      <c r="AI13" s="9">
        <f>Constants!$C$13</f>
        <v>0</v>
      </c>
      <c r="AJ13" s="9">
        <f>Constants!$C$14</f>
        <v>0.125</v>
      </c>
      <c r="AK13" s="9">
        <f>Constants!$C$15</f>
        <v>0.25</v>
      </c>
      <c r="AL13" s="9">
        <f>Constants!$C$11</f>
        <v>0.2</v>
      </c>
      <c r="AM13" s="9">
        <f>Constants!$D$10</f>
        <v>0</v>
      </c>
      <c r="AN13" s="9">
        <f>Constants!$D$12</f>
        <v>0.02</v>
      </c>
      <c r="AO13" s="9">
        <f>Constants!$D$13</f>
        <v>0</v>
      </c>
      <c r="AP13" s="9">
        <f>Constants!$D$14</f>
        <v>0.01</v>
      </c>
      <c r="AQ13" s="9">
        <f>Constants!$D$15</f>
        <v>2E-3</v>
      </c>
      <c r="AR13" s="9">
        <f>Constants!$D$11</f>
        <v>5.0000000000000001E-3</v>
      </c>
      <c r="AS13">
        <f t="shared" si="15"/>
        <v>0</v>
      </c>
      <c r="AT13">
        <f t="shared" si="2"/>
        <v>0</v>
      </c>
      <c r="AU13">
        <f t="shared" si="2"/>
        <v>0</v>
      </c>
      <c r="AV13">
        <f t="shared" si="2"/>
        <v>0</v>
      </c>
      <c r="AW13">
        <f t="shared" si="2"/>
        <v>2291.5727999999999</v>
      </c>
      <c r="AX13">
        <f t="shared" si="2"/>
        <v>0</v>
      </c>
      <c r="AY13">
        <f t="shared" si="16"/>
        <v>2291.5727999999999</v>
      </c>
      <c r="AZ13">
        <f t="shared" si="17"/>
        <v>0</v>
      </c>
      <c r="BA13">
        <f t="shared" si="17"/>
        <v>0</v>
      </c>
      <c r="BB13">
        <f t="shared" si="18"/>
        <v>2291.5727999999999</v>
      </c>
      <c r="BC13">
        <f>Constants!$B$23</f>
        <v>1.5714285714285714</v>
      </c>
      <c r="BD13">
        <f t="shared" si="3"/>
        <v>0</v>
      </c>
      <c r="BE13">
        <f t="shared" si="4"/>
        <v>0</v>
      </c>
      <c r="BF13">
        <f t="shared" si="5"/>
        <v>0</v>
      </c>
      <c r="BG13">
        <f t="shared" si="6"/>
        <v>0</v>
      </c>
      <c r="BH13">
        <f t="shared" si="7"/>
        <v>765.9</v>
      </c>
      <c r="BI13">
        <f t="shared" si="8"/>
        <v>0</v>
      </c>
      <c r="BJ13">
        <f t="shared" si="19"/>
        <v>0</v>
      </c>
      <c r="BK13">
        <f t="shared" si="20"/>
        <v>0</v>
      </c>
      <c r="BL13">
        <f t="shared" si="21"/>
        <v>765.9</v>
      </c>
      <c r="BM13">
        <f>_xlfn.XLOOKUP(C13, Constants!$D$19:$D$23, Constants!$E$19:$E$23)</f>
        <v>7.0000000000000001E-3</v>
      </c>
      <c r="BN13">
        <f t="shared" si="22"/>
        <v>8.4248999999999991E-3</v>
      </c>
    </row>
    <row r="14" spans="1:67" s="2" customFormat="1" x14ac:dyDescent="0.2">
      <c r="A14" s="2" t="str">
        <f>'Input Scenarios'!A14</f>
        <v>NSW</v>
      </c>
      <c r="B14" s="2">
        <f>'Input Scenarios'!B14</f>
        <v>0</v>
      </c>
      <c r="C14" s="2" t="str">
        <f>'Input Scenarios'!C14</f>
        <v>Irrigated crop</v>
      </c>
      <c r="D14" s="2" t="b">
        <f>'Input Scenarios'!D14</f>
        <v>1</v>
      </c>
      <c r="E14" s="2" t="str">
        <f>'Input Scenarios'!E14</f>
        <v>others</v>
      </c>
      <c r="F14" s="2">
        <f>'Input Scenarios'!F14</f>
        <v>444</v>
      </c>
      <c r="G14" s="2">
        <f>'Input Scenarios'!G14</f>
        <v>365</v>
      </c>
      <c r="H14">
        <f>IF('Input Scenarios'!H14&lt;&gt;"", 'Input Scenarios'!H14, _xlfn.XLOOKUP($E14,Constants!$A$3:$A$6, Constants!B$3:B$6))</f>
        <v>1.71</v>
      </c>
      <c r="I14">
        <f>IF('Input Scenarios'!I14&lt;&gt;"", 'Input Scenarios'!I14, _xlfn.XLOOKUP($E14,Constants!$A$3:$A$6, Constants!C$3:C$6))</f>
        <v>0.39</v>
      </c>
      <c r="J14">
        <f>IF('Input Scenarios'!J14&lt;&gt;"", 'Input Scenarios'!J14, _xlfn.XLOOKUP($E14,Constants!$A$3:$A$6, Constants!D$3:D$6))</f>
        <v>3.1232876712328769E-2</v>
      </c>
      <c r="K14" s="2">
        <f>'Input Scenarios'!K14</f>
        <v>0</v>
      </c>
      <c r="L14" s="2">
        <f>'Input Scenarios'!L14</f>
        <v>0</v>
      </c>
      <c r="M14" s="2">
        <f>'Input Scenarios'!M14</f>
        <v>0</v>
      </c>
      <c r="N14" s="2">
        <f>'Input Scenarios'!N14</f>
        <v>0</v>
      </c>
      <c r="O14" s="2">
        <f>'Input Scenarios'!O14</f>
        <v>1</v>
      </c>
      <c r="P14" s="2">
        <f>'Input Scenarios'!P14</f>
        <v>0</v>
      </c>
      <c r="Q14" s="2" t="b">
        <f>'Input Scenarios'!Q14</f>
        <v>0</v>
      </c>
      <c r="R14" s="2">
        <f>IF('Input Scenarios'!$R14&lt;&gt;"", 'Input Scenarios'!$R14, IF($Q14, Constants!$B$19, 0))</f>
        <v>0</v>
      </c>
      <c r="S14" s="2">
        <f>IF('Input Scenarios'!$R14&lt;&gt;"", 'Input Scenarios'!$R14, IF($Q14, Constants!$B$20, 0))</f>
        <v>0</v>
      </c>
      <c r="T14">
        <f t="shared" si="9"/>
        <v>5061.6000000000004</v>
      </c>
      <c r="U14">
        <f t="shared" si="10"/>
        <v>0</v>
      </c>
      <c r="V14">
        <f t="shared" si="11"/>
        <v>0</v>
      </c>
      <c r="W14">
        <f t="shared" si="0"/>
        <v>0</v>
      </c>
      <c r="X14">
        <f t="shared" si="12"/>
        <v>0</v>
      </c>
      <c r="Y14">
        <f t="shared" si="0"/>
        <v>1</v>
      </c>
      <c r="Z14">
        <f t="shared" si="13"/>
        <v>0</v>
      </c>
      <c r="AA14">
        <f t="shared" si="14"/>
        <v>0</v>
      </c>
      <c r="AB14">
        <f t="shared" si="1"/>
        <v>0</v>
      </c>
      <c r="AC14">
        <f t="shared" si="1"/>
        <v>0</v>
      </c>
      <c r="AD14">
        <f t="shared" si="1"/>
        <v>0</v>
      </c>
      <c r="AE14">
        <f t="shared" si="1"/>
        <v>5061.6000000000004</v>
      </c>
      <c r="AF14">
        <f t="shared" si="1"/>
        <v>0</v>
      </c>
      <c r="AG14" s="9">
        <f>Constants!$C$10</f>
        <v>0.55000000000000004</v>
      </c>
      <c r="AH14" s="9">
        <f>Constants!$C$12</f>
        <v>0.3</v>
      </c>
      <c r="AI14" s="9">
        <f>Constants!$C$13</f>
        <v>0</v>
      </c>
      <c r="AJ14" s="9">
        <f>Constants!$C$14</f>
        <v>0.125</v>
      </c>
      <c r="AK14" s="9">
        <f>Constants!$C$15</f>
        <v>0.25</v>
      </c>
      <c r="AL14" s="9">
        <f>Constants!$C$11</f>
        <v>0.2</v>
      </c>
      <c r="AM14" s="9">
        <f>Constants!$D$10</f>
        <v>0</v>
      </c>
      <c r="AN14" s="9">
        <f>Constants!$D$12</f>
        <v>0.02</v>
      </c>
      <c r="AO14" s="9">
        <f>Constants!$D$13</f>
        <v>0</v>
      </c>
      <c r="AP14" s="9">
        <f>Constants!$D$14</f>
        <v>0.01</v>
      </c>
      <c r="AQ14" s="9">
        <f>Constants!$D$15</f>
        <v>2E-3</v>
      </c>
      <c r="AR14" s="9">
        <f>Constants!$D$11</f>
        <v>5.0000000000000001E-3</v>
      </c>
      <c r="AS14">
        <f t="shared" si="15"/>
        <v>0</v>
      </c>
      <c r="AT14">
        <f t="shared" si="2"/>
        <v>0</v>
      </c>
      <c r="AU14">
        <f t="shared" si="2"/>
        <v>0</v>
      </c>
      <c r="AV14">
        <f t="shared" si="2"/>
        <v>0</v>
      </c>
      <c r="AW14">
        <f t="shared" si="2"/>
        <v>3786.0768000000003</v>
      </c>
      <c r="AX14">
        <f t="shared" si="2"/>
        <v>0</v>
      </c>
      <c r="AY14">
        <f t="shared" si="16"/>
        <v>3786.0768000000003</v>
      </c>
      <c r="AZ14">
        <f t="shared" si="17"/>
        <v>0</v>
      </c>
      <c r="BA14">
        <f t="shared" si="17"/>
        <v>0</v>
      </c>
      <c r="BB14">
        <f t="shared" si="18"/>
        <v>3786.0768000000003</v>
      </c>
      <c r="BC14">
        <f>Constants!$B$23</f>
        <v>1.5714285714285714</v>
      </c>
      <c r="BD14">
        <f t="shared" si="3"/>
        <v>0</v>
      </c>
      <c r="BE14">
        <f t="shared" si="4"/>
        <v>0</v>
      </c>
      <c r="BF14">
        <f t="shared" si="5"/>
        <v>0</v>
      </c>
      <c r="BG14">
        <f t="shared" si="6"/>
        <v>0</v>
      </c>
      <c r="BH14">
        <f t="shared" si="7"/>
        <v>1265.4000000000001</v>
      </c>
      <c r="BI14">
        <f t="shared" si="8"/>
        <v>0</v>
      </c>
      <c r="BJ14">
        <f t="shared" si="19"/>
        <v>0</v>
      </c>
      <c r="BK14">
        <f t="shared" si="20"/>
        <v>0</v>
      </c>
      <c r="BL14">
        <f t="shared" si="21"/>
        <v>1265.4000000000001</v>
      </c>
      <c r="BM14">
        <f>_xlfn.XLOOKUP(C14, Constants!$D$19:$D$23, Constants!$E$19:$E$23)</f>
        <v>7.0000000000000001E-3</v>
      </c>
      <c r="BN14">
        <f t="shared" si="22"/>
        <v>1.3919400000000002E-2</v>
      </c>
    </row>
    <row r="15" spans="1:67" x14ac:dyDescent="0.2">
      <c r="A15" t="str">
        <f>'Input Scenarios'!A15</f>
        <v>NT</v>
      </c>
      <c r="B15">
        <f>'Input Scenarios'!B15</f>
        <v>0</v>
      </c>
      <c r="C15" t="str">
        <f>'Input Scenarios'!C15</f>
        <v>Irrigated pasture</v>
      </c>
      <c r="D15" t="b">
        <f>'Input Scenarios'!D15</f>
        <v>1</v>
      </c>
      <c r="E15" t="str">
        <f>'Input Scenarios'!E15</f>
        <v>boars</v>
      </c>
      <c r="F15">
        <f>'Input Scenarios'!F15</f>
        <v>105</v>
      </c>
      <c r="G15">
        <f>'Input Scenarios'!G15</f>
        <v>75</v>
      </c>
      <c r="H15">
        <f>IF('Input Scenarios'!H15&lt;&gt;"", 'Input Scenarios'!H15, _xlfn.XLOOKUP($E15,Constants!$A$3:$A$6, Constants!B$3:B$6))</f>
        <v>2.62</v>
      </c>
      <c r="I15">
        <f>IF('Input Scenarios'!I15&lt;&gt;"", 'Input Scenarios'!I15, _xlfn.XLOOKUP($E15,Constants!$A$3:$A$6, Constants!C$3:C$6))</f>
        <v>0.4</v>
      </c>
      <c r="J15">
        <f>IF('Input Scenarios'!J15&lt;&gt;"", 'Input Scenarios'!J15, _xlfn.XLOOKUP($E15,Constants!$A$3:$A$6, Constants!D$3:D$6))</f>
        <v>4.5999999999999999E-2</v>
      </c>
      <c r="K15">
        <f>'Input Scenarios'!K15</f>
        <v>0.2</v>
      </c>
      <c r="L15">
        <f>'Input Scenarios'!L15</f>
        <v>0.1</v>
      </c>
      <c r="M15">
        <f>'Input Scenarios'!M15</f>
        <v>0.2</v>
      </c>
      <c r="N15">
        <f>'Input Scenarios'!N15</f>
        <v>0.2</v>
      </c>
      <c r="O15">
        <f>'Input Scenarios'!O15</f>
        <v>0.2</v>
      </c>
      <c r="P15">
        <f>'Input Scenarios'!P15</f>
        <v>0.1</v>
      </c>
      <c r="Q15" t="b">
        <f>'Input Scenarios'!Q15</f>
        <v>1</v>
      </c>
      <c r="R15">
        <f>IF('Input Scenarios'!$R15&lt;&gt;"", 'Input Scenarios'!$R15, IF($Q15, Constants!$B$19, 0))</f>
        <v>0.25</v>
      </c>
      <c r="S15">
        <f>IF('Input Scenarios'!$R15&lt;&gt;"", 'Input Scenarios'!$R15, IF($Q15, Constants!$B$20, 0))</f>
        <v>0.25</v>
      </c>
      <c r="T15">
        <f t="shared" si="9"/>
        <v>362.25</v>
      </c>
      <c r="U15">
        <f t="shared" si="10"/>
        <v>0.15000000000000002</v>
      </c>
      <c r="V15">
        <f t="shared" si="11"/>
        <v>0.1</v>
      </c>
      <c r="W15">
        <f t="shared" si="0"/>
        <v>0.15000000000000002</v>
      </c>
      <c r="X15">
        <f t="shared" si="12"/>
        <v>0.2</v>
      </c>
      <c r="Y15">
        <f t="shared" si="0"/>
        <v>0.15000000000000002</v>
      </c>
      <c r="Z15">
        <f t="shared" si="13"/>
        <v>0.25</v>
      </c>
      <c r="AA15">
        <f t="shared" si="14"/>
        <v>54.337500000000006</v>
      </c>
      <c r="AB15">
        <f t="shared" si="1"/>
        <v>36.225000000000001</v>
      </c>
      <c r="AC15">
        <f t="shared" si="1"/>
        <v>54.337500000000006</v>
      </c>
      <c r="AD15">
        <f t="shared" si="1"/>
        <v>72.45</v>
      </c>
      <c r="AE15">
        <f t="shared" si="1"/>
        <v>54.337500000000006</v>
      </c>
      <c r="AF15">
        <f t="shared" si="1"/>
        <v>90.5625</v>
      </c>
      <c r="AG15" s="9">
        <f>Constants!$C$10</f>
        <v>0.55000000000000004</v>
      </c>
      <c r="AH15" s="9">
        <f>Constants!$C$12</f>
        <v>0.3</v>
      </c>
      <c r="AI15" s="9">
        <f>Constants!$C$13</f>
        <v>0</v>
      </c>
      <c r="AJ15" s="9">
        <f>Constants!$C$14</f>
        <v>0.125</v>
      </c>
      <c r="AK15" s="9">
        <f>Constants!$C$15</f>
        <v>0.25</v>
      </c>
      <c r="AL15" s="9">
        <f>Constants!$C$11</f>
        <v>0.2</v>
      </c>
      <c r="AM15" s="9">
        <f>Constants!$D$10</f>
        <v>0</v>
      </c>
      <c r="AN15" s="9">
        <f>Constants!$D$12</f>
        <v>0.02</v>
      </c>
      <c r="AO15" s="9">
        <f>Constants!$D$13</f>
        <v>0</v>
      </c>
      <c r="AP15" s="9">
        <f>Constants!$D$14</f>
        <v>0.01</v>
      </c>
      <c r="AQ15" s="9">
        <f>Constants!$D$15</f>
        <v>2E-3</v>
      </c>
      <c r="AR15" s="9">
        <f>Constants!$D$11</f>
        <v>5.0000000000000001E-3</v>
      </c>
      <c r="AS15">
        <f t="shared" si="15"/>
        <v>24.451875000000001</v>
      </c>
      <c r="AT15">
        <f t="shared" si="2"/>
        <v>24.632999999999999</v>
      </c>
      <c r="AU15">
        <f t="shared" si="2"/>
        <v>54.337500000000006</v>
      </c>
      <c r="AV15">
        <f t="shared" si="2"/>
        <v>62.669250000000005</v>
      </c>
      <c r="AW15">
        <f t="shared" si="2"/>
        <v>40.644450000000006</v>
      </c>
      <c r="AX15">
        <f t="shared" si="2"/>
        <v>71.99718750000001</v>
      </c>
      <c r="AY15">
        <f t="shared" si="16"/>
        <v>278.73326250000002</v>
      </c>
      <c r="AZ15">
        <f t="shared" si="17"/>
        <v>54.337500000000006</v>
      </c>
      <c r="BA15">
        <f t="shared" si="17"/>
        <v>62.669250000000005</v>
      </c>
      <c r="BB15">
        <f t="shared" si="18"/>
        <v>161.72651250000001</v>
      </c>
      <c r="BC15">
        <f>Constants!$B$23</f>
        <v>1.5714285714285714</v>
      </c>
      <c r="BD15">
        <f t="shared" si="3"/>
        <v>29.885625000000005</v>
      </c>
      <c r="BE15">
        <f t="shared" si="4"/>
        <v>10.8675</v>
      </c>
      <c r="BF15">
        <f t="shared" si="5"/>
        <v>0</v>
      </c>
      <c r="BG15">
        <f t="shared" si="6"/>
        <v>9.0562500000000004</v>
      </c>
      <c r="BH15">
        <f t="shared" si="7"/>
        <v>13.584375000000001</v>
      </c>
      <c r="BI15">
        <f t="shared" si="8"/>
        <v>18.112500000000001</v>
      </c>
      <c r="BJ15">
        <f t="shared" si="19"/>
        <v>29.885625000000005</v>
      </c>
      <c r="BK15">
        <f t="shared" si="20"/>
        <v>12.533850000000001</v>
      </c>
      <c r="BL15">
        <f t="shared" si="21"/>
        <v>123.92572500000001</v>
      </c>
      <c r="BM15">
        <f>_xlfn.XLOOKUP(C15, Constants!$D$19:$D$23, Constants!$E$19:$E$23)</f>
        <v>5.8999999999999999E-3</v>
      </c>
      <c r="BN15">
        <f t="shared" si="22"/>
        <v>1.1489685075000001E-3</v>
      </c>
      <c r="BO15">
        <f>SUM(BN15:BN18)</f>
        <v>3.1185182725572219E-2</v>
      </c>
    </row>
    <row r="16" spans="1:67" x14ac:dyDescent="0.2">
      <c r="A16" t="str">
        <f>'Input Scenarios'!A16</f>
        <v>NT</v>
      </c>
      <c r="B16">
        <f>'Input Scenarios'!B16</f>
        <v>0</v>
      </c>
      <c r="C16" t="str">
        <f>'Input Scenarios'!C16</f>
        <v>Irrigated pasture</v>
      </c>
      <c r="D16" t="b">
        <f>'Input Scenarios'!D16</f>
        <v>1</v>
      </c>
      <c r="E16" t="str">
        <f>'Input Scenarios'!E16</f>
        <v>sows</v>
      </c>
      <c r="F16">
        <f>'Input Scenarios'!F16</f>
        <v>245</v>
      </c>
      <c r="G16">
        <f>'Input Scenarios'!G16</f>
        <v>290</v>
      </c>
      <c r="H16">
        <f>IF('Input Scenarios'!H16&lt;&gt;"", 'Input Scenarios'!H16, _xlfn.XLOOKUP($E16,Constants!$A$3:$A$6, Constants!B$3:B$6))</f>
        <v>2.2999999999999998</v>
      </c>
      <c r="I16">
        <f>IF('Input Scenarios'!I16&lt;&gt;"", 'Input Scenarios'!I16, _xlfn.XLOOKUP($E16,Constants!$A$3:$A$6, Constants!C$3:C$6))</f>
        <v>0.46</v>
      </c>
      <c r="J16">
        <f>IF('Input Scenarios'!J16&lt;&gt;"", 'Input Scenarios'!J16, _xlfn.XLOOKUP($E16,Constants!$A$3:$A$6, Constants!D$3:D$6))</f>
        <v>4.9000000000000002E-2</v>
      </c>
      <c r="K16">
        <f>'Input Scenarios'!K16</f>
        <v>0.2</v>
      </c>
      <c r="L16">
        <f>'Input Scenarios'!L16</f>
        <v>0.1</v>
      </c>
      <c r="M16">
        <f>'Input Scenarios'!M16</f>
        <v>0.2</v>
      </c>
      <c r="N16">
        <f>'Input Scenarios'!N16</f>
        <v>0.2</v>
      </c>
      <c r="O16">
        <f>'Input Scenarios'!O16</f>
        <v>0.2</v>
      </c>
      <c r="P16">
        <f>'Input Scenarios'!P16</f>
        <v>0.1</v>
      </c>
      <c r="Q16" t="b">
        <f>'Input Scenarios'!Q16</f>
        <v>1</v>
      </c>
      <c r="R16">
        <f>IF('Input Scenarios'!$R16&lt;&gt;"", 'Input Scenarios'!$R16, IF($Q16, Constants!$B$19, 0))</f>
        <v>0.25</v>
      </c>
      <c r="S16">
        <f>IF('Input Scenarios'!$R16&lt;&gt;"", 'Input Scenarios'!$R16, IF($Q16, Constants!$B$20, 0))</f>
        <v>0.25</v>
      </c>
      <c r="T16">
        <f t="shared" si="9"/>
        <v>3481.4500000000003</v>
      </c>
      <c r="U16">
        <f t="shared" si="10"/>
        <v>0.15000000000000002</v>
      </c>
      <c r="V16">
        <f t="shared" si="11"/>
        <v>0.1</v>
      </c>
      <c r="W16">
        <f t="shared" si="0"/>
        <v>0.15000000000000002</v>
      </c>
      <c r="X16">
        <f t="shared" si="12"/>
        <v>0.2</v>
      </c>
      <c r="Y16">
        <f t="shared" si="0"/>
        <v>0.15000000000000002</v>
      </c>
      <c r="Z16">
        <f t="shared" si="13"/>
        <v>0.25</v>
      </c>
      <c r="AA16">
        <f t="shared" si="14"/>
        <v>522.21750000000009</v>
      </c>
      <c r="AB16">
        <f t="shared" si="1"/>
        <v>348.14500000000004</v>
      </c>
      <c r="AC16">
        <f t="shared" si="1"/>
        <v>522.21750000000009</v>
      </c>
      <c r="AD16">
        <f t="shared" si="1"/>
        <v>696.29000000000008</v>
      </c>
      <c r="AE16">
        <f t="shared" si="1"/>
        <v>522.21750000000009</v>
      </c>
      <c r="AF16">
        <f t="shared" si="1"/>
        <v>870.36250000000007</v>
      </c>
      <c r="AG16" s="9">
        <f>Constants!$C$10</f>
        <v>0.55000000000000004</v>
      </c>
      <c r="AH16" s="9">
        <f>Constants!$C$12</f>
        <v>0.3</v>
      </c>
      <c r="AI16" s="9">
        <f>Constants!$C$13</f>
        <v>0</v>
      </c>
      <c r="AJ16" s="9">
        <f>Constants!$C$14</f>
        <v>0.125</v>
      </c>
      <c r="AK16" s="9">
        <f>Constants!$C$15</f>
        <v>0.25</v>
      </c>
      <c r="AL16" s="9">
        <f>Constants!$C$11</f>
        <v>0.2</v>
      </c>
      <c r="AM16" s="9">
        <f>Constants!$D$10</f>
        <v>0</v>
      </c>
      <c r="AN16" s="9">
        <f>Constants!$D$12</f>
        <v>0.02</v>
      </c>
      <c r="AO16" s="9">
        <f>Constants!$D$13</f>
        <v>0</v>
      </c>
      <c r="AP16" s="9">
        <f>Constants!$D$14</f>
        <v>0.01</v>
      </c>
      <c r="AQ16" s="9">
        <f>Constants!$D$15</f>
        <v>2E-3</v>
      </c>
      <c r="AR16" s="9">
        <f>Constants!$D$11</f>
        <v>5.0000000000000001E-3</v>
      </c>
      <c r="AS16">
        <f t="shared" si="15"/>
        <v>234.99787500000002</v>
      </c>
      <c r="AT16">
        <f t="shared" si="2"/>
        <v>236.73859999999999</v>
      </c>
      <c r="AU16">
        <f t="shared" si="2"/>
        <v>522.21750000000009</v>
      </c>
      <c r="AV16">
        <f t="shared" si="2"/>
        <v>602.29085000000009</v>
      </c>
      <c r="AW16">
        <f t="shared" si="2"/>
        <v>390.61869000000007</v>
      </c>
      <c r="AX16">
        <f t="shared" si="2"/>
        <v>691.93818750000014</v>
      </c>
      <c r="AY16">
        <f t="shared" si="16"/>
        <v>2678.8017025000004</v>
      </c>
      <c r="AZ16">
        <f t="shared" si="17"/>
        <v>522.21750000000009</v>
      </c>
      <c r="BA16">
        <f t="shared" si="17"/>
        <v>602.29085000000009</v>
      </c>
      <c r="BB16">
        <f t="shared" si="18"/>
        <v>1554.2933525000003</v>
      </c>
      <c r="BC16">
        <f>Constants!$B$23</f>
        <v>1.5714285714285714</v>
      </c>
      <c r="BD16">
        <f t="shared" si="3"/>
        <v>287.21962500000006</v>
      </c>
      <c r="BE16">
        <f t="shared" si="4"/>
        <v>104.44350000000001</v>
      </c>
      <c r="BF16">
        <f t="shared" si="5"/>
        <v>0</v>
      </c>
      <c r="BG16">
        <f t="shared" si="6"/>
        <v>87.03625000000001</v>
      </c>
      <c r="BH16">
        <f t="shared" si="7"/>
        <v>130.55437500000002</v>
      </c>
      <c r="BI16">
        <f t="shared" si="8"/>
        <v>174.07250000000002</v>
      </c>
      <c r="BJ16">
        <f t="shared" si="19"/>
        <v>287.21962500000006</v>
      </c>
      <c r="BK16">
        <f t="shared" si="20"/>
        <v>120.45817000000002</v>
      </c>
      <c r="BL16">
        <f t="shared" si="21"/>
        <v>1191.0040450000004</v>
      </c>
      <c r="BM16">
        <f>_xlfn.XLOOKUP(C16, Constants!$D$19:$D$23, Constants!$E$19:$E$23)</f>
        <v>5.8999999999999999E-3</v>
      </c>
      <c r="BN16">
        <f t="shared" si="22"/>
        <v>1.1042308931500003E-2</v>
      </c>
    </row>
    <row r="17" spans="1:67" x14ac:dyDescent="0.2">
      <c r="A17" t="str">
        <f>'Input Scenarios'!A17</f>
        <v>NT</v>
      </c>
      <c r="B17">
        <f>'Input Scenarios'!B17</f>
        <v>0</v>
      </c>
      <c r="C17" t="str">
        <f>'Input Scenarios'!C17</f>
        <v>Irrigated pasture</v>
      </c>
      <c r="D17" t="b">
        <f>'Input Scenarios'!D17</f>
        <v>1</v>
      </c>
      <c r="E17" t="str">
        <f>'Input Scenarios'!E17</f>
        <v>gilts</v>
      </c>
      <c r="F17">
        <f>'Input Scenarios'!F17</f>
        <v>434</v>
      </c>
      <c r="G17">
        <f>'Input Scenarios'!G17</f>
        <v>280</v>
      </c>
      <c r="H17">
        <f>IF('Input Scenarios'!H17&lt;&gt;"", 'Input Scenarios'!H17, _xlfn.XLOOKUP($E17,Constants!$A$3:$A$6, Constants!B$3:B$6))</f>
        <v>2.5</v>
      </c>
      <c r="I17">
        <f>IF('Input Scenarios'!I17&lt;&gt;"", 'Input Scenarios'!I17, _xlfn.XLOOKUP($E17,Constants!$A$3:$A$6, Constants!C$3:C$6))</f>
        <v>0.55000000000000004</v>
      </c>
      <c r="J17">
        <f>IF('Input Scenarios'!J17&lt;&gt;"", 'Input Scenarios'!J17, _xlfn.XLOOKUP($E17,Constants!$A$3:$A$6, Constants!D$3:D$6))</f>
        <v>4.5999999999999999E-2</v>
      </c>
      <c r="K17">
        <f>'Input Scenarios'!K17</f>
        <v>0.2</v>
      </c>
      <c r="L17">
        <f>'Input Scenarios'!L17</f>
        <v>0.1</v>
      </c>
      <c r="M17">
        <f>'Input Scenarios'!M17</f>
        <v>0.2</v>
      </c>
      <c r="N17">
        <f>'Input Scenarios'!N17</f>
        <v>0.2</v>
      </c>
      <c r="O17">
        <f>'Input Scenarios'!O17</f>
        <v>0.2</v>
      </c>
      <c r="P17">
        <f>'Input Scenarios'!P17</f>
        <v>0.1</v>
      </c>
      <c r="Q17" t="b">
        <f>'Input Scenarios'!Q17</f>
        <v>1</v>
      </c>
      <c r="R17">
        <f>IF('Input Scenarios'!$R17&lt;&gt;"", 'Input Scenarios'!$R17, IF($Q17, Constants!$B$19, 0))</f>
        <v>0.25</v>
      </c>
      <c r="S17">
        <f>IF('Input Scenarios'!$R17&lt;&gt;"", 'Input Scenarios'!$R17, IF($Q17, Constants!$B$20, 0))</f>
        <v>0.25</v>
      </c>
      <c r="T17">
        <f t="shared" si="9"/>
        <v>5589.92</v>
      </c>
      <c r="U17">
        <f t="shared" si="10"/>
        <v>0.15000000000000002</v>
      </c>
      <c r="V17">
        <f t="shared" si="11"/>
        <v>0.1</v>
      </c>
      <c r="W17">
        <f t="shared" si="0"/>
        <v>0.15000000000000002</v>
      </c>
      <c r="X17">
        <f t="shared" si="12"/>
        <v>0.2</v>
      </c>
      <c r="Y17">
        <f t="shared" si="0"/>
        <v>0.15000000000000002</v>
      </c>
      <c r="Z17">
        <f t="shared" si="13"/>
        <v>0.25</v>
      </c>
      <c r="AA17">
        <f t="shared" si="14"/>
        <v>838.48800000000017</v>
      </c>
      <c r="AB17">
        <f t="shared" si="1"/>
        <v>558.99200000000008</v>
      </c>
      <c r="AC17">
        <f t="shared" si="1"/>
        <v>838.48800000000017</v>
      </c>
      <c r="AD17">
        <f t="shared" si="1"/>
        <v>1117.9840000000002</v>
      </c>
      <c r="AE17">
        <f t="shared" si="1"/>
        <v>838.48800000000017</v>
      </c>
      <c r="AF17">
        <f t="shared" si="1"/>
        <v>1397.48</v>
      </c>
      <c r="AG17" s="9">
        <f>Constants!$C$10</f>
        <v>0.55000000000000004</v>
      </c>
      <c r="AH17" s="9">
        <f>Constants!$C$12</f>
        <v>0.3</v>
      </c>
      <c r="AI17" s="9">
        <f>Constants!$C$13</f>
        <v>0</v>
      </c>
      <c r="AJ17" s="9">
        <f>Constants!$C$14</f>
        <v>0.125</v>
      </c>
      <c r="AK17" s="9">
        <f>Constants!$C$15</f>
        <v>0.25</v>
      </c>
      <c r="AL17" s="9">
        <f>Constants!$C$11</f>
        <v>0.2</v>
      </c>
      <c r="AM17" s="9">
        <f>Constants!$D$10</f>
        <v>0</v>
      </c>
      <c r="AN17" s="9">
        <f>Constants!$D$12</f>
        <v>0.02</v>
      </c>
      <c r="AO17" s="9">
        <f>Constants!$D$13</f>
        <v>0</v>
      </c>
      <c r="AP17" s="9">
        <f>Constants!$D$14</f>
        <v>0.01</v>
      </c>
      <c r="AQ17" s="9">
        <f>Constants!$D$15</f>
        <v>2E-3</v>
      </c>
      <c r="AR17" s="9">
        <f>Constants!$D$11</f>
        <v>5.0000000000000001E-3</v>
      </c>
      <c r="AS17">
        <f t="shared" si="15"/>
        <v>377.31960000000004</v>
      </c>
      <c r="AT17">
        <f t="shared" si="2"/>
        <v>380.11456000000004</v>
      </c>
      <c r="AU17">
        <f t="shared" si="2"/>
        <v>838.48800000000017</v>
      </c>
      <c r="AV17">
        <f t="shared" si="2"/>
        <v>967.05616000000009</v>
      </c>
      <c r="AW17">
        <f t="shared" si="2"/>
        <v>627.18902400000013</v>
      </c>
      <c r="AX17">
        <f t="shared" si="2"/>
        <v>1110.9966000000002</v>
      </c>
      <c r="AY17">
        <f t="shared" si="16"/>
        <v>4301.1639440000008</v>
      </c>
      <c r="AZ17">
        <f t="shared" si="17"/>
        <v>838.48800000000017</v>
      </c>
      <c r="BA17">
        <f t="shared" si="17"/>
        <v>967.05616000000009</v>
      </c>
      <c r="BB17">
        <f t="shared" si="18"/>
        <v>2495.6197840000004</v>
      </c>
      <c r="BC17">
        <f>Constants!$B$23</f>
        <v>1.5714285714285714</v>
      </c>
      <c r="BD17">
        <f t="shared" si="3"/>
        <v>461.16840000000013</v>
      </c>
      <c r="BE17">
        <f t="shared" si="4"/>
        <v>167.69760000000002</v>
      </c>
      <c r="BF17">
        <f t="shared" si="5"/>
        <v>0</v>
      </c>
      <c r="BG17">
        <f t="shared" si="6"/>
        <v>139.74800000000002</v>
      </c>
      <c r="BH17">
        <f t="shared" si="7"/>
        <v>209.62200000000004</v>
      </c>
      <c r="BI17">
        <f t="shared" si="8"/>
        <v>279.49600000000004</v>
      </c>
      <c r="BJ17">
        <f t="shared" si="19"/>
        <v>461.16840000000013</v>
      </c>
      <c r="BK17">
        <f t="shared" si="20"/>
        <v>193.41123200000004</v>
      </c>
      <c r="BL17">
        <f t="shared" si="21"/>
        <v>1912.3116320000004</v>
      </c>
      <c r="BM17">
        <f>_xlfn.XLOOKUP(C17, Constants!$D$19:$D$23, Constants!$E$19:$E$23)</f>
        <v>5.8999999999999999E-3</v>
      </c>
      <c r="BN17">
        <f t="shared" si="22"/>
        <v>1.7729860702400003E-2</v>
      </c>
    </row>
    <row r="18" spans="1:67" s="2" customFormat="1" x14ac:dyDescent="0.2">
      <c r="A18" s="2" t="str">
        <f>'Input Scenarios'!A18</f>
        <v>NT</v>
      </c>
      <c r="B18" s="2">
        <f>'Input Scenarios'!B18</f>
        <v>0</v>
      </c>
      <c r="C18" s="2" t="str">
        <f>'Input Scenarios'!C18</f>
        <v>Irrigated pasture</v>
      </c>
      <c r="D18" s="2" t="b">
        <f>'Input Scenarios'!D18</f>
        <v>1</v>
      </c>
      <c r="E18" s="2" t="str">
        <f>'Input Scenarios'!E18</f>
        <v>others</v>
      </c>
      <c r="F18" s="2">
        <f>'Input Scenarios'!F18</f>
        <v>44</v>
      </c>
      <c r="G18" s="2">
        <f>'Input Scenarios'!G18</f>
        <v>290</v>
      </c>
      <c r="H18">
        <f>IF('Input Scenarios'!H18&lt;&gt;"", 'Input Scenarios'!H18, _xlfn.XLOOKUP($E18,Constants!$A$3:$A$6, Constants!B$3:B$6))</f>
        <v>1.71</v>
      </c>
      <c r="I18">
        <f>IF('Input Scenarios'!I18&lt;&gt;"", 'Input Scenarios'!I18, _xlfn.XLOOKUP($E18,Constants!$A$3:$A$6, Constants!C$3:C$6))</f>
        <v>0.39</v>
      </c>
      <c r="J18">
        <f>IF('Input Scenarios'!J18&lt;&gt;"", 'Input Scenarios'!J18, _xlfn.XLOOKUP($E18,Constants!$A$3:$A$6, Constants!D$3:D$6))</f>
        <v>3.1232876712328769E-2</v>
      </c>
      <c r="K18" s="2">
        <f>'Input Scenarios'!K18</f>
        <v>0.2</v>
      </c>
      <c r="L18" s="2">
        <f>'Input Scenarios'!L18</f>
        <v>0.1</v>
      </c>
      <c r="M18" s="2">
        <f>'Input Scenarios'!M18</f>
        <v>0.2</v>
      </c>
      <c r="N18" s="2">
        <f>'Input Scenarios'!N18</f>
        <v>0.2</v>
      </c>
      <c r="O18" s="2">
        <f>'Input Scenarios'!O18</f>
        <v>0.2</v>
      </c>
      <c r="P18" s="2">
        <f>'Input Scenarios'!P18</f>
        <v>0.1</v>
      </c>
      <c r="Q18" s="2" t="b">
        <f>'Input Scenarios'!Q18</f>
        <v>1</v>
      </c>
      <c r="R18" s="2">
        <f>IF('Input Scenarios'!$R18&lt;&gt;"", 'Input Scenarios'!$R18, IF($Q18, Constants!$B$19, 0))</f>
        <v>0.25</v>
      </c>
      <c r="S18" s="2">
        <f>IF('Input Scenarios'!$R18&lt;&gt;"", 'Input Scenarios'!$R18, IF($Q18, Constants!$B$20, 0))</f>
        <v>0.25</v>
      </c>
      <c r="T18">
        <f t="shared" si="9"/>
        <v>398.53150684931506</v>
      </c>
      <c r="U18">
        <f t="shared" si="10"/>
        <v>0.15000000000000002</v>
      </c>
      <c r="V18">
        <f t="shared" si="11"/>
        <v>0.1</v>
      </c>
      <c r="W18">
        <f t="shared" si="0"/>
        <v>0.15000000000000002</v>
      </c>
      <c r="X18">
        <f t="shared" si="12"/>
        <v>0.2</v>
      </c>
      <c r="Y18">
        <f t="shared" si="0"/>
        <v>0.15000000000000002</v>
      </c>
      <c r="Z18">
        <f t="shared" si="13"/>
        <v>0.25</v>
      </c>
      <c r="AA18">
        <f t="shared" si="14"/>
        <v>59.779726027397267</v>
      </c>
      <c r="AB18">
        <f t="shared" si="1"/>
        <v>39.853150684931506</v>
      </c>
      <c r="AC18">
        <f t="shared" si="1"/>
        <v>59.779726027397267</v>
      </c>
      <c r="AD18">
        <f t="shared" si="1"/>
        <v>79.706301369863013</v>
      </c>
      <c r="AE18">
        <f t="shared" si="1"/>
        <v>59.779726027397267</v>
      </c>
      <c r="AF18">
        <f t="shared" si="1"/>
        <v>99.632876712328766</v>
      </c>
      <c r="AG18" s="9">
        <f>Constants!$C$10</f>
        <v>0.55000000000000004</v>
      </c>
      <c r="AH18" s="9">
        <f>Constants!$C$12</f>
        <v>0.3</v>
      </c>
      <c r="AI18" s="9">
        <f>Constants!$C$13</f>
        <v>0</v>
      </c>
      <c r="AJ18" s="9">
        <f>Constants!$C$14</f>
        <v>0.125</v>
      </c>
      <c r="AK18" s="9">
        <f>Constants!$C$15</f>
        <v>0.25</v>
      </c>
      <c r="AL18" s="9">
        <f>Constants!$C$11</f>
        <v>0.2</v>
      </c>
      <c r="AM18" s="9">
        <f>Constants!$D$10</f>
        <v>0</v>
      </c>
      <c r="AN18" s="9">
        <f>Constants!$D$12</f>
        <v>0.02</v>
      </c>
      <c r="AO18" s="9">
        <f>Constants!$D$13</f>
        <v>0</v>
      </c>
      <c r="AP18" s="9">
        <f>Constants!$D$14</f>
        <v>0.01</v>
      </c>
      <c r="AQ18" s="9">
        <f>Constants!$D$15</f>
        <v>2E-3</v>
      </c>
      <c r="AR18" s="9">
        <f>Constants!$D$11</f>
        <v>5.0000000000000001E-3</v>
      </c>
      <c r="AS18">
        <f t="shared" si="15"/>
        <v>26.900876712328767</v>
      </c>
      <c r="AT18">
        <f t="shared" si="2"/>
        <v>27.100142465753422</v>
      </c>
      <c r="AU18">
        <f t="shared" si="2"/>
        <v>59.779726027397267</v>
      </c>
      <c r="AV18">
        <f t="shared" si="2"/>
        <v>68.945950684931503</v>
      </c>
      <c r="AW18">
        <f t="shared" si="2"/>
        <v>44.715235068493158</v>
      </c>
      <c r="AX18">
        <f t="shared" si="2"/>
        <v>79.208136986301369</v>
      </c>
      <c r="AY18">
        <f t="shared" si="16"/>
        <v>306.65006794520548</v>
      </c>
      <c r="AZ18">
        <f t="shared" si="17"/>
        <v>59.779726027397267</v>
      </c>
      <c r="BA18">
        <f t="shared" si="17"/>
        <v>68.945950684931503</v>
      </c>
      <c r="BB18">
        <f t="shared" si="18"/>
        <v>177.9243912328767</v>
      </c>
      <c r="BC18">
        <f>Constants!$B$23</f>
        <v>1.5714285714285714</v>
      </c>
      <c r="BD18">
        <f t="shared" si="3"/>
        <v>32.8788493150685</v>
      </c>
      <c r="BE18">
        <f t="shared" si="4"/>
        <v>11.955945205479452</v>
      </c>
      <c r="BF18">
        <f t="shared" si="5"/>
        <v>0</v>
      </c>
      <c r="BG18">
        <f t="shared" si="6"/>
        <v>9.9632876712328766</v>
      </c>
      <c r="BH18">
        <f t="shared" si="7"/>
        <v>14.944931506849317</v>
      </c>
      <c r="BI18">
        <f t="shared" si="8"/>
        <v>19.926575342465753</v>
      </c>
      <c r="BJ18">
        <f t="shared" si="19"/>
        <v>32.8788493150685</v>
      </c>
      <c r="BK18">
        <f t="shared" si="20"/>
        <v>13.789190136986301</v>
      </c>
      <c r="BL18">
        <f t="shared" si="21"/>
        <v>136.3376284931507</v>
      </c>
      <c r="BM18">
        <f>_xlfn.XLOOKUP(C18, Constants!$D$19:$D$23, Constants!$E$19:$E$23)</f>
        <v>5.8999999999999999E-3</v>
      </c>
      <c r="BN18">
        <f t="shared" si="22"/>
        <v>1.2640445841722114E-3</v>
      </c>
    </row>
    <row r="19" spans="1:67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pasture</v>
      </c>
      <c r="D19" t="b">
        <f>'Input Scenarios'!D19</f>
        <v>1</v>
      </c>
      <c r="E19" t="str">
        <f>'Input Scenarios'!E19</f>
        <v>boars</v>
      </c>
      <c r="F19">
        <f>'Input Scenarios'!F19</f>
        <v>1000</v>
      </c>
      <c r="G19">
        <f>'Input Scenarios'!G19</f>
        <v>100</v>
      </c>
      <c r="H19">
        <f>IF('Input Scenarios'!H19&lt;&gt;"", 'Input Scenarios'!H19, _xlfn.XLOOKUP($E19,Constants!$A$3:$A$6, Constants!B$3:B$6))</f>
        <v>2.62</v>
      </c>
      <c r="I19">
        <f>IF('Input Scenarios'!I19&lt;&gt;"", 'Input Scenarios'!I19, _xlfn.XLOOKUP($E19,Constants!$A$3:$A$6, Constants!C$3:C$6))</f>
        <v>0.4</v>
      </c>
      <c r="J19">
        <f>IF('Input Scenarios'!J19&lt;&gt;"", 'Input Scenarios'!J19, _xlfn.XLOOKUP($E19,Constants!$A$3:$A$6, Constants!D$3:D$6))</f>
        <v>4.5999999999999999E-2</v>
      </c>
      <c r="K19">
        <f>'Input Scenarios'!K19</f>
        <v>0.3</v>
      </c>
      <c r="L19">
        <f>'Input Scenarios'!L19</f>
        <v>0</v>
      </c>
      <c r="M19">
        <f>'Input Scenarios'!M19</f>
        <v>0</v>
      </c>
      <c r="N19">
        <f>'Input Scenarios'!N19</f>
        <v>0.3</v>
      </c>
      <c r="O19">
        <f>'Input Scenarios'!O19</f>
        <v>0</v>
      </c>
      <c r="P19">
        <f>'Input Scenarios'!P19</f>
        <v>0.4</v>
      </c>
      <c r="Q19" t="b">
        <f>'Input Scenarios'!Q19</f>
        <v>0</v>
      </c>
      <c r="R19">
        <f>IF('Input Scenarios'!$R19&lt;&gt;"", 'Input Scenarios'!$R19, IF($Q19, Constants!$B$19, 0))</f>
        <v>0</v>
      </c>
      <c r="S19">
        <f>IF('Input Scenarios'!$R19&lt;&gt;"", 'Input Scenarios'!$R19, IF($Q19, Constants!$B$20, 0))</f>
        <v>0</v>
      </c>
      <c r="T19">
        <f t="shared" si="9"/>
        <v>4600</v>
      </c>
      <c r="U19">
        <f t="shared" si="10"/>
        <v>0.3</v>
      </c>
      <c r="V19">
        <f t="shared" si="11"/>
        <v>0</v>
      </c>
      <c r="W19">
        <f t="shared" si="0"/>
        <v>0</v>
      </c>
      <c r="X19">
        <f t="shared" si="12"/>
        <v>0.3</v>
      </c>
      <c r="Y19">
        <f t="shared" si="0"/>
        <v>0</v>
      </c>
      <c r="Z19">
        <f t="shared" si="13"/>
        <v>0.4</v>
      </c>
      <c r="AA19">
        <f t="shared" si="14"/>
        <v>1380</v>
      </c>
      <c r="AB19">
        <f t="shared" si="1"/>
        <v>0</v>
      </c>
      <c r="AC19">
        <f t="shared" si="1"/>
        <v>0</v>
      </c>
      <c r="AD19">
        <f t="shared" si="1"/>
        <v>1380</v>
      </c>
      <c r="AE19">
        <f t="shared" si="1"/>
        <v>0</v>
      </c>
      <c r="AF19">
        <f t="shared" si="1"/>
        <v>1840</v>
      </c>
      <c r="AG19" s="9">
        <f>Constants!$C$10</f>
        <v>0.55000000000000004</v>
      </c>
      <c r="AH19" s="9">
        <f>Constants!$C$12</f>
        <v>0.3</v>
      </c>
      <c r="AI19" s="9">
        <f>Constants!$C$13</f>
        <v>0</v>
      </c>
      <c r="AJ19" s="9">
        <f>Constants!$C$14</f>
        <v>0.125</v>
      </c>
      <c r="AK19" s="9">
        <f>Constants!$C$15</f>
        <v>0.25</v>
      </c>
      <c r="AL19" s="9">
        <f>Constants!$C$11</f>
        <v>0.2</v>
      </c>
      <c r="AM19" s="9">
        <f>Constants!$D$10</f>
        <v>0</v>
      </c>
      <c r="AN19" s="9">
        <f>Constants!$D$12</f>
        <v>0.02</v>
      </c>
      <c r="AO19" s="9">
        <f>Constants!$D$13</f>
        <v>0</v>
      </c>
      <c r="AP19" s="9">
        <f>Constants!$D$14</f>
        <v>0.01</v>
      </c>
      <c r="AQ19" s="9">
        <f>Constants!$D$15</f>
        <v>2E-3</v>
      </c>
      <c r="AR19" s="9">
        <f>Constants!$D$11</f>
        <v>5.0000000000000001E-3</v>
      </c>
      <c r="AS19">
        <f t="shared" si="15"/>
        <v>620.99999999999989</v>
      </c>
      <c r="AT19">
        <f t="shared" si="2"/>
        <v>0</v>
      </c>
      <c r="AU19">
        <f t="shared" si="2"/>
        <v>0</v>
      </c>
      <c r="AV19">
        <f t="shared" si="2"/>
        <v>1193.7</v>
      </c>
      <c r="AW19">
        <f t="shared" si="2"/>
        <v>0</v>
      </c>
      <c r="AX19">
        <f t="shared" si="2"/>
        <v>1462.8000000000002</v>
      </c>
      <c r="AY19">
        <f t="shared" si="16"/>
        <v>3277.5</v>
      </c>
      <c r="AZ19">
        <f t="shared" si="17"/>
        <v>0</v>
      </c>
      <c r="BA19">
        <f t="shared" si="17"/>
        <v>1193.7</v>
      </c>
      <c r="BB19">
        <f t="shared" si="18"/>
        <v>2083.8000000000002</v>
      </c>
      <c r="BC19">
        <f>Constants!$B$23</f>
        <v>1.5714285714285714</v>
      </c>
      <c r="BD19">
        <f t="shared" si="3"/>
        <v>759.00000000000011</v>
      </c>
      <c r="BE19">
        <f t="shared" si="4"/>
        <v>0</v>
      </c>
      <c r="BF19">
        <f t="shared" si="5"/>
        <v>0</v>
      </c>
      <c r="BG19">
        <f t="shared" si="6"/>
        <v>172.5</v>
      </c>
      <c r="BH19">
        <f t="shared" si="7"/>
        <v>0</v>
      </c>
      <c r="BI19">
        <f t="shared" si="8"/>
        <v>368</v>
      </c>
      <c r="BJ19">
        <f t="shared" si="19"/>
        <v>0</v>
      </c>
      <c r="BK19">
        <f t="shared" si="20"/>
        <v>238.74</v>
      </c>
      <c r="BL19">
        <f t="shared" si="21"/>
        <v>1538.24</v>
      </c>
      <c r="BM19">
        <f>_xlfn.XLOOKUP(C19, Constants!$D$19:$D$23, Constants!$E$19:$E$23)</f>
        <v>1.8E-3</v>
      </c>
      <c r="BN19">
        <f t="shared" si="22"/>
        <v>4.3510217142857131E-3</v>
      </c>
      <c r="BO19">
        <f>SUM(BN19:BN22)</f>
        <v>1.0665866597636008E-2</v>
      </c>
    </row>
    <row r="20" spans="1:67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pasture</v>
      </c>
      <c r="D20" t="b">
        <f>'Input Scenarios'!D20</f>
        <v>1</v>
      </c>
      <c r="E20" t="str">
        <f>'Input Scenarios'!E20</f>
        <v>sows</v>
      </c>
      <c r="F20">
        <f>'Input Scenarios'!F20</f>
        <v>233</v>
      </c>
      <c r="G20">
        <f>'Input Scenarios'!G20</f>
        <v>100</v>
      </c>
      <c r="H20">
        <f>IF('Input Scenarios'!H20&lt;&gt;"", 'Input Scenarios'!H20, _xlfn.XLOOKUP($E20,Constants!$A$3:$A$6, Constants!B$3:B$6))</f>
        <v>2.2999999999999998</v>
      </c>
      <c r="I20">
        <f>IF('Input Scenarios'!I20&lt;&gt;"", 'Input Scenarios'!I20, _xlfn.XLOOKUP($E20,Constants!$A$3:$A$6, Constants!C$3:C$6))</f>
        <v>0.46</v>
      </c>
      <c r="J20">
        <f>IF('Input Scenarios'!J20&lt;&gt;"", 'Input Scenarios'!J20, _xlfn.XLOOKUP($E20,Constants!$A$3:$A$6, Constants!D$3:D$6))</f>
        <v>4.9000000000000002E-2</v>
      </c>
      <c r="K20">
        <f>'Input Scenarios'!K20</f>
        <v>0.3</v>
      </c>
      <c r="L20">
        <f>'Input Scenarios'!L20</f>
        <v>0</v>
      </c>
      <c r="M20">
        <f>'Input Scenarios'!M20</f>
        <v>0</v>
      </c>
      <c r="N20">
        <f>'Input Scenarios'!N20</f>
        <v>0.3</v>
      </c>
      <c r="O20">
        <f>'Input Scenarios'!O20</f>
        <v>0</v>
      </c>
      <c r="P20">
        <f>'Input Scenarios'!P20</f>
        <v>0.4</v>
      </c>
      <c r="Q20" t="b">
        <f>'Input Scenarios'!Q20</f>
        <v>0</v>
      </c>
      <c r="R20">
        <f>IF('Input Scenarios'!$R20&lt;&gt;"", 'Input Scenarios'!$R20, IF($Q20, Constants!$B$19, 0))</f>
        <v>0</v>
      </c>
      <c r="S20">
        <f>IF('Input Scenarios'!$R20&lt;&gt;"", 'Input Scenarios'!$R20, IF($Q20, Constants!$B$20, 0))</f>
        <v>0</v>
      </c>
      <c r="T20">
        <f t="shared" si="9"/>
        <v>1141.7</v>
      </c>
      <c r="U20">
        <f t="shared" si="10"/>
        <v>0.3</v>
      </c>
      <c r="V20">
        <f t="shared" si="11"/>
        <v>0</v>
      </c>
      <c r="W20">
        <f t="shared" si="0"/>
        <v>0</v>
      </c>
      <c r="X20">
        <f t="shared" si="12"/>
        <v>0.3</v>
      </c>
      <c r="Y20">
        <f t="shared" si="0"/>
        <v>0</v>
      </c>
      <c r="Z20">
        <f t="shared" si="13"/>
        <v>0.4</v>
      </c>
      <c r="AA20">
        <f t="shared" si="14"/>
        <v>342.51</v>
      </c>
      <c r="AB20">
        <f t="shared" si="1"/>
        <v>0</v>
      </c>
      <c r="AC20">
        <f t="shared" si="1"/>
        <v>0</v>
      </c>
      <c r="AD20">
        <f t="shared" si="1"/>
        <v>342.51</v>
      </c>
      <c r="AE20">
        <f t="shared" si="1"/>
        <v>0</v>
      </c>
      <c r="AF20">
        <f t="shared" si="1"/>
        <v>456.68000000000006</v>
      </c>
      <c r="AG20" s="9">
        <f>Constants!$C$10</f>
        <v>0.55000000000000004</v>
      </c>
      <c r="AH20" s="9">
        <f>Constants!$C$12</f>
        <v>0.3</v>
      </c>
      <c r="AI20" s="9">
        <f>Constants!$C$13</f>
        <v>0</v>
      </c>
      <c r="AJ20" s="9">
        <f>Constants!$C$14</f>
        <v>0.125</v>
      </c>
      <c r="AK20" s="9">
        <f>Constants!$C$15</f>
        <v>0.25</v>
      </c>
      <c r="AL20" s="9">
        <f>Constants!$C$11</f>
        <v>0.2</v>
      </c>
      <c r="AM20" s="9">
        <f>Constants!$D$10</f>
        <v>0</v>
      </c>
      <c r="AN20" s="9">
        <f>Constants!$D$12</f>
        <v>0.02</v>
      </c>
      <c r="AO20" s="9">
        <f>Constants!$D$13</f>
        <v>0</v>
      </c>
      <c r="AP20" s="9">
        <f>Constants!$D$14</f>
        <v>0.01</v>
      </c>
      <c r="AQ20" s="9">
        <f>Constants!$D$15</f>
        <v>2E-3</v>
      </c>
      <c r="AR20" s="9">
        <f>Constants!$D$11</f>
        <v>5.0000000000000001E-3</v>
      </c>
      <c r="AS20">
        <f t="shared" si="15"/>
        <v>154.12949999999998</v>
      </c>
      <c r="AT20">
        <f t="shared" si="2"/>
        <v>0</v>
      </c>
      <c r="AU20">
        <f t="shared" si="2"/>
        <v>0</v>
      </c>
      <c r="AV20">
        <f t="shared" si="2"/>
        <v>296.27114999999998</v>
      </c>
      <c r="AW20">
        <f t="shared" si="2"/>
        <v>0</v>
      </c>
      <c r="AX20">
        <f t="shared" si="2"/>
        <v>363.06060000000008</v>
      </c>
      <c r="AY20">
        <f t="shared" si="16"/>
        <v>813.46125000000006</v>
      </c>
      <c r="AZ20">
        <f t="shared" si="17"/>
        <v>0</v>
      </c>
      <c r="BA20">
        <f t="shared" si="17"/>
        <v>296.27114999999998</v>
      </c>
      <c r="BB20">
        <f t="shared" si="18"/>
        <v>517.19010000000003</v>
      </c>
      <c r="BC20">
        <f>Constants!$B$23</f>
        <v>1.5714285714285714</v>
      </c>
      <c r="BD20">
        <f t="shared" si="3"/>
        <v>188.38050000000001</v>
      </c>
      <c r="BE20">
        <f t="shared" si="4"/>
        <v>0</v>
      </c>
      <c r="BF20">
        <f t="shared" si="5"/>
        <v>0</v>
      </c>
      <c r="BG20">
        <f t="shared" si="6"/>
        <v>42.813749999999999</v>
      </c>
      <c r="BH20">
        <f t="shared" si="7"/>
        <v>0</v>
      </c>
      <c r="BI20">
        <f t="shared" si="8"/>
        <v>91.336000000000013</v>
      </c>
      <c r="BJ20">
        <f t="shared" si="19"/>
        <v>0</v>
      </c>
      <c r="BK20">
        <f t="shared" si="20"/>
        <v>59.25423</v>
      </c>
      <c r="BL20">
        <f t="shared" si="21"/>
        <v>381.78448000000003</v>
      </c>
      <c r="BM20">
        <f>_xlfn.XLOOKUP(C20, Constants!$D$19:$D$23, Constants!$E$19:$E$23)</f>
        <v>1.8E-3</v>
      </c>
      <c r="BN20">
        <f t="shared" si="22"/>
        <v>1.0799046720000002E-3</v>
      </c>
    </row>
    <row r="21" spans="1:67" x14ac:dyDescent="0.2">
      <c r="A21" t="str">
        <f>'Input Scenarios'!A21</f>
        <v>QLD</v>
      </c>
      <c r="B21">
        <f>'Input Scenarios'!B21</f>
        <v>0</v>
      </c>
      <c r="C21" t="str">
        <f>'Input Scenarios'!C21</f>
        <v>Non-irrigated pasture</v>
      </c>
      <c r="D21" t="b">
        <f>'Input Scenarios'!D21</f>
        <v>1</v>
      </c>
      <c r="E21" t="str">
        <f>'Input Scenarios'!E21</f>
        <v>gilts</v>
      </c>
      <c r="F21">
        <f>'Input Scenarios'!F21</f>
        <v>923</v>
      </c>
      <c r="G21">
        <f>'Input Scenarios'!G21</f>
        <v>100</v>
      </c>
      <c r="H21">
        <f>IF('Input Scenarios'!H21&lt;&gt;"", 'Input Scenarios'!H21, _xlfn.XLOOKUP($E21,Constants!$A$3:$A$6, Constants!B$3:B$6))</f>
        <v>2.5</v>
      </c>
      <c r="I21">
        <f>IF('Input Scenarios'!I21&lt;&gt;"", 'Input Scenarios'!I21, _xlfn.XLOOKUP($E21,Constants!$A$3:$A$6, Constants!C$3:C$6))</f>
        <v>0.55000000000000004</v>
      </c>
      <c r="J21">
        <f>IF('Input Scenarios'!J21&lt;&gt;"", 'Input Scenarios'!J21, _xlfn.XLOOKUP($E21,Constants!$A$3:$A$6, Constants!D$3:D$6))</f>
        <v>4.5999999999999999E-2</v>
      </c>
      <c r="K21">
        <f>'Input Scenarios'!K21</f>
        <v>0</v>
      </c>
      <c r="L21">
        <f>'Input Scenarios'!L21</f>
        <v>0</v>
      </c>
      <c r="M21">
        <f>'Input Scenarios'!M21</f>
        <v>0.5</v>
      </c>
      <c r="N21">
        <f>'Input Scenarios'!N21</f>
        <v>0</v>
      </c>
      <c r="O21">
        <f>'Input Scenarios'!O21</f>
        <v>0.5</v>
      </c>
      <c r="P21">
        <f>'Input Scenarios'!P21</f>
        <v>0</v>
      </c>
      <c r="Q21" t="b">
        <f>'Input Scenarios'!Q21</f>
        <v>0</v>
      </c>
      <c r="R21">
        <f>IF('Input Scenarios'!$R21&lt;&gt;"", 'Input Scenarios'!$R21, IF($Q21, Constants!$B$19, 0))</f>
        <v>0</v>
      </c>
      <c r="S21">
        <f>IF('Input Scenarios'!$R21&lt;&gt;"", 'Input Scenarios'!$R21, IF($Q21, Constants!$B$20, 0))</f>
        <v>0</v>
      </c>
      <c r="T21">
        <f t="shared" si="9"/>
        <v>4245.8</v>
      </c>
      <c r="U21">
        <f t="shared" si="10"/>
        <v>0</v>
      </c>
      <c r="V21">
        <f t="shared" si="11"/>
        <v>0</v>
      </c>
      <c r="W21">
        <f t="shared" si="0"/>
        <v>0.5</v>
      </c>
      <c r="X21">
        <f t="shared" si="12"/>
        <v>0</v>
      </c>
      <c r="Y21">
        <f t="shared" si="0"/>
        <v>0.5</v>
      </c>
      <c r="Z21">
        <f t="shared" si="13"/>
        <v>0</v>
      </c>
      <c r="AA21">
        <f t="shared" si="14"/>
        <v>0</v>
      </c>
      <c r="AB21">
        <f t="shared" si="1"/>
        <v>0</v>
      </c>
      <c r="AC21">
        <f t="shared" si="1"/>
        <v>2122.9</v>
      </c>
      <c r="AD21">
        <f t="shared" si="1"/>
        <v>0</v>
      </c>
      <c r="AE21">
        <f t="shared" si="1"/>
        <v>2122.9</v>
      </c>
      <c r="AF21">
        <f t="shared" si="1"/>
        <v>0</v>
      </c>
      <c r="AG21" s="9">
        <f>Constants!$C$10</f>
        <v>0.55000000000000004</v>
      </c>
      <c r="AH21" s="9">
        <f>Constants!$C$12</f>
        <v>0.3</v>
      </c>
      <c r="AI21" s="9">
        <f>Constants!$C$13</f>
        <v>0</v>
      </c>
      <c r="AJ21" s="9">
        <f>Constants!$C$14</f>
        <v>0.125</v>
      </c>
      <c r="AK21" s="9">
        <f>Constants!$C$15</f>
        <v>0.25</v>
      </c>
      <c r="AL21" s="9">
        <f>Constants!$C$11</f>
        <v>0.2</v>
      </c>
      <c r="AM21" s="9">
        <f>Constants!$D$10</f>
        <v>0</v>
      </c>
      <c r="AN21" s="9">
        <f>Constants!$D$12</f>
        <v>0.02</v>
      </c>
      <c r="AO21" s="9">
        <f>Constants!$D$13</f>
        <v>0</v>
      </c>
      <c r="AP21" s="9">
        <f>Constants!$D$14</f>
        <v>0.01</v>
      </c>
      <c r="AQ21" s="9">
        <f>Constants!$D$15</f>
        <v>2E-3</v>
      </c>
      <c r="AR21" s="9">
        <f>Constants!$D$11</f>
        <v>5.0000000000000001E-3</v>
      </c>
      <c r="AS21">
        <f t="shared" si="15"/>
        <v>0</v>
      </c>
      <c r="AT21">
        <f t="shared" si="2"/>
        <v>0</v>
      </c>
      <c r="AU21">
        <f t="shared" si="2"/>
        <v>2122.9</v>
      </c>
      <c r="AV21">
        <f t="shared" si="2"/>
        <v>0</v>
      </c>
      <c r="AW21">
        <f t="shared" si="2"/>
        <v>1587.9292</v>
      </c>
      <c r="AX21">
        <f t="shared" si="2"/>
        <v>0</v>
      </c>
      <c r="AY21">
        <f t="shared" si="16"/>
        <v>3710.8292000000001</v>
      </c>
      <c r="AZ21">
        <f t="shared" si="17"/>
        <v>2122.9</v>
      </c>
      <c r="BA21">
        <f t="shared" si="17"/>
        <v>0</v>
      </c>
      <c r="BB21">
        <f t="shared" si="18"/>
        <v>1587.9292</v>
      </c>
      <c r="BC21">
        <f>Constants!$B$23</f>
        <v>1.5714285714285714</v>
      </c>
      <c r="BD21">
        <f t="shared" si="3"/>
        <v>0</v>
      </c>
      <c r="BE21">
        <f t="shared" si="4"/>
        <v>0</v>
      </c>
      <c r="BF21">
        <f t="shared" si="5"/>
        <v>0</v>
      </c>
      <c r="BG21">
        <f t="shared" si="6"/>
        <v>0</v>
      </c>
      <c r="BH21">
        <f t="shared" si="7"/>
        <v>530.72500000000002</v>
      </c>
      <c r="BI21">
        <f t="shared" si="8"/>
        <v>0</v>
      </c>
      <c r="BJ21">
        <f t="shared" si="19"/>
        <v>1167.5950000000003</v>
      </c>
      <c r="BK21">
        <f t="shared" si="20"/>
        <v>0</v>
      </c>
      <c r="BL21">
        <f t="shared" si="21"/>
        <v>1698.3200000000002</v>
      </c>
      <c r="BM21">
        <f>_xlfn.XLOOKUP(C21, Constants!$D$19:$D$23, Constants!$E$19:$E$23)</f>
        <v>1.8E-3</v>
      </c>
      <c r="BN21">
        <f t="shared" si="22"/>
        <v>4.8038194285714292E-3</v>
      </c>
    </row>
    <row r="22" spans="1:67" s="2" customFormat="1" x14ac:dyDescent="0.2">
      <c r="A22" s="2" t="str">
        <f>'Input Scenarios'!A22</f>
        <v>QLD</v>
      </c>
      <c r="B22" s="2">
        <f>'Input Scenarios'!B22</f>
        <v>0</v>
      </c>
      <c r="C22" s="2" t="str">
        <f>'Input Scenarios'!C22</f>
        <v>Non-irrigated pasture</v>
      </c>
      <c r="D22" s="2" t="b">
        <f>'Input Scenarios'!D22</f>
        <v>1</v>
      </c>
      <c r="E22" s="2" t="str">
        <f>'Input Scenarios'!E22</f>
        <v>others</v>
      </c>
      <c r="F22" s="2">
        <f>'Input Scenarios'!F22</f>
        <v>122</v>
      </c>
      <c r="G22" s="2">
        <f>'Input Scenarios'!G22</f>
        <v>100</v>
      </c>
      <c r="H22">
        <f>IF('Input Scenarios'!H22&lt;&gt;"", 'Input Scenarios'!H22, _xlfn.XLOOKUP($E22,Constants!$A$3:$A$6, Constants!B$3:B$6))</f>
        <v>1.71</v>
      </c>
      <c r="I22">
        <f>IF('Input Scenarios'!I22&lt;&gt;"", 'Input Scenarios'!I22, _xlfn.XLOOKUP($E22,Constants!$A$3:$A$6, Constants!C$3:C$6))</f>
        <v>0.39</v>
      </c>
      <c r="J22">
        <f>IF('Input Scenarios'!J22&lt;&gt;"", 'Input Scenarios'!J22, _xlfn.XLOOKUP($E22,Constants!$A$3:$A$6, Constants!D$3:D$6))</f>
        <v>3.1232876712328769E-2</v>
      </c>
      <c r="K22" s="2">
        <f>'Input Scenarios'!K22</f>
        <v>0</v>
      </c>
      <c r="L22" s="2">
        <f>'Input Scenarios'!L22</f>
        <v>0</v>
      </c>
      <c r="M22" s="2">
        <f>'Input Scenarios'!M22</f>
        <v>0.5</v>
      </c>
      <c r="N22" s="2">
        <f>'Input Scenarios'!N22</f>
        <v>0</v>
      </c>
      <c r="O22" s="2">
        <f>'Input Scenarios'!O22</f>
        <v>0.5</v>
      </c>
      <c r="P22" s="2">
        <f>'Input Scenarios'!P22</f>
        <v>0</v>
      </c>
      <c r="Q22" s="2" t="b">
        <f>'Input Scenarios'!Q22</f>
        <v>0</v>
      </c>
      <c r="R22" s="2">
        <f>IF('Input Scenarios'!$R22&lt;&gt;"", 'Input Scenarios'!$R22, IF($Q22, Constants!$B$19, 0))</f>
        <v>0</v>
      </c>
      <c r="S22" s="2">
        <f>IF('Input Scenarios'!$R22&lt;&gt;"", 'Input Scenarios'!$R22, IF($Q22, Constants!$B$20, 0))</f>
        <v>0</v>
      </c>
      <c r="T22">
        <f t="shared" si="9"/>
        <v>381.04109589041099</v>
      </c>
      <c r="U22">
        <f t="shared" si="10"/>
        <v>0</v>
      </c>
      <c r="V22">
        <f t="shared" si="11"/>
        <v>0</v>
      </c>
      <c r="W22">
        <f t="shared" si="0"/>
        <v>0.5</v>
      </c>
      <c r="X22">
        <f t="shared" si="12"/>
        <v>0</v>
      </c>
      <c r="Y22">
        <f t="shared" si="0"/>
        <v>0.5</v>
      </c>
      <c r="Z22">
        <f t="shared" si="13"/>
        <v>0</v>
      </c>
      <c r="AA22">
        <f t="shared" si="14"/>
        <v>0</v>
      </c>
      <c r="AB22">
        <f t="shared" si="1"/>
        <v>0</v>
      </c>
      <c r="AC22">
        <f t="shared" si="1"/>
        <v>190.52054794520549</v>
      </c>
      <c r="AD22">
        <f t="shared" si="1"/>
        <v>0</v>
      </c>
      <c r="AE22">
        <f t="shared" si="1"/>
        <v>190.52054794520549</v>
      </c>
      <c r="AF22">
        <f t="shared" si="1"/>
        <v>0</v>
      </c>
      <c r="AG22" s="9">
        <f>Constants!$C$10</f>
        <v>0.55000000000000004</v>
      </c>
      <c r="AH22" s="9">
        <f>Constants!$C$12</f>
        <v>0.3</v>
      </c>
      <c r="AI22" s="9">
        <f>Constants!$C$13</f>
        <v>0</v>
      </c>
      <c r="AJ22" s="9">
        <f>Constants!$C$14</f>
        <v>0.125</v>
      </c>
      <c r="AK22" s="9">
        <f>Constants!$C$15</f>
        <v>0.25</v>
      </c>
      <c r="AL22" s="9">
        <f>Constants!$C$11</f>
        <v>0.2</v>
      </c>
      <c r="AM22" s="9">
        <f>Constants!$D$10</f>
        <v>0</v>
      </c>
      <c r="AN22" s="9">
        <f>Constants!$D$12</f>
        <v>0.02</v>
      </c>
      <c r="AO22" s="9">
        <f>Constants!$D$13</f>
        <v>0</v>
      </c>
      <c r="AP22" s="9">
        <f>Constants!$D$14</f>
        <v>0.01</v>
      </c>
      <c r="AQ22" s="9">
        <f>Constants!$D$15</f>
        <v>2E-3</v>
      </c>
      <c r="AR22" s="9">
        <f>Constants!$D$11</f>
        <v>5.0000000000000001E-3</v>
      </c>
      <c r="AS22">
        <f t="shared" si="15"/>
        <v>0</v>
      </c>
      <c r="AT22">
        <f t="shared" si="2"/>
        <v>0</v>
      </c>
      <c r="AU22">
        <f t="shared" si="2"/>
        <v>190.52054794520549</v>
      </c>
      <c r="AV22">
        <f t="shared" si="2"/>
        <v>0</v>
      </c>
      <c r="AW22">
        <f t="shared" si="2"/>
        <v>142.50936986301372</v>
      </c>
      <c r="AX22">
        <f t="shared" si="2"/>
        <v>0</v>
      </c>
      <c r="AY22">
        <f t="shared" si="16"/>
        <v>333.02991780821924</v>
      </c>
      <c r="AZ22">
        <f t="shared" si="17"/>
        <v>190.52054794520549</v>
      </c>
      <c r="BA22">
        <f t="shared" si="17"/>
        <v>0</v>
      </c>
      <c r="BB22">
        <f t="shared" si="18"/>
        <v>142.50936986301372</v>
      </c>
      <c r="BC22">
        <f>Constants!$B$23</f>
        <v>1.5714285714285714</v>
      </c>
      <c r="BD22">
        <f t="shared" si="3"/>
        <v>0</v>
      </c>
      <c r="BE22">
        <f t="shared" si="4"/>
        <v>0</v>
      </c>
      <c r="BF22">
        <f t="shared" si="5"/>
        <v>0</v>
      </c>
      <c r="BG22">
        <f t="shared" si="6"/>
        <v>0</v>
      </c>
      <c r="BH22">
        <f t="shared" si="7"/>
        <v>47.630136986301373</v>
      </c>
      <c r="BI22">
        <f t="shared" si="8"/>
        <v>0</v>
      </c>
      <c r="BJ22">
        <f t="shared" si="19"/>
        <v>104.78630136986303</v>
      </c>
      <c r="BK22">
        <f t="shared" si="20"/>
        <v>0</v>
      </c>
      <c r="BL22">
        <f t="shared" si="21"/>
        <v>152.41643835616441</v>
      </c>
      <c r="BM22">
        <f>_xlfn.XLOOKUP(C22, Constants!$D$19:$D$23, Constants!$E$19:$E$23)</f>
        <v>1.8E-3</v>
      </c>
      <c r="BN22">
        <f t="shared" si="22"/>
        <v>4.3112078277886501E-4</v>
      </c>
    </row>
    <row r="23" spans="1:67" x14ac:dyDescent="0.2">
      <c r="A23" t="str">
        <f>'Input Scenarios'!A23</f>
        <v>WA</v>
      </c>
      <c r="B23">
        <f>'Input Scenarios'!B23</f>
        <v>0</v>
      </c>
      <c r="C23" t="str">
        <f>'Input Scenarios'!C23</f>
        <v>Non-irrigated crop (low rainfall)</v>
      </c>
      <c r="D23" t="b">
        <f>'Input Scenarios'!D23</f>
        <v>0</v>
      </c>
      <c r="E23" t="str">
        <f>'Input Scenarios'!E23</f>
        <v>boars</v>
      </c>
      <c r="F23">
        <f>'Input Scenarios'!F23</f>
        <v>750</v>
      </c>
      <c r="G23">
        <f>'Input Scenarios'!G23</f>
        <v>200</v>
      </c>
      <c r="H23">
        <f>IF('Input Scenarios'!H23&lt;&gt;"", 'Input Scenarios'!H23, _xlfn.XLOOKUP($E23,Constants!$A$3:$A$6, Constants!B$3:B$6))</f>
        <v>2.62</v>
      </c>
      <c r="I23">
        <f>IF('Input Scenarios'!I23&lt;&gt;"", 'Input Scenarios'!I23, _xlfn.XLOOKUP($E23,Constants!$A$3:$A$6, Constants!C$3:C$6))</f>
        <v>0.4</v>
      </c>
      <c r="J23">
        <f>IF('Input Scenarios'!J23&lt;&gt;"", 'Input Scenarios'!J23, _xlfn.XLOOKUP($E23,Constants!$A$3:$A$6, Constants!D$3:D$6))</f>
        <v>4.5999999999999999E-2</v>
      </c>
      <c r="K23">
        <f>'Input Scenarios'!K23</f>
        <v>0.3</v>
      </c>
      <c r="L23">
        <f>'Input Scenarios'!L23</f>
        <v>0</v>
      </c>
      <c r="M23">
        <f>'Input Scenarios'!M23</f>
        <v>0</v>
      </c>
      <c r="N23">
        <f>'Input Scenarios'!N23</f>
        <v>0.3</v>
      </c>
      <c r="O23">
        <f>'Input Scenarios'!O23</f>
        <v>0</v>
      </c>
      <c r="P23">
        <f>'Input Scenarios'!P23</f>
        <v>0.4</v>
      </c>
      <c r="Q23" t="b">
        <f>'Input Scenarios'!Q23</f>
        <v>0</v>
      </c>
      <c r="R23">
        <f>IF('Input Scenarios'!$R23&lt;&gt;"", 'Input Scenarios'!$R23, IF($Q23, Constants!$B$19, 0))</f>
        <v>0</v>
      </c>
      <c r="S23">
        <f>IF('Input Scenarios'!$R23&lt;&gt;"", 'Input Scenarios'!$R23, IF($Q23, Constants!$B$20, 0))</f>
        <v>0</v>
      </c>
      <c r="T23">
        <f t="shared" si="9"/>
        <v>6900</v>
      </c>
      <c r="U23">
        <f t="shared" si="10"/>
        <v>0.3</v>
      </c>
      <c r="V23">
        <f t="shared" si="11"/>
        <v>0</v>
      </c>
      <c r="W23">
        <f t="shared" si="0"/>
        <v>0</v>
      </c>
      <c r="X23">
        <f t="shared" si="12"/>
        <v>0.3</v>
      </c>
      <c r="Y23">
        <f t="shared" si="0"/>
        <v>0</v>
      </c>
      <c r="Z23">
        <f t="shared" si="13"/>
        <v>0.4</v>
      </c>
      <c r="AA23">
        <f t="shared" si="14"/>
        <v>2070</v>
      </c>
      <c r="AB23">
        <f t="shared" si="1"/>
        <v>0</v>
      </c>
      <c r="AC23">
        <f t="shared" si="1"/>
        <v>0</v>
      </c>
      <c r="AD23">
        <f t="shared" si="1"/>
        <v>2070</v>
      </c>
      <c r="AE23">
        <f t="shared" si="1"/>
        <v>0</v>
      </c>
      <c r="AF23">
        <f t="shared" si="1"/>
        <v>2760</v>
      </c>
      <c r="AG23" s="9">
        <f>Constants!$C$10</f>
        <v>0.55000000000000004</v>
      </c>
      <c r="AH23" s="9">
        <f>Constants!$C$12</f>
        <v>0.3</v>
      </c>
      <c r="AI23" s="9">
        <f>Constants!$C$13</f>
        <v>0</v>
      </c>
      <c r="AJ23" s="9">
        <f>Constants!$C$14</f>
        <v>0.125</v>
      </c>
      <c r="AK23" s="9">
        <f>Constants!$C$15</f>
        <v>0.25</v>
      </c>
      <c r="AL23" s="9">
        <f>Constants!$C$11</f>
        <v>0.2</v>
      </c>
      <c r="AM23" s="9">
        <f>Constants!$D$10</f>
        <v>0</v>
      </c>
      <c r="AN23" s="9">
        <f>Constants!$D$12</f>
        <v>0.02</v>
      </c>
      <c r="AO23" s="9">
        <f>Constants!$D$13</f>
        <v>0</v>
      </c>
      <c r="AP23" s="9">
        <f>Constants!$D$14</f>
        <v>0.01</v>
      </c>
      <c r="AQ23" s="9">
        <f>Constants!$D$15</f>
        <v>2E-3</v>
      </c>
      <c r="AR23" s="9">
        <f>Constants!$D$11</f>
        <v>5.0000000000000001E-3</v>
      </c>
      <c r="AS23">
        <f t="shared" si="15"/>
        <v>931.49999999999989</v>
      </c>
      <c r="AT23">
        <f t="shared" si="2"/>
        <v>0</v>
      </c>
      <c r="AU23">
        <f t="shared" si="2"/>
        <v>0</v>
      </c>
      <c r="AV23">
        <f t="shared" si="2"/>
        <v>1790.55</v>
      </c>
      <c r="AW23">
        <f t="shared" si="2"/>
        <v>0</v>
      </c>
      <c r="AX23">
        <f t="shared" si="2"/>
        <v>2194.2000000000003</v>
      </c>
      <c r="AY23">
        <f t="shared" si="16"/>
        <v>4916.25</v>
      </c>
      <c r="AZ23">
        <f t="shared" si="17"/>
        <v>0</v>
      </c>
      <c r="BA23">
        <f t="shared" si="17"/>
        <v>1790.55</v>
      </c>
      <c r="BB23">
        <f t="shared" si="18"/>
        <v>3125.7000000000003</v>
      </c>
      <c r="BC23">
        <f>Constants!$B$23</f>
        <v>1.5714285714285714</v>
      </c>
      <c r="BD23">
        <f t="shared" si="3"/>
        <v>1138.5</v>
      </c>
      <c r="BE23">
        <f t="shared" si="4"/>
        <v>0</v>
      </c>
      <c r="BF23">
        <f t="shared" si="5"/>
        <v>0</v>
      </c>
      <c r="BG23">
        <f t="shared" si="6"/>
        <v>258.75</v>
      </c>
      <c r="BH23">
        <f t="shared" si="7"/>
        <v>0</v>
      </c>
      <c r="BI23">
        <f t="shared" si="8"/>
        <v>552</v>
      </c>
      <c r="BJ23">
        <f t="shared" si="19"/>
        <v>0</v>
      </c>
      <c r="BK23">
        <f t="shared" si="20"/>
        <v>358.11</v>
      </c>
      <c r="BL23">
        <f t="shared" si="21"/>
        <v>2307.36</v>
      </c>
      <c r="BM23">
        <f>_xlfn.XLOOKUP(C23, Constants!$D$19:$D$23, Constants!$E$19:$E$23)</f>
        <v>2.8999999999999998E-3</v>
      </c>
      <c r="BN23">
        <f t="shared" si="22"/>
        <v>1.0514969142857142E-2</v>
      </c>
      <c r="BO23">
        <f>SUM(BN23:BN26)</f>
        <v>3.8045040720424653E-2</v>
      </c>
    </row>
    <row r="24" spans="1:67" x14ac:dyDescent="0.2">
      <c r="A24" t="str">
        <f>'Input Scenarios'!A24</f>
        <v>WA</v>
      </c>
      <c r="B24">
        <f>'Input Scenarios'!B24</f>
        <v>0</v>
      </c>
      <c r="C24" t="str">
        <f>'Input Scenarios'!C24</f>
        <v>Non-irrigated crop (low rainfall)</v>
      </c>
      <c r="D24" t="b">
        <f>'Input Scenarios'!D24</f>
        <v>0</v>
      </c>
      <c r="E24" t="str">
        <f>'Input Scenarios'!E24</f>
        <v>sows</v>
      </c>
      <c r="F24">
        <f>'Input Scenarios'!F24</f>
        <v>600</v>
      </c>
      <c r="G24">
        <f>'Input Scenarios'!G24</f>
        <v>200</v>
      </c>
      <c r="H24">
        <f>IF('Input Scenarios'!H24&lt;&gt;"", 'Input Scenarios'!H24, _xlfn.XLOOKUP($E24,Constants!$A$3:$A$6, Constants!B$3:B$6))</f>
        <v>2.2999999999999998</v>
      </c>
      <c r="I24">
        <f>IF('Input Scenarios'!I24&lt;&gt;"", 'Input Scenarios'!I24, _xlfn.XLOOKUP($E24,Constants!$A$3:$A$6, Constants!C$3:C$6))</f>
        <v>0.46</v>
      </c>
      <c r="J24">
        <f>IF('Input Scenarios'!J24&lt;&gt;"", 'Input Scenarios'!J24, _xlfn.XLOOKUP($E24,Constants!$A$3:$A$6, Constants!D$3:D$6))</f>
        <v>4.9000000000000002E-2</v>
      </c>
      <c r="K24">
        <f>'Input Scenarios'!K24</f>
        <v>0</v>
      </c>
      <c r="L24">
        <f>'Input Scenarios'!L24</f>
        <v>0</v>
      </c>
      <c r="M24">
        <f>'Input Scenarios'!M24</f>
        <v>0.5</v>
      </c>
      <c r="N24">
        <f>'Input Scenarios'!N24</f>
        <v>0</v>
      </c>
      <c r="O24">
        <f>'Input Scenarios'!O24</f>
        <v>0.5</v>
      </c>
      <c r="P24">
        <f>'Input Scenarios'!P24</f>
        <v>0</v>
      </c>
      <c r="Q24" t="b">
        <f>'Input Scenarios'!Q24</f>
        <v>0</v>
      </c>
      <c r="R24">
        <f>IF('Input Scenarios'!$R24&lt;&gt;"", 'Input Scenarios'!$R24, IF($Q24, Constants!$B$19, 0))</f>
        <v>0</v>
      </c>
      <c r="S24">
        <f>IF('Input Scenarios'!$R24&lt;&gt;"", 'Input Scenarios'!$R24, IF($Q24, Constants!$B$20, 0))</f>
        <v>0</v>
      </c>
      <c r="T24">
        <f t="shared" si="9"/>
        <v>5880</v>
      </c>
      <c r="U24">
        <f t="shared" si="10"/>
        <v>0</v>
      </c>
      <c r="V24">
        <f t="shared" si="11"/>
        <v>0</v>
      </c>
      <c r="W24">
        <f t="shared" si="0"/>
        <v>0.5</v>
      </c>
      <c r="X24">
        <f t="shared" si="12"/>
        <v>0</v>
      </c>
      <c r="Y24">
        <f t="shared" si="0"/>
        <v>0.5</v>
      </c>
      <c r="Z24">
        <f t="shared" si="13"/>
        <v>0</v>
      </c>
      <c r="AA24">
        <f t="shared" si="14"/>
        <v>0</v>
      </c>
      <c r="AB24">
        <f t="shared" si="1"/>
        <v>0</v>
      </c>
      <c r="AC24">
        <f t="shared" si="1"/>
        <v>2940</v>
      </c>
      <c r="AD24">
        <f t="shared" si="1"/>
        <v>0</v>
      </c>
      <c r="AE24">
        <f t="shared" si="1"/>
        <v>2940</v>
      </c>
      <c r="AF24">
        <f t="shared" si="1"/>
        <v>0</v>
      </c>
      <c r="AG24" s="9">
        <f>Constants!$C$10</f>
        <v>0.55000000000000004</v>
      </c>
      <c r="AH24" s="9">
        <f>Constants!$C$12</f>
        <v>0.3</v>
      </c>
      <c r="AI24" s="9">
        <f>Constants!$C$13</f>
        <v>0</v>
      </c>
      <c r="AJ24" s="9">
        <f>Constants!$C$14</f>
        <v>0.125</v>
      </c>
      <c r="AK24" s="9">
        <f>Constants!$C$15</f>
        <v>0.25</v>
      </c>
      <c r="AL24" s="9">
        <f>Constants!$C$11</f>
        <v>0.2</v>
      </c>
      <c r="AM24" s="9">
        <f>Constants!$D$10</f>
        <v>0</v>
      </c>
      <c r="AN24" s="9">
        <f>Constants!$D$12</f>
        <v>0.02</v>
      </c>
      <c r="AO24" s="9">
        <f>Constants!$D$13</f>
        <v>0</v>
      </c>
      <c r="AP24" s="9">
        <f>Constants!$D$14</f>
        <v>0.01</v>
      </c>
      <c r="AQ24" s="9">
        <f>Constants!$D$15</f>
        <v>2E-3</v>
      </c>
      <c r="AR24" s="9">
        <f>Constants!$D$11</f>
        <v>5.0000000000000001E-3</v>
      </c>
      <c r="AS24">
        <f t="shared" si="15"/>
        <v>0</v>
      </c>
      <c r="AT24">
        <f t="shared" si="2"/>
        <v>0</v>
      </c>
      <c r="AU24">
        <f t="shared" si="2"/>
        <v>2940</v>
      </c>
      <c r="AV24">
        <f t="shared" si="2"/>
        <v>0</v>
      </c>
      <c r="AW24">
        <f t="shared" si="2"/>
        <v>2199.12</v>
      </c>
      <c r="AX24">
        <f t="shared" si="2"/>
        <v>0</v>
      </c>
      <c r="AY24">
        <f t="shared" si="16"/>
        <v>5139.12</v>
      </c>
      <c r="AZ24">
        <f t="shared" si="17"/>
        <v>2940</v>
      </c>
      <c r="BA24">
        <f t="shared" si="17"/>
        <v>0</v>
      </c>
      <c r="BB24">
        <f t="shared" si="18"/>
        <v>2199.12</v>
      </c>
      <c r="BC24">
        <f>Constants!$B$23</f>
        <v>1.5714285714285714</v>
      </c>
      <c r="BD24">
        <f t="shared" si="3"/>
        <v>0</v>
      </c>
      <c r="BE24">
        <f t="shared" si="4"/>
        <v>0</v>
      </c>
      <c r="BF24">
        <f t="shared" si="5"/>
        <v>0</v>
      </c>
      <c r="BG24">
        <f t="shared" si="6"/>
        <v>0</v>
      </c>
      <c r="BH24">
        <f t="shared" si="7"/>
        <v>735</v>
      </c>
      <c r="BI24">
        <f t="shared" si="8"/>
        <v>0</v>
      </c>
      <c r="BJ24">
        <f t="shared" si="19"/>
        <v>1617.0000000000002</v>
      </c>
      <c r="BK24">
        <f t="shared" si="20"/>
        <v>0</v>
      </c>
      <c r="BL24">
        <f t="shared" si="21"/>
        <v>2352</v>
      </c>
      <c r="BM24">
        <f>_xlfn.XLOOKUP(C24, Constants!$D$19:$D$23, Constants!$E$19:$E$23)</f>
        <v>2.8999999999999998E-3</v>
      </c>
      <c r="BN24">
        <f t="shared" si="22"/>
        <v>1.0718399999999999E-2</v>
      </c>
    </row>
    <row r="25" spans="1:67" x14ac:dyDescent="0.2">
      <c r="A25" t="str">
        <f>'Input Scenarios'!A25</f>
        <v>WA</v>
      </c>
      <c r="B25">
        <f>'Input Scenarios'!B25</f>
        <v>0</v>
      </c>
      <c r="C25" t="str">
        <f>'Input Scenarios'!C25</f>
        <v>Non-irrigated crop (low rainfall)</v>
      </c>
      <c r="D25" t="b">
        <f>'Input Scenarios'!D25</f>
        <v>0</v>
      </c>
      <c r="E25" t="str">
        <f>'Input Scenarios'!E25</f>
        <v>gilts</v>
      </c>
      <c r="F25">
        <f>'Input Scenarios'!F25</f>
        <v>100</v>
      </c>
      <c r="G25">
        <f>'Input Scenarios'!G25</f>
        <v>299</v>
      </c>
      <c r="H25">
        <f>IF('Input Scenarios'!H25&lt;&gt;"", 'Input Scenarios'!H25, _xlfn.XLOOKUP($E25,Constants!$A$3:$A$6, Constants!B$3:B$6))</f>
        <v>2.5</v>
      </c>
      <c r="I25">
        <f>IF('Input Scenarios'!I25&lt;&gt;"", 'Input Scenarios'!I25, _xlfn.XLOOKUP($E25,Constants!$A$3:$A$6, Constants!C$3:C$6))</f>
        <v>0.55000000000000004</v>
      </c>
      <c r="J25">
        <f>IF('Input Scenarios'!J25&lt;&gt;"", 'Input Scenarios'!J25, _xlfn.XLOOKUP($E25,Constants!$A$3:$A$6, Constants!D$3:D$6))</f>
        <v>4.5999999999999999E-2</v>
      </c>
      <c r="K25">
        <f>'Input Scenarios'!K25</f>
        <v>0.3</v>
      </c>
      <c r="L25">
        <f>'Input Scenarios'!L25</f>
        <v>0</v>
      </c>
      <c r="M25">
        <f>'Input Scenarios'!M25</f>
        <v>0</v>
      </c>
      <c r="N25">
        <f>'Input Scenarios'!N25</f>
        <v>0.3</v>
      </c>
      <c r="O25">
        <f>'Input Scenarios'!O25</f>
        <v>0</v>
      </c>
      <c r="P25">
        <f>'Input Scenarios'!P25</f>
        <v>0.4</v>
      </c>
      <c r="Q25" t="b">
        <f>'Input Scenarios'!Q25</f>
        <v>1</v>
      </c>
      <c r="R25">
        <f>IF('Input Scenarios'!$R25&lt;&gt;"", 'Input Scenarios'!$R25, IF($Q25, Constants!$B$19, 0))</f>
        <v>0.25</v>
      </c>
      <c r="S25">
        <f>IF('Input Scenarios'!$R25&lt;&gt;"", 'Input Scenarios'!$R25, IF($Q25, Constants!$B$20, 0))</f>
        <v>0.25</v>
      </c>
      <c r="T25">
        <f t="shared" si="9"/>
        <v>1375.3999999999999</v>
      </c>
      <c r="U25">
        <f t="shared" si="10"/>
        <v>0.22499999999999998</v>
      </c>
      <c r="V25">
        <f t="shared" si="11"/>
        <v>0</v>
      </c>
      <c r="W25">
        <f t="shared" si="0"/>
        <v>0</v>
      </c>
      <c r="X25">
        <f t="shared" si="12"/>
        <v>0.3</v>
      </c>
      <c r="Y25">
        <f t="shared" si="0"/>
        <v>0</v>
      </c>
      <c r="Z25">
        <f t="shared" si="13"/>
        <v>0.47500000000000003</v>
      </c>
      <c r="AA25">
        <f t="shared" si="14"/>
        <v>309.46499999999992</v>
      </c>
      <c r="AB25">
        <f t="shared" si="1"/>
        <v>0</v>
      </c>
      <c r="AC25">
        <f t="shared" si="1"/>
        <v>0</v>
      </c>
      <c r="AD25">
        <f t="shared" si="1"/>
        <v>412.61999999999995</v>
      </c>
      <c r="AE25">
        <f t="shared" si="1"/>
        <v>0</v>
      </c>
      <c r="AF25">
        <f t="shared" si="1"/>
        <v>653.31499999999994</v>
      </c>
      <c r="AG25" s="9">
        <f>Constants!$C$10</f>
        <v>0.55000000000000004</v>
      </c>
      <c r="AH25" s="9">
        <f>Constants!$C$12</f>
        <v>0.3</v>
      </c>
      <c r="AI25" s="9">
        <f>Constants!$C$13</f>
        <v>0</v>
      </c>
      <c r="AJ25" s="9">
        <f>Constants!$C$14</f>
        <v>0.125</v>
      </c>
      <c r="AK25" s="9">
        <f>Constants!$C$15</f>
        <v>0.25</v>
      </c>
      <c r="AL25" s="9">
        <f>Constants!$C$11</f>
        <v>0.2</v>
      </c>
      <c r="AM25" s="9">
        <f>Constants!$D$10</f>
        <v>0</v>
      </c>
      <c r="AN25" s="9">
        <f>Constants!$D$12</f>
        <v>0.02</v>
      </c>
      <c r="AO25" s="9">
        <f>Constants!$D$13</f>
        <v>0</v>
      </c>
      <c r="AP25" s="9">
        <f>Constants!$D$14</f>
        <v>0.01</v>
      </c>
      <c r="AQ25" s="9">
        <f>Constants!$D$15</f>
        <v>2E-3</v>
      </c>
      <c r="AR25" s="9">
        <f>Constants!$D$11</f>
        <v>5.0000000000000001E-3</v>
      </c>
      <c r="AS25">
        <f t="shared" si="15"/>
        <v>139.25924999999995</v>
      </c>
      <c r="AT25">
        <f t="shared" si="2"/>
        <v>0</v>
      </c>
      <c r="AU25">
        <f t="shared" si="2"/>
        <v>0</v>
      </c>
      <c r="AV25">
        <f t="shared" si="2"/>
        <v>356.91629999999998</v>
      </c>
      <c r="AW25">
        <f t="shared" si="2"/>
        <v>0</v>
      </c>
      <c r="AX25">
        <f t="shared" si="2"/>
        <v>519.38542499999994</v>
      </c>
      <c r="AY25">
        <f t="shared" si="16"/>
        <v>1015.5609749999999</v>
      </c>
      <c r="AZ25">
        <f t="shared" si="17"/>
        <v>0</v>
      </c>
      <c r="BA25">
        <f t="shared" si="17"/>
        <v>356.91629999999998</v>
      </c>
      <c r="BB25">
        <f t="shared" si="18"/>
        <v>658.64467499999989</v>
      </c>
      <c r="BC25">
        <f>Constants!$B$23</f>
        <v>1.5714285714285714</v>
      </c>
      <c r="BD25">
        <f t="shared" si="3"/>
        <v>170.20574999999997</v>
      </c>
      <c r="BE25">
        <f t="shared" si="4"/>
        <v>0</v>
      </c>
      <c r="BF25">
        <f t="shared" si="5"/>
        <v>0</v>
      </c>
      <c r="BG25">
        <f t="shared" si="6"/>
        <v>51.577499999999993</v>
      </c>
      <c r="BH25">
        <f t="shared" si="7"/>
        <v>0</v>
      </c>
      <c r="BI25">
        <f t="shared" si="8"/>
        <v>130.66299999999998</v>
      </c>
      <c r="BJ25">
        <f t="shared" si="19"/>
        <v>0</v>
      </c>
      <c r="BK25">
        <f t="shared" si="20"/>
        <v>71.383259999999993</v>
      </c>
      <c r="BL25">
        <f t="shared" si="21"/>
        <v>423.82950999999997</v>
      </c>
      <c r="BM25">
        <f>_xlfn.XLOOKUP(C25, Constants!$D$19:$D$23, Constants!$E$19:$E$23)</f>
        <v>2.8999999999999998E-3</v>
      </c>
      <c r="BN25">
        <f t="shared" si="22"/>
        <v>1.9314516241428568E-3</v>
      </c>
    </row>
    <row r="26" spans="1:67" x14ac:dyDescent="0.2">
      <c r="A26" t="str">
        <f>'Input Scenarios'!A26</f>
        <v>WA</v>
      </c>
      <c r="B26">
        <f>'Input Scenarios'!B26</f>
        <v>0</v>
      </c>
      <c r="C26" t="str">
        <f>'Input Scenarios'!C26</f>
        <v>Non-irrigated crop (low rainfall)</v>
      </c>
      <c r="D26" t="b">
        <f>'Input Scenarios'!D26</f>
        <v>0</v>
      </c>
      <c r="E26" t="str">
        <f>'Input Scenarios'!E26</f>
        <v>others</v>
      </c>
      <c r="F26">
        <f>'Input Scenarios'!F26</f>
        <v>999</v>
      </c>
      <c r="G26">
        <f>'Input Scenarios'!G26</f>
        <v>299</v>
      </c>
      <c r="H26">
        <f>IF('Input Scenarios'!H26&lt;&gt;"", 'Input Scenarios'!H26, _xlfn.XLOOKUP($E26,Constants!$A$3:$A$6, Constants!B$3:B$6))</f>
        <v>1.71</v>
      </c>
      <c r="I26">
        <f>IF('Input Scenarios'!I26&lt;&gt;"", 'Input Scenarios'!I26, _xlfn.XLOOKUP($E26,Constants!$A$3:$A$6, Constants!C$3:C$6))</f>
        <v>0.39</v>
      </c>
      <c r="J26">
        <f>IF('Input Scenarios'!J26&lt;&gt;"", 'Input Scenarios'!J26, _xlfn.XLOOKUP($E26,Constants!$A$3:$A$6, Constants!D$3:D$6))</f>
        <v>3.1232876712328769E-2</v>
      </c>
      <c r="K26">
        <f>'Input Scenarios'!K26</f>
        <v>0</v>
      </c>
      <c r="L26">
        <f>'Input Scenarios'!L26</f>
        <v>0</v>
      </c>
      <c r="M26">
        <f>'Input Scenarios'!M26</f>
        <v>0.5</v>
      </c>
      <c r="N26">
        <f>'Input Scenarios'!N26</f>
        <v>0</v>
      </c>
      <c r="O26">
        <f>'Input Scenarios'!O26</f>
        <v>0.5</v>
      </c>
      <c r="P26">
        <f>'Input Scenarios'!P26</f>
        <v>0</v>
      </c>
      <c r="Q26" t="b">
        <f>'Input Scenarios'!Q26</f>
        <v>1</v>
      </c>
      <c r="R26">
        <f>IF('Input Scenarios'!$R26&lt;&gt;"", 'Input Scenarios'!$R26, IF($Q26, Constants!$B$19, 0))</f>
        <v>0.25</v>
      </c>
      <c r="S26">
        <f>IF('Input Scenarios'!$R26&lt;&gt;"", 'Input Scenarios'!$R26, IF($Q26, Constants!$B$20, 0))</f>
        <v>0.25</v>
      </c>
      <c r="T26">
        <f t="shared" si="9"/>
        <v>9329.2915068493148</v>
      </c>
      <c r="U26">
        <f t="shared" si="10"/>
        <v>0</v>
      </c>
      <c r="V26">
        <f t="shared" si="11"/>
        <v>0</v>
      </c>
      <c r="W26">
        <f t="shared" si="0"/>
        <v>0.375</v>
      </c>
      <c r="X26">
        <f t="shared" si="12"/>
        <v>0</v>
      </c>
      <c r="Y26">
        <f t="shared" si="0"/>
        <v>0.375</v>
      </c>
      <c r="Z26">
        <f t="shared" si="13"/>
        <v>0.25</v>
      </c>
      <c r="AA26">
        <f t="shared" si="14"/>
        <v>0</v>
      </c>
      <c r="AB26">
        <f t="shared" si="1"/>
        <v>0</v>
      </c>
      <c r="AC26">
        <f t="shared" si="1"/>
        <v>3498.4843150684928</v>
      </c>
      <c r="AD26">
        <f t="shared" si="1"/>
        <v>0</v>
      </c>
      <c r="AE26">
        <f t="shared" si="1"/>
        <v>3498.4843150684928</v>
      </c>
      <c r="AF26">
        <f t="shared" si="1"/>
        <v>2332.3228767123287</v>
      </c>
      <c r="AG26" s="9">
        <f>Constants!$C$10</f>
        <v>0.55000000000000004</v>
      </c>
      <c r="AH26" s="9">
        <f>Constants!$C$12</f>
        <v>0.3</v>
      </c>
      <c r="AI26" s="9">
        <f>Constants!$C$13</f>
        <v>0</v>
      </c>
      <c r="AJ26" s="9">
        <f>Constants!$C$14</f>
        <v>0.125</v>
      </c>
      <c r="AK26" s="9">
        <f>Constants!$C$15</f>
        <v>0.25</v>
      </c>
      <c r="AL26" s="9">
        <f>Constants!$C$11</f>
        <v>0.2</v>
      </c>
      <c r="AM26" s="9">
        <f>Constants!$D$10</f>
        <v>0</v>
      </c>
      <c r="AN26" s="9">
        <f>Constants!$D$12</f>
        <v>0.02</v>
      </c>
      <c r="AO26" s="9">
        <f>Constants!$D$13</f>
        <v>0</v>
      </c>
      <c r="AP26" s="9">
        <f>Constants!$D$14</f>
        <v>0.01</v>
      </c>
      <c r="AQ26" s="9">
        <f>Constants!$D$15</f>
        <v>2E-3</v>
      </c>
      <c r="AR26" s="9">
        <f>Constants!$D$11</f>
        <v>5.0000000000000001E-3</v>
      </c>
      <c r="AS26">
        <f t="shared" si="15"/>
        <v>0</v>
      </c>
      <c r="AT26">
        <f t="shared" si="2"/>
        <v>0</v>
      </c>
      <c r="AU26">
        <f t="shared" si="2"/>
        <v>3498.4843150684928</v>
      </c>
      <c r="AV26">
        <f t="shared" si="2"/>
        <v>0</v>
      </c>
      <c r="AW26">
        <f t="shared" si="2"/>
        <v>2616.8662676712324</v>
      </c>
      <c r="AX26">
        <f t="shared" si="2"/>
        <v>1854.1966869863013</v>
      </c>
      <c r="AY26">
        <f t="shared" si="16"/>
        <v>7969.5472697260266</v>
      </c>
      <c r="AZ26">
        <f t="shared" si="17"/>
        <v>3498.4843150684928</v>
      </c>
      <c r="BA26">
        <f t="shared" si="17"/>
        <v>0</v>
      </c>
      <c r="BB26">
        <f t="shared" si="18"/>
        <v>4471.0629546575337</v>
      </c>
      <c r="BC26">
        <f>Constants!$B$23</f>
        <v>1.5714285714285714</v>
      </c>
      <c r="BD26">
        <f t="shared" si="3"/>
        <v>0</v>
      </c>
      <c r="BE26">
        <f t="shared" si="4"/>
        <v>0</v>
      </c>
      <c r="BF26">
        <f t="shared" si="5"/>
        <v>0</v>
      </c>
      <c r="BG26">
        <f t="shared" si="6"/>
        <v>0</v>
      </c>
      <c r="BH26">
        <f t="shared" si="7"/>
        <v>874.62107876712321</v>
      </c>
      <c r="BI26">
        <f t="shared" si="8"/>
        <v>466.46457534246576</v>
      </c>
      <c r="BJ26">
        <f t="shared" si="19"/>
        <v>1924.1663732876711</v>
      </c>
      <c r="BK26">
        <f t="shared" si="20"/>
        <v>0</v>
      </c>
      <c r="BL26">
        <f t="shared" si="21"/>
        <v>3265.2520273972605</v>
      </c>
      <c r="BM26">
        <f>_xlfn.XLOOKUP(C26, Constants!$D$19:$D$23, Constants!$E$19:$E$23)</f>
        <v>2.8999999999999998E-3</v>
      </c>
      <c r="BN26">
        <f t="shared" si="22"/>
        <v>1.4880219953424655E-2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72BE4-F46E-BE4C-9F2B-A11E09766267}">
  <dimension ref="A2:BO34"/>
  <sheetViews>
    <sheetView topLeftCell="F1" workbookViewId="0">
      <selection activeCell="F3" sqref="F3"/>
    </sheetView>
  </sheetViews>
  <sheetFormatPr baseColWidth="10" defaultRowHeight="16" x14ac:dyDescent="0.2"/>
  <cols>
    <col min="64" max="64" width="12.5" customWidth="1"/>
  </cols>
  <sheetData>
    <row r="2" spans="1:67" x14ac:dyDescent="0.2">
      <c r="A2" s="1" t="s">
        <v>0</v>
      </c>
      <c r="B2" s="1"/>
      <c r="C2" s="1"/>
      <c r="D2" s="1"/>
      <c r="E2" s="1"/>
      <c r="F2" s="1" t="s">
        <v>210</v>
      </c>
      <c r="G2" s="1"/>
      <c r="H2" s="1"/>
    </row>
    <row r="3" spans="1:67" x14ac:dyDescent="0.2">
      <c r="A3" s="1"/>
      <c r="B3" s="1"/>
      <c r="C3" s="1"/>
      <c r="D3" s="1"/>
      <c r="E3" s="1"/>
      <c r="F3" s="1"/>
      <c r="G3" s="1"/>
      <c r="H3" s="1"/>
    </row>
    <row r="4" spans="1:67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/>
      <c r="I4" s="1" t="s">
        <v>1</v>
      </c>
      <c r="J4" s="1"/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/>
    </row>
    <row r="5" spans="1:67" x14ac:dyDescent="0.2">
      <c r="A5" s="1"/>
      <c r="B5" s="1"/>
      <c r="C5" s="1"/>
      <c r="D5" s="1"/>
      <c r="E5" s="1"/>
      <c r="F5" s="1"/>
      <c r="G5" s="1"/>
      <c r="H5" s="1"/>
    </row>
    <row r="6" spans="1:67" x14ac:dyDescent="0.2">
      <c r="A6" s="1"/>
      <c r="B6" s="1"/>
      <c r="C6" s="1"/>
      <c r="D6" s="1"/>
      <c r="E6" s="1"/>
      <c r="F6" s="1"/>
      <c r="G6" s="1"/>
      <c r="H6" s="1"/>
    </row>
    <row r="7" spans="1:67" x14ac:dyDescent="0.2">
      <c r="A7" s="1"/>
      <c r="B7" s="1"/>
      <c r="C7" s="1"/>
      <c r="D7" s="1"/>
      <c r="E7" s="1"/>
      <c r="F7" s="1"/>
      <c r="G7" s="1"/>
      <c r="H7" s="1"/>
    </row>
    <row r="8" spans="1:67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116</v>
      </c>
      <c r="J8" s="1" t="s">
        <v>117</v>
      </c>
      <c r="K8" t="s">
        <v>29</v>
      </c>
      <c r="L8" t="s">
        <v>31</v>
      </c>
      <c r="M8" t="s">
        <v>32</v>
      </c>
      <c r="N8" t="s">
        <v>33</v>
      </c>
      <c r="O8" t="s">
        <v>34</v>
      </c>
      <c r="P8" t="s">
        <v>30</v>
      </c>
      <c r="Q8" t="s">
        <v>36</v>
      </c>
      <c r="R8" t="s">
        <v>37</v>
      </c>
      <c r="S8" t="s">
        <v>38</v>
      </c>
      <c r="T8" t="s">
        <v>196</v>
      </c>
      <c r="U8" t="s">
        <v>199</v>
      </c>
      <c r="AA8" t="s">
        <v>200</v>
      </c>
      <c r="AS8" t="s">
        <v>201</v>
      </c>
    </row>
    <row r="9" spans="1:67" x14ac:dyDescent="0.2">
      <c r="A9" s="1"/>
      <c r="B9" s="1"/>
      <c r="C9" s="1"/>
      <c r="D9" s="1"/>
      <c r="E9" s="1"/>
      <c r="F9" s="1"/>
      <c r="G9" s="1"/>
      <c r="H9" s="1"/>
      <c r="U9" t="s">
        <v>29</v>
      </c>
      <c r="V9" t="s">
        <v>31</v>
      </c>
      <c r="W9" t="s">
        <v>32</v>
      </c>
      <c r="X9" t="s">
        <v>33</v>
      </c>
      <c r="Y9" t="s">
        <v>34</v>
      </c>
      <c r="Z9" t="s">
        <v>30</v>
      </c>
      <c r="AA9" t="s">
        <v>29</v>
      </c>
      <c r="AB9" t="s">
        <v>31</v>
      </c>
      <c r="AC9" t="s">
        <v>32</v>
      </c>
      <c r="AD9" t="s">
        <v>33</v>
      </c>
      <c r="AE9" t="s">
        <v>34</v>
      </c>
      <c r="AF9" t="s">
        <v>30</v>
      </c>
      <c r="AG9" t="s">
        <v>29</v>
      </c>
      <c r="AH9" t="s">
        <v>31</v>
      </c>
      <c r="AI9" t="s">
        <v>32</v>
      </c>
      <c r="AJ9" t="s">
        <v>33</v>
      </c>
      <c r="AK9" t="s">
        <v>34</v>
      </c>
      <c r="AL9" t="s">
        <v>30</v>
      </c>
      <c r="AM9" t="s">
        <v>29</v>
      </c>
      <c r="AN9" t="s">
        <v>31</v>
      </c>
      <c r="AO9" t="s">
        <v>32</v>
      </c>
      <c r="AP9" t="s">
        <v>33</v>
      </c>
      <c r="AQ9" t="s">
        <v>34</v>
      </c>
      <c r="AR9" t="s">
        <v>30</v>
      </c>
      <c r="AS9" t="s">
        <v>29</v>
      </c>
      <c r="AT9" t="s">
        <v>31</v>
      </c>
      <c r="AU9" t="s">
        <v>32</v>
      </c>
      <c r="AV9" t="s">
        <v>33</v>
      </c>
      <c r="AW9" t="s">
        <v>34</v>
      </c>
      <c r="AX9" t="s">
        <v>30</v>
      </c>
    </row>
    <row r="10" spans="1:67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17</v>
      </c>
      <c r="M10" s="3" t="s">
        <v>20</v>
      </c>
      <c r="N10" s="3" t="s">
        <v>21</v>
      </c>
      <c r="O10" s="3" t="s">
        <v>22</v>
      </c>
      <c r="P10" s="3" t="s">
        <v>19</v>
      </c>
      <c r="Q10" s="3" t="s">
        <v>35</v>
      </c>
      <c r="R10" s="3" t="s">
        <v>23</v>
      </c>
      <c r="S10" s="6" t="s">
        <v>24</v>
      </c>
      <c r="T10" s="6" t="s">
        <v>115</v>
      </c>
      <c r="U10" s="6" t="s">
        <v>120</v>
      </c>
      <c r="V10" s="6" t="s">
        <v>121</v>
      </c>
      <c r="W10" s="7" t="s">
        <v>122</v>
      </c>
      <c r="X10" s="7" t="s">
        <v>123</v>
      </c>
      <c r="Y10" s="7" t="s">
        <v>124</v>
      </c>
      <c r="Z10" s="7" t="s">
        <v>125</v>
      </c>
      <c r="AA10" s="7" t="s">
        <v>145</v>
      </c>
      <c r="AB10" s="7" t="s">
        <v>146</v>
      </c>
      <c r="AC10" s="7" t="s">
        <v>147</v>
      </c>
      <c r="AD10" s="7" t="s">
        <v>148</v>
      </c>
      <c r="AE10" s="7" t="s">
        <v>149</v>
      </c>
      <c r="AF10" s="7" t="s">
        <v>150</v>
      </c>
      <c r="AG10" s="7" t="s">
        <v>126</v>
      </c>
      <c r="AH10" s="7" t="s">
        <v>128</v>
      </c>
      <c r="AI10" s="7" t="s">
        <v>129</v>
      </c>
      <c r="AJ10" s="7" t="s">
        <v>130</v>
      </c>
      <c r="AK10" s="7" t="s">
        <v>131</v>
      </c>
      <c r="AL10" s="7" t="s">
        <v>127</v>
      </c>
      <c r="AM10" s="7" t="s">
        <v>132</v>
      </c>
      <c r="AN10" s="7" t="s">
        <v>133</v>
      </c>
      <c r="AO10" s="7" t="s">
        <v>135</v>
      </c>
      <c r="AP10" s="7" t="s">
        <v>136</v>
      </c>
      <c r="AQ10" s="7" t="s">
        <v>137</v>
      </c>
      <c r="AR10" s="7" t="s">
        <v>134</v>
      </c>
      <c r="AS10" s="7" t="s">
        <v>139</v>
      </c>
      <c r="AT10" s="7" t="s">
        <v>140</v>
      </c>
      <c r="AU10" s="7" t="s">
        <v>141</v>
      </c>
      <c r="AV10" s="7" t="s">
        <v>143</v>
      </c>
      <c r="AW10" s="7" t="s">
        <v>144</v>
      </c>
      <c r="AX10" s="7" t="s">
        <v>142</v>
      </c>
      <c r="AY10" s="7" t="s">
        <v>138</v>
      </c>
      <c r="AZ10" s="7" t="s">
        <v>151</v>
      </c>
      <c r="BA10" s="7" t="s">
        <v>152</v>
      </c>
      <c r="BB10" s="7" t="s">
        <v>186</v>
      </c>
      <c r="BC10" s="7" t="s">
        <v>71</v>
      </c>
      <c r="BD10" s="11" t="s">
        <v>161</v>
      </c>
      <c r="BE10" s="11" t="s">
        <v>163</v>
      </c>
      <c r="BF10" s="11" t="s">
        <v>164</v>
      </c>
      <c r="BG10" s="11" t="s">
        <v>165</v>
      </c>
      <c r="BH10" s="11" t="s">
        <v>166</v>
      </c>
      <c r="BI10" s="11" t="s">
        <v>168</v>
      </c>
      <c r="BJ10" s="11" t="s">
        <v>162</v>
      </c>
      <c r="BK10" s="11" t="s">
        <v>167</v>
      </c>
      <c r="BL10" s="11" t="s">
        <v>169</v>
      </c>
      <c r="BM10" s="11" t="s">
        <v>74</v>
      </c>
      <c r="BN10" s="8" t="s">
        <v>171</v>
      </c>
      <c r="BO10" s="8" t="s">
        <v>170</v>
      </c>
    </row>
    <row r="11" spans="1:67" x14ac:dyDescent="0.2">
      <c r="A11" t="str">
        <f>'Input Scenarios'!A38</f>
        <v>NSW</v>
      </c>
      <c r="B11" t="str">
        <f>'Input Scenarios'!B38</f>
        <v>10 or below</v>
      </c>
      <c r="C11" t="str">
        <f>'Input Scenarios'!C38</f>
        <v>Irrigated crop</v>
      </c>
      <c r="D11" t="b">
        <f>'Input Scenarios'!D38</f>
        <v>1</v>
      </c>
      <c r="E11" t="str">
        <f>'Input Scenarios'!E38</f>
        <v>boars</v>
      </c>
      <c r="F11">
        <f>'Input Scenarios'!F38</f>
        <v>111</v>
      </c>
      <c r="G11">
        <f>'Input Scenarios'!G38</f>
        <v>105</v>
      </c>
      <c r="H11">
        <f>IF('Input Scenarios'!H38&lt;&gt;"", 'Input Scenarios'!H38, _xlfn.XLOOKUP($E11,Constants!$A$3:$A$6, Constants!B$3:B$6))</f>
        <v>2.62</v>
      </c>
      <c r="I11">
        <f>IF('Input Scenarios'!I38&lt;&gt;"", 'Input Scenarios'!I38, _xlfn.XLOOKUP($E11,Constants!$A$3:$A$6, Constants!C$3:C$6))</f>
        <v>0.37</v>
      </c>
      <c r="J11">
        <f>IF('Input Scenarios'!J38&lt;&gt;"", 'Input Scenarios'!J38, _xlfn.XLOOKUP($E11,Constants!$A$3:$A$6, Constants!D$3:D$6))</f>
        <v>0.04</v>
      </c>
      <c r="K11">
        <f>'Input Scenarios'!K38</f>
        <v>1</v>
      </c>
      <c r="L11">
        <f>'Input Scenarios'!L38</f>
        <v>0</v>
      </c>
      <c r="M11">
        <f>'Input Scenarios'!M38</f>
        <v>0</v>
      </c>
      <c r="N11">
        <f>'Input Scenarios'!N38</f>
        <v>0</v>
      </c>
      <c r="O11">
        <f>'Input Scenarios'!O38</f>
        <v>0</v>
      </c>
      <c r="P11">
        <f>'Input Scenarios'!P38</f>
        <v>0</v>
      </c>
      <c r="Q11" t="b">
        <f>'Input Scenarios'!Q38</f>
        <v>1</v>
      </c>
      <c r="R11">
        <f>IF('Input Scenarios'!$R38&lt;&gt;"", 'Input Scenarios'!$R38, IF($Q11, Constants!$B$19, 0))</f>
        <v>0.3</v>
      </c>
      <c r="S11">
        <f>IF('Input Scenarios'!$R38&lt;&gt;"", 'Input Scenarios'!$R38, IF($Q11, Constants!$B$20, 0))</f>
        <v>0.3</v>
      </c>
      <c r="T11">
        <f>F11*G11*J11</f>
        <v>466.2</v>
      </c>
      <c r="U11">
        <f>K11*(1-$S11)</f>
        <v>0.7</v>
      </c>
      <c r="V11">
        <f>L11</f>
        <v>0</v>
      </c>
      <c r="W11">
        <f t="shared" ref="W11:Y26" si="0">M11*(1-$S11)</f>
        <v>0</v>
      </c>
      <c r="X11">
        <f>N11</f>
        <v>0</v>
      </c>
      <c r="Y11">
        <f t="shared" si="0"/>
        <v>0</v>
      </c>
      <c r="Z11">
        <f>P11+(SUM(K11, M11, O11)*S11)</f>
        <v>0.3</v>
      </c>
      <c r="AA11">
        <f>$T11*U11</f>
        <v>326.33999999999997</v>
      </c>
      <c r="AB11">
        <f t="shared" ref="AB11:AF26" si="1">$T11*V11</f>
        <v>0</v>
      </c>
      <c r="AC11">
        <f t="shared" si="1"/>
        <v>0</v>
      </c>
      <c r="AD11">
        <f t="shared" si="1"/>
        <v>0</v>
      </c>
      <c r="AE11">
        <f t="shared" si="1"/>
        <v>0</v>
      </c>
      <c r="AF11">
        <f t="shared" si="1"/>
        <v>139.85999999999999</v>
      </c>
      <c r="AG11" s="9">
        <f>Constants!$C$10</f>
        <v>0.55000000000000004</v>
      </c>
      <c r="AH11" s="9">
        <f>Constants!$C$12</f>
        <v>0.3</v>
      </c>
      <c r="AI11" s="9">
        <f>Constants!$C$13</f>
        <v>0</v>
      </c>
      <c r="AJ11" s="9">
        <f>Constants!$C$14</f>
        <v>0.125</v>
      </c>
      <c r="AK11" s="9">
        <f>Constants!$C$15</f>
        <v>0.25</v>
      </c>
      <c r="AL11" s="9">
        <f>Constants!$C$11</f>
        <v>0.2</v>
      </c>
      <c r="AM11" s="9">
        <f>Constants!$D$10</f>
        <v>0</v>
      </c>
      <c r="AN11" s="9">
        <f>Constants!$D$12</f>
        <v>0.02</v>
      </c>
      <c r="AO11" s="9">
        <f>Constants!$D$13</f>
        <v>0</v>
      </c>
      <c r="AP11" s="9">
        <f>Constants!$D$14</f>
        <v>0.01</v>
      </c>
      <c r="AQ11" s="9">
        <f>Constants!$D$15</f>
        <v>2E-3</v>
      </c>
      <c r="AR11" s="9">
        <f>Constants!$D$11</f>
        <v>5.0000000000000001E-3</v>
      </c>
      <c r="AS11">
        <f>AA11*(1-AG11-AM11)</f>
        <v>146.85299999999998</v>
      </c>
      <c r="AT11">
        <f t="shared" ref="AT11:AX26" si="2">AB11*(1-AH11-AN11)</f>
        <v>0</v>
      </c>
      <c r="AU11">
        <f t="shared" si="2"/>
        <v>0</v>
      </c>
      <c r="AV11">
        <f t="shared" si="2"/>
        <v>0</v>
      </c>
      <c r="AW11">
        <f t="shared" si="2"/>
        <v>0</v>
      </c>
      <c r="AX11">
        <f t="shared" si="2"/>
        <v>111.1887</v>
      </c>
      <c r="AY11">
        <f>SUM(AS11:AX11)</f>
        <v>258.04169999999999</v>
      </c>
      <c r="AZ11">
        <f>AU11</f>
        <v>0</v>
      </c>
      <c r="BA11">
        <f>AV11</f>
        <v>0</v>
      </c>
      <c r="BB11">
        <f>SUM(AS11:AT11,AW11:AX11)</f>
        <v>258.04169999999999</v>
      </c>
      <c r="BC11">
        <f>Constants!$B$23</f>
        <v>1.5714285714285714</v>
      </c>
      <c r="BD11">
        <f t="shared" ref="BD11:BI26" si="3">AA11*AG11</f>
        <v>179.48699999999999</v>
      </c>
      <c r="BE11">
        <f t="shared" si="3"/>
        <v>0</v>
      </c>
      <c r="BF11">
        <f t="shared" si="3"/>
        <v>0</v>
      </c>
      <c r="BG11">
        <f t="shared" si="3"/>
        <v>0</v>
      </c>
      <c r="BH11">
        <f t="shared" si="3"/>
        <v>0</v>
      </c>
      <c r="BI11">
        <f t="shared" si="3"/>
        <v>27.971999999999998</v>
      </c>
      <c r="BJ11">
        <f>AZ11*AG11</f>
        <v>0</v>
      </c>
      <c r="BK11">
        <f>BA11*AL11</f>
        <v>0</v>
      </c>
      <c r="BL11">
        <f>SUM(BD11:BK11)</f>
        <v>207.459</v>
      </c>
      <c r="BM11">
        <f>_xlfn.XLOOKUP(C11, Constants!$D$19:$D$23, Constants!$E$19:$E$23)</f>
        <v>7.0000000000000001E-3</v>
      </c>
      <c r="BN11">
        <f>(BL11*BM11*BC11)/1000</f>
        <v>2.282049E-3</v>
      </c>
      <c r="BO11">
        <f>SUM(BN11:BN14)</f>
        <v>3.1911811799999995E-2</v>
      </c>
    </row>
    <row r="12" spans="1:67" x14ac:dyDescent="0.2">
      <c r="A12" t="str">
        <f>'Input Scenarios'!A39</f>
        <v>NSW</v>
      </c>
      <c r="B12" t="str">
        <f>'Input Scenarios'!B39</f>
        <v>10 or below</v>
      </c>
      <c r="C12" t="str">
        <f>'Input Scenarios'!C39</f>
        <v>Irrigated crop</v>
      </c>
      <c r="D12" t="b">
        <f>'Input Scenarios'!D39</f>
        <v>1</v>
      </c>
      <c r="E12" t="str">
        <f>'Input Scenarios'!E39</f>
        <v>sows</v>
      </c>
      <c r="F12">
        <f>'Input Scenarios'!F39</f>
        <v>222</v>
      </c>
      <c r="G12">
        <f>'Input Scenarios'!G39</f>
        <v>103</v>
      </c>
      <c r="H12">
        <f>IF('Input Scenarios'!H39&lt;&gt;"", 'Input Scenarios'!H39, _xlfn.XLOOKUP($E12,Constants!$A$3:$A$6, Constants!B$3:B$6))</f>
        <v>2.2999999999999998</v>
      </c>
      <c r="I12">
        <f>IF('Input Scenarios'!I39&lt;&gt;"", 'Input Scenarios'!I39, _xlfn.XLOOKUP($E12,Constants!$A$3:$A$6, Constants!C$3:C$6))</f>
        <v>0.37</v>
      </c>
      <c r="J12">
        <f>IF('Input Scenarios'!J39&lt;&gt;"", 'Input Scenarios'!J39, _xlfn.XLOOKUP($E12,Constants!$A$3:$A$6, Constants!D$3:D$6))</f>
        <v>0.04</v>
      </c>
      <c r="K12">
        <f>'Input Scenarios'!K39</f>
        <v>1</v>
      </c>
      <c r="L12">
        <f>'Input Scenarios'!L39</f>
        <v>0</v>
      </c>
      <c r="M12">
        <f>'Input Scenarios'!M39</f>
        <v>0</v>
      </c>
      <c r="N12">
        <f>'Input Scenarios'!N39</f>
        <v>0</v>
      </c>
      <c r="O12">
        <f>'Input Scenarios'!O39</f>
        <v>0</v>
      </c>
      <c r="P12">
        <f>'Input Scenarios'!P39</f>
        <v>0</v>
      </c>
      <c r="Q12" t="b">
        <f>'Input Scenarios'!Q39</f>
        <v>1</v>
      </c>
      <c r="R12">
        <f>IF('Input Scenarios'!$R39&lt;&gt;"", 'Input Scenarios'!$R39, IF($Q12, Constants!$B$19, 0))</f>
        <v>0.3</v>
      </c>
      <c r="S12">
        <f>IF('Input Scenarios'!$R39&lt;&gt;"", 'Input Scenarios'!$R39, IF($Q12, Constants!$B$20, 0))</f>
        <v>0.3</v>
      </c>
      <c r="T12">
        <f t="shared" ref="T12:T26" si="4">F12*G12*J12</f>
        <v>914.64</v>
      </c>
      <c r="U12">
        <f t="shared" ref="U12:U26" si="5">K12*(1-$S12)</f>
        <v>0.7</v>
      </c>
      <c r="V12">
        <f t="shared" ref="V12:V26" si="6">L12</f>
        <v>0</v>
      </c>
      <c r="W12">
        <f t="shared" si="0"/>
        <v>0</v>
      </c>
      <c r="X12">
        <f t="shared" ref="X12:X26" si="7">N12</f>
        <v>0</v>
      </c>
      <c r="Y12">
        <f t="shared" si="0"/>
        <v>0</v>
      </c>
      <c r="Z12">
        <f t="shared" ref="Z12:Z26" si="8">P12+(SUM(K12, M12, O12)*S12)</f>
        <v>0.3</v>
      </c>
      <c r="AA12">
        <f t="shared" ref="AA12:AA26" si="9">$T12*U12</f>
        <v>640.24799999999993</v>
      </c>
      <c r="AB12">
        <f t="shared" si="1"/>
        <v>0</v>
      </c>
      <c r="AC12">
        <f t="shared" si="1"/>
        <v>0</v>
      </c>
      <c r="AD12">
        <f t="shared" si="1"/>
        <v>0</v>
      </c>
      <c r="AE12">
        <f t="shared" si="1"/>
        <v>0</v>
      </c>
      <c r="AF12">
        <f t="shared" si="1"/>
        <v>274.392</v>
      </c>
      <c r="AG12" s="9">
        <f>Constants!$C$10</f>
        <v>0.55000000000000004</v>
      </c>
      <c r="AH12" s="9">
        <f>Constants!$C$12</f>
        <v>0.3</v>
      </c>
      <c r="AI12" s="9">
        <f>Constants!$C$13</f>
        <v>0</v>
      </c>
      <c r="AJ12" s="9">
        <f>Constants!$C$14</f>
        <v>0.125</v>
      </c>
      <c r="AK12" s="9">
        <f>Constants!$C$15</f>
        <v>0.25</v>
      </c>
      <c r="AL12" s="9">
        <f>Constants!$C$11</f>
        <v>0.2</v>
      </c>
      <c r="AM12" s="9">
        <f>Constants!$D$10</f>
        <v>0</v>
      </c>
      <c r="AN12" s="9">
        <f>Constants!$D$12</f>
        <v>0.02</v>
      </c>
      <c r="AO12" s="9">
        <f>Constants!$D$13</f>
        <v>0</v>
      </c>
      <c r="AP12" s="9">
        <f>Constants!$D$14</f>
        <v>0.01</v>
      </c>
      <c r="AQ12" s="9">
        <f>Constants!$D$15</f>
        <v>2E-3</v>
      </c>
      <c r="AR12" s="9">
        <f>Constants!$D$11</f>
        <v>5.0000000000000001E-3</v>
      </c>
      <c r="AS12">
        <f t="shared" ref="AS12:AS26" si="10">AA12*(1-AG12-AM12)</f>
        <v>288.11159999999995</v>
      </c>
      <c r="AT12">
        <f t="shared" si="2"/>
        <v>0</v>
      </c>
      <c r="AU12">
        <f t="shared" si="2"/>
        <v>0</v>
      </c>
      <c r="AV12">
        <f t="shared" si="2"/>
        <v>0</v>
      </c>
      <c r="AW12">
        <f t="shared" si="2"/>
        <v>0</v>
      </c>
      <c r="AX12">
        <f t="shared" si="2"/>
        <v>218.14164</v>
      </c>
      <c r="AY12">
        <f t="shared" ref="AY12:AY26" si="11">SUM(AS12:AX12)</f>
        <v>506.25323999999995</v>
      </c>
      <c r="AZ12">
        <f t="shared" ref="AZ12:BA26" si="12">AU12</f>
        <v>0</v>
      </c>
      <c r="BA12">
        <f t="shared" si="12"/>
        <v>0</v>
      </c>
      <c r="BB12">
        <f t="shared" ref="BB12:BB26" si="13">SUM(AS12:AT12,AW12:AX12)</f>
        <v>506.25323999999995</v>
      </c>
      <c r="BC12">
        <f>Constants!$B$23</f>
        <v>1.5714285714285714</v>
      </c>
      <c r="BD12">
        <f t="shared" si="3"/>
        <v>352.13639999999998</v>
      </c>
      <c r="BE12">
        <f t="shared" si="3"/>
        <v>0</v>
      </c>
      <c r="BF12">
        <f t="shared" si="3"/>
        <v>0</v>
      </c>
      <c r="BG12">
        <f t="shared" si="3"/>
        <v>0</v>
      </c>
      <c r="BH12">
        <f t="shared" si="3"/>
        <v>0</v>
      </c>
      <c r="BI12">
        <f t="shared" si="3"/>
        <v>54.878399999999999</v>
      </c>
      <c r="BJ12">
        <f t="shared" ref="BJ12:BJ26" si="14">AZ12*AG12</f>
        <v>0</v>
      </c>
      <c r="BK12">
        <f t="shared" ref="BK12:BK26" si="15">BA12*AL12</f>
        <v>0</v>
      </c>
      <c r="BL12">
        <f t="shared" ref="BL12:BL26" si="16">SUM(BD12:BK12)</f>
        <v>407.01479999999998</v>
      </c>
      <c r="BM12">
        <f>_xlfn.XLOOKUP(C12, Constants!$D$19:$D$23, Constants!$E$19:$E$23)</f>
        <v>7.0000000000000001E-3</v>
      </c>
      <c r="BN12">
        <f t="shared" ref="BN12:BN26" si="17">(BL12*BM12*BC12)/1000</f>
        <v>4.4771627999999992E-3</v>
      </c>
    </row>
    <row r="13" spans="1:67" x14ac:dyDescent="0.2">
      <c r="A13" t="str">
        <f>'Input Scenarios'!A40</f>
        <v>NSW</v>
      </c>
      <c r="B13" t="str">
        <f>'Input Scenarios'!B40</f>
        <v>10 or below</v>
      </c>
      <c r="C13" t="str">
        <f>'Input Scenarios'!C40</f>
        <v>Irrigated crop</v>
      </c>
      <c r="D13" t="b">
        <f>'Input Scenarios'!D40</f>
        <v>1</v>
      </c>
      <c r="E13" t="str">
        <f>'Input Scenarios'!E40</f>
        <v>gilts</v>
      </c>
      <c r="F13">
        <f>'Input Scenarios'!F40</f>
        <v>333</v>
      </c>
      <c r="G13">
        <f>'Input Scenarios'!G40</f>
        <v>200</v>
      </c>
      <c r="H13">
        <f>IF('Input Scenarios'!H40&lt;&gt;"", 'Input Scenarios'!H40, _xlfn.XLOOKUP($E13,Constants!$A$3:$A$6, Constants!B$3:B$6))</f>
        <v>2.5</v>
      </c>
      <c r="I13">
        <f>IF('Input Scenarios'!I40&lt;&gt;"", 'Input Scenarios'!I40, _xlfn.XLOOKUP($E13,Constants!$A$3:$A$6, Constants!C$3:C$6))</f>
        <v>0.37</v>
      </c>
      <c r="J13">
        <f>IF('Input Scenarios'!J40&lt;&gt;"", 'Input Scenarios'!J40, _xlfn.XLOOKUP($E13,Constants!$A$3:$A$6, Constants!D$3:D$6))</f>
        <v>0.04</v>
      </c>
      <c r="K13">
        <f>'Input Scenarios'!K40</f>
        <v>0</v>
      </c>
      <c r="L13">
        <f>'Input Scenarios'!L40</f>
        <v>0</v>
      </c>
      <c r="M13">
        <f>'Input Scenarios'!M40</f>
        <v>0</v>
      </c>
      <c r="N13">
        <f>'Input Scenarios'!N40</f>
        <v>0</v>
      </c>
      <c r="O13">
        <f>'Input Scenarios'!O40</f>
        <v>1</v>
      </c>
      <c r="P13">
        <f>'Input Scenarios'!P40</f>
        <v>0</v>
      </c>
      <c r="Q13" t="b">
        <f>'Input Scenarios'!Q40</f>
        <v>0</v>
      </c>
      <c r="R13">
        <f>IF('Input Scenarios'!$R40&lt;&gt;"", 'Input Scenarios'!$R40, IF($Q13, Constants!$B$19, 0))</f>
        <v>0</v>
      </c>
      <c r="S13">
        <f>IF('Input Scenarios'!$R40&lt;&gt;"", 'Input Scenarios'!$R40, IF($Q13, Constants!$B$20, 0))</f>
        <v>0</v>
      </c>
      <c r="T13">
        <f t="shared" si="4"/>
        <v>2664</v>
      </c>
      <c r="U13">
        <f t="shared" si="5"/>
        <v>0</v>
      </c>
      <c r="V13">
        <f t="shared" si="6"/>
        <v>0</v>
      </c>
      <c r="W13">
        <f t="shared" si="0"/>
        <v>0</v>
      </c>
      <c r="X13">
        <f t="shared" si="7"/>
        <v>0</v>
      </c>
      <c r="Y13">
        <f t="shared" si="0"/>
        <v>1</v>
      </c>
      <c r="Z13">
        <f t="shared" si="8"/>
        <v>0</v>
      </c>
      <c r="AA13">
        <f t="shared" si="9"/>
        <v>0</v>
      </c>
      <c r="AB13">
        <f t="shared" si="1"/>
        <v>0</v>
      </c>
      <c r="AC13">
        <f t="shared" si="1"/>
        <v>0</v>
      </c>
      <c r="AD13">
        <f t="shared" si="1"/>
        <v>0</v>
      </c>
      <c r="AE13">
        <f t="shared" si="1"/>
        <v>2664</v>
      </c>
      <c r="AF13">
        <f t="shared" si="1"/>
        <v>0</v>
      </c>
      <c r="AG13" s="9">
        <f>Constants!$C$10</f>
        <v>0.55000000000000004</v>
      </c>
      <c r="AH13" s="9">
        <f>Constants!$C$12</f>
        <v>0.3</v>
      </c>
      <c r="AI13" s="9">
        <f>Constants!$C$13</f>
        <v>0</v>
      </c>
      <c r="AJ13" s="9">
        <f>Constants!$C$14</f>
        <v>0.125</v>
      </c>
      <c r="AK13" s="9">
        <f>Constants!$C$15</f>
        <v>0.25</v>
      </c>
      <c r="AL13" s="9">
        <f>Constants!$C$11</f>
        <v>0.2</v>
      </c>
      <c r="AM13" s="9">
        <f>Constants!$D$10</f>
        <v>0</v>
      </c>
      <c r="AN13" s="9">
        <f>Constants!$D$12</f>
        <v>0.02</v>
      </c>
      <c r="AO13" s="9">
        <f>Constants!$D$13</f>
        <v>0</v>
      </c>
      <c r="AP13" s="9">
        <f>Constants!$D$14</f>
        <v>0.01</v>
      </c>
      <c r="AQ13" s="9">
        <f>Constants!$D$15</f>
        <v>2E-3</v>
      </c>
      <c r="AR13" s="9">
        <f>Constants!$D$11</f>
        <v>5.0000000000000001E-3</v>
      </c>
      <c r="AS13">
        <f t="shared" si="10"/>
        <v>0</v>
      </c>
      <c r="AT13">
        <f t="shared" si="2"/>
        <v>0</v>
      </c>
      <c r="AU13">
        <f t="shared" si="2"/>
        <v>0</v>
      </c>
      <c r="AV13">
        <f t="shared" si="2"/>
        <v>0</v>
      </c>
      <c r="AW13">
        <f t="shared" si="2"/>
        <v>1992.672</v>
      </c>
      <c r="AX13">
        <f t="shared" si="2"/>
        <v>0</v>
      </c>
      <c r="AY13">
        <f t="shared" si="11"/>
        <v>1992.672</v>
      </c>
      <c r="AZ13">
        <f t="shared" si="12"/>
        <v>0</v>
      </c>
      <c r="BA13">
        <f t="shared" si="12"/>
        <v>0</v>
      </c>
      <c r="BB13">
        <f t="shared" si="13"/>
        <v>1992.672</v>
      </c>
      <c r="BC13">
        <f>Constants!$B$23</f>
        <v>1.5714285714285714</v>
      </c>
      <c r="BD13">
        <f t="shared" si="3"/>
        <v>0</v>
      </c>
      <c r="BE13">
        <f t="shared" si="3"/>
        <v>0</v>
      </c>
      <c r="BF13">
        <f t="shared" si="3"/>
        <v>0</v>
      </c>
      <c r="BG13">
        <f t="shared" si="3"/>
        <v>0</v>
      </c>
      <c r="BH13">
        <f t="shared" si="3"/>
        <v>666</v>
      </c>
      <c r="BI13">
        <f t="shared" si="3"/>
        <v>0</v>
      </c>
      <c r="BJ13">
        <f t="shared" si="14"/>
        <v>0</v>
      </c>
      <c r="BK13">
        <f t="shared" si="15"/>
        <v>0</v>
      </c>
      <c r="BL13">
        <f t="shared" si="16"/>
        <v>666</v>
      </c>
      <c r="BM13">
        <f>_xlfn.XLOOKUP(C13, Constants!$D$19:$D$23, Constants!$E$19:$E$23)</f>
        <v>7.0000000000000001E-3</v>
      </c>
      <c r="BN13">
        <f t="shared" si="17"/>
        <v>7.326E-3</v>
      </c>
    </row>
    <row r="14" spans="1:67" s="2" customFormat="1" x14ac:dyDescent="0.2">
      <c r="A14" s="2" t="str">
        <f>'Input Scenarios'!A41</f>
        <v>NSW</v>
      </c>
      <c r="B14" s="2" t="str">
        <f>'Input Scenarios'!B41</f>
        <v>10 or below</v>
      </c>
      <c r="C14" s="2" t="str">
        <f>'Input Scenarios'!C41</f>
        <v>Irrigated crop</v>
      </c>
      <c r="D14" s="2" t="b">
        <f>'Input Scenarios'!D41</f>
        <v>1</v>
      </c>
      <c r="E14" s="2" t="str">
        <f>'Input Scenarios'!E41</f>
        <v>others</v>
      </c>
      <c r="F14" s="2">
        <f>'Input Scenarios'!F41</f>
        <v>444</v>
      </c>
      <c r="G14" s="2">
        <f>'Input Scenarios'!G41</f>
        <v>365</v>
      </c>
      <c r="H14" s="2">
        <f>IF('Input Scenarios'!H41&lt;&gt;"", 'Input Scenarios'!H41, _xlfn.XLOOKUP($E14,Constants!$A$3:$A$6, Constants!B$3:B$6))</f>
        <v>1.71</v>
      </c>
      <c r="I14" s="2">
        <f>IF('Input Scenarios'!I41&lt;&gt;"", 'Input Scenarios'!I41, _xlfn.XLOOKUP($E14,Constants!$A$3:$A$6, Constants!C$3:C$6))</f>
        <v>0.37</v>
      </c>
      <c r="J14" s="2">
        <f>IF('Input Scenarios'!J41&lt;&gt;"", 'Input Scenarios'!J41, _xlfn.XLOOKUP($E14,Constants!$A$3:$A$6, Constants!D$3:D$6))</f>
        <v>0.04</v>
      </c>
      <c r="K14" s="2">
        <f>'Input Scenarios'!K41</f>
        <v>0</v>
      </c>
      <c r="L14" s="2">
        <f>'Input Scenarios'!L41</f>
        <v>0</v>
      </c>
      <c r="M14" s="2">
        <f>'Input Scenarios'!M41</f>
        <v>0</v>
      </c>
      <c r="N14" s="2">
        <f>'Input Scenarios'!N41</f>
        <v>0</v>
      </c>
      <c r="O14" s="2">
        <f>'Input Scenarios'!O41</f>
        <v>1</v>
      </c>
      <c r="P14" s="2">
        <f>'Input Scenarios'!P41</f>
        <v>0</v>
      </c>
      <c r="Q14" s="2" t="b">
        <f>'Input Scenarios'!Q41</f>
        <v>0</v>
      </c>
      <c r="R14" s="2">
        <f>IF('Input Scenarios'!$R41&lt;&gt;"", 'Input Scenarios'!$R41, IF($Q14, Constants!$B$19, 0))</f>
        <v>0</v>
      </c>
      <c r="S14" s="2">
        <f>IF('Input Scenarios'!$R41&lt;&gt;"", 'Input Scenarios'!$R41, IF($Q14, Constants!$B$20, 0))</f>
        <v>0</v>
      </c>
      <c r="T14">
        <f t="shared" si="4"/>
        <v>6482.4000000000005</v>
      </c>
      <c r="U14">
        <f t="shared" si="5"/>
        <v>0</v>
      </c>
      <c r="V14">
        <f t="shared" si="6"/>
        <v>0</v>
      </c>
      <c r="W14">
        <f t="shared" si="0"/>
        <v>0</v>
      </c>
      <c r="X14">
        <f t="shared" si="7"/>
        <v>0</v>
      </c>
      <c r="Y14">
        <f t="shared" si="0"/>
        <v>1</v>
      </c>
      <c r="Z14">
        <f t="shared" si="8"/>
        <v>0</v>
      </c>
      <c r="AA14">
        <f t="shared" si="9"/>
        <v>0</v>
      </c>
      <c r="AB14">
        <f t="shared" si="1"/>
        <v>0</v>
      </c>
      <c r="AC14">
        <f t="shared" si="1"/>
        <v>0</v>
      </c>
      <c r="AD14">
        <f t="shared" si="1"/>
        <v>0</v>
      </c>
      <c r="AE14">
        <f t="shared" si="1"/>
        <v>6482.4000000000005</v>
      </c>
      <c r="AF14">
        <f t="shared" si="1"/>
        <v>0</v>
      </c>
      <c r="AG14" s="9">
        <f>Constants!$C$10</f>
        <v>0.55000000000000004</v>
      </c>
      <c r="AH14" s="9">
        <f>Constants!$C$12</f>
        <v>0.3</v>
      </c>
      <c r="AI14" s="9">
        <f>Constants!$C$13</f>
        <v>0</v>
      </c>
      <c r="AJ14" s="9">
        <f>Constants!$C$14</f>
        <v>0.125</v>
      </c>
      <c r="AK14" s="9">
        <f>Constants!$C$15</f>
        <v>0.25</v>
      </c>
      <c r="AL14" s="9">
        <f>Constants!$C$11</f>
        <v>0.2</v>
      </c>
      <c r="AM14" s="9">
        <f>Constants!$D$10</f>
        <v>0</v>
      </c>
      <c r="AN14" s="9">
        <f>Constants!$D$12</f>
        <v>0.02</v>
      </c>
      <c r="AO14" s="9">
        <f>Constants!$D$13</f>
        <v>0</v>
      </c>
      <c r="AP14" s="9">
        <f>Constants!$D$14</f>
        <v>0.01</v>
      </c>
      <c r="AQ14" s="9">
        <f>Constants!$D$15</f>
        <v>2E-3</v>
      </c>
      <c r="AR14" s="9">
        <f>Constants!$D$11</f>
        <v>5.0000000000000001E-3</v>
      </c>
      <c r="AS14">
        <f t="shared" si="10"/>
        <v>0</v>
      </c>
      <c r="AT14">
        <f t="shared" si="2"/>
        <v>0</v>
      </c>
      <c r="AU14">
        <f t="shared" si="2"/>
        <v>0</v>
      </c>
      <c r="AV14">
        <f t="shared" si="2"/>
        <v>0</v>
      </c>
      <c r="AW14">
        <f t="shared" si="2"/>
        <v>4848.8352000000004</v>
      </c>
      <c r="AX14">
        <f t="shared" si="2"/>
        <v>0</v>
      </c>
      <c r="AY14">
        <f t="shared" si="11"/>
        <v>4848.8352000000004</v>
      </c>
      <c r="AZ14">
        <f t="shared" si="12"/>
        <v>0</v>
      </c>
      <c r="BA14">
        <f t="shared" si="12"/>
        <v>0</v>
      </c>
      <c r="BB14">
        <f t="shared" si="13"/>
        <v>4848.8352000000004</v>
      </c>
      <c r="BC14">
        <f>Constants!$B$23</f>
        <v>1.5714285714285714</v>
      </c>
      <c r="BD14">
        <f t="shared" si="3"/>
        <v>0</v>
      </c>
      <c r="BE14">
        <f t="shared" si="3"/>
        <v>0</v>
      </c>
      <c r="BF14">
        <f t="shared" si="3"/>
        <v>0</v>
      </c>
      <c r="BG14">
        <f t="shared" si="3"/>
        <v>0</v>
      </c>
      <c r="BH14">
        <f t="shared" si="3"/>
        <v>1620.6000000000001</v>
      </c>
      <c r="BI14">
        <f t="shared" si="3"/>
        <v>0</v>
      </c>
      <c r="BJ14">
        <f t="shared" si="14"/>
        <v>0</v>
      </c>
      <c r="BK14">
        <f t="shared" si="15"/>
        <v>0</v>
      </c>
      <c r="BL14">
        <f t="shared" si="16"/>
        <v>1620.6000000000001</v>
      </c>
      <c r="BM14">
        <f>_xlfn.XLOOKUP(C14, Constants!$D$19:$D$23, Constants!$E$19:$E$23)</f>
        <v>7.0000000000000001E-3</v>
      </c>
      <c r="BN14">
        <f t="shared" si="17"/>
        <v>1.7826599999999998E-2</v>
      </c>
    </row>
    <row r="15" spans="1:67" x14ac:dyDescent="0.2">
      <c r="A15" t="str">
        <f>'Input Scenarios'!A42</f>
        <v>NT</v>
      </c>
      <c r="B15">
        <f>'Input Scenarios'!B42</f>
        <v>14</v>
      </c>
      <c r="C15" t="str">
        <f>'Input Scenarios'!C42</f>
        <v>Irrigated pasture</v>
      </c>
      <c r="D15" t="b">
        <f>'Input Scenarios'!D42</f>
        <v>1</v>
      </c>
      <c r="E15" t="str">
        <f>'Input Scenarios'!E42</f>
        <v>boars</v>
      </c>
      <c r="F15">
        <f>'Input Scenarios'!F42</f>
        <v>105</v>
      </c>
      <c r="G15">
        <f>'Input Scenarios'!G42</f>
        <v>75</v>
      </c>
      <c r="H15">
        <f>IF('Input Scenarios'!H42&lt;&gt;"", 'Input Scenarios'!H42, _xlfn.XLOOKUP($E15,Constants!$A$3:$A$6, Constants!B$3:B$6))</f>
        <v>2.62</v>
      </c>
      <c r="I15">
        <f>IF('Input Scenarios'!I42&lt;&gt;"", 'Input Scenarios'!I42, _xlfn.XLOOKUP($E15,Constants!$A$3:$A$6, Constants!C$3:C$6))</f>
        <v>0.5</v>
      </c>
      <c r="J15">
        <f>IF('Input Scenarios'!J42&lt;&gt;"", 'Input Scenarios'!J42, _xlfn.XLOOKUP($E15,Constants!$A$3:$A$6, Constants!D$3:D$6))</f>
        <v>7.9000000000000001E-2</v>
      </c>
      <c r="K15">
        <f>'Input Scenarios'!K42</f>
        <v>0.2</v>
      </c>
      <c r="L15">
        <f>'Input Scenarios'!L42</f>
        <v>0.1</v>
      </c>
      <c r="M15">
        <f>'Input Scenarios'!M42</f>
        <v>0.2</v>
      </c>
      <c r="N15">
        <f>'Input Scenarios'!N42</f>
        <v>0.2</v>
      </c>
      <c r="O15">
        <f>'Input Scenarios'!O42</f>
        <v>0.2</v>
      </c>
      <c r="P15">
        <f>'Input Scenarios'!P42</f>
        <v>0.1</v>
      </c>
      <c r="Q15" t="b">
        <f>'Input Scenarios'!Q42</f>
        <v>1</v>
      </c>
      <c r="R15">
        <f>IF('Input Scenarios'!$R42&lt;&gt;"", 'Input Scenarios'!$R42, IF($Q15, Constants!$B$19, 0))</f>
        <v>0.45</v>
      </c>
      <c r="S15">
        <f>IF('Input Scenarios'!$R42&lt;&gt;"", 'Input Scenarios'!$R42, IF($Q15, Constants!$B$20, 0))</f>
        <v>0.45</v>
      </c>
      <c r="T15">
        <f t="shared" si="4"/>
        <v>622.125</v>
      </c>
      <c r="U15">
        <f t="shared" si="5"/>
        <v>0.11000000000000001</v>
      </c>
      <c r="V15">
        <f t="shared" si="6"/>
        <v>0.1</v>
      </c>
      <c r="W15">
        <f t="shared" si="0"/>
        <v>0.11000000000000001</v>
      </c>
      <c r="X15">
        <f t="shared" si="7"/>
        <v>0.2</v>
      </c>
      <c r="Y15">
        <f t="shared" si="0"/>
        <v>0.11000000000000001</v>
      </c>
      <c r="Z15">
        <f t="shared" si="8"/>
        <v>0.37000000000000011</v>
      </c>
      <c r="AA15">
        <f t="shared" si="9"/>
        <v>68.433750000000003</v>
      </c>
      <c r="AB15">
        <f t="shared" si="1"/>
        <v>62.212500000000006</v>
      </c>
      <c r="AC15">
        <f t="shared" si="1"/>
        <v>68.433750000000003</v>
      </c>
      <c r="AD15">
        <f t="shared" si="1"/>
        <v>124.42500000000001</v>
      </c>
      <c r="AE15">
        <f t="shared" si="1"/>
        <v>68.433750000000003</v>
      </c>
      <c r="AF15">
        <f t="shared" si="1"/>
        <v>230.18625000000006</v>
      </c>
      <c r="AG15" s="9">
        <f>Constants!$C$10</f>
        <v>0.55000000000000004</v>
      </c>
      <c r="AH15" s="9">
        <f>Constants!$C$12</f>
        <v>0.3</v>
      </c>
      <c r="AI15" s="9">
        <f>Constants!$C$13</f>
        <v>0</v>
      </c>
      <c r="AJ15" s="9">
        <f>Constants!$C$14</f>
        <v>0.125</v>
      </c>
      <c r="AK15" s="9">
        <f>Constants!$C$15</f>
        <v>0.25</v>
      </c>
      <c r="AL15" s="9">
        <f>Constants!$C$11</f>
        <v>0.2</v>
      </c>
      <c r="AM15" s="9">
        <f>Constants!$D$10</f>
        <v>0</v>
      </c>
      <c r="AN15" s="9">
        <f>Constants!$D$12</f>
        <v>0.02</v>
      </c>
      <c r="AO15" s="9">
        <f>Constants!$D$13</f>
        <v>0</v>
      </c>
      <c r="AP15" s="9">
        <f>Constants!$D$14</f>
        <v>0.01</v>
      </c>
      <c r="AQ15" s="9">
        <f>Constants!$D$15</f>
        <v>2E-3</v>
      </c>
      <c r="AR15" s="9">
        <f>Constants!$D$11</f>
        <v>5.0000000000000001E-3</v>
      </c>
      <c r="AS15">
        <f t="shared" si="10"/>
        <v>30.795187499999997</v>
      </c>
      <c r="AT15">
        <f t="shared" si="2"/>
        <v>42.304499999999997</v>
      </c>
      <c r="AU15">
        <f t="shared" si="2"/>
        <v>68.433750000000003</v>
      </c>
      <c r="AV15">
        <f t="shared" si="2"/>
        <v>107.62762500000001</v>
      </c>
      <c r="AW15">
        <f t="shared" si="2"/>
        <v>51.188445000000002</v>
      </c>
      <c r="AX15">
        <f t="shared" si="2"/>
        <v>182.99806875000004</v>
      </c>
      <c r="AY15">
        <f t="shared" si="11"/>
        <v>483.34757625000009</v>
      </c>
      <c r="AZ15">
        <f t="shared" si="12"/>
        <v>68.433750000000003</v>
      </c>
      <c r="BA15">
        <f t="shared" si="12"/>
        <v>107.62762500000001</v>
      </c>
      <c r="BB15">
        <f t="shared" si="13"/>
        <v>307.28620125000003</v>
      </c>
      <c r="BC15">
        <f>Constants!$B$23</f>
        <v>1.5714285714285714</v>
      </c>
      <c r="BD15">
        <f t="shared" si="3"/>
        <v>37.638562500000006</v>
      </c>
      <c r="BE15">
        <f t="shared" si="3"/>
        <v>18.66375</v>
      </c>
      <c r="BF15">
        <f t="shared" si="3"/>
        <v>0</v>
      </c>
      <c r="BG15">
        <f t="shared" si="3"/>
        <v>15.553125000000001</v>
      </c>
      <c r="BH15">
        <f t="shared" si="3"/>
        <v>17.108437500000001</v>
      </c>
      <c r="BI15">
        <f t="shared" si="3"/>
        <v>46.037250000000014</v>
      </c>
      <c r="BJ15">
        <f t="shared" si="14"/>
        <v>37.638562500000006</v>
      </c>
      <c r="BK15">
        <f t="shared" si="15"/>
        <v>21.525525000000002</v>
      </c>
      <c r="BL15">
        <f t="shared" si="16"/>
        <v>194.1652125</v>
      </c>
      <c r="BM15">
        <f>_xlfn.XLOOKUP(C15, Constants!$D$19:$D$23, Constants!$E$19:$E$23)</f>
        <v>5.8999999999999999E-3</v>
      </c>
      <c r="BN15">
        <f t="shared" si="17"/>
        <v>1.8001888987499996E-3</v>
      </c>
      <c r="BO15">
        <f>SUM(BN15:BN18)</f>
        <v>3.7117341478878574E-2</v>
      </c>
    </row>
    <row r="16" spans="1:67" x14ac:dyDescent="0.2">
      <c r="A16" t="str">
        <f>'Input Scenarios'!A43</f>
        <v>NT</v>
      </c>
      <c r="B16">
        <f>'Input Scenarios'!B43</f>
        <v>14</v>
      </c>
      <c r="C16" t="str">
        <f>'Input Scenarios'!C43</f>
        <v>Irrigated pasture</v>
      </c>
      <c r="D16" t="b">
        <f>'Input Scenarios'!D43</f>
        <v>1</v>
      </c>
      <c r="E16" t="str">
        <f>'Input Scenarios'!E43</f>
        <v>sows</v>
      </c>
      <c r="F16">
        <f>'Input Scenarios'!F43</f>
        <v>245</v>
      </c>
      <c r="G16">
        <f>'Input Scenarios'!G43</f>
        <v>290</v>
      </c>
      <c r="H16">
        <f>IF('Input Scenarios'!H43&lt;&gt;"", 'Input Scenarios'!H43, _xlfn.XLOOKUP($E16,Constants!$A$3:$A$6, Constants!B$3:B$6))</f>
        <v>2.2999999999999998</v>
      </c>
      <c r="I16">
        <f>IF('Input Scenarios'!I43&lt;&gt;"", 'Input Scenarios'!I43, _xlfn.XLOOKUP($E16,Constants!$A$3:$A$6, Constants!C$3:C$6))</f>
        <v>0.56000000000000005</v>
      </c>
      <c r="J16">
        <f>IF('Input Scenarios'!J43&lt;&gt;"", 'Input Scenarios'!J43, _xlfn.XLOOKUP($E16,Constants!$A$3:$A$6, Constants!D$3:D$6))</f>
        <v>6.9000000000000006E-2</v>
      </c>
      <c r="K16">
        <f>'Input Scenarios'!K43</f>
        <v>0.2</v>
      </c>
      <c r="L16">
        <f>'Input Scenarios'!L43</f>
        <v>0.1</v>
      </c>
      <c r="M16">
        <f>'Input Scenarios'!M43</f>
        <v>0.2</v>
      </c>
      <c r="N16">
        <f>'Input Scenarios'!N43</f>
        <v>0.2</v>
      </c>
      <c r="O16">
        <f>'Input Scenarios'!O43</f>
        <v>0.2</v>
      </c>
      <c r="P16">
        <f>'Input Scenarios'!P43</f>
        <v>0.1</v>
      </c>
      <c r="Q16" t="b">
        <f>'Input Scenarios'!Q43</f>
        <v>1</v>
      </c>
      <c r="R16">
        <f>IF('Input Scenarios'!$R43&lt;&gt;"", 'Input Scenarios'!$R43, IF($Q16, Constants!$B$19, 0))</f>
        <v>0.45</v>
      </c>
      <c r="S16">
        <f>IF('Input Scenarios'!$R43&lt;&gt;"", 'Input Scenarios'!$R43, IF($Q16, Constants!$B$20, 0))</f>
        <v>0.45</v>
      </c>
      <c r="T16">
        <f t="shared" si="4"/>
        <v>4902.4500000000007</v>
      </c>
      <c r="U16">
        <f t="shared" si="5"/>
        <v>0.11000000000000001</v>
      </c>
      <c r="V16">
        <f t="shared" si="6"/>
        <v>0.1</v>
      </c>
      <c r="W16">
        <f t="shared" si="0"/>
        <v>0.11000000000000001</v>
      </c>
      <c r="X16">
        <f t="shared" si="7"/>
        <v>0.2</v>
      </c>
      <c r="Y16">
        <f t="shared" si="0"/>
        <v>0.11000000000000001</v>
      </c>
      <c r="Z16">
        <f t="shared" si="8"/>
        <v>0.37000000000000011</v>
      </c>
      <c r="AA16">
        <f t="shared" si="9"/>
        <v>539.26950000000011</v>
      </c>
      <c r="AB16">
        <f t="shared" si="1"/>
        <v>490.24500000000012</v>
      </c>
      <c r="AC16">
        <f t="shared" si="1"/>
        <v>539.26950000000011</v>
      </c>
      <c r="AD16">
        <f t="shared" si="1"/>
        <v>980.49000000000024</v>
      </c>
      <c r="AE16">
        <f t="shared" si="1"/>
        <v>539.26950000000011</v>
      </c>
      <c r="AF16">
        <f t="shared" si="1"/>
        <v>1813.9065000000007</v>
      </c>
      <c r="AG16" s="9">
        <f>Constants!$C$10</f>
        <v>0.55000000000000004</v>
      </c>
      <c r="AH16" s="9">
        <f>Constants!$C$12</f>
        <v>0.3</v>
      </c>
      <c r="AI16" s="9">
        <f>Constants!$C$13</f>
        <v>0</v>
      </c>
      <c r="AJ16" s="9">
        <f>Constants!$C$14</f>
        <v>0.125</v>
      </c>
      <c r="AK16" s="9">
        <f>Constants!$C$15</f>
        <v>0.25</v>
      </c>
      <c r="AL16" s="9">
        <f>Constants!$C$11</f>
        <v>0.2</v>
      </c>
      <c r="AM16" s="9">
        <f>Constants!$D$10</f>
        <v>0</v>
      </c>
      <c r="AN16" s="9">
        <f>Constants!$D$12</f>
        <v>0.02</v>
      </c>
      <c r="AO16" s="9">
        <f>Constants!$D$13</f>
        <v>0</v>
      </c>
      <c r="AP16" s="9">
        <f>Constants!$D$14</f>
        <v>0.01</v>
      </c>
      <c r="AQ16" s="9">
        <f>Constants!$D$15</f>
        <v>2E-3</v>
      </c>
      <c r="AR16" s="9">
        <f>Constants!$D$11</f>
        <v>5.0000000000000001E-3</v>
      </c>
      <c r="AS16">
        <f t="shared" si="10"/>
        <v>242.67127500000004</v>
      </c>
      <c r="AT16">
        <f t="shared" si="2"/>
        <v>333.36660000000006</v>
      </c>
      <c r="AU16">
        <f t="shared" si="2"/>
        <v>539.26950000000011</v>
      </c>
      <c r="AV16">
        <f t="shared" si="2"/>
        <v>848.12385000000017</v>
      </c>
      <c r="AW16">
        <f t="shared" si="2"/>
        <v>403.3735860000001</v>
      </c>
      <c r="AX16">
        <f t="shared" si="2"/>
        <v>1442.0556675000007</v>
      </c>
      <c r="AY16">
        <f t="shared" si="11"/>
        <v>3808.8604785000011</v>
      </c>
      <c r="AZ16">
        <f t="shared" si="12"/>
        <v>539.26950000000011</v>
      </c>
      <c r="BA16">
        <f t="shared" si="12"/>
        <v>848.12385000000017</v>
      </c>
      <c r="BB16">
        <f t="shared" si="13"/>
        <v>2421.4671285000009</v>
      </c>
      <c r="BC16">
        <f>Constants!$B$23</f>
        <v>1.5714285714285714</v>
      </c>
      <c r="BD16">
        <f t="shared" si="3"/>
        <v>296.59822500000007</v>
      </c>
      <c r="BE16">
        <f t="shared" si="3"/>
        <v>147.07350000000002</v>
      </c>
      <c r="BF16">
        <f t="shared" si="3"/>
        <v>0</v>
      </c>
      <c r="BG16">
        <f t="shared" si="3"/>
        <v>122.56125000000003</v>
      </c>
      <c r="BH16">
        <f t="shared" si="3"/>
        <v>134.81737500000003</v>
      </c>
      <c r="BI16">
        <f t="shared" si="3"/>
        <v>362.78130000000016</v>
      </c>
      <c r="BJ16">
        <f t="shared" si="14"/>
        <v>296.59822500000007</v>
      </c>
      <c r="BK16">
        <f t="shared" si="15"/>
        <v>169.62477000000004</v>
      </c>
      <c r="BL16">
        <f t="shared" si="16"/>
        <v>1530.0546450000004</v>
      </c>
      <c r="BM16">
        <f>_xlfn.XLOOKUP(C16, Constants!$D$19:$D$23, Constants!$E$19:$E$23)</f>
        <v>5.8999999999999999E-3</v>
      </c>
      <c r="BN16">
        <f t="shared" si="17"/>
        <v>1.4185792351500002E-2</v>
      </c>
    </row>
    <row r="17" spans="1:67" x14ac:dyDescent="0.2">
      <c r="A17" t="str">
        <f>'Input Scenarios'!A44</f>
        <v>NT</v>
      </c>
      <c r="B17">
        <f>'Input Scenarios'!B44</f>
        <v>14</v>
      </c>
      <c r="C17" t="str">
        <f>'Input Scenarios'!C44</f>
        <v>Irrigated pasture</v>
      </c>
      <c r="D17" t="b">
        <f>'Input Scenarios'!D44</f>
        <v>1</v>
      </c>
      <c r="E17" t="str">
        <f>'Input Scenarios'!E44</f>
        <v>gilts</v>
      </c>
      <c r="F17">
        <f>'Input Scenarios'!F44</f>
        <v>434</v>
      </c>
      <c r="G17">
        <f>'Input Scenarios'!G44</f>
        <v>280</v>
      </c>
      <c r="H17">
        <f>IF('Input Scenarios'!H44&lt;&gt;"", 'Input Scenarios'!H44, _xlfn.XLOOKUP($E17,Constants!$A$3:$A$6, Constants!B$3:B$6))</f>
        <v>2.5</v>
      </c>
      <c r="I17">
        <f>IF('Input Scenarios'!I44&lt;&gt;"", 'Input Scenarios'!I44, _xlfn.XLOOKUP($E17,Constants!$A$3:$A$6, Constants!C$3:C$6))</f>
        <v>0.45</v>
      </c>
      <c r="J17">
        <f>IF('Input Scenarios'!J44&lt;&gt;"", 'Input Scenarios'!J44, _xlfn.XLOOKUP($E17,Constants!$A$3:$A$6, Constants!D$3:D$6))</f>
        <v>5.6000000000000001E-2</v>
      </c>
      <c r="K17">
        <f>'Input Scenarios'!K44</f>
        <v>0.2</v>
      </c>
      <c r="L17">
        <f>'Input Scenarios'!L44</f>
        <v>0.1</v>
      </c>
      <c r="M17">
        <f>'Input Scenarios'!M44</f>
        <v>0.2</v>
      </c>
      <c r="N17">
        <f>'Input Scenarios'!N44</f>
        <v>0.2</v>
      </c>
      <c r="O17">
        <f>'Input Scenarios'!O44</f>
        <v>0.2</v>
      </c>
      <c r="P17">
        <f>'Input Scenarios'!P44</f>
        <v>0.1</v>
      </c>
      <c r="Q17" t="b">
        <f>'Input Scenarios'!Q44</f>
        <v>1</v>
      </c>
      <c r="R17">
        <f>IF('Input Scenarios'!$R44&lt;&gt;"", 'Input Scenarios'!$R44, IF($Q17, Constants!$B$19, 0))</f>
        <v>0.45</v>
      </c>
      <c r="S17">
        <f>IF('Input Scenarios'!$R44&lt;&gt;"", 'Input Scenarios'!$R44, IF($Q17, Constants!$B$20, 0))</f>
        <v>0.45</v>
      </c>
      <c r="T17">
        <f t="shared" si="4"/>
        <v>6805.12</v>
      </c>
      <c r="U17">
        <f t="shared" si="5"/>
        <v>0.11000000000000001</v>
      </c>
      <c r="V17">
        <f t="shared" si="6"/>
        <v>0.1</v>
      </c>
      <c r="W17">
        <f t="shared" si="0"/>
        <v>0.11000000000000001</v>
      </c>
      <c r="X17">
        <f t="shared" si="7"/>
        <v>0.2</v>
      </c>
      <c r="Y17">
        <f t="shared" si="0"/>
        <v>0.11000000000000001</v>
      </c>
      <c r="Z17">
        <f t="shared" si="8"/>
        <v>0.37000000000000011</v>
      </c>
      <c r="AA17">
        <f t="shared" si="9"/>
        <v>748.56320000000005</v>
      </c>
      <c r="AB17">
        <f t="shared" si="1"/>
        <v>680.51200000000006</v>
      </c>
      <c r="AC17">
        <f t="shared" si="1"/>
        <v>748.56320000000005</v>
      </c>
      <c r="AD17">
        <f t="shared" si="1"/>
        <v>1361.0240000000001</v>
      </c>
      <c r="AE17">
        <f t="shared" si="1"/>
        <v>748.56320000000005</v>
      </c>
      <c r="AF17">
        <f t="shared" si="1"/>
        <v>2517.8944000000006</v>
      </c>
      <c r="AG17" s="9">
        <f>Constants!$C$10</f>
        <v>0.55000000000000004</v>
      </c>
      <c r="AH17" s="9">
        <f>Constants!$C$12</f>
        <v>0.3</v>
      </c>
      <c r="AI17" s="9">
        <f>Constants!$C$13</f>
        <v>0</v>
      </c>
      <c r="AJ17" s="9">
        <f>Constants!$C$14</f>
        <v>0.125</v>
      </c>
      <c r="AK17" s="9">
        <f>Constants!$C$15</f>
        <v>0.25</v>
      </c>
      <c r="AL17" s="9">
        <f>Constants!$C$11</f>
        <v>0.2</v>
      </c>
      <c r="AM17" s="9">
        <f>Constants!$D$10</f>
        <v>0</v>
      </c>
      <c r="AN17" s="9">
        <f>Constants!$D$12</f>
        <v>0.02</v>
      </c>
      <c r="AO17" s="9">
        <f>Constants!$D$13</f>
        <v>0</v>
      </c>
      <c r="AP17" s="9">
        <f>Constants!$D$14</f>
        <v>0.01</v>
      </c>
      <c r="AQ17" s="9">
        <f>Constants!$D$15</f>
        <v>2E-3</v>
      </c>
      <c r="AR17" s="9">
        <f>Constants!$D$11</f>
        <v>5.0000000000000001E-3</v>
      </c>
      <c r="AS17">
        <f t="shared" si="10"/>
        <v>336.85343999999998</v>
      </c>
      <c r="AT17">
        <f t="shared" si="2"/>
        <v>462.74815999999998</v>
      </c>
      <c r="AU17">
        <f t="shared" si="2"/>
        <v>748.56320000000005</v>
      </c>
      <c r="AV17">
        <f t="shared" si="2"/>
        <v>1177.28576</v>
      </c>
      <c r="AW17">
        <f t="shared" si="2"/>
        <v>559.92527360000008</v>
      </c>
      <c r="AX17">
        <f t="shared" si="2"/>
        <v>2001.7260480000007</v>
      </c>
      <c r="AY17">
        <f t="shared" si="11"/>
        <v>5287.1018816000005</v>
      </c>
      <c r="AZ17">
        <f t="shared" si="12"/>
        <v>748.56320000000005</v>
      </c>
      <c r="BA17">
        <f t="shared" si="12"/>
        <v>1177.28576</v>
      </c>
      <c r="BB17">
        <f t="shared" si="13"/>
        <v>3361.2529216000007</v>
      </c>
      <c r="BC17">
        <f>Constants!$B$23</f>
        <v>1.5714285714285714</v>
      </c>
      <c r="BD17">
        <f t="shared" si="3"/>
        <v>411.70976000000007</v>
      </c>
      <c r="BE17">
        <f t="shared" si="3"/>
        <v>204.15360000000001</v>
      </c>
      <c r="BF17">
        <f t="shared" si="3"/>
        <v>0</v>
      </c>
      <c r="BG17">
        <f t="shared" si="3"/>
        <v>170.12800000000001</v>
      </c>
      <c r="BH17">
        <f t="shared" si="3"/>
        <v>187.14080000000001</v>
      </c>
      <c r="BI17">
        <f t="shared" si="3"/>
        <v>503.57888000000014</v>
      </c>
      <c r="BJ17">
        <f t="shared" si="14"/>
        <v>411.70976000000007</v>
      </c>
      <c r="BK17">
        <f t="shared" si="15"/>
        <v>235.45715200000001</v>
      </c>
      <c r="BL17">
        <f t="shared" si="16"/>
        <v>2123.8779520000003</v>
      </c>
      <c r="BM17">
        <f>_xlfn.XLOOKUP(C17, Constants!$D$19:$D$23, Constants!$E$19:$E$23)</f>
        <v>5.8999999999999999E-3</v>
      </c>
      <c r="BN17">
        <f t="shared" si="17"/>
        <v>1.9691382726400003E-2</v>
      </c>
    </row>
    <row r="18" spans="1:67" s="2" customFormat="1" x14ac:dyDescent="0.2">
      <c r="A18" s="2" t="str">
        <f>'Input Scenarios'!A45</f>
        <v>NT</v>
      </c>
      <c r="B18" s="2">
        <f>'Input Scenarios'!B45</f>
        <v>14</v>
      </c>
      <c r="C18" s="2" t="str">
        <f>'Input Scenarios'!C45</f>
        <v>Irrigated pasture</v>
      </c>
      <c r="D18" s="2" t="b">
        <f>'Input Scenarios'!D45</f>
        <v>1</v>
      </c>
      <c r="E18" s="2" t="str">
        <f>'Input Scenarios'!E45</f>
        <v>others</v>
      </c>
      <c r="F18" s="2">
        <f>'Input Scenarios'!F45</f>
        <v>44</v>
      </c>
      <c r="G18" s="2">
        <f>'Input Scenarios'!G45</f>
        <v>290</v>
      </c>
      <c r="H18" s="2">
        <f>IF('Input Scenarios'!H45&lt;&gt;"", 'Input Scenarios'!H45, _xlfn.XLOOKUP($E18,Constants!$A$3:$A$6, Constants!B$3:B$6))</f>
        <v>1.71</v>
      </c>
      <c r="I18" s="2">
        <f>IF('Input Scenarios'!I45&lt;&gt;"", 'Input Scenarios'!I45, _xlfn.XLOOKUP($E18,Constants!$A$3:$A$6, Constants!C$3:C$6))</f>
        <v>0.49</v>
      </c>
      <c r="J18" s="2">
        <f>IF('Input Scenarios'!J45&lt;&gt;"", 'Input Scenarios'!J45, _xlfn.XLOOKUP($E18,Constants!$A$3:$A$6, Constants!D$3:D$6))</f>
        <v>3.9E-2</v>
      </c>
      <c r="K18" s="2">
        <f>'Input Scenarios'!K45</f>
        <v>0.2</v>
      </c>
      <c r="L18" s="2">
        <f>'Input Scenarios'!L45</f>
        <v>0.1</v>
      </c>
      <c r="M18" s="2">
        <f>'Input Scenarios'!M45</f>
        <v>0.2</v>
      </c>
      <c r="N18" s="2">
        <f>'Input Scenarios'!N45</f>
        <v>0.2</v>
      </c>
      <c r="O18" s="2">
        <f>'Input Scenarios'!O45</f>
        <v>0.2</v>
      </c>
      <c r="P18" s="2">
        <f>'Input Scenarios'!P45</f>
        <v>0.1</v>
      </c>
      <c r="Q18" s="2" t="b">
        <f>'Input Scenarios'!Q45</f>
        <v>1</v>
      </c>
      <c r="R18" s="2">
        <f>IF('Input Scenarios'!$R45&lt;&gt;"", 'Input Scenarios'!$R45, IF($Q18, Constants!$B$19, 0))</f>
        <v>0.45</v>
      </c>
      <c r="S18" s="2">
        <f>IF('Input Scenarios'!$R45&lt;&gt;"", 'Input Scenarios'!$R45, IF($Q18, Constants!$B$20, 0))</f>
        <v>0.45</v>
      </c>
      <c r="T18">
        <f t="shared" si="4"/>
        <v>497.64</v>
      </c>
      <c r="U18">
        <f t="shared" si="5"/>
        <v>0.11000000000000001</v>
      </c>
      <c r="V18">
        <f t="shared" si="6"/>
        <v>0.1</v>
      </c>
      <c r="W18">
        <f t="shared" si="0"/>
        <v>0.11000000000000001</v>
      </c>
      <c r="X18">
        <f t="shared" si="7"/>
        <v>0.2</v>
      </c>
      <c r="Y18">
        <f t="shared" si="0"/>
        <v>0.11000000000000001</v>
      </c>
      <c r="Z18">
        <f t="shared" si="8"/>
        <v>0.37000000000000011</v>
      </c>
      <c r="AA18">
        <f t="shared" si="9"/>
        <v>54.740400000000008</v>
      </c>
      <c r="AB18">
        <f t="shared" si="1"/>
        <v>49.764000000000003</v>
      </c>
      <c r="AC18">
        <f t="shared" si="1"/>
        <v>54.740400000000008</v>
      </c>
      <c r="AD18">
        <f t="shared" si="1"/>
        <v>99.528000000000006</v>
      </c>
      <c r="AE18">
        <f t="shared" si="1"/>
        <v>54.740400000000008</v>
      </c>
      <c r="AF18">
        <f t="shared" si="1"/>
        <v>184.12680000000006</v>
      </c>
      <c r="AG18" s="9">
        <f>Constants!$C$10</f>
        <v>0.55000000000000004</v>
      </c>
      <c r="AH18" s="9">
        <f>Constants!$C$12</f>
        <v>0.3</v>
      </c>
      <c r="AI18" s="9">
        <f>Constants!$C$13</f>
        <v>0</v>
      </c>
      <c r="AJ18" s="9">
        <f>Constants!$C$14</f>
        <v>0.125</v>
      </c>
      <c r="AK18" s="9">
        <f>Constants!$C$15</f>
        <v>0.25</v>
      </c>
      <c r="AL18" s="9">
        <f>Constants!$C$11</f>
        <v>0.2</v>
      </c>
      <c r="AM18" s="9">
        <f>Constants!$D$10</f>
        <v>0</v>
      </c>
      <c r="AN18" s="9">
        <f>Constants!$D$12</f>
        <v>0.02</v>
      </c>
      <c r="AO18" s="9">
        <f>Constants!$D$13</f>
        <v>0</v>
      </c>
      <c r="AP18" s="9">
        <f>Constants!$D$14</f>
        <v>0.01</v>
      </c>
      <c r="AQ18" s="9">
        <f>Constants!$D$15</f>
        <v>2E-3</v>
      </c>
      <c r="AR18" s="9">
        <f>Constants!$D$11</f>
        <v>5.0000000000000001E-3</v>
      </c>
      <c r="AS18">
        <f t="shared" si="10"/>
        <v>24.633180000000003</v>
      </c>
      <c r="AT18">
        <f t="shared" si="2"/>
        <v>33.83952</v>
      </c>
      <c r="AU18">
        <f t="shared" si="2"/>
        <v>54.740400000000008</v>
      </c>
      <c r="AV18">
        <f t="shared" si="2"/>
        <v>86.091720000000009</v>
      </c>
      <c r="AW18">
        <f t="shared" si="2"/>
        <v>40.945819200000003</v>
      </c>
      <c r="AX18">
        <f t="shared" si="2"/>
        <v>146.38080600000006</v>
      </c>
      <c r="AY18">
        <f t="shared" si="11"/>
        <v>386.63144520000009</v>
      </c>
      <c r="AZ18">
        <f t="shared" si="12"/>
        <v>54.740400000000008</v>
      </c>
      <c r="BA18">
        <f t="shared" si="12"/>
        <v>86.091720000000009</v>
      </c>
      <c r="BB18">
        <f t="shared" si="13"/>
        <v>245.79932520000006</v>
      </c>
      <c r="BC18">
        <f>Constants!$B$23</f>
        <v>1.5714285714285714</v>
      </c>
      <c r="BD18">
        <f t="shared" si="3"/>
        <v>30.107220000000005</v>
      </c>
      <c r="BE18">
        <f t="shared" si="3"/>
        <v>14.9292</v>
      </c>
      <c r="BF18">
        <f t="shared" si="3"/>
        <v>0</v>
      </c>
      <c r="BG18">
        <f t="shared" si="3"/>
        <v>12.441000000000001</v>
      </c>
      <c r="BH18">
        <f t="shared" si="3"/>
        <v>13.685100000000002</v>
      </c>
      <c r="BI18">
        <f t="shared" si="3"/>
        <v>36.825360000000011</v>
      </c>
      <c r="BJ18">
        <f t="shared" si="14"/>
        <v>30.107220000000005</v>
      </c>
      <c r="BK18">
        <f t="shared" si="15"/>
        <v>17.218344000000002</v>
      </c>
      <c r="BL18">
        <f t="shared" si="16"/>
        <v>155.31344400000003</v>
      </c>
      <c r="BM18">
        <f>_xlfn.XLOOKUP(C18, Constants!$D$19:$D$23, Constants!$E$19:$E$23)</f>
        <v>5.8999999999999999E-3</v>
      </c>
      <c r="BN18">
        <f t="shared" si="17"/>
        <v>1.4399775022285717E-3</v>
      </c>
    </row>
    <row r="19" spans="1:67" x14ac:dyDescent="0.2">
      <c r="A19" t="str">
        <f>'Input Scenarios'!A46</f>
        <v>VIC</v>
      </c>
      <c r="B19">
        <f>'Input Scenarios'!B46</f>
        <v>15</v>
      </c>
      <c r="C19" t="str">
        <f>'Input Scenarios'!C46</f>
        <v>Non-irrigated pasture</v>
      </c>
      <c r="D19" t="b">
        <f>'Input Scenarios'!D46</f>
        <v>1</v>
      </c>
      <c r="E19" t="str">
        <f>'Input Scenarios'!E46</f>
        <v>boars</v>
      </c>
      <c r="F19">
        <f>'Input Scenarios'!F46</f>
        <v>1000</v>
      </c>
      <c r="G19">
        <f>'Input Scenarios'!G46</f>
        <v>100</v>
      </c>
      <c r="H19">
        <f>IF('Input Scenarios'!H46&lt;&gt;"", 'Input Scenarios'!H46, _xlfn.XLOOKUP($E19,Constants!$A$3:$A$6, Constants!B$3:B$6))</f>
        <v>2.62</v>
      </c>
      <c r="I19">
        <f>IF('Input Scenarios'!I46&lt;&gt;"", 'Input Scenarios'!I46, _xlfn.XLOOKUP($E19,Constants!$A$3:$A$6, Constants!C$3:C$6))</f>
        <v>0.46500000000000002</v>
      </c>
      <c r="J19">
        <f>IF('Input Scenarios'!J46&lt;&gt;"", 'Input Scenarios'!J46, _xlfn.XLOOKUP($E19,Constants!$A$3:$A$6, Constants!D$3:D$6))</f>
        <v>4.4999999999999998E-2</v>
      </c>
      <c r="K19">
        <f>'Input Scenarios'!K46</f>
        <v>0.3</v>
      </c>
      <c r="L19">
        <f>'Input Scenarios'!L46</f>
        <v>0</v>
      </c>
      <c r="M19">
        <f>'Input Scenarios'!M46</f>
        <v>0</v>
      </c>
      <c r="N19">
        <f>'Input Scenarios'!N46</f>
        <v>0.3</v>
      </c>
      <c r="O19">
        <f>'Input Scenarios'!O46</f>
        <v>0</v>
      </c>
      <c r="P19">
        <f>'Input Scenarios'!P46</f>
        <v>0.4</v>
      </c>
      <c r="Q19" t="b">
        <f>'Input Scenarios'!Q46</f>
        <v>0</v>
      </c>
      <c r="R19">
        <f>IF('Input Scenarios'!$R46&lt;&gt;"", 'Input Scenarios'!$R46, IF($Q19, Constants!$B$19, 0))</f>
        <v>0</v>
      </c>
      <c r="S19">
        <f>IF('Input Scenarios'!$R46&lt;&gt;"", 'Input Scenarios'!$R46, IF($Q19, Constants!$B$20, 0))</f>
        <v>0</v>
      </c>
      <c r="T19">
        <f t="shared" si="4"/>
        <v>4500</v>
      </c>
      <c r="U19">
        <f t="shared" si="5"/>
        <v>0.3</v>
      </c>
      <c r="V19">
        <f t="shared" si="6"/>
        <v>0</v>
      </c>
      <c r="W19">
        <f t="shared" si="0"/>
        <v>0</v>
      </c>
      <c r="X19">
        <f t="shared" si="7"/>
        <v>0.3</v>
      </c>
      <c r="Y19">
        <f t="shared" si="0"/>
        <v>0</v>
      </c>
      <c r="Z19">
        <f t="shared" si="8"/>
        <v>0.4</v>
      </c>
      <c r="AA19">
        <f t="shared" si="9"/>
        <v>1350</v>
      </c>
      <c r="AB19">
        <f t="shared" si="1"/>
        <v>0</v>
      </c>
      <c r="AC19">
        <f t="shared" si="1"/>
        <v>0</v>
      </c>
      <c r="AD19">
        <f t="shared" si="1"/>
        <v>1350</v>
      </c>
      <c r="AE19">
        <f t="shared" si="1"/>
        <v>0</v>
      </c>
      <c r="AF19">
        <f t="shared" si="1"/>
        <v>1800</v>
      </c>
      <c r="AG19" s="9">
        <f>Constants!$C$10</f>
        <v>0.55000000000000004</v>
      </c>
      <c r="AH19" s="9">
        <f>Constants!$C$12</f>
        <v>0.3</v>
      </c>
      <c r="AI19" s="9">
        <f>Constants!$C$13</f>
        <v>0</v>
      </c>
      <c r="AJ19" s="9">
        <f>Constants!$C$14</f>
        <v>0.125</v>
      </c>
      <c r="AK19" s="9">
        <f>Constants!$C$15</f>
        <v>0.25</v>
      </c>
      <c r="AL19" s="9">
        <f>Constants!$C$11</f>
        <v>0.2</v>
      </c>
      <c r="AM19" s="9">
        <f>Constants!$D$10</f>
        <v>0</v>
      </c>
      <c r="AN19" s="9">
        <f>Constants!$D$12</f>
        <v>0.02</v>
      </c>
      <c r="AO19" s="9">
        <f>Constants!$D$13</f>
        <v>0</v>
      </c>
      <c r="AP19" s="9">
        <f>Constants!$D$14</f>
        <v>0.01</v>
      </c>
      <c r="AQ19" s="9">
        <f>Constants!$D$15</f>
        <v>2E-3</v>
      </c>
      <c r="AR19" s="9">
        <f>Constants!$D$11</f>
        <v>5.0000000000000001E-3</v>
      </c>
      <c r="AS19">
        <f t="shared" si="10"/>
        <v>607.49999999999989</v>
      </c>
      <c r="AT19">
        <f t="shared" si="2"/>
        <v>0</v>
      </c>
      <c r="AU19">
        <f t="shared" si="2"/>
        <v>0</v>
      </c>
      <c r="AV19">
        <f t="shared" si="2"/>
        <v>1167.75</v>
      </c>
      <c r="AW19">
        <f t="shared" si="2"/>
        <v>0</v>
      </c>
      <c r="AX19">
        <f t="shared" si="2"/>
        <v>1431</v>
      </c>
      <c r="AY19">
        <f t="shared" si="11"/>
        <v>3206.25</v>
      </c>
      <c r="AZ19">
        <f t="shared" si="12"/>
        <v>0</v>
      </c>
      <c r="BA19">
        <f t="shared" si="12"/>
        <v>1167.75</v>
      </c>
      <c r="BB19">
        <f t="shared" si="13"/>
        <v>2038.5</v>
      </c>
      <c r="BC19">
        <f>Constants!$B$23</f>
        <v>1.5714285714285714</v>
      </c>
      <c r="BD19">
        <f t="shared" si="3"/>
        <v>742.50000000000011</v>
      </c>
      <c r="BE19">
        <f t="shared" si="3"/>
        <v>0</v>
      </c>
      <c r="BF19">
        <f t="shared" si="3"/>
        <v>0</v>
      </c>
      <c r="BG19">
        <f t="shared" si="3"/>
        <v>168.75</v>
      </c>
      <c r="BH19">
        <f t="shared" si="3"/>
        <v>0</v>
      </c>
      <c r="BI19">
        <f t="shared" si="3"/>
        <v>360</v>
      </c>
      <c r="BJ19">
        <f t="shared" si="14"/>
        <v>0</v>
      </c>
      <c r="BK19">
        <f t="shared" si="15"/>
        <v>233.55</v>
      </c>
      <c r="BL19">
        <f t="shared" si="16"/>
        <v>1504.8</v>
      </c>
      <c r="BM19">
        <f>_xlfn.XLOOKUP(C19, Constants!$D$19:$D$23, Constants!$E$19:$E$23)</f>
        <v>1.8E-3</v>
      </c>
      <c r="BN19">
        <f t="shared" si="17"/>
        <v>4.2564342857142855E-3</v>
      </c>
      <c r="BO19">
        <f>SUM(BN19:BN22)</f>
        <v>7.8305490308571424E-3</v>
      </c>
    </row>
    <row r="20" spans="1:67" x14ac:dyDescent="0.2">
      <c r="A20" t="str">
        <f>'Input Scenarios'!A47</f>
        <v>VIC</v>
      </c>
      <c r="B20">
        <f>'Input Scenarios'!B47</f>
        <v>15</v>
      </c>
      <c r="C20" t="str">
        <f>'Input Scenarios'!C47</f>
        <v>Non-irrigated pasture</v>
      </c>
      <c r="D20" t="b">
        <f>'Input Scenarios'!D47</f>
        <v>1</v>
      </c>
      <c r="E20" t="str">
        <f>'Input Scenarios'!E47</f>
        <v>sows</v>
      </c>
      <c r="F20">
        <f>'Input Scenarios'!F47</f>
        <v>233</v>
      </c>
      <c r="G20">
        <f>'Input Scenarios'!G47</f>
        <v>100</v>
      </c>
      <c r="H20">
        <f>IF('Input Scenarios'!H47&lt;&gt;"", 'Input Scenarios'!H47, _xlfn.XLOOKUP($E20,Constants!$A$3:$A$6, Constants!B$3:B$6))</f>
        <v>2.2999999999999998</v>
      </c>
      <c r="I20">
        <f>IF('Input Scenarios'!I47&lt;&gt;"", 'Input Scenarios'!I47, _xlfn.XLOOKUP($E20,Constants!$A$3:$A$6, Constants!C$3:C$6))</f>
        <v>0.45100000000000001</v>
      </c>
      <c r="J20">
        <f>IF('Input Scenarios'!J47&lt;&gt;"", 'Input Scenarios'!J47, _xlfn.XLOOKUP($E20,Constants!$A$3:$A$6, Constants!D$3:D$6))</f>
        <v>3.3500000000000002E-2</v>
      </c>
      <c r="K20">
        <f>'Input Scenarios'!K47</f>
        <v>0.3</v>
      </c>
      <c r="L20">
        <f>'Input Scenarios'!L47</f>
        <v>0</v>
      </c>
      <c r="M20">
        <f>'Input Scenarios'!M47</f>
        <v>0</v>
      </c>
      <c r="N20">
        <f>'Input Scenarios'!N47</f>
        <v>0.3</v>
      </c>
      <c r="O20">
        <f>'Input Scenarios'!O47</f>
        <v>0</v>
      </c>
      <c r="P20">
        <f>'Input Scenarios'!P47</f>
        <v>0.4</v>
      </c>
      <c r="Q20" t="b">
        <f>'Input Scenarios'!Q47</f>
        <v>0</v>
      </c>
      <c r="R20">
        <f>IF('Input Scenarios'!$R47&lt;&gt;"", 'Input Scenarios'!$R47, IF($Q20, Constants!$B$19, 0))</f>
        <v>0</v>
      </c>
      <c r="S20">
        <f>IF('Input Scenarios'!$R47&lt;&gt;"", 'Input Scenarios'!$R47, IF($Q20, Constants!$B$20, 0))</f>
        <v>0</v>
      </c>
      <c r="T20">
        <f t="shared" si="4"/>
        <v>780.55000000000007</v>
      </c>
      <c r="U20">
        <f t="shared" si="5"/>
        <v>0.3</v>
      </c>
      <c r="V20">
        <f t="shared" si="6"/>
        <v>0</v>
      </c>
      <c r="W20">
        <f t="shared" si="0"/>
        <v>0</v>
      </c>
      <c r="X20">
        <f t="shared" si="7"/>
        <v>0.3</v>
      </c>
      <c r="Y20">
        <f t="shared" si="0"/>
        <v>0</v>
      </c>
      <c r="Z20">
        <f t="shared" si="8"/>
        <v>0.4</v>
      </c>
      <c r="AA20">
        <f t="shared" si="9"/>
        <v>234.16500000000002</v>
      </c>
      <c r="AB20">
        <f t="shared" si="1"/>
        <v>0</v>
      </c>
      <c r="AC20">
        <f t="shared" si="1"/>
        <v>0</v>
      </c>
      <c r="AD20">
        <f t="shared" si="1"/>
        <v>234.16500000000002</v>
      </c>
      <c r="AE20">
        <f t="shared" si="1"/>
        <v>0</v>
      </c>
      <c r="AF20">
        <f t="shared" si="1"/>
        <v>312.22000000000003</v>
      </c>
      <c r="AG20" s="9">
        <f>Constants!$C$10</f>
        <v>0.55000000000000004</v>
      </c>
      <c r="AH20" s="9">
        <f>Constants!$C$12</f>
        <v>0.3</v>
      </c>
      <c r="AI20" s="9">
        <f>Constants!$C$13</f>
        <v>0</v>
      </c>
      <c r="AJ20" s="9">
        <f>Constants!$C$14</f>
        <v>0.125</v>
      </c>
      <c r="AK20" s="9">
        <f>Constants!$C$15</f>
        <v>0.25</v>
      </c>
      <c r="AL20" s="9">
        <f>Constants!$C$11</f>
        <v>0.2</v>
      </c>
      <c r="AM20" s="9">
        <f>Constants!$D$10</f>
        <v>0</v>
      </c>
      <c r="AN20" s="9">
        <f>Constants!$D$12</f>
        <v>0.02</v>
      </c>
      <c r="AO20" s="9">
        <f>Constants!$D$13</f>
        <v>0</v>
      </c>
      <c r="AP20" s="9">
        <f>Constants!$D$14</f>
        <v>0.01</v>
      </c>
      <c r="AQ20" s="9">
        <f>Constants!$D$15</f>
        <v>2E-3</v>
      </c>
      <c r="AR20" s="9">
        <f>Constants!$D$11</f>
        <v>5.0000000000000001E-3</v>
      </c>
      <c r="AS20">
        <f t="shared" si="10"/>
        <v>105.37425</v>
      </c>
      <c r="AT20">
        <f t="shared" si="2"/>
        <v>0</v>
      </c>
      <c r="AU20">
        <f t="shared" si="2"/>
        <v>0</v>
      </c>
      <c r="AV20">
        <f t="shared" si="2"/>
        <v>202.55272500000001</v>
      </c>
      <c r="AW20">
        <f t="shared" si="2"/>
        <v>0</v>
      </c>
      <c r="AX20">
        <f t="shared" si="2"/>
        <v>248.21490000000003</v>
      </c>
      <c r="AY20">
        <f t="shared" si="11"/>
        <v>556.14187500000003</v>
      </c>
      <c r="AZ20">
        <f t="shared" si="12"/>
        <v>0</v>
      </c>
      <c r="BA20">
        <f t="shared" si="12"/>
        <v>202.55272500000001</v>
      </c>
      <c r="BB20">
        <f t="shared" si="13"/>
        <v>353.58915000000002</v>
      </c>
      <c r="BC20">
        <f>Constants!$B$23</f>
        <v>1.5714285714285714</v>
      </c>
      <c r="BD20">
        <f t="shared" si="3"/>
        <v>128.79075000000003</v>
      </c>
      <c r="BE20">
        <f t="shared" si="3"/>
        <v>0</v>
      </c>
      <c r="BF20">
        <f t="shared" si="3"/>
        <v>0</v>
      </c>
      <c r="BG20">
        <f t="shared" si="3"/>
        <v>29.270625000000003</v>
      </c>
      <c r="BH20">
        <f t="shared" si="3"/>
        <v>0</v>
      </c>
      <c r="BI20">
        <f t="shared" si="3"/>
        <v>62.44400000000001</v>
      </c>
      <c r="BJ20">
        <f t="shared" si="14"/>
        <v>0</v>
      </c>
      <c r="BK20">
        <f t="shared" si="15"/>
        <v>40.510545000000008</v>
      </c>
      <c r="BL20">
        <f t="shared" si="16"/>
        <v>261.01592000000005</v>
      </c>
      <c r="BM20">
        <f>_xlfn.XLOOKUP(C20, Constants!$D$19:$D$23, Constants!$E$19:$E$23)</f>
        <v>1.8E-3</v>
      </c>
      <c r="BN20">
        <f t="shared" si="17"/>
        <v>7.3830217371428583E-4</v>
      </c>
    </row>
    <row r="21" spans="1:67" x14ac:dyDescent="0.2">
      <c r="A21" t="str">
        <f>'Input Scenarios'!A48</f>
        <v>VIC</v>
      </c>
      <c r="B21">
        <f>'Input Scenarios'!B48</f>
        <v>15</v>
      </c>
      <c r="C21" t="str">
        <f>'Input Scenarios'!C48</f>
        <v>Non-irrigated pasture</v>
      </c>
      <c r="D21" t="b">
        <f>'Input Scenarios'!D48</f>
        <v>1</v>
      </c>
      <c r="E21" t="str">
        <f>'Input Scenarios'!E48</f>
        <v>gilts</v>
      </c>
      <c r="F21">
        <f>'Input Scenarios'!F48</f>
        <v>923</v>
      </c>
      <c r="G21">
        <f>'Input Scenarios'!G48</f>
        <v>100</v>
      </c>
      <c r="H21">
        <f>IF('Input Scenarios'!H48&lt;&gt;"", 'Input Scenarios'!H48, _xlfn.XLOOKUP($E21,Constants!$A$3:$A$6, Constants!B$3:B$6))</f>
        <v>2.5</v>
      </c>
      <c r="I21">
        <f>IF('Input Scenarios'!I48&lt;&gt;"", 'Input Scenarios'!I48, _xlfn.XLOOKUP($E21,Constants!$A$3:$A$6, Constants!C$3:C$6))</f>
        <v>0.437</v>
      </c>
      <c r="J21">
        <f>IF('Input Scenarios'!J48&lt;&gt;"", 'Input Scenarios'!J48, _xlfn.XLOOKUP($E21,Constants!$A$3:$A$6, Constants!D$3:D$6))</f>
        <v>2.1999999999999999E-2</v>
      </c>
      <c r="K21">
        <f>'Input Scenarios'!K48</f>
        <v>0</v>
      </c>
      <c r="L21">
        <f>'Input Scenarios'!L48</f>
        <v>0</v>
      </c>
      <c r="M21">
        <f>'Input Scenarios'!M48</f>
        <v>0.5</v>
      </c>
      <c r="N21">
        <f>'Input Scenarios'!N48</f>
        <v>0</v>
      </c>
      <c r="O21">
        <f>'Input Scenarios'!O48</f>
        <v>0.5</v>
      </c>
      <c r="P21">
        <f>'Input Scenarios'!P48</f>
        <v>0</v>
      </c>
      <c r="Q21" t="b">
        <f>'Input Scenarios'!Q48</f>
        <v>0</v>
      </c>
      <c r="R21">
        <f>IF('Input Scenarios'!$R48&lt;&gt;"", 'Input Scenarios'!$R48, IF($Q21, Constants!$B$19, 0))</f>
        <v>0</v>
      </c>
      <c r="S21">
        <f>IF('Input Scenarios'!$R48&lt;&gt;"", 'Input Scenarios'!$R48, IF($Q21, Constants!$B$20, 0))</f>
        <v>0</v>
      </c>
      <c r="T21">
        <f t="shared" si="4"/>
        <v>2030.6</v>
      </c>
      <c r="U21">
        <f t="shared" si="5"/>
        <v>0</v>
      </c>
      <c r="V21">
        <f t="shared" si="6"/>
        <v>0</v>
      </c>
      <c r="W21">
        <f t="shared" si="0"/>
        <v>0.5</v>
      </c>
      <c r="X21">
        <f t="shared" si="7"/>
        <v>0</v>
      </c>
      <c r="Y21">
        <f t="shared" si="0"/>
        <v>0.5</v>
      </c>
      <c r="Z21">
        <f t="shared" si="8"/>
        <v>0</v>
      </c>
      <c r="AA21">
        <f t="shared" si="9"/>
        <v>0</v>
      </c>
      <c r="AB21">
        <f t="shared" si="1"/>
        <v>0</v>
      </c>
      <c r="AC21">
        <f t="shared" si="1"/>
        <v>1015.3</v>
      </c>
      <c r="AD21">
        <f t="shared" si="1"/>
        <v>0</v>
      </c>
      <c r="AE21">
        <f t="shared" si="1"/>
        <v>1015.3</v>
      </c>
      <c r="AF21">
        <f t="shared" si="1"/>
        <v>0</v>
      </c>
      <c r="AG21" s="9">
        <f>Constants!$C$10</f>
        <v>0.55000000000000004</v>
      </c>
      <c r="AH21" s="9">
        <f>Constants!$C$12</f>
        <v>0.3</v>
      </c>
      <c r="AI21" s="9">
        <f>Constants!$C$13</f>
        <v>0</v>
      </c>
      <c r="AJ21" s="9">
        <f>Constants!$C$14</f>
        <v>0.125</v>
      </c>
      <c r="AK21" s="9">
        <f>Constants!$C$15</f>
        <v>0.25</v>
      </c>
      <c r="AL21" s="9">
        <f>Constants!$C$11</f>
        <v>0.2</v>
      </c>
      <c r="AM21" s="9">
        <f>Constants!$D$10</f>
        <v>0</v>
      </c>
      <c r="AN21" s="9">
        <f>Constants!$D$12</f>
        <v>0.02</v>
      </c>
      <c r="AO21" s="9">
        <f>Constants!$D$13</f>
        <v>0</v>
      </c>
      <c r="AP21" s="9">
        <f>Constants!$D$14</f>
        <v>0.01</v>
      </c>
      <c r="AQ21" s="9">
        <f>Constants!$D$15</f>
        <v>2E-3</v>
      </c>
      <c r="AR21" s="9">
        <f>Constants!$D$11</f>
        <v>5.0000000000000001E-3</v>
      </c>
      <c r="AS21">
        <f t="shared" si="10"/>
        <v>0</v>
      </c>
      <c r="AT21">
        <f t="shared" si="2"/>
        <v>0</v>
      </c>
      <c r="AU21">
        <f t="shared" si="2"/>
        <v>1015.3</v>
      </c>
      <c r="AV21">
        <f t="shared" si="2"/>
        <v>0</v>
      </c>
      <c r="AW21">
        <f t="shared" si="2"/>
        <v>759.44439999999997</v>
      </c>
      <c r="AX21">
        <f t="shared" si="2"/>
        <v>0</v>
      </c>
      <c r="AY21">
        <f t="shared" si="11"/>
        <v>1774.7444</v>
      </c>
      <c r="AZ21">
        <f t="shared" si="12"/>
        <v>1015.3</v>
      </c>
      <c r="BA21">
        <f t="shared" si="12"/>
        <v>0</v>
      </c>
      <c r="BB21">
        <f t="shared" si="13"/>
        <v>759.44439999999997</v>
      </c>
      <c r="BC21">
        <f>Constants!$B$23</f>
        <v>1.5714285714285714</v>
      </c>
      <c r="BD21">
        <f t="shared" si="3"/>
        <v>0</v>
      </c>
      <c r="BE21">
        <f t="shared" si="3"/>
        <v>0</v>
      </c>
      <c r="BF21">
        <f t="shared" si="3"/>
        <v>0</v>
      </c>
      <c r="BG21">
        <f t="shared" si="3"/>
        <v>0</v>
      </c>
      <c r="BH21">
        <f t="shared" si="3"/>
        <v>253.82499999999999</v>
      </c>
      <c r="BI21">
        <f t="shared" si="3"/>
        <v>0</v>
      </c>
      <c r="BJ21">
        <f t="shared" si="14"/>
        <v>558.41499999999996</v>
      </c>
      <c r="BK21">
        <f t="shared" si="15"/>
        <v>0</v>
      </c>
      <c r="BL21">
        <f t="shared" si="16"/>
        <v>812.24</v>
      </c>
      <c r="BM21">
        <f>_xlfn.XLOOKUP(C21, Constants!$D$19:$D$23, Constants!$E$19:$E$23)</f>
        <v>1.8E-3</v>
      </c>
      <c r="BN21">
        <f t="shared" si="17"/>
        <v>2.2974788571428571E-3</v>
      </c>
    </row>
    <row r="22" spans="1:67" s="2" customFormat="1" x14ac:dyDescent="0.2">
      <c r="A22" s="2" t="str">
        <f>'Input Scenarios'!A49</f>
        <v>VIC</v>
      </c>
      <c r="B22" s="2">
        <f>'Input Scenarios'!B49</f>
        <v>15</v>
      </c>
      <c r="C22" s="2" t="str">
        <f>'Input Scenarios'!C49</f>
        <v>Non-irrigated pasture</v>
      </c>
      <c r="D22" s="2" t="b">
        <f>'Input Scenarios'!D49</f>
        <v>1</v>
      </c>
      <c r="E22" s="2" t="str">
        <f>'Input Scenarios'!E49</f>
        <v>others</v>
      </c>
      <c r="F22" s="2">
        <f>'Input Scenarios'!F49</f>
        <v>122</v>
      </c>
      <c r="G22" s="2">
        <f>'Input Scenarios'!G49</f>
        <v>100</v>
      </c>
      <c r="H22" s="2">
        <f>IF('Input Scenarios'!H49&lt;&gt;"", 'Input Scenarios'!H49, _xlfn.XLOOKUP($E22,Constants!$A$3:$A$6, Constants!B$3:B$6))</f>
        <v>1.71</v>
      </c>
      <c r="I22" s="2">
        <f>IF('Input Scenarios'!I49&lt;&gt;"", 'Input Scenarios'!I49, _xlfn.XLOOKUP($E22,Constants!$A$3:$A$6, Constants!C$3:C$6))</f>
        <v>0.42299999999999999</v>
      </c>
      <c r="J22" s="2">
        <f>IF('Input Scenarios'!J49&lt;&gt;"", 'Input Scenarios'!J49, _xlfn.XLOOKUP($E22,Constants!$A$3:$A$6, Constants!D$3:D$6))</f>
        <v>3.9E-2</v>
      </c>
      <c r="K22" s="2">
        <f>'Input Scenarios'!K49</f>
        <v>0</v>
      </c>
      <c r="L22" s="2">
        <f>'Input Scenarios'!L49</f>
        <v>0</v>
      </c>
      <c r="M22" s="2">
        <f>'Input Scenarios'!M49</f>
        <v>0.5</v>
      </c>
      <c r="N22" s="2">
        <f>'Input Scenarios'!N49</f>
        <v>0</v>
      </c>
      <c r="O22" s="2">
        <f>'Input Scenarios'!O49</f>
        <v>0.5</v>
      </c>
      <c r="P22" s="2">
        <f>'Input Scenarios'!P49</f>
        <v>0</v>
      </c>
      <c r="Q22" s="2" t="b">
        <f>'Input Scenarios'!Q49</f>
        <v>0</v>
      </c>
      <c r="R22" s="2">
        <f>IF('Input Scenarios'!$R49&lt;&gt;"", 'Input Scenarios'!$R49, IF($Q22, Constants!$B$19, 0))</f>
        <v>0</v>
      </c>
      <c r="S22" s="2">
        <f>IF('Input Scenarios'!$R49&lt;&gt;"", 'Input Scenarios'!$R49, IF($Q22, Constants!$B$20, 0))</f>
        <v>0</v>
      </c>
      <c r="T22">
        <f t="shared" si="4"/>
        <v>475.8</v>
      </c>
      <c r="U22">
        <f t="shared" si="5"/>
        <v>0</v>
      </c>
      <c r="V22">
        <f t="shared" si="6"/>
        <v>0</v>
      </c>
      <c r="W22">
        <f t="shared" si="0"/>
        <v>0.5</v>
      </c>
      <c r="X22">
        <f t="shared" si="7"/>
        <v>0</v>
      </c>
      <c r="Y22">
        <f t="shared" si="0"/>
        <v>0.5</v>
      </c>
      <c r="Z22">
        <f t="shared" si="8"/>
        <v>0</v>
      </c>
      <c r="AA22">
        <f t="shared" si="9"/>
        <v>0</v>
      </c>
      <c r="AB22">
        <f t="shared" si="1"/>
        <v>0</v>
      </c>
      <c r="AC22">
        <f t="shared" si="1"/>
        <v>237.9</v>
      </c>
      <c r="AD22">
        <f t="shared" si="1"/>
        <v>0</v>
      </c>
      <c r="AE22">
        <f t="shared" si="1"/>
        <v>237.9</v>
      </c>
      <c r="AF22">
        <f t="shared" si="1"/>
        <v>0</v>
      </c>
      <c r="AG22" s="9">
        <f>Constants!$C$10</f>
        <v>0.55000000000000004</v>
      </c>
      <c r="AH22" s="9">
        <f>Constants!$C$12</f>
        <v>0.3</v>
      </c>
      <c r="AI22" s="9">
        <f>Constants!$C$13</f>
        <v>0</v>
      </c>
      <c r="AJ22" s="9">
        <f>Constants!$C$14</f>
        <v>0.125</v>
      </c>
      <c r="AK22" s="9">
        <f>Constants!$C$15</f>
        <v>0.25</v>
      </c>
      <c r="AL22" s="9">
        <f>Constants!$C$11</f>
        <v>0.2</v>
      </c>
      <c r="AM22" s="9">
        <f>Constants!$D$10</f>
        <v>0</v>
      </c>
      <c r="AN22" s="9">
        <f>Constants!$D$12</f>
        <v>0.02</v>
      </c>
      <c r="AO22" s="9">
        <f>Constants!$D$13</f>
        <v>0</v>
      </c>
      <c r="AP22" s="9">
        <f>Constants!$D$14</f>
        <v>0.01</v>
      </c>
      <c r="AQ22" s="9">
        <f>Constants!$D$15</f>
        <v>2E-3</v>
      </c>
      <c r="AR22" s="9">
        <f>Constants!$D$11</f>
        <v>5.0000000000000001E-3</v>
      </c>
      <c r="AS22">
        <f t="shared" si="10"/>
        <v>0</v>
      </c>
      <c r="AT22">
        <f t="shared" si="2"/>
        <v>0</v>
      </c>
      <c r="AU22">
        <f t="shared" si="2"/>
        <v>237.9</v>
      </c>
      <c r="AV22">
        <f t="shared" si="2"/>
        <v>0</v>
      </c>
      <c r="AW22">
        <f t="shared" si="2"/>
        <v>177.94919999999999</v>
      </c>
      <c r="AX22">
        <f t="shared" si="2"/>
        <v>0</v>
      </c>
      <c r="AY22">
        <f t="shared" si="11"/>
        <v>415.8492</v>
      </c>
      <c r="AZ22">
        <f t="shared" si="12"/>
        <v>237.9</v>
      </c>
      <c r="BA22">
        <f t="shared" si="12"/>
        <v>0</v>
      </c>
      <c r="BB22">
        <f t="shared" si="13"/>
        <v>177.94919999999999</v>
      </c>
      <c r="BC22">
        <f>Constants!$B$23</f>
        <v>1.5714285714285714</v>
      </c>
      <c r="BD22">
        <f t="shared" si="3"/>
        <v>0</v>
      </c>
      <c r="BE22">
        <f t="shared" si="3"/>
        <v>0</v>
      </c>
      <c r="BF22">
        <f t="shared" si="3"/>
        <v>0</v>
      </c>
      <c r="BG22">
        <f t="shared" si="3"/>
        <v>0</v>
      </c>
      <c r="BH22">
        <f t="shared" si="3"/>
        <v>59.475000000000001</v>
      </c>
      <c r="BI22">
        <f t="shared" si="3"/>
        <v>0</v>
      </c>
      <c r="BJ22">
        <f t="shared" si="14"/>
        <v>130.84500000000003</v>
      </c>
      <c r="BK22">
        <f t="shared" si="15"/>
        <v>0</v>
      </c>
      <c r="BL22">
        <f t="shared" si="16"/>
        <v>190.32000000000002</v>
      </c>
      <c r="BM22">
        <f>_xlfn.XLOOKUP(C22, Constants!$D$19:$D$23, Constants!$E$19:$E$23)</f>
        <v>1.8E-3</v>
      </c>
      <c r="BN22">
        <f t="shared" si="17"/>
        <v>5.3833371428571434E-4</v>
      </c>
    </row>
    <row r="23" spans="1:67" x14ac:dyDescent="0.2">
      <c r="A23" t="str">
        <f>'Input Scenarios'!A50</f>
        <v>WA</v>
      </c>
      <c r="B23">
        <f>'Input Scenarios'!B50</f>
        <v>25</v>
      </c>
      <c r="C23" t="str">
        <f>'Input Scenarios'!C50</f>
        <v>Non-irrigated crop (low rainfall)</v>
      </c>
      <c r="D23" t="b">
        <f>'Input Scenarios'!D50</f>
        <v>0</v>
      </c>
      <c r="E23" t="str">
        <f>'Input Scenarios'!E50</f>
        <v>boars</v>
      </c>
      <c r="F23">
        <f>'Input Scenarios'!F50</f>
        <v>750</v>
      </c>
      <c r="G23">
        <f>'Input Scenarios'!G50</f>
        <v>200</v>
      </c>
      <c r="H23">
        <f>IF('Input Scenarios'!H50&lt;&gt;"", 'Input Scenarios'!H50, _xlfn.XLOOKUP($E23,Constants!$A$3:$A$6, Constants!B$3:B$6))</f>
        <v>2.62</v>
      </c>
      <c r="I23">
        <f>IF('Input Scenarios'!I50&lt;&gt;"", 'Input Scenarios'!I50, _xlfn.XLOOKUP($E23,Constants!$A$3:$A$6, Constants!C$3:C$6))</f>
        <v>0.38600000000000001</v>
      </c>
      <c r="J23">
        <f>IF('Input Scenarios'!J50&lt;&gt;"", 'Input Scenarios'!J50, _xlfn.XLOOKUP($E23,Constants!$A$3:$A$6, Constants!D$3:D$6))</f>
        <v>5.6000000000000001E-2</v>
      </c>
      <c r="K23">
        <f>'Input Scenarios'!K50</f>
        <v>0.3</v>
      </c>
      <c r="L23">
        <f>'Input Scenarios'!L50</f>
        <v>0</v>
      </c>
      <c r="M23">
        <f>'Input Scenarios'!M50</f>
        <v>0</v>
      </c>
      <c r="N23">
        <f>'Input Scenarios'!N50</f>
        <v>0.3</v>
      </c>
      <c r="O23">
        <f>'Input Scenarios'!O50</f>
        <v>0</v>
      </c>
      <c r="P23">
        <f>'Input Scenarios'!P50</f>
        <v>0.4</v>
      </c>
      <c r="Q23" t="b">
        <f>'Input Scenarios'!Q50</f>
        <v>0</v>
      </c>
      <c r="R23">
        <f>IF('Input Scenarios'!$R50&lt;&gt;"", 'Input Scenarios'!$R50, IF($Q23, Constants!$B$19, 0))</f>
        <v>0</v>
      </c>
      <c r="S23">
        <f>IF('Input Scenarios'!$R50&lt;&gt;"", 'Input Scenarios'!$R50, IF($Q23, Constants!$B$20, 0))</f>
        <v>0</v>
      </c>
      <c r="T23">
        <f t="shared" si="4"/>
        <v>8400</v>
      </c>
      <c r="U23">
        <f t="shared" si="5"/>
        <v>0.3</v>
      </c>
      <c r="V23">
        <f t="shared" si="6"/>
        <v>0</v>
      </c>
      <c r="W23">
        <f t="shared" si="0"/>
        <v>0</v>
      </c>
      <c r="X23">
        <f t="shared" si="7"/>
        <v>0.3</v>
      </c>
      <c r="Y23">
        <f t="shared" si="0"/>
        <v>0</v>
      </c>
      <c r="Z23">
        <f t="shared" si="8"/>
        <v>0.4</v>
      </c>
      <c r="AA23">
        <f t="shared" si="9"/>
        <v>2520</v>
      </c>
      <c r="AB23">
        <f t="shared" si="1"/>
        <v>0</v>
      </c>
      <c r="AC23">
        <f t="shared" si="1"/>
        <v>0</v>
      </c>
      <c r="AD23">
        <f t="shared" si="1"/>
        <v>2520</v>
      </c>
      <c r="AE23">
        <f t="shared" si="1"/>
        <v>0</v>
      </c>
      <c r="AF23">
        <f t="shared" si="1"/>
        <v>3360</v>
      </c>
      <c r="AG23" s="9">
        <f>Constants!$C$10</f>
        <v>0.55000000000000004</v>
      </c>
      <c r="AH23" s="9">
        <f>Constants!$C$12</f>
        <v>0.3</v>
      </c>
      <c r="AI23" s="9">
        <f>Constants!$C$13</f>
        <v>0</v>
      </c>
      <c r="AJ23" s="9">
        <f>Constants!$C$14</f>
        <v>0.125</v>
      </c>
      <c r="AK23" s="9">
        <f>Constants!$C$15</f>
        <v>0.25</v>
      </c>
      <c r="AL23" s="9">
        <f>Constants!$C$11</f>
        <v>0.2</v>
      </c>
      <c r="AM23" s="9">
        <f>Constants!$D$10</f>
        <v>0</v>
      </c>
      <c r="AN23" s="9">
        <f>Constants!$D$12</f>
        <v>0.02</v>
      </c>
      <c r="AO23" s="9">
        <f>Constants!$D$13</f>
        <v>0</v>
      </c>
      <c r="AP23" s="9">
        <f>Constants!$D$14</f>
        <v>0.01</v>
      </c>
      <c r="AQ23" s="9">
        <f>Constants!$D$15</f>
        <v>2E-3</v>
      </c>
      <c r="AR23" s="9">
        <f>Constants!$D$11</f>
        <v>5.0000000000000001E-3</v>
      </c>
      <c r="AS23">
        <f t="shared" si="10"/>
        <v>1134</v>
      </c>
      <c r="AT23">
        <f t="shared" si="2"/>
        <v>0</v>
      </c>
      <c r="AU23">
        <f t="shared" si="2"/>
        <v>0</v>
      </c>
      <c r="AV23">
        <f t="shared" si="2"/>
        <v>2179.8000000000002</v>
      </c>
      <c r="AW23">
        <f t="shared" si="2"/>
        <v>0</v>
      </c>
      <c r="AX23">
        <f t="shared" si="2"/>
        <v>2671.2000000000003</v>
      </c>
      <c r="AY23">
        <f t="shared" si="11"/>
        <v>5985</v>
      </c>
      <c r="AZ23">
        <f t="shared" si="12"/>
        <v>0</v>
      </c>
      <c r="BA23">
        <f t="shared" si="12"/>
        <v>2179.8000000000002</v>
      </c>
      <c r="BB23">
        <f t="shared" si="13"/>
        <v>3805.2000000000003</v>
      </c>
      <c r="BC23">
        <f>Constants!$B$23</f>
        <v>1.5714285714285714</v>
      </c>
      <c r="BD23">
        <f t="shared" si="3"/>
        <v>1386</v>
      </c>
      <c r="BE23">
        <f t="shared" si="3"/>
        <v>0</v>
      </c>
      <c r="BF23">
        <f t="shared" si="3"/>
        <v>0</v>
      </c>
      <c r="BG23">
        <f t="shared" si="3"/>
        <v>315</v>
      </c>
      <c r="BH23">
        <f t="shared" si="3"/>
        <v>0</v>
      </c>
      <c r="BI23">
        <f t="shared" si="3"/>
        <v>672</v>
      </c>
      <c r="BJ23">
        <f t="shared" si="14"/>
        <v>0</v>
      </c>
      <c r="BK23">
        <f t="shared" si="15"/>
        <v>435.96000000000004</v>
      </c>
      <c r="BL23">
        <f t="shared" si="16"/>
        <v>2808.96</v>
      </c>
      <c r="BM23">
        <f>_xlfn.XLOOKUP(C23, Constants!$D$19:$D$23, Constants!$E$19:$E$23)</f>
        <v>2.8999999999999998E-3</v>
      </c>
      <c r="BN23">
        <f t="shared" si="17"/>
        <v>1.2800832E-2</v>
      </c>
      <c r="BO23">
        <f>SUM(BN23:BN26)</f>
        <v>4.8337738986004283E-2</v>
      </c>
    </row>
    <row r="24" spans="1:67" x14ac:dyDescent="0.2">
      <c r="A24" t="str">
        <f>'Input Scenarios'!A51</f>
        <v>WA</v>
      </c>
      <c r="B24">
        <f>'Input Scenarios'!B51</f>
        <v>25</v>
      </c>
      <c r="C24" t="str">
        <f>'Input Scenarios'!C51</f>
        <v>Non-irrigated crop (low rainfall)</v>
      </c>
      <c r="D24" t="b">
        <f>'Input Scenarios'!D51</f>
        <v>0</v>
      </c>
      <c r="E24" t="str">
        <f>'Input Scenarios'!E51</f>
        <v>sows</v>
      </c>
      <c r="F24">
        <f>'Input Scenarios'!F51</f>
        <v>600</v>
      </c>
      <c r="G24">
        <f>'Input Scenarios'!G51</f>
        <v>200</v>
      </c>
      <c r="H24">
        <f>IF('Input Scenarios'!H51&lt;&gt;"", 'Input Scenarios'!H51, _xlfn.XLOOKUP($E24,Constants!$A$3:$A$6, Constants!B$3:B$6))</f>
        <v>2.2999999999999998</v>
      </c>
      <c r="I24">
        <f>IF('Input Scenarios'!I51&lt;&gt;"", 'Input Scenarios'!I51, _xlfn.XLOOKUP($E24,Constants!$A$3:$A$6, Constants!C$3:C$6))</f>
        <v>0.64700000000000002</v>
      </c>
      <c r="J24">
        <f>IF('Input Scenarios'!J51&lt;&gt;"", 'Input Scenarios'!J51, _xlfn.XLOOKUP($E24,Constants!$A$3:$A$6, Constants!D$3:D$6))</f>
        <v>5.6000000000000001E-2</v>
      </c>
      <c r="K24">
        <f>'Input Scenarios'!K51</f>
        <v>0</v>
      </c>
      <c r="L24">
        <f>'Input Scenarios'!L51</f>
        <v>0</v>
      </c>
      <c r="M24">
        <f>'Input Scenarios'!M51</f>
        <v>0.5</v>
      </c>
      <c r="N24">
        <f>'Input Scenarios'!N51</f>
        <v>0</v>
      </c>
      <c r="O24">
        <f>'Input Scenarios'!O51</f>
        <v>0.5</v>
      </c>
      <c r="P24">
        <f>'Input Scenarios'!P51</f>
        <v>0</v>
      </c>
      <c r="Q24" t="b">
        <f>'Input Scenarios'!Q51</f>
        <v>0</v>
      </c>
      <c r="R24">
        <f>IF('Input Scenarios'!$R51&lt;&gt;"", 'Input Scenarios'!$R51, IF($Q24, Constants!$B$19, 0))</f>
        <v>0</v>
      </c>
      <c r="S24">
        <f>IF('Input Scenarios'!$R51&lt;&gt;"", 'Input Scenarios'!$R51, IF($Q24, Constants!$B$20, 0))</f>
        <v>0</v>
      </c>
      <c r="T24">
        <f t="shared" si="4"/>
        <v>6720</v>
      </c>
      <c r="U24">
        <f t="shared" si="5"/>
        <v>0</v>
      </c>
      <c r="V24">
        <f t="shared" si="6"/>
        <v>0</v>
      </c>
      <c r="W24">
        <f t="shared" si="0"/>
        <v>0.5</v>
      </c>
      <c r="X24">
        <f t="shared" si="7"/>
        <v>0</v>
      </c>
      <c r="Y24">
        <f t="shared" si="0"/>
        <v>0.5</v>
      </c>
      <c r="Z24">
        <f t="shared" si="8"/>
        <v>0</v>
      </c>
      <c r="AA24">
        <f t="shared" si="9"/>
        <v>0</v>
      </c>
      <c r="AB24">
        <f t="shared" si="1"/>
        <v>0</v>
      </c>
      <c r="AC24">
        <f t="shared" si="1"/>
        <v>3360</v>
      </c>
      <c r="AD24">
        <f t="shared" si="1"/>
        <v>0</v>
      </c>
      <c r="AE24">
        <f t="shared" si="1"/>
        <v>3360</v>
      </c>
      <c r="AF24">
        <f t="shared" si="1"/>
        <v>0</v>
      </c>
      <c r="AG24" s="9">
        <f>Constants!$C$10</f>
        <v>0.55000000000000004</v>
      </c>
      <c r="AH24" s="9">
        <f>Constants!$C$12</f>
        <v>0.3</v>
      </c>
      <c r="AI24" s="9">
        <f>Constants!$C$13</f>
        <v>0</v>
      </c>
      <c r="AJ24" s="9">
        <f>Constants!$C$14</f>
        <v>0.125</v>
      </c>
      <c r="AK24" s="9">
        <f>Constants!$C$15</f>
        <v>0.25</v>
      </c>
      <c r="AL24" s="9">
        <f>Constants!$C$11</f>
        <v>0.2</v>
      </c>
      <c r="AM24" s="9">
        <f>Constants!$D$10</f>
        <v>0</v>
      </c>
      <c r="AN24" s="9">
        <f>Constants!$D$12</f>
        <v>0.02</v>
      </c>
      <c r="AO24" s="9">
        <f>Constants!$D$13</f>
        <v>0</v>
      </c>
      <c r="AP24" s="9">
        <f>Constants!$D$14</f>
        <v>0.01</v>
      </c>
      <c r="AQ24" s="9">
        <f>Constants!$D$15</f>
        <v>2E-3</v>
      </c>
      <c r="AR24" s="9">
        <f>Constants!$D$11</f>
        <v>5.0000000000000001E-3</v>
      </c>
      <c r="AS24">
        <f t="shared" si="10"/>
        <v>0</v>
      </c>
      <c r="AT24">
        <f t="shared" si="2"/>
        <v>0</v>
      </c>
      <c r="AU24">
        <f t="shared" si="2"/>
        <v>3360</v>
      </c>
      <c r="AV24">
        <f t="shared" si="2"/>
        <v>0</v>
      </c>
      <c r="AW24">
        <f t="shared" si="2"/>
        <v>2513.2800000000002</v>
      </c>
      <c r="AX24">
        <f t="shared" si="2"/>
        <v>0</v>
      </c>
      <c r="AY24">
        <f t="shared" si="11"/>
        <v>5873.2800000000007</v>
      </c>
      <c r="AZ24">
        <f t="shared" si="12"/>
        <v>3360</v>
      </c>
      <c r="BA24">
        <f t="shared" si="12"/>
        <v>0</v>
      </c>
      <c r="BB24">
        <f t="shared" si="13"/>
        <v>2513.2800000000002</v>
      </c>
      <c r="BC24">
        <f>Constants!$B$23</f>
        <v>1.5714285714285714</v>
      </c>
      <c r="BD24">
        <f t="shared" si="3"/>
        <v>0</v>
      </c>
      <c r="BE24">
        <f t="shared" si="3"/>
        <v>0</v>
      </c>
      <c r="BF24">
        <f t="shared" si="3"/>
        <v>0</v>
      </c>
      <c r="BG24">
        <f t="shared" si="3"/>
        <v>0</v>
      </c>
      <c r="BH24">
        <f t="shared" si="3"/>
        <v>840</v>
      </c>
      <c r="BI24">
        <f t="shared" si="3"/>
        <v>0</v>
      </c>
      <c r="BJ24">
        <f t="shared" si="14"/>
        <v>1848.0000000000002</v>
      </c>
      <c r="BK24">
        <f t="shared" si="15"/>
        <v>0</v>
      </c>
      <c r="BL24">
        <f t="shared" si="16"/>
        <v>2688</v>
      </c>
      <c r="BM24">
        <f>_xlfn.XLOOKUP(C24, Constants!$D$19:$D$23, Constants!$E$19:$E$23)</f>
        <v>2.8999999999999998E-3</v>
      </c>
      <c r="BN24">
        <f t="shared" si="17"/>
        <v>1.2249599999999999E-2</v>
      </c>
    </row>
    <row r="25" spans="1:67" x14ac:dyDescent="0.2">
      <c r="A25" t="str">
        <f>'Input Scenarios'!A52</f>
        <v>WA</v>
      </c>
      <c r="B25">
        <f>'Input Scenarios'!B52</f>
        <v>25</v>
      </c>
      <c r="C25" t="str">
        <f>'Input Scenarios'!C52</f>
        <v>Non-irrigated crop (low rainfall)</v>
      </c>
      <c r="D25" t="b">
        <f>'Input Scenarios'!D52</f>
        <v>0</v>
      </c>
      <c r="E25" t="str">
        <f>'Input Scenarios'!E52</f>
        <v>gilts</v>
      </c>
      <c r="F25">
        <f>'Input Scenarios'!F52</f>
        <v>100</v>
      </c>
      <c r="G25">
        <f>'Input Scenarios'!G52</f>
        <v>299</v>
      </c>
      <c r="H25">
        <f>IF('Input Scenarios'!H52&lt;&gt;"", 'Input Scenarios'!H52, _xlfn.XLOOKUP($E25,Constants!$A$3:$A$6, Constants!B$3:B$6))</f>
        <v>2.5</v>
      </c>
      <c r="I25">
        <f>IF('Input Scenarios'!I52&lt;&gt;"", 'Input Scenarios'!I52, _xlfn.XLOOKUP($E25,Constants!$A$3:$A$6, Constants!C$3:C$6))</f>
        <v>0.34</v>
      </c>
      <c r="J25">
        <f>IF('Input Scenarios'!J52&lt;&gt;"", 'Input Scenarios'!J52, _xlfn.XLOOKUP($E25,Constants!$A$3:$A$6, Constants!D$3:D$6))</f>
        <v>3.4500000000000003E-2</v>
      </c>
      <c r="K25">
        <f>'Input Scenarios'!K52</f>
        <v>0.3</v>
      </c>
      <c r="L25">
        <f>'Input Scenarios'!L52</f>
        <v>0</v>
      </c>
      <c r="M25">
        <f>'Input Scenarios'!M52</f>
        <v>0</v>
      </c>
      <c r="N25">
        <f>'Input Scenarios'!N52</f>
        <v>0.3</v>
      </c>
      <c r="O25">
        <f>'Input Scenarios'!O52</f>
        <v>0</v>
      </c>
      <c r="P25">
        <f>'Input Scenarios'!P52</f>
        <v>0.4</v>
      </c>
      <c r="Q25" t="b">
        <f>'Input Scenarios'!Q52</f>
        <v>1</v>
      </c>
      <c r="R25">
        <f>IF('Input Scenarios'!$R52&lt;&gt;"", 'Input Scenarios'!$R52, IF($Q25, Constants!$B$19, 0))</f>
        <v>0.23</v>
      </c>
      <c r="S25">
        <f>IF('Input Scenarios'!$R52&lt;&gt;"", 'Input Scenarios'!$R52, IF($Q25, Constants!$B$20, 0))</f>
        <v>0.23</v>
      </c>
      <c r="T25">
        <f t="shared" si="4"/>
        <v>1031.5500000000002</v>
      </c>
      <c r="U25">
        <f t="shared" si="5"/>
        <v>0.23099999999999998</v>
      </c>
      <c r="V25">
        <f t="shared" si="6"/>
        <v>0</v>
      </c>
      <c r="W25">
        <f t="shared" si="0"/>
        <v>0</v>
      </c>
      <c r="X25">
        <f t="shared" si="7"/>
        <v>0.3</v>
      </c>
      <c r="Y25">
        <f t="shared" si="0"/>
        <v>0</v>
      </c>
      <c r="Z25">
        <f t="shared" si="8"/>
        <v>0.46900000000000003</v>
      </c>
      <c r="AA25">
        <f t="shared" si="9"/>
        <v>238.28805000000003</v>
      </c>
      <c r="AB25">
        <f t="shared" si="1"/>
        <v>0</v>
      </c>
      <c r="AC25">
        <f t="shared" si="1"/>
        <v>0</v>
      </c>
      <c r="AD25">
        <f t="shared" si="1"/>
        <v>309.46500000000003</v>
      </c>
      <c r="AE25">
        <f t="shared" si="1"/>
        <v>0</v>
      </c>
      <c r="AF25">
        <f t="shared" si="1"/>
        <v>483.79695000000009</v>
      </c>
      <c r="AG25" s="9">
        <f>Constants!$C$10</f>
        <v>0.55000000000000004</v>
      </c>
      <c r="AH25" s="9">
        <f>Constants!$C$12</f>
        <v>0.3</v>
      </c>
      <c r="AI25" s="9">
        <f>Constants!$C$13</f>
        <v>0</v>
      </c>
      <c r="AJ25" s="9">
        <f>Constants!$C$14</f>
        <v>0.125</v>
      </c>
      <c r="AK25" s="9">
        <f>Constants!$C$15</f>
        <v>0.25</v>
      </c>
      <c r="AL25" s="9">
        <f>Constants!$C$11</f>
        <v>0.2</v>
      </c>
      <c r="AM25" s="9">
        <f>Constants!$D$10</f>
        <v>0</v>
      </c>
      <c r="AN25" s="9">
        <f>Constants!$D$12</f>
        <v>0.02</v>
      </c>
      <c r="AO25" s="9">
        <f>Constants!$D$13</f>
        <v>0</v>
      </c>
      <c r="AP25" s="9">
        <f>Constants!$D$14</f>
        <v>0.01</v>
      </c>
      <c r="AQ25" s="9">
        <f>Constants!$D$15</f>
        <v>2E-3</v>
      </c>
      <c r="AR25" s="9">
        <f>Constants!$D$11</f>
        <v>5.0000000000000001E-3</v>
      </c>
      <c r="AS25">
        <f t="shared" si="10"/>
        <v>107.2296225</v>
      </c>
      <c r="AT25">
        <f t="shared" si="2"/>
        <v>0</v>
      </c>
      <c r="AU25">
        <f t="shared" si="2"/>
        <v>0</v>
      </c>
      <c r="AV25">
        <f t="shared" si="2"/>
        <v>267.68722500000001</v>
      </c>
      <c r="AW25">
        <f t="shared" si="2"/>
        <v>0</v>
      </c>
      <c r="AX25">
        <f t="shared" si="2"/>
        <v>384.61857525000011</v>
      </c>
      <c r="AY25">
        <f t="shared" si="11"/>
        <v>759.53542275000018</v>
      </c>
      <c r="AZ25">
        <f t="shared" si="12"/>
        <v>0</v>
      </c>
      <c r="BA25">
        <f t="shared" si="12"/>
        <v>267.68722500000001</v>
      </c>
      <c r="BB25">
        <f t="shared" si="13"/>
        <v>491.84819775000011</v>
      </c>
      <c r="BC25">
        <f>Constants!$B$23</f>
        <v>1.5714285714285714</v>
      </c>
      <c r="BD25">
        <f t="shared" si="3"/>
        <v>131.05842750000002</v>
      </c>
      <c r="BE25">
        <f t="shared" si="3"/>
        <v>0</v>
      </c>
      <c r="BF25">
        <f t="shared" si="3"/>
        <v>0</v>
      </c>
      <c r="BG25">
        <f t="shared" si="3"/>
        <v>38.683125000000004</v>
      </c>
      <c r="BH25">
        <f t="shared" si="3"/>
        <v>0</v>
      </c>
      <c r="BI25">
        <f t="shared" si="3"/>
        <v>96.759390000000025</v>
      </c>
      <c r="BJ25">
        <f t="shared" si="14"/>
        <v>0</v>
      </c>
      <c r="BK25">
        <f t="shared" si="15"/>
        <v>53.537445000000005</v>
      </c>
      <c r="BL25">
        <f t="shared" si="16"/>
        <v>320.03838750000006</v>
      </c>
      <c r="BM25">
        <f>_xlfn.XLOOKUP(C25, Constants!$D$19:$D$23, Constants!$E$19:$E$23)</f>
        <v>2.8999999999999998E-3</v>
      </c>
      <c r="BN25">
        <f t="shared" si="17"/>
        <v>1.458460651607143E-3</v>
      </c>
    </row>
    <row r="26" spans="1:67" x14ac:dyDescent="0.2">
      <c r="A26" s="2" t="str">
        <f>'Input Scenarios'!A53</f>
        <v>WA</v>
      </c>
      <c r="B26" s="2">
        <f>'Input Scenarios'!B53</f>
        <v>25</v>
      </c>
      <c r="C26" s="2" t="str">
        <f>'Input Scenarios'!C53</f>
        <v>Non-irrigated crop (low rainfall)</v>
      </c>
      <c r="D26" s="2" t="b">
        <f>'Input Scenarios'!D53</f>
        <v>0</v>
      </c>
      <c r="E26" s="2" t="str">
        <f>'Input Scenarios'!E53</f>
        <v>others</v>
      </c>
      <c r="F26" s="2">
        <f>'Input Scenarios'!F53</f>
        <v>999</v>
      </c>
      <c r="G26" s="2">
        <f>'Input Scenarios'!G53</f>
        <v>299</v>
      </c>
      <c r="H26" s="2">
        <f>IF('Input Scenarios'!H53&lt;&gt;"", 'Input Scenarios'!H53, _xlfn.XLOOKUP($E26,Constants!$A$3:$A$6, Constants!B$3:B$6))</f>
        <v>1.71</v>
      </c>
      <c r="I26" s="2">
        <f>IF('Input Scenarios'!I53&lt;&gt;"", 'Input Scenarios'!I53, _xlfn.XLOOKUP($E26,Constants!$A$3:$A$6, Constants!C$3:C$6))</f>
        <v>0.45</v>
      </c>
      <c r="J26" s="2">
        <f>IF('Input Scenarios'!J53&lt;&gt;"", 'Input Scenarios'!J53, _xlfn.XLOOKUP($E26,Constants!$A$3:$A$6, Constants!D$3:D$6))</f>
        <v>4.53E-2</v>
      </c>
      <c r="K26" s="2">
        <f>'Input Scenarios'!K53</f>
        <v>0</v>
      </c>
      <c r="L26" s="2">
        <f>'Input Scenarios'!L53</f>
        <v>0</v>
      </c>
      <c r="M26" s="2">
        <f>'Input Scenarios'!M53</f>
        <v>0.5</v>
      </c>
      <c r="N26" s="2">
        <f>'Input Scenarios'!N53</f>
        <v>0</v>
      </c>
      <c r="O26" s="2">
        <f>'Input Scenarios'!O53</f>
        <v>0.5</v>
      </c>
      <c r="P26" s="2">
        <f>'Input Scenarios'!P53</f>
        <v>0</v>
      </c>
      <c r="Q26" s="2" t="b">
        <f>'Input Scenarios'!Q53</f>
        <v>1</v>
      </c>
      <c r="R26" s="2">
        <f>IF('Input Scenarios'!$R53&lt;&gt;"", 'Input Scenarios'!$R53, IF($Q26, Constants!$B$19, 0))</f>
        <v>0.23</v>
      </c>
      <c r="S26" s="2">
        <f>IF('Input Scenarios'!$R53&lt;&gt;"", 'Input Scenarios'!$R53, IF($Q26, Constants!$B$20, 0))</f>
        <v>0.23</v>
      </c>
      <c r="T26">
        <f t="shared" si="4"/>
        <v>13531.1553</v>
      </c>
      <c r="U26">
        <f t="shared" si="5"/>
        <v>0</v>
      </c>
      <c r="V26">
        <f t="shared" si="6"/>
        <v>0</v>
      </c>
      <c r="W26">
        <f t="shared" si="0"/>
        <v>0.38500000000000001</v>
      </c>
      <c r="X26">
        <f t="shared" si="7"/>
        <v>0</v>
      </c>
      <c r="Y26">
        <f t="shared" si="0"/>
        <v>0.38500000000000001</v>
      </c>
      <c r="Z26">
        <f t="shared" si="8"/>
        <v>0.23</v>
      </c>
      <c r="AA26">
        <f t="shared" si="9"/>
        <v>0</v>
      </c>
      <c r="AB26">
        <f t="shared" si="1"/>
        <v>0</v>
      </c>
      <c r="AC26">
        <f t="shared" si="1"/>
        <v>5209.4947904999999</v>
      </c>
      <c r="AD26">
        <f t="shared" si="1"/>
        <v>0</v>
      </c>
      <c r="AE26">
        <f t="shared" si="1"/>
        <v>5209.4947904999999</v>
      </c>
      <c r="AF26">
        <f t="shared" si="1"/>
        <v>3112.1657190000001</v>
      </c>
      <c r="AG26" s="9">
        <f>Constants!$C$10</f>
        <v>0.55000000000000004</v>
      </c>
      <c r="AH26" s="9">
        <f>Constants!$C$12</f>
        <v>0.3</v>
      </c>
      <c r="AI26" s="9">
        <f>Constants!$C$13</f>
        <v>0</v>
      </c>
      <c r="AJ26" s="9">
        <f>Constants!$C$14</f>
        <v>0.125</v>
      </c>
      <c r="AK26" s="9">
        <f>Constants!$C$15</f>
        <v>0.25</v>
      </c>
      <c r="AL26" s="9">
        <f>Constants!$C$11</f>
        <v>0.2</v>
      </c>
      <c r="AM26" s="9">
        <f>Constants!$D$10</f>
        <v>0</v>
      </c>
      <c r="AN26" s="9">
        <f>Constants!$D$12</f>
        <v>0.02</v>
      </c>
      <c r="AO26" s="9">
        <f>Constants!$D$13</f>
        <v>0</v>
      </c>
      <c r="AP26" s="9">
        <f>Constants!$D$14</f>
        <v>0.01</v>
      </c>
      <c r="AQ26" s="9">
        <f>Constants!$D$15</f>
        <v>2E-3</v>
      </c>
      <c r="AR26" s="9">
        <f>Constants!$D$11</f>
        <v>5.0000000000000001E-3</v>
      </c>
      <c r="AS26">
        <f t="shared" si="10"/>
        <v>0</v>
      </c>
      <c r="AT26">
        <f t="shared" si="2"/>
        <v>0</v>
      </c>
      <c r="AU26">
        <f t="shared" si="2"/>
        <v>5209.4947904999999</v>
      </c>
      <c r="AV26">
        <f t="shared" si="2"/>
        <v>0</v>
      </c>
      <c r="AW26">
        <f t="shared" si="2"/>
        <v>3896.7021032939997</v>
      </c>
      <c r="AX26">
        <f t="shared" si="2"/>
        <v>2474.1717466050004</v>
      </c>
      <c r="AY26">
        <f t="shared" si="11"/>
        <v>11580.368640399</v>
      </c>
      <c r="AZ26">
        <f t="shared" si="12"/>
        <v>5209.4947904999999</v>
      </c>
      <c r="BA26">
        <f t="shared" si="12"/>
        <v>0</v>
      </c>
      <c r="BB26">
        <f t="shared" si="13"/>
        <v>6370.8738498990006</v>
      </c>
      <c r="BC26">
        <f>Constants!$B$23</f>
        <v>1.5714285714285714</v>
      </c>
      <c r="BD26">
        <f t="shared" si="3"/>
        <v>0</v>
      </c>
      <c r="BE26">
        <f t="shared" si="3"/>
        <v>0</v>
      </c>
      <c r="BF26">
        <f t="shared" si="3"/>
        <v>0</v>
      </c>
      <c r="BG26">
        <f t="shared" si="3"/>
        <v>0</v>
      </c>
      <c r="BH26">
        <f t="shared" si="3"/>
        <v>1302.373697625</v>
      </c>
      <c r="BI26">
        <f t="shared" si="3"/>
        <v>622.43314380000004</v>
      </c>
      <c r="BJ26">
        <f t="shared" si="14"/>
        <v>2865.2221347750001</v>
      </c>
      <c r="BK26">
        <f t="shared" si="15"/>
        <v>0</v>
      </c>
      <c r="BL26">
        <f t="shared" si="16"/>
        <v>4790.0289762000002</v>
      </c>
      <c r="BM26">
        <f>_xlfn.XLOOKUP(C26, Constants!$D$19:$D$23, Constants!$E$19:$E$23)</f>
        <v>2.8999999999999998E-3</v>
      </c>
      <c r="BN26">
        <f t="shared" si="17"/>
        <v>2.1828846334397141E-2</v>
      </c>
    </row>
    <row r="27" spans="1:67" x14ac:dyDescent="0.2">
      <c r="A27" t="str">
        <f>'Input Scenarios'!A54</f>
        <v>SA</v>
      </c>
      <c r="B27">
        <f>'Input Scenarios'!B54</f>
        <v>26</v>
      </c>
      <c r="C27" t="str">
        <f>'Input Scenarios'!C54</f>
        <v>Non-irrigated crop (high rainfall)</v>
      </c>
      <c r="D27" t="b">
        <f>'Input Scenarios'!D54</f>
        <v>1</v>
      </c>
      <c r="E27" t="str">
        <f>'Input Scenarios'!E54</f>
        <v>boars</v>
      </c>
      <c r="F27">
        <f>'Input Scenarios'!F54</f>
        <v>105</v>
      </c>
      <c r="G27">
        <f>'Input Scenarios'!G54</f>
        <v>75</v>
      </c>
      <c r="H27">
        <f>IF('Input Scenarios'!H54&lt;&gt;"", 'Input Scenarios'!H54, _xlfn.XLOOKUP($E27,Constants!$A$3:$A$6, Constants!B$3:B$6))</f>
        <v>2.62</v>
      </c>
      <c r="I27">
        <f>IF('Input Scenarios'!I54&lt;&gt;"", 'Input Scenarios'!I54, _xlfn.XLOOKUP($E27,Constants!$A$3:$A$6, Constants!C$3:C$6))</f>
        <v>0.68</v>
      </c>
      <c r="J27">
        <f>IF('Input Scenarios'!J54&lt;&gt;"", 'Input Scenarios'!J54, _xlfn.XLOOKUP($E27,Constants!$A$3:$A$6, Constants!D$3:D$6))</f>
        <v>6.7799999999999999E-2</v>
      </c>
      <c r="K27">
        <f>'Input Scenarios'!K54</f>
        <v>0.2</v>
      </c>
      <c r="L27">
        <f>'Input Scenarios'!L54</f>
        <v>0.1</v>
      </c>
      <c r="M27">
        <f>'Input Scenarios'!M54</f>
        <v>0.2</v>
      </c>
      <c r="N27">
        <f>'Input Scenarios'!N54</f>
        <v>0.2</v>
      </c>
      <c r="O27">
        <f>'Input Scenarios'!O54</f>
        <v>0.2</v>
      </c>
      <c r="P27">
        <f>'Input Scenarios'!P54</f>
        <v>0.1</v>
      </c>
      <c r="Q27" t="b">
        <f>'Input Scenarios'!Q54</f>
        <v>1</v>
      </c>
      <c r="R27">
        <f>IF('Input Scenarios'!$R54&lt;&gt;"", 'Input Scenarios'!$R54, IF($Q27, Constants!$B$19, 0))</f>
        <v>0.25</v>
      </c>
      <c r="S27">
        <f>IF('Input Scenarios'!$R54&lt;&gt;"", 'Input Scenarios'!$R54, IF($Q27, Constants!$B$20, 0))</f>
        <v>0.25</v>
      </c>
      <c r="T27">
        <f t="shared" ref="T27:T34" si="18">F27*G27*J27</f>
        <v>533.92499999999995</v>
      </c>
      <c r="U27">
        <f t="shared" ref="U27:U34" si="19">K27*(1-$S27)</f>
        <v>0.15000000000000002</v>
      </c>
      <c r="V27">
        <f t="shared" ref="V27:V34" si="20">L27</f>
        <v>0.1</v>
      </c>
      <c r="W27">
        <f t="shared" ref="W27:W34" si="21">M27*(1-$S27)</f>
        <v>0.15000000000000002</v>
      </c>
      <c r="X27">
        <f t="shared" ref="X27:X34" si="22">N27</f>
        <v>0.2</v>
      </c>
      <c r="Y27">
        <f t="shared" ref="Y27:Y34" si="23">O27*(1-$S27)</f>
        <v>0.15000000000000002</v>
      </c>
      <c r="Z27">
        <f t="shared" ref="Z27:Z34" si="24">P27+(SUM(K27, M27, O27)*S27)</f>
        <v>0.25</v>
      </c>
      <c r="AA27">
        <f t="shared" ref="AA27:AA34" si="25">$T27*U27</f>
        <v>80.088750000000005</v>
      </c>
      <c r="AB27">
        <f t="shared" ref="AB27:AB34" si="26">$T27*V27</f>
        <v>53.392499999999998</v>
      </c>
      <c r="AC27">
        <f t="shared" ref="AC27:AC34" si="27">$T27*W27</f>
        <v>80.088750000000005</v>
      </c>
      <c r="AD27">
        <f t="shared" ref="AD27:AD34" si="28">$T27*X27</f>
        <v>106.785</v>
      </c>
      <c r="AE27">
        <f t="shared" ref="AE27:AE34" si="29">$T27*Y27</f>
        <v>80.088750000000005</v>
      </c>
      <c r="AF27">
        <f t="shared" ref="AF27:AF34" si="30">$T27*Z27</f>
        <v>133.48124999999999</v>
      </c>
      <c r="AG27" s="9">
        <f>Constants!$C$10</f>
        <v>0.55000000000000004</v>
      </c>
      <c r="AH27" s="9">
        <f>Constants!$C$12</f>
        <v>0.3</v>
      </c>
      <c r="AI27" s="9">
        <f>Constants!$C$13</f>
        <v>0</v>
      </c>
      <c r="AJ27" s="9">
        <f>Constants!$C$14</f>
        <v>0.125</v>
      </c>
      <c r="AK27" s="9">
        <f>Constants!$C$15</f>
        <v>0.25</v>
      </c>
      <c r="AL27" s="9">
        <f>Constants!$C$11</f>
        <v>0.2</v>
      </c>
      <c r="AM27" s="9">
        <f>Constants!$D$10</f>
        <v>0</v>
      </c>
      <c r="AN27" s="9">
        <f>Constants!$D$12</f>
        <v>0.02</v>
      </c>
      <c r="AO27" s="9">
        <f>Constants!$D$13</f>
        <v>0</v>
      </c>
      <c r="AP27" s="9">
        <f>Constants!$D$14</f>
        <v>0.01</v>
      </c>
      <c r="AQ27" s="9">
        <f>Constants!$D$15</f>
        <v>2E-3</v>
      </c>
      <c r="AR27" s="9">
        <f>Constants!$D$11</f>
        <v>5.0000000000000001E-3</v>
      </c>
      <c r="AS27">
        <f t="shared" ref="AS27:AS34" si="31">AA27*(1-AG27-AM27)</f>
        <v>36.039937500000001</v>
      </c>
      <c r="AT27">
        <f t="shared" ref="AT27:AT34" si="32">AB27*(1-AH27-AN27)</f>
        <v>36.306899999999999</v>
      </c>
      <c r="AU27">
        <f t="shared" ref="AU27:AU34" si="33">AC27*(1-AI27-AO27)</f>
        <v>80.088750000000005</v>
      </c>
      <c r="AV27">
        <f t="shared" ref="AV27:AV34" si="34">AD27*(1-AJ27-AP27)</f>
        <v>92.369024999999993</v>
      </c>
      <c r="AW27">
        <f t="shared" ref="AW27:AW34" si="35">AE27*(1-AK27-AQ27)</f>
        <v>59.906385</v>
      </c>
      <c r="AX27">
        <f t="shared" ref="AX27:AX34" si="36">AF27*(1-AL27-AR27)</f>
        <v>106.11759375</v>
      </c>
      <c r="AY27">
        <f t="shared" ref="AY27:AY34" si="37">SUM(AS27:AX27)</f>
        <v>410.82859124999993</v>
      </c>
      <c r="AZ27">
        <f t="shared" ref="AZ27:AZ34" si="38">AU27</f>
        <v>80.088750000000005</v>
      </c>
      <c r="BA27">
        <f t="shared" ref="BA27:BA34" si="39">AV27</f>
        <v>92.369024999999993</v>
      </c>
      <c r="BB27">
        <f t="shared" ref="BB27:BB34" si="40">SUM(AS27:AT27,AW27:AX27)</f>
        <v>238.37081624999999</v>
      </c>
      <c r="BC27">
        <f>Constants!$B$23</f>
        <v>1.5714285714285714</v>
      </c>
      <c r="BD27">
        <f t="shared" ref="BD27:BD34" si="41">AA27*AG27</f>
        <v>44.048812500000004</v>
      </c>
      <c r="BE27">
        <f t="shared" ref="BE27:BE34" si="42">AB27*AH27</f>
        <v>16.017749999999999</v>
      </c>
      <c r="BF27">
        <f t="shared" ref="BF27:BF34" si="43">AC27*AI27</f>
        <v>0</v>
      </c>
      <c r="BG27">
        <f t="shared" ref="BG27:BG34" si="44">AD27*AJ27</f>
        <v>13.348125</v>
      </c>
      <c r="BH27">
        <f t="shared" ref="BH27:BH34" si="45">AE27*AK27</f>
        <v>20.022187500000001</v>
      </c>
      <c r="BI27">
        <f t="shared" ref="BI27:BI34" si="46">AF27*AL27</f>
        <v>26.696249999999999</v>
      </c>
      <c r="BJ27">
        <f t="shared" ref="BJ27:BJ34" si="47">AZ27*AG27</f>
        <v>44.048812500000004</v>
      </c>
      <c r="BK27">
        <f t="shared" ref="BK27:BK34" si="48">BA27*AL27</f>
        <v>18.473804999999999</v>
      </c>
      <c r="BL27">
        <f t="shared" ref="BL27:BL34" si="49">SUM(BD27:BK27)</f>
        <v>182.6557425</v>
      </c>
      <c r="BM27">
        <f>_xlfn.XLOOKUP(C27, Constants!$D$19:$D$23, Constants!$E$19:$E$23)</f>
        <v>8.0000000000000002E-3</v>
      </c>
      <c r="BN27">
        <f t="shared" ref="BN27:BN34" si="50">(BL27*BM27*BC27)/1000</f>
        <v>2.29624362E-3</v>
      </c>
      <c r="BO27">
        <f>SUM(BN27:BN30)</f>
        <v>4.5665401338857138E-2</v>
      </c>
    </row>
    <row r="28" spans="1:67" x14ac:dyDescent="0.2">
      <c r="A28" t="str">
        <f>'Input Scenarios'!A55</f>
        <v>SA</v>
      </c>
      <c r="B28">
        <f>'Input Scenarios'!B55</f>
        <v>26</v>
      </c>
      <c r="C28" t="str">
        <f>'Input Scenarios'!C55</f>
        <v>Non-irrigated crop (high rainfall)</v>
      </c>
      <c r="D28" t="b">
        <f>'Input Scenarios'!D55</f>
        <v>1</v>
      </c>
      <c r="E28" t="str">
        <f>'Input Scenarios'!E55</f>
        <v>sows</v>
      </c>
      <c r="F28">
        <f>'Input Scenarios'!F55</f>
        <v>245</v>
      </c>
      <c r="G28">
        <f>'Input Scenarios'!G55</f>
        <v>290</v>
      </c>
      <c r="H28">
        <f>IF('Input Scenarios'!H55&lt;&gt;"", 'Input Scenarios'!H55, _xlfn.XLOOKUP($E28,Constants!$A$3:$A$6, Constants!B$3:B$6))</f>
        <v>2.2999999999999998</v>
      </c>
      <c r="I28">
        <f>IF('Input Scenarios'!I55&lt;&gt;"", 'Input Scenarios'!I55, _xlfn.XLOOKUP($E28,Constants!$A$3:$A$6, Constants!C$3:C$6))</f>
        <v>0.69</v>
      </c>
      <c r="J28">
        <f>IF('Input Scenarios'!J55&lt;&gt;"", 'Input Scenarios'!J55, _xlfn.XLOOKUP($E28,Constants!$A$3:$A$6, Constants!D$3:D$6))</f>
        <v>4.5999999999999999E-2</v>
      </c>
      <c r="K28">
        <f>'Input Scenarios'!K55</f>
        <v>0.2</v>
      </c>
      <c r="L28">
        <f>'Input Scenarios'!L55</f>
        <v>0.1</v>
      </c>
      <c r="M28">
        <f>'Input Scenarios'!M55</f>
        <v>0.2</v>
      </c>
      <c r="N28">
        <f>'Input Scenarios'!N55</f>
        <v>0.2</v>
      </c>
      <c r="O28">
        <f>'Input Scenarios'!O55</f>
        <v>0.2</v>
      </c>
      <c r="P28">
        <f>'Input Scenarios'!P55</f>
        <v>0.1</v>
      </c>
      <c r="Q28" t="b">
        <f>'Input Scenarios'!Q55</f>
        <v>1</v>
      </c>
      <c r="R28">
        <f>IF('Input Scenarios'!$R55&lt;&gt;"", 'Input Scenarios'!$R55, IF($Q28, Constants!$B$19, 0))</f>
        <v>0.26</v>
      </c>
      <c r="S28">
        <f>IF('Input Scenarios'!$R55&lt;&gt;"", 'Input Scenarios'!$R55, IF($Q28, Constants!$B$20, 0))</f>
        <v>0.26</v>
      </c>
      <c r="T28">
        <f t="shared" si="18"/>
        <v>3268.2999999999997</v>
      </c>
      <c r="U28">
        <f t="shared" si="19"/>
        <v>0.14799999999999999</v>
      </c>
      <c r="V28">
        <f t="shared" si="20"/>
        <v>0.1</v>
      </c>
      <c r="W28">
        <f t="shared" si="21"/>
        <v>0.14799999999999999</v>
      </c>
      <c r="X28">
        <f t="shared" si="22"/>
        <v>0.2</v>
      </c>
      <c r="Y28">
        <f t="shared" si="23"/>
        <v>0.14799999999999999</v>
      </c>
      <c r="Z28">
        <f t="shared" si="24"/>
        <v>0.25600000000000001</v>
      </c>
      <c r="AA28">
        <f t="shared" si="25"/>
        <v>483.70839999999993</v>
      </c>
      <c r="AB28">
        <f t="shared" si="26"/>
        <v>326.83</v>
      </c>
      <c r="AC28">
        <f t="shared" si="27"/>
        <v>483.70839999999993</v>
      </c>
      <c r="AD28">
        <f t="shared" si="28"/>
        <v>653.66</v>
      </c>
      <c r="AE28">
        <f t="shared" si="29"/>
        <v>483.70839999999993</v>
      </c>
      <c r="AF28">
        <f t="shared" si="30"/>
        <v>836.6848</v>
      </c>
      <c r="AG28" s="9">
        <f>Constants!$C$10</f>
        <v>0.55000000000000004</v>
      </c>
      <c r="AH28" s="9">
        <f>Constants!$C$12</f>
        <v>0.3</v>
      </c>
      <c r="AI28" s="9">
        <f>Constants!$C$13</f>
        <v>0</v>
      </c>
      <c r="AJ28" s="9">
        <f>Constants!$C$14</f>
        <v>0.125</v>
      </c>
      <c r="AK28" s="9">
        <f>Constants!$C$15</f>
        <v>0.25</v>
      </c>
      <c r="AL28" s="9">
        <f>Constants!$C$11</f>
        <v>0.2</v>
      </c>
      <c r="AM28" s="9">
        <f>Constants!$D$10</f>
        <v>0</v>
      </c>
      <c r="AN28" s="9">
        <f>Constants!$D$12</f>
        <v>0.02</v>
      </c>
      <c r="AO28" s="9">
        <f>Constants!$D$13</f>
        <v>0</v>
      </c>
      <c r="AP28" s="9">
        <f>Constants!$D$14</f>
        <v>0.01</v>
      </c>
      <c r="AQ28" s="9">
        <f>Constants!$D$15</f>
        <v>2E-3</v>
      </c>
      <c r="AR28" s="9">
        <f>Constants!$D$11</f>
        <v>5.0000000000000001E-3</v>
      </c>
      <c r="AS28">
        <f t="shared" si="31"/>
        <v>217.66877999999994</v>
      </c>
      <c r="AT28">
        <f t="shared" si="32"/>
        <v>222.24439999999996</v>
      </c>
      <c r="AU28">
        <f t="shared" si="33"/>
        <v>483.70839999999993</v>
      </c>
      <c r="AV28">
        <f t="shared" si="34"/>
        <v>565.41589999999997</v>
      </c>
      <c r="AW28">
        <f t="shared" si="35"/>
        <v>361.81388319999996</v>
      </c>
      <c r="AX28">
        <f t="shared" si="36"/>
        <v>665.16441600000007</v>
      </c>
      <c r="AY28">
        <f t="shared" si="37"/>
        <v>2516.0157792</v>
      </c>
      <c r="AZ28">
        <f t="shared" si="38"/>
        <v>483.70839999999993</v>
      </c>
      <c r="BA28">
        <f t="shared" si="39"/>
        <v>565.41589999999997</v>
      </c>
      <c r="BB28">
        <f t="shared" si="40"/>
        <v>1466.8914792</v>
      </c>
      <c r="BC28">
        <f>Constants!$B$23</f>
        <v>1.5714285714285714</v>
      </c>
      <c r="BD28">
        <f t="shared" si="41"/>
        <v>266.03961999999996</v>
      </c>
      <c r="BE28">
        <f t="shared" si="42"/>
        <v>98.048999999999992</v>
      </c>
      <c r="BF28">
        <f t="shared" si="43"/>
        <v>0</v>
      </c>
      <c r="BG28">
        <f t="shared" si="44"/>
        <v>81.707499999999996</v>
      </c>
      <c r="BH28">
        <f t="shared" si="45"/>
        <v>120.92709999999998</v>
      </c>
      <c r="BI28">
        <f t="shared" si="46"/>
        <v>167.33696</v>
      </c>
      <c r="BJ28">
        <f t="shared" si="47"/>
        <v>266.03961999999996</v>
      </c>
      <c r="BK28">
        <f t="shared" si="48"/>
        <v>113.08318</v>
      </c>
      <c r="BL28">
        <f t="shared" si="49"/>
        <v>1113.1829799999998</v>
      </c>
      <c r="BM28">
        <f>_xlfn.XLOOKUP(C28, Constants!$D$19:$D$23, Constants!$E$19:$E$23)</f>
        <v>8.0000000000000002E-3</v>
      </c>
      <c r="BN28">
        <f t="shared" si="50"/>
        <v>1.3994300319999998E-2</v>
      </c>
    </row>
    <row r="29" spans="1:67" x14ac:dyDescent="0.2">
      <c r="A29" t="str">
        <f>'Input Scenarios'!A56</f>
        <v>SA</v>
      </c>
      <c r="B29">
        <f>'Input Scenarios'!B56</f>
        <v>26</v>
      </c>
      <c r="C29" t="str">
        <f>'Input Scenarios'!C56</f>
        <v>Non-irrigated crop (high rainfall)</v>
      </c>
      <c r="D29" t="b">
        <f>'Input Scenarios'!D56</f>
        <v>1</v>
      </c>
      <c r="E29" t="str">
        <f>'Input Scenarios'!E56</f>
        <v>gilts</v>
      </c>
      <c r="F29">
        <f>'Input Scenarios'!F56</f>
        <v>434</v>
      </c>
      <c r="G29">
        <f>'Input Scenarios'!G56</f>
        <v>280</v>
      </c>
      <c r="H29">
        <f>IF('Input Scenarios'!H56&lt;&gt;"", 'Input Scenarios'!H56, _xlfn.XLOOKUP($E29,Constants!$A$3:$A$6, Constants!B$3:B$6))</f>
        <v>2.5</v>
      </c>
      <c r="I29">
        <f>IF('Input Scenarios'!I56&lt;&gt;"", 'Input Scenarios'!I56, _xlfn.XLOOKUP($E29,Constants!$A$3:$A$6, Constants!C$3:C$6))</f>
        <v>0.7</v>
      </c>
      <c r="J29">
        <f>IF('Input Scenarios'!J56&lt;&gt;"", 'Input Scenarios'!J56, _xlfn.XLOOKUP($E29,Constants!$A$3:$A$6, Constants!D$3:D$6))</f>
        <v>5.1999999999999998E-2</v>
      </c>
      <c r="K29">
        <f>'Input Scenarios'!K56</f>
        <v>0.2</v>
      </c>
      <c r="L29">
        <f>'Input Scenarios'!L56</f>
        <v>0.1</v>
      </c>
      <c r="M29">
        <f>'Input Scenarios'!M56</f>
        <v>0.2</v>
      </c>
      <c r="N29">
        <f>'Input Scenarios'!N56</f>
        <v>0.2</v>
      </c>
      <c r="O29">
        <f>'Input Scenarios'!O56</f>
        <v>0.2</v>
      </c>
      <c r="P29">
        <f>'Input Scenarios'!P56</f>
        <v>0.1</v>
      </c>
      <c r="Q29" t="b">
        <f>'Input Scenarios'!Q56</f>
        <v>1</v>
      </c>
      <c r="R29">
        <f>IF('Input Scenarios'!$R56&lt;&gt;"", 'Input Scenarios'!$R56, IF($Q29, Constants!$B$19, 0))</f>
        <v>0.27</v>
      </c>
      <c r="S29">
        <f>IF('Input Scenarios'!$R56&lt;&gt;"", 'Input Scenarios'!$R56, IF($Q29, Constants!$B$20, 0))</f>
        <v>0.27</v>
      </c>
      <c r="T29">
        <f t="shared" si="18"/>
        <v>6319.04</v>
      </c>
      <c r="U29">
        <f t="shared" si="19"/>
        <v>0.14599999999999999</v>
      </c>
      <c r="V29">
        <f t="shared" si="20"/>
        <v>0.1</v>
      </c>
      <c r="W29">
        <f t="shared" si="21"/>
        <v>0.14599999999999999</v>
      </c>
      <c r="X29">
        <f t="shared" si="22"/>
        <v>0.2</v>
      </c>
      <c r="Y29">
        <f t="shared" si="23"/>
        <v>0.14599999999999999</v>
      </c>
      <c r="Z29">
        <f t="shared" si="24"/>
        <v>0.26200000000000001</v>
      </c>
      <c r="AA29">
        <f t="shared" si="25"/>
        <v>922.57983999999999</v>
      </c>
      <c r="AB29">
        <f t="shared" si="26"/>
        <v>631.904</v>
      </c>
      <c r="AC29">
        <f t="shared" si="27"/>
        <v>922.57983999999999</v>
      </c>
      <c r="AD29">
        <f t="shared" si="28"/>
        <v>1263.808</v>
      </c>
      <c r="AE29">
        <f t="shared" si="29"/>
        <v>922.57983999999999</v>
      </c>
      <c r="AF29">
        <f t="shared" si="30"/>
        <v>1655.5884800000001</v>
      </c>
      <c r="AG29" s="9">
        <f>Constants!$C$10</f>
        <v>0.55000000000000004</v>
      </c>
      <c r="AH29" s="9">
        <f>Constants!$C$12</f>
        <v>0.3</v>
      </c>
      <c r="AI29" s="9">
        <f>Constants!$C$13</f>
        <v>0</v>
      </c>
      <c r="AJ29" s="9">
        <f>Constants!$C$14</f>
        <v>0.125</v>
      </c>
      <c r="AK29" s="9">
        <f>Constants!$C$15</f>
        <v>0.25</v>
      </c>
      <c r="AL29" s="9">
        <f>Constants!$C$11</f>
        <v>0.2</v>
      </c>
      <c r="AM29" s="9">
        <f>Constants!$D$10</f>
        <v>0</v>
      </c>
      <c r="AN29" s="9">
        <f>Constants!$D$12</f>
        <v>0.02</v>
      </c>
      <c r="AO29" s="9">
        <f>Constants!$D$13</f>
        <v>0</v>
      </c>
      <c r="AP29" s="9">
        <f>Constants!$D$14</f>
        <v>0.01</v>
      </c>
      <c r="AQ29" s="9">
        <f>Constants!$D$15</f>
        <v>2E-3</v>
      </c>
      <c r="AR29" s="9">
        <f>Constants!$D$11</f>
        <v>5.0000000000000001E-3</v>
      </c>
      <c r="AS29">
        <f t="shared" si="31"/>
        <v>415.16092799999996</v>
      </c>
      <c r="AT29">
        <f t="shared" si="32"/>
        <v>429.69471999999996</v>
      </c>
      <c r="AU29">
        <f t="shared" si="33"/>
        <v>922.57983999999999</v>
      </c>
      <c r="AV29">
        <f t="shared" si="34"/>
        <v>1093.1939199999999</v>
      </c>
      <c r="AW29">
        <f t="shared" si="35"/>
        <v>690.08972031999997</v>
      </c>
      <c r="AX29">
        <f t="shared" si="36"/>
        <v>1316.1928416000001</v>
      </c>
      <c r="AY29">
        <f t="shared" si="37"/>
        <v>4866.91196992</v>
      </c>
      <c r="AZ29">
        <f t="shared" si="38"/>
        <v>922.57983999999999</v>
      </c>
      <c r="BA29">
        <f t="shared" si="39"/>
        <v>1093.1939199999999</v>
      </c>
      <c r="BB29">
        <f t="shared" si="40"/>
        <v>2851.13820992</v>
      </c>
      <c r="BC29">
        <f>Constants!$B$23</f>
        <v>1.5714285714285714</v>
      </c>
      <c r="BD29">
        <f t="shared" si="41"/>
        <v>507.41891200000003</v>
      </c>
      <c r="BE29">
        <f t="shared" si="42"/>
        <v>189.5712</v>
      </c>
      <c r="BF29">
        <f t="shared" si="43"/>
        <v>0</v>
      </c>
      <c r="BG29">
        <f t="shared" si="44"/>
        <v>157.976</v>
      </c>
      <c r="BH29">
        <f t="shared" si="45"/>
        <v>230.64496</v>
      </c>
      <c r="BI29">
        <f t="shared" si="46"/>
        <v>331.11769600000002</v>
      </c>
      <c r="BJ29">
        <f t="shared" si="47"/>
        <v>507.41891200000003</v>
      </c>
      <c r="BK29">
        <f t="shared" si="48"/>
        <v>218.63878399999999</v>
      </c>
      <c r="BL29">
        <f t="shared" si="49"/>
        <v>2142.7864640000003</v>
      </c>
      <c r="BM29">
        <f>_xlfn.XLOOKUP(C29, Constants!$D$19:$D$23, Constants!$E$19:$E$23)</f>
        <v>8.0000000000000002E-3</v>
      </c>
      <c r="BN29">
        <f t="shared" si="50"/>
        <v>2.6937886976000001E-2</v>
      </c>
    </row>
    <row r="30" spans="1:67" x14ac:dyDescent="0.2">
      <c r="A30" s="2" t="str">
        <f>'Input Scenarios'!A57</f>
        <v>SA</v>
      </c>
      <c r="B30" s="2">
        <f>'Input Scenarios'!B57</f>
        <v>26</v>
      </c>
      <c r="C30" s="2" t="str">
        <f>'Input Scenarios'!C57</f>
        <v>Non-irrigated crop (high rainfall)</v>
      </c>
      <c r="D30" s="2" t="b">
        <f>'Input Scenarios'!D57</f>
        <v>1</v>
      </c>
      <c r="E30" s="2" t="str">
        <f>'Input Scenarios'!E57</f>
        <v>others</v>
      </c>
      <c r="F30" s="2">
        <f>'Input Scenarios'!F57</f>
        <v>44</v>
      </c>
      <c r="G30" s="2">
        <f>'Input Scenarios'!G57</f>
        <v>290</v>
      </c>
      <c r="H30" s="2">
        <f>IF('Input Scenarios'!H57&lt;&gt;"", 'Input Scenarios'!H57, _xlfn.XLOOKUP($E30,Constants!$A$3:$A$6, Constants!B$3:B$6))</f>
        <v>1.71</v>
      </c>
      <c r="I30" s="2">
        <f>IF('Input Scenarios'!I57&lt;&gt;"", 'Input Scenarios'!I57, _xlfn.XLOOKUP($E30,Constants!$A$3:$A$6, Constants!C$3:C$6))</f>
        <v>0.68</v>
      </c>
      <c r="J30" s="2">
        <f>IF('Input Scenarios'!J57&lt;&gt;"", 'Input Scenarios'!J57, _xlfn.XLOOKUP($E30,Constants!$A$3:$A$6, Constants!D$3:D$6))</f>
        <v>4.4999999999999998E-2</v>
      </c>
      <c r="K30" s="2">
        <f>'Input Scenarios'!K57</f>
        <v>0.2</v>
      </c>
      <c r="L30" s="2">
        <f>'Input Scenarios'!L57</f>
        <v>0.1</v>
      </c>
      <c r="M30" s="2">
        <f>'Input Scenarios'!M57</f>
        <v>0.2</v>
      </c>
      <c r="N30" s="2">
        <f>'Input Scenarios'!N57</f>
        <v>0.2</v>
      </c>
      <c r="O30" s="2">
        <f>'Input Scenarios'!O57</f>
        <v>0.2</v>
      </c>
      <c r="P30" s="2">
        <f>'Input Scenarios'!P57</f>
        <v>0.1</v>
      </c>
      <c r="Q30" s="2" t="b">
        <f>'Input Scenarios'!Q57</f>
        <v>1</v>
      </c>
      <c r="R30" s="2">
        <f>IF('Input Scenarios'!$R57&lt;&gt;"", 'Input Scenarios'!$R57, IF($Q30, Constants!$B$19, 0))</f>
        <v>0.28000000000000003</v>
      </c>
      <c r="S30" s="2">
        <f>IF('Input Scenarios'!$R57&lt;&gt;"", 'Input Scenarios'!$R57, IF($Q30, Constants!$B$20, 0))</f>
        <v>0.28000000000000003</v>
      </c>
      <c r="T30">
        <f t="shared" si="18"/>
        <v>574.19999999999993</v>
      </c>
      <c r="U30">
        <f t="shared" si="19"/>
        <v>0.14399999999999999</v>
      </c>
      <c r="V30">
        <f t="shared" si="20"/>
        <v>0.1</v>
      </c>
      <c r="W30">
        <f t="shared" si="21"/>
        <v>0.14399999999999999</v>
      </c>
      <c r="X30">
        <f t="shared" si="22"/>
        <v>0.2</v>
      </c>
      <c r="Y30">
        <f t="shared" si="23"/>
        <v>0.14399999999999999</v>
      </c>
      <c r="Z30">
        <f t="shared" si="24"/>
        <v>0.26800000000000002</v>
      </c>
      <c r="AA30">
        <f t="shared" si="25"/>
        <v>82.684799999999981</v>
      </c>
      <c r="AB30">
        <f t="shared" si="26"/>
        <v>57.419999999999995</v>
      </c>
      <c r="AC30">
        <f t="shared" si="27"/>
        <v>82.684799999999981</v>
      </c>
      <c r="AD30">
        <f t="shared" si="28"/>
        <v>114.83999999999999</v>
      </c>
      <c r="AE30">
        <f t="shared" si="29"/>
        <v>82.684799999999981</v>
      </c>
      <c r="AF30">
        <f t="shared" si="30"/>
        <v>153.88559999999998</v>
      </c>
      <c r="AG30" s="9">
        <f>Constants!$C$10</f>
        <v>0.55000000000000004</v>
      </c>
      <c r="AH30" s="9">
        <f>Constants!$C$12</f>
        <v>0.3</v>
      </c>
      <c r="AI30" s="9">
        <f>Constants!$C$13</f>
        <v>0</v>
      </c>
      <c r="AJ30" s="9">
        <f>Constants!$C$14</f>
        <v>0.125</v>
      </c>
      <c r="AK30" s="9">
        <f>Constants!$C$15</f>
        <v>0.25</v>
      </c>
      <c r="AL30" s="9">
        <f>Constants!$C$11</f>
        <v>0.2</v>
      </c>
      <c r="AM30" s="9">
        <f>Constants!$D$10</f>
        <v>0</v>
      </c>
      <c r="AN30" s="9">
        <f>Constants!$D$12</f>
        <v>0.02</v>
      </c>
      <c r="AO30" s="9">
        <f>Constants!$D$13</f>
        <v>0</v>
      </c>
      <c r="AP30" s="9">
        <f>Constants!$D$14</f>
        <v>0.01</v>
      </c>
      <c r="AQ30" s="9">
        <f>Constants!$D$15</f>
        <v>2E-3</v>
      </c>
      <c r="AR30" s="9">
        <f>Constants!$D$11</f>
        <v>5.0000000000000001E-3</v>
      </c>
      <c r="AS30">
        <f t="shared" si="31"/>
        <v>37.208159999999985</v>
      </c>
      <c r="AT30">
        <f t="shared" si="32"/>
        <v>39.045599999999993</v>
      </c>
      <c r="AU30">
        <f t="shared" si="33"/>
        <v>82.684799999999981</v>
      </c>
      <c r="AV30">
        <f t="shared" si="34"/>
        <v>99.33659999999999</v>
      </c>
      <c r="AW30">
        <f t="shared" si="35"/>
        <v>61.848230399999984</v>
      </c>
      <c r="AX30">
        <f t="shared" si="36"/>
        <v>122.339052</v>
      </c>
      <c r="AY30">
        <f t="shared" si="37"/>
        <v>442.46244239999987</v>
      </c>
      <c r="AZ30">
        <f t="shared" si="38"/>
        <v>82.684799999999981</v>
      </c>
      <c r="BA30">
        <f t="shared" si="39"/>
        <v>99.33659999999999</v>
      </c>
      <c r="BB30">
        <f t="shared" si="40"/>
        <v>260.44104239999996</v>
      </c>
      <c r="BC30">
        <f>Constants!$B$23</f>
        <v>1.5714285714285714</v>
      </c>
      <c r="BD30">
        <f t="shared" si="41"/>
        <v>45.476639999999996</v>
      </c>
      <c r="BE30">
        <f t="shared" si="42"/>
        <v>17.225999999999999</v>
      </c>
      <c r="BF30">
        <f t="shared" si="43"/>
        <v>0</v>
      </c>
      <c r="BG30">
        <f t="shared" si="44"/>
        <v>14.354999999999999</v>
      </c>
      <c r="BH30">
        <f t="shared" si="45"/>
        <v>20.671199999999995</v>
      </c>
      <c r="BI30">
        <f t="shared" si="46"/>
        <v>30.777119999999996</v>
      </c>
      <c r="BJ30">
        <f t="shared" si="47"/>
        <v>45.476639999999996</v>
      </c>
      <c r="BK30">
        <f t="shared" si="48"/>
        <v>19.867319999999999</v>
      </c>
      <c r="BL30">
        <f t="shared" si="49"/>
        <v>193.84992</v>
      </c>
      <c r="BM30">
        <f>_xlfn.XLOOKUP(C30, Constants!$D$19:$D$23, Constants!$E$19:$E$23)</f>
        <v>8.0000000000000002E-3</v>
      </c>
      <c r="BN30">
        <f t="shared" si="50"/>
        <v>2.4369704228571426E-3</v>
      </c>
    </row>
    <row r="31" spans="1:67" x14ac:dyDescent="0.2">
      <c r="A31" t="str">
        <f>'Input Scenarios'!A58</f>
        <v>QLD</v>
      </c>
      <c r="B31" t="str">
        <f>'Input Scenarios'!B58</f>
        <v>28 or above</v>
      </c>
      <c r="C31" t="str">
        <f>'Input Scenarios'!C58</f>
        <v>Irrigated pasture</v>
      </c>
      <c r="D31" t="b">
        <f>'Input Scenarios'!D58</f>
        <v>1</v>
      </c>
      <c r="E31" t="str">
        <f>'Input Scenarios'!E58</f>
        <v>boars</v>
      </c>
      <c r="F31">
        <f>'Input Scenarios'!F58</f>
        <v>105</v>
      </c>
      <c r="G31">
        <f>'Input Scenarios'!G58</f>
        <v>75</v>
      </c>
      <c r="H31">
        <f>IF('Input Scenarios'!H58&lt;&gt;"", 'Input Scenarios'!H58, _xlfn.XLOOKUP($E31,Constants!$A$3:$A$6, Constants!B$3:B$6))</f>
        <v>2.62</v>
      </c>
      <c r="I31">
        <f>IF('Input Scenarios'!I58&lt;&gt;"", 'Input Scenarios'!I58, _xlfn.XLOOKUP($E31,Constants!$A$3:$A$6, Constants!C$3:C$6))</f>
        <v>0.37</v>
      </c>
      <c r="J31">
        <f>IF('Input Scenarios'!J58&lt;&gt;"", 'Input Scenarios'!J58, _xlfn.XLOOKUP($E31,Constants!$A$3:$A$6, Constants!D$3:D$6))</f>
        <v>0.04</v>
      </c>
      <c r="K31">
        <f>'Input Scenarios'!K58</f>
        <v>0.2</v>
      </c>
      <c r="L31">
        <f>'Input Scenarios'!L58</f>
        <v>0.1</v>
      </c>
      <c r="M31">
        <f>'Input Scenarios'!M58</f>
        <v>0.2</v>
      </c>
      <c r="N31">
        <f>'Input Scenarios'!N58</f>
        <v>0.2</v>
      </c>
      <c r="O31">
        <f>'Input Scenarios'!O58</f>
        <v>0.2</v>
      </c>
      <c r="P31">
        <f>'Input Scenarios'!P58</f>
        <v>0.1</v>
      </c>
      <c r="Q31" t="b">
        <f>'Input Scenarios'!Q58</f>
        <v>1</v>
      </c>
      <c r="R31">
        <f>IF('Input Scenarios'!$R58&lt;&gt;"", 'Input Scenarios'!$R58, IF($Q31, Constants!$B$19, 0))</f>
        <v>0.28000000000000003</v>
      </c>
      <c r="S31">
        <f>IF('Input Scenarios'!$R58&lt;&gt;"", 'Input Scenarios'!$R58, IF($Q31, Constants!$B$20, 0))</f>
        <v>0.28000000000000003</v>
      </c>
      <c r="T31">
        <f t="shared" si="18"/>
        <v>315</v>
      </c>
      <c r="U31">
        <f t="shared" si="19"/>
        <v>0.14399999999999999</v>
      </c>
      <c r="V31">
        <f t="shared" si="20"/>
        <v>0.1</v>
      </c>
      <c r="W31">
        <f t="shared" si="21"/>
        <v>0.14399999999999999</v>
      </c>
      <c r="X31">
        <f t="shared" si="22"/>
        <v>0.2</v>
      </c>
      <c r="Y31">
        <f t="shared" si="23"/>
        <v>0.14399999999999999</v>
      </c>
      <c r="Z31">
        <f t="shared" si="24"/>
        <v>0.26800000000000002</v>
      </c>
      <c r="AA31">
        <f t="shared" si="25"/>
        <v>45.36</v>
      </c>
      <c r="AB31">
        <f t="shared" si="26"/>
        <v>31.5</v>
      </c>
      <c r="AC31">
        <f t="shared" si="27"/>
        <v>45.36</v>
      </c>
      <c r="AD31">
        <f t="shared" si="28"/>
        <v>63</v>
      </c>
      <c r="AE31">
        <f t="shared" si="29"/>
        <v>45.36</v>
      </c>
      <c r="AF31">
        <f t="shared" si="30"/>
        <v>84.42</v>
      </c>
      <c r="AG31" s="9">
        <f>Constants!$C$10</f>
        <v>0.55000000000000004</v>
      </c>
      <c r="AH31" s="9">
        <f>Constants!$C$12</f>
        <v>0.3</v>
      </c>
      <c r="AI31" s="9">
        <f>Constants!$C$13</f>
        <v>0</v>
      </c>
      <c r="AJ31" s="9">
        <f>Constants!$C$14</f>
        <v>0.125</v>
      </c>
      <c r="AK31" s="9">
        <f>Constants!$C$15</f>
        <v>0.25</v>
      </c>
      <c r="AL31" s="9">
        <f>Constants!$C$11</f>
        <v>0.2</v>
      </c>
      <c r="AM31" s="9">
        <f>Constants!$D$10</f>
        <v>0</v>
      </c>
      <c r="AN31" s="9">
        <f>Constants!$D$12</f>
        <v>0.02</v>
      </c>
      <c r="AO31" s="9">
        <f>Constants!$D$13</f>
        <v>0</v>
      </c>
      <c r="AP31" s="9">
        <f>Constants!$D$14</f>
        <v>0.01</v>
      </c>
      <c r="AQ31" s="9">
        <f>Constants!$D$15</f>
        <v>2E-3</v>
      </c>
      <c r="AR31" s="9">
        <f>Constants!$D$11</f>
        <v>5.0000000000000001E-3</v>
      </c>
      <c r="AS31">
        <f t="shared" si="31"/>
        <v>20.411999999999999</v>
      </c>
      <c r="AT31">
        <f t="shared" si="32"/>
        <v>21.419999999999998</v>
      </c>
      <c r="AU31">
        <f t="shared" si="33"/>
        <v>45.36</v>
      </c>
      <c r="AV31">
        <f t="shared" si="34"/>
        <v>54.494999999999997</v>
      </c>
      <c r="AW31">
        <f t="shared" si="35"/>
        <v>33.929279999999999</v>
      </c>
      <c r="AX31">
        <f t="shared" si="36"/>
        <v>67.113900000000001</v>
      </c>
      <c r="AY31">
        <f t="shared" si="37"/>
        <v>242.73017999999999</v>
      </c>
      <c r="AZ31">
        <f t="shared" si="38"/>
        <v>45.36</v>
      </c>
      <c r="BA31">
        <f t="shared" si="39"/>
        <v>54.494999999999997</v>
      </c>
      <c r="BB31">
        <f t="shared" si="40"/>
        <v>142.87518</v>
      </c>
      <c r="BC31">
        <f>Constants!$B$23</f>
        <v>1.5714285714285714</v>
      </c>
      <c r="BD31">
        <f t="shared" si="41"/>
        <v>24.948</v>
      </c>
      <c r="BE31">
        <f t="shared" si="42"/>
        <v>9.4499999999999993</v>
      </c>
      <c r="BF31">
        <f t="shared" si="43"/>
        <v>0</v>
      </c>
      <c r="BG31">
        <f t="shared" si="44"/>
        <v>7.875</v>
      </c>
      <c r="BH31">
        <f t="shared" si="45"/>
        <v>11.34</v>
      </c>
      <c r="BI31">
        <f t="shared" si="46"/>
        <v>16.884</v>
      </c>
      <c r="BJ31">
        <f t="shared" si="47"/>
        <v>24.948</v>
      </c>
      <c r="BK31">
        <f t="shared" si="48"/>
        <v>10.899000000000001</v>
      </c>
      <c r="BL31">
        <f t="shared" si="49"/>
        <v>106.34399999999999</v>
      </c>
      <c r="BM31">
        <f>_xlfn.XLOOKUP(C31, Constants!$D$19:$D$23, Constants!$E$19:$E$23)</f>
        <v>5.8999999999999999E-3</v>
      </c>
      <c r="BN31">
        <f t="shared" si="50"/>
        <v>9.8596079999999976E-4</v>
      </c>
      <c r="BO31">
        <f>SUM(BN31:BN34)</f>
        <v>2.6889576792571427E-2</v>
      </c>
    </row>
    <row r="32" spans="1:67" x14ac:dyDescent="0.2">
      <c r="A32" t="str">
        <f>'Input Scenarios'!A59</f>
        <v>QLD</v>
      </c>
      <c r="B32" t="str">
        <f>'Input Scenarios'!B59</f>
        <v>28 or above</v>
      </c>
      <c r="C32" t="str">
        <f>'Input Scenarios'!C59</f>
        <v>Irrigated pasture</v>
      </c>
      <c r="D32" t="b">
        <f>'Input Scenarios'!D59</f>
        <v>1</v>
      </c>
      <c r="E32" t="str">
        <f>'Input Scenarios'!E59</f>
        <v>sows</v>
      </c>
      <c r="F32">
        <f>'Input Scenarios'!F59</f>
        <v>245</v>
      </c>
      <c r="G32">
        <f>'Input Scenarios'!G59</f>
        <v>290</v>
      </c>
      <c r="H32">
        <f>IF('Input Scenarios'!H59&lt;&gt;"", 'Input Scenarios'!H59, _xlfn.XLOOKUP($E32,Constants!$A$3:$A$6, Constants!B$3:B$6))</f>
        <v>2.2999999999999998</v>
      </c>
      <c r="I32">
        <f>IF('Input Scenarios'!I59&lt;&gt;"", 'Input Scenarios'!I59, _xlfn.XLOOKUP($E32,Constants!$A$3:$A$6, Constants!C$3:C$6))</f>
        <v>0.37</v>
      </c>
      <c r="J32">
        <f>IF('Input Scenarios'!J59&lt;&gt;"", 'Input Scenarios'!J59, _xlfn.XLOOKUP($E32,Constants!$A$3:$A$6, Constants!D$3:D$6))</f>
        <v>0.04</v>
      </c>
      <c r="K32">
        <f>'Input Scenarios'!K59</f>
        <v>0.2</v>
      </c>
      <c r="L32">
        <f>'Input Scenarios'!L59</f>
        <v>0.1</v>
      </c>
      <c r="M32">
        <f>'Input Scenarios'!M59</f>
        <v>0.2</v>
      </c>
      <c r="N32">
        <f>'Input Scenarios'!N59</f>
        <v>0.2</v>
      </c>
      <c r="O32">
        <f>'Input Scenarios'!O59</f>
        <v>0.2</v>
      </c>
      <c r="P32">
        <f>'Input Scenarios'!P59</f>
        <v>0.1</v>
      </c>
      <c r="Q32" t="b">
        <f>'Input Scenarios'!Q59</f>
        <v>1</v>
      </c>
      <c r="R32">
        <f>IF('Input Scenarios'!$R59&lt;&gt;"", 'Input Scenarios'!$R59, IF($Q32, Constants!$B$19, 0))</f>
        <v>0.27</v>
      </c>
      <c r="S32">
        <f>IF('Input Scenarios'!$R59&lt;&gt;"", 'Input Scenarios'!$R59, IF($Q32, Constants!$B$20, 0))</f>
        <v>0.27</v>
      </c>
      <c r="T32">
        <f t="shared" si="18"/>
        <v>2842</v>
      </c>
      <c r="U32">
        <f t="shared" si="19"/>
        <v>0.14599999999999999</v>
      </c>
      <c r="V32">
        <f t="shared" si="20"/>
        <v>0.1</v>
      </c>
      <c r="W32">
        <f t="shared" si="21"/>
        <v>0.14599999999999999</v>
      </c>
      <c r="X32">
        <f t="shared" si="22"/>
        <v>0.2</v>
      </c>
      <c r="Y32">
        <f t="shared" si="23"/>
        <v>0.14599999999999999</v>
      </c>
      <c r="Z32">
        <f t="shared" si="24"/>
        <v>0.26200000000000001</v>
      </c>
      <c r="AA32">
        <f t="shared" si="25"/>
        <v>414.93199999999996</v>
      </c>
      <c r="AB32">
        <f t="shared" si="26"/>
        <v>284.2</v>
      </c>
      <c r="AC32">
        <f t="shared" si="27"/>
        <v>414.93199999999996</v>
      </c>
      <c r="AD32">
        <f t="shared" si="28"/>
        <v>568.4</v>
      </c>
      <c r="AE32">
        <f t="shared" si="29"/>
        <v>414.93199999999996</v>
      </c>
      <c r="AF32">
        <f t="shared" si="30"/>
        <v>744.60400000000004</v>
      </c>
      <c r="AG32" s="9">
        <f>Constants!$C$10</f>
        <v>0.55000000000000004</v>
      </c>
      <c r="AH32" s="9">
        <f>Constants!$C$12</f>
        <v>0.3</v>
      </c>
      <c r="AI32" s="9">
        <f>Constants!$C$13</f>
        <v>0</v>
      </c>
      <c r="AJ32" s="9">
        <f>Constants!$C$14</f>
        <v>0.125</v>
      </c>
      <c r="AK32" s="9">
        <f>Constants!$C$15</f>
        <v>0.25</v>
      </c>
      <c r="AL32" s="9">
        <f>Constants!$C$11</f>
        <v>0.2</v>
      </c>
      <c r="AM32" s="9">
        <f>Constants!$D$10</f>
        <v>0</v>
      </c>
      <c r="AN32" s="9">
        <f>Constants!$D$12</f>
        <v>0.02</v>
      </c>
      <c r="AO32" s="9">
        <f>Constants!$D$13</f>
        <v>0</v>
      </c>
      <c r="AP32" s="9">
        <f>Constants!$D$14</f>
        <v>0.01</v>
      </c>
      <c r="AQ32" s="9">
        <f>Constants!$D$15</f>
        <v>2E-3</v>
      </c>
      <c r="AR32" s="9">
        <f>Constants!$D$11</f>
        <v>5.0000000000000001E-3</v>
      </c>
      <c r="AS32">
        <f t="shared" si="31"/>
        <v>186.71939999999995</v>
      </c>
      <c r="AT32">
        <f t="shared" si="32"/>
        <v>193.25599999999997</v>
      </c>
      <c r="AU32">
        <f t="shared" si="33"/>
        <v>414.93199999999996</v>
      </c>
      <c r="AV32">
        <f t="shared" si="34"/>
        <v>491.666</v>
      </c>
      <c r="AW32">
        <f t="shared" si="35"/>
        <v>310.36913599999997</v>
      </c>
      <c r="AX32">
        <f t="shared" si="36"/>
        <v>591.96018000000004</v>
      </c>
      <c r="AY32">
        <f t="shared" si="37"/>
        <v>2188.9027159999996</v>
      </c>
      <c r="AZ32">
        <f t="shared" si="38"/>
        <v>414.93199999999996</v>
      </c>
      <c r="BA32">
        <f t="shared" si="39"/>
        <v>491.666</v>
      </c>
      <c r="BB32">
        <f t="shared" si="40"/>
        <v>1282.3047159999999</v>
      </c>
      <c r="BC32">
        <f>Constants!$B$23</f>
        <v>1.5714285714285714</v>
      </c>
      <c r="BD32">
        <f t="shared" si="41"/>
        <v>228.21260000000001</v>
      </c>
      <c r="BE32">
        <f t="shared" si="42"/>
        <v>85.259999999999991</v>
      </c>
      <c r="BF32">
        <f t="shared" si="43"/>
        <v>0</v>
      </c>
      <c r="BG32">
        <f t="shared" si="44"/>
        <v>71.05</v>
      </c>
      <c r="BH32">
        <f t="shared" si="45"/>
        <v>103.73299999999999</v>
      </c>
      <c r="BI32">
        <f t="shared" si="46"/>
        <v>148.92080000000001</v>
      </c>
      <c r="BJ32">
        <f t="shared" si="47"/>
        <v>228.21260000000001</v>
      </c>
      <c r="BK32">
        <f t="shared" si="48"/>
        <v>98.333200000000005</v>
      </c>
      <c r="BL32">
        <f t="shared" si="49"/>
        <v>963.72220000000016</v>
      </c>
      <c r="BM32">
        <f>_xlfn.XLOOKUP(C32, Constants!$D$19:$D$23, Constants!$E$19:$E$23)</f>
        <v>5.8999999999999999E-3</v>
      </c>
      <c r="BN32">
        <f t="shared" si="50"/>
        <v>8.9350815400000005E-3</v>
      </c>
    </row>
    <row r="33" spans="1:66" x14ac:dyDescent="0.2">
      <c r="A33" t="str">
        <f>'Input Scenarios'!A60</f>
        <v>QLD</v>
      </c>
      <c r="B33" t="str">
        <f>'Input Scenarios'!B60</f>
        <v>28 or above</v>
      </c>
      <c r="C33" t="str">
        <f>'Input Scenarios'!C60</f>
        <v>Irrigated pasture</v>
      </c>
      <c r="D33" t="b">
        <f>'Input Scenarios'!D60</f>
        <v>1</v>
      </c>
      <c r="E33" t="str">
        <f>'Input Scenarios'!E60</f>
        <v>gilts</v>
      </c>
      <c r="F33">
        <f>'Input Scenarios'!F60</f>
        <v>434</v>
      </c>
      <c r="G33">
        <f>'Input Scenarios'!G60</f>
        <v>280</v>
      </c>
      <c r="H33">
        <f>IF('Input Scenarios'!H60&lt;&gt;"", 'Input Scenarios'!H60, _xlfn.XLOOKUP($E33,Constants!$A$3:$A$6, Constants!B$3:B$6))</f>
        <v>2.5</v>
      </c>
      <c r="I33">
        <f>IF('Input Scenarios'!I60&lt;&gt;"", 'Input Scenarios'!I60, _xlfn.XLOOKUP($E33,Constants!$A$3:$A$6, Constants!C$3:C$6))</f>
        <v>0.37</v>
      </c>
      <c r="J33">
        <f>IF('Input Scenarios'!J60&lt;&gt;"", 'Input Scenarios'!J60, _xlfn.XLOOKUP($E33,Constants!$A$3:$A$6, Constants!D$3:D$6))</f>
        <v>0.04</v>
      </c>
      <c r="K33">
        <f>'Input Scenarios'!K60</f>
        <v>0.2</v>
      </c>
      <c r="L33">
        <f>'Input Scenarios'!L60</f>
        <v>0.1</v>
      </c>
      <c r="M33">
        <f>'Input Scenarios'!M60</f>
        <v>0.2</v>
      </c>
      <c r="N33">
        <f>'Input Scenarios'!N60</f>
        <v>0.2</v>
      </c>
      <c r="O33">
        <f>'Input Scenarios'!O60</f>
        <v>0.2</v>
      </c>
      <c r="P33">
        <f>'Input Scenarios'!P60</f>
        <v>0.1</v>
      </c>
      <c r="Q33" t="b">
        <f>'Input Scenarios'!Q60</f>
        <v>1</v>
      </c>
      <c r="R33">
        <f>IF('Input Scenarios'!$R60&lt;&gt;"", 'Input Scenarios'!$R60, IF($Q33, Constants!$B$19, 0))</f>
        <v>0.26</v>
      </c>
      <c r="S33">
        <f>IF('Input Scenarios'!$R60&lt;&gt;"", 'Input Scenarios'!$R60, IF($Q33, Constants!$B$20, 0))</f>
        <v>0.26</v>
      </c>
      <c r="T33">
        <f t="shared" si="18"/>
        <v>4860.8</v>
      </c>
      <c r="U33">
        <f t="shared" si="19"/>
        <v>0.14799999999999999</v>
      </c>
      <c r="V33">
        <f t="shared" si="20"/>
        <v>0.1</v>
      </c>
      <c r="W33">
        <f t="shared" si="21"/>
        <v>0.14799999999999999</v>
      </c>
      <c r="X33">
        <f t="shared" si="22"/>
        <v>0.2</v>
      </c>
      <c r="Y33">
        <f t="shared" si="23"/>
        <v>0.14799999999999999</v>
      </c>
      <c r="Z33">
        <f t="shared" si="24"/>
        <v>0.25600000000000001</v>
      </c>
      <c r="AA33">
        <f t="shared" si="25"/>
        <v>719.39840000000004</v>
      </c>
      <c r="AB33">
        <f t="shared" si="26"/>
        <v>486.08000000000004</v>
      </c>
      <c r="AC33">
        <f t="shared" si="27"/>
        <v>719.39840000000004</v>
      </c>
      <c r="AD33">
        <f t="shared" si="28"/>
        <v>972.16000000000008</v>
      </c>
      <c r="AE33">
        <f t="shared" si="29"/>
        <v>719.39840000000004</v>
      </c>
      <c r="AF33">
        <f t="shared" si="30"/>
        <v>1244.3648000000001</v>
      </c>
      <c r="AG33" s="9">
        <f>Constants!$C$10</f>
        <v>0.55000000000000004</v>
      </c>
      <c r="AH33" s="9">
        <f>Constants!$C$12</f>
        <v>0.3</v>
      </c>
      <c r="AI33" s="9">
        <f>Constants!$C$13</f>
        <v>0</v>
      </c>
      <c r="AJ33" s="9">
        <f>Constants!$C$14</f>
        <v>0.125</v>
      </c>
      <c r="AK33" s="9">
        <f>Constants!$C$15</f>
        <v>0.25</v>
      </c>
      <c r="AL33" s="9">
        <f>Constants!$C$11</f>
        <v>0.2</v>
      </c>
      <c r="AM33" s="9">
        <f>Constants!$D$10</f>
        <v>0</v>
      </c>
      <c r="AN33" s="9">
        <f>Constants!$D$12</f>
        <v>0.02</v>
      </c>
      <c r="AO33" s="9">
        <f>Constants!$D$13</f>
        <v>0</v>
      </c>
      <c r="AP33" s="9">
        <f>Constants!$D$14</f>
        <v>0.01</v>
      </c>
      <c r="AQ33" s="9">
        <f>Constants!$D$15</f>
        <v>2E-3</v>
      </c>
      <c r="AR33" s="9">
        <f>Constants!$D$11</f>
        <v>5.0000000000000001E-3</v>
      </c>
      <c r="AS33">
        <f t="shared" si="31"/>
        <v>323.72927999999996</v>
      </c>
      <c r="AT33">
        <f t="shared" si="32"/>
        <v>330.53440000000001</v>
      </c>
      <c r="AU33">
        <f t="shared" si="33"/>
        <v>719.39840000000004</v>
      </c>
      <c r="AV33">
        <f t="shared" si="34"/>
        <v>840.91840000000002</v>
      </c>
      <c r="AW33">
        <f t="shared" si="35"/>
        <v>538.11000320000005</v>
      </c>
      <c r="AX33">
        <f t="shared" si="36"/>
        <v>989.27001600000006</v>
      </c>
      <c r="AY33">
        <f t="shared" si="37"/>
        <v>3741.9604992</v>
      </c>
      <c r="AZ33">
        <f t="shared" si="38"/>
        <v>719.39840000000004</v>
      </c>
      <c r="BA33">
        <f t="shared" si="39"/>
        <v>840.91840000000002</v>
      </c>
      <c r="BB33">
        <f t="shared" si="40"/>
        <v>2181.6436991999999</v>
      </c>
      <c r="BC33">
        <f>Constants!$B$23</f>
        <v>1.5714285714285714</v>
      </c>
      <c r="BD33">
        <f t="shared" si="41"/>
        <v>395.66912000000008</v>
      </c>
      <c r="BE33">
        <f t="shared" si="42"/>
        <v>145.82400000000001</v>
      </c>
      <c r="BF33">
        <f t="shared" si="43"/>
        <v>0</v>
      </c>
      <c r="BG33">
        <f t="shared" si="44"/>
        <v>121.52000000000001</v>
      </c>
      <c r="BH33">
        <f t="shared" si="45"/>
        <v>179.84960000000001</v>
      </c>
      <c r="BI33">
        <f t="shared" si="46"/>
        <v>248.87296000000003</v>
      </c>
      <c r="BJ33">
        <f t="shared" si="47"/>
        <v>395.66912000000008</v>
      </c>
      <c r="BK33">
        <f t="shared" si="48"/>
        <v>168.18368000000001</v>
      </c>
      <c r="BL33">
        <f t="shared" si="49"/>
        <v>1655.5884800000003</v>
      </c>
      <c r="BM33">
        <f>_xlfn.XLOOKUP(C33, Constants!$D$19:$D$23, Constants!$E$19:$E$23)</f>
        <v>5.8999999999999999E-3</v>
      </c>
      <c r="BN33">
        <f t="shared" si="50"/>
        <v>1.5349670336000001E-2</v>
      </c>
    </row>
    <row r="34" spans="1:66" x14ac:dyDescent="0.2">
      <c r="A34" s="2" t="str">
        <f>'Input Scenarios'!A61</f>
        <v>QLD</v>
      </c>
      <c r="B34" s="2" t="str">
        <f>'Input Scenarios'!B61</f>
        <v>28 or above</v>
      </c>
      <c r="C34" s="2" t="str">
        <f>'Input Scenarios'!C61</f>
        <v>Irrigated pasture</v>
      </c>
      <c r="D34" s="2" t="b">
        <f>'Input Scenarios'!D61</f>
        <v>1</v>
      </c>
      <c r="E34" s="2" t="str">
        <f>'Input Scenarios'!E61</f>
        <v>others</v>
      </c>
      <c r="F34" s="2">
        <f>'Input Scenarios'!F61</f>
        <v>44</v>
      </c>
      <c r="G34" s="2">
        <f>'Input Scenarios'!G61</f>
        <v>290</v>
      </c>
      <c r="H34" s="2">
        <f>IF('Input Scenarios'!H61&lt;&gt;"", 'Input Scenarios'!H61, _xlfn.XLOOKUP($E34,Constants!$A$3:$A$6, Constants!B$3:B$6))</f>
        <v>1.71</v>
      </c>
      <c r="I34" s="2">
        <f>IF('Input Scenarios'!I61&lt;&gt;"", 'Input Scenarios'!I61, _xlfn.XLOOKUP($E34,Constants!$A$3:$A$6, Constants!C$3:C$6))</f>
        <v>0.37</v>
      </c>
      <c r="J34" s="2">
        <f>IF('Input Scenarios'!J61&lt;&gt;"", 'Input Scenarios'!J61, _xlfn.XLOOKUP($E34,Constants!$A$3:$A$6, Constants!D$3:D$6))</f>
        <v>0.04</v>
      </c>
      <c r="K34" s="2">
        <f>'Input Scenarios'!K61</f>
        <v>0.2</v>
      </c>
      <c r="L34" s="2">
        <f>'Input Scenarios'!L61</f>
        <v>0.1</v>
      </c>
      <c r="M34" s="2">
        <f>'Input Scenarios'!M61</f>
        <v>0.2</v>
      </c>
      <c r="N34" s="2">
        <f>'Input Scenarios'!N61</f>
        <v>0.2</v>
      </c>
      <c r="O34" s="2">
        <f>'Input Scenarios'!O61</f>
        <v>0.2</v>
      </c>
      <c r="P34" s="2">
        <f>'Input Scenarios'!P61</f>
        <v>0.1</v>
      </c>
      <c r="Q34" s="2" t="b">
        <f>'Input Scenarios'!Q61</f>
        <v>1</v>
      </c>
      <c r="R34" s="2">
        <f>IF('Input Scenarios'!$R61&lt;&gt;"", 'Input Scenarios'!$R61, IF($Q34, Constants!$B$19, 0))</f>
        <v>0.25</v>
      </c>
      <c r="S34" s="2">
        <f>IF('Input Scenarios'!$R61&lt;&gt;"", 'Input Scenarios'!$R61, IF($Q34, Constants!$B$20, 0))</f>
        <v>0.25</v>
      </c>
      <c r="T34">
        <f t="shared" si="18"/>
        <v>510.40000000000003</v>
      </c>
      <c r="U34">
        <f t="shared" si="19"/>
        <v>0.15000000000000002</v>
      </c>
      <c r="V34">
        <f t="shared" si="20"/>
        <v>0.1</v>
      </c>
      <c r="W34">
        <f t="shared" si="21"/>
        <v>0.15000000000000002</v>
      </c>
      <c r="X34">
        <f t="shared" si="22"/>
        <v>0.2</v>
      </c>
      <c r="Y34">
        <f t="shared" si="23"/>
        <v>0.15000000000000002</v>
      </c>
      <c r="Z34">
        <f t="shared" si="24"/>
        <v>0.25</v>
      </c>
      <c r="AA34">
        <f t="shared" si="25"/>
        <v>76.560000000000016</v>
      </c>
      <c r="AB34">
        <f t="shared" si="26"/>
        <v>51.040000000000006</v>
      </c>
      <c r="AC34">
        <f t="shared" si="27"/>
        <v>76.560000000000016</v>
      </c>
      <c r="AD34">
        <f t="shared" si="28"/>
        <v>102.08000000000001</v>
      </c>
      <c r="AE34">
        <f t="shared" si="29"/>
        <v>76.560000000000016</v>
      </c>
      <c r="AF34">
        <f t="shared" si="30"/>
        <v>127.60000000000001</v>
      </c>
      <c r="AG34" s="9">
        <f>Constants!$C$10</f>
        <v>0.55000000000000004</v>
      </c>
      <c r="AH34" s="9">
        <f>Constants!$C$12</f>
        <v>0.3</v>
      </c>
      <c r="AI34" s="9">
        <f>Constants!$C$13</f>
        <v>0</v>
      </c>
      <c r="AJ34" s="9">
        <f>Constants!$C$14</f>
        <v>0.125</v>
      </c>
      <c r="AK34" s="9">
        <f>Constants!$C$15</f>
        <v>0.25</v>
      </c>
      <c r="AL34" s="9">
        <f>Constants!$C$11</f>
        <v>0.2</v>
      </c>
      <c r="AM34" s="9">
        <f>Constants!$D$10</f>
        <v>0</v>
      </c>
      <c r="AN34" s="9">
        <f>Constants!$D$12</f>
        <v>0.02</v>
      </c>
      <c r="AO34" s="9">
        <f>Constants!$D$13</f>
        <v>0</v>
      </c>
      <c r="AP34" s="9">
        <f>Constants!$D$14</f>
        <v>0.01</v>
      </c>
      <c r="AQ34" s="9">
        <f>Constants!$D$15</f>
        <v>2E-3</v>
      </c>
      <c r="AR34" s="9">
        <f>Constants!$D$11</f>
        <v>5.0000000000000001E-3</v>
      </c>
      <c r="AS34">
        <f t="shared" si="31"/>
        <v>34.452000000000005</v>
      </c>
      <c r="AT34">
        <f t="shared" si="32"/>
        <v>34.7072</v>
      </c>
      <c r="AU34">
        <f t="shared" si="33"/>
        <v>76.560000000000016</v>
      </c>
      <c r="AV34">
        <f t="shared" si="34"/>
        <v>88.299200000000013</v>
      </c>
      <c r="AW34">
        <f t="shared" si="35"/>
        <v>57.266880000000015</v>
      </c>
      <c r="AX34">
        <f t="shared" si="36"/>
        <v>101.44200000000001</v>
      </c>
      <c r="AY34">
        <f t="shared" si="37"/>
        <v>392.72728000000006</v>
      </c>
      <c r="AZ34">
        <f t="shared" si="38"/>
        <v>76.560000000000016</v>
      </c>
      <c r="BA34">
        <f t="shared" si="39"/>
        <v>88.299200000000013</v>
      </c>
      <c r="BB34">
        <f t="shared" si="40"/>
        <v>227.86808000000002</v>
      </c>
      <c r="BC34">
        <f>Constants!$B$23</f>
        <v>1.5714285714285714</v>
      </c>
      <c r="BD34">
        <f t="shared" si="41"/>
        <v>42.108000000000011</v>
      </c>
      <c r="BE34">
        <f t="shared" si="42"/>
        <v>15.312000000000001</v>
      </c>
      <c r="BF34">
        <f t="shared" si="43"/>
        <v>0</v>
      </c>
      <c r="BG34">
        <f t="shared" si="44"/>
        <v>12.760000000000002</v>
      </c>
      <c r="BH34">
        <f t="shared" si="45"/>
        <v>19.140000000000004</v>
      </c>
      <c r="BI34">
        <f t="shared" si="46"/>
        <v>25.520000000000003</v>
      </c>
      <c r="BJ34">
        <f t="shared" si="47"/>
        <v>42.108000000000011</v>
      </c>
      <c r="BK34">
        <f t="shared" si="48"/>
        <v>17.659840000000003</v>
      </c>
      <c r="BL34">
        <f t="shared" si="49"/>
        <v>174.60784000000004</v>
      </c>
      <c r="BM34">
        <f>_xlfn.XLOOKUP(C34, Constants!$D$19:$D$23, Constants!$E$19:$E$23)</f>
        <v>5.8999999999999999E-3</v>
      </c>
      <c r="BN34">
        <f t="shared" si="50"/>
        <v>1.6188641165714287E-3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5613-EABF-5042-B928-48D7D1BF2A27}">
  <dimension ref="A2:AC26"/>
  <sheetViews>
    <sheetView topLeftCell="I5" workbookViewId="0">
      <selection activeCell="F11" sqref="F11"/>
    </sheetView>
  </sheetViews>
  <sheetFormatPr baseColWidth="10" defaultRowHeight="16" x14ac:dyDescent="0.2"/>
  <sheetData>
    <row r="2" spans="1:29" x14ac:dyDescent="0.2">
      <c r="A2" s="1" t="s">
        <v>0</v>
      </c>
      <c r="B2" s="1"/>
      <c r="C2" s="1"/>
      <c r="D2" s="1"/>
      <c r="E2" s="1"/>
      <c r="F2" s="1"/>
      <c r="G2" s="1"/>
      <c r="H2" s="1"/>
    </row>
    <row r="3" spans="1:29" x14ac:dyDescent="0.2">
      <c r="A3" s="1"/>
      <c r="B3" s="1"/>
      <c r="C3" s="1"/>
      <c r="D3" s="1"/>
      <c r="E3" s="1"/>
      <c r="F3" s="1"/>
      <c r="G3" s="1"/>
      <c r="H3" s="1"/>
    </row>
    <row r="4" spans="1:29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/>
      <c r="I4" s="1" t="s">
        <v>1</v>
      </c>
      <c r="J4" s="1"/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/>
    </row>
    <row r="5" spans="1:29" x14ac:dyDescent="0.2">
      <c r="A5" s="1"/>
      <c r="B5" s="1"/>
      <c r="C5" s="1"/>
      <c r="D5" s="1"/>
      <c r="E5" s="1"/>
      <c r="F5" s="1"/>
      <c r="G5" s="1"/>
      <c r="H5" s="1"/>
    </row>
    <row r="6" spans="1:29" x14ac:dyDescent="0.2">
      <c r="A6" s="1"/>
      <c r="B6" s="1"/>
      <c r="C6" s="1"/>
      <c r="D6" s="1"/>
      <c r="E6" s="1"/>
      <c r="F6" s="1"/>
      <c r="G6" s="1"/>
      <c r="H6" s="1"/>
    </row>
    <row r="7" spans="1:29" x14ac:dyDescent="0.2">
      <c r="A7" s="1"/>
      <c r="B7" s="1"/>
      <c r="C7" s="1"/>
      <c r="D7" s="1"/>
      <c r="E7" s="1"/>
      <c r="F7" s="1"/>
      <c r="G7" s="1"/>
      <c r="H7" s="1"/>
    </row>
    <row r="8" spans="1:29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116</v>
      </c>
      <c r="J8" s="1" t="s">
        <v>117</v>
      </c>
      <c r="K8" t="s">
        <v>29</v>
      </c>
      <c r="L8" t="s">
        <v>31</v>
      </c>
      <c r="M8" t="s">
        <v>32</v>
      </c>
      <c r="N8" t="s">
        <v>33</v>
      </c>
      <c r="O8" t="s">
        <v>34</v>
      </c>
      <c r="P8" t="s">
        <v>30</v>
      </c>
      <c r="Q8" t="s">
        <v>36</v>
      </c>
      <c r="R8" t="s">
        <v>37</v>
      </c>
    </row>
    <row r="9" spans="1:29" x14ac:dyDescent="0.2">
      <c r="A9" s="1"/>
      <c r="B9" s="1"/>
      <c r="C9" s="1"/>
      <c r="D9" s="1"/>
      <c r="E9" s="1"/>
      <c r="F9" s="1"/>
      <c r="G9" s="1"/>
      <c r="H9" s="1"/>
    </row>
    <row r="10" spans="1:29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17</v>
      </c>
      <c r="M10" s="3" t="s">
        <v>20</v>
      </c>
      <c r="N10" s="3" t="s">
        <v>21</v>
      </c>
      <c r="O10" s="3" t="s">
        <v>22</v>
      </c>
      <c r="P10" s="3" t="s">
        <v>19</v>
      </c>
      <c r="Q10" s="3" t="s">
        <v>35</v>
      </c>
      <c r="R10" s="3" t="s">
        <v>23</v>
      </c>
      <c r="S10" s="6" t="s">
        <v>24</v>
      </c>
      <c r="T10" s="6" t="s">
        <v>115</v>
      </c>
      <c r="U10" s="6" t="s">
        <v>121</v>
      </c>
      <c r="V10" s="7" t="s">
        <v>146</v>
      </c>
      <c r="W10" s="7" t="s">
        <v>71</v>
      </c>
      <c r="X10" s="7" t="s">
        <v>72</v>
      </c>
      <c r="Y10" s="7" t="s">
        <v>172</v>
      </c>
      <c r="Z10" s="7" t="s">
        <v>174</v>
      </c>
      <c r="AA10" s="7" t="s">
        <v>173</v>
      </c>
      <c r="AB10" s="8" t="s">
        <v>188</v>
      </c>
      <c r="AC10" s="8" t="s">
        <v>187</v>
      </c>
    </row>
    <row r="11" spans="1:29" x14ac:dyDescent="0.2">
      <c r="A11" t="str">
        <f>'Input Scenarios'!A11</f>
        <v>NSW</v>
      </c>
      <c r="B11">
        <f>'Input Scenarios'!B11</f>
        <v>0</v>
      </c>
      <c r="C11" t="str">
        <f>'Input Scenarios'!C11</f>
        <v>Irrigated crop</v>
      </c>
      <c r="D11" t="b">
        <f>'Input Scenarios'!D11</f>
        <v>1</v>
      </c>
      <c r="E11" t="str">
        <f>'Input Scenarios'!E11</f>
        <v>boars</v>
      </c>
      <c r="F11">
        <f>'Input Scenarios'!F11</f>
        <v>111</v>
      </c>
      <c r="G11">
        <f>'Input Scenarios'!G11</f>
        <v>105</v>
      </c>
      <c r="H11">
        <f>IF('Input Scenarios'!H11&lt;&gt;"", 'Input Scenarios'!H11, _xlfn.XLOOKUP($E11,Constants!$A$3:$A$6, Constants!B$3:B$6))</f>
        <v>2.62</v>
      </c>
      <c r="I11">
        <f>IF('Input Scenarios'!I11&lt;&gt;"", 'Input Scenarios'!I11, _xlfn.XLOOKUP($E11,Constants!$A$3:$A$6, Constants!C$3:C$6))</f>
        <v>0.4</v>
      </c>
      <c r="J11">
        <f>IF('Input Scenarios'!J11&lt;&gt;"", 'Input Scenarios'!J11, _xlfn.XLOOKUP($E11,Constants!$A$3:$A$6, Constants!D$3:D$6))</f>
        <v>4.5999999999999999E-2</v>
      </c>
      <c r="K11">
        <f>'Input Scenarios'!K11</f>
        <v>1</v>
      </c>
      <c r="L11">
        <f>'Input Scenarios'!L11</f>
        <v>0</v>
      </c>
      <c r="M11">
        <f>'Input Scenarios'!M11</f>
        <v>0</v>
      </c>
      <c r="N11">
        <f>'Input Scenarios'!N11</f>
        <v>0</v>
      </c>
      <c r="O11">
        <f>'Input Scenarios'!O11</f>
        <v>0</v>
      </c>
      <c r="P11">
        <f>'Input Scenarios'!P11</f>
        <v>0</v>
      </c>
      <c r="Q11" t="b">
        <f>'Input Scenarios'!Q11</f>
        <v>1</v>
      </c>
      <c r="R11">
        <f>IF('Input Scenarios'!$R11&lt;&gt;"", 'Input Scenarios'!$R11, IF($Q11, Constants!$B$19, 0))</f>
        <v>0.25</v>
      </c>
      <c r="S11">
        <f>IF('Input Scenarios'!$R11&lt;&gt;"", 'Input Scenarios'!$R11, IF($Q11, Constants!$B$20, 0))</f>
        <v>0.25</v>
      </c>
      <c r="T11">
        <f>F11*G11*J11</f>
        <v>536.13</v>
      </c>
      <c r="U11">
        <f>L11</f>
        <v>0</v>
      </c>
      <c r="V11">
        <f t="shared" ref="V11:V26" si="0">$T11*U11</f>
        <v>0</v>
      </c>
      <c r="W11">
        <f>Constants!$B$23</f>
        <v>1.5714285714285714</v>
      </c>
      <c r="X11">
        <f>Constants!$B$24</f>
        <v>1.0999999999999999E-2</v>
      </c>
      <c r="Y11">
        <f>IF(D11, 1, 0)</f>
        <v>1</v>
      </c>
      <c r="Z11">
        <f>Constants!$B$25</f>
        <v>0.02</v>
      </c>
      <c r="AA11">
        <f>V11*Y11*Z11</f>
        <v>0</v>
      </c>
      <c r="AB11">
        <f>AA11*X11*W11</f>
        <v>0</v>
      </c>
      <c r="AC11">
        <f>SUM(AB11:AB14)/1000</f>
        <v>0</v>
      </c>
    </row>
    <row r="12" spans="1:29" x14ac:dyDescent="0.2">
      <c r="A12" t="str">
        <f>'Input Scenarios'!A12</f>
        <v>NSW</v>
      </c>
      <c r="B12">
        <f>'Input Scenarios'!B12</f>
        <v>0</v>
      </c>
      <c r="C12" t="str">
        <f>'Input Scenarios'!C12</f>
        <v>Irrigated crop</v>
      </c>
      <c r="D12" t="b">
        <f>'Input Scenarios'!D12</f>
        <v>1</v>
      </c>
      <c r="E12" t="str">
        <f>'Input Scenarios'!E12</f>
        <v>sows</v>
      </c>
      <c r="F12">
        <f>'Input Scenarios'!F12</f>
        <v>222</v>
      </c>
      <c r="G12">
        <f>'Input Scenarios'!G12</f>
        <v>103</v>
      </c>
      <c r="H12">
        <f>IF('Input Scenarios'!H12&lt;&gt;"", 'Input Scenarios'!H12, _xlfn.XLOOKUP($E12,Constants!$A$3:$A$6, Constants!B$3:B$6))</f>
        <v>2.2999999999999998</v>
      </c>
      <c r="I12">
        <f>IF('Input Scenarios'!I12&lt;&gt;"", 'Input Scenarios'!I12, _xlfn.XLOOKUP($E12,Constants!$A$3:$A$6, Constants!C$3:C$6))</f>
        <v>0.46</v>
      </c>
      <c r="J12">
        <f>IF('Input Scenarios'!J12&lt;&gt;"", 'Input Scenarios'!J12, _xlfn.XLOOKUP($E12,Constants!$A$3:$A$6, Constants!D$3:D$6))</f>
        <v>4.9000000000000002E-2</v>
      </c>
      <c r="K12">
        <f>'Input Scenarios'!K12</f>
        <v>1</v>
      </c>
      <c r="L12">
        <f>'Input Scenarios'!L12</f>
        <v>0</v>
      </c>
      <c r="M12">
        <f>'Input Scenarios'!M12</f>
        <v>0</v>
      </c>
      <c r="N12">
        <f>'Input Scenarios'!N12</f>
        <v>0</v>
      </c>
      <c r="O12">
        <f>'Input Scenarios'!O12</f>
        <v>0</v>
      </c>
      <c r="P12">
        <f>'Input Scenarios'!P12</f>
        <v>0</v>
      </c>
      <c r="Q12" t="b">
        <f>'Input Scenarios'!Q12</f>
        <v>1</v>
      </c>
      <c r="R12">
        <f>IF('Input Scenarios'!$R12&lt;&gt;"", 'Input Scenarios'!$R12, IF($Q12, Constants!$B$19, 0))</f>
        <v>0.25</v>
      </c>
      <c r="S12">
        <f>IF('Input Scenarios'!$R12&lt;&gt;"", 'Input Scenarios'!$R12, IF($Q12, Constants!$B$20, 0))</f>
        <v>0.25</v>
      </c>
      <c r="T12">
        <f t="shared" ref="T12:T26" si="1">F12*G12*J12</f>
        <v>1120.434</v>
      </c>
      <c r="U12">
        <f t="shared" ref="U12:U26" si="2">L12</f>
        <v>0</v>
      </c>
      <c r="V12">
        <f t="shared" si="0"/>
        <v>0</v>
      </c>
      <c r="W12">
        <f>Constants!$B$23</f>
        <v>1.5714285714285714</v>
      </c>
      <c r="X12">
        <f>Constants!$B$24</f>
        <v>1.0999999999999999E-2</v>
      </c>
      <c r="Y12">
        <f t="shared" ref="Y12:Y26" si="3">IF(D12, 1, 0)</f>
        <v>1</v>
      </c>
      <c r="Z12">
        <f>Constants!$B$25</f>
        <v>0.02</v>
      </c>
      <c r="AA12">
        <f t="shared" ref="AA12:AA26" si="4">V12*Y12*Z12</f>
        <v>0</v>
      </c>
      <c r="AB12">
        <f t="shared" ref="AB12:AB26" si="5">AA12*X12*W12</f>
        <v>0</v>
      </c>
    </row>
    <row r="13" spans="1:29" x14ac:dyDescent="0.2">
      <c r="A13" t="str">
        <f>'Input Scenarios'!A13</f>
        <v>NSW</v>
      </c>
      <c r="B13">
        <f>'Input Scenarios'!B13</f>
        <v>0</v>
      </c>
      <c r="C13" t="str">
        <f>'Input Scenarios'!C13</f>
        <v>Irrigated crop</v>
      </c>
      <c r="D13" t="b">
        <f>'Input Scenarios'!D13</f>
        <v>1</v>
      </c>
      <c r="E13" t="str">
        <f>'Input Scenarios'!E13</f>
        <v>gilts</v>
      </c>
      <c r="F13">
        <f>'Input Scenarios'!F13</f>
        <v>333</v>
      </c>
      <c r="G13">
        <f>'Input Scenarios'!G13</f>
        <v>200</v>
      </c>
      <c r="H13">
        <f>IF('Input Scenarios'!H13&lt;&gt;"", 'Input Scenarios'!H13, _xlfn.XLOOKUP($E13,Constants!$A$3:$A$6, Constants!B$3:B$6))</f>
        <v>2.5</v>
      </c>
      <c r="I13">
        <f>IF('Input Scenarios'!I13&lt;&gt;"", 'Input Scenarios'!I13, _xlfn.XLOOKUP($E13,Constants!$A$3:$A$6, Constants!C$3:C$6))</f>
        <v>0.55000000000000004</v>
      </c>
      <c r="J13">
        <f>IF('Input Scenarios'!J13&lt;&gt;"", 'Input Scenarios'!J13, _xlfn.XLOOKUP($E13,Constants!$A$3:$A$6, Constants!D$3:D$6))</f>
        <v>4.5999999999999999E-2</v>
      </c>
      <c r="K13">
        <f>'Input Scenarios'!K13</f>
        <v>0</v>
      </c>
      <c r="L13">
        <f>'Input Scenarios'!L13</f>
        <v>0</v>
      </c>
      <c r="M13">
        <f>'Input Scenarios'!M13</f>
        <v>0</v>
      </c>
      <c r="N13">
        <f>'Input Scenarios'!N13</f>
        <v>0</v>
      </c>
      <c r="O13">
        <f>'Input Scenarios'!O13</f>
        <v>1</v>
      </c>
      <c r="P13">
        <f>'Input Scenarios'!P13</f>
        <v>0</v>
      </c>
      <c r="Q13" t="b">
        <f>'Input Scenarios'!Q13</f>
        <v>0</v>
      </c>
      <c r="R13">
        <f>IF('Input Scenarios'!$R13&lt;&gt;"", 'Input Scenarios'!$R13, IF($Q13, Constants!$B$19, 0))</f>
        <v>0</v>
      </c>
      <c r="S13">
        <f>IF('Input Scenarios'!$R13&lt;&gt;"", 'Input Scenarios'!$R13, IF($Q13, Constants!$B$20, 0))</f>
        <v>0</v>
      </c>
      <c r="T13">
        <f t="shared" si="1"/>
        <v>3063.6</v>
      </c>
      <c r="U13">
        <f t="shared" si="2"/>
        <v>0</v>
      </c>
      <c r="V13">
        <f t="shared" si="0"/>
        <v>0</v>
      </c>
      <c r="W13">
        <f>Constants!$B$23</f>
        <v>1.5714285714285714</v>
      </c>
      <c r="X13">
        <f>Constants!$B$24</f>
        <v>1.0999999999999999E-2</v>
      </c>
      <c r="Y13">
        <f t="shared" si="3"/>
        <v>1</v>
      </c>
      <c r="Z13">
        <f>Constants!$B$25</f>
        <v>0.02</v>
      </c>
      <c r="AA13">
        <f t="shared" si="4"/>
        <v>0</v>
      </c>
      <c r="AB13">
        <f t="shared" si="5"/>
        <v>0</v>
      </c>
    </row>
    <row r="14" spans="1:29" s="2" customFormat="1" x14ac:dyDescent="0.2">
      <c r="A14" s="2" t="str">
        <f>'Input Scenarios'!A14</f>
        <v>NSW</v>
      </c>
      <c r="B14" s="2">
        <f>'Input Scenarios'!B14</f>
        <v>0</v>
      </c>
      <c r="C14" s="2" t="str">
        <f>'Input Scenarios'!C14</f>
        <v>Irrigated crop</v>
      </c>
      <c r="D14" s="2" t="b">
        <f>'Input Scenarios'!D14</f>
        <v>1</v>
      </c>
      <c r="E14" s="2" t="str">
        <f>'Input Scenarios'!E14</f>
        <v>others</v>
      </c>
      <c r="F14" s="2">
        <f>'Input Scenarios'!F14</f>
        <v>444</v>
      </c>
      <c r="G14" s="2">
        <f>'Input Scenarios'!G14</f>
        <v>365</v>
      </c>
      <c r="H14">
        <f>IF('Input Scenarios'!H14&lt;&gt;"", 'Input Scenarios'!H14, _xlfn.XLOOKUP($E14,Constants!$A$3:$A$6, Constants!B$3:B$6))</f>
        <v>1.71</v>
      </c>
      <c r="I14">
        <f>IF('Input Scenarios'!I14&lt;&gt;"", 'Input Scenarios'!I14, _xlfn.XLOOKUP($E14,Constants!$A$3:$A$6, Constants!C$3:C$6))</f>
        <v>0.39</v>
      </c>
      <c r="J14">
        <f>IF('Input Scenarios'!J14&lt;&gt;"", 'Input Scenarios'!J14, _xlfn.XLOOKUP($E14,Constants!$A$3:$A$6, Constants!D$3:D$6))</f>
        <v>3.1232876712328769E-2</v>
      </c>
      <c r="K14" s="2">
        <f>'Input Scenarios'!K14</f>
        <v>0</v>
      </c>
      <c r="L14" s="2">
        <f>'Input Scenarios'!L14</f>
        <v>0</v>
      </c>
      <c r="M14" s="2">
        <f>'Input Scenarios'!M14</f>
        <v>0</v>
      </c>
      <c r="N14" s="2">
        <f>'Input Scenarios'!N14</f>
        <v>0</v>
      </c>
      <c r="O14" s="2">
        <f>'Input Scenarios'!O14</f>
        <v>1</v>
      </c>
      <c r="P14" s="2">
        <f>'Input Scenarios'!P14</f>
        <v>0</v>
      </c>
      <c r="Q14" s="2" t="b">
        <f>'Input Scenarios'!Q14</f>
        <v>0</v>
      </c>
      <c r="R14" s="2">
        <f>IF('Input Scenarios'!$R14&lt;&gt;"", 'Input Scenarios'!$R14, IF($Q14, Constants!$B$19, 0))</f>
        <v>0</v>
      </c>
      <c r="S14" s="2">
        <f>IF('Input Scenarios'!$R14&lt;&gt;"", 'Input Scenarios'!$R14, IF($Q14, Constants!$B$20, 0))</f>
        <v>0</v>
      </c>
      <c r="T14">
        <f t="shared" si="1"/>
        <v>5061.6000000000004</v>
      </c>
      <c r="U14">
        <f t="shared" si="2"/>
        <v>0</v>
      </c>
      <c r="V14">
        <f t="shared" si="0"/>
        <v>0</v>
      </c>
      <c r="W14">
        <f>Constants!$B$23</f>
        <v>1.5714285714285714</v>
      </c>
      <c r="X14">
        <f>Constants!$B$24</f>
        <v>1.0999999999999999E-2</v>
      </c>
      <c r="Y14">
        <f t="shared" si="3"/>
        <v>1</v>
      </c>
      <c r="Z14">
        <f>Constants!$B$25</f>
        <v>0.02</v>
      </c>
      <c r="AA14">
        <f t="shared" si="4"/>
        <v>0</v>
      </c>
      <c r="AB14">
        <f t="shared" si="5"/>
        <v>0</v>
      </c>
    </row>
    <row r="15" spans="1:29" x14ac:dyDescent="0.2">
      <c r="A15" t="str">
        <f>'Input Scenarios'!A15</f>
        <v>NT</v>
      </c>
      <c r="B15">
        <f>'Input Scenarios'!B15</f>
        <v>0</v>
      </c>
      <c r="C15" t="str">
        <f>'Input Scenarios'!C15</f>
        <v>Irrigated pasture</v>
      </c>
      <c r="D15" t="b">
        <f>'Input Scenarios'!D15</f>
        <v>1</v>
      </c>
      <c r="E15" t="str">
        <f>'Input Scenarios'!E15</f>
        <v>boars</v>
      </c>
      <c r="F15">
        <f>'Input Scenarios'!F15</f>
        <v>105</v>
      </c>
      <c r="G15">
        <f>'Input Scenarios'!G15</f>
        <v>75</v>
      </c>
      <c r="H15">
        <f>IF('Input Scenarios'!H15&lt;&gt;"", 'Input Scenarios'!H15, _xlfn.XLOOKUP($E15,Constants!$A$3:$A$6, Constants!B$3:B$6))</f>
        <v>2.62</v>
      </c>
      <c r="I15">
        <f>IF('Input Scenarios'!I15&lt;&gt;"", 'Input Scenarios'!I15, _xlfn.XLOOKUP($E15,Constants!$A$3:$A$6, Constants!C$3:C$6))</f>
        <v>0.4</v>
      </c>
      <c r="J15">
        <f>IF('Input Scenarios'!J15&lt;&gt;"", 'Input Scenarios'!J15, _xlfn.XLOOKUP($E15,Constants!$A$3:$A$6, Constants!D$3:D$6))</f>
        <v>4.5999999999999999E-2</v>
      </c>
      <c r="K15">
        <f>'Input Scenarios'!K15</f>
        <v>0.2</v>
      </c>
      <c r="L15">
        <f>'Input Scenarios'!L15</f>
        <v>0.1</v>
      </c>
      <c r="M15">
        <f>'Input Scenarios'!M15</f>
        <v>0.2</v>
      </c>
      <c r="N15">
        <f>'Input Scenarios'!N15</f>
        <v>0.2</v>
      </c>
      <c r="O15">
        <f>'Input Scenarios'!O15</f>
        <v>0.2</v>
      </c>
      <c r="P15">
        <f>'Input Scenarios'!P15</f>
        <v>0.1</v>
      </c>
      <c r="Q15" t="b">
        <f>'Input Scenarios'!Q15</f>
        <v>1</v>
      </c>
      <c r="R15">
        <f>IF('Input Scenarios'!$R15&lt;&gt;"", 'Input Scenarios'!$R15, IF($Q15, Constants!$B$19, 0))</f>
        <v>0.25</v>
      </c>
      <c r="S15">
        <f>IF('Input Scenarios'!$R15&lt;&gt;"", 'Input Scenarios'!$R15, IF($Q15, Constants!$B$20, 0))</f>
        <v>0.25</v>
      </c>
      <c r="T15">
        <f t="shared" si="1"/>
        <v>362.25</v>
      </c>
      <c r="U15">
        <f t="shared" si="2"/>
        <v>0.1</v>
      </c>
      <c r="V15">
        <f t="shared" si="0"/>
        <v>36.225000000000001</v>
      </c>
      <c r="W15">
        <f>Constants!$B$23</f>
        <v>1.5714285714285714</v>
      </c>
      <c r="X15">
        <f>Constants!$B$24</f>
        <v>1.0999999999999999E-2</v>
      </c>
      <c r="Y15">
        <f t="shared" si="3"/>
        <v>1</v>
      </c>
      <c r="Z15">
        <f>Constants!$B$25</f>
        <v>0.02</v>
      </c>
      <c r="AA15">
        <f t="shared" si="4"/>
        <v>0.72450000000000003</v>
      </c>
      <c r="AB15">
        <f t="shared" si="5"/>
        <v>1.2523499999999998E-2</v>
      </c>
      <c r="AC15">
        <f>SUM(AB15:AB18)/1000</f>
        <v>3.3991152352250495E-4</v>
      </c>
    </row>
    <row r="16" spans="1:29" x14ac:dyDescent="0.2">
      <c r="A16" t="str">
        <f>'Input Scenarios'!A16</f>
        <v>NT</v>
      </c>
      <c r="B16">
        <f>'Input Scenarios'!B16</f>
        <v>0</v>
      </c>
      <c r="C16" t="str">
        <f>'Input Scenarios'!C16</f>
        <v>Irrigated pasture</v>
      </c>
      <c r="D16" t="b">
        <f>'Input Scenarios'!D16</f>
        <v>1</v>
      </c>
      <c r="E16" t="str">
        <f>'Input Scenarios'!E16</f>
        <v>sows</v>
      </c>
      <c r="F16">
        <f>'Input Scenarios'!F16</f>
        <v>245</v>
      </c>
      <c r="G16">
        <f>'Input Scenarios'!G16</f>
        <v>290</v>
      </c>
      <c r="H16">
        <f>IF('Input Scenarios'!H16&lt;&gt;"", 'Input Scenarios'!H16, _xlfn.XLOOKUP($E16,Constants!$A$3:$A$6, Constants!B$3:B$6))</f>
        <v>2.2999999999999998</v>
      </c>
      <c r="I16">
        <f>IF('Input Scenarios'!I16&lt;&gt;"", 'Input Scenarios'!I16, _xlfn.XLOOKUP($E16,Constants!$A$3:$A$6, Constants!C$3:C$6))</f>
        <v>0.46</v>
      </c>
      <c r="J16">
        <f>IF('Input Scenarios'!J16&lt;&gt;"", 'Input Scenarios'!J16, _xlfn.XLOOKUP($E16,Constants!$A$3:$A$6, Constants!D$3:D$6))</f>
        <v>4.9000000000000002E-2</v>
      </c>
      <c r="K16">
        <f>'Input Scenarios'!K16</f>
        <v>0.2</v>
      </c>
      <c r="L16">
        <f>'Input Scenarios'!L16</f>
        <v>0.1</v>
      </c>
      <c r="M16">
        <f>'Input Scenarios'!M16</f>
        <v>0.2</v>
      </c>
      <c r="N16">
        <f>'Input Scenarios'!N16</f>
        <v>0.2</v>
      </c>
      <c r="O16">
        <f>'Input Scenarios'!O16</f>
        <v>0.2</v>
      </c>
      <c r="P16">
        <f>'Input Scenarios'!P16</f>
        <v>0.1</v>
      </c>
      <c r="Q16" t="b">
        <f>'Input Scenarios'!Q16</f>
        <v>1</v>
      </c>
      <c r="R16">
        <f>IF('Input Scenarios'!$R16&lt;&gt;"", 'Input Scenarios'!$R16, IF($Q16, Constants!$B$19, 0))</f>
        <v>0.25</v>
      </c>
      <c r="S16">
        <f>IF('Input Scenarios'!$R16&lt;&gt;"", 'Input Scenarios'!$R16, IF($Q16, Constants!$B$20, 0))</f>
        <v>0.25</v>
      </c>
      <c r="T16">
        <f t="shared" si="1"/>
        <v>3481.4500000000003</v>
      </c>
      <c r="U16">
        <f t="shared" si="2"/>
        <v>0.1</v>
      </c>
      <c r="V16">
        <f t="shared" si="0"/>
        <v>348.14500000000004</v>
      </c>
      <c r="W16">
        <f>Constants!$B$23</f>
        <v>1.5714285714285714</v>
      </c>
      <c r="X16">
        <f>Constants!$B$24</f>
        <v>1.0999999999999999E-2</v>
      </c>
      <c r="Y16">
        <f t="shared" si="3"/>
        <v>1</v>
      </c>
      <c r="Z16">
        <f>Constants!$B$25</f>
        <v>0.02</v>
      </c>
      <c r="AA16">
        <f t="shared" si="4"/>
        <v>6.9629000000000012</v>
      </c>
      <c r="AB16">
        <f t="shared" si="5"/>
        <v>0.1203587</v>
      </c>
    </row>
    <row r="17" spans="1:29" x14ac:dyDescent="0.2">
      <c r="A17" t="str">
        <f>'Input Scenarios'!A17</f>
        <v>NT</v>
      </c>
      <c r="B17">
        <f>'Input Scenarios'!B17</f>
        <v>0</v>
      </c>
      <c r="C17" t="str">
        <f>'Input Scenarios'!C17</f>
        <v>Irrigated pasture</v>
      </c>
      <c r="D17" t="b">
        <f>'Input Scenarios'!D17</f>
        <v>1</v>
      </c>
      <c r="E17" t="str">
        <f>'Input Scenarios'!E17</f>
        <v>gilts</v>
      </c>
      <c r="F17">
        <f>'Input Scenarios'!F17</f>
        <v>434</v>
      </c>
      <c r="G17">
        <f>'Input Scenarios'!G17</f>
        <v>280</v>
      </c>
      <c r="H17">
        <f>IF('Input Scenarios'!H17&lt;&gt;"", 'Input Scenarios'!H17, _xlfn.XLOOKUP($E17,Constants!$A$3:$A$6, Constants!B$3:B$6))</f>
        <v>2.5</v>
      </c>
      <c r="I17">
        <f>IF('Input Scenarios'!I17&lt;&gt;"", 'Input Scenarios'!I17, _xlfn.XLOOKUP($E17,Constants!$A$3:$A$6, Constants!C$3:C$6))</f>
        <v>0.55000000000000004</v>
      </c>
      <c r="J17">
        <f>IF('Input Scenarios'!J17&lt;&gt;"", 'Input Scenarios'!J17, _xlfn.XLOOKUP($E17,Constants!$A$3:$A$6, Constants!D$3:D$6))</f>
        <v>4.5999999999999999E-2</v>
      </c>
      <c r="K17">
        <f>'Input Scenarios'!K17</f>
        <v>0.2</v>
      </c>
      <c r="L17">
        <f>'Input Scenarios'!L17</f>
        <v>0.1</v>
      </c>
      <c r="M17">
        <f>'Input Scenarios'!M17</f>
        <v>0.2</v>
      </c>
      <c r="N17">
        <f>'Input Scenarios'!N17</f>
        <v>0.2</v>
      </c>
      <c r="O17">
        <f>'Input Scenarios'!O17</f>
        <v>0.2</v>
      </c>
      <c r="P17">
        <f>'Input Scenarios'!P17</f>
        <v>0.1</v>
      </c>
      <c r="Q17" t="b">
        <f>'Input Scenarios'!Q17</f>
        <v>1</v>
      </c>
      <c r="R17">
        <f>IF('Input Scenarios'!$R17&lt;&gt;"", 'Input Scenarios'!$R17, IF($Q17, Constants!$B$19, 0))</f>
        <v>0.25</v>
      </c>
      <c r="S17">
        <f>IF('Input Scenarios'!$R17&lt;&gt;"", 'Input Scenarios'!$R17, IF($Q17, Constants!$B$20, 0))</f>
        <v>0.25</v>
      </c>
      <c r="T17">
        <f t="shared" si="1"/>
        <v>5589.92</v>
      </c>
      <c r="U17">
        <f t="shared" si="2"/>
        <v>0.1</v>
      </c>
      <c r="V17">
        <f t="shared" si="0"/>
        <v>558.99200000000008</v>
      </c>
      <c r="W17">
        <f>Constants!$B$23</f>
        <v>1.5714285714285714</v>
      </c>
      <c r="X17">
        <f>Constants!$B$24</f>
        <v>1.0999999999999999E-2</v>
      </c>
      <c r="Y17">
        <f t="shared" si="3"/>
        <v>1</v>
      </c>
      <c r="Z17">
        <f>Constants!$B$25</f>
        <v>0.02</v>
      </c>
      <c r="AA17">
        <f t="shared" si="4"/>
        <v>11.179840000000002</v>
      </c>
      <c r="AB17">
        <f t="shared" si="5"/>
        <v>0.19325152000000001</v>
      </c>
    </row>
    <row r="18" spans="1:29" s="2" customFormat="1" x14ac:dyDescent="0.2">
      <c r="A18" s="2" t="str">
        <f>'Input Scenarios'!A18</f>
        <v>NT</v>
      </c>
      <c r="B18" s="2">
        <f>'Input Scenarios'!B18</f>
        <v>0</v>
      </c>
      <c r="C18" s="2" t="str">
        <f>'Input Scenarios'!C18</f>
        <v>Irrigated pasture</v>
      </c>
      <c r="D18" s="2" t="b">
        <f>'Input Scenarios'!D18</f>
        <v>1</v>
      </c>
      <c r="E18" s="2" t="str">
        <f>'Input Scenarios'!E18</f>
        <v>others</v>
      </c>
      <c r="F18" s="2">
        <f>'Input Scenarios'!F18</f>
        <v>44</v>
      </c>
      <c r="G18" s="2">
        <f>'Input Scenarios'!G18</f>
        <v>290</v>
      </c>
      <c r="H18">
        <f>IF('Input Scenarios'!H18&lt;&gt;"", 'Input Scenarios'!H18, _xlfn.XLOOKUP($E18,Constants!$A$3:$A$6, Constants!B$3:B$6))</f>
        <v>1.71</v>
      </c>
      <c r="I18">
        <f>IF('Input Scenarios'!I18&lt;&gt;"", 'Input Scenarios'!I18, _xlfn.XLOOKUP($E18,Constants!$A$3:$A$6, Constants!C$3:C$6))</f>
        <v>0.39</v>
      </c>
      <c r="J18">
        <f>IF('Input Scenarios'!J18&lt;&gt;"", 'Input Scenarios'!J18, _xlfn.XLOOKUP($E18,Constants!$A$3:$A$6, Constants!D$3:D$6))</f>
        <v>3.1232876712328769E-2</v>
      </c>
      <c r="K18" s="2">
        <f>'Input Scenarios'!K18</f>
        <v>0.2</v>
      </c>
      <c r="L18" s="2">
        <f>'Input Scenarios'!L18</f>
        <v>0.1</v>
      </c>
      <c r="M18" s="2">
        <f>'Input Scenarios'!M18</f>
        <v>0.2</v>
      </c>
      <c r="N18" s="2">
        <f>'Input Scenarios'!N18</f>
        <v>0.2</v>
      </c>
      <c r="O18" s="2">
        <f>'Input Scenarios'!O18</f>
        <v>0.2</v>
      </c>
      <c r="P18" s="2">
        <f>'Input Scenarios'!P18</f>
        <v>0.1</v>
      </c>
      <c r="Q18" s="2" t="b">
        <f>'Input Scenarios'!Q18</f>
        <v>1</v>
      </c>
      <c r="R18" s="2">
        <f>IF('Input Scenarios'!$R18&lt;&gt;"", 'Input Scenarios'!$R18, IF($Q18, Constants!$B$19, 0))</f>
        <v>0.25</v>
      </c>
      <c r="S18" s="2">
        <f>IF('Input Scenarios'!$R18&lt;&gt;"", 'Input Scenarios'!$R18, IF($Q18, Constants!$B$20, 0))</f>
        <v>0.25</v>
      </c>
      <c r="T18">
        <f t="shared" si="1"/>
        <v>398.53150684931506</v>
      </c>
      <c r="U18">
        <f t="shared" si="2"/>
        <v>0.1</v>
      </c>
      <c r="V18">
        <f t="shared" si="0"/>
        <v>39.853150684931506</v>
      </c>
      <c r="W18">
        <f>Constants!$B$23</f>
        <v>1.5714285714285714</v>
      </c>
      <c r="X18">
        <f>Constants!$B$24</f>
        <v>1.0999999999999999E-2</v>
      </c>
      <c r="Y18">
        <f t="shared" si="3"/>
        <v>1</v>
      </c>
      <c r="Z18">
        <f>Constants!$B$25</f>
        <v>0.02</v>
      </c>
      <c r="AA18">
        <f t="shared" si="4"/>
        <v>0.7970630136986302</v>
      </c>
      <c r="AB18">
        <f t="shared" si="5"/>
        <v>1.3777803522504892E-2</v>
      </c>
    </row>
    <row r="19" spans="1:29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pasture</v>
      </c>
      <c r="D19" t="b">
        <f>'Input Scenarios'!D19</f>
        <v>1</v>
      </c>
      <c r="E19" t="str">
        <f>'Input Scenarios'!E19</f>
        <v>boars</v>
      </c>
      <c r="F19">
        <f>'Input Scenarios'!F19</f>
        <v>1000</v>
      </c>
      <c r="G19">
        <f>'Input Scenarios'!G19</f>
        <v>100</v>
      </c>
      <c r="H19">
        <f>IF('Input Scenarios'!H19&lt;&gt;"", 'Input Scenarios'!H19, _xlfn.XLOOKUP($E19,Constants!$A$3:$A$6, Constants!B$3:B$6))</f>
        <v>2.62</v>
      </c>
      <c r="I19">
        <f>IF('Input Scenarios'!I19&lt;&gt;"", 'Input Scenarios'!I19, _xlfn.XLOOKUP($E19,Constants!$A$3:$A$6, Constants!C$3:C$6))</f>
        <v>0.4</v>
      </c>
      <c r="J19">
        <f>IF('Input Scenarios'!J19&lt;&gt;"", 'Input Scenarios'!J19, _xlfn.XLOOKUP($E19,Constants!$A$3:$A$6, Constants!D$3:D$6))</f>
        <v>4.5999999999999999E-2</v>
      </c>
      <c r="K19">
        <f>'Input Scenarios'!K19</f>
        <v>0.3</v>
      </c>
      <c r="L19">
        <f>'Input Scenarios'!L19</f>
        <v>0</v>
      </c>
      <c r="M19">
        <f>'Input Scenarios'!M19</f>
        <v>0</v>
      </c>
      <c r="N19">
        <f>'Input Scenarios'!N19</f>
        <v>0.3</v>
      </c>
      <c r="O19">
        <f>'Input Scenarios'!O19</f>
        <v>0</v>
      </c>
      <c r="P19">
        <f>'Input Scenarios'!P19</f>
        <v>0.4</v>
      </c>
      <c r="Q19" t="b">
        <f>'Input Scenarios'!Q19</f>
        <v>0</v>
      </c>
      <c r="R19">
        <f>IF('Input Scenarios'!$R19&lt;&gt;"", 'Input Scenarios'!$R19, IF($Q19, Constants!$B$19, 0))</f>
        <v>0</v>
      </c>
      <c r="S19">
        <f>IF('Input Scenarios'!$R19&lt;&gt;"", 'Input Scenarios'!$R19, IF($Q19, Constants!$B$20, 0))</f>
        <v>0</v>
      </c>
      <c r="T19">
        <f t="shared" si="1"/>
        <v>4600</v>
      </c>
      <c r="U19">
        <f t="shared" si="2"/>
        <v>0</v>
      </c>
      <c r="V19">
        <f t="shared" si="0"/>
        <v>0</v>
      </c>
      <c r="W19">
        <f>Constants!$B$23</f>
        <v>1.5714285714285714</v>
      </c>
      <c r="X19">
        <f>Constants!$B$24</f>
        <v>1.0999999999999999E-2</v>
      </c>
      <c r="Y19">
        <f t="shared" si="3"/>
        <v>1</v>
      </c>
      <c r="Z19">
        <f>Constants!$B$25</f>
        <v>0.02</v>
      </c>
      <c r="AA19">
        <f t="shared" si="4"/>
        <v>0</v>
      </c>
      <c r="AB19">
        <f t="shared" si="5"/>
        <v>0</v>
      </c>
      <c r="AC19">
        <f>SUM(AB19:AB22)/1000</f>
        <v>0</v>
      </c>
    </row>
    <row r="20" spans="1:29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pasture</v>
      </c>
      <c r="D20" t="b">
        <f>'Input Scenarios'!D20</f>
        <v>1</v>
      </c>
      <c r="E20" t="str">
        <f>'Input Scenarios'!E20</f>
        <v>sows</v>
      </c>
      <c r="F20">
        <f>'Input Scenarios'!F20</f>
        <v>233</v>
      </c>
      <c r="G20">
        <f>'Input Scenarios'!G20</f>
        <v>100</v>
      </c>
      <c r="H20">
        <f>IF('Input Scenarios'!H20&lt;&gt;"", 'Input Scenarios'!H20, _xlfn.XLOOKUP($E20,Constants!$A$3:$A$6, Constants!B$3:B$6))</f>
        <v>2.2999999999999998</v>
      </c>
      <c r="I20">
        <f>IF('Input Scenarios'!I20&lt;&gt;"", 'Input Scenarios'!I20, _xlfn.XLOOKUP($E20,Constants!$A$3:$A$6, Constants!C$3:C$6))</f>
        <v>0.46</v>
      </c>
      <c r="J20">
        <f>IF('Input Scenarios'!J20&lt;&gt;"", 'Input Scenarios'!J20, _xlfn.XLOOKUP($E20,Constants!$A$3:$A$6, Constants!D$3:D$6))</f>
        <v>4.9000000000000002E-2</v>
      </c>
      <c r="K20">
        <f>'Input Scenarios'!K20</f>
        <v>0.3</v>
      </c>
      <c r="L20">
        <f>'Input Scenarios'!L20</f>
        <v>0</v>
      </c>
      <c r="M20">
        <f>'Input Scenarios'!M20</f>
        <v>0</v>
      </c>
      <c r="N20">
        <f>'Input Scenarios'!N20</f>
        <v>0.3</v>
      </c>
      <c r="O20">
        <f>'Input Scenarios'!O20</f>
        <v>0</v>
      </c>
      <c r="P20">
        <f>'Input Scenarios'!P20</f>
        <v>0.4</v>
      </c>
      <c r="Q20" t="b">
        <f>'Input Scenarios'!Q20</f>
        <v>0</v>
      </c>
      <c r="R20">
        <f>IF('Input Scenarios'!$R20&lt;&gt;"", 'Input Scenarios'!$R20, IF($Q20, Constants!$B$19, 0))</f>
        <v>0</v>
      </c>
      <c r="S20">
        <f>IF('Input Scenarios'!$R20&lt;&gt;"", 'Input Scenarios'!$R20, IF($Q20, Constants!$B$20, 0))</f>
        <v>0</v>
      </c>
      <c r="T20">
        <f t="shared" si="1"/>
        <v>1141.7</v>
      </c>
      <c r="U20">
        <f t="shared" si="2"/>
        <v>0</v>
      </c>
      <c r="V20">
        <f t="shared" si="0"/>
        <v>0</v>
      </c>
      <c r="W20">
        <f>Constants!$B$23</f>
        <v>1.5714285714285714</v>
      </c>
      <c r="X20">
        <f>Constants!$B$24</f>
        <v>1.0999999999999999E-2</v>
      </c>
      <c r="Y20">
        <f t="shared" si="3"/>
        <v>1</v>
      </c>
      <c r="Z20">
        <f>Constants!$B$25</f>
        <v>0.02</v>
      </c>
      <c r="AA20">
        <f t="shared" si="4"/>
        <v>0</v>
      </c>
      <c r="AB20">
        <f t="shared" si="5"/>
        <v>0</v>
      </c>
    </row>
    <row r="21" spans="1:29" x14ac:dyDescent="0.2">
      <c r="A21" t="str">
        <f>'Input Scenarios'!A21</f>
        <v>QLD</v>
      </c>
      <c r="B21">
        <f>'Input Scenarios'!B21</f>
        <v>0</v>
      </c>
      <c r="C21" t="str">
        <f>'Input Scenarios'!C21</f>
        <v>Non-irrigated pasture</v>
      </c>
      <c r="D21" t="b">
        <f>'Input Scenarios'!D21</f>
        <v>1</v>
      </c>
      <c r="E21" t="str">
        <f>'Input Scenarios'!E21</f>
        <v>gilts</v>
      </c>
      <c r="F21">
        <f>'Input Scenarios'!F21</f>
        <v>923</v>
      </c>
      <c r="G21">
        <f>'Input Scenarios'!G21</f>
        <v>100</v>
      </c>
      <c r="H21">
        <f>IF('Input Scenarios'!H21&lt;&gt;"", 'Input Scenarios'!H21, _xlfn.XLOOKUP($E21,Constants!$A$3:$A$6, Constants!B$3:B$6))</f>
        <v>2.5</v>
      </c>
      <c r="I21">
        <f>IF('Input Scenarios'!I21&lt;&gt;"", 'Input Scenarios'!I21, _xlfn.XLOOKUP($E21,Constants!$A$3:$A$6, Constants!C$3:C$6))</f>
        <v>0.55000000000000004</v>
      </c>
      <c r="J21">
        <f>IF('Input Scenarios'!J21&lt;&gt;"", 'Input Scenarios'!J21, _xlfn.XLOOKUP($E21,Constants!$A$3:$A$6, Constants!D$3:D$6))</f>
        <v>4.5999999999999999E-2</v>
      </c>
      <c r="K21">
        <f>'Input Scenarios'!K21</f>
        <v>0</v>
      </c>
      <c r="L21">
        <f>'Input Scenarios'!L21</f>
        <v>0</v>
      </c>
      <c r="M21">
        <f>'Input Scenarios'!M21</f>
        <v>0.5</v>
      </c>
      <c r="N21">
        <f>'Input Scenarios'!N21</f>
        <v>0</v>
      </c>
      <c r="O21">
        <f>'Input Scenarios'!O21</f>
        <v>0.5</v>
      </c>
      <c r="P21">
        <f>'Input Scenarios'!P21</f>
        <v>0</v>
      </c>
      <c r="Q21" t="b">
        <f>'Input Scenarios'!Q21</f>
        <v>0</v>
      </c>
      <c r="R21">
        <f>IF('Input Scenarios'!$R21&lt;&gt;"", 'Input Scenarios'!$R21, IF($Q21, Constants!$B$19, 0))</f>
        <v>0</v>
      </c>
      <c r="S21">
        <f>IF('Input Scenarios'!$R21&lt;&gt;"", 'Input Scenarios'!$R21, IF($Q21, Constants!$B$20, 0))</f>
        <v>0</v>
      </c>
      <c r="T21">
        <f t="shared" si="1"/>
        <v>4245.8</v>
      </c>
      <c r="U21">
        <f t="shared" si="2"/>
        <v>0</v>
      </c>
      <c r="V21">
        <f t="shared" si="0"/>
        <v>0</v>
      </c>
      <c r="W21">
        <f>Constants!$B$23</f>
        <v>1.5714285714285714</v>
      </c>
      <c r="X21">
        <f>Constants!$B$24</f>
        <v>1.0999999999999999E-2</v>
      </c>
      <c r="Y21">
        <f t="shared" si="3"/>
        <v>1</v>
      </c>
      <c r="Z21">
        <f>Constants!$B$25</f>
        <v>0.02</v>
      </c>
      <c r="AA21">
        <f t="shared" si="4"/>
        <v>0</v>
      </c>
      <c r="AB21">
        <f t="shared" si="5"/>
        <v>0</v>
      </c>
    </row>
    <row r="22" spans="1:29" s="2" customFormat="1" x14ac:dyDescent="0.2">
      <c r="A22" s="2" t="str">
        <f>'Input Scenarios'!A22</f>
        <v>QLD</v>
      </c>
      <c r="B22" s="2">
        <f>'Input Scenarios'!B22</f>
        <v>0</v>
      </c>
      <c r="C22" s="2" t="str">
        <f>'Input Scenarios'!C22</f>
        <v>Non-irrigated pasture</v>
      </c>
      <c r="D22" s="2" t="b">
        <f>'Input Scenarios'!D22</f>
        <v>1</v>
      </c>
      <c r="E22" s="2" t="str">
        <f>'Input Scenarios'!E22</f>
        <v>others</v>
      </c>
      <c r="F22" s="2">
        <f>'Input Scenarios'!F22</f>
        <v>122</v>
      </c>
      <c r="G22" s="2">
        <f>'Input Scenarios'!G22</f>
        <v>100</v>
      </c>
      <c r="H22">
        <f>IF('Input Scenarios'!H22&lt;&gt;"", 'Input Scenarios'!H22, _xlfn.XLOOKUP($E22,Constants!$A$3:$A$6, Constants!B$3:B$6))</f>
        <v>1.71</v>
      </c>
      <c r="I22">
        <f>IF('Input Scenarios'!I22&lt;&gt;"", 'Input Scenarios'!I22, _xlfn.XLOOKUP($E22,Constants!$A$3:$A$6, Constants!C$3:C$6))</f>
        <v>0.39</v>
      </c>
      <c r="J22">
        <f>IF('Input Scenarios'!J22&lt;&gt;"", 'Input Scenarios'!J22, _xlfn.XLOOKUP($E22,Constants!$A$3:$A$6, Constants!D$3:D$6))</f>
        <v>3.1232876712328769E-2</v>
      </c>
      <c r="K22" s="2">
        <f>'Input Scenarios'!K22</f>
        <v>0</v>
      </c>
      <c r="L22" s="2">
        <f>'Input Scenarios'!L22</f>
        <v>0</v>
      </c>
      <c r="M22" s="2">
        <f>'Input Scenarios'!M22</f>
        <v>0.5</v>
      </c>
      <c r="N22" s="2">
        <f>'Input Scenarios'!N22</f>
        <v>0</v>
      </c>
      <c r="O22" s="2">
        <f>'Input Scenarios'!O22</f>
        <v>0.5</v>
      </c>
      <c r="P22" s="2">
        <f>'Input Scenarios'!P22</f>
        <v>0</v>
      </c>
      <c r="Q22" s="2" t="b">
        <f>'Input Scenarios'!Q22</f>
        <v>0</v>
      </c>
      <c r="R22" s="2">
        <f>IF('Input Scenarios'!$R22&lt;&gt;"", 'Input Scenarios'!$R22, IF($Q22, Constants!$B$19, 0))</f>
        <v>0</v>
      </c>
      <c r="S22" s="2">
        <f>IF('Input Scenarios'!$R22&lt;&gt;"", 'Input Scenarios'!$R22, IF($Q22, Constants!$B$20, 0))</f>
        <v>0</v>
      </c>
      <c r="T22">
        <f t="shared" si="1"/>
        <v>381.04109589041099</v>
      </c>
      <c r="U22">
        <f t="shared" si="2"/>
        <v>0</v>
      </c>
      <c r="V22">
        <f t="shared" si="0"/>
        <v>0</v>
      </c>
      <c r="W22">
        <f>Constants!$B$23</f>
        <v>1.5714285714285714</v>
      </c>
      <c r="X22">
        <f>Constants!$B$24</f>
        <v>1.0999999999999999E-2</v>
      </c>
      <c r="Y22">
        <f t="shared" si="3"/>
        <v>1</v>
      </c>
      <c r="Z22">
        <f>Constants!$B$25</f>
        <v>0.02</v>
      </c>
      <c r="AA22">
        <f t="shared" si="4"/>
        <v>0</v>
      </c>
      <c r="AB22">
        <f t="shared" si="5"/>
        <v>0</v>
      </c>
    </row>
    <row r="23" spans="1:29" x14ac:dyDescent="0.2">
      <c r="A23" t="str">
        <f>'Input Scenarios'!A23</f>
        <v>WA</v>
      </c>
      <c r="B23">
        <f>'Input Scenarios'!B23</f>
        <v>0</v>
      </c>
      <c r="C23" t="str">
        <f>'Input Scenarios'!C23</f>
        <v>Non-irrigated crop (low rainfall)</v>
      </c>
      <c r="D23" t="b">
        <f>'Input Scenarios'!D23</f>
        <v>0</v>
      </c>
      <c r="E23" t="str">
        <f>'Input Scenarios'!E23</f>
        <v>boars</v>
      </c>
      <c r="F23">
        <f>'Input Scenarios'!F23</f>
        <v>750</v>
      </c>
      <c r="G23">
        <f>'Input Scenarios'!G23</f>
        <v>200</v>
      </c>
      <c r="H23">
        <f>IF('Input Scenarios'!H23&lt;&gt;"", 'Input Scenarios'!H23, _xlfn.XLOOKUP($E23,Constants!$A$3:$A$6, Constants!B$3:B$6))</f>
        <v>2.62</v>
      </c>
      <c r="I23">
        <f>IF('Input Scenarios'!I23&lt;&gt;"", 'Input Scenarios'!I23, _xlfn.XLOOKUP($E23,Constants!$A$3:$A$6, Constants!C$3:C$6))</f>
        <v>0.4</v>
      </c>
      <c r="J23">
        <f>IF('Input Scenarios'!J23&lt;&gt;"", 'Input Scenarios'!J23, _xlfn.XLOOKUP($E23,Constants!$A$3:$A$6, Constants!D$3:D$6))</f>
        <v>4.5999999999999999E-2</v>
      </c>
      <c r="K23">
        <f>'Input Scenarios'!K23</f>
        <v>0.3</v>
      </c>
      <c r="L23">
        <f>'Input Scenarios'!L23</f>
        <v>0</v>
      </c>
      <c r="M23">
        <f>'Input Scenarios'!M23</f>
        <v>0</v>
      </c>
      <c r="N23">
        <f>'Input Scenarios'!N23</f>
        <v>0.3</v>
      </c>
      <c r="O23">
        <f>'Input Scenarios'!O23</f>
        <v>0</v>
      </c>
      <c r="P23">
        <f>'Input Scenarios'!P23</f>
        <v>0.4</v>
      </c>
      <c r="Q23" t="b">
        <f>'Input Scenarios'!Q23</f>
        <v>0</v>
      </c>
      <c r="R23">
        <f>IF('Input Scenarios'!$R23&lt;&gt;"", 'Input Scenarios'!$R23, IF($Q23, Constants!$B$19, 0))</f>
        <v>0</v>
      </c>
      <c r="S23">
        <f>IF('Input Scenarios'!$R23&lt;&gt;"", 'Input Scenarios'!$R23, IF($Q23, Constants!$B$20, 0))</f>
        <v>0</v>
      </c>
      <c r="T23">
        <f t="shared" si="1"/>
        <v>6900</v>
      </c>
      <c r="U23">
        <f t="shared" si="2"/>
        <v>0</v>
      </c>
      <c r="V23">
        <f t="shared" si="0"/>
        <v>0</v>
      </c>
      <c r="W23">
        <f>Constants!$B$23</f>
        <v>1.5714285714285714</v>
      </c>
      <c r="X23">
        <f>Constants!$B$24</f>
        <v>1.0999999999999999E-2</v>
      </c>
      <c r="Y23">
        <f t="shared" si="3"/>
        <v>0</v>
      </c>
      <c r="Z23">
        <f>Constants!$B$25</f>
        <v>0.02</v>
      </c>
      <c r="AA23">
        <f t="shared" si="4"/>
        <v>0</v>
      </c>
      <c r="AB23">
        <f t="shared" si="5"/>
        <v>0</v>
      </c>
      <c r="AC23">
        <f>SUM(AB23:AB26)/1000</f>
        <v>0</v>
      </c>
    </row>
    <row r="24" spans="1:29" x14ac:dyDescent="0.2">
      <c r="A24" t="str">
        <f>'Input Scenarios'!A24</f>
        <v>WA</v>
      </c>
      <c r="B24">
        <f>'Input Scenarios'!B24</f>
        <v>0</v>
      </c>
      <c r="C24" t="str">
        <f>'Input Scenarios'!C24</f>
        <v>Non-irrigated crop (low rainfall)</v>
      </c>
      <c r="D24" t="b">
        <f>'Input Scenarios'!D24</f>
        <v>0</v>
      </c>
      <c r="E24" t="str">
        <f>'Input Scenarios'!E24</f>
        <v>sows</v>
      </c>
      <c r="F24">
        <f>'Input Scenarios'!F24</f>
        <v>600</v>
      </c>
      <c r="G24">
        <f>'Input Scenarios'!G24</f>
        <v>200</v>
      </c>
      <c r="H24">
        <f>IF('Input Scenarios'!H24&lt;&gt;"", 'Input Scenarios'!H24, _xlfn.XLOOKUP($E24,Constants!$A$3:$A$6, Constants!B$3:B$6))</f>
        <v>2.2999999999999998</v>
      </c>
      <c r="I24">
        <f>IF('Input Scenarios'!I24&lt;&gt;"", 'Input Scenarios'!I24, _xlfn.XLOOKUP($E24,Constants!$A$3:$A$6, Constants!C$3:C$6))</f>
        <v>0.46</v>
      </c>
      <c r="J24">
        <f>IF('Input Scenarios'!J24&lt;&gt;"", 'Input Scenarios'!J24, _xlfn.XLOOKUP($E24,Constants!$A$3:$A$6, Constants!D$3:D$6))</f>
        <v>4.9000000000000002E-2</v>
      </c>
      <c r="K24">
        <f>'Input Scenarios'!K24</f>
        <v>0</v>
      </c>
      <c r="L24">
        <f>'Input Scenarios'!L24</f>
        <v>0</v>
      </c>
      <c r="M24">
        <f>'Input Scenarios'!M24</f>
        <v>0.5</v>
      </c>
      <c r="N24">
        <f>'Input Scenarios'!N24</f>
        <v>0</v>
      </c>
      <c r="O24">
        <f>'Input Scenarios'!O24</f>
        <v>0.5</v>
      </c>
      <c r="P24">
        <f>'Input Scenarios'!P24</f>
        <v>0</v>
      </c>
      <c r="Q24" t="b">
        <f>'Input Scenarios'!Q24</f>
        <v>0</v>
      </c>
      <c r="R24">
        <f>IF('Input Scenarios'!$R24&lt;&gt;"", 'Input Scenarios'!$R24, IF($Q24, Constants!$B$19, 0))</f>
        <v>0</v>
      </c>
      <c r="S24">
        <f>IF('Input Scenarios'!$R24&lt;&gt;"", 'Input Scenarios'!$R24, IF($Q24, Constants!$B$20, 0))</f>
        <v>0</v>
      </c>
      <c r="T24">
        <f t="shared" si="1"/>
        <v>5880</v>
      </c>
      <c r="U24">
        <f t="shared" si="2"/>
        <v>0</v>
      </c>
      <c r="V24">
        <f t="shared" si="0"/>
        <v>0</v>
      </c>
      <c r="W24">
        <f>Constants!$B$23</f>
        <v>1.5714285714285714</v>
      </c>
      <c r="X24">
        <f>Constants!$B$24</f>
        <v>1.0999999999999999E-2</v>
      </c>
      <c r="Y24">
        <f t="shared" si="3"/>
        <v>0</v>
      </c>
      <c r="Z24">
        <f>Constants!$B$25</f>
        <v>0.02</v>
      </c>
      <c r="AA24">
        <f t="shared" si="4"/>
        <v>0</v>
      </c>
      <c r="AB24">
        <f t="shared" si="5"/>
        <v>0</v>
      </c>
    </row>
    <row r="25" spans="1:29" x14ac:dyDescent="0.2">
      <c r="A25" t="str">
        <f>'Input Scenarios'!A25</f>
        <v>WA</v>
      </c>
      <c r="B25">
        <f>'Input Scenarios'!B25</f>
        <v>0</v>
      </c>
      <c r="C25" t="str">
        <f>'Input Scenarios'!C25</f>
        <v>Non-irrigated crop (low rainfall)</v>
      </c>
      <c r="D25" t="b">
        <f>'Input Scenarios'!D25</f>
        <v>0</v>
      </c>
      <c r="E25" t="str">
        <f>'Input Scenarios'!E25</f>
        <v>gilts</v>
      </c>
      <c r="F25">
        <f>'Input Scenarios'!F25</f>
        <v>100</v>
      </c>
      <c r="G25">
        <f>'Input Scenarios'!G25</f>
        <v>299</v>
      </c>
      <c r="H25">
        <f>IF('Input Scenarios'!H25&lt;&gt;"", 'Input Scenarios'!H25, _xlfn.XLOOKUP($E25,Constants!$A$3:$A$6, Constants!B$3:B$6))</f>
        <v>2.5</v>
      </c>
      <c r="I25">
        <f>IF('Input Scenarios'!I25&lt;&gt;"", 'Input Scenarios'!I25, _xlfn.XLOOKUP($E25,Constants!$A$3:$A$6, Constants!C$3:C$6))</f>
        <v>0.55000000000000004</v>
      </c>
      <c r="J25">
        <f>IF('Input Scenarios'!J25&lt;&gt;"", 'Input Scenarios'!J25, _xlfn.XLOOKUP($E25,Constants!$A$3:$A$6, Constants!D$3:D$6))</f>
        <v>4.5999999999999999E-2</v>
      </c>
      <c r="K25">
        <f>'Input Scenarios'!K25</f>
        <v>0.3</v>
      </c>
      <c r="L25">
        <f>'Input Scenarios'!L25</f>
        <v>0</v>
      </c>
      <c r="M25">
        <f>'Input Scenarios'!M25</f>
        <v>0</v>
      </c>
      <c r="N25">
        <f>'Input Scenarios'!N25</f>
        <v>0.3</v>
      </c>
      <c r="O25">
        <f>'Input Scenarios'!O25</f>
        <v>0</v>
      </c>
      <c r="P25">
        <f>'Input Scenarios'!P25</f>
        <v>0.4</v>
      </c>
      <c r="Q25" t="b">
        <f>'Input Scenarios'!Q25</f>
        <v>1</v>
      </c>
      <c r="R25">
        <f>IF('Input Scenarios'!$R25&lt;&gt;"", 'Input Scenarios'!$R25, IF($Q25, Constants!$B$19, 0))</f>
        <v>0.25</v>
      </c>
      <c r="S25">
        <f>IF('Input Scenarios'!$R25&lt;&gt;"", 'Input Scenarios'!$R25, IF($Q25, Constants!$B$20, 0))</f>
        <v>0.25</v>
      </c>
      <c r="T25">
        <f t="shared" si="1"/>
        <v>1375.3999999999999</v>
      </c>
      <c r="U25">
        <f t="shared" si="2"/>
        <v>0</v>
      </c>
      <c r="V25">
        <f t="shared" si="0"/>
        <v>0</v>
      </c>
      <c r="W25">
        <f>Constants!$B$23</f>
        <v>1.5714285714285714</v>
      </c>
      <c r="X25">
        <f>Constants!$B$24</f>
        <v>1.0999999999999999E-2</v>
      </c>
      <c r="Y25">
        <f t="shared" si="3"/>
        <v>0</v>
      </c>
      <c r="Z25">
        <f>Constants!$B$25</f>
        <v>0.02</v>
      </c>
      <c r="AA25">
        <f t="shared" si="4"/>
        <v>0</v>
      </c>
      <c r="AB25">
        <f t="shared" si="5"/>
        <v>0</v>
      </c>
    </row>
    <row r="26" spans="1:29" x14ac:dyDescent="0.2">
      <c r="A26" t="str">
        <f>'Input Scenarios'!A26</f>
        <v>WA</v>
      </c>
      <c r="B26">
        <f>'Input Scenarios'!B26</f>
        <v>0</v>
      </c>
      <c r="C26" t="str">
        <f>'Input Scenarios'!C26</f>
        <v>Non-irrigated crop (low rainfall)</v>
      </c>
      <c r="D26" t="b">
        <f>'Input Scenarios'!D26</f>
        <v>0</v>
      </c>
      <c r="E26" t="str">
        <f>'Input Scenarios'!E26</f>
        <v>others</v>
      </c>
      <c r="F26">
        <f>'Input Scenarios'!F26</f>
        <v>999</v>
      </c>
      <c r="G26">
        <f>'Input Scenarios'!G26</f>
        <v>299</v>
      </c>
      <c r="H26">
        <f>IF('Input Scenarios'!H26&lt;&gt;"", 'Input Scenarios'!H26, _xlfn.XLOOKUP($E26,Constants!$A$3:$A$6, Constants!B$3:B$6))</f>
        <v>1.71</v>
      </c>
      <c r="I26">
        <f>IF('Input Scenarios'!I26&lt;&gt;"", 'Input Scenarios'!I26, _xlfn.XLOOKUP($E26,Constants!$A$3:$A$6, Constants!C$3:C$6))</f>
        <v>0.39</v>
      </c>
      <c r="J26">
        <f>IF('Input Scenarios'!J26&lt;&gt;"", 'Input Scenarios'!J26, _xlfn.XLOOKUP($E26,Constants!$A$3:$A$6, Constants!D$3:D$6))</f>
        <v>3.1232876712328769E-2</v>
      </c>
      <c r="K26">
        <f>'Input Scenarios'!K26</f>
        <v>0</v>
      </c>
      <c r="L26">
        <f>'Input Scenarios'!L26</f>
        <v>0</v>
      </c>
      <c r="M26">
        <f>'Input Scenarios'!M26</f>
        <v>0.5</v>
      </c>
      <c r="N26">
        <f>'Input Scenarios'!N26</f>
        <v>0</v>
      </c>
      <c r="O26">
        <f>'Input Scenarios'!O26</f>
        <v>0.5</v>
      </c>
      <c r="P26">
        <f>'Input Scenarios'!P26</f>
        <v>0</v>
      </c>
      <c r="Q26" t="b">
        <f>'Input Scenarios'!Q26</f>
        <v>1</v>
      </c>
      <c r="R26">
        <f>IF('Input Scenarios'!$R26&lt;&gt;"", 'Input Scenarios'!$R26, IF($Q26, Constants!$B$19, 0))</f>
        <v>0.25</v>
      </c>
      <c r="S26">
        <f>IF('Input Scenarios'!$R26&lt;&gt;"", 'Input Scenarios'!$R26, IF($Q26, Constants!$B$20, 0))</f>
        <v>0.25</v>
      </c>
      <c r="T26">
        <f t="shared" si="1"/>
        <v>9329.2915068493148</v>
      </c>
      <c r="U26">
        <f t="shared" si="2"/>
        <v>0</v>
      </c>
      <c r="V26">
        <f t="shared" si="0"/>
        <v>0</v>
      </c>
      <c r="W26">
        <f>Constants!$B$23</f>
        <v>1.5714285714285714</v>
      </c>
      <c r="X26">
        <f>Constants!$B$24</f>
        <v>1.0999999999999999E-2</v>
      </c>
      <c r="Y26">
        <f t="shared" si="3"/>
        <v>0</v>
      </c>
      <c r="Z26">
        <f>Constants!$B$25</f>
        <v>0.02</v>
      </c>
      <c r="AA26">
        <f t="shared" si="4"/>
        <v>0</v>
      </c>
      <c r="AB26">
        <f t="shared" si="5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99AB-39D8-9848-829E-E679C6648BEC}">
  <dimension ref="A2:AC34"/>
  <sheetViews>
    <sheetView topLeftCell="A6" workbookViewId="0">
      <selection activeCell="AD35" sqref="AD35"/>
    </sheetView>
  </sheetViews>
  <sheetFormatPr baseColWidth="10" defaultRowHeight="16" x14ac:dyDescent="0.2"/>
  <sheetData>
    <row r="2" spans="1:29" x14ac:dyDescent="0.2">
      <c r="A2" s="1" t="s">
        <v>210</v>
      </c>
      <c r="B2" s="1"/>
      <c r="C2" s="1"/>
      <c r="D2" s="1"/>
      <c r="E2" s="1"/>
      <c r="F2" s="1"/>
      <c r="G2" s="1"/>
      <c r="H2" s="1"/>
    </row>
    <row r="3" spans="1:29" x14ac:dyDescent="0.2">
      <c r="A3" s="1"/>
      <c r="B3" s="1"/>
      <c r="C3" s="1"/>
      <c r="D3" s="1"/>
      <c r="E3" s="1"/>
      <c r="F3" s="1"/>
      <c r="G3" s="1"/>
      <c r="H3" s="1"/>
    </row>
    <row r="4" spans="1:29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/>
      <c r="I4" s="1" t="s">
        <v>1</v>
      </c>
      <c r="J4" s="1"/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/>
    </row>
    <row r="5" spans="1:29" x14ac:dyDescent="0.2">
      <c r="A5" s="1"/>
      <c r="B5" s="1"/>
      <c r="C5" s="1"/>
      <c r="D5" s="1"/>
      <c r="E5" s="1"/>
      <c r="F5" s="1"/>
      <c r="G5" s="1"/>
      <c r="H5" s="1"/>
    </row>
    <row r="6" spans="1:29" x14ac:dyDescent="0.2">
      <c r="A6" s="1"/>
      <c r="B6" s="1"/>
      <c r="C6" s="1"/>
      <c r="D6" s="1"/>
      <c r="E6" s="1"/>
      <c r="F6" s="1"/>
      <c r="G6" s="1"/>
      <c r="H6" s="1"/>
    </row>
    <row r="7" spans="1:29" x14ac:dyDescent="0.2">
      <c r="A7" s="1"/>
      <c r="B7" s="1"/>
      <c r="C7" s="1"/>
      <c r="D7" s="1"/>
      <c r="E7" s="1"/>
      <c r="F7" s="1"/>
      <c r="G7" s="1"/>
      <c r="H7" s="1"/>
    </row>
    <row r="8" spans="1:29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114</v>
      </c>
      <c r="I8" s="1" t="s">
        <v>116</v>
      </c>
      <c r="J8" s="1" t="s">
        <v>117</v>
      </c>
      <c r="K8" t="s">
        <v>29</v>
      </c>
      <c r="L8" t="s">
        <v>31</v>
      </c>
      <c r="M8" t="s">
        <v>32</v>
      </c>
      <c r="N8" t="s">
        <v>33</v>
      </c>
      <c r="O8" t="s">
        <v>34</v>
      </c>
      <c r="P8" t="s">
        <v>30</v>
      </c>
      <c r="Q8" t="s">
        <v>36</v>
      </c>
      <c r="R8" t="s">
        <v>37</v>
      </c>
    </row>
    <row r="9" spans="1:29" x14ac:dyDescent="0.2">
      <c r="A9" s="1"/>
      <c r="B9" s="1"/>
      <c r="C9" s="1"/>
      <c r="D9" s="1"/>
      <c r="E9" s="1"/>
      <c r="F9" s="1"/>
      <c r="G9" s="1"/>
      <c r="H9" s="1"/>
    </row>
    <row r="10" spans="1:29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113</v>
      </c>
      <c r="I10" s="3" t="s">
        <v>16</v>
      </c>
      <c r="J10" s="3" t="s">
        <v>15</v>
      </c>
      <c r="K10" s="3" t="s">
        <v>18</v>
      </c>
      <c r="L10" s="3" t="s">
        <v>17</v>
      </c>
      <c r="M10" s="3" t="s">
        <v>20</v>
      </c>
      <c r="N10" s="3" t="s">
        <v>21</v>
      </c>
      <c r="O10" s="3" t="s">
        <v>22</v>
      </c>
      <c r="P10" s="3" t="s">
        <v>19</v>
      </c>
      <c r="Q10" s="3" t="s">
        <v>35</v>
      </c>
      <c r="R10" s="3" t="s">
        <v>23</v>
      </c>
      <c r="S10" s="6" t="s">
        <v>24</v>
      </c>
      <c r="T10" s="6" t="s">
        <v>115</v>
      </c>
      <c r="U10" s="6" t="s">
        <v>121</v>
      </c>
      <c r="V10" s="7" t="s">
        <v>146</v>
      </c>
      <c r="W10" s="7" t="s">
        <v>71</v>
      </c>
      <c r="X10" s="7" t="s">
        <v>72</v>
      </c>
      <c r="Y10" s="7" t="s">
        <v>172</v>
      </c>
      <c r="Z10" s="7" t="s">
        <v>174</v>
      </c>
      <c r="AA10" s="7" t="s">
        <v>173</v>
      </c>
      <c r="AB10" s="8" t="s">
        <v>188</v>
      </c>
      <c r="AC10" s="8" t="s">
        <v>187</v>
      </c>
    </row>
    <row r="11" spans="1:29" x14ac:dyDescent="0.2">
      <c r="A11" t="str">
        <f>'Input Scenarios'!A38</f>
        <v>NSW</v>
      </c>
      <c r="B11" t="str">
        <f>'Input Scenarios'!B38</f>
        <v>10 or below</v>
      </c>
      <c r="C11" t="str">
        <f>'Input Scenarios'!C38</f>
        <v>Irrigated crop</v>
      </c>
      <c r="D11" t="b">
        <f>'Input Scenarios'!D38</f>
        <v>1</v>
      </c>
      <c r="E11" t="str">
        <f>'Input Scenarios'!E38</f>
        <v>boars</v>
      </c>
      <c r="F11">
        <f>'Input Scenarios'!F38</f>
        <v>111</v>
      </c>
      <c r="G11">
        <f>'Input Scenarios'!G38</f>
        <v>105</v>
      </c>
      <c r="H11">
        <f>IF('Input Scenarios'!H38&lt;&gt;"", 'Input Scenarios'!H38, _xlfn.XLOOKUP($E11,Constants!$A$3:$A$6, Constants!B$3:B$6))</f>
        <v>2.62</v>
      </c>
      <c r="I11">
        <f>IF('Input Scenarios'!I38&lt;&gt;"", 'Input Scenarios'!I38, _xlfn.XLOOKUP($E11,Constants!$A$3:$A$6, Constants!C$3:C$6))</f>
        <v>0.37</v>
      </c>
      <c r="J11">
        <f>IF('Input Scenarios'!J38&lt;&gt;"", 'Input Scenarios'!J38, _xlfn.XLOOKUP($E11,Constants!$A$3:$A$6, Constants!D$3:D$6))</f>
        <v>0.04</v>
      </c>
      <c r="K11">
        <f>'Input Scenarios'!K38</f>
        <v>1</v>
      </c>
      <c r="L11">
        <f>'Input Scenarios'!L38</f>
        <v>0</v>
      </c>
      <c r="M11">
        <f>'Input Scenarios'!M38</f>
        <v>0</v>
      </c>
      <c r="N11">
        <f>'Input Scenarios'!N38</f>
        <v>0</v>
      </c>
      <c r="O11">
        <f>'Input Scenarios'!O38</f>
        <v>0</v>
      </c>
      <c r="P11">
        <f>'Input Scenarios'!P38</f>
        <v>0</v>
      </c>
      <c r="Q11" t="b">
        <f>'Input Scenarios'!Q38</f>
        <v>1</v>
      </c>
      <c r="R11">
        <f>IF('Input Scenarios'!$R38&lt;&gt;"", 'Input Scenarios'!$R38, IF($Q11, Constants!$B$19, 0))</f>
        <v>0.3</v>
      </c>
      <c r="S11">
        <f>IF('Input Scenarios'!$R38&lt;&gt;"", 'Input Scenarios'!$R38, IF($Q11, Constants!$B$20, 0))</f>
        <v>0.3</v>
      </c>
      <c r="T11">
        <f>F11*G11*J11</f>
        <v>466.2</v>
      </c>
      <c r="U11">
        <f>L11</f>
        <v>0</v>
      </c>
      <c r="V11">
        <f t="shared" ref="V11:V34" si="0">$T11*U11</f>
        <v>0</v>
      </c>
      <c r="W11">
        <f>Constants!$B$23</f>
        <v>1.5714285714285714</v>
      </c>
      <c r="X11">
        <f>Constants!$B$24</f>
        <v>1.0999999999999999E-2</v>
      </c>
      <c r="Y11">
        <f>IF(D11, 1, 0)</f>
        <v>1</v>
      </c>
      <c r="Z11">
        <f>Constants!$B$25</f>
        <v>0.02</v>
      </c>
      <c r="AA11">
        <f>V11*Y11*Z11</f>
        <v>0</v>
      </c>
      <c r="AB11">
        <f>AA11*X11*W11</f>
        <v>0</v>
      </c>
      <c r="AC11">
        <f>SUM(AB11:AB14)/1000</f>
        <v>0</v>
      </c>
    </row>
    <row r="12" spans="1:29" x14ac:dyDescent="0.2">
      <c r="A12" t="str">
        <f>'Input Scenarios'!A39</f>
        <v>NSW</v>
      </c>
      <c r="B12" t="str">
        <f>'Input Scenarios'!B39</f>
        <v>10 or below</v>
      </c>
      <c r="C12" t="str">
        <f>'Input Scenarios'!C39</f>
        <v>Irrigated crop</v>
      </c>
      <c r="D12" t="b">
        <f>'Input Scenarios'!D39</f>
        <v>1</v>
      </c>
      <c r="E12" t="str">
        <f>'Input Scenarios'!E39</f>
        <v>sows</v>
      </c>
      <c r="F12">
        <f>'Input Scenarios'!F39</f>
        <v>222</v>
      </c>
      <c r="G12">
        <f>'Input Scenarios'!G39</f>
        <v>103</v>
      </c>
      <c r="H12">
        <f>IF('Input Scenarios'!H39&lt;&gt;"", 'Input Scenarios'!H39, _xlfn.XLOOKUP($E12,Constants!$A$3:$A$6, Constants!B$3:B$6))</f>
        <v>2.2999999999999998</v>
      </c>
      <c r="I12">
        <f>IF('Input Scenarios'!I39&lt;&gt;"", 'Input Scenarios'!I39, _xlfn.XLOOKUP($E12,Constants!$A$3:$A$6, Constants!C$3:C$6))</f>
        <v>0.37</v>
      </c>
      <c r="J12">
        <f>IF('Input Scenarios'!J39&lt;&gt;"", 'Input Scenarios'!J39, _xlfn.XLOOKUP($E12,Constants!$A$3:$A$6, Constants!D$3:D$6))</f>
        <v>0.04</v>
      </c>
      <c r="K12">
        <f>'Input Scenarios'!K39</f>
        <v>1</v>
      </c>
      <c r="L12">
        <f>'Input Scenarios'!L39</f>
        <v>0</v>
      </c>
      <c r="M12">
        <f>'Input Scenarios'!M39</f>
        <v>0</v>
      </c>
      <c r="N12">
        <f>'Input Scenarios'!N39</f>
        <v>0</v>
      </c>
      <c r="O12">
        <f>'Input Scenarios'!O39</f>
        <v>0</v>
      </c>
      <c r="P12">
        <f>'Input Scenarios'!P39</f>
        <v>0</v>
      </c>
      <c r="Q12" t="b">
        <f>'Input Scenarios'!Q39</f>
        <v>1</v>
      </c>
      <c r="R12">
        <f>IF('Input Scenarios'!$R39&lt;&gt;"", 'Input Scenarios'!$R39, IF($Q12, Constants!$B$19, 0))</f>
        <v>0.3</v>
      </c>
      <c r="S12">
        <f>IF('Input Scenarios'!$R39&lt;&gt;"", 'Input Scenarios'!$R39, IF($Q12, Constants!$B$20, 0))</f>
        <v>0.3</v>
      </c>
      <c r="T12">
        <f t="shared" ref="T12:T26" si="1">F12*G12*J12</f>
        <v>914.64</v>
      </c>
      <c r="U12">
        <f t="shared" ref="U12:U26" si="2">L12</f>
        <v>0</v>
      </c>
      <c r="V12">
        <f t="shared" si="0"/>
        <v>0</v>
      </c>
      <c r="W12">
        <f>Constants!$B$23</f>
        <v>1.5714285714285714</v>
      </c>
      <c r="X12">
        <f>Constants!$B$24</f>
        <v>1.0999999999999999E-2</v>
      </c>
      <c r="Y12">
        <f t="shared" ref="Y12:Y26" si="3">IF(D12, 1, 0)</f>
        <v>1</v>
      </c>
      <c r="Z12">
        <f>Constants!$B$25</f>
        <v>0.02</v>
      </c>
      <c r="AA12">
        <f t="shared" ref="AA12:AA26" si="4">V12*Y12*Z12</f>
        <v>0</v>
      </c>
      <c r="AB12">
        <f t="shared" ref="AB12:AB26" si="5">AA12*X12*W12</f>
        <v>0</v>
      </c>
    </row>
    <row r="13" spans="1:29" x14ac:dyDescent="0.2">
      <c r="A13" t="str">
        <f>'Input Scenarios'!A40</f>
        <v>NSW</v>
      </c>
      <c r="B13" t="str">
        <f>'Input Scenarios'!B40</f>
        <v>10 or below</v>
      </c>
      <c r="C13" t="str">
        <f>'Input Scenarios'!C40</f>
        <v>Irrigated crop</v>
      </c>
      <c r="D13" t="b">
        <f>'Input Scenarios'!D40</f>
        <v>1</v>
      </c>
      <c r="E13" t="str">
        <f>'Input Scenarios'!E40</f>
        <v>gilts</v>
      </c>
      <c r="F13">
        <f>'Input Scenarios'!F40</f>
        <v>333</v>
      </c>
      <c r="G13">
        <f>'Input Scenarios'!G40</f>
        <v>200</v>
      </c>
      <c r="H13">
        <f>IF('Input Scenarios'!H40&lt;&gt;"", 'Input Scenarios'!H40, _xlfn.XLOOKUP($E13,Constants!$A$3:$A$6, Constants!B$3:B$6))</f>
        <v>2.5</v>
      </c>
      <c r="I13">
        <f>IF('Input Scenarios'!I40&lt;&gt;"", 'Input Scenarios'!I40, _xlfn.XLOOKUP($E13,Constants!$A$3:$A$6, Constants!C$3:C$6))</f>
        <v>0.37</v>
      </c>
      <c r="J13">
        <f>IF('Input Scenarios'!J40&lt;&gt;"", 'Input Scenarios'!J40, _xlfn.XLOOKUP($E13,Constants!$A$3:$A$6, Constants!D$3:D$6))</f>
        <v>0.04</v>
      </c>
      <c r="K13">
        <f>'Input Scenarios'!K40</f>
        <v>0</v>
      </c>
      <c r="L13">
        <f>'Input Scenarios'!L40</f>
        <v>0</v>
      </c>
      <c r="M13">
        <f>'Input Scenarios'!M40</f>
        <v>0</v>
      </c>
      <c r="N13">
        <f>'Input Scenarios'!N40</f>
        <v>0</v>
      </c>
      <c r="O13">
        <f>'Input Scenarios'!O40</f>
        <v>1</v>
      </c>
      <c r="P13">
        <f>'Input Scenarios'!P40</f>
        <v>0</v>
      </c>
      <c r="Q13" t="b">
        <f>'Input Scenarios'!Q40</f>
        <v>0</v>
      </c>
      <c r="R13">
        <f>IF('Input Scenarios'!$R40&lt;&gt;"", 'Input Scenarios'!$R40, IF($Q13, Constants!$B$19, 0))</f>
        <v>0</v>
      </c>
      <c r="S13">
        <f>IF('Input Scenarios'!$R40&lt;&gt;"", 'Input Scenarios'!$R40, IF($Q13, Constants!$B$20, 0))</f>
        <v>0</v>
      </c>
      <c r="T13">
        <f t="shared" si="1"/>
        <v>2664</v>
      </c>
      <c r="U13">
        <f t="shared" si="2"/>
        <v>0</v>
      </c>
      <c r="V13">
        <f t="shared" si="0"/>
        <v>0</v>
      </c>
      <c r="W13">
        <f>Constants!$B$23</f>
        <v>1.5714285714285714</v>
      </c>
      <c r="X13">
        <f>Constants!$B$24</f>
        <v>1.0999999999999999E-2</v>
      </c>
      <c r="Y13">
        <f t="shared" si="3"/>
        <v>1</v>
      </c>
      <c r="Z13">
        <f>Constants!$B$25</f>
        <v>0.02</v>
      </c>
      <c r="AA13">
        <f t="shared" si="4"/>
        <v>0</v>
      </c>
      <c r="AB13">
        <f t="shared" si="5"/>
        <v>0</v>
      </c>
    </row>
    <row r="14" spans="1:29" s="2" customFormat="1" x14ac:dyDescent="0.2">
      <c r="A14" s="2" t="str">
        <f>'Input Scenarios'!A41</f>
        <v>NSW</v>
      </c>
      <c r="B14" s="2" t="str">
        <f>'Input Scenarios'!B41</f>
        <v>10 or below</v>
      </c>
      <c r="C14" s="2" t="str">
        <f>'Input Scenarios'!C41</f>
        <v>Irrigated crop</v>
      </c>
      <c r="D14" s="2" t="b">
        <f>'Input Scenarios'!D41</f>
        <v>1</v>
      </c>
      <c r="E14" s="2" t="str">
        <f>'Input Scenarios'!E41</f>
        <v>others</v>
      </c>
      <c r="F14" s="2">
        <f>'Input Scenarios'!F41</f>
        <v>444</v>
      </c>
      <c r="G14" s="2">
        <f>'Input Scenarios'!G41</f>
        <v>365</v>
      </c>
      <c r="H14" s="2">
        <f>IF('Input Scenarios'!H41&lt;&gt;"", 'Input Scenarios'!H41, _xlfn.XLOOKUP($E14,Constants!$A$3:$A$6, Constants!B$3:B$6))</f>
        <v>1.71</v>
      </c>
      <c r="I14" s="2">
        <f>IF('Input Scenarios'!I41&lt;&gt;"", 'Input Scenarios'!I41, _xlfn.XLOOKUP($E14,Constants!$A$3:$A$6, Constants!C$3:C$6))</f>
        <v>0.37</v>
      </c>
      <c r="J14" s="2">
        <f>IF('Input Scenarios'!J41&lt;&gt;"", 'Input Scenarios'!J41, _xlfn.XLOOKUP($E14,Constants!$A$3:$A$6, Constants!D$3:D$6))</f>
        <v>0.04</v>
      </c>
      <c r="K14" s="2">
        <f>'Input Scenarios'!K41</f>
        <v>0</v>
      </c>
      <c r="L14" s="2">
        <f>'Input Scenarios'!L41</f>
        <v>0</v>
      </c>
      <c r="M14" s="2">
        <f>'Input Scenarios'!M41</f>
        <v>0</v>
      </c>
      <c r="N14" s="2">
        <f>'Input Scenarios'!N41</f>
        <v>0</v>
      </c>
      <c r="O14" s="2">
        <f>'Input Scenarios'!O41</f>
        <v>1</v>
      </c>
      <c r="P14" s="2">
        <f>'Input Scenarios'!P41</f>
        <v>0</v>
      </c>
      <c r="Q14" s="2" t="b">
        <f>'Input Scenarios'!Q41</f>
        <v>0</v>
      </c>
      <c r="R14" s="2">
        <f>IF('Input Scenarios'!$R41&lt;&gt;"", 'Input Scenarios'!$R41, IF($Q14, Constants!$B$19, 0))</f>
        <v>0</v>
      </c>
      <c r="S14" s="2">
        <f>IF('Input Scenarios'!$R41&lt;&gt;"", 'Input Scenarios'!$R41, IF($Q14, Constants!$B$20, 0))</f>
        <v>0</v>
      </c>
      <c r="T14">
        <f t="shared" si="1"/>
        <v>6482.4000000000005</v>
      </c>
      <c r="U14">
        <f t="shared" si="2"/>
        <v>0</v>
      </c>
      <c r="V14">
        <f t="shared" si="0"/>
        <v>0</v>
      </c>
      <c r="W14">
        <f>Constants!$B$23</f>
        <v>1.5714285714285714</v>
      </c>
      <c r="X14">
        <f>Constants!$B$24</f>
        <v>1.0999999999999999E-2</v>
      </c>
      <c r="Y14">
        <f t="shared" si="3"/>
        <v>1</v>
      </c>
      <c r="Z14">
        <f>Constants!$B$25</f>
        <v>0.02</v>
      </c>
      <c r="AA14">
        <f t="shared" si="4"/>
        <v>0</v>
      </c>
      <c r="AB14">
        <f t="shared" si="5"/>
        <v>0</v>
      </c>
    </row>
    <row r="15" spans="1:29" x14ac:dyDescent="0.2">
      <c r="A15" t="str">
        <f>'Input Scenarios'!A42</f>
        <v>NT</v>
      </c>
      <c r="B15">
        <f>'Input Scenarios'!B42</f>
        <v>14</v>
      </c>
      <c r="C15" t="str">
        <f>'Input Scenarios'!C42</f>
        <v>Irrigated pasture</v>
      </c>
      <c r="D15" t="b">
        <f>'Input Scenarios'!D42</f>
        <v>1</v>
      </c>
      <c r="E15" t="str">
        <f>'Input Scenarios'!E42</f>
        <v>boars</v>
      </c>
      <c r="F15">
        <f>'Input Scenarios'!F42</f>
        <v>105</v>
      </c>
      <c r="G15">
        <f>'Input Scenarios'!G42</f>
        <v>75</v>
      </c>
      <c r="H15">
        <f>IF('Input Scenarios'!H42&lt;&gt;"", 'Input Scenarios'!H42, _xlfn.XLOOKUP($E15,Constants!$A$3:$A$6, Constants!B$3:B$6))</f>
        <v>2.62</v>
      </c>
      <c r="I15">
        <f>IF('Input Scenarios'!I42&lt;&gt;"", 'Input Scenarios'!I42, _xlfn.XLOOKUP($E15,Constants!$A$3:$A$6, Constants!C$3:C$6))</f>
        <v>0.5</v>
      </c>
      <c r="J15">
        <f>IF('Input Scenarios'!J42&lt;&gt;"", 'Input Scenarios'!J42, _xlfn.XLOOKUP($E15,Constants!$A$3:$A$6, Constants!D$3:D$6))</f>
        <v>7.9000000000000001E-2</v>
      </c>
      <c r="K15">
        <f>'Input Scenarios'!K42</f>
        <v>0.2</v>
      </c>
      <c r="L15">
        <f>'Input Scenarios'!L42</f>
        <v>0.1</v>
      </c>
      <c r="M15">
        <f>'Input Scenarios'!M42</f>
        <v>0.2</v>
      </c>
      <c r="N15">
        <f>'Input Scenarios'!N42</f>
        <v>0.2</v>
      </c>
      <c r="O15">
        <f>'Input Scenarios'!O42</f>
        <v>0.2</v>
      </c>
      <c r="P15">
        <f>'Input Scenarios'!P42</f>
        <v>0.1</v>
      </c>
      <c r="Q15" t="b">
        <f>'Input Scenarios'!Q42</f>
        <v>1</v>
      </c>
      <c r="R15">
        <f>IF('Input Scenarios'!$R42&lt;&gt;"", 'Input Scenarios'!$R42, IF($Q15, Constants!$B$19, 0))</f>
        <v>0.45</v>
      </c>
      <c r="S15">
        <f>IF('Input Scenarios'!$R42&lt;&gt;"", 'Input Scenarios'!$R42, IF($Q15, Constants!$B$20, 0))</f>
        <v>0.45</v>
      </c>
      <c r="T15">
        <f t="shared" si="1"/>
        <v>622.125</v>
      </c>
      <c r="U15">
        <f t="shared" si="2"/>
        <v>0.1</v>
      </c>
      <c r="V15">
        <f t="shared" si="0"/>
        <v>62.212500000000006</v>
      </c>
      <c r="W15">
        <f>Constants!$B$23</f>
        <v>1.5714285714285714</v>
      </c>
      <c r="X15">
        <f>Constants!$B$24</f>
        <v>1.0999999999999999E-2</v>
      </c>
      <c r="Y15">
        <f t="shared" si="3"/>
        <v>1</v>
      </c>
      <c r="Z15">
        <f>Constants!$B$25</f>
        <v>0.02</v>
      </c>
      <c r="AA15">
        <f t="shared" si="4"/>
        <v>1.2442500000000001</v>
      </c>
      <c r="AB15">
        <f t="shared" si="5"/>
        <v>2.1507749999999999E-2</v>
      </c>
      <c r="AC15">
        <f>SUM(AB15:AB18)/1000</f>
        <v>4.4345929571428574E-4</v>
      </c>
    </row>
    <row r="16" spans="1:29" x14ac:dyDescent="0.2">
      <c r="A16" t="str">
        <f>'Input Scenarios'!A43</f>
        <v>NT</v>
      </c>
      <c r="B16">
        <f>'Input Scenarios'!B43</f>
        <v>14</v>
      </c>
      <c r="C16" t="str">
        <f>'Input Scenarios'!C43</f>
        <v>Irrigated pasture</v>
      </c>
      <c r="D16" t="b">
        <f>'Input Scenarios'!D43</f>
        <v>1</v>
      </c>
      <c r="E16" t="str">
        <f>'Input Scenarios'!E43</f>
        <v>sows</v>
      </c>
      <c r="F16">
        <f>'Input Scenarios'!F43</f>
        <v>245</v>
      </c>
      <c r="G16">
        <f>'Input Scenarios'!G43</f>
        <v>290</v>
      </c>
      <c r="H16">
        <f>IF('Input Scenarios'!H43&lt;&gt;"", 'Input Scenarios'!H43, _xlfn.XLOOKUP($E16,Constants!$A$3:$A$6, Constants!B$3:B$6))</f>
        <v>2.2999999999999998</v>
      </c>
      <c r="I16">
        <f>IF('Input Scenarios'!I43&lt;&gt;"", 'Input Scenarios'!I43, _xlfn.XLOOKUP($E16,Constants!$A$3:$A$6, Constants!C$3:C$6))</f>
        <v>0.56000000000000005</v>
      </c>
      <c r="J16">
        <f>IF('Input Scenarios'!J43&lt;&gt;"", 'Input Scenarios'!J43, _xlfn.XLOOKUP($E16,Constants!$A$3:$A$6, Constants!D$3:D$6))</f>
        <v>6.9000000000000006E-2</v>
      </c>
      <c r="K16">
        <f>'Input Scenarios'!K43</f>
        <v>0.2</v>
      </c>
      <c r="L16">
        <f>'Input Scenarios'!L43</f>
        <v>0.1</v>
      </c>
      <c r="M16">
        <f>'Input Scenarios'!M43</f>
        <v>0.2</v>
      </c>
      <c r="N16">
        <f>'Input Scenarios'!N43</f>
        <v>0.2</v>
      </c>
      <c r="O16">
        <f>'Input Scenarios'!O43</f>
        <v>0.2</v>
      </c>
      <c r="P16">
        <f>'Input Scenarios'!P43</f>
        <v>0.1</v>
      </c>
      <c r="Q16" t="b">
        <f>'Input Scenarios'!Q43</f>
        <v>1</v>
      </c>
      <c r="R16">
        <f>IF('Input Scenarios'!$R43&lt;&gt;"", 'Input Scenarios'!$R43, IF($Q16, Constants!$B$19, 0))</f>
        <v>0.45</v>
      </c>
      <c r="S16">
        <f>IF('Input Scenarios'!$R43&lt;&gt;"", 'Input Scenarios'!$R43, IF($Q16, Constants!$B$20, 0))</f>
        <v>0.45</v>
      </c>
      <c r="T16">
        <f t="shared" si="1"/>
        <v>4902.4500000000007</v>
      </c>
      <c r="U16">
        <f t="shared" si="2"/>
        <v>0.1</v>
      </c>
      <c r="V16">
        <f t="shared" si="0"/>
        <v>490.24500000000012</v>
      </c>
      <c r="W16">
        <f>Constants!$B$23</f>
        <v>1.5714285714285714</v>
      </c>
      <c r="X16">
        <f>Constants!$B$24</f>
        <v>1.0999999999999999E-2</v>
      </c>
      <c r="Y16">
        <f t="shared" si="3"/>
        <v>1</v>
      </c>
      <c r="Z16">
        <f>Constants!$B$25</f>
        <v>0.02</v>
      </c>
      <c r="AA16">
        <f t="shared" si="4"/>
        <v>9.8049000000000017</v>
      </c>
      <c r="AB16">
        <f t="shared" si="5"/>
        <v>0.16948470000000002</v>
      </c>
    </row>
    <row r="17" spans="1:29" x14ac:dyDescent="0.2">
      <c r="A17" t="str">
        <f>'Input Scenarios'!A44</f>
        <v>NT</v>
      </c>
      <c r="B17">
        <f>'Input Scenarios'!B44</f>
        <v>14</v>
      </c>
      <c r="C17" t="str">
        <f>'Input Scenarios'!C44</f>
        <v>Irrigated pasture</v>
      </c>
      <c r="D17" t="b">
        <f>'Input Scenarios'!D44</f>
        <v>1</v>
      </c>
      <c r="E17" t="str">
        <f>'Input Scenarios'!E44</f>
        <v>gilts</v>
      </c>
      <c r="F17">
        <f>'Input Scenarios'!F44</f>
        <v>434</v>
      </c>
      <c r="G17">
        <f>'Input Scenarios'!G44</f>
        <v>280</v>
      </c>
      <c r="H17">
        <f>IF('Input Scenarios'!H44&lt;&gt;"", 'Input Scenarios'!H44, _xlfn.XLOOKUP($E17,Constants!$A$3:$A$6, Constants!B$3:B$6))</f>
        <v>2.5</v>
      </c>
      <c r="I17">
        <f>IF('Input Scenarios'!I44&lt;&gt;"", 'Input Scenarios'!I44, _xlfn.XLOOKUP($E17,Constants!$A$3:$A$6, Constants!C$3:C$6))</f>
        <v>0.45</v>
      </c>
      <c r="J17">
        <f>IF('Input Scenarios'!J44&lt;&gt;"", 'Input Scenarios'!J44, _xlfn.XLOOKUP($E17,Constants!$A$3:$A$6, Constants!D$3:D$6))</f>
        <v>5.6000000000000001E-2</v>
      </c>
      <c r="K17">
        <f>'Input Scenarios'!K44</f>
        <v>0.2</v>
      </c>
      <c r="L17">
        <f>'Input Scenarios'!L44</f>
        <v>0.1</v>
      </c>
      <c r="M17">
        <f>'Input Scenarios'!M44</f>
        <v>0.2</v>
      </c>
      <c r="N17">
        <f>'Input Scenarios'!N44</f>
        <v>0.2</v>
      </c>
      <c r="O17">
        <f>'Input Scenarios'!O44</f>
        <v>0.2</v>
      </c>
      <c r="P17">
        <f>'Input Scenarios'!P44</f>
        <v>0.1</v>
      </c>
      <c r="Q17" t="b">
        <f>'Input Scenarios'!Q44</f>
        <v>1</v>
      </c>
      <c r="R17">
        <f>IF('Input Scenarios'!$R44&lt;&gt;"", 'Input Scenarios'!$R44, IF($Q17, Constants!$B$19, 0))</f>
        <v>0.45</v>
      </c>
      <c r="S17">
        <f>IF('Input Scenarios'!$R44&lt;&gt;"", 'Input Scenarios'!$R44, IF($Q17, Constants!$B$20, 0))</f>
        <v>0.45</v>
      </c>
      <c r="T17">
        <f t="shared" si="1"/>
        <v>6805.12</v>
      </c>
      <c r="U17">
        <f t="shared" si="2"/>
        <v>0.1</v>
      </c>
      <c r="V17">
        <f t="shared" si="0"/>
        <v>680.51200000000006</v>
      </c>
      <c r="W17">
        <f>Constants!$B$23</f>
        <v>1.5714285714285714</v>
      </c>
      <c r="X17">
        <f>Constants!$B$24</f>
        <v>1.0999999999999999E-2</v>
      </c>
      <c r="Y17">
        <f t="shared" si="3"/>
        <v>1</v>
      </c>
      <c r="Z17">
        <f>Constants!$B$25</f>
        <v>0.02</v>
      </c>
      <c r="AA17">
        <f t="shared" si="4"/>
        <v>13.610240000000001</v>
      </c>
      <c r="AB17">
        <f t="shared" si="5"/>
        <v>0.23526272000000001</v>
      </c>
    </row>
    <row r="18" spans="1:29" s="2" customFormat="1" x14ac:dyDescent="0.2">
      <c r="A18" s="2" t="str">
        <f>'Input Scenarios'!A45</f>
        <v>NT</v>
      </c>
      <c r="B18" s="2">
        <f>'Input Scenarios'!B45</f>
        <v>14</v>
      </c>
      <c r="C18" s="2" t="str">
        <f>'Input Scenarios'!C45</f>
        <v>Irrigated pasture</v>
      </c>
      <c r="D18" s="2" t="b">
        <f>'Input Scenarios'!D45</f>
        <v>1</v>
      </c>
      <c r="E18" s="2" t="str">
        <f>'Input Scenarios'!E45</f>
        <v>others</v>
      </c>
      <c r="F18" s="2">
        <f>'Input Scenarios'!F45</f>
        <v>44</v>
      </c>
      <c r="G18" s="2">
        <f>'Input Scenarios'!G45</f>
        <v>290</v>
      </c>
      <c r="H18" s="2">
        <f>IF('Input Scenarios'!H45&lt;&gt;"", 'Input Scenarios'!H45, _xlfn.XLOOKUP($E18,Constants!$A$3:$A$6, Constants!B$3:B$6))</f>
        <v>1.71</v>
      </c>
      <c r="I18" s="2">
        <f>IF('Input Scenarios'!I45&lt;&gt;"", 'Input Scenarios'!I45, _xlfn.XLOOKUP($E18,Constants!$A$3:$A$6, Constants!C$3:C$6))</f>
        <v>0.49</v>
      </c>
      <c r="J18" s="2">
        <f>IF('Input Scenarios'!J45&lt;&gt;"", 'Input Scenarios'!J45, _xlfn.XLOOKUP($E18,Constants!$A$3:$A$6, Constants!D$3:D$6))</f>
        <v>3.9E-2</v>
      </c>
      <c r="K18" s="2">
        <f>'Input Scenarios'!K45</f>
        <v>0.2</v>
      </c>
      <c r="L18" s="2">
        <f>'Input Scenarios'!L45</f>
        <v>0.1</v>
      </c>
      <c r="M18" s="2">
        <f>'Input Scenarios'!M45</f>
        <v>0.2</v>
      </c>
      <c r="N18" s="2">
        <f>'Input Scenarios'!N45</f>
        <v>0.2</v>
      </c>
      <c r="O18" s="2">
        <f>'Input Scenarios'!O45</f>
        <v>0.2</v>
      </c>
      <c r="P18" s="2">
        <f>'Input Scenarios'!P45</f>
        <v>0.1</v>
      </c>
      <c r="Q18" s="2" t="b">
        <f>'Input Scenarios'!Q45</f>
        <v>1</v>
      </c>
      <c r="R18" s="2">
        <f>IF('Input Scenarios'!$R45&lt;&gt;"", 'Input Scenarios'!$R45, IF($Q18, Constants!$B$19, 0))</f>
        <v>0.45</v>
      </c>
      <c r="S18" s="2">
        <f>IF('Input Scenarios'!$R45&lt;&gt;"", 'Input Scenarios'!$R45, IF($Q18, Constants!$B$20, 0))</f>
        <v>0.45</v>
      </c>
      <c r="T18">
        <f t="shared" si="1"/>
        <v>497.64</v>
      </c>
      <c r="U18">
        <f t="shared" si="2"/>
        <v>0.1</v>
      </c>
      <c r="V18">
        <f t="shared" si="0"/>
        <v>49.764000000000003</v>
      </c>
      <c r="W18">
        <f>Constants!$B$23</f>
        <v>1.5714285714285714</v>
      </c>
      <c r="X18">
        <f>Constants!$B$24</f>
        <v>1.0999999999999999E-2</v>
      </c>
      <c r="Y18">
        <f t="shared" si="3"/>
        <v>1</v>
      </c>
      <c r="Z18">
        <f>Constants!$B$25</f>
        <v>0.02</v>
      </c>
      <c r="AA18">
        <f t="shared" si="4"/>
        <v>0.99528000000000005</v>
      </c>
      <c r="AB18">
        <f t="shared" si="5"/>
        <v>1.7204125714285715E-2</v>
      </c>
    </row>
    <row r="19" spans="1:29" x14ac:dyDescent="0.2">
      <c r="A19" t="str">
        <f>'Input Scenarios'!A46</f>
        <v>VIC</v>
      </c>
      <c r="B19">
        <f>'Input Scenarios'!B46</f>
        <v>15</v>
      </c>
      <c r="C19" t="str">
        <f>'Input Scenarios'!C46</f>
        <v>Non-irrigated pasture</v>
      </c>
      <c r="D19" t="b">
        <f>'Input Scenarios'!D46</f>
        <v>1</v>
      </c>
      <c r="E19" t="str">
        <f>'Input Scenarios'!E46</f>
        <v>boars</v>
      </c>
      <c r="F19">
        <f>'Input Scenarios'!F46</f>
        <v>1000</v>
      </c>
      <c r="G19">
        <f>'Input Scenarios'!G46</f>
        <v>100</v>
      </c>
      <c r="H19">
        <f>IF('Input Scenarios'!H46&lt;&gt;"", 'Input Scenarios'!H46, _xlfn.XLOOKUP($E19,Constants!$A$3:$A$6, Constants!B$3:B$6))</f>
        <v>2.62</v>
      </c>
      <c r="I19">
        <f>IF('Input Scenarios'!I46&lt;&gt;"", 'Input Scenarios'!I46, _xlfn.XLOOKUP($E19,Constants!$A$3:$A$6, Constants!C$3:C$6))</f>
        <v>0.46500000000000002</v>
      </c>
      <c r="J19">
        <f>IF('Input Scenarios'!J46&lt;&gt;"", 'Input Scenarios'!J46, _xlfn.XLOOKUP($E19,Constants!$A$3:$A$6, Constants!D$3:D$6))</f>
        <v>4.4999999999999998E-2</v>
      </c>
      <c r="K19">
        <f>'Input Scenarios'!K46</f>
        <v>0.3</v>
      </c>
      <c r="L19">
        <f>'Input Scenarios'!L46</f>
        <v>0</v>
      </c>
      <c r="M19">
        <f>'Input Scenarios'!M46</f>
        <v>0</v>
      </c>
      <c r="N19">
        <f>'Input Scenarios'!N46</f>
        <v>0.3</v>
      </c>
      <c r="O19">
        <f>'Input Scenarios'!O46</f>
        <v>0</v>
      </c>
      <c r="P19">
        <f>'Input Scenarios'!P46</f>
        <v>0.4</v>
      </c>
      <c r="Q19" t="b">
        <f>'Input Scenarios'!Q46</f>
        <v>0</v>
      </c>
      <c r="R19">
        <f>IF('Input Scenarios'!$R46&lt;&gt;"", 'Input Scenarios'!$R46, IF($Q19, Constants!$B$19, 0))</f>
        <v>0</v>
      </c>
      <c r="S19">
        <f>IF('Input Scenarios'!$R46&lt;&gt;"", 'Input Scenarios'!$R46, IF($Q19, Constants!$B$20, 0))</f>
        <v>0</v>
      </c>
      <c r="T19">
        <f t="shared" si="1"/>
        <v>4500</v>
      </c>
      <c r="U19">
        <f t="shared" si="2"/>
        <v>0</v>
      </c>
      <c r="V19">
        <f t="shared" si="0"/>
        <v>0</v>
      </c>
      <c r="W19">
        <f>Constants!$B$23</f>
        <v>1.5714285714285714</v>
      </c>
      <c r="X19">
        <f>Constants!$B$24</f>
        <v>1.0999999999999999E-2</v>
      </c>
      <c r="Y19">
        <f t="shared" si="3"/>
        <v>1</v>
      </c>
      <c r="Z19">
        <f>Constants!$B$25</f>
        <v>0.02</v>
      </c>
      <c r="AA19">
        <f t="shared" si="4"/>
        <v>0</v>
      </c>
      <c r="AB19">
        <f t="shared" si="5"/>
        <v>0</v>
      </c>
      <c r="AC19">
        <f>SUM(AB19:AB22)/1000</f>
        <v>0</v>
      </c>
    </row>
    <row r="20" spans="1:29" x14ac:dyDescent="0.2">
      <c r="A20" t="str">
        <f>'Input Scenarios'!A47</f>
        <v>VIC</v>
      </c>
      <c r="B20">
        <f>'Input Scenarios'!B47</f>
        <v>15</v>
      </c>
      <c r="C20" t="str">
        <f>'Input Scenarios'!C47</f>
        <v>Non-irrigated pasture</v>
      </c>
      <c r="D20" t="b">
        <f>'Input Scenarios'!D47</f>
        <v>1</v>
      </c>
      <c r="E20" t="str">
        <f>'Input Scenarios'!E47</f>
        <v>sows</v>
      </c>
      <c r="F20">
        <f>'Input Scenarios'!F47</f>
        <v>233</v>
      </c>
      <c r="G20">
        <f>'Input Scenarios'!G47</f>
        <v>100</v>
      </c>
      <c r="H20">
        <f>IF('Input Scenarios'!H47&lt;&gt;"", 'Input Scenarios'!H47, _xlfn.XLOOKUP($E20,Constants!$A$3:$A$6, Constants!B$3:B$6))</f>
        <v>2.2999999999999998</v>
      </c>
      <c r="I20">
        <f>IF('Input Scenarios'!I47&lt;&gt;"", 'Input Scenarios'!I47, _xlfn.XLOOKUP($E20,Constants!$A$3:$A$6, Constants!C$3:C$6))</f>
        <v>0.45100000000000001</v>
      </c>
      <c r="J20">
        <f>IF('Input Scenarios'!J47&lt;&gt;"", 'Input Scenarios'!J47, _xlfn.XLOOKUP($E20,Constants!$A$3:$A$6, Constants!D$3:D$6))</f>
        <v>3.3500000000000002E-2</v>
      </c>
      <c r="K20">
        <f>'Input Scenarios'!K47</f>
        <v>0.3</v>
      </c>
      <c r="L20">
        <f>'Input Scenarios'!L47</f>
        <v>0</v>
      </c>
      <c r="M20">
        <f>'Input Scenarios'!M47</f>
        <v>0</v>
      </c>
      <c r="N20">
        <f>'Input Scenarios'!N47</f>
        <v>0.3</v>
      </c>
      <c r="O20">
        <f>'Input Scenarios'!O47</f>
        <v>0</v>
      </c>
      <c r="P20">
        <f>'Input Scenarios'!P47</f>
        <v>0.4</v>
      </c>
      <c r="Q20" t="b">
        <f>'Input Scenarios'!Q47</f>
        <v>0</v>
      </c>
      <c r="R20">
        <f>IF('Input Scenarios'!$R47&lt;&gt;"", 'Input Scenarios'!$R47, IF($Q20, Constants!$B$19, 0))</f>
        <v>0</v>
      </c>
      <c r="S20">
        <f>IF('Input Scenarios'!$R47&lt;&gt;"", 'Input Scenarios'!$R47, IF($Q20, Constants!$B$20, 0))</f>
        <v>0</v>
      </c>
      <c r="T20">
        <f t="shared" si="1"/>
        <v>780.55000000000007</v>
      </c>
      <c r="U20">
        <f t="shared" si="2"/>
        <v>0</v>
      </c>
      <c r="V20">
        <f t="shared" si="0"/>
        <v>0</v>
      </c>
      <c r="W20">
        <f>Constants!$B$23</f>
        <v>1.5714285714285714</v>
      </c>
      <c r="X20">
        <f>Constants!$B$24</f>
        <v>1.0999999999999999E-2</v>
      </c>
      <c r="Y20">
        <f t="shared" si="3"/>
        <v>1</v>
      </c>
      <c r="Z20">
        <f>Constants!$B$25</f>
        <v>0.02</v>
      </c>
      <c r="AA20">
        <f t="shared" si="4"/>
        <v>0</v>
      </c>
      <c r="AB20">
        <f t="shared" si="5"/>
        <v>0</v>
      </c>
    </row>
    <row r="21" spans="1:29" x14ac:dyDescent="0.2">
      <c r="A21" t="str">
        <f>'Input Scenarios'!A48</f>
        <v>VIC</v>
      </c>
      <c r="B21">
        <f>'Input Scenarios'!B48</f>
        <v>15</v>
      </c>
      <c r="C21" t="str">
        <f>'Input Scenarios'!C48</f>
        <v>Non-irrigated pasture</v>
      </c>
      <c r="D21" t="b">
        <f>'Input Scenarios'!D48</f>
        <v>1</v>
      </c>
      <c r="E21" t="str">
        <f>'Input Scenarios'!E48</f>
        <v>gilts</v>
      </c>
      <c r="F21">
        <f>'Input Scenarios'!F48</f>
        <v>923</v>
      </c>
      <c r="G21">
        <f>'Input Scenarios'!G48</f>
        <v>100</v>
      </c>
      <c r="H21">
        <f>IF('Input Scenarios'!H48&lt;&gt;"", 'Input Scenarios'!H48, _xlfn.XLOOKUP($E21,Constants!$A$3:$A$6, Constants!B$3:B$6))</f>
        <v>2.5</v>
      </c>
      <c r="I21">
        <f>IF('Input Scenarios'!I48&lt;&gt;"", 'Input Scenarios'!I48, _xlfn.XLOOKUP($E21,Constants!$A$3:$A$6, Constants!C$3:C$6))</f>
        <v>0.437</v>
      </c>
      <c r="J21">
        <f>IF('Input Scenarios'!J48&lt;&gt;"", 'Input Scenarios'!J48, _xlfn.XLOOKUP($E21,Constants!$A$3:$A$6, Constants!D$3:D$6))</f>
        <v>2.1999999999999999E-2</v>
      </c>
      <c r="K21">
        <f>'Input Scenarios'!K48</f>
        <v>0</v>
      </c>
      <c r="L21">
        <f>'Input Scenarios'!L48</f>
        <v>0</v>
      </c>
      <c r="M21">
        <f>'Input Scenarios'!M48</f>
        <v>0.5</v>
      </c>
      <c r="N21">
        <f>'Input Scenarios'!N48</f>
        <v>0</v>
      </c>
      <c r="O21">
        <f>'Input Scenarios'!O48</f>
        <v>0.5</v>
      </c>
      <c r="P21">
        <f>'Input Scenarios'!P48</f>
        <v>0</v>
      </c>
      <c r="Q21" t="b">
        <f>'Input Scenarios'!Q48</f>
        <v>0</v>
      </c>
      <c r="R21">
        <f>IF('Input Scenarios'!$R48&lt;&gt;"", 'Input Scenarios'!$R48, IF($Q21, Constants!$B$19, 0))</f>
        <v>0</v>
      </c>
      <c r="S21">
        <f>IF('Input Scenarios'!$R48&lt;&gt;"", 'Input Scenarios'!$R48, IF($Q21, Constants!$B$20, 0))</f>
        <v>0</v>
      </c>
      <c r="T21">
        <f t="shared" si="1"/>
        <v>2030.6</v>
      </c>
      <c r="U21">
        <f t="shared" si="2"/>
        <v>0</v>
      </c>
      <c r="V21">
        <f t="shared" si="0"/>
        <v>0</v>
      </c>
      <c r="W21">
        <f>Constants!$B$23</f>
        <v>1.5714285714285714</v>
      </c>
      <c r="X21">
        <f>Constants!$B$24</f>
        <v>1.0999999999999999E-2</v>
      </c>
      <c r="Y21">
        <f t="shared" si="3"/>
        <v>1</v>
      </c>
      <c r="Z21">
        <f>Constants!$B$25</f>
        <v>0.02</v>
      </c>
      <c r="AA21">
        <f t="shared" si="4"/>
        <v>0</v>
      </c>
      <c r="AB21">
        <f t="shared" si="5"/>
        <v>0</v>
      </c>
    </row>
    <row r="22" spans="1:29" s="2" customFormat="1" x14ac:dyDescent="0.2">
      <c r="A22" s="2" t="str">
        <f>'Input Scenarios'!A49</f>
        <v>VIC</v>
      </c>
      <c r="B22" s="2">
        <f>'Input Scenarios'!B49</f>
        <v>15</v>
      </c>
      <c r="C22" s="2" t="str">
        <f>'Input Scenarios'!C49</f>
        <v>Non-irrigated pasture</v>
      </c>
      <c r="D22" s="2" t="b">
        <f>'Input Scenarios'!D49</f>
        <v>1</v>
      </c>
      <c r="E22" s="2" t="str">
        <f>'Input Scenarios'!E49</f>
        <v>others</v>
      </c>
      <c r="F22" s="2">
        <f>'Input Scenarios'!F49</f>
        <v>122</v>
      </c>
      <c r="G22" s="2">
        <f>'Input Scenarios'!G49</f>
        <v>100</v>
      </c>
      <c r="H22" s="2">
        <f>IF('Input Scenarios'!H49&lt;&gt;"", 'Input Scenarios'!H49, _xlfn.XLOOKUP($E22,Constants!$A$3:$A$6, Constants!B$3:B$6))</f>
        <v>1.71</v>
      </c>
      <c r="I22" s="2">
        <f>IF('Input Scenarios'!I49&lt;&gt;"", 'Input Scenarios'!I49, _xlfn.XLOOKUP($E22,Constants!$A$3:$A$6, Constants!C$3:C$6))</f>
        <v>0.42299999999999999</v>
      </c>
      <c r="J22" s="2">
        <f>IF('Input Scenarios'!J49&lt;&gt;"", 'Input Scenarios'!J49, _xlfn.XLOOKUP($E22,Constants!$A$3:$A$6, Constants!D$3:D$6))</f>
        <v>3.9E-2</v>
      </c>
      <c r="K22" s="2">
        <f>'Input Scenarios'!K49</f>
        <v>0</v>
      </c>
      <c r="L22" s="2">
        <f>'Input Scenarios'!L49</f>
        <v>0</v>
      </c>
      <c r="M22" s="2">
        <f>'Input Scenarios'!M49</f>
        <v>0.5</v>
      </c>
      <c r="N22" s="2">
        <f>'Input Scenarios'!N49</f>
        <v>0</v>
      </c>
      <c r="O22" s="2">
        <f>'Input Scenarios'!O49</f>
        <v>0.5</v>
      </c>
      <c r="P22" s="2">
        <f>'Input Scenarios'!P49</f>
        <v>0</v>
      </c>
      <c r="Q22" s="2" t="b">
        <f>'Input Scenarios'!Q49</f>
        <v>0</v>
      </c>
      <c r="R22" s="2">
        <f>IF('Input Scenarios'!$R49&lt;&gt;"", 'Input Scenarios'!$R49, IF($Q22, Constants!$B$19, 0))</f>
        <v>0</v>
      </c>
      <c r="S22" s="2">
        <f>IF('Input Scenarios'!$R49&lt;&gt;"", 'Input Scenarios'!$R49, IF($Q22, Constants!$B$20, 0))</f>
        <v>0</v>
      </c>
      <c r="T22">
        <f t="shared" si="1"/>
        <v>475.8</v>
      </c>
      <c r="U22">
        <f t="shared" si="2"/>
        <v>0</v>
      </c>
      <c r="V22">
        <f t="shared" si="0"/>
        <v>0</v>
      </c>
      <c r="W22">
        <f>Constants!$B$23</f>
        <v>1.5714285714285714</v>
      </c>
      <c r="X22">
        <f>Constants!$B$24</f>
        <v>1.0999999999999999E-2</v>
      </c>
      <c r="Y22">
        <f t="shared" si="3"/>
        <v>1</v>
      </c>
      <c r="Z22">
        <f>Constants!$B$25</f>
        <v>0.02</v>
      </c>
      <c r="AA22">
        <f t="shared" si="4"/>
        <v>0</v>
      </c>
      <c r="AB22">
        <f t="shared" si="5"/>
        <v>0</v>
      </c>
    </row>
    <row r="23" spans="1:29" x14ac:dyDescent="0.2">
      <c r="A23" t="str">
        <f>'Input Scenarios'!A50</f>
        <v>WA</v>
      </c>
      <c r="B23">
        <f>'Input Scenarios'!B50</f>
        <v>25</v>
      </c>
      <c r="C23" t="str">
        <f>'Input Scenarios'!C50</f>
        <v>Non-irrigated crop (low rainfall)</v>
      </c>
      <c r="D23" t="b">
        <f>'Input Scenarios'!D50</f>
        <v>0</v>
      </c>
      <c r="E23" t="str">
        <f>'Input Scenarios'!E50</f>
        <v>boars</v>
      </c>
      <c r="F23">
        <f>'Input Scenarios'!F50</f>
        <v>750</v>
      </c>
      <c r="G23">
        <f>'Input Scenarios'!G50</f>
        <v>200</v>
      </c>
      <c r="H23">
        <f>IF('Input Scenarios'!H50&lt;&gt;"", 'Input Scenarios'!H50, _xlfn.XLOOKUP($E23,Constants!$A$3:$A$6, Constants!B$3:B$6))</f>
        <v>2.62</v>
      </c>
      <c r="I23">
        <f>IF('Input Scenarios'!I50&lt;&gt;"", 'Input Scenarios'!I50, _xlfn.XLOOKUP($E23,Constants!$A$3:$A$6, Constants!C$3:C$6))</f>
        <v>0.38600000000000001</v>
      </c>
      <c r="J23">
        <f>IF('Input Scenarios'!J50&lt;&gt;"", 'Input Scenarios'!J50, _xlfn.XLOOKUP($E23,Constants!$A$3:$A$6, Constants!D$3:D$6))</f>
        <v>5.6000000000000001E-2</v>
      </c>
      <c r="K23">
        <f>'Input Scenarios'!K50</f>
        <v>0.3</v>
      </c>
      <c r="L23">
        <f>'Input Scenarios'!L50</f>
        <v>0</v>
      </c>
      <c r="M23">
        <f>'Input Scenarios'!M50</f>
        <v>0</v>
      </c>
      <c r="N23">
        <f>'Input Scenarios'!N50</f>
        <v>0.3</v>
      </c>
      <c r="O23">
        <f>'Input Scenarios'!O50</f>
        <v>0</v>
      </c>
      <c r="P23">
        <f>'Input Scenarios'!P50</f>
        <v>0.4</v>
      </c>
      <c r="Q23" t="b">
        <f>'Input Scenarios'!Q50</f>
        <v>0</v>
      </c>
      <c r="R23">
        <f>IF('Input Scenarios'!$R50&lt;&gt;"", 'Input Scenarios'!$R50, IF($Q23, Constants!$B$19, 0))</f>
        <v>0</v>
      </c>
      <c r="S23">
        <f>IF('Input Scenarios'!$R50&lt;&gt;"", 'Input Scenarios'!$R50, IF($Q23, Constants!$B$20, 0))</f>
        <v>0</v>
      </c>
      <c r="T23">
        <f t="shared" si="1"/>
        <v>8400</v>
      </c>
      <c r="U23">
        <f t="shared" si="2"/>
        <v>0</v>
      </c>
      <c r="V23">
        <f t="shared" si="0"/>
        <v>0</v>
      </c>
      <c r="W23">
        <f>Constants!$B$23</f>
        <v>1.5714285714285714</v>
      </c>
      <c r="X23">
        <f>Constants!$B$24</f>
        <v>1.0999999999999999E-2</v>
      </c>
      <c r="Y23">
        <f t="shared" si="3"/>
        <v>0</v>
      </c>
      <c r="Z23">
        <f>Constants!$B$25</f>
        <v>0.02</v>
      </c>
      <c r="AA23">
        <f t="shared" si="4"/>
        <v>0</v>
      </c>
      <c r="AB23">
        <f t="shared" si="5"/>
        <v>0</v>
      </c>
      <c r="AC23">
        <f>SUM(AB23:AB26)/1000</f>
        <v>0</v>
      </c>
    </row>
    <row r="24" spans="1:29" x14ac:dyDescent="0.2">
      <c r="A24" t="str">
        <f>'Input Scenarios'!A51</f>
        <v>WA</v>
      </c>
      <c r="B24">
        <f>'Input Scenarios'!B51</f>
        <v>25</v>
      </c>
      <c r="C24" t="str">
        <f>'Input Scenarios'!C51</f>
        <v>Non-irrigated crop (low rainfall)</v>
      </c>
      <c r="D24" t="b">
        <f>'Input Scenarios'!D51</f>
        <v>0</v>
      </c>
      <c r="E24" t="str">
        <f>'Input Scenarios'!E51</f>
        <v>sows</v>
      </c>
      <c r="F24">
        <f>'Input Scenarios'!F51</f>
        <v>600</v>
      </c>
      <c r="G24">
        <f>'Input Scenarios'!G51</f>
        <v>200</v>
      </c>
      <c r="H24">
        <f>IF('Input Scenarios'!H51&lt;&gt;"", 'Input Scenarios'!H51, _xlfn.XLOOKUP($E24,Constants!$A$3:$A$6, Constants!B$3:B$6))</f>
        <v>2.2999999999999998</v>
      </c>
      <c r="I24">
        <f>IF('Input Scenarios'!I51&lt;&gt;"", 'Input Scenarios'!I51, _xlfn.XLOOKUP($E24,Constants!$A$3:$A$6, Constants!C$3:C$6))</f>
        <v>0.64700000000000002</v>
      </c>
      <c r="J24">
        <f>IF('Input Scenarios'!J51&lt;&gt;"", 'Input Scenarios'!J51, _xlfn.XLOOKUP($E24,Constants!$A$3:$A$6, Constants!D$3:D$6))</f>
        <v>5.6000000000000001E-2</v>
      </c>
      <c r="K24">
        <f>'Input Scenarios'!K51</f>
        <v>0</v>
      </c>
      <c r="L24">
        <f>'Input Scenarios'!L51</f>
        <v>0</v>
      </c>
      <c r="M24">
        <f>'Input Scenarios'!M51</f>
        <v>0.5</v>
      </c>
      <c r="N24">
        <f>'Input Scenarios'!N51</f>
        <v>0</v>
      </c>
      <c r="O24">
        <f>'Input Scenarios'!O51</f>
        <v>0.5</v>
      </c>
      <c r="P24">
        <f>'Input Scenarios'!P51</f>
        <v>0</v>
      </c>
      <c r="Q24" t="b">
        <f>'Input Scenarios'!Q51</f>
        <v>0</v>
      </c>
      <c r="R24">
        <f>IF('Input Scenarios'!$R51&lt;&gt;"", 'Input Scenarios'!$R51, IF($Q24, Constants!$B$19, 0))</f>
        <v>0</v>
      </c>
      <c r="S24">
        <f>IF('Input Scenarios'!$R51&lt;&gt;"", 'Input Scenarios'!$R51, IF($Q24, Constants!$B$20, 0))</f>
        <v>0</v>
      </c>
      <c r="T24">
        <f t="shared" si="1"/>
        <v>6720</v>
      </c>
      <c r="U24">
        <f t="shared" si="2"/>
        <v>0</v>
      </c>
      <c r="V24">
        <f t="shared" si="0"/>
        <v>0</v>
      </c>
      <c r="W24">
        <f>Constants!$B$23</f>
        <v>1.5714285714285714</v>
      </c>
      <c r="X24">
        <f>Constants!$B$24</f>
        <v>1.0999999999999999E-2</v>
      </c>
      <c r="Y24">
        <f t="shared" si="3"/>
        <v>0</v>
      </c>
      <c r="Z24">
        <f>Constants!$B$25</f>
        <v>0.02</v>
      </c>
      <c r="AA24">
        <f t="shared" si="4"/>
        <v>0</v>
      </c>
      <c r="AB24">
        <f t="shared" si="5"/>
        <v>0</v>
      </c>
    </row>
    <row r="25" spans="1:29" x14ac:dyDescent="0.2">
      <c r="A25" t="str">
        <f>'Input Scenarios'!A52</f>
        <v>WA</v>
      </c>
      <c r="B25">
        <f>'Input Scenarios'!B52</f>
        <v>25</v>
      </c>
      <c r="C25" t="str">
        <f>'Input Scenarios'!C52</f>
        <v>Non-irrigated crop (low rainfall)</v>
      </c>
      <c r="D25" t="b">
        <f>'Input Scenarios'!D52</f>
        <v>0</v>
      </c>
      <c r="E25" t="str">
        <f>'Input Scenarios'!E52</f>
        <v>gilts</v>
      </c>
      <c r="F25">
        <f>'Input Scenarios'!F52</f>
        <v>100</v>
      </c>
      <c r="G25">
        <f>'Input Scenarios'!G52</f>
        <v>299</v>
      </c>
      <c r="H25">
        <f>IF('Input Scenarios'!H52&lt;&gt;"", 'Input Scenarios'!H52, _xlfn.XLOOKUP($E25,Constants!$A$3:$A$6, Constants!B$3:B$6))</f>
        <v>2.5</v>
      </c>
      <c r="I25">
        <f>IF('Input Scenarios'!I52&lt;&gt;"", 'Input Scenarios'!I52, _xlfn.XLOOKUP($E25,Constants!$A$3:$A$6, Constants!C$3:C$6))</f>
        <v>0.34</v>
      </c>
      <c r="J25">
        <f>IF('Input Scenarios'!J52&lt;&gt;"", 'Input Scenarios'!J52, _xlfn.XLOOKUP($E25,Constants!$A$3:$A$6, Constants!D$3:D$6))</f>
        <v>3.4500000000000003E-2</v>
      </c>
      <c r="K25">
        <f>'Input Scenarios'!K52</f>
        <v>0.3</v>
      </c>
      <c r="L25">
        <f>'Input Scenarios'!L52</f>
        <v>0</v>
      </c>
      <c r="M25">
        <f>'Input Scenarios'!M52</f>
        <v>0</v>
      </c>
      <c r="N25">
        <f>'Input Scenarios'!N52</f>
        <v>0.3</v>
      </c>
      <c r="O25">
        <f>'Input Scenarios'!O52</f>
        <v>0</v>
      </c>
      <c r="P25">
        <f>'Input Scenarios'!P52</f>
        <v>0.4</v>
      </c>
      <c r="Q25" t="b">
        <f>'Input Scenarios'!Q52</f>
        <v>1</v>
      </c>
      <c r="R25">
        <f>IF('Input Scenarios'!$R52&lt;&gt;"", 'Input Scenarios'!$R52, IF($Q25, Constants!$B$19, 0))</f>
        <v>0.23</v>
      </c>
      <c r="S25">
        <f>IF('Input Scenarios'!$R52&lt;&gt;"", 'Input Scenarios'!$R52, IF($Q25, Constants!$B$20, 0))</f>
        <v>0.23</v>
      </c>
      <c r="T25">
        <f t="shared" si="1"/>
        <v>1031.5500000000002</v>
      </c>
      <c r="U25">
        <f t="shared" si="2"/>
        <v>0</v>
      </c>
      <c r="V25">
        <f t="shared" si="0"/>
        <v>0</v>
      </c>
      <c r="W25">
        <f>Constants!$B$23</f>
        <v>1.5714285714285714</v>
      </c>
      <c r="X25">
        <f>Constants!$B$24</f>
        <v>1.0999999999999999E-2</v>
      </c>
      <c r="Y25">
        <f t="shared" si="3"/>
        <v>0</v>
      </c>
      <c r="Z25">
        <f>Constants!$B$25</f>
        <v>0.02</v>
      </c>
      <c r="AA25">
        <f t="shared" si="4"/>
        <v>0</v>
      </c>
      <c r="AB25">
        <f t="shared" si="5"/>
        <v>0</v>
      </c>
    </row>
    <row r="26" spans="1:29" x14ac:dyDescent="0.2">
      <c r="A26" s="2" t="str">
        <f>'Input Scenarios'!A53</f>
        <v>WA</v>
      </c>
      <c r="B26" s="2">
        <f>'Input Scenarios'!B53</f>
        <v>25</v>
      </c>
      <c r="C26" s="2" t="str">
        <f>'Input Scenarios'!C53</f>
        <v>Non-irrigated crop (low rainfall)</v>
      </c>
      <c r="D26" s="2" t="b">
        <f>'Input Scenarios'!D53</f>
        <v>0</v>
      </c>
      <c r="E26" s="2" t="str">
        <f>'Input Scenarios'!E53</f>
        <v>others</v>
      </c>
      <c r="F26" s="2">
        <f>'Input Scenarios'!F53</f>
        <v>999</v>
      </c>
      <c r="G26" s="2">
        <f>'Input Scenarios'!G53</f>
        <v>299</v>
      </c>
      <c r="H26" s="2">
        <f>IF('Input Scenarios'!H53&lt;&gt;"", 'Input Scenarios'!H53, _xlfn.XLOOKUP($E26,Constants!$A$3:$A$6, Constants!B$3:B$6))</f>
        <v>1.71</v>
      </c>
      <c r="I26" s="2">
        <f>IF('Input Scenarios'!I53&lt;&gt;"", 'Input Scenarios'!I53, _xlfn.XLOOKUP($E26,Constants!$A$3:$A$6, Constants!C$3:C$6))</f>
        <v>0.45</v>
      </c>
      <c r="J26" s="2">
        <f>IF('Input Scenarios'!J53&lt;&gt;"", 'Input Scenarios'!J53, _xlfn.XLOOKUP($E26,Constants!$A$3:$A$6, Constants!D$3:D$6))</f>
        <v>4.53E-2</v>
      </c>
      <c r="K26" s="2">
        <f>'Input Scenarios'!K53</f>
        <v>0</v>
      </c>
      <c r="L26" s="2">
        <f>'Input Scenarios'!L53</f>
        <v>0</v>
      </c>
      <c r="M26" s="2">
        <f>'Input Scenarios'!M53</f>
        <v>0.5</v>
      </c>
      <c r="N26" s="2">
        <f>'Input Scenarios'!N53</f>
        <v>0</v>
      </c>
      <c r="O26" s="2">
        <f>'Input Scenarios'!O53</f>
        <v>0.5</v>
      </c>
      <c r="P26" s="2">
        <f>'Input Scenarios'!P53</f>
        <v>0</v>
      </c>
      <c r="Q26" s="2" t="b">
        <f>'Input Scenarios'!Q53</f>
        <v>1</v>
      </c>
      <c r="R26" s="2">
        <f>IF('Input Scenarios'!$R53&lt;&gt;"", 'Input Scenarios'!$R53, IF($Q26, Constants!$B$19, 0))</f>
        <v>0.23</v>
      </c>
      <c r="S26" s="2">
        <f>IF('Input Scenarios'!$R53&lt;&gt;"", 'Input Scenarios'!$R53, IF($Q26, Constants!$B$20, 0))</f>
        <v>0.23</v>
      </c>
      <c r="T26">
        <f t="shared" si="1"/>
        <v>13531.1553</v>
      </c>
      <c r="U26">
        <f t="shared" si="2"/>
        <v>0</v>
      </c>
      <c r="V26">
        <f t="shared" si="0"/>
        <v>0</v>
      </c>
      <c r="W26">
        <f>Constants!$B$23</f>
        <v>1.5714285714285714</v>
      </c>
      <c r="X26">
        <f>Constants!$B$24</f>
        <v>1.0999999999999999E-2</v>
      </c>
      <c r="Y26">
        <f t="shared" si="3"/>
        <v>0</v>
      </c>
      <c r="Z26">
        <f>Constants!$B$25</f>
        <v>0.02</v>
      </c>
      <c r="AA26">
        <f t="shared" si="4"/>
        <v>0</v>
      </c>
      <c r="AB26">
        <f t="shared" si="5"/>
        <v>0</v>
      </c>
    </row>
    <row r="27" spans="1:29" x14ac:dyDescent="0.2">
      <c r="A27" t="str">
        <f>'Input Scenarios'!A54</f>
        <v>SA</v>
      </c>
      <c r="B27">
        <f>'Input Scenarios'!B54</f>
        <v>26</v>
      </c>
      <c r="C27" t="str">
        <f>'Input Scenarios'!C54</f>
        <v>Non-irrigated crop (high rainfall)</v>
      </c>
      <c r="D27" t="b">
        <f>'Input Scenarios'!D54</f>
        <v>1</v>
      </c>
      <c r="E27" t="str">
        <f>'Input Scenarios'!E54</f>
        <v>boars</v>
      </c>
      <c r="F27">
        <f>'Input Scenarios'!F54</f>
        <v>105</v>
      </c>
      <c r="G27">
        <f>'Input Scenarios'!G54</f>
        <v>75</v>
      </c>
      <c r="H27">
        <f>IF('Input Scenarios'!H54&lt;&gt;"", 'Input Scenarios'!H54, _xlfn.XLOOKUP($E27,Constants!$A$3:$A$6, Constants!B$3:B$6))</f>
        <v>2.62</v>
      </c>
      <c r="I27">
        <f>IF('Input Scenarios'!I54&lt;&gt;"", 'Input Scenarios'!I54, _xlfn.XLOOKUP($E27,Constants!$A$3:$A$6, Constants!C$3:C$6))</f>
        <v>0.68</v>
      </c>
      <c r="J27">
        <f>IF('Input Scenarios'!J54&lt;&gt;"", 'Input Scenarios'!J54, _xlfn.XLOOKUP($E27,Constants!$A$3:$A$6, Constants!D$3:D$6))</f>
        <v>6.7799999999999999E-2</v>
      </c>
      <c r="K27">
        <f>'Input Scenarios'!K54</f>
        <v>0.2</v>
      </c>
      <c r="L27">
        <f>'Input Scenarios'!L54</f>
        <v>0.1</v>
      </c>
      <c r="M27">
        <f>'Input Scenarios'!M54</f>
        <v>0.2</v>
      </c>
      <c r="N27">
        <f>'Input Scenarios'!N54</f>
        <v>0.2</v>
      </c>
      <c r="O27">
        <f>'Input Scenarios'!O54</f>
        <v>0.2</v>
      </c>
      <c r="P27">
        <f>'Input Scenarios'!P54</f>
        <v>0.1</v>
      </c>
      <c r="Q27" t="b">
        <f>'Input Scenarios'!Q54</f>
        <v>1</v>
      </c>
      <c r="R27">
        <f>IF('Input Scenarios'!$R54&lt;&gt;"", 'Input Scenarios'!$R54, IF($Q27, Constants!$B$19, 0))</f>
        <v>0.25</v>
      </c>
      <c r="S27">
        <f>IF('Input Scenarios'!$R54&lt;&gt;"", 'Input Scenarios'!$R54, IF($Q27, Constants!$B$20, 0))</f>
        <v>0.25</v>
      </c>
      <c r="T27">
        <f t="shared" ref="T27:T34" si="6">F27*G27*J27</f>
        <v>533.92499999999995</v>
      </c>
      <c r="U27">
        <f t="shared" ref="U27:U34" si="7">L27</f>
        <v>0.1</v>
      </c>
      <c r="V27">
        <f t="shared" si="0"/>
        <v>53.392499999999998</v>
      </c>
      <c r="W27">
        <f>Constants!$B$23</f>
        <v>1.5714285714285714</v>
      </c>
      <c r="X27">
        <f>Constants!$B$24</f>
        <v>1.0999999999999999E-2</v>
      </c>
      <c r="Y27">
        <f t="shared" ref="Y27:Y34" si="8">IF(D27, 1, 0)</f>
        <v>1</v>
      </c>
      <c r="Z27">
        <f>Constants!$B$25</f>
        <v>0.02</v>
      </c>
      <c r="AA27">
        <f t="shared" ref="AA27:AA34" si="9">V27*Y27*Z27</f>
        <v>1.06785</v>
      </c>
      <c r="AB27">
        <f t="shared" ref="AB27:AB34" si="10">AA27*X27*W27</f>
        <v>1.8458549999999997E-2</v>
      </c>
      <c r="AC27">
        <f>SUM(AB27:AB30)/1000</f>
        <v>3.6975750428571422E-4</v>
      </c>
    </row>
    <row r="28" spans="1:29" x14ac:dyDescent="0.2">
      <c r="A28" t="str">
        <f>'Input Scenarios'!A55</f>
        <v>SA</v>
      </c>
      <c r="B28">
        <f>'Input Scenarios'!B55</f>
        <v>26</v>
      </c>
      <c r="C28" t="str">
        <f>'Input Scenarios'!C55</f>
        <v>Non-irrigated crop (high rainfall)</v>
      </c>
      <c r="D28" t="b">
        <f>'Input Scenarios'!D55</f>
        <v>1</v>
      </c>
      <c r="E28" t="str">
        <f>'Input Scenarios'!E55</f>
        <v>sows</v>
      </c>
      <c r="F28">
        <f>'Input Scenarios'!F55</f>
        <v>245</v>
      </c>
      <c r="G28">
        <f>'Input Scenarios'!G55</f>
        <v>290</v>
      </c>
      <c r="H28">
        <f>IF('Input Scenarios'!H55&lt;&gt;"", 'Input Scenarios'!H55, _xlfn.XLOOKUP($E28,Constants!$A$3:$A$6, Constants!B$3:B$6))</f>
        <v>2.2999999999999998</v>
      </c>
      <c r="I28">
        <f>IF('Input Scenarios'!I55&lt;&gt;"", 'Input Scenarios'!I55, _xlfn.XLOOKUP($E28,Constants!$A$3:$A$6, Constants!C$3:C$6))</f>
        <v>0.69</v>
      </c>
      <c r="J28">
        <f>IF('Input Scenarios'!J55&lt;&gt;"", 'Input Scenarios'!J55, _xlfn.XLOOKUP($E28,Constants!$A$3:$A$6, Constants!D$3:D$6))</f>
        <v>4.5999999999999999E-2</v>
      </c>
      <c r="K28">
        <f>'Input Scenarios'!K55</f>
        <v>0.2</v>
      </c>
      <c r="L28">
        <f>'Input Scenarios'!L55</f>
        <v>0.1</v>
      </c>
      <c r="M28">
        <f>'Input Scenarios'!M55</f>
        <v>0.2</v>
      </c>
      <c r="N28">
        <f>'Input Scenarios'!N55</f>
        <v>0.2</v>
      </c>
      <c r="O28">
        <f>'Input Scenarios'!O55</f>
        <v>0.2</v>
      </c>
      <c r="P28">
        <f>'Input Scenarios'!P55</f>
        <v>0.1</v>
      </c>
      <c r="Q28" t="b">
        <f>'Input Scenarios'!Q55</f>
        <v>1</v>
      </c>
      <c r="R28">
        <f>IF('Input Scenarios'!$R55&lt;&gt;"", 'Input Scenarios'!$R55, IF($Q28, Constants!$B$19, 0))</f>
        <v>0.26</v>
      </c>
      <c r="S28">
        <f>IF('Input Scenarios'!$R55&lt;&gt;"", 'Input Scenarios'!$R55, IF($Q28, Constants!$B$20, 0))</f>
        <v>0.26</v>
      </c>
      <c r="T28">
        <f t="shared" si="6"/>
        <v>3268.2999999999997</v>
      </c>
      <c r="U28">
        <f t="shared" si="7"/>
        <v>0.1</v>
      </c>
      <c r="V28">
        <f t="shared" si="0"/>
        <v>326.83</v>
      </c>
      <c r="W28">
        <f>Constants!$B$23</f>
        <v>1.5714285714285714</v>
      </c>
      <c r="X28">
        <f>Constants!$B$24</f>
        <v>1.0999999999999999E-2</v>
      </c>
      <c r="Y28">
        <f t="shared" si="8"/>
        <v>1</v>
      </c>
      <c r="Z28">
        <f>Constants!$B$25</f>
        <v>0.02</v>
      </c>
      <c r="AA28">
        <f t="shared" si="9"/>
        <v>6.5366</v>
      </c>
      <c r="AB28">
        <f t="shared" si="10"/>
        <v>0.11298979999999999</v>
      </c>
    </row>
    <row r="29" spans="1:29" x14ac:dyDescent="0.2">
      <c r="A29" t="str">
        <f>'Input Scenarios'!A56</f>
        <v>SA</v>
      </c>
      <c r="B29">
        <f>'Input Scenarios'!B56</f>
        <v>26</v>
      </c>
      <c r="C29" t="str">
        <f>'Input Scenarios'!C56</f>
        <v>Non-irrigated crop (high rainfall)</v>
      </c>
      <c r="D29" t="b">
        <f>'Input Scenarios'!D56</f>
        <v>1</v>
      </c>
      <c r="E29" t="str">
        <f>'Input Scenarios'!E56</f>
        <v>gilts</v>
      </c>
      <c r="F29">
        <f>'Input Scenarios'!F56</f>
        <v>434</v>
      </c>
      <c r="G29">
        <f>'Input Scenarios'!G56</f>
        <v>280</v>
      </c>
      <c r="H29">
        <f>IF('Input Scenarios'!H56&lt;&gt;"", 'Input Scenarios'!H56, _xlfn.XLOOKUP($E29,Constants!$A$3:$A$6, Constants!B$3:B$6))</f>
        <v>2.5</v>
      </c>
      <c r="I29">
        <f>IF('Input Scenarios'!I56&lt;&gt;"", 'Input Scenarios'!I56, _xlfn.XLOOKUP($E29,Constants!$A$3:$A$6, Constants!C$3:C$6))</f>
        <v>0.7</v>
      </c>
      <c r="J29">
        <f>IF('Input Scenarios'!J56&lt;&gt;"", 'Input Scenarios'!J56, _xlfn.XLOOKUP($E29,Constants!$A$3:$A$6, Constants!D$3:D$6))</f>
        <v>5.1999999999999998E-2</v>
      </c>
      <c r="K29">
        <f>'Input Scenarios'!K56</f>
        <v>0.2</v>
      </c>
      <c r="L29">
        <f>'Input Scenarios'!L56</f>
        <v>0.1</v>
      </c>
      <c r="M29">
        <f>'Input Scenarios'!M56</f>
        <v>0.2</v>
      </c>
      <c r="N29">
        <f>'Input Scenarios'!N56</f>
        <v>0.2</v>
      </c>
      <c r="O29">
        <f>'Input Scenarios'!O56</f>
        <v>0.2</v>
      </c>
      <c r="P29">
        <f>'Input Scenarios'!P56</f>
        <v>0.1</v>
      </c>
      <c r="Q29" t="b">
        <f>'Input Scenarios'!Q56</f>
        <v>1</v>
      </c>
      <c r="R29">
        <f>IF('Input Scenarios'!$R56&lt;&gt;"", 'Input Scenarios'!$R56, IF($Q29, Constants!$B$19, 0))</f>
        <v>0.27</v>
      </c>
      <c r="S29">
        <f>IF('Input Scenarios'!$R56&lt;&gt;"", 'Input Scenarios'!$R56, IF($Q29, Constants!$B$20, 0))</f>
        <v>0.27</v>
      </c>
      <c r="T29">
        <f t="shared" si="6"/>
        <v>6319.04</v>
      </c>
      <c r="U29">
        <f t="shared" si="7"/>
        <v>0.1</v>
      </c>
      <c r="V29">
        <f t="shared" si="0"/>
        <v>631.904</v>
      </c>
      <c r="W29">
        <f>Constants!$B$23</f>
        <v>1.5714285714285714</v>
      </c>
      <c r="X29">
        <f>Constants!$B$24</f>
        <v>1.0999999999999999E-2</v>
      </c>
      <c r="Y29">
        <f t="shared" si="8"/>
        <v>1</v>
      </c>
      <c r="Z29">
        <f>Constants!$B$25</f>
        <v>0.02</v>
      </c>
      <c r="AA29">
        <f t="shared" si="9"/>
        <v>12.63808</v>
      </c>
      <c r="AB29">
        <f t="shared" si="10"/>
        <v>0.21845823999999997</v>
      </c>
    </row>
    <row r="30" spans="1:29" x14ac:dyDescent="0.2">
      <c r="A30" s="2" t="str">
        <f>'Input Scenarios'!A57</f>
        <v>SA</v>
      </c>
      <c r="B30" s="2">
        <f>'Input Scenarios'!B57</f>
        <v>26</v>
      </c>
      <c r="C30" s="2" t="str">
        <f>'Input Scenarios'!C57</f>
        <v>Non-irrigated crop (high rainfall)</v>
      </c>
      <c r="D30" s="2" t="b">
        <f>'Input Scenarios'!D57</f>
        <v>1</v>
      </c>
      <c r="E30" s="2" t="str">
        <f>'Input Scenarios'!E57</f>
        <v>others</v>
      </c>
      <c r="F30" s="2">
        <f>'Input Scenarios'!F57</f>
        <v>44</v>
      </c>
      <c r="G30" s="2">
        <f>'Input Scenarios'!G57</f>
        <v>290</v>
      </c>
      <c r="H30" s="2">
        <f>IF('Input Scenarios'!H57&lt;&gt;"", 'Input Scenarios'!H57, _xlfn.XLOOKUP($E30,Constants!$A$3:$A$6, Constants!B$3:B$6))</f>
        <v>1.71</v>
      </c>
      <c r="I30" s="2">
        <f>IF('Input Scenarios'!I57&lt;&gt;"", 'Input Scenarios'!I57, _xlfn.XLOOKUP($E30,Constants!$A$3:$A$6, Constants!C$3:C$6))</f>
        <v>0.68</v>
      </c>
      <c r="J30" s="2">
        <f>IF('Input Scenarios'!J57&lt;&gt;"", 'Input Scenarios'!J57, _xlfn.XLOOKUP($E30,Constants!$A$3:$A$6, Constants!D$3:D$6))</f>
        <v>4.4999999999999998E-2</v>
      </c>
      <c r="K30" s="2">
        <f>'Input Scenarios'!K57</f>
        <v>0.2</v>
      </c>
      <c r="L30" s="2">
        <f>'Input Scenarios'!L57</f>
        <v>0.1</v>
      </c>
      <c r="M30" s="2">
        <f>'Input Scenarios'!M57</f>
        <v>0.2</v>
      </c>
      <c r="N30" s="2">
        <f>'Input Scenarios'!N57</f>
        <v>0.2</v>
      </c>
      <c r="O30" s="2">
        <f>'Input Scenarios'!O57</f>
        <v>0.2</v>
      </c>
      <c r="P30" s="2">
        <f>'Input Scenarios'!P57</f>
        <v>0.1</v>
      </c>
      <c r="Q30" s="2" t="b">
        <f>'Input Scenarios'!Q57</f>
        <v>1</v>
      </c>
      <c r="R30" s="2">
        <f>IF('Input Scenarios'!$R57&lt;&gt;"", 'Input Scenarios'!$R57, IF($Q30, Constants!$B$19, 0))</f>
        <v>0.28000000000000003</v>
      </c>
      <c r="S30" s="2">
        <f>IF('Input Scenarios'!$R57&lt;&gt;"", 'Input Scenarios'!$R57, IF($Q30, Constants!$B$20, 0))</f>
        <v>0.28000000000000003</v>
      </c>
      <c r="T30">
        <f t="shared" si="6"/>
        <v>574.19999999999993</v>
      </c>
      <c r="U30">
        <f t="shared" si="7"/>
        <v>0.1</v>
      </c>
      <c r="V30">
        <f t="shared" si="0"/>
        <v>57.419999999999995</v>
      </c>
      <c r="W30">
        <f>Constants!$B$23</f>
        <v>1.5714285714285714</v>
      </c>
      <c r="X30">
        <f>Constants!$B$24</f>
        <v>1.0999999999999999E-2</v>
      </c>
      <c r="Y30">
        <f t="shared" si="8"/>
        <v>1</v>
      </c>
      <c r="Z30">
        <f>Constants!$B$25</f>
        <v>0.02</v>
      </c>
      <c r="AA30">
        <f t="shared" si="9"/>
        <v>1.1483999999999999</v>
      </c>
      <c r="AB30">
        <f t="shared" si="10"/>
        <v>1.9850914285714283E-2</v>
      </c>
    </row>
    <row r="31" spans="1:29" x14ac:dyDescent="0.2">
      <c r="A31" t="str">
        <f>'Input Scenarios'!A58</f>
        <v>QLD</v>
      </c>
      <c r="B31" t="str">
        <f>'Input Scenarios'!B58</f>
        <v>28 or above</v>
      </c>
      <c r="C31" t="str">
        <f>'Input Scenarios'!C58</f>
        <v>Irrigated pasture</v>
      </c>
      <c r="D31" t="b">
        <f>'Input Scenarios'!D58</f>
        <v>1</v>
      </c>
      <c r="E31" t="str">
        <f>'Input Scenarios'!E58</f>
        <v>boars</v>
      </c>
      <c r="F31">
        <f>'Input Scenarios'!F58</f>
        <v>105</v>
      </c>
      <c r="G31">
        <f>'Input Scenarios'!G58</f>
        <v>75</v>
      </c>
      <c r="H31">
        <f>IF('Input Scenarios'!H58&lt;&gt;"", 'Input Scenarios'!H58, _xlfn.XLOOKUP($E31,Constants!$A$3:$A$6, Constants!B$3:B$6))</f>
        <v>2.62</v>
      </c>
      <c r="I31">
        <f>IF('Input Scenarios'!I58&lt;&gt;"", 'Input Scenarios'!I58, _xlfn.XLOOKUP($E31,Constants!$A$3:$A$6, Constants!C$3:C$6))</f>
        <v>0.37</v>
      </c>
      <c r="J31">
        <f>IF('Input Scenarios'!J58&lt;&gt;"", 'Input Scenarios'!J58, _xlfn.XLOOKUP($E31,Constants!$A$3:$A$6, Constants!D$3:D$6))</f>
        <v>0.04</v>
      </c>
      <c r="K31">
        <f>'Input Scenarios'!K58</f>
        <v>0.2</v>
      </c>
      <c r="L31">
        <f>'Input Scenarios'!L58</f>
        <v>0.1</v>
      </c>
      <c r="M31">
        <f>'Input Scenarios'!M58</f>
        <v>0.2</v>
      </c>
      <c r="N31">
        <f>'Input Scenarios'!N58</f>
        <v>0.2</v>
      </c>
      <c r="O31">
        <f>'Input Scenarios'!O58</f>
        <v>0.2</v>
      </c>
      <c r="P31">
        <f>'Input Scenarios'!P58</f>
        <v>0.1</v>
      </c>
      <c r="Q31" t="b">
        <f>'Input Scenarios'!Q58</f>
        <v>1</v>
      </c>
      <c r="R31">
        <f>IF('Input Scenarios'!$R58&lt;&gt;"", 'Input Scenarios'!$R58, IF($Q31, Constants!$B$19, 0))</f>
        <v>0.28000000000000003</v>
      </c>
      <c r="S31">
        <f>IF('Input Scenarios'!$R58&lt;&gt;"", 'Input Scenarios'!$R58, IF($Q31, Constants!$B$20, 0))</f>
        <v>0.28000000000000003</v>
      </c>
      <c r="T31">
        <f t="shared" si="6"/>
        <v>315</v>
      </c>
      <c r="U31">
        <f t="shared" si="7"/>
        <v>0.1</v>
      </c>
      <c r="V31">
        <f t="shared" si="0"/>
        <v>31.5</v>
      </c>
      <c r="W31">
        <f>Constants!$B$23</f>
        <v>1.5714285714285714</v>
      </c>
      <c r="X31">
        <f>Constants!$B$24</f>
        <v>1.0999999999999999E-2</v>
      </c>
      <c r="Y31">
        <f t="shared" si="8"/>
        <v>1</v>
      </c>
      <c r="Z31">
        <f>Constants!$B$25</f>
        <v>0.02</v>
      </c>
      <c r="AA31">
        <f t="shared" si="9"/>
        <v>0.63</v>
      </c>
      <c r="AB31">
        <f t="shared" si="10"/>
        <v>1.0889999999999999E-2</v>
      </c>
      <c r="AC31">
        <f>SUM(AB31:AB34)/1000</f>
        <v>2.948320571428571E-4</v>
      </c>
    </row>
    <row r="32" spans="1:29" x14ac:dyDescent="0.2">
      <c r="A32" t="str">
        <f>'Input Scenarios'!A59</f>
        <v>QLD</v>
      </c>
      <c r="B32" t="str">
        <f>'Input Scenarios'!B59</f>
        <v>28 or above</v>
      </c>
      <c r="C32" t="str">
        <f>'Input Scenarios'!C59</f>
        <v>Irrigated pasture</v>
      </c>
      <c r="D32" t="b">
        <f>'Input Scenarios'!D59</f>
        <v>1</v>
      </c>
      <c r="E32" t="str">
        <f>'Input Scenarios'!E59</f>
        <v>sows</v>
      </c>
      <c r="F32">
        <f>'Input Scenarios'!F59</f>
        <v>245</v>
      </c>
      <c r="G32">
        <f>'Input Scenarios'!G59</f>
        <v>290</v>
      </c>
      <c r="H32">
        <f>IF('Input Scenarios'!H59&lt;&gt;"", 'Input Scenarios'!H59, _xlfn.XLOOKUP($E32,Constants!$A$3:$A$6, Constants!B$3:B$6))</f>
        <v>2.2999999999999998</v>
      </c>
      <c r="I32">
        <f>IF('Input Scenarios'!I59&lt;&gt;"", 'Input Scenarios'!I59, _xlfn.XLOOKUP($E32,Constants!$A$3:$A$6, Constants!C$3:C$6))</f>
        <v>0.37</v>
      </c>
      <c r="J32">
        <f>IF('Input Scenarios'!J59&lt;&gt;"", 'Input Scenarios'!J59, _xlfn.XLOOKUP($E32,Constants!$A$3:$A$6, Constants!D$3:D$6))</f>
        <v>0.04</v>
      </c>
      <c r="K32">
        <f>'Input Scenarios'!K59</f>
        <v>0.2</v>
      </c>
      <c r="L32">
        <f>'Input Scenarios'!L59</f>
        <v>0.1</v>
      </c>
      <c r="M32">
        <f>'Input Scenarios'!M59</f>
        <v>0.2</v>
      </c>
      <c r="N32">
        <f>'Input Scenarios'!N59</f>
        <v>0.2</v>
      </c>
      <c r="O32">
        <f>'Input Scenarios'!O59</f>
        <v>0.2</v>
      </c>
      <c r="P32">
        <f>'Input Scenarios'!P59</f>
        <v>0.1</v>
      </c>
      <c r="Q32" t="b">
        <f>'Input Scenarios'!Q59</f>
        <v>1</v>
      </c>
      <c r="R32">
        <f>IF('Input Scenarios'!$R59&lt;&gt;"", 'Input Scenarios'!$R59, IF($Q32, Constants!$B$19, 0))</f>
        <v>0.27</v>
      </c>
      <c r="S32">
        <f>IF('Input Scenarios'!$R59&lt;&gt;"", 'Input Scenarios'!$R59, IF($Q32, Constants!$B$20, 0))</f>
        <v>0.27</v>
      </c>
      <c r="T32">
        <f t="shared" si="6"/>
        <v>2842</v>
      </c>
      <c r="U32">
        <f t="shared" si="7"/>
        <v>0.1</v>
      </c>
      <c r="V32">
        <f t="shared" si="0"/>
        <v>284.2</v>
      </c>
      <c r="W32">
        <f>Constants!$B$23</f>
        <v>1.5714285714285714</v>
      </c>
      <c r="X32">
        <f>Constants!$B$24</f>
        <v>1.0999999999999999E-2</v>
      </c>
      <c r="Y32">
        <f t="shared" si="8"/>
        <v>1</v>
      </c>
      <c r="Z32">
        <f>Constants!$B$25</f>
        <v>0.02</v>
      </c>
      <c r="AA32">
        <f t="shared" si="9"/>
        <v>5.6840000000000002</v>
      </c>
      <c r="AB32">
        <f t="shared" si="10"/>
        <v>9.8251999999999992E-2</v>
      </c>
    </row>
    <row r="33" spans="1:28" x14ac:dyDescent="0.2">
      <c r="A33" t="str">
        <f>'Input Scenarios'!A60</f>
        <v>QLD</v>
      </c>
      <c r="B33" t="str">
        <f>'Input Scenarios'!B60</f>
        <v>28 or above</v>
      </c>
      <c r="C33" t="str">
        <f>'Input Scenarios'!C60</f>
        <v>Irrigated pasture</v>
      </c>
      <c r="D33" t="b">
        <f>'Input Scenarios'!D60</f>
        <v>1</v>
      </c>
      <c r="E33" t="str">
        <f>'Input Scenarios'!E60</f>
        <v>gilts</v>
      </c>
      <c r="F33">
        <f>'Input Scenarios'!F60</f>
        <v>434</v>
      </c>
      <c r="G33">
        <f>'Input Scenarios'!G60</f>
        <v>280</v>
      </c>
      <c r="H33">
        <f>IF('Input Scenarios'!H60&lt;&gt;"", 'Input Scenarios'!H60, _xlfn.XLOOKUP($E33,Constants!$A$3:$A$6, Constants!B$3:B$6))</f>
        <v>2.5</v>
      </c>
      <c r="I33">
        <f>IF('Input Scenarios'!I60&lt;&gt;"", 'Input Scenarios'!I60, _xlfn.XLOOKUP($E33,Constants!$A$3:$A$6, Constants!C$3:C$6))</f>
        <v>0.37</v>
      </c>
      <c r="J33">
        <f>IF('Input Scenarios'!J60&lt;&gt;"", 'Input Scenarios'!J60, _xlfn.XLOOKUP($E33,Constants!$A$3:$A$6, Constants!D$3:D$6))</f>
        <v>0.04</v>
      </c>
      <c r="K33">
        <f>'Input Scenarios'!K60</f>
        <v>0.2</v>
      </c>
      <c r="L33">
        <f>'Input Scenarios'!L60</f>
        <v>0.1</v>
      </c>
      <c r="M33">
        <f>'Input Scenarios'!M60</f>
        <v>0.2</v>
      </c>
      <c r="N33">
        <f>'Input Scenarios'!N60</f>
        <v>0.2</v>
      </c>
      <c r="O33">
        <f>'Input Scenarios'!O60</f>
        <v>0.2</v>
      </c>
      <c r="P33">
        <f>'Input Scenarios'!P60</f>
        <v>0.1</v>
      </c>
      <c r="Q33" t="b">
        <f>'Input Scenarios'!Q60</f>
        <v>1</v>
      </c>
      <c r="R33">
        <f>IF('Input Scenarios'!$R60&lt;&gt;"", 'Input Scenarios'!$R60, IF($Q33, Constants!$B$19, 0))</f>
        <v>0.26</v>
      </c>
      <c r="S33">
        <f>IF('Input Scenarios'!$R60&lt;&gt;"", 'Input Scenarios'!$R60, IF($Q33, Constants!$B$20, 0))</f>
        <v>0.26</v>
      </c>
      <c r="T33">
        <f t="shared" si="6"/>
        <v>4860.8</v>
      </c>
      <c r="U33">
        <f t="shared" si="7"/>
        <v>0.1</v>
      </c>
      <c r="V33">
        <f t="shared" si="0"/>
        <v>486.08000000000004</v>
      </c>
      <c r="W33">
        <f>Constants!$B$23</f>
        <v>1.5714285714285714</v>
      </c>
      <c r="X33">
        <f>Constants!$B$24</f>
        <v>1.0999999999999999E-2</v>
      </c>
      <c r="Y33">
        <f t="shared" si="8"/>
        <v>1</v>
      </c>
      <c r="Z33">
        <f>Constants!$B$25</f>
        <v>0.02</v>
      </c>
      <c r="AA33">
        <f t="shared" si="9"/>
        <v>9.7216000000000005</v>
      </c>
      <c r="AB33">
        <f t="shared" si="10"/>
        <v>0.16804479999999999</v>
      </c>
    </row>
    <row r="34" spans="1:28" x14ac:dyDescent="0.2">
      <c r="A34" s="2" t="str">
        <f>'Input Scenarios'!A61</f>
        <v>QLD</v>
      </c>
      <c r="B34" s="2" t="str">
        <f>'Input Scenarios'!B61</f>
        <v>28 or above</v>
      </c>
      <c r="C34" s="2" t="str">
        <f>'Input Scenarios'!C61</f>
        <v>Irrigated pasture</v>
      </c>
      <c r="D34" s="2" t="b">
        <f>'Input Scenarios'!D61</f>
        <v>1</v>
      </c>
      <c r="E34" s="2" t="str">
        <f>'Input Scenarios'!E61</f>
        <v>others</v>
      </c>
      <c r="F34" s="2">
        <f>'Input Scenarios'!F61</f>
        <v>44</v>
      </c>
      <c r="G34" s="2">
        <f>'Input Scenarios'!G61</f>
        <v>290</v>
      </c>
      <c r="H34" s="2">
        <f>IF('Input Scenarios'!H61&lt;&gt;"", 'Input Scenarios'!H61, _xlfn.XLOOKUP($E34,Constants!$A$3:$A$6, Constants!B$3:B$6))</f>
        <v>1.71</v>
      </c>
      <c r="I34" s="2">
        <f>IF('Input Scenarios'!I61&lt;&gt;"", 'Input Scenarios'!I61, _xlfn.XLOOKUP($E34,Constants!$A$3:$A$6, Constants!C$3:C$6))</f>
        <v>0.37</v>
      </c>
      <c r="J34" s="2">
        <f>IF('Input Scenarios'!J61&lt;&gt;"", 'Input Scenarios'!J61, _xlfn.XLOOKUP($E34,Constants!$A$3:$A$6, Constants!D$3:D$6))</f>
        <v>0.04</v>
      </c>
      <c r="K34" s="2">
        <f>'Input Scenarios'!K61</f>
        <v>0.2</v>
      </c>
      <c r="L34" s="2">
        <f>'Input Scenarios'!L61</f>
        <v>0.1</v>
      </c>
      <c r="M34" s="2">
        <f>'Input Scenarios'!M61</f>
        <v>0.2</v>
      </c>
      <c r="N34" s="2">
        <f>'Input Scenarios'!N61</f>
        <v>0.2</v>
      </c>
      <c r="O34" s="2">
        <f>'Input Scenarios'!O61</f>
        <v>0.2</v>
      </c>
      <c r="P34" s="2">
        <f>'Input Scenarios'!P61</f>
        <v>0.1</v>
      </c>
      <c r="Q34" s="2" t="b">
        <f>'Input Scenarios'!Q61</f>
        <v>1</v>
      </c>
      <c r="R34" s="2">
        <f>IF('Input Scenarios'!$R61&lt;&gt;"", 'Input Scenarios'!$R61, IF($Q34, Constants!$B$19, 0))</f>
        <v>0.25</v>
      </c>
      <c r="S34" s="2">
        <f>IF('Input Scenarios'!$R61&lt;&gt;"", 'Input Scenarios'!$R61, IF($Q34, Constants!$B$20, 0))</f>
        <v>0.25</v>
      </c>
      <c r="T34">
        <f t="shared" si="6"/>
        <v>510.40000000000003</v>
      </c>
      <c r="U34">
        <f t="shared" si="7"/>
        <v>0.1</v>
      </c>
      <c r="V34">
        <f t="shared" si="0"/>
        <v>51.040000000000006</v>
      </c>
      <c r="W34">
        <f>Constants!$B$23</f>
        <v>1.5714285714285714</v>
      </c>
      <c r="X34">
        <f>Constants!$B$24</f>
        <v>1.0999999999999999E-2</v>
      </c>
      <c r="Y34">
        <f t="shared" si="8"/>
        <v>1</v>
      </c>
      <c r="Z34">
        <f>Constants!$B$25</f>
        <v>0.02</v>
      </c>
      <c r="AA34">
        <f t="shared" si="9"/>
        <v>1.0208000000000002</v>
      </c>
      <c r="AB34">
        <f t="shared" si="10"/>
        <v>1.7645257142857144E-2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Constants</vt:lpstr>
      <vt:lpstr>Input Scenarios</vt:lpstr>
      <vt:lpstr>4.5.1.1</vt:lpstr>
      <vt:lpstr>4.5.1.2</vt:lpstr>
      <vt:lpstr>4.5.1.3</vt:lpstr>
      <vt:lpstr>4.5.1.4</vt:lpstr>
      <vt:lpstr>Atmospheric Deposition</vt:lpstr>
      <vt:lpstr>Atmospheric Deposition (2)</vt:lpstr>
      <vt:lpstr>Leaching and Runoff</vt:lpstr>
      <vt:lpstr>Leaching and Runoff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2026-06-04T01:48:29Z</dcterms:created>
  <dcterms:modified xsi:type="dcterms:W3CDTF">2026-06-15T01:26:59Z</dcterms:modified>
</cp:coreProperties>
</file>