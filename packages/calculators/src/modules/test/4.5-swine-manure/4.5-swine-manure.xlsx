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4.5-swine-manure/"/>
    </mc:Choice>
  </mc:AlternateContent>
  <xr:revisionPtr revIDLastSave="0" documentId="13_ncr:1_{2086F56D-A7CC-F744-A110-6679B23D78CB}" xr6:coauthVersionLast="47" xr6:coauthVersionMax="47" xr10:uidLastSave="{00000000-0000-0000-0000-000000000000}"/>
  <bookViews>
    <workbookView xWindow="0" yWindow="600" windowWidth="28800" windowHeight="15860" activeTab="5" xr2:uid="{498306D6-A158-0A47-8C6F-02750C53E536}"/>
  </bookViews>
  <sheets>
    <sheet name="Constants" sheetId="1" r:id="rId1"/>
    <sheet name="Input Scenarios" sheetId="2" r:id="rId2"/>
    <sheet name="4.5.1.1" sheetId="3" r:id="rId3"/>
    <sheet name="4.5.1.3" sheetId="5" r:id="rId4"/>
    <sheet name="Atmospheric Deposition" sheetId="6" r:id="rId5"/>
    <sheet name="Leaching and Runof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7" l="1"/>
  <c r="AC19" i="7"/>
  <c r="AC15" i="7"/>
  <c r="AC11" i="7"/>
  <c r="Z12" i="7"/>
  <c r="Z13" i="7"/>
  <c r="Z14" i="7"/>
  <c r="AA14" i="7" s="1"/>
  <c r="AB14" i="7" s="1"/>
  <c r="Z15" i="7"/>
  <c r="Z16" i="7"/>
  <c r="AA16" i="7" s="1"/>
  <c r="AB16" i="7" s="1"/>
  <c r="Z17" i="7"/>
  <c r="Z18" i="7"/>
  <c r="Z19" i="7"/>
  <c r="Z20" i="7"/>
  <c r="Z21" i="7"/>
  <c r="Z22" i="7"/>
  <c r="AA22" i="7" s="1"/>
  <c r="AB22" i="7" s="1"/>
  <c r="Z23" i="7"/>
  <c r="Z24" i="7"/>
  <c r="AA24" i="7" s="1"/>
  <c r="AB24" i="7" s="1"/>
  <c r="Z25" i="7"/>
  <c r="Z26" i="7"/>
  <c r="Z11" i="7"/>
  <c r="AA12" i="7"/>
  <c r="AB12" i="7" s="1"/>
  <c r="AA13" i="7"/>
  <c r="AB13" i="7" s="1"/>
  <c r="AA15" i="7"/>
  <c r="AB15" i="7" s="1"/>
  <c r="AA17" i="7"/>
  <c r="AB17" i="7" s="1"/>
  <c r="AA18" i="7"/>
  <c r="AB18" i="7" s="1"/>
  <c r="AA19" i="7"/>
  <c r="AB19" i="7" s="1"/>
  <c r="AA20" i="7"/>
  <c r="AB20" i="7" s="1"/>
  <c r="AA21" i="7"/>
  <c r="AB21" i="7" s="1"/>
  <c r="AA23" i="7"/>
  <c r="AB23" i="7" s="1"/>
  <c r="AA25" i="7"/>
  <c r="AB25" i="7" s="1"/>
  <c r="AA26" i="7"/>
  <c r="AB26" i="7" s="1"/>
  <c r="AA11" i="7"/>
  <c r="AB11" i="7" s="1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11" i="7"/>
  <c r="Z26" i="6"/>
  <c r="Y26" i="6"/>
  <c r="X26" i="6"/>
  <c r="W26" i="6"/>
  <c r="V26" i="6"/>
  <c r="U26" i="6"/>
  <c r="Z25" i="6"/>
  <c r="Y25" i="6"/>
  <c r="X25" i="6"/>
  <c r="W25" i="6"/>
  <c r="V25" i="6"/>
  <c r="U25" i="6"/>
  <c r="Z24" i="6"/>
  <c r="Y24" i="6"/>
  <c r="X24" i="6"/>
  <c r="W24" i="6"/>
  <c r="V24" i="6"/>
  <c r="U24" i="6"/>
  <c r="Z23" i="6"/>
  <c r="Y23" i="6"/>
  <c r="X23" i="6"/>
  <c r="W23" i="6"/>
  <c r="V23" i="6"/>
  <c r="U23" i="6"/>
  <c r="Z22" i="6"/>
  <c r="Y22" i="6"/>
  <c r="X22" i="6"/>
  <c r="W22" i="6"/>
  <c r="V22" i="6"/>
  <c r="U22" i="6"/>
  <c r="Z21" i="6"/>
  <c r="Y21" i="6"/>
  <c r="X21" i="6"/>
  <c r="W21" i="6"/>
  <c r="V21" i="6"/>
  <c r="U21" i="6"/>
  <c r="Z20" i="6"/>
  <c r="Y20" i="6"/>
  <c r="X20" i="6"/>
  <c r="W20" i="6"/>
  <c r="V20" i="6"/>
  <c r="U20" i="6"/>
  <c r="Z19" i="6"/>
  <c r="Y19" i="6"/>
  <c r="X19" i="6"/>
  <c r="W19" i="6"/>
  <c r="V19" i="6"/>
  <c r="U19" i="6"/>
  <c r="Z18" i="6"/>
  <c r="Y18" i="6"/>
  <c r="X18" i="6"/>
  <c r="W18" i="6"/>
  <c r="V18" i="6"/>
  <c r="U18" i="6"/>
  <c r="Z17" i="6"/>
  <c r="Y17" i="6"/>
  <c r="X17" i="6"/>
  <c r="W17" i="6"/>
  <c r="V17" i="6"/>
  <c r="U17" i="6"/>
  <c r="Z16" i="6"/>
  <c r="Y16" i="6"/>
  <c r="X16" i="6"/>
  <c r="W16" i="6"/>
  <c r="V16" i="6"/>
  <c r="U16" i="6"/>
  <c r="Z15" i="6"/>
  <c r="Y15" i="6"/>
  <c r="X15" i="6"/>
  <c r="W15" i="6"/>
  <c r="V15" i="6"/>
  <c r="U15" i="6"/>
  <c r="Z14" i="6"/>
  <c r="Y14" i="6"/>
  <c r="X14" i="6"/>
  <c r="W14" i="6"/>
  <c r="V14" i="6"/>
  <c r="U14" i="6"/>
  <c r="Z13" i="6"/>
  <c r="Y13" i="6"/>
  <c r="X13" i="6"/>
  <c r="W13" i="6"/>
  <c r="V13" i="6"/>
  <c r="U13" i="6"/>
  <c r="Z12" i="6"/>
  <c r="Y12" i="6"/>
  <c r="X12" i="6"/>
  <c r="W12" i="6"/>
  <c r="V12" i="6"/>
  <c r="U12" i="6"/>
  <c r="Z11" i="6"/>
  <c r="Y11" i="6"/>
  <c r="X11" i="6"/>
  <c r="W11" i="6"/>
  <c r="V11" i="6"/>
  <c r="U11" i="6"/>
  <c r="U12" i="5"/>
  <c r="V12" i="5"/>
  <c r="W12" i="5"/>
  <c r="X12" i="5"/>
  <c r="Y12" i="5"/>
  <c r="Z12" i="5"/>
  <c r="U13" i="5"/>
  <c r="V13" i="5"/>
  <c r="W13" i="5"/>
  <c r="X13" i="5"/>
  <c r="Y13" i="5"/>
  <c r="Z13" i="5"/>
  <c r="U14" i="5"/>
  <c r="V14" i="5"/>
  <c r="W14" i="5"/>
  <c r="X14" i="5"/>
  <c r="Y14" i="5"/>
  <c r="Z14" i="5"/>
  <c r="U15" i="5"/>
  <c r="V15" i="5"/>
  <c r="W15" i="5"/>
  <c r="X15" i="5"/>
  <c r="Y15" i="5"/>
  <c r="Z15" i="5"/>
  <c r="U16" i="5"/>
  <c r="V16" i="5"/>
  <c r="W16" i="5"/>
  <c r="X16" i="5"/>
  <c r="Y16" i="5"/>
  <c r="Z16" i="5"/>
  <c r="U17" i="5"/>
  <c r="V17" i="5"/>
  <c r="W17" i="5"/>
  <c r="X17" i="5"/>
  <c r="Y17" i="5"/>
  <c r="Z17" i="5"/>
  <c r="U18" i="5"/>
  <c r="V18" i="5"/>
  <c r="W18" i="5"/>
  <c r="X18" i="5"/>
  <c r="Y18" i="5"/>
  <c r="Z18" i="5"/>
  <c r="U19" i="5"/>
  <c r="V19" i="5"/>
  <c r="W19" i="5"/>
  <c r="X19" i="5"/>
  <c r="Y19" i="5"/>
  <c r="Z19" i="5"/>
  <c r="U20" i="5"/>
  <c r="V20" i="5"/>
  <c r="W20" i="5"/>
  <c r="X20" i="5"/>
  <c r="Y20" i="5"/>
  <c r="Z20" i="5"/>
  <c r="U21" i="5"/>
  <c r="V21" i="5"/>
  <c r="W21" i="5"/>
  <c r="X21" i="5"/>
  <c r="Y21" i="5"/>
  <c r="Z21" i="5"/>
  <c r="U22" i="5"/>
  <c r="V22" i="5"/>
  <c r="W22" i="5"/>
  <c r="X22" i="5"/>
  <c r="Y22" i="5"/>
  <c r="Z22" i="5"/>
  <c r="U23" i="5"/>
  <c r="V23" i="5"/>
  <c r="W23" i="5"/>
  <c r="X23" i="5"/>
  <c r="Y23" i="5"/>
  <c r="Z23" i="5"/>
  <c r="U24" i="5"/>
  <c r="V24" i="5"/>
  <c r="W24" i="5"/>
  <c r="X24" i="5"/>
  <c r="Y24" i="5"/>
  <c r="Z24" i="5"/>
  <c r="U25" i="5"/>
  <c r="V25" i="5"/>
  <c r="W25" i="5"/>
  <c r="X25" i="5"/>
  <c r="Y25" i="5"/>
  <c r="Z25" i="5"/>
  <c r="U26" i="5"/>
  <c r="V26" i="5"/>
  <c r="W26" i="5"/>
  <c r="X26" i="5"/>
  <c r="Y26" i="5"/>
  <c r="Z26" i="5"/>
  <c r="Z11" i="5"/>
  <c r="X11" i="5"/>
  <c r="V11" i="5"/>
  <c r="BJ11" i="5"/>
  <c r="BC15" i="3"/>
  <c r="BC12" i="3"/>
  <c r="BF12" i="3" s="1"/>
  <c r="BD12" i="3"/>
  <c r="BE12" i="3"/>
  <c r="BC13" i="3"/>
  <c r="BD13" i="3"/>
  <c r="BG13" i="3" s="1"/>
  <c r="BE13" i="3"/>
  <c r="BC14" i="3"/>
  <c r="BF14" i="3" s="1"/>
  <c r="BD14" i="3"/>
  <c r="BE14" i="3"/>
  <c r="BH14" i="3" s="1"/>
  <c r="BD15" i="3"/>
  <c r="BE15" i="3"/>
  <c r="BC16" i="3"/>
  <c r="BF16" i="3" s="1"/>
  <c r="BD16" i="3"/>
  <c r="BE16" i="3"/>
  <c r="BC17" i="3"/>
  <c r="BD17" i="3"/>
  <c r="BG17" i="3" s="1"/>
  <c r="BE17" i="3"/>
  <c r="BC18" i="3"/>
  <c r="BD18" i="3"/>
  <c r="BE18" i="3"/>
  <c r="BC19" i="3"/>
  <c r="BF19" i="3" s="1"/>
  <c r="BD19" i="3"/>
  <c r="BE19" i="3"/>
  <c r="BC20" i="3"/>
  <c r="BF20" i="3" s="1"/>
  <c r="BD20" i="3"/>
  <c r="BE20" i="3"/>
  <c r="BC21" i="3"/>
  <c r="BD21" i="3"/>
  <c r="BE21" i="3"/>
  <c r="BC22" i="3"/>
  <c r="BF22" i="3" s="1"/>
  <c r="BD22" i="3"/>
  <c r="BE22" i="3"/>
  <c r="BH22" i="3" s="1"/>
  <c r="BC23" i="3"/>
  <c r="BD23" i="3"/>
  <c r="BE23" i="3"/>
  <c r="BC24" i="3"/>
  <c r="BD24" i="3"/>
  <c r="BE24" i="3"/>
  <c r="BH24" i="3" s="1"/>
  <c r="BC25" i="3"/>
  <c r="BD25" i="3"/>
  <c r="BE25" i="3"/>
  <c r="BC26" i="3"/>
  <c r="BD26" i="3"/>
  <c r="BE26" i="3"/>
  <c r="BH16" i="3"/>
  <c r="BH19" i="3"/>
  <c r="BE11" i="3"/>
  <c r="BD11" i="3"/>
  <c r="BC11" i="3"/>
  <c r="BG12" i="3"/>
  <c r="BH12" i="3"/>
  <c r="BF13" i="3"/>
  <c r="BH13" i="3"/>
  <c r="BG14" i="3"/>
  <c r="BF15" i="3"/>
  <c r="BG15" i="3"/>
  <c r="BH15" i="3"/>
  <c r="BG16" i="3"/>
  <c r="BF17" i="3"/>
  <c r="BH17" i="3"/>
  <c r="BF18" i="3"/>
  <c r="BG18" i="3"/>
  <c r="BH18" i="3"/>
  <c r="BG19" i="3"/>
  <c r="BG20" i="3"/>
  <c r="BH20" i="3"/>
  <c r="BF21" i="3"/>
  <c r="BG21" i="3"/>
  <c r="BH21" i="3"/>
  <c r="BG22" i="3"/>
  <c r="BF23" i="3"/>
  <c r="BG23" i="3"/>
  <c r="BH23" i="3"/>
  <c r="BF24" i="3"/>
  <c r="BG24" i="3"/>
  <c r="BF25" i="3"/>
  <c r="BG25" i="3"/>
  <c r="BH25" i="3"/>
  <c r="BF26" i="3"/>
  <c r="BG26" i="3"/>
  <c r="BH26" i="3"/>
  <c r="BH11" i="3"/>
  <c r="BG11" i="3"/>
  <c r="BF11" i="3"/>
  <c r="AV11" i="3"/>
  <c r="AW11" i="3"/>
  <c r="T12" i="3"/>
  <c r="U12" i="3"/>
  <c r="V12" i="3"/>
  <c r="W12" i="3"/>
  <c r="X12" i="3"/>
  <c r="Y12" i="3"/>
  <c r="T13" i="3"/>
  <c r="U13" i="3"/>
  <c r="V13" i="3"/>
  <c r="W13" i="3"/>
  <c r="X13" i="3"/>
  <c r="Y13" i="3"/>
  <c r="T14" i="3"/>
  <c r="U14" i="3"/>
  <c r="V14" i="3"/>
  <c r="W14" i="3"/>
  <c r="X14" i="3"/>
  <c r="Y14" i="3"/>
  <c r="T15" i="3"/>
  <c r="U15" i="3"/>
  <c r="V15" i="3"/>
  <c r="W15" i="3"/>
  <c r="X15" i="3"/>
  <c r="Y15" i="3"/>
  <c r="T16" i="3"/>
  <c r="U16" i="3"/>
  <c r="V16" i="3"/>
  <c r="W16" i="3"/>
  <c r="X16" i="3"/>
  <c r="Y16" i="3"/>
  <c r="T17" i="3"/>
  <c r="U17" i="3"/>
  <c r="V17" i="3"/>
  <c r="W17" i="3"/>
  <c r="X17" i="3"/>
  <c r="Y17" i="3"/>
  <c r="T18" i="3"/>
  <c r="U18" i="3"/>
  <c r="V18" i="3"/>
  <c r="W18" i="3"/>
  <c r="X18" i="3"/>
  <c r="Y18" i="3"/>
  <c r="T19" i="3"/>
  <c r="U19" i="3"/>
  <c r="V19" i="3"/>
  <c r="W19" i="3"/>
  <c r="X19" i="3"/>
  <c r="Y19" i="3"/>
  <c r="T20" i="3"/>
  <c r="U20" i="3"/>
  <c r="V20" i="3"/>
  <c r="W20" i="3"/>
  <c r="X20" i="3"/>
  <c r="Y20" i="3"/>
  <c r="T21" i="3"/>
  <c r="U21" i="3"/>
  <c r="V21" i="3"/>
  <c r="W21" i="3"/>
  <c r="X21" i="3"/>
  <c r="Y21" i="3"/>
  <c r="T22" i="3"/>
  <c r="U22" i="3"/>
  <c r="V22" i="3"/>
  <c r="W22" i="3"/>
  <c r="X22" i="3"/>
  <c r="Y22" i="3"/>
  <c r="T23" i="3"/>
  <c r="U23" i="3"/>
  <c r="V23" i="3"/>
  <c r="W23" i="3"/>
  <c r="X23" i="3"/>
  <c r="Y23" i="3"/>
  <c r="T24" i="3"/>
  <c r="U24" i="3"/>
  <c r="V24" i="3"/>
  <c r="W24" i="3"/>
  <c r="X24" i="3"/>
  <c r="Y24" i="3"/>
  <c r="T25" i="3"/>
  <c r="U25" i="3"/>
  <c r="V25" i="3"/>
  <c r="W25" i="3"/>
  <c r="X25" i="3"/>
  <c r="Y25" i="3"/>
  <c r="T26" i="3"/>
  <c r="U26" i="3"/>
  <c r="V26" i="3"/>
  <c r="W26" i="3"/>
  <c r="X26" i="3"/>
  <c r="Y26" i="3"/>
  <c r="Y11" i="3"/>
  <c r="W11" i="3"/>
  <c r="U11" i="3"/>
  <c r="G14" i="1" l="1"/>
  <c r="AV16" i="3"/>
  <c r="AW16" i="3"/>
  <c r="AX16" i="3"/>
  <c r="AY16" i="3"/>
  <c r="AZ16" i="3"/>
  <c r="BA16" i="3"/>
  <c r="BB16" i="3" s="1"/>
  <c r="AV17" i="3"/>
  <c r="AW17" i="3"/>
  <c r="AX17" i="3"/>
  <c r="AY17" i="3"/>
  <c r="AZ17" i="3"/>
  <c r="BA17" i="3"/>
  <c r="BB17" i="3"/>
  <c r="AV18" i="3"/>
  <c r="BB18" i="3" s="1"/>
  <c r="AW18" i="3"/>
  <c r="AX18" i="3"/>
  <c r="AY18" i="3"/>
  <c r="AZ18" i="3"/>
  <c r="BA18" i="3"/>
  <c r="AV19" i="3"/>
  <c r="AW19" i="3"/>
  <c r="AX19" i="3"/>
  <c r="AY19" i="3"/>
  <c r="AZ19" i="3"/>
  <c r="BA19" i="3"/>
  <c r="AV20" i="3"/>
  <c r="AW20" i="3"/>
  <c r="AX20" i="3"/>
  <c r="AY20" i="3"/>
  <c r="AZ20" i="3"/>
  <c r="BA20" i="3"/>
  <c r="AV21" i="3"/>
  <c r="AW21" i="3"/>
  <c r="AX21" i="3"/>
  <c r="AY21" i="3"/>
  <c r="AZ21" i="3"/>
  <c r="BA21" i="3"/>
  <c r="AV22" i="3"/>
  <c r="BB22" i="3" s="1"/>
  <c r="AW22" i="3"/>
  <c r="AX22" i="3"/>
  <c r="AY22" i="3"/>
  <c r="AZ22" i="3"/>
  <c r="BA22" i="3"/>
  <c r="AV23" i="3"/>
  <c r="AW23" i="3"/>
  <c r="AX23" i="3"/>
  <c r="AY23" i="3"/>
  <c r="AZ23" i="3"/>
  <c r="BA23" i="3"/>
  <c r="AV24" i="3"/>
  <c r="AW24" i="3"/>
  <c r="AX24" i="3"/>
  <c r="AY24" i="3"/>
  <c r="AZ24" i="3"/>
  <c r="BA24" i="3"/>
  <c r="AV25" i="3"/>
  <c r="AW25" i="3"/>
  <c r="AX25" i="3"/>
  <c r="AY25" i="3"/>
  <c r="AZ25" i="3"/>
  <c r="BA25" i="3"/>
  <c r="AV26" i="3"/>
  <c r="BB26" i="3" s="1"/>
  <c r="AW26" i="3"/>
  <c r="AX26" i="3"/>
  <c r="AY26" i="3"/>
  <c r="AZ26" i="3"/>
  <c r="BA26" i="3"/>
  <c r="AX11" i="3"/>
  <c r="AY11" i="3"/>
  <c r="AZ11" i="3"/>
  <c r="BA11" i="3"/>
  <c r="AV12" i="3"/>
  <c r="AW12" i="3"/>
  <c r="AX12" i="3"/>
  <c r="AY12" i="3"/>
  <c r="BB12" i="3" s="1"/>
  <c r="AZ12" i="3"/>
  <c r="BA12" i="3"/>
  <c r="AV13" i="3"/>
  <c r="AW13" i="3"/>
  <c r="AX13" i="3"/>
  <c r="AY13" i="3"/>
  <c r="AZ13" i="3"/>
  <c r="BA13" i="3"/>
  <c r="AV14" i="3"/>
  <c r="BB14" i="3" s="1"/>
  <c r="AW14" i="3"/>
  <c r="AX14" i="3"/>
  <c r="AY14" i="3"/>
  <c r="AZ14" i="3"/>
  <c r="BA14" i="3"/>
  <c r="AW15" i="3"/>
  <c r="AX15" i="3"/>
  <c r="AY15" i="3"/>
  <c r="AZ15" i="3"/>
  <c r="BA15" i="3"/>
  <c r="AV15" i="3"/>
  <c r="D18" i="7"/>
  <c r="D17" i="7"/>
  <c r="Y17" i="7" s="1"/>
  <c r="D16" i="7"/>
  <c r="Y16" i="7" s="1"/>
  <c r="D15" i="7"/>
  <c r="Y15" i="7" s="1"/>
  <c r="Y18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11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BC26" i="6"/>
  <c r="BC25" i="6"/>
  <c r="BC24" i="6"/>
  <c r="BC23" i="6"/>
  <c r="BC22" i="6"/>
  <c r="BC21" i="6"/>
  <c r="BC20" i="6"/>
  <c r="BC19" i="6"/>
  <c r="BC18" i="6"/>
  <c r="BC17" i="6"/>
  <c r="BC16" i="6"/>
  <c r="BC15" i="6"/>
  <c r="BC14" i="6"/>
  <c r="BC13" i="6"/>
  <c r="BC12" i="6"/>
  <c r="BC11" i="6"/>
  <c r="BC26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11" i="5"/>
  <c r="Q26" i="7"/>
  <c r="R26" i="7" s="1"/>
  <c r="P26" i="7"/>
  <c r="O26" i="7"/>
  <c r="N26" i="7"/>
  <c r="M26" i="7"/>
  <c r="L26" i="7"/>
  <c r="K26" i="7"/>
  <c r="G26" i="7"/>
  <c r="F26" i="7"/>
  <c r="E26" i="7"/>
  <c r="H26" i="7" s="1"/>
  <c r="D26" i="7"/>
  <c r="Y26" i="7" s="1"/>
  <c r="C26" i="7"/>
  <c r="B26" i="7"/>
  <c r="A26" i="7"/>
  <c r="Q25" i="7"/>
  <c r="S25" i="7" s="1"/>
  <c r="P25" i="7"/>
  <c r="O25" i="7"/>
  <c r="N25" i="7"/>
  <c r="M25" i="7"/>
  <c r="L25" i="7"/>
  <c r="K25" i="7"/>
  <c r="G25" i="7"/>
  <c r="F25" i="7"/>
  <c r="E25" i="7"/>
  <c r="I25" i="7" s="1"/>
  <c r="D25" i="7"/>
  <c r="Y25" i="7" s="1"/>
  <c r="C25" i="7"/>
  <c r="B25" i="7"/>
  <c r="A25" i="7"/>
  <c r="Q24" i="7"/>
  <c r="S24" i="7" s="1"/>
  <c r="P24" i="7"/>
  <c r="O24" i="7"/>
  <c r="N24" i="7"/>
  <c r="M24" i="7"/>
  <c r="L24" i="7"/>
  <c r="K24" i="7"/>
  <c r="G24" i="7"/>
  <c r="F24" i="7"/>
  <c r="E24" i="7"/>
  <c r="J24" i="7" s="1"/>
  <c r="D24" i="7"/>
  <c r="Y24" i="7" s="1"/>
  <c r="C24" i="7"/>
  <c r="B24" i="7"/>
  <c r="A24" i="7"/>
  <c r="Q23" i="7"/>
  <c r="S23" i="7" s="1"/>
  <c r="P23" i="7"/>
  <c r="O23" i="7"/>
  <c r="N23" i="7"/>
  <c r="M23" i="7"/>
  <c r="L23" i="7"/>
  <c r="K23" i="7"/>
  <c r="G23" i="7"/>
  <c r="F23" i="7"/>
  <c r="E23" i="7"/>
  <c r="J23" i="7" s="1"/>
  <c r="D23" i="7"/>
  <c r="Y23" i="7" s="1"/>
  <c r="C23" i="7"/>
  <c r="B23" i="7"/>
  <c r="A23" i="7"/>
  <c r="Q22" i="7"/>
  <c r="S22" i="7" s="1"/>
  <c r="P22" i="7"/>
  <c r="O22" i="7"/>
  <c r="N22" i="7"/>
  <c r="M22" i="7"/>
  <c r="L22" i="7"/>
  <c r="K22" i="7"/>
  <c r="G22" i="7"/>
  <c r="F22" i="7"/>
  <c r="E22" i="7"/>
  <c r="J22" i="7" s="1"/>
  <c r="D22" i="7"/>
  <c r="Y22" i="7" s="1"/>
  <c r="C22" i="7"/>
  <c r="B22" i="7"/>
  <c r="A22" i="7"/>
  <c r="Q21" i="7"/>
  <c r="S21" i="7" s="1"/>
  <c r="P21" i="7"/>
  <c r="O21" i="7"/>
  <c r="N21" i="7"/>
  <c r="M21" i="7"/>
  <c r="L21" i="7"/>
  <c r="K21" i="7"/>
  <c r="G21" i="7"/>
  <c r="F21" i="7"/>
  <c r="E21" i="7"/>
  <c r="H21" i="7" s="1"/>
  <c r="D21" i="7"/>
  <c r="Y21" i="7" s="1"/>
  <c r="C21" i="7"/>
  <c r="B21" i="7"/>
  <c r="A21" i="7"/>
  <c r="Q20" i="7"/>
  <c r="R20" i="7" s="1"/>
  <c r="P20" i="7"/>
  <c r="O20" i="7"/>
  <c r="N20" i="7"/>
  <c r="M20" i="7"/>
  <c r="L20" i="7"/>
  <c r="K20" i="7"/>
  <c r="G20" i="7"/>
  <c r="F20" i="7"/>
  <c r="E20" i="7"/>
  <c r="H20" i="7" s="1"/>
  <c r="D20" i="7"/>
  <c r="Y20" i="7" s="1"/>
  <c r="C20" i="7"/>
  <c r="B20" i="7"/>
  <c r="A20" i="7"/>
  <c r="Q19" i="7"/>
  <c r="S19" i="7" s="1"/>
  <c r="P19" i="7"/>
  <c r="O19" i="7"/>
  <c r="N19" i="7"/>
  <c r="M19" i="7"/>
  <c r="L19" i="7"/>
  <c r="K19" i="7"/>
  <c r="G19" i="7"/>
  <c r="F19" i="7"/>
  <c r="E19" i="7"/>
  <c r="J19" i="7" s="1"/>
  <c r="D19" i="7"/>
  <c r="Y19" i="7" s="1"/>
  <c r="C19" i="7"/>
  <c r="B19" i="7"/>
  <c r="A19" i="7"/>
  <c r="Q18" i="7"/>
  <c r="R18" i="7" s="1"/>
  <c r="P18" i="7"/>
  <c r="O18" i="7"/>
  <c r="N18" i="7"/>
  <c r="M18" i="7"/>
  <c r="L18" i="7"/>
  <c r="K18" i="7"/>
  <c r="G18" i="7"/>
  <c r="F18" i="7"/>
  <c r="E18" i="7"/>
  <c r="H18" i="7" s="1"/>
  <c r="C18" i="7"/>
  <c r="B18" i="7"/>
  <c r="A18" i="7"/>
  <c r="Q17" i="7"/>
  <c r="S17" i="7" s="1"/>
  <c r="P17" i="7"/>
  <c r="O17" i="7"/>
  <c r="N17" i="7"/>
  <c r="M17" i="7"/>
  <c r="L17" i="7"/>
  <c r="K17" i="7"/>
  <c r="G17" i="7"/>
  <c r="F17" i="7"/>
  <c r="E17" i="7"/>
  <c r="I17" i="7" s="1"/>
  <c r="C17" i="7"/>
  <c r="B17" i="7"/>
  <c r="A17" i="7"/>
  <c r="Q16" i="7"/>
  <c r="S16" i="7" s="1"/>
  <c r="P16" i="7"/>
  <c r="O16" i="7"/>
  <c r="N16" i="7"/>
  <c r="M16" i="7"/>
  <c r="L16" i="7"/>
  <c r="K16" i="7"/>
  <c r="G16" i="7"/>
  <c r="F16" i="7"/>
  <c r="E16" i="7"/>
  <c r="J16" i="7" s="1"/>
  <c r="C16" i="7"/>
  <c r="B16" i="7"/>
  <c r="A16" i="7"/>
  <c r="Q15" i="7"/>
  <c r="S15" i="7" s="1"/>
  <c r="P15" i="7"/>
  <c r="O15" i="7"/>
  <c r="N15" i="7"/>
  <c r="M15" i="7"/>
  <c r="L15" i="7"/>
  <c r="K15" i="7"/>
  <c r="G15" i="7"/>
  <c r="F15" i="7"/>
  <c r="E15" i="7"/>
  <c r="H15" i="7" s="1"/>
  <c r="C15" i="7"/>
  <c r="B15" i="7"/>
  <c r="A15" i="7"/>
  <c r="Q14" i="7"/>
  <c r="S14" i="7" s="1"/>
  <c r="P14" i="7"/>
  <c r="O14" i="7"/>
  <c r="N14" i="7"/>
  <c r="M14" i="7"/>
  <c r="L14" i="7"/>
  <c r="K14" i="7"/>
  <c r="G14" i="7"/>
  <c r="F14" i="7"/>
  <c r="E14" i="7"/>
  <c r="J14" i="7" s="1"/>
  <c r="D14" i="7"/>
  <c r="Y14" i="7" s="1"/>
  <c r="C14" i="7"/>
  <c r="B14" i="7"/>
  <c r="A14" i="7"/>
  <c r="Q13" i="7"/>
  <c r="S13" i="7" s="1"/>
  <c r="P13" i="7"/>
  <c r="O13" i="7"/>
  <c r="N13" i="7"/>
  <c r="M13" i="7"/>
  <c r="L13" i="7"/>
  <c r="K13" i="7"/>
  <c r="G13" i="7"/>
  <c r="F13" i="7"/>
  <c r="E13" i="7"/>
  <c r="J13" i="7" s="1"/>
  <c r="D13" i="7"/>
  <c r="Y13" i="7" s="1"/>
  <c r="C13" i="7"/>
  <c r="B13" i="7"/>
  <c r="A13" i="7"/>
  <c r="Q12" i="7"/>
  <c r="S12" i="7" s="1"/>
  <c r="P12" i="7"/>
  <c r="O12" i="7"/>
  <c r="N12" i="7"/>
  <c r="M12" i="7"/>
  <c r="L12" i="7"/>
  <c r="K12" i="7"/>
  <c r="G12" i="7"/>
  <c r="F12" i="7"/>
  <c r="E12" i="7"/>
  <c r="I12" i="7" s="1"/>
  <c r="D12" i="7"/>
  <c r="Y12" i="7" s="1"/>
  <c r="C12" i="7"/>
  <c r="B12" i="7"/>
  <c r="A12" i="7"/>
  <c r="Q11" i="7"/>
  <c r="S11" i="7" s="1"/>
  <c r="P11" i="7"/>
  <c r="O11" i="7"/>
  <c r="N11" i="7"/>
  <c r="M11" i="7"/>
  <c r="L11" i="7"/>
  <c r="K11" i="7"/>
  <c r="G11" i="7"/>
  <c r="F11" i="7"/>
  <c r="E11" i="7"/>
  <c r="I11" i="7" s="1"/>
  <c r="D11" i="7"/>
  <c r="Y11" i="7" s="1"/>
  <c r="C11" i="7"/>
  <c r="B11" i="7"/>
  <c r="A11" i="7"/>
  <c r="AR26" i="6"/>
  <c r="AQ26" i="6"/>
  <c r="AP26" i="6"/>
  <c r="AO26" i="6"/>
  <c r="AN26" i="6"/>
  <c r="AM26" i="6"/>
  <c r="AL26" i="6"/>
  <c r="AK26" i="6"/>
  <c r="AJ26" i="6"/>
  <c r="AI26" i="6"/>
  <c r="AH26" i="6"/>
  <c r="AG26" i="6"/>
  <c r="S26" i="6"/>
  <c r="Q26" i="6"/>
  <c r="R26" i="6" s="1"/>
  <c r="P26" i="6"/>
  <c r="O26" i="6"/>
  <c r="N26" i="6"/>
  <c r="M26" i="6"/>
  <c r="L26" i="6"/>
  <c r="K26" i="6"/>
  <c r="G26" i="6"/>
  <c r="F26" i="6"/>
  <c r="E26" i="6"/>
  <c r="J26" i="6" s="1"/>
  <c r="D26" i="6"/>
  <c r="C26" i="6"/>
  <c r="BM26" i="6" s="1"/>
  <c r="B26" i="6"/>
  <c r="A26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Q25" i="6"/>
  <c r="S25" i="6" s="1"/>
  <c r="P25" i="6"/>
  <c r="O25" i="6"/>
  <c r="N25" i="6"/>
  <c r="M25" i="6"/>
  <c r="L25" i="6"/>
  <c r="K25" i="6"/>
  <c r="G25" i="6"/>
  <c r="F25" i="6"/>
  <c r="E25" i="6"/>
  <c r="I25" i="6" s="1"/>
  <c r="D25" i="6"/>
  <c r="C25" i="6"/>
  <c r="BM25" i="6" s="1"/>
  <c r="B25" i="6"/>
  <c r="A25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Q24" i="6"/>
  <c r="S24" i="6" s="1"/>
  <c r="P24" i="6"/>
  <c r="O24" i="6"/>
  <c r="N24" i="6"/>
  <c r="M24" i="6"/>
  <c r="L24" i="6"/>
  <c r="K24" i="6"/>
  <c r="G24" i="6"/>
  <c r="F24" i="6"/>
  <c r="E24" i="6"/>
  <c r="D24" i="6"/>
  <c r="C24" i="6"/>
  <c r="BM24" i="6" s="1"/>
  <c r="B24" i="6"/>
  <c r="A24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Q23" i="6"/>
  <c r="S23" i="6" s="1"/>
  <c r="P23" i="6"/>
  <c r="O23" i="6"/>
  <c r="N23" i="6"/>
  <c r="M23" i="6"/>
  <c r="L23" i="6"/>
  <c r="K23" i="6"/>
  <c r="G23" i="6"/>
  <c r="F23" i="6"/>
  <c r="E23" i="6"/>
  <c r="J23" i="6" s="1"/>
  <c r="D23" i="6"/>
  <c r="C23" i="6"/>
  <c r="BM23" i="6" s="1"/>
  <c r="B23" i="6"/>
  <c r="A23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Q22" i="6"/>
  <c r="S22" i="6" s="1"/>
  <c r="P22" i="6"/>
  <c r="O22" i="6"/>
  <c r="N22" i="6"/>
  <c r="M22" i="6"/>
  <c r="L22" i="6"/>
  <c r="K22" i="6"/>
  <c r="G22" i="6"/>
  <c r="F22" i="6"/>
  <c r="E22" i="6"/>
  <c r="D22" i="6"/>
  <c r="C22" i="6"/>
  <c r="BM22" i="6" s="1"/>
  <c r="B22" i="6"/>
  <c r="A22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Q21" i="6"/>
  <c r="S21" i="6" s="1"/>
  <c r="P21" i="6"/>
  <c r="O21" i="6"/>
  <c r="N21" i="6"/>
  <c r="M21" i="6"/>
  <c r="L21" i="6"/>
  <c r="K21" i="6"/>
  <c r="H21" i="6"/>
  <c r="G21" i="6"/>
  <c r="F21" i="6"/>
  <c r="E21" i="6"/>
  <c r="J21" i="6" s="1"/>
  <c r="D21" i="6"/>
  <c r="C21" i="6"/>
  <c r="BM21" i="6" s="1"/>
  <c r="B21" i="6"/>
  <c r="A21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Q20" i="6"/>
  <c r="S20" i="6" s="1"/>
  <c r="P20" i="6"/>
  <c r="O20" i="6"/>
  <c r="N20" i="6"/>
  <c r="M20" i="6"/>
  <c r="L20" i="6"/>
  <c r="K20" i="6"/>
  <c r="G20" i="6"/>
  <c r="F20" i="6"/>
  <c r="E20" i="6"/>
  <c r="I20" i="6" s="1"/>
  <c r="D20" i="6"/>
  <c r="C20" i="6"/>
  <c r="BM20" i="6" s="1"/>
  <c r="B20" i="6"/>
  <c r="A20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R19" i="6"/>
  <c r="Q19" i="6"/>
  <c r="S19" i="6" s="1"/>
  <c r="P19" i="6"/>
  <c r="O19" i="6"/>
  <c r="N19" i="6"/>
  <c r="M19" i="6"/>
  <c r="L19" i="6"/>
  <c r="K19" i="6"/>
  <c r="G19" i="6"/>
  <c r="F19" i="6"/>
  <c r="E19" i="6"/>
  <c r="I19" i="6" s="1"/>
  <c r="D19" i="6"/>
  <c r="C19" i="6"/>
  <c r="BM19" i="6" s="1"/>
  <c r="B19" i="6"/>
  <c r="A19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Q18" i="6"/>
  <c r="R18" i="6" s="1"/>
  <c r="P18" i="6"/>
  <c r="O18" i="6"/>
  <c r="N18" i="6"/>
  <c r="M18" i="6"/>
  <c r="L18" i="6"/>
  <c r="K18" i="6"/>
  <c r="G18" i="6"/>
  <c r="F18" i="6"/>
  <c r="E18" i="6"/>
  <c r="I18" i="6" s="1"/>
  <c r="D18" i="6"/>
  <c r="C18" i="6"/>
  <c r="BM18" i="6" s="1"/>
  <c r="B18" i="6"/>
  <c r="A18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Q17" i="6"/>
  <c r="S17" i="6" s="1"/>
  <c r="P17" i="6"/>
  <c r="O17" i="6"/>
  <c r="N17" i="6"/>
  <c r="M17" i="6"/>
  <c r="L17" i="6"/>
  <c r="K17" i="6"/>
  <c r="G17" i="6"/>
  <c r="F17" i="6"/>
  <c r="E17" i="6"/>
  <c r="J17" i="6" s="1"/>
  <c r="D17" i="6"/>
  <c r="C17" i="6"/>
  <c r="BM17" i="6" s="1"/>
  <c r="B17" i="6"/>
  <c r="A17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Q16" i="6"/>
  <c r="S16" i="6" s="1"/>
  <c r="P16" i="6"/>
  <c r="O16" i="6"/>
  <c r="N16" i="6"/>
  <c r="M16" i="6"/>
  <c r="L16" i="6"/>
  <c r="K16" i="6"/>
  <c r="G16" i="6"/>
  <c r="F16" i="6"/>
  <c r="E16" i="6"/>
  <c r="D16" i="6"/>
  <c r="C16" i="6"/>
  <c r="BM16" i="6" s="1"/>
  <c r="B16" i="6"/>
  <c r="A16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Q15" i="6"/>
  <c r="P15" i="6"/>
  <c r="O15" i="6"/>
  <c r="N15" i="6"/>
  <c r="M15" i="6"/>
  <c r="L15" i="6"/>
  <c r="K15" i="6"/>
  <c r="I15" i="6"/>
  <c r="G15" i="6"/>
  <c r="F15" i="6"/>
  <c r="E15" i="6"/>
  <c r="J15" i="6" s="1"/>
  <c r="D15" i="6"/>
  <c r="C15" i="6"/>
  <c r="BM15" i="6" s="1"/>
  <c r="B15" i="6"/>
  <c r="A15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Q14" i="6"/>
  <c r="S14" i="6" s="1"/>
  <c r="P14" i="6"/>
  <c r="O14" i="6"/>
  <c r="N14" i="6"/>
  <c r="M14" i="6"/>
  <c r="L14" i="6"/>
  <c r="K14" i="6"/>
  <c r="G14" i="6"/>
  <c r="F14" i="6"/>
  <c r="E14" i="6"/>
  <c r="I14" i="6" s="1"/>
  <c r="D14" i="6"/>
  <c r="C14" i="6"/>
  <c r="BM14" i="6" s="1"/>
  <c r="B14" i="6"/>
  <c r="A14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Q13" i="6"/>
  <c r="R13" i="6" s="1"/>
  <c r="P13" i="6"/>
  <c r="O13" i="6"/>
  <c r="N13" i="6"/>
  <c r="M13" i="6"/>
  <c r="L13" i="6"/>
  <c r="K13" i="6"/>
  <c r="G13" i="6"/>
  <c r="F13" i="6"/>
  <c r="E13" i="6"/>
  <c r="J13" i="6" s="1"/>
  <c r="D13" i="6"/>
  <c r="C13" i="6"/>
  <c r="BM13" i="6" s="1"/>
  <c r="B13" i="6"/>
  <c r="A13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Q12" i="6"/>
  <c r="S12" i="6" s="1"/>
  <c r="P12" i="6"/>
  <c r="O12" i="6"/>
  <c r="N12" i="6"/>
  <c r="M12" i="6"/>
  <c r="L12" i="6"/>
  <c r="K12" i="6"/>
  <c r="G12" i="6"/>
  <c r="F12" i="6"/>
  <c r="E12" i="6"/>
  <c r="I12" i="6" s="1"/>
  <c r="D12" i="6"/>
  <c r="C12" i="6"/>
  <c r="BM12" i="6" s="1"/>
  <c r="B12" i="6"/>
  <c r="A12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Q11" i="6"/>
  <c r="R11" i="6" s="1"/>
  <c r="P11" i="6"/>
  <c r="O11" i="6"/>
  <c r="N11" i="6"/>
  <c r="M11" i="6"/>
  <c r="L11" i="6"/>
  <c r="K11" i="6"/>
  <c r="G11" i="6"/>
  <c r="F11" i="6"/>
  <c r="E11" i="6"/>
  <c r="I11" i="6" s="1"/>
  <c r="D11" i="6"/>
  <c r="C11" i="6"/>
  <c r="BM11" i="6" s="1"/>
  <c r="B11" i="6"/>
  <c r="A11" i="6"/>
  <c r="AM12" i="5"/>
  <c r="AN12" i="5"/>
  <c r="AO12" i="5"/>
  <c r="AP12" i="5"/>
  <c r="AQ12" i="5"/>
  <c r="AR12" i="5"/>
  <c r="AM13" i="5"/>
  <c r="AN13" i="5"/>
  <c r="AO13" i="5"/>
  <c r="AP13" i="5"/>
  <c r="AQ13" i="5"/>
  <c r="AR13" i="5"/>
  <c r="AM14" i="5"/>
  <c r="AN14" i="5"/>
  <c r="AO14" i="5"/>
  <c r="AP14" i="5"/>
  <c r="AQ14" i="5"/>
  <c r="AR14" i="5"/>
  <c r="AM15" i="5"/>
  <c r="AN15" i="5"/>
  <c r="AO15" i="5"/>
  <c r="AP15" i="5"/>
  <c r="AQ15" i="5"/>
  <c r="AR15" i="5"/>
  <c r="AM16" i="5"/>
  <c r="AN16" i="5"/>
  <c r="AO16" i="5"/>
  <c r="AP16" i="5"/>
  <c r="AQ16" i="5"/>
  <c r="AR16" i="5"/>
  <c r="AM17" i="5"/>
  <c r="AN17" i="5"/>
  <c r="AO17" i="5"/>
  <c r="AP17" i="5"/>
  <c r="AQ17" i="5"/>
  <c r="AR17" i="5"/>
  <c r="AM18" i="5"/>
  <c r="AN18" i="5"/>
  <c r="AO18" i="5"/>
  <c r="AP18" i="5"/>
  <c r="AQ18" i="5"/>
  <c r="AR18" i="5"/>
  <c r="AM19" i="5"/>
  <c r="AN19" i="5"/>
  <c r="AO19" i="5"/>
  <c r="AP19" i="5"/>
  <c r="AQ19" i="5"/>
  <c r="AR19" i="5"/>
  <c r="AM20" i="5"/>
  <c r="AN20" i="5"/>
  <c r="AO20" i="5"/>
  <c r="AP20" i="5"/>
  <c r="AQ20" i="5"/>
  <c r="AR20" i="5"/>
  <c r="AM21" i="5"/>
  <c r="AN21" i="5"/>
  <c r="AO21" i="5"/>
  <c r="AP21" i="5"/>
  <c r="AQ21" i="5"/>
  <c r="AR21" i="5"/>
  <c r="AM22" i="5"/>
  <c r="AN22" i="5"/>
  <c r="AO22" i="5"/>
  <c r="AP22" i="5"/>
  <c r="AQ22" i="5"/>
  <c r="AR22" i="5"/>
  <c r="AM23" i="5"/>
  <c r="AN23" i="5"/>
  <c r="AO23" i="5"/>
  <c r="AP23" i="5"/>
  <c r="AQ23" i="5"/>
  <c r="AR23" i="5"/>
  <c r="AM24" i="5"/>
  <c r="AN24" i="5"/>
  <c r="AO24" i="5"/>
  <c r="AP24" i="5"/>
  <c r="AQ24" i="5"/>
  <c r="AR24" i="5"/>
  <c r="AM25" i="5"/>
  <c r="AN25" i="5"/>
  <c r="AO25" i="5"/>
  <c r="AP25" i="5"/>
  <c r="AQ25" i="5"/>
  <c r="AR25" i="5"/>
  <c r="AM26" i="5"/>
  <c r="AN26" i="5"/>
  <c r="AO26" i="5"/>
  <c r="AP26" i="5"/>
  <c r="AQ26" i="5"/>
  <c r="AR26" i="5"/>
  <c r="AR11" i="5"/>
  <c r="AQ11" i="5"/>
  <c r="AP11" i="5"/>
  <c r="AO11" i="5"/>
  <c r="AN11" i="5"/>
  <c r="AM11" i="5"/>
  <c r="AG12" i="5"/>
  <c r="AH12" i="5"/>
  <c r="AI12" i="5"/>
  <c r="AJ12" i="5"/>
  <c r="AK12" i="5"/>
  <c r="AL12" i="5"/>
  <c r="AG13" i="5"/>
  <c r="AH13" i="5"/>
  <c r="AI13" i="5"/>
  <c r="AJ13" i="5"/>
  <c r="AK13" i="5"/>
  <c r="AL13" i="5"/>
  <c r="AG14" i="5"/>
  <c r="AH14" i="5"/>
  <c r="AI14" i="5"/>
  <c r="AJ14" i="5"/>
  <c r="AK14" i="5"/>
  <c r="AL14" i="5"/>
  <c r="AG15" i="5"/>
  <c r="AH15" i="5"/>
  <c r="AI15" i="5"/>
  <c r="AJ15" i="5"/>
  <c r="AK15" i="5"/>
  <c r="AL15" i="5"/>
  <c r="AG16" i="5"/>
  <c r="AH16" i="5"/>
  <c r="AI16" i="5"/>
  <c r="AJ16" i="5"/>
  <c r="AK16" i="5"/>
  <c r="AL16" i="5"/>
  <c r="AG17" i="5"/>
  <c r="AH17" i="5"/>
  <c r="AI17" i="5"/>
  <c r="AJ17" i="5"/>
  <c r="AK17" i="5"/>
  <c r="AL17" i="5"/>
  <c r="AG18" i="5"/>
  <c r="AH18" i="5"/>
  <c r="AI18" i="5"/>
  <c r="AJ18" i="5"/>
  <c r="AK18" i="5"/>
  <c r="AL18" i="5"/>
  <c r="AG19" i="5"/>
  <c r="AH19" i="5"/>
  <c r="AI19" i="5"/>
  <c r="AJ19" i="5"/>
  <c r="AK19" i="5"/>
  <c r="AL19" i="5"/>
  <c r="AG20" i="5"/>
  <c r="AH20" i="5"/>
  <c r="AI20" i="5"/>
  <c r="AJ20" i="5"/>
  <c r="AK20" i="5"/>
  <c r="AL20" i="5"/>
  <c r="AG21" i="5"/>
  <c r="AH21" i="5"/>
  <c r="AI21" i="5"/>
  <c r="AJ21" i="5"/>
  <c r="AK21" i="5"/>
  <c r="AL21" i="5"/>
  <c r="AG22" i="5"/>
  <c r="AH22" i="5"/>
  <c r="AI22" i="5"/>
  <c r="AJ22" i="5"/>
  <c r="AK22" i="5"/>
  <c r="AL22" i="5"/>
  <c r="AG23" i="5"/>
  <c r="AH23" i="5"/>
  <c r="AI23" i="5"/>
  <c r="AJ23" i="5"/>
  <c r="AK23" i="5"/>
  <c r="AL23" i="5"/>
  <c r="AG24" i="5"/>
  <c r="AH24" i="5"/>
  <c r="AI24" i="5"/>
  <c r="AJ24" i="5"/>
  <c r="AK24" i="5"/>
  <c r="AL24" i="5"/>
  <c r="AG25" i="5"/>
  <c r="AH25" i="5"/>
  <c r="AI25" i="5"/>
  <c r="AJ25" i="5"/>
  <c r="AK25" i="5"/>
  <c r="AL25" i="5"/>
  <c r="AG26" i="5"/>
  <c r="AH26" i="5"/>
  <c r="AI26" i="5"/>
  <c r="AJ26" i="5"/>
  <c r="AK26" i="5"/>
  <c r="AL26" i="5"/>
  <c r="AL11" i="5"/>
  <c r="AK11" i="5"/>
  <c r="AJ11" i="5"/>
  <c r="AI11" i="5"/>
  <c r="AH11" i="5"/>
  <c r="AG11" i="5"/>
  <c r="Q26" i="5"/>
  <c r="S26" i="5" s="1"/>
  <c r="P26" i="5"/>
  <c r="O26" i="5"/>
  <c r="N26" i="5"/>
  <c r="M26" i="5"/>
  <c r="L26" i="5"/>
  <c r="K26" i="5"/>
  <c r="G26" i="5"/>
  <c r="F26" i="5"/>
  <c r="E26" i="5"/>
  <c r="J26" i="5" s="1"/>
  <c r="D26" i="5"/>
  <c r="C26" i="5"/>
  <c r="B26" i="5"/>
  <c r="A26" i="5"/>
  <c r="Q25" i="5"/>
  <c r="S25" i="5" s="1"/>
  <c r="P25" i="5"/>
  <c r="O25" i="5"/>
  <c r="N25" i="5"/>
  <c r="M25" i="5"/>
  <c r="L25" i="5"/>
  <c r="K25" i="5"/>
  <c r="G25" i="5"/>
  <c r="F25" i="5"/>
  <c r="E25" i="5"/>
  <c r="J25" i="5" s="1"/>
  <c r="D25" i="5"/>
  <c r="C25" i="5"/>
  <c r="B25" i="5"/>
  <c r="A25" i="5"/>
  <c r="Q24" i="5"/>
  <c r="S24" i="5" s="1"/>
  <c r="P24" i="5"/>
  <c r="O24" i="5"/>
  <c r="N24" i="5"/>
  <c r="M24" i="5"/>
  <c r="L24" i="5"/>
  <c r="K24" i="5"/>
  <c r="G24" i="5"/>
  <c r="F24" i="5"/>
  <c r="E24" i="5"/>
  <c r="J24" i="5" s="1"/>
  <c r="D24" i="5"/>
  <c r="C24" i="5"/>
  <c r="B24" i="5"/>
  <c r="A24" i="5"/>
  <c r="Q23" i="5"/>
  <c r="S23" i="5" s="1"/>
  <c r="P23" i="5"/>
  <c r="O23" i="5"/>
  <c r="N23" i="5"/>
  <c r="M23" i="5"/>
  <c r="L23" i="5"/>
  <c r="K23" i="5"/>
  <c r="G23" i="5"/>
  <c r="F23" i="5"/>
  <c r="E23" i="5"/>
  <c r="J23" i="5" s="1"/>
  <c r="D23" i="5"/>
  <c r="C23" i="5"/>
  <c r="B23" i="5"/>
  <c r="A23" i="5"/>
  <c r="Q22" i="5"/>
  <c r="R22" i="5" s="1"/>
  <c r="P22" i="5"/>
  <c r="O22" i="5"/>
  <c r="N22" i="5"/>
  <c r="M22" i="5"/>
  <c r="L22" i="5"/>
  <c r="K22" i="5"/>
  <c r="G22" i="5"/>
  <c r="F22" i="5"/>
  <c r="E22" i="5"/>
  <c r="J22" i="5" s="1"/>
  <c r="D22" i="5"/>
  <c r="C22" i="5"/>
  <c r="B22" i="5"/>
  <c r="A22" i="5"/>
  <c r="Q21" i="5"/>
  <c r="R21" i="5" s="1"/>
  <c r="P21" i="5"/>
  <c r="O21" i="5"/>
  <c r="N21" i="5"/>
  <c r="M21" i="5"/>
  <c r="L21" i="5"/>
  <c r="K21" i="5"/>
  <c r="G21" i="5"/>
  <c r="F21" i="5"/>
  <c r="E21" i="5"/>
  <c r="I21" i="5" s="1"/>
  <c r="D21" i="5"/>
  <c r="C21" i="5"/>
  <c r="B21" i="5"/>
  <c r="A21" i="5"/>
  <c r="Q20" i="5"/>
  <c r="S20" i="5" s="1"/>
  <c r="P20" i="5"/>
  <c r="O20" i="5"/>
  <c r="N20" i="5"/>
  <c r="M20" i="5"/>
  <c r="L20" i="5"/>
  <c r="K20" i="5"/>
  <c r="G20" i="5"/>
  <c r="F20" i="5"/>
  <c r="E20" i="5"/>
  <c r="J20" i="5" s="1"/>
  <c r="D20" i="5"/>
  <c r="C20" i="5"/>
  <c r="B20" i="5"/>
  <c r="A20" i="5"/>
  <c r="Q19" i="5"/>
  <c r="R19" i="5" s="1"/>
  <c r="P19" i="5"/>
  <c r="O19" i="5"/>
  <c r="N19" i="5"/>
  <c r="M19" i="5"/>
  <c r="L19" i="5"/>
  <c r="K19" i="5"/>
  <c r="G19" i="5"/>
  <c r="F19" i="5"/>
  <c r="E19" i="5"/>
  <c r="H19" i="5" s="1"/>
  <c r="D19" i="5"/>
  <c r="C19" i="5"/>
  <c r="B19" i="5"/>
  <c r="A19" i="5"/>
  <c r="Q18" i="5"/>
  <c r="S18" i="5" s="1"/>
  <c r="P18" i="5"/>
  <c r="O18" i="5"/>
  <c r="N18" i="5"/>
  <c r="M18" i="5"/>
  <c r="L18" i="5"/>
  <c r="K18" i="5"/>
  <c r="G18" i="5"/>
  <c r="F18" i="5"/>
  <c r="E18" i="5"/>
  <c r="J18" i="5" s="1"/>
  <c r="D18" i="5"/>
  <c r="C18" i="5"/>
  <c r="B18" i="5"/>
  <c r="A18" i="5"/>
  <c r="Q17" i="5"/>
  <c r="S17" i="5" s="1"/>
  <c r="P17" i="5"/>
  <c r="O17" i="5"/>
  <c r="N17" i="5"/>
  <c r="M17" i="5"/>
  <c r="L17" i="5"/>
  <c r="K17" i="5"/>
  <c r="G17" i="5"/>
  <c r="F17" i="5"/>
  <c r="E17" i="5"/>
  <c r="J17" i="5" s="1"/>
  <c r="D17" i="5"/>
  <c r="C17" i="5"/>
  <c r="B17" i="5"/>
  <c r="A17" i="5"/>
  <c r="Q16" i="5"/>
  <c r="S16" i="5" s="1"/>
  <c r="P16" i="5"/>
  <c r="O16" i="5"/>
  <c r="N16" i="5"/>
  <c r="M16" i="5"/>
  <c r="L16" i="5"/>
  <c r="K16" i="5"/>
  <c r="G16" i="5"/>
  <c r="F16" i="5"/>
  <c r="E16" i="5"/>
  <c r="J16" i="5" s="1"/>
  <c r="D16" i="5"/>
  <c r="C16" i="5"/>
  <c r="B16" i="5"/>
  <c r="A16" i="5"/>
  <c r="Q15" i="5"/>
  <c r="R15" i="5" s="1"/>
  <c r="P15" i="5"/>
  <c r="O15" i="5"/>
  <c r="N15" i="5"/>
  <c r="M15" i="5"/>
  <c r="L15" i="5"/>
  <c r="K15" i="5"/>
  <c r="G15" i="5"/>
  <c r="F15" i="5"/>
  <c r="E15" i="5"/>
  <c r="J15" i="5" s="1"/>
  <c r="D15" i="5"/>
  <c r="C15" i="5"/>
  <c r="B15" i="5"/>
  <c r="A15" i="5"/>
  <c r="Q14" i="5"/>
  <c r="R14" i="5" s="1"/>
  <c r="P14" i="5"/>
  <c r="O14" i="5"/>
  <c r="N14" i="5"/>
  <c r="M14" i="5"/>
  <c r="L14" i="5"/>
  <c r="K14" i="5"/>
  <c r="G14" i="5"/>
  <c r="F14" i="5"/>
  <c r="E14" i="5"/>
  <c r="J14" i="5" s="1"/>
  <c r="D14" i="5"/>
  <c r="C14" i="5"/>
  <c r="B14" i="5"/>
  <c r="A14" i="5"/>
  <c r="Q13" i="5"/>
  <c r="R13" i="5" s="1"/>
  <c r="P13" i="5"/>
  <c r="O13" i="5"/>
  <c r="N13" i="5"/>
  <c r="M13" i="5"/>
  <c r="L13" i="5"/>
  <c r="K13" i="5"/>
  <c r="G13" i="5"/>
  <c r="F13" i="5"/>
  <c r="E13" i="5"/>
  <c r="H13" i="5" s="1"/>
  <c r="D13" i="5"/>
  <c r="C13" i="5"/>
  <c r="B13" i="5"/>
  <c r="A13" i="5"/>
  <c r="Q12" i="5"/>
  <c r="S12" i="5" s="1"/>
  <c r="P12" i="5"/>
  <c r="O12" i="5"/>
  <c r="N12" i="5"/>
  <c r="M12" i="5"/>
  <c r="L12" i="5"/>
  <c r="K12" i="5"/>
  <c r="G12" i="5"/>
  <c r="F12" i="5"/>
  <c r="E12" i="5"/>
  <c r="J12" i="5" s="1"/>
  <c r="D12" i="5"/>
  <c r="C12" i="5"/>
  <c r="B12" i="5"/>
  <c r="A12" i="5"/>
  <c r="Q11" i="5"/>
  <c r="S11" i="5" s="1"/>
  <c r="P11" i="5"/>
  <c r="O11" i="5"/>
  <c r="N11" i="5"/>
  <c r="M11" i="5"/>
  <c r="L11" i="5"/>
  <c r="K11" i="5"/>
  <c r="G11" i="5"/>
  <c r="F11" i="5"/>
  <c r="E11" i="5"/>
  <c r="H11" i="5" s="1"/>
  <c r="D11" i="5"/>
  <c r="C11" i="5"/>
  <c r="B11" i="5"/>
  <c r="A11" i="5"/>
  <c r="A15" i="3"/>
  <c r="AD15" i="3" s="1"/>
  <c r="B15" i="3"/>
  <c r="C15" i="3"/>
  <c r="D15" i="3"/>
  <c r="E15" i="3"/>
  <c r="H15" i="3" s="1"/>
  <c r="F15" i="3"/>
  <c r="G15" i="3"/>
  <c r="K15" i="3"/>
  <c r="L15" i="3"/>
  <c r="M15" i="3"/>
  <c r="N15" i="3"/>
  <c r="O15" i="3"/>
  <c r="P15" i="3"/>
  <c r="Q15" i="3"/>
  <c r="S15" i="3" s="1"/>
  <c r="Z15" i="3"/>
  <c r="AA15" i="3"/>
  <c r="AP15" i="3"/>
  <c r="AQ15" i="3"/>
  <c r="AR15" i="3"/>
  <c r="AS15" i="3"/>
  <c r="AT15" i="3"/>
  <c r="AU15" i="3"/>
  <c r="A16" i="3"/>
  <c r="AB16" i="3" s="1"/>
  <c r="B16" i="3"/>
  <c r="C16" i="3"/>
  <c r="D16" i="3"/>
  <c r="E16" i="3"/>
  <c r="I16" i="3" s="1"/>
  <c r="F16" i="3"/>
  <c r="G16" i="3"/>
  <c r="K16" i="3"/>
  <c r="L16" i="3"/>
  <c r="M16" i="3"/>
  <c r="N16" i="3"/>
  <c r="O16" i="3"/>
  <c r="P16" i="3"/>
  <c r="Q16" i="3"/>
  <c r="R16" i="3" s="1"/>
  <c r="Z16" i="3"/>
  <c r="AA16" i="3"/>
  <c r="AP16" i="3"/>
  <c r="AQ16" i="3"/>
  <c r="AR16" i="3"/>
  <c r="AS16" i="3"/>
  <c r="AT16" i="3"/>
  <c r="AU16" i="3"/>
  <c r="A17" i="3"/>
  <c r="AF17" i="3" s="1"/>
  <c r="B17" i="3"/>
  <c r="C17" i="3"/>
  <c r="D17" i="3"/>
  <c r="E17" i="3"/>
  <c r="I17" i="3" s="1"/>
  <c r="F17" i="3"/>
  <c r="G17" i="3"/>
  <c r="K17" i="3"/>
  <c r="L17" i="3"/>
  <c r="M17" i="3"/>
  <c r="N17" i="3"/>
  <c r="O17" i="3"/>
  <c r="P17" i="3"/>
  <c r="Q17" i="3"/>
  <c r="S17" i="3" s="1"/>
  <c r="Z17" i="3"/>
  <c r="AA17" i="3"/>
  <c r="AP17" i="3"/>
  <c r="AQ17" i="3"/>
  <c r="AR17" i="3"/>
  <c r="AS17" i="3"/>
  <c r="AT17" i="3"/>
  <c r="AU17" i="3"/>
  <c r="A18" i="3"/>
  <c r="AB18" i="3" s="1"/>
  <c r="B18" i="3"/>
  <c r="C18" i="3"/>
  <c r="D18" i="3"/>
  <c r="E18" i="3"/>
  <c r="I18" i="3" s="1"/>
  <c r="F18" i="3"/>
  <c r="G18" i="3"/>
  <c r="K18" i="3"/>
  <c r="L18" i="3"/>
  <c r="M18" i="3"/>
  <c r="N18" i="3"/>
  <c r="O18" i="3"/>
  <c r="P18" i="3"/>
  <c r="Q18" i="3"/>
  <c r="S18" i="3" s="1"/>
  <c r="Z18" i="3"/>
  <c r="AA18" i="3"/>
  <c r="AP18" i="3"/>
  <c r="AQ18" i="3"/>
  <c r="AR18" i="3"/>
  <c r="AS18" i="3"/>
  <c r="AT18" i="3"/>
  <c r="AU18" i="3"/>
  <c r="A19" i="3"/>
  <c r="AF19" i="3" s="1"/>
  <c r="B19" i="3"/>
  <c r="C19" i="3"/>
  <c r="D19" i="3"/>
  <c r="E19" i="3"/>
  <c r="H19" i="3" s="1"/>
  <c r="F19" i="3"/>
  <c r="G19" i="3"/>
  <c r="K19" i="3"/>
  <c r="L19" i="3"/>
  <c r="M19" i="3"/>
  <c r="N19" i="3"/>
  <c r="O19" i="3"/>
  <c r="P19" i="3"/>
  <c r="Q19" i="3"/>
  <c r="S19" i="3" s="1"/>
  <c r="Z19" i="3"/>
  <c r="AA19" i="3"/>
  <c r="AD19" i="3"/>
  <c r="AP19" i="3"/>
  <c r="AQ19" i="3"/>
  <c r="AR19" i="3"/>
  <c r="AS19" i="3"/>
  <c r="AT19" i="3"/>
  <c r="AU19" i="3"/>
  <c r="A20" i="3"/>
  <c r="AB20" i="3" s="1"/>
  <c r="B20" i="3"/>
  <c r="C20" i="3"/>
  <c r="D20" i="3"/>
  <c r="E20" i="3"/>
  <c r="I20" i="3" s="1"/>
  <c r="F20" i="3"/>
  <c r="G20" i="3"/>
  <c r="K20" i="3"/>
  <c r="L20" i="3"/>
  <c r="M20" i="3"/>
  <c r="N20" i="3"/>
  <c r="O20" i="3"/>
  <c r="P20" i="3"/>
  <c r="Q20" i="3"/>
  <c r="S20" i="3" s="1"/>
  <c r="Z20" i="3"/>
  <c r="AA20" i="3"/>
  <c r="AE20" i="3"/>
  <c r="AP20" i="3"/>
  <c r="AQ20" i="3"/>
  <c r="AR20" i="3"/>
  <c r="AS20" i="3"/>
  <c r="AT20" i="3"/>
  <c r="AU20" i="3"/>
  <c r="A21" i="3"/>
  <c r="AF21" i="3" s="1"/>
  <c r="B21" i="3"/>
  <c r="C21" i="3"/>
  <c r="D21" i="3"/>
  <c r="E21" i="3"/>
  <c r="H21" i="3" s="1"/>
  <c r="F21" i="3"/>
  <c r="G21" i="3"/>
  <c r="K21" i="3"/>
  <c r="L21" i="3"/>
  <c r="M21" i="3"/>
  <c r="N21" i="3"/>
  <c r="O21" i="3"/>
  <c r="P21" i="3"/>
  <c r="Q21" i="3"/>
  <c r="S21" i="3" s="1"/>
  <c r="Z21" i="3"/>
  <c r="AA21" i="3"/>
  <c r="AP21" i="3"/>
  <c r="AQ21" i="3"/>
  <c r="AR21" i="3"/>
  <c r="AS21" i="3"/>
  <c r="AT21" i="3"/>
  <c r="AU21" i="3"/>
  <c r="A22" i="3"/>
  <c r="AB22" i="3" s="1"/>
  <c r="B22" i="3"/>
  <c r="C22" i="3"/>
  <c r="D22" i="3"/>
  <c r="E22" i="3"/>
  <c r="H22" i="3" s="1"/>
  <c r="F22" i="3"/>
  <c r="G22" i="3"/>
  <c r="K22" i="3"/>
  <c r="L22" i="3"/>
  <c r="M22" i="3"/>
  <c r="N22" i="3"/>
  <c r="O22" i="3"/>
  <c r="P22" i="3"/>
  <c r="Q22" i="3"/>
  <c r="S22" i="3" s="1"/>
  <c r="Z22" i="3"/>
  <c r="AA22" i="3"/>
  <c r="AG22" i="3"/>
  <c r="AP22" i="3"/>
  <c r="AQ22" i="3"/>
  <c r="AR22" i="3"/>
  <c r="AS22" i="3"/>
  <c r="AT22" i="3"/>
  <c r="AU22" i="3"/>
  <c r="A23" i="3"/>
  <c r="AF23" i="3" s="1"/>
  <c r="B23" i="3"/>
  <c r="C23" i="3"/>
  <c r="D23" i="3"/>
  <c r="E23" i="3"/>
  <c r="J23" i="3" s="1"/>
  <c r="F23" i="3"/>
  <c r="G23" i="3"/>
  <c r="K23" i="3"/>
  <c r="L23" i="3"/>
  <c r="M23" i="3"/>
  <c r="N23" i="3"/>
  <c r="O23" i="3"/>
  <c r="P23" i="3"/>
  <c r="Q23" i="3"/>
  <c r="S23" i="3" s="1"/>
  <c r="Z23" i="3"/>
  <c r="AA23" i="3"/>
  <c r="AP23" i="3"/>
  <c r="AQ23" i="3"/>
  <c r="AR23" i="3"/>
  <c r="AS23" i="3"/>
  <c r="AT23" i="3"/>
  <c r="AU23" i="3"/>
  <c r="A24" i="3"/>
  <c r="AB24" i="3" s="1"/>
  <c r="B24" i="3"/>
  <c r="C24" i="3"/>
  <c r="D24" i="3"/>
  <c r="E24" i="3"/>
  <c r="I24" i="3" s="1"/>
  <c r="F24" i="3"/>
  <c r="G24" i="3"/>
  <c r="K24" i="3"/>
  <c r="L24" i="3"/>
  <c r="M24" i="3"/>
  <c r="N24" i="3"/>
  <c r="O24" i="3"/>
  <c r="P24" i="3"/>
  <c r="Q24" i="3"/>
  <c r="S24" i="3" s="1"/>
  <c r="Z24" i="3"/>
  <c r="AA24" i="3"/>
  <c r="AP24" i="3"/>
  <c r="AQ24" i="3"/>
  <c r="AR24" i="3"/>
  <c r="AS24" i="3"/>
  <c r="AT24" i="3"/>
  <c r="AU24" i="3"/>
  <c r="A25" i="3"/>
  <c r="AE25" i="3" s="1"/>
  <c r="B25" i="3"/>
  <c r="C25" i="3"/>
  <c r="D25" i="3"/>
  <c r="E25" i="3"/>
  <c r="I25" i="3" s="1"/>
  <c r="F25" i="3"/>
  <c r="G25" i="3"/>
  <c r="K25" i="3"/>
  <c r="L25" i="3"/>
  <c r="M25" i="3"/>
  <c r="N25" i="3"/>
  <c r="O25" i="3"/>
  <c r="P25" i="3"/>
  <c r="Q25" i="3"/>
  <c r="S25" i="3" s="1"/>
  <c r="Z25" i="3"/>
  <c r="AA25" i="3"/>
  <c r="AP25" i="3"/>
  <c r="AQ25" i="3"/>
  <c r="AR25" i="3"/>
  <c r="AS25" i="3"/>
  <c r="AT25" i="3"/>
  <c r="AU25" i="3"/>
  <c r="A26" i="3"/>
  <c r="AB26" i="3" s="1"/>
  <c r="B26" i="3"/>
  <c r="C26" i="3"/>
  <c r="D26" i="3"/>
  <c r="E26" i="3"/>
  <c r="I26" i="3" s="1"/>
  <c r="F26" i="3"/>
  <c r="G26" i="3"/>
  <c r="K26" i="3"/>
  <c r="L26" i="3"/>
  <c r="M26" i="3"/>
  <c r="N26" i="3"/>
  <c r="O26" i="3"/>
  <c r="P26" i="3"/>
  <c r="Q26" i="3"/>
  <c r="S26" i="3" s="1"/>
  <c r="Z26" i="3"/>
  <c r="AA26" i="3"/>
  <c r="AP26" i="3"/>
  <c r="AQ26" i="3"/>
  <c r="AR26" i="3"/>
  <c r="AS26" i="3"/>
  <c r="AT26" i="3"/>
  <c r="AU26" i="3"/>
  <c r="F12" i="3"/>
  <c r="G12" i="3"/>
  <c r="F13" i="3"/>
  <c r="G13" i="3"/>
  <c r="F14" i="3"/>
  <c r="G14" i="3"/>
  <c r="E11" i="3"/>
  <c r="J11" i="3" s="1"/>
  <c r="F11" i="3"/>
  <c r="G11" i="3"/>
  <c r="AP12" i="3"/>
  <c r="AQ12" i="3"/>
  <c r="AR12" i="3"/>
  <c r="AS12" i="3"/>
  <c r="AT12" i="3"/>
  <c r="AU12" i="3"/>
  <c r="AP13" i="3"/>
  <c r="AQ13" i="3"/>
  <c r="AR13" i="3"/>
  <c r="AS13" i="3"/>
  <c r="AT13" i="3"/>
  <c r="AU13" i="3"/>
  <c r="AP14" i="3"/>
  <c r="AQ14" i="3"/>
  <c r="AR14" i="3"/>
  <c r="AS14" i="3"/>
  <c r="AT14" i="3"/>
  <c r="AU14" i="3"/>
  <c r="AQ11" i="3"/>
  <c r="AP11" i="3"/>
  <c r="AU11" i="3"/>
  <c r="AT11" i="3"/>
  <c r="AS11" i="3"/>
  <c r="AR11" i="3"/>
  <c r="Z12" i="3"/>
  <c r="AA12" i="3"/>
  <c r="Z13" i="3"/>
  <c r="AA13" i="3"/>
  <c r="Z14" i="3"/>
  <c r="AA14" i="3"/>
  <c r="AA11" i="3"/>
  <c r="Z11" i="3"/>
  <c r="A14" i="3"/>
  <c r="AB14" i="3" s="1"/>
  <c r="B14" i="3"/>
  <c r="C14" i="3"/>
  <c r="D14" i="3"/>
  <c r="E14" i="3"/>
  <c r="H14" i="3" s="1"/>
  <c r="K14" i="3"/>
  <c r="L14" i="3"/>
  <c r="M14" i="3"/>
  <c r="N14" i="3"/>
  <c r="O14" i="3"/>
  <c r="P14" i="3"/>
  <c r="Q14" i="3"/>
  <c r="S14" i="3" s="1"/>
  <c r="A12" i="3"/>
  <c r="AF12" i="3" s="1"/>
  <c r="B12" i="3"/>
  <c r="C12" i="3"/>
  <c r="D12" i="3"/>
  <c r="E12" i="3"/>
  <c r="I12" i="3" s="1"/>
  <c r="K12" i="3"/>
  <c r="L12" i="3"/>
  <c r="M12" i="3"/>
  <c r="N12" i="3"/>
  <c r="O12" i="3"/>
  <c r="P12" i="3"/>
  <c r="Q12" i="3"/>
  <c r="R12" i="3" s="1"/>
  <c r="A13" i="3"/>
  <c r="AC13" i="3" s="1"/>
  <c r="B13" i="3"/>
  <c r="C13" i="3"/>
  <c r="D13" i="3"/>
  <c r="E13" i="3"/>
  <c r="H13" i="3" s="1"/>
  <c r="K13" i="3"/>
  <c r="L13" i="3"/>
  <c r="M13" i="3"/>
  <c r="N13" i="3"/>
  <c r="O13" i="3"/>
  <c r="P13" i="3"/>
  <c r="Q13" i="3"/>
  <c r="S13" i="3" s="1"/>
  <c r="B11" i="3"/>
  <c r="C11" i="3"/>
  <c r="D11" i="3"/>
  <c r="K11" i="3"/>
  <c r="L11" i="3"/>
  <c r="M11" i="3"/>
  <c r="N11" i="3"/>
  <c r="O11" i="3"/>
  <c r="P11" i="3"/>
  <c r="Q11" i="3"/>
  <c r="S11" i="3" s="1"/>
  <c r="A11" i="3"/>
  <c r="AD11" i="3" s="1"/>
  <c r="B23" i="1"/>
  <c r="G11" i="1"/>
  <c r="G12" i="1"/>
  <c r="G13" i="1"/>
  <c r="G15" i="1"/>
  <c r="G16" i="1"/>
  <c r="G10" i="1"/>
  <c r="I11" i="1"/>
  <c r="I12" i="1"/>
  <c r="I13" i="1"/>
  <c r="I14" i="1"/>
  <c r="I15" i="1"/>
  <c r="I16" i="1"/>
  <c r="I10" i="1"/>
  <c r="D6" i="1"/>
  <c r="J19" i="6" l="1"/>
  <c r="S13" i="6"/>
  <c r="I23" i="6"/>
  <c r="H26" i="6"/>
  <c r="T25" i="5"/>
  <c r="R26" i="5"/>
  <c r="AC25" i="5"/>
  <c r="BF25" i="5" s="1"/>
  <c r="BB15" i="3"/>
  <c r="BB13" i="3"/>
  <c r="BB25" i="3"/>
  <c r="BB21" i="3"/>
  <c r="BB23" i="3"/>
  <c r="BB24" i="3"/>
  <c r="BB19" i="3"/>
  <c r="BB20" i="3"/>
  <c r="BB11" i="3"/>
  <c r="AH18" i="3"/>
  <c r="AC19" i="3"/>
  <c r="AF22" i="3"/>
  <c r="AH15" i="3"/>
  <c r="J20" i="6"/>
  <c r="T20" i="6" s="1"/>
  <c r="AA25" i="6"/>
  <c r="T26" i="6"/>
  <c r="S11" i="6"/>
  <c r="R24" i="6"/>
  <c r="I26" i="6"/>
  <c r="H14" i="6"/>
  <c r="H20" i="6"/>
  <c r="I21" i="6"/>
  <c r="J11" i="5"/>
  <c r="T11" i="5" s="1"/>
  <c r="AD11" i="5" s="1"/>
  <c r="I13" i="5"/>
  <c r="S14" i="5"/>
  <c r="H15" i="5"/>
  <c r="AC20" i="5"/>
  <c r="BF20" i="5" s="1"/>
  <c r="J11" i="6"/>
  <c r="J12" i="6"/>
  <c r="T12" i="6" s="1"/>
  <c r="I13" i="6"/>
  <c r="J18" i="6"/>
  <c r="T18" i="6" s="1"/>
  <c r="J13" i="5"/>
  <c r="T13" i="5" s="1"/>
  <c r="I15" i="5"/>
  <c r="T15" i="6"/>
  <c r="T23" i="6"/>
  <c r="AB23" i="6" s="1"/>
  <c r="R21" i="3"/>
  <c r="AE15" i="3"/>
  <c r="AL15" i="3" s="1"/>
  <c r="T18" i="5"/>
  <c r="AC18" i="5" s="1"/>
  <c r="BF18" i="5" s="1"/>
  <c r="T17" i="6"/>
  <c r="AA17" i="6" s="1"/>
  <c r="J19" i="3"/>
  <c r="R12" i="5"/>
  <c r="H17" i="5"/>
  <c r="AE17" i="5"/>
  <c r="BH17" i="5" s="1"/>
  <c r="T11" i="6"/>
  <c r="H12" i="6"/>
  <c r="J14" i="6"/>
  <c r="R14" i="6"/>
  <c r="R16" i="6"/>
  <c r="R17" i="6"/>
  <c r="H18" i="6"/>
  <c r="R22" i="6"/>
  <c r="J25" i="6"/>
  <c r="T25" i="6" s="1"/>
  <c r="AB25" i="6" s="1"/>
  <c r="R25" i="6"/>
  <c r="R15" i="3"/>
  <c r="J15" i="3"/>
  <c r="I11" i="5"/>
  <c r="I17" i="5"/>
  <c r="H11" i="6"/>
  <c r="H13" i="6"/>
  <c r="T21" i="6"/>
  <c r="AD21" i="6" s="1"/>
  <c r="T14" i="5"/>
  <c r="T15" i="5"/>
  <c r="T16" i="5"/>
  <c r="AB26" i="5"/>
  <c r="BE26" i="5" s="1"/>
  <c r="T24" i="5"/>
  <c r="AA24" i="5"/>
  <c r="BD24" i="5" s="1"/>
  <c r="AB14" i="5"/>
  <c r="BE14" i="5" s="1"/>
  <c r="R20" i="5"/>
  <c r="W11" i="5"/>
  <c r="T17" i="5"/>
  <c r="AD17" i="5" s="1"/>
  <c r="BG17" i="5" s="1"/>
  <c r="H21" i="5"/>
  <c r="T26" i="5"/>
  <c r="U11" i="5"/>
  <c r="T20" i="5"/>
  <c r="S22" i="5"/>
  <c r="J21" i="5"/>
  <c r="T21" i="5" s="1"/>
  <c r="T22" i="5"/>
  <c r="H23" i="5"/>
  <c r="Y11" i="5"/>
  <c r="T12" i="5"/>
  <c r="R18" i="5"/>
  <c r="AA25" i="5"/>
  <c r="BD25" i="5" s="1"/>
  <c r="H20" i="3"/>
  <c r="H12" i="3"/>
  <c r="I23" i="3"/>
  <c r="I19" i="3"/>
  <c r="I15" i="3"/>
  <c r="I11" i="3"/>
  <c r="H11" i="3"/>
  <c r="J26" i="3"/>
  <c r="J22" i="3"/>
  <c r="J18" i="3"/>
  <c r="J14" i="3"/>
  <c r="H26" i="3"/>
  <c r="H18" i="3"/>
  <c r="I22" i="3"/>
  <c r="I14" i="3"/>
  <c r="H25" i="3"/>
  <c r="H17" i="3"/>
  <c r="J25" i="3"/>
  <c r="J21" i="3"/>
  <c r="J17" i="3"/>
  <c r="J13" i="3"/>
  <c r="R24" i="3"/>
  <c r="R23" i="3"/>
  <c r="R18" i="3"/>
  <c r="H24" i="3"/>
  <c r="H16" i="3"/>
  <c r="I21" i="3"/>
  <c r="I13" i="3"/>
  <c r="H23" i="3"/>
  <c r="J24" i="3"/>
  <c r="J20" i="3"/>
  <c r="J16" i="3"/>
  <c r="J12" i="3"/>
  <c r="AG15" i="3"/>
  <c r="J18" i="7"/>
  <c r="T18" i="7" s="1"/>
  <c r="H12" i="7"/>
  <c r="J12" i="7"/>
  <c r="T12" i="7" s="1"/>
  <c r="H23" i="7"/>
  <c r="I21" i="7"/>
  <c r="R17" i="7"/>
  <c r="R24" i="7"/>
  <c r="S26" i="7"/>
  <c r="R12" i="7"/>
  <c r="J20" i="7"/>
  <c r="T20" i="7" s="1"/>
  <c r="H13" i="7"/>
  <c r="T16" i="7"/>
  <c r="I19" i="7"/>
  <c r="I13" i="7"/>
  <c r="J21" i="7"/>
  <c r="T21" i="7" s="1"/>
  <c r="I20" i="7"/>
  <c r="H19" i="7"/>
  <c r="T19" i="7"/>
  <c r="R21" i="7"/>
  <c r="S18" i="7"/>
  <c r="S20" i="7"/>
  <c r="J11" i="7"/>
  <c r="T11" i="7" s="1"/>
  <c r="R16" i="7"/>
  <c r="R25" i="7"/>
  <c r="H22" i="7"/>
  <c r="H11" i="7"/>
  <c r="T13" i="7"/>
  <c r="H14" i="7"/>
  <c r="I14" i="7"/>
  <c r="I22" i="7"/>
  <c r="AF16" i="5"/>
  <c r="BI16" i="5" s="1"/>
  <c r="AB25" i="5"/>
  <c r="BE25" i="5" s="1"/>
  <c r="AD25" i="5"/>
  <c r="BG25" i="5" s="1"/>
  <c r="AE25" i="5"/>
  <c r="BH25" i="5" s="1"/>
  <c r="AC26" i="5"/>
  <c r="BF26" i="5" s="1"/>
  <c r="AA16" i="5"/>
  <c r="BD16" i="5" s="1"/>
  <c r="AB16" i="5"/>
  <c r="BE16" i="5" s="1"/>
  <c r="AC16" i="5"/>
  <c r="BF16" i="5" s="1"/>
  <c r="AB20" i="5"/>
  <c r="BE20" i="5" s="1"/>
  <c r="T23" i="5"/>
  <c r="AB24" i="5"/>
  <c r="BE24" i="5" s="1"/>
  <c r="I19" i="5"/>
  <c r="H25" i="5"/>
  <c r="J19" i="5"/>
  <c r="T19" i="5" s="1"/>
  <c r="I25" i="5"/>
  <c r="R16" i="5"/>
  <c r="AA26" i="5"/>
  <c r="BD26" i="5" s="1"/>
  <c r="I23" i="5"/>
  <c r="R24" i="5"/>
  <c r="AF25" i="5"/>
  <c r="BI25" i="5" s="1"/>
  <c r="T14" i="7"/>
  <c r="T22" i="7"/>
  <c r="T24" i="7"/>
  <c r="T23" i="7"/>
  <c r="R13" i="7"/>
  <c r="J17" i="7"/>
  <c r="T17" i="7" s="1"/>
  <c r="I18" i="7"/>
  <c r="J25" i="7"/>
  <c r="T25" i="7" s="1"/>
  <c r="I26" i="7"/>
  <c r="J26" i="7"/>
  <c r="T26" i="7" s="1"/>
  <c r="R11" i="7"/>
  <c r="R19" i="7"/>
  <c r="R14" i="7"/>
  <c r="I15" i="7"/>
  <c r="H16" i="7"/>
  <c r="R22" i="7"/>
  <c r="I23" i="7"/>
  <c r="H24" i="7"/>
  <c r="J15" i="7"/>
  <c r="T15" i="7" s="1"/>
  <c r="R15" i="7"/>
  <c r="I16" i="7"/>
  <c r="H17" i="7"/>
  <c r="R23" i="7"/>
  <c r="I24" i="7"/>
  <c r="H25" i="7"/>
  <c r="AC23" i="6"/>
  <c r="AF26" i="6"/>
  <c r="J16" i="6"/>
  <c r="T16" i="6" s="1"/>
  <c r="I16" i="6"/>
  <c r="AB26" i="6"/>
  <c r="S15" i="6"/>
  <c r="R15" i="6"/>
  <c r="R20" i="6"/>
  <c r="T13" i="6"/>
  <c r="J22" i="6"/>
  <c r="T22" i="6" s="1"/>
  <c r="I22" i="6"/>
  <c r="H22" i="6"/>
  <c r="H16" i="6"/>
  <c r="T19" i="6"/>
  <c r="R12" i="6"/>
  <c r="T14" i="6"/>
  <c r="I17" i="6"/>
  <c r="H17" i="6"/>
  <c r="S18" i="6"/>
  <c r="H19" i="6"/>
  <c r="J24" i="6"/>
  <c r="T24" i="6" s="1"/>
  <c r="I24" i="6"/>
  <c r="H24" i="6"/>
  <c r="H15" i="6"/>
  <c r="R21" i="6"/>
  <c r="H23" i="6"/>
  <c r="R23" i="6"/>
  <c r="H25" i="6"/>
  <c r="R11" i="5"/>
  <c r="R17" i="5"/>
  <c r="R23" i="5"/>
  <c r="R25" i="5"/>
  <c r="S13" i="5"/>
  <c r="S15" i="5"/>
  <c r="S19" i="5"/>
  <c r="S21" i="5"/>
  <c r="H12" i="5"/>
  <c r="H14" i="5"/>
  <c r="H16" i="5"/>
  <c r="H18" i="5"/>
  <c r="H20" i="5"/>
  <c r="H22" i="5"/>
  <c r="H24" i="5"/>
  <c r="H26" i="5"/>
  <c r="I12" i="5"/>
  <c r="I14" i="5"/>
  <c r="I16" i="5"/>
  <c r="I18" i="5"/>
  <c r="I20" i="5"/>
  <c r="I22" i="5"/>
  <c r="I24" i="5"/>
  <c r="I26" i="5"/>
  <c r="AF18" i="3"/>
  <c r="AF26" i="3"/>
  <c r="AD21" i="3"/>
  <c r="AE26" i="3"/>
  <c r="AE24" i="3"/>
  <c r="AC21" i="3"/>
  <c r="S12" i="3"/>
  <c r="AC26" i="3"/>
  <c r="AC23" i="3"/>
  <c r="R22" i="3"/>
  <c r="AF20" i="3"/>
  <c r="AH16" i="3"/>
  <c r="R14" i="3"/>
  <c r="AE18" i="3"/>
  <c r="R13" i="3"/>
  <c r="AG26" i="3"/>
  <c r="AD18" i="3"/>
  <c r="R11" i="3"/>
  <c r="V11" i="3" s="1"/>
  <c r="AC24" i="3"/>
  <c r="AH22" i="3"/>
  <c r="AD20" i="3"/>
  <c r="R20" i="3"/>
  <c r="AG18" i="3"/>
  <c r="R17" i="3"/>
  <c r="AF15" i="3"/>
  <c r="AC20" i="3"/>
  <c r="AD17" i="3"/>
  <c r="AH24" i="3"/>
  <c r="AC15" i="3"/>
  <c r="AG24" i="3"/>
  <c r="AD22" i="3"/>
  <c r="AH20" i="3"/>
  <c r="AC18" i="3"/>
  <c r="AB17" i="3"/>
  <c r="AB15" i="3"/>
  <c r="AD24" i="3"/>
  <c r="AE22" i="3"/>
  <c r="AC17" i="3"/>
  <c r="AD26" i="3"/>
  <c r="R26" i="3"/>
  <c r="R25" i="3"/>
  <c r="AF24" i="3"/>
  <c r="AD23" i="3"/>
  <c r="AC22" i="3"/>
  <c r="AG20" i="3"/>
  <c r="AB23" i="3"/>
  <c r="AB21" i="3"/>
  <c r="AH26" i="3"/>
  <c r="AD25" i="3"/>
  <c r="AN24" i="3"/>
  <c r="AE23" i="3"/>
  <c r="AE21" i="3"/>
  <c r="AE19" i="3"/>
  <c r="AE17" i="3"/>
  <c r="R19" i="3"/>
  <c r="AG16" i="3"/>
  <c r="AB19" i="3"/>
  <c r="AF16" i="3"/>
  <c r="AB25" i="3"/>
  <c r="AE16" i="3"/>
  <c r="AH23" i="3"/>
  <c r="AH21" i="3"/>
  <c r="AH19" i="3"/>
  <c r="AH17" i="3"/>
  <c r="AD16" i="3"/>
  <c r="AF25" i="3"/>
  <c r="AG23" i="3"/>
  <c r="AG21" i="3"/>
  <c r="AG19" i="3"/>
  <c r="AG17" i="3"/>
  <c r="AC16" i="3"/>
  <c r="AC25" i="3"/>
  <c r="AH25" i="3"/>
  <c r="AG25" i="3"/>
  <c r="AN16" i="3"/>
  <c r="AI16" i="3"/>
  <c r="S16" i="3"/>
  <c r="AF13" i="3"/>
  <c r="AH14" i="3"/>
  <c r="AE13" i="3"/>
  <c r="AH13" i="3"/>
  <c r="AD12" i="3"/>
  <c r="AH12" i="3"/>
  <c r="AC12" i="3"/>
  <c r="AF11" i="3"/>
  <c r="AB12" i="3"/>
  <c r="AG14" i="3"/>
  <c r="AF14" i="3"/>
  <c r="AE14" i="3"/>
  <c r="AH11" i="3"/>
  <c r="AJ12" i="3"/>
  <c r="AE11" i="3"/>
  <c r="AG13" i="3"/>
  <c r="AE12" i="3"/>
  <c r="AG11" i="3"/>
  <c r="AD14" i="3"/>
  <c r="AB13" i="3"/>
  <c r="AD13" i="3"/>
  <c r="AC11" i="3"/>
  <c r="AC14" i="3"/>
  <c r="AG12" i="3"/>
  <c r="AB11" i="3"/>
  <c r="AM12" i="3"/>
  <c r="AA21" i="6" l="1"/>
  <c r="AE23" i="6"/>
  <c r="AB17" i="6"/>
  <c r="AT17" i="6" s="1"/>
  <c r="AC17" i="6"/>
  <c r="AU17" i="6" s="1"/>
  <c r="AZ17" i="6" s="1"/>
  <c r="BJ17" i="6" s="1"/>
  <c r="AA23" i="6"/>
  <c r="BD23" i="6" s="1"/>
  <c r="AE17" i="6"/>
  <c r="AW17" i="6" s="1"/>
  <c r="AA26" i="6"/>
  <c r="AS26" i="6" s="1"/>
  <c r="BB26" i="6" s="1"/>
  <c r="AF17" i="5"/>
  <c r="BI17" i="5" s="1"/>
  <c r="AV11" i="5"/>
  <c r="BG11" i="5"/>
  <c r="AB11" i="5"/>
  <c r="BE11" i="5" s="1"/>
  <c r="AF18" i="5"/>
  <c r="BI18" i="5" s="1"/>
  <c r="AD22" i="5"/>
  <c r="BG22" i="5" s="1"/>
  <c r="AE18" i="5"/>
  <c r="BH18" i="5" s="1"/>
  <c r="AE15" i="5"/>
  <c r="BH15" i="5" s="1"/>
  <c r="AD20" i="5"/>
  <c r="BG20" i="5" s="1"/>
  <c r="AA17" i="5"/>
  <c r="BD17" i="5" s="1"/>
  <c r="AL24" i="3"/>
  <c r="AK18" i="3"/>
  <c r="AK12" i="3"/>
  <c r="AN12" i="3"/>
  <c r="AK16" i="3"/>
  <c r="AN20" i="3"/>
  <c r="AM21" i="3"/>
  <c r="AJ24" i="3"/>
  <c r="AL16" i="3"/>
  <c r="AJ16" i="3"/>
  <c r="AL21" i="3"/>
  <c r="AJ17" i="3"/>
  <c r="AN15" i="3"/>
  <c r="AK24" i="3"/>
  <c r="AI12" i="3"/>
  <c r="AK21" i="3"/>
  <c r="AJ25" i="3"/>
  <c r="AM16" i="3"/>
  <c r="AN21" i="3"/>
  <c r="AI15" i="3"/>
  <c r="AM18" i="3"/>
  <c r="AL26" i="3"/>
  <c r="AM15" i="3"/>
  <c r="AL23" i="3"/>
  <c r="AL12" i="3"/>
  <c r="AN18" i="3"/>
  <c r="AM17" i="3"/>
  <c r="AM24" i="3"/>
  <c r="AI21" i="3"/>
  <c r="AJ21" i="3"/>
  <c r="AK15" i="3"/>
  <c r="AI19" i="3"/>
  <c r="AI23" i="3"/>
  <c r="AN22" i="3"/>
  <c r="AJ22" i="3"/>
  <c r="AM23" i="3"/>
  <c r="AN17" i="3"/>
  <c r="AI14" i="3"/>
  <c r="AK14" i="3"/>
  <c r="AN23" i="3"/>
  <c r="AM22" i="3"/>
  <c r="AI13" i="3"/>
  <c r="AI24" i="3"/>
  <c r="AL22" i="3"/>
  <c r="AK11" i="3"/>
  <c r="AE25" i="6"/>
  <c r="AW25" i="6" s="1"/>
  <c r="AF25" i="6"/>
  <c r="AX25" i="6" s="1"/>
  <c r="AB11" i="6"/>
  <c r="AF15" i="6"/>
  <c r="AX15" i="6" s="1"/>
  <c r="AE11" i="6"/>
  <c r="BH11" i="6" s="1"/>
  <c r="AD17" i="6"/>
  <c r="AV17" i="6" s="1"/>
  <c r="BA17" i="6" s="1"/>
  <c r="BK17" i="6" s="1"/>
  <c r="AE26" i="6"/>
  <c r="AT11" i="6"/>
  <c r="BE11" i="6"/>
  <c r="AA12" i="6"/>
  <c r="AF12" i="6"/>
  <c r="AE12" i="6"/>
  <c r="AD12" i="6"/>
  <c r="AB12" i="6"/>
  <c r="AC12" i="6"/>
  <c r="AW26" i="6"/>
  <c r="BH26" i="6"/>
  <c r="AA13" i="5"/>
  <c r="BD13" i="5" s="1"/>
  <c r="AU23" i="6"/>
  <c r="AZ23" i="6" s="1"/>
  <c r="BJ23" i="6" s="1"/>
  <c r="BF23" i="6"/>
  <c r="AE26" i="5"/>
  <c r="BH26" i="5" s="1"/>
  <c r="AC22" i="5"/>
  <c r="BF22" i="5" s="1"/>
  <c r="AB18" i="5"/>
  <c r="BE18" i="5" s="1"/>
  <c r="AC17" i="5"/>
  <c r="BF17" i="5" s="1"/>
  <c r="AF13" i="5"/>
  <c r="BI13" i="5" s="1"/>
  <c r="AF26" i="5"/>
  <c r="BI26" i="5" s="1"/>
  <c r="AA22" i="5"/>
  <c r="BD22" i="5" s="1"/>
  <c r="AC14" i="5"/>
  <c r="BF14" i="5" s="1"/>
  <c r="AE21" i="6"/>
  <c r="AF21" i="6"/>
  <c r="AW23" i="6"/>
  <c r="BH23" i="6"/>
  <c r="AB17" i="5"/>
  <c r="BE17" i="5" s="1"/>
  <c r="AE11" i="5"/>
  <c r="BH11" i="5" s="1"/>
  <c r="AX26" i="6"/>
  <c r="BI26" i="6"/>
  <c r="AA14" i="5"/>
  <c r="BD14" i="5" s="1"/>
  <c r="AB18" i="6"/>
  <c r="AF11" i="6"/>
  <c r="AS17" i="6"/>
  <c r="BD17" i="6"/>
  <c r="AF20" i="5"/>
  <c r="BI20" i="5" s="1"/>
  <c r="AV21" i="6"/>
  <c r="BA21" i="6" s="1"/>
  <c r="BK21" i="6" s="1"/>
  <c r="BG21" i="6"/>
  <c r="AW11" i="6"/>
  <c r="AT25" i="6"/>
  <c r="BE25" i="6"/>
  <c r="AE20" i="5"/>
  <c r="BH20" i="5" s="1"/>
  <c r="AF14" i="5"/>
  <c r="BI14" i="5" s="1"/>
  <c r="AD23" i="6"/>
  <c r="AS25" i="6"/>
  <c r="BD25" i="6"/>
  <c r="AS21" i="6"/>
  <c r="BD21" i="6"/>
  <c r="AK17" i="3"/>
  <c r="AT26" i="6"/>
  <c r="BE26" i="6"/>
  <c r="AT23" i="6"/>
  <c r="BE23" i="6"/>
  <c r="AC25" i="6"/>
  <c r="AD12" i="5"/>
  <c r="BG12" i="5" s="1"/>
  <c r="AD24" i="5"/>
  <c r="BG24" i="5" s="1"/>
  <c r="AX25" i="5"/>
  <c r="AS25" i="5"/>
  <c r="AW11" i="5"/>
  <c r="AX16" i="5"/>
  <c r="AS26" i="5"/>
  <c r="AU20" i="5"/>
  <c r="AZ20" i="5" s="1"/>
  <c r="BJ20" i="5" s="1"/>
  <c r="AU16" i="5"/>
  <c r="AZ16" i="5" s="1"/>
  <c r="BJ16" i="5" s="1"/>
  <c r="AT26" i="5"/>
  <c r="AS17" i="5"/>
  <c r="AT14" i="5"/>
  <c r="AC11" i="5"/>
  <c r="BF11" i="5" s="1"/>
  <c r="AU26" i="5"/>
  <c r="AZ26" i="5" s="1"/>
  <c r="BJ26" i="5" s="1"/>
  <c r="AT24" i="5"/>
  <c r="AT20" i="5"/>
  <c r="AT16" i="5"/>
  <c r="AW25" i="5"/>
  <c r="AX17" i="5"/>
  <c r="AC12" i="5"/>
  <c r="BF12" i="5" s="1"/>
  <c r="AC24" i="5"/>
  <c r="BF24" i="5" s="1"/>
  <c r="AS16" i="5"/>
  <c r="AV25" i="5"/>
  <c r="BA25" i="5" s="1"/>
  <c r="BK25" i="5" s="1"/>
  <c r="AB12" i="5"/>
  <c r="BE12" i="5" s="1"/>
  <c r="AE22" i="5"/>
  <c r="BH22" i="5" s="1"/>
  <c r="AB21" i="5"/>
  <c r="BE21" i="5" s="1"/>
  <c r="AA12" i="5"/>
  <c r="BD12" i="5" s="1"/>
  <c r="AF22" i="5"/>
  <c r="BI22" i="5" s="1"/>
  <c r="AU25" i="5"/>
  <c r="AZ25" i="5" s="1"/>
  <c r="BJ25" i="5" s="1"/>
  <c r="AE24" i="5"/>
  <c r="BH24" i="5" s="1"/>
  <c r="AV20" i="5"/>
  <c r="BA20" i="5" s="1"/>
  <c r="BK20" i="5" s="1"/>
  <c r="AT25" i="5"/>
  <c r="AW17" i="5"/>
  <c r="AE14" i="5"/>
  <c r="BH14" i="5" s="1"/>
  <c r="AA11" i="5"/>
  <c r="BD11" i="5" s="1"/>
  <c r="AB15" i="5"/>
  <c r="BE15" i="5" s="1"/>
  <c r="AF12" i="5"/>
  <c r="BI12" i="5" s="1"/>
  <c r="AS24" i="5"/>
  <c r="AF24" i="5"/>
  <c r="BI24" i="5" s="1"/>
  <c r="AV17" i="5"/>
  <c r="BA17" i="5" s="1"/>
  <c r="BK17" i="5" s="1"/>
  <c r="AD14" i="5"/>
  <c r="BG14" i="5" s="1"/>
  <c r="AF11" i="5"/>
  <c r="BI11" i="5" s="1"/>
  <c r="AE12" i="5"/>
  <c r="BH12" i="5" s="1"/>
  <c r="AF15" i="5"/>
  <c r="BI15" i="5" s="1"/>
  <c r="AU18" i="5"/>
  <c r="AZ18" i="5" s="1"/>
  <c r="BJ18" i="5" s="1"/>
  <c r="AD26" i="5"/>
  <c r="BG26" i="5" s="1"/>
  <c r="AL14" i="3"/>
  <c r="AM14" i="3"/>
  <c r="AN14" i="3"/>
  <c r="AJ14" i="3"/>
  <c r="AL18" i="3"/>
  <c r="AI18" i="3"/>
  <c r="AJ18" i="3"/>
  <c r="V12" i="7"/>
  <c r="V16" i="7"/>
  <c r="V26" i="7"/>
  <c r="V18" i="7"/>
  <c r="V11" i="7"/>
  <c r="V21" i="7"/>
  <c r="V19" i="7"/>
  <c r="V20" i="7"/>
  <c r="AA15" i="5"/>
  <c r="BD15" i="5" s="1"/>
  <c r="AC19" i="5"/>
  <c r="BF19" i="5" s="1"/>
  <c r="AA18" i="5"/>
  <c r="BD18" i="5" s="1"/>
  <c r="AE19" i="5"/>
  <c r="BH19" i="5" s="1"/>
  <c r="AB19" i="5"/>
  <c r="BE19" i="5" s="1"/>
  <c r="AF21" i="5"/>
  <c r="BI21" i="5" s="1"/>
  <c r="AB23" i="5"/>
  <c r="BE23" i="5" s="1"/>
  <c r="AC23" i="5"/>
  <c r="BF23" i="5" s="1"/>
  <c r="AD23" i="5"/>
  <c r="BG23" i="5" s="1"/>
  <c r="AE23" i="5"/>
  <c r="BH23" i="5" s="1"/>
  <c r="AF23" i="5"/>
  <c r="BI23" i="5" s="1"/>
  <c r="AA23" i="5"/>
  <c r="BD23" i="5" s="1"/>
  <c r="AE16" i="5"/>
  <c r="BH16" i="5" s="1"/>
  <c r="AE13" i="5"/>
  <c r="BH13" i="5" s="1"/>
  <c r="AA19" i="5"/>
  <c r="BD19" i="5" s="1"/>
  <c r="AE21" i="5"/>
  <c r="BH21" i="5" s="1"/>
  <c r="AD18" i="5"/>
  <c r="BG18" i="5" s="1"/>
  <c r="AF19" i="5"/>
  <c r="BI19" i="5" s="1"/>
  <c r="AA20" i="5"/>
  <c r="BD20" i="5" s="1"/>
  <c r="AD16" i="5"/>
  <c r="BG16" i="5" s="1"/>
  <c r="AB13" i="5"/>
  <c r="BE13" i="5" s="1"/>
  <c r="V25" i="7"/>
  <c r="V15" i="7"/>
  <c r="V23" i="7"/>
  <c r="V24" i="7"/>
  <c r="V14" i="7"/>
  <c r="V22" i="7"/>
  <c r="V13" i="7"/>
  <c r="V17" i="7"/>
  <c r="AE16" i="6"/>
  <c r="AB16" i="6"/>
  <c r="AF16" i="6"/>
  <c r="AD16" i="6"/>
  <c r="AC16" i="6"/>
  <c r="AA16" i="6"/>
  <c r="AF24" i="6"/>
  <c r="AE24" i="6"/>
  <c r="AD24" i="6"/>
  <c r="AB24" i="6"/>
  <c r="AC24" i="6"/>
  <c r="AA24" i="6"/>
  <c r="AB22" i="6"/>
  <c r="AA22" i="6"/>
  <c r="AF22" i="6"/>
  <c r="AD22" i="6"/>
  <c r="AE22" i="6"/>
  <c r="AC22" i="6"/>
  <c r="AC13" i="6"/>
  <c r="AB13" i="6"/>
  <c r="AE13" i="6"/>
  <c r="AF13" i="6"/>
  <c r="AD13" i="6"/>
  <c r="AA13" i="6"/>
  <c r="AD11" i="6"/>
  <c r="AD20" i="6"/>
  <c r="AC20" i="6"/>
  <c r="AB20" i="6"/>
  <c r="AA20" i="6"/>
  <c r="AF20" i="6"/>
  <c r="AE20" i="6"/>
  <c r="AC11" i="6"/>
  <c r="AB15" i="6"/>
  <c r="AE15" i="6"/>
  <c r="AD25" i="6"/>
  <c r="AB14" i="6"/>
  <c r="AA14" i="6"/>
  <c r="AD14" i="6"/>
  <c r="AC14" i="6"/>
  <c r="AF14" i="6"/>
  <c r="AE14" i="6"/>
  <c r="AF18" i="6"/>
  <c r="AE18" i="6"/>
  <c r="AE19" i="6"/>
  <c r="AD19" i="6"/>
  <c r="AC19" i="6"/>
  <c r="AB19" i="6"/>
  <c r="AF19" i="6"/>
  <c r="AA19" i="6"/>
  <c r="AD26" i="6"/>
  <c r="AB21" i="6"/>
  <c r="AF17" i="6"/>
  <c r="AC26" i="6"/>
  <c r="AC21" i="6"/>
  <c r="AF23" i="6"/>
  <c r="X11" i="3"/>
  <c r="AM11" i="3" s="1"/>
  <c r="AL11" i="3"/>
  <c r="T11" i="3"/>
  <c r="AI11" i="3" s="1"/>
  <c r="AN25" i="3"/>
  <c r="AI25" i="3"/>
  <c r="AL17" i="3"/>
  <c r="AN13" i="3"/>
  <c r="AK13" i="3"/>
  <c r="AK22" i="3"/>
  <c r="AI22" i="3"/>
  <c r="AM13" i="3"/>
  <c r="AL13" i="3"/>
  <c r="AJ13" i="3"/>
  <c r="AJ11" i="3"/>
  <c r="AN11" i="3"/>
  <c r="AK26" i="3"/>
  <c r="AI26" i="3"/>
  <c r="AJ26" i="3"/>
  <c r="AM26" i="3"/>
  <c r="AN26" i="3"/>
  <c r="AI17" i="3"/>
  <c r="AK25" i="3"/>
  <c r="AL25" i="3"/>
  <c r="AK20" i="3"/>
  <c r="AL20" i="3"/>
  <c r="AJ20" i="3"/>
  <c r="AM25" i="3"/>
  <c r="AM20" i="3"/>
  <c r="AI20" i="3"/>
  <c r="AM19" i="3"/>
  <c r="AN19" i="3"/>
  <c r="AK19" i="3"/>
  <c r="AL19" i="3"/>
  <c r="AJ19" i="3"/>
  <c r="BH17" i="6" l="1"/>
  <c r="BH25" i="6"/>
  <c r="BI25" i="6"/>
  <c r="BE17" i="6"/>
  <c r="AS23" i="6"/>
  <c r="BB25" i="5"/>
  <c r="BB17" i="5"/>
  <c r="AW15" i="5"/>
  <c r="AX26" i="5"/>
  <c r="BB25" i="6"/>
  <c r="BI15" i="6"/>
  <c r="BD26" i="6"/>
  <c r="BF17" i="6"/>
  <c r="AS14" i="5"/>
  <c r="BB14" i="5" s="1"/>
  <c r="AT11" i="5"/>
  <c r="BB11" i="5" s="1"/>
  <c r="AT15" i="5"/>
  <c r="AU17" i="5"/>
  <c r="AZ17" i="5" s="1"/>
  <c r="BJ17" i="5" s="1"/>
  <c r="AX13" i="5"/>
  <c r="AU14" i="5"/>
  <c r="AZ14" i="5" s="1"/>
  <c r="BJ14" i="5" s="1"/>
  <c r="AW20" i="5"/>
  <c r="AU22" i="5"/>
  <c r="AZ22" i="5" s="1"/>
  <c r="BJ22" i="5" s="1"/>
  <c r="AW26" i="5"/>
  <c r="BB26" i="5" s="1"/>
  <c r="AV22" i="5"/>
  <c r="BA22" i="5" s="1"/>
  <c r="BK22" i="5" s="1"/>
  <c r="AV12" i="5"/>
  <c r="BA12" i="5" s="1"/>
  <c r="BK12" i="5" s="1"/>
  <c r="AX20" i="5"/>
  <c r="AT17" i="5"/>
  <c r="AS13" i="5"/>
  <c r="AX15" i="5"/>
  <c r="AW18" i="5"/>
  <c r="AX14" i="5"/>
  <c r="AT18" i="5"/>
  <c r="AX18" i="5"/>
  <c r="BA11" i="5"/>
  <c r="BK11" i="5" s="1"/>
  <c r="AO16" i="3"/>
  <c r="AO24" i="3"/>
  <c r="AO12" i="3"/>
  <c r="AO18" i="3"/>
  <c r="AJ15" i="3"/>
  <c r="AO19" i="3"/>
  <c r="AO22" i="3"/>
  <c r="AO11" i="3"/>
  <c r="BJ16" i="3"/>
  <c r="AK23" i="3"/>
  <c r="BJ21" i="3"/>
  <c r="BJ12" i="3"/>
  <c r="AJ23" i="3"/>
  <c r="AO13" i="3"/>
  <c r="AO21" i="3"/>
  <c r="AO14" i="3"/>
  <c r="AO26" i="3"/>
  <c r="AO20" i="3"/>
  <c r="AO17" i="3"/>
  <c r="AO25" i="3"/>
  <c r="AA11" i="6"/>
  <c r="BG17" i="6"/>
  <c r="AX23" i="6"/>
  <c r="BI23" i="6"/>
  <c r="AW19" i="6"/>
  <c r="BH19" i="6"/>
  <c r="AS14" i="6"/>
  <c r="BD14" i="6"/>
  <c r="AW20" i="6"/>
  <c r="BH20" i="6"/>
  <c r="AU22" i="6"/>
  <c r="AZ22" i="6" s="1"/>
  <c r="BJ22" i="6" s="1"/>
  <c r="BF22" i="6"/>
  <c r="AT24" i="6"/>
  <c r="BE24" i="6"/>
  <c r="AT16" i="6"/>
  <c r="BE16" i="6"/>
  <c r="AY17" i="5"/>
  <c r="AV24" i="5"/>
  <c r="BA24" i="5" s="1"/>
  <c r="BK24" i="5" s="1"/>
  <c r="AX11" i="6"/>
  <c r="BI11" i="6"/>
  <c r="AU12" i="6"/>
  <c r="AZ12" i="6" s="1"/>
  <c r="BJ12" i="6" s="1"/>
  <c r="BF12" i="6"/>
  <c r="AT21" i="6"/>
  <c r="BE21" i="6"/>
  <c r="AW18" i="6"/>
  <c r="BH18" i="6"/>
  <c r="AT14" i="6"/>
  <c r="BE14" i="6"/>
  <c r="AX20" i="6"/>
  <c r="BI20" i="6"/>
  <c r="AV11" i="6"/>
  <c r="BA11" i="6" s="1"/>
  <c r="BK11" i="6" s="1"/>
  <c r="BG11" i="6"/>
  <c r="AW22" i="6"/>
  <c r="BH22" i="6"/>
  <c r="AV24" i="6"/>
  <c r="BA24" i="6" s="1"/>
  <c r="BK24" i="6" s="1"/>
  <c r="BG24" i="6"/>
  <c r="AW16" i="6"/>
  <c r="BH16" i="6"/>
  <c r="AT18" i="6"/>
  <c r="BE18" i="6"/>
  <c r="AX21" i="6"/>
  <c r="BI21" i="6"/>
  <c r="AT12" i="6"/>
  <c r="BE12" i="6"/>
  <c r="AV12" i="6"/>
  <c r="BA12" i="6" s="1"/>
  <c r="BK12" i="6" s="1"/>
  <c r="BG12" i="6"/>
  <c r="AU21" i="6"/>
  <c r="AZ21" i="6" s="1"/>
  <c r="BJ21" i="6" s="1"/>
  <c r="BF21" i="6"/>
  <c r="AW15" i="6"/>
  <c r="BH15" i="6"/>
  <c r="AV13" i="6"/>
  <c r="BA13" i="6" s="1"/>
  <c r="BK13" i="6" s="1"/>
  <c r="BG13" i="6"/>
  <c r="AX24" i="6"/>
  <c r="BI24" i="6"/>
  <c r="AW21" i="6"/>
  <c r="BB21" i="6" s="1"/>
  <c r="BH21" i="6"/>
  <c r="AW12" i="6"/>
  <c r="BH12" i="6"/>
  <c r="AX18" i="6"/>
  <c r="BI18" i="6"/>
  <c r="AV25" i="6"/>
  <c r="BA25" i="6" s="1"/>
  <c r="BK25" i="6" s="1"/>
  <c r="BG25" i="6"/>
  <c r="AS20" i="6"/>
  <c r="BD20" i="6"/>
  <c r="AS13" i="6"/>
  <c r="BD13" i="6"/>
  <c r="AV22" i="6"/>
  <c r="BA22" i="6" s="1"/>
  <c r="BK22" i="6" s="1"/>
  <c r="BG22" i="6"/>
  <c r="AW24" i="6"/>
  <c r="BH24" i="6"/>
  <c r="AV23" i="6"/>
  <c r="BA23" i="6" s="1"/>
  <c r="BK23" i="6" s="1"/>
  <c r="BG23" i="6"/>
  <c r="AX12" i="6"/>
  <c r="BI12" i="6"/>
  <c r="AX17" i="6"/>
  <c r="AY17" i="6" s="1"/>
  <c r="BI17" i="6"/>
  <c r="AT19" i="6"/>
  <c r="BE19" i="6"/>
  <c r="AX14" i="6"/>
  <c r="BI14" i="6"/>
  <c r="AV20" i="6"/>
  <c r="BA20" i="6" s="1"/>
  <c r="BK20" i="6" s="1"/>
  <c r="BG20" i="6"/>
  <c r="AW13" i="6"/>
  <c r="BH13" i="6"/>
  <c r="AT22" i="6"/>
  <c r="BE22" i="6"/>
  <c r="AU16" i="6"/>
  <c r="AZ16" i="6" s="1"/>
  <c r="BJ16" i="6" s="1"/>
  <c r="BF16" i="6"/>
  <c r="AC21" i="5"/>
  <c r="BF21" i="5" s="1"/>
  <c r="AS12" i="6"/>
  <c r="BD12" i="6"/>
  <c r="AS19" i="6"/>
  <c r="BD19" i="6"/>
  <c r="AT20" i="6"/>
  <c r="BE20" i="6"/>
  <c r="AU19" i="6"/>
  <c r="AZ19" i="6" s="1"/>
  <c r="BJ19" i="6" s="1"/>
  <c r="BF19" i="6"/>
  <c r="AU14" i="6"/>
  <c r="AZ14" i="6" s="1"/>
  <c r="BJ14" i="6" s="1"/>
  <c r="BF14" i="6"/>
  <c r="AT13" i="6"/>
  <c r="BE13" i="6"/>
  <c r="AS24" i="6"/>
  <c r="BD24" i="6"/>
  <c r="AV16" i="6"/>
  <c r="BA16" i="6" s="1"/>
  <c r="BK16" i="6" s="1"/>
  <c r="BG16" i="6"/>
  <c r="AY25" i="5"/>
  <c r="AU25" i="6"/>
  <c r="AZ25" i="6" s="1"/>
  <c r="BJ25" i="6" s="1"/>
  <c r="BF25" i="6"/>
  <c r="AV26" i="6"/>
  <c r="BA26" i="6" s="1"/>
  <c r="BK26" i="6" s="1"/>
  <c r="BG26" i="6"/>
  <c r="AX22" i="6"/>
  <c r="BI22" i="6"/>
  <c r="AU26" i="6"/>
  <c r="AZ26" i="6" s="1"/>
  <c r="BJ26" i="6" s="1"/>
  <c r="BF26" i="6"/>
  <c r="AX19" i="6"/>
  <c r="BI19" i="6"/>
  <c r="AW14" i="6"/>
  <c r="BH14" i="6"/>
  <c r="AT15" i="6"/>
  <c r="BE15" i="6"/>
  <c r="AU20" i="6"/>
  <c r="AZ20" i="6" s="1"/>
  <c r="BJ20" i="6" s="1"/>
  <c r="BF20" i="6"/>
  <c r="AX13" i="6"/>
  <c r="BI13" i="6"/>
  <c r="AS22" i="6"/>
  <c r="BD22" i="6"/>
  <c r="AS16" i="6"/>
  <c r="BD16" i="6"/>
  <c r="AV19" i="6"/>
  <c r="BA19" i="6" s="1"/>
  <c r="BK19" i="6" s="1"/>
  <c r="BG19" i="6"/>
  <c r="AV14" i="6"/>
  <c r="BA14" i="6" s="1"/>
  <c r="BK14" i="6" s="1"/>
  <c r="BG14" i="6"/>
  <c r="AU11" i="6"/>
  <c r="AZ11" i="6" s="1"/>
  <c r="BJ11" i="6" s="1"/>
  <c r="BF11" i="6"/>
  <c r="AD15" i="6"/>
  <c r="AU13" i="6"/>
  <c r="AZ13" i="6" s="1"/>
  <c r="BJ13" i="6" s="1"/>
  <c r="BF13" i="6"/>
  <c r="AU24" i="6"/>
  <c r="AZ24" i="6" s="1"/>
  <c r="BJ24" i="6" s="1"/>
  <c r="BF24" i="6"/>
  <c r="AX16" i="6"/>
  <c r="BI16" i="6"/>
  <c r="AW13" i="5"/>
  <c r="AW12" i="5"/>
  <c r="AU24" i="5"/>
  <c r="AZ24" i="5" s="1"/>
  <c r="BJ24" i="5" s="1"/>
  <c r="AU11" i="5"/>
  <c r="AV23" i="5"/>
  <c r="BA23" i="5" s="1"/>
  <c r="BK23" i="5" s="1"/>
  <c r="AS15" i="5"/>
  <c r="BB15" i="5" s="1"/>
  <c r="AS22" i="5"/>
  <c r="AX22" i="5"/>
  <c r="AU12" i="5"/>
  <c r="AZ12" i="5" s="1"/>
  <c r="BJ12" i="5" s="1"/>
  <c r="AX11" i="5"/>
  <c r="AW14" i="5"/>
  <c r="AW24" i="5"/>
  <c r="BB24" i="5" s="1"/>
  <c r="AS12" i="5"/>
  <c r="BB12" i="5" s="1"/>
  <c r="AT23" i="5"/>
  <c r="AV14" i="5"/>
  <c r="BA14" i="5" s="1"/>
  <c r="BK14" i="5" s="1"/>
  <c r="AT21" i="5"/>
  <c r="AW23" i="5"/>
  <c r="AS11" i="5"/>
  <c r="AS18" i="5"/>
  <c r="AV18" i="5"/>
  <c r="BA18" i="5" s="1"/>
  <c r="BK18" i="5" s="1"/>
  <c r="AT12" i="5"/>
  <c r="AB22" i="5"/>
  <c r="BE22" i="5" s="1"/>
  <c r="AU23" i="5"/>
  <c r="AZ23" i="5" s="1"/>
  <c r="BJ23" i="5" s="1"/>
  <c r="AD13" i="5"/>
  <c r="BG13" i="5" s="1"/>
  <c r="AW21" i="5"/>
  <c r="AS23" i="5"/>
  <c r="AX21" i="5"/>
  <c r="AV26" i="5"/>
  <c r="AX24" i="5"/>
  <c r="AT19" i="5"/>
  <c r="AT13" i="5"/>
  <c r="AW16" i="5"/>
  <c r="BB16" i="5" s="1"/>
  <c r="AW19" i="5"/>
  <c r="AX19" i="5"/>
  <c r="AW22" i="5"/>
  <c r="AV16" i="5"/>
  <c r="BA16" i="5" s="1"/>
  <c r="BK16" i="5" s="1"/>
  <c r="AS20" i="5"/>
  <c r="BB20" i="5" s="1"/>
  <c r="AS19" i="5"/>
  <c r="BB19" i="5" s="1"/>
  <c r="AX23" i="5"/>
  <c r="AU19" i="5"/>
  <c r="AZ19" i="5" s="1"/>
  <c r="BJ19" i="5" s="1"/>
  <c r="AX12" i="5"/>
  <c r="AD19" i="5"/>
  <c r="BG19" i="5" s="1"/>
  <c r="AC15" i="5"/>
  <c r="BF15" i="5" s="1"/>
  <c r="AC13" i="5"/>
  <c r="BF13" i="5" s="1"/>
  <c r="AA21" i="5"/>
  <c r="BD21" i="5" s="1"/>
  <c r="AD21" i="5"/>
  <c r="BG21" i="5" s="1"/>
  <c r="AD15" i="5"/>
  <c r="BG15" i="5" s="1"/>
  <c r="AA15" i="6"/>
  <c r="AC15" i="6"/>
  <c r="AA18" i="6"/>
  <c r="AD18" i="6"/>
  <c r="AC18" i="6"/>
  <c r="AY13" i="6" l="1"/>
  <c r="BB19" i="6"/>
  <c r="BB22" i="6"/>
  <c r="BB23" i="6"/>
  <c r="BB18" i="5"/>
  <c r="BB23" i="5"/>
  <c r="BB13" i="5"/>
  <c r="BB17" i="6"/>
  <c r="BB12" i="6"/>
  <c r="AY14" i="6"/>
  <c r="BB14" i="6"/>
  <c r="BB13" i="6"/>
  <c r="BB16" i="6"/>
  <c r="BB20" i="6"/>
  <c r="BB24" i="6"/>
  <c r="AY26" i="5"/>
  <c r="BA26" i="5"/>
  <c r="BK26" i="5" s="1"/>
  <c r="BL23" i="5" s="1"/>
  <c r="BL11" i="5"/>
  <c r="AY14" i="5"/>
  <c r="AY20" i="5"/>
  <c r="AV15" i="5"/>
  <c r="BA15" i="5" s="1"/>
  <c r="BK15" i="5" s="1"/>
  <c r="AY16" i="5"/>
  <c r="AZ11" i="5"/>
  <c r="AY18" i="5"/>
  <c r="AU21" i="5"/>
  <c r="AZ21" i="5" s="1"/>
  <c r="BJ21" i="5" s="1"/>
  <c r="BJ23" i="3"/>
  <c r="BJ15" i="3"/>
  <c r="AO15" i="3"/>
  <c r="AO23" i="3"/>
  <c r="BJ24" i="3"/>
  <c r="BI15" i="3"/>
  <c r="BJ18" i="3"/>
  <c r="BJ19" i="3"/>
  <c r="BJ13" i="3"/>
  <c r="BJ26" i="3"/>
  <c r="BJ20" i="3"/>
  <c r="BI16" i="3"/>
  <c r="BJ25" i="3"/>
  <c r="BI23" i="3"/>
  <c r="BI21" i="3"/>
  <c r="BJ17" i="3"/>
  <c r="BI17" i="3"/>
  <c r="BI12" i="3"/>
  <c r="BJ11" i="3"/>
  <c r="BJ22" i="3"/>
  <c r="BL17" i="6"/>
  <c r="BN17" i="6" s="1"/>
  <c r="AY22" i="6"/>
  <c r="AY19" i="6"/>
  <c r="AY25" i="6"/>
  <c r="AY24" i="6"/>
  <c r="AY20" i="6"/>
  <c r="BD11" i="6"/>
  <c r="BL11" i="6" s="1"/>
  <c r="AS11" i="6"/>
  <c r="AY12" i="6"/>
  <c r="AS18" i="6"/>
  <c r="BB18" i="6" s="1"/>
  <c r="BD18" i="6"/>
  <c r="AY21" i="6"/>
  <c r="AS15" i="6"/>
  <c r="BB15" i="6" s="1"/>
  <c r="BD15" i="6"/>
  <c r="AU15" i="6"/>
  <c r="AZ15" i="6" s="1"/>
  <c r="BJ15" i="6" s="1"/>
  <c r="BF15" i="6"/>
  <c r="AV15" i="6"/>
  <c r="BA15" i="6" s="1"/>
  <c r="BK15" i="6" s="1"/>
  <c r="BG15" i="6"/>
  <c r="AY26" i="6"/>
  <c r="AV18" i="6"/>
  <c r="BA18" i="6" s="1"/>
  <c r="BK18" i="6" s="1"/>
  <c r="BG18" i="6"/>
  <c r="AY11" i="5"/>
  <c r="AY23" i="6"/>
  <c r="AU18" i="6"/>
  <c r="AZ18" i="6" s="1"/>
  <c r="BJ18" i="6" s="1"/>
  <c r="BF18" i="6"/>
  <c r="AY23" i="5"/>
  <c r="AY24" i="5"/>
  <c r="AY16" i="6"/>
  <c r="AU13" i="5"/>
  <c r="AZ13" i="5" s="1"/>
  <c r="BJ13" i="5" s="1"/>
  <c r="AY12" i="5"/>
  <c r="AU15" i="5"/>
  <c r="AZ15" i="5" s="1"/>
  <c r="BJ15" i="5" s="1"/>
  <c r="BL15" i="5" s="1"/>
  <c r="AV19" i="5"/>
  <c r="AV21" i="5"/>
  <c r="BA21" i="5" s="1"/>
  <c r="BK21" i="5" s="1"/>
  <c r="AV13" i="5"/>
  <c r="BA13" i="5" s="1"/>
  <c r="BK13" i="5" s="1"/>
  <c r="AS21" i="5"/>
  <c r="BB21" i="5" s="1"/>
  <c r="AT22" i="5"/>
  <c r="BB22" i="5" s="1"/>
  <c r="BL22" i="6"/>
  <c r="BN22" i="6" s="1"/>
  <c r="BL13" i="6"/>
  <c r="BN13" i="6" s="1"/>
  <c r="BL14" i="6"/>
  <c r="BN14" i="6" s="1"/>
  <c r="AY11" i="6" l="1"/>
  <c r="BB11" i="6"/>
  <c r="BL20" i="6"/>
  <c r="BN20" i="6" s="1"/>
  <c r="AY19" i="5"/>
  <c r="BA19" i="5"/>
  <c r="BK19" i="5" s="1"/>
  <c r="BL19" i="5"/>
  <c r="AY15" i="5"/>
  <c r="AY22" i="5"/>
  <c r="BI24" i="3"/>
  <c r="BI14" i="3"/>
  <c r="BJ14" i="3"/>
  <c r="BI22" i="3"/>
  <c r="BI13" i="3"/>
  <c r="BI25" i="3"/>
  <c r="BI11" i="3"/>
  <c r="BI19" i="3"/>
  <c r="BI20" i="3"/>
  <c r="BI26" i="3"/>
  <c r="BI18" i="3"/>
  <c r="BL25" i="6"/>
  <c r="BN25" i="6" s="1"/>
  <c r="AY18" i="6"/>
  <c r="BL19" i="6"/>
  <c r="BN19" i="6" s="1"/>
  <c r="BL24" i="6"/>
  <c r="BN24" i="6" s="1"/>
  <c r="AY15" i="6"/>
  <c r="BL23" i="6"/>
  <c r="BN23" i="6" s="1"/>
  <c r="BL26" i="6"/>
  <c r="BN26" i="6" s="1"/>
  <c r="AY13" i="5"/>
  <c r="AY21" i="5"/>
  <c r="BK15" i="3" l="1"/>
  <c r="BK19" i="3"/>
  <c r="BL15" i="6"/>
  <c r="BN15" i="6" s="1"/>
  <c r="BN11" i="6"/>
  <c r="BL18" i="6"/>
  <c r="BL12" i="6"/>
  <c r="BN12" i="6" s="1"/>
  <c r="BO23" i="6"/>
  <c r="BK11" i="3"/>
  <c r="BK23" i="3"/>
  <c r="BL16" i="6"/>
  <c r="BN16" i="6" s="1"/>
  <c r="BL21" i="6"/>
  <c r="BN18" i="6" l="1"/>
  <c r="BO15" i="6" s="1"/>
  <c r="BN21" i="6"/>
  <c r="BO19" i="6" s="1"/>
  <c r="BO11" i="6"/>
</calcChain>
</file>

<file path=xl/sharedStrings.xml><?xml version="1.0" encoding="utf-8"?>
<sst xmlns="http://schemas.openxmlformats.org/spreadsheetml/2006/main" count="514" uniqueCount="189">
  <si>
    <t>Method 1</t>
  </si>
  <si>
    <t>input</t>
  </si>
  <si>
    <t>State</t>
  </si>
  <si>
    <t>MAT</t>
  </si>
  <si>
    <t>Production system</t>
  </si>
  <si>
    <t>Leaching zone</t>
  </si>
  <si>
    <t>Number of poultry in each class j and subclass k</t>
  </si>
  <si>
    <t>Duration of stay for each class and subclass of poultry</t>
  </si>
  <si>
    <t>i</t>
  </si>
  <si>
    <t>(true or false)</t>
  </si>
  <si>
    <t>Swine class</t>
  </si>
  <si>
    <t>Nj</t>
  </si>
  <si>
    <t>Dj</t>
  </si>
  <si>
    <t>j</t>
  </si>
  <si>
    <t>NSW</t>
  </si>
  <si>
    <t>NWj</t>
  </si>
  <si>
    <t>VSj</t>
  </si>
  <si>
    <t>MMSjm=5T=1</t>
  </si>
  <si>
    <t>MMSjm=1T=1</t>
  </si>
  <si>
    <t>MMSjm=4T=1</t>
  </si>
  <si>
    <t>MMSjm=7T=1</t>
  </si>
  <si>
    <t>MMSjm=8T=1</t>
  </si>
  <si>
    <t>MMSjm=9T=1</t>
  </si>
  <si>
    <t>SSj</t>
  </si>
  <si>
    <t>SNj</t>
  </si>
  <si>
    <t>boars</t>
  </si>
  <si>
    <t>sows</t>
  </si>
  <si>
    <t>gilts</t>
  </si>
  <si>
    <t>others</t>
  </si>
  <si>
    <t>Uncovered anaerobic lagoons</t>
  </si>
  <si>
    <t>Solid Storage</t>
  </si>
  <si>
    <t>Outdoor</t>
  </si>
  <si>
    <t>Covered/Digester</t>
  </si>
  <si>
    <t>Deep Litter</t>
  </si>
  <si>
    <t>Pit Storage &lt; 1 Month</t>
  </si>
  <si>
    <t>true/false</t>
  </si>
  <si>
    <t>Solids separated</t>
  </si>
  <si>
    <t>Solid separation rate</t>
  </si>
  <si>
    <t>Nitrogen separation rate</t>
  </si>
  <si>
    <t>QLD</t>
  </si>
  <si>
    <t>WA</t>
  </si>
  <si>
    <t>NT</t>
  </si>
  <si>
    <t>Class (j)</t>
  </si>
  <si>
    <t>Feed Intake (Ij)</t>
  </si>
  <si>
    <t>Volatile Solids (VSj)</t>
  </si>
  <si>
    <t>Nitrogen in Waste (NWj)</t>
  </si>
  <si>
    <t>Table A.1.6.1: Swine – Intake and manure characteristics derived from PigBal (2020-2024)</t>
  </si>
  <si>
    <t>MMS (m)</t>
  </si>
  <si>
    <t>anaerobicLagoon</t>
  </si>
  <si>
    <t>solidStorage</t>
  </si>
  <si>
    <t>m</t>
  </si>
  <si>
    <t>digester</t>
  </si>
  <si>
    <t>pitStorage</t>
  </si>
  <si>
    <t>deepLitter</t>
  </si>
  <si>
    <t>outdoorAndFreeRange</t>
  </si>
  <si>
    <t>directApplication</t>
  </si>
  <si>
    <t>Table A.1.6.2: Swine – Fraction of N volatilised by MMS</t>
  </si>
  <si>
    <t>FracGASMmT</t>
  </si>
  <si>
    <t>Table A.1.6.3: Swine – Nitrous oxide EFs by MMS</t>
  </si>
  <si>
    <t>EFm</t>
  </si>
  <si>
    <t>Table A.1.6.4: Swine – MCFs (by State)</t>
  </si>
  <si>
    <t>ACT</t>
  </si>
  <si>
    <t>SA</t>
  </si>
  <si>
    <t>TAS</t>
  </si>
  <si>
    <t>VIC</t>
  </si>
  <si>
    <t>NOTE: There are no ACT values, the NSW values are being used for ACT</t>
  </si>
  <si>
    <t>Fixed Constants</t>
  </si>
  <si>
    <t>VSLm</t>
  </si>
  <si>
    <t xml:space="preserve">4.5.2.3 </t>
  </si>
  <si>
    <t>Bo</t>
  </si>
  <si>
    <t>p</t>
  </si>
  <si>
    <t>CN2O</t>
  </si>
  <si>
    <t>EFLeach</t>
  </si>
  <si>
    <t>Production System</t>
  </si>
  <si>
    <t>EFN2O</t>
  </si>
  <si>
    <t>Irrigated pasture</t>
  </si>
  <si>
    <t>Irrigated crop</t>
  </si>
  <si>
    <t>Non-irrigated pasture</t>
  </si>
  <si>
    <t>Non-irrigated crop (low rainfall)</t>
  </si>
  <si>
    <t>Non-irrigated crop (high rainfall)</t>
  </si>
  <si>
    <t>FVSjm=1T=1</t>
  </si>
  <si>
    <t>FVSjm=5T=1</t>
  </si>
  <si>
    <t>FVSjm=7T=1</t>
  </si>
  <si>
    <t>FVSjm=8T=1</t>
  </si>
  <si>
    <t>FVSjm=9T=1</t>
  </si>
  <si>
    <t>FVSjm=4T=1</t>
  </si>
  <si>
    <t>Mjm=1T=1</t>
  </si>
  <si>
    <t>Mjm=5T=1</t>
  </si>
  <si>
    <t>Mjm=7T=1</t>
  </si>
  <si>
    <t>Mjm=8T=1</t>
  </si>
  <si>
    <t>Mjm=9T=1</t>
  </si>
  <si>
    <t>Mjm=4T=1</t>
  </si>
  <si>
    <t>MCFim=1</t>
  </si>
  <si>
    <t>MCFim=5</t>
  </si>
  <si>
    <t>MCFim=7</t>
  </si>
  <si>
    <t>MCFim=8</t>
  </si>
  <si>
    <t>MCFim=9</t>
  </si>
  <si>
    <t>MCFim=4</t>
  </si>
  <si>
    <t>ECH4jmT=1</t>
  </si>
  <si>
    <t>VSLm=1T=1</t>
  </si>
  <si>
    <t>VSLm=5T=1</t>
  </si>
  <si>
    <t>VSLm=7T=1</t>
  </si>
  <si>
    <t>VSLm=8T=1</t>
  </si>
  <si>
    <t>VSLm=9T=1</t>
  </si>
  <si>
    <t>VSLm=4T=1</t>
  </si>
  <si>
    <t>VSTjmT=2</t>
  </si>
  <si>
    <t>MCFim=13</t>
  </si>
  <si>
    <t>Mjm=1T=2</t>
  </si>
  <si>
    <t>Mjm=4T=2</t>
  </si>
  <si>
    <t>Mjm=13T=2</t>
  </si>
  <si>
    <t>ECH4jmT=2</t>
  </si>
  <si>
    <t>ECH4j</t>
  </si>
  <si>
    <t>ECH4</t>
  </si>
  <si>
    <t>Ij</t>
  </si>
  <si>
    <t>Feed Intake</t>
  </si>
  <si>
    <t>AEj</t>
  </si>
  <si>
    <t>Volatile solid production</t>
  </si>
  <si>
    <t>Nitrogen waste production</t>
  </si>
  <si>
    <t>Volatile Solid production</t>
  </si>
  <si>
    <t>Nitrogen Waste production</t>
  </si>
  <si>
    <t>FNjm=1T=1</t>
  </si>
  <si>
    <t>FNjm=5T=1</t>
  </si>
  <si>
    <t>FNjm=7T=1</t>
  </si>
  <si>
    <t>FNjm=8T=1</t>
  </si>
  <si>
    <t>FNjm=9T=1</t>
  </si>
  <si>
    <t>FNjm=4T=1</t>
  </si>
  <si>
    <t>FracGASMm=1T=1</t>
  </si>
  <si>
    <t>FracGASMm=4T=1</t>
  </si>
  <si>
    <t>FracGASMm=5T=1</t>
  </si>
  <si>
    <t>FracGASMm=7T=1</t>
  </si>
  <si>
    <t>FracGASMm=8T=1</t>
  </si>
  <si>
    <t>FracGASMm=9T=1</t>
  </si>
  <si>
    <t>EFm=1</t>
  </si>
  <si>
    <t>EFm=5</t>
  </si>
  <si>
    <t>EFm=4</t>
  </si>
  <si>
    <t>EFm=7</t>
  </si>
  <si>
    <t>EFm=8</t>
  </si>
  <si>
    <t>EFm=9</t>
  </si>
  <si>
    <t>NTjmT=2</t>
  </si>
  <si>
    <t>NTjm=1T=2</t>
  </si>
  <si>
    <t>NTjm=5T=2</t>
  </si>
  <si>
    <t>NTjm=7T=2</t>
  </si>
  <si>
    <t>NTjm=4T=2</t>
  </si>
  <si>
    <t>NTjm=8T=2</t>
  </si>
  <si>
    <t>NTjm=9T=2</t>
  </si>
  <si>
    <t>MNjm=1T=1</t>
  </si>
  <si>
    <t>MNjm=5T=1</t>
  </si>
  <si>
    <t>MNjm=7T=1</t>
  </si>
  <si>
    <t>MNjm=8T=1</t>
  </si>
  <si>
    <t>MNjm=9T=1</t>
  </si>
  <si>
    <t>MNjm=4T=1</t>
  </si>
  <si>
    <t>MNjm=1T=2</t>
  </si>
  <si>
    <t>MNjm=4T=2</t>
  </si>
  <si>
    <t>EN2O,dir (m=1, T=4)</t>
  </si>
  <si>
    <t>EN2O,dir (m=1, T=2)</t>
  </si>
  <si>
    <t>EN2O,dir (m=1, T=9)</t>
  </si>
  <si>
    <t>EN2O,dir (m=1, T=8)</t>
  </si>
  <si>
    <t>EN2O,dir (m=1, T=7)</t>
  </si>
  <si>
    <t>EN2O,dir (m=1, T=5)</t>
  </si>
  <si>
    <t>EN2O,dir (m=1, T=1)</t>
  </si>
  <si>
    <t>EN2O,dir</t>
  </si>
  <si>
    <t>MMSATMOS (m=1, T=1)</t>
  </si>
  <si>
    <t>MMSATMOS (m=1, T=2)</t>
  </si>
  <si>
    <t>MMSATMOS (m=5, T=1)</t>
  </si>
  <si>
    <t>MMSATMOS (m=7, T=1)</t>
  </si>
  <si>
    <t>MMSATMOS (m=8, T=1)</t>
  </si>
  <si>
    <t>MMSATMOS (m=9, T=1)</t>
  </si>
  <si>
    <t>MMSATMOS (m=4, T=2)</t>
  </si>
  <si>
    <t>MMSATMOS (m=4, T=1)</t>
  </si>
  <si>
    <t>MMSATMOS (j)</t>
  </si>
  <si>
    <t>EN2O,ad</t>
  </si>
  <si>
    <t>EN2O,ad (j)</t>
  </si>
  <si>
    <t>FracWET</t>
  </si>
  <si>
    <t>MNLeachjm=5</t>
  </si>
  <si>
    <t>FracLEACHMS</t>
  </si>
  <si>
    <t>VSTjm=1T=2</t>
  </si>
  <si>
    <t>VSTjm=5T=2</t>
  </si>
  <si>
    <t>VSTjm=7T=2</t>
  </si>
  <si>
    <t>VSTjm=8T=2</t>
  </si>
  <si>
    <t>VSTjm=9T=2</t>
  </si>
  <si>
    <t>VSTjm=4T=2</t>
  </si>
  <si>
    <t>Stage 2</t>
  </si>
  <si>
    <t>Stage 1</t>
  </si>
  <si>
    <t>FVSjm=1T=2</t>
  </si>
  <si>
    <t>FVSjm=13T=2</t>
  </si>
  <si>
    <t>FVSjm=4T=2</t>
  </si>
  <si>
    <t>MNjm=13T=2</t>
  </si>
  <si>
    <t>EN2O,leach</t>
  </si>
  <si>
    <t>EN2O,leach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</si>
</sst>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0" borderId="0" xfId="0" applyFill="1" applyBorder="1"/>
    <xf numFmtId="0" fontId="1" fillId="2" borderId="0" xfId="0" applyFont="1" applyFill="1" applyBorder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DD24-2366-F94A-958C-F60BB24EEF0C}">
  <dimension ref="A1:M25"/>
  <sheetViews>
    <sheetView topLeftCell="A7" workbookViewId="0">
      <selection activeCell="B25" sqref="B25"/>
    </sheetView>
  </sheetViews>
  <sheetFormatPr baseColWidth="10" defaultRowHeight="16" x14ac:dyDescent="0.2"/>
  <sheetData>
    <row r="1" spans="1:13" x14ac:dyDescent="0.2">
      <c r="A1" t="s">
        <v>46</v>
      </c>
    </row>
    <row r="2" spans="1:13" x14ac:dyDescent="0.2">
      <c r="A2" t="s">
        <v>42</v>
      </c>
      <c r="B2" t="s">
        <v>43</v>
      </c>
      <c r="C2" t="s">
        <v>44</v>
      </c>
      <c r="D2" t="s">
        <v>45</v>
      </c>
    </row>
    <row r="3" spans="1:13" x14ac:dyDescent="0.2">
      <c r="A3" t="s">
        <v>25</v>
      </c>
      <c r="B3">
        <v>2.62</v>
      </c>
      <c r="C3">
        <v>0.4</v>
      </c>
      <c r="D3">
        <v>4.5999999999999999E-2</v>
      </c>
    </row>
    <row r="4" spans="1:13" x14ac:dyDescent="0.2">
      <c r="A4" t="s">
        <v>26</v>
      </c>
      <c r="B4">
        <v>2.2999999999999998</v>
      </c>
      <c r="C4">
        <v>0.46</v>
      </c>
      <c r="D4">
        <v>4.9000000000000002E-2</v>
      </c>
    </row>
    <row r="5" spans="1:13" x14ac:dyDescent="0.2">
      <c r="A5" t="s">
        <v>27</v>
      </c>
      <c r="B5">
        <v>2.5</v>
      </c>
      <c r="C5">
        <v>0.55000000000000004</v>
      </c>
      <c r="D5">
        <v>4.5999999999999999E-2</v>
      </c>
    </row>
    <row r="6" spans="1:13" x14ac:dyDescent="0.2">
      <c r="A6" t="s">
        <v>28</v>
      </c>
      <c r="B6">
        <v>1.71</v>
      </c>
      <c r="C6">
        <v>0.39</v>
      </c>
      <c r="D6">
        <f>11.4/365</f>
        <v>3.1232876712328769E-2</v>
      </c>
    </row>
    <row r="7" spans="1:13" x14ac:dyDescent="0.2">
      <c r="G7" t="s">
        <v>65</v>
      </c>
    </row>
    <row r="8" spans="1:13" x14ac:dyDescent="0.2">
      <c r="C8" t="s">
        <v>56</v>
      </c>
      <c r="D8" t="s">
        <v>58</v>
      </c>
      <c r="E8" t="s">
        <v>68</v>
      </c>
      <c r="F8" t="s">
        <v>60</v>
      </c>
    </row>
    <row r="9" spans="1:13" x14ac:dyDescent="0.2">
      <c r="A9" s="4" t="s">
        <v>47</v>
      </c>
      <c r="B9" s="4" t="s">
        <v>50</v>
      </c>
      <c r="C9" s="4" t="s">
        <v>57</v>
      </c>
      <c r="D9" s="4" t="s">
        <v>59</v>
      </c>
      <c r="E9" s="4" t="s">
        <v>67</v>
      </c>
      <c r="F9" s="5" t="s">
        <v>14</v>
      </c>
      <c r="G9" s="5" t="s">
        <v>61</v>
      </c>
      <c r="H9" s="5" t="s">
        <v>39</v>
      </c>
      <c r="I9" s="5" t="s">
        <v>41</v>
      </c>
      <c r="J9" s="5" t="s">
        <v>62</v>
      </c>
      <c r="K9" s="5" t="s">
        <v>63</v>
      </c>
      <c r="L9" s="5" t="s">
        <v>64</v>
      </c>
      <c r="M9" s="5" t="s">
        <v>40</v>
      </c>
    </row>
    <row r="10" spans="1:13" x14ac:dyDescent="0.2">
      <c r="A10" s="4" t="s">
        <v>48</v>
      </c>
      <c r="B10" s="4">
        <v>1</v>
      </c>
      <c r="C10" s="4">
        <v>0.55000000000000004</v>
      </c>
      <c r="D10" s="4">
        <v>0</v>
      </c>
      <c r="E10" s="4">
        <v>0</v>
      </c>
      <c r="F10" s="5">
        <v>0.75</v>
      </c>
      <c r="G10" s="5">
        <f>F10</f>
        <v>0.75</v>
      </c>
      <c r="H10" s="5">
        <v>0.78</v>
      </c>
      <c r="I10" s="5">
        <f>H10</f>
        <v>0.78</v>
      </c>
      <c r="J10" s="5">
        <v>0.75</v>
      </c>
      <c r="K10" s="5">
        <v>0.7</v>
      </c>
      <c r="L10" s="5">
        <v>0.74</v>
      </c>
      <c r="M10" s="5">
        <v>0.76</v>
      </c>
    </row>
    <row r="11" spans="1:13" x14ac:dyDescent="0.2">
      <c r="A11" s="4" t="s">
        <v>49</v>
      </c>
      <c r="B11" s="4">
        <v>4</v>
      </c>
      <c r="C11" s="4">
        <v>0.2</v>
      </c>
      <c r="D11" s="4">
        <v>5.0000000000000001E-3</v>
      </c>
      <c r="E11" s="4">
        <v>0</v>
      </c>
      <c r="F11" s="5">
        <v>0.02</v>
      </c>
      <c r="G11" s="5">
        <f t="shared" ref="G11:G16" si="0">F11</f>
        <v>0.02</v>
      </c>
      <c r="H11" s="5">
        <v>0.02</v>
      </c>
      <c r="I11" s="5">
        <f t="shared" ref="I11:I16" si="1">H11</f>
        <v>0.02</v>
      </c>
      <c r="J11" s="5">
        <v>0.02</v>
      </c>
      <c r="K11" s="5">
        <v>0.02</v>
      </c>
      <c r="L11" s="5">
        <v>0.02</v>
      </c>
      <c r="M11" s="5">
        <v>0.02</v>
      </c>
    </row>
    <row r="12" spans="1:13" x14ac:dyDescent="0.2">
      <c r="A12" s="4" t="s">
        <v>54</v>
      </c>
      <c r="B12" s="4">
        <v>5</v>
      </c>
      <c r="C12" s="4">
        <v>0.3</v>
      </c>
      <c r="D12" s="4">
        <v>0.02</v>
      </c>
      <c r="E12" s="4">
        <v>0</v>
      </c>
      <c r="F12" s="5">
        <v>0.01</v>
      </c>
      <c r="G12" s="5">
        <f t="shared" si="0"/>
        <v>0.01</v>
      </c>
      <c r="H12" s="5">
        <v>0.03</v>
      </c>
      <c r="I12" s="5">
        <f t="shared" si="1"/>
        <v>0.03</v>
      </c>
      <c r="J12" s="5">
        <v>0.01</v>
      </c>
      <c r="K12" s="5">
        <v>0.01</v>
      </c>
      <c r="L12" s="5">
        <v>0.01</v>
      </c>
      <c r="M12" s="5">
        <v>0.01</v>
      </c>
    </row>
    <row r="13" spans="1:13" x14ac:dyDescent="0.2">
      <c r="A13" s="4" t="s">
        <v>51</v>
      </c>
      <c r="B13" s="4">
        <v>7</v>
      </c>
      <c r="C13" s="4">
        <v>0</v>
      </c>
      <c r="D13" s="4">
        <v>0</v>
      </c>
      <c r="E13" s="4">
        <v>0.75</v>
      </c>
      <c r="F13" s="5">
        <v>0.1</v>
      </c>
      <c r="G13" s="5">
        <f t="shared" si="0"/>
        <v>0.1</v>
      </c>
      <c r="H13" s="5">
        <v>0.1</v>
      </c>
      <c r="I13" s="5">
        <f t="shared" si="1"/>
        <v>0.1</v>
      </c>
      <c r="J13" s="5">
        <v>0.1</v>
      </c>
      <c r="K13" s="5">
        <v>0.1</v>
      </c>
      <c r="L13" s="5">
        <v>0.1</v>
      </c>
      <c r="M13" s="5">
        <v>0.1</v>
      </c>
    </row>
    <row r="14" spans="1:13" x14ac:dyDescent="0.2">
      <c r="A14" s="4" t="s">
        <v>53</v>
      </c>
      <c r="B14" s="4">
        <v>8</v>
      </c>
      <c r="C14" s="4">
        <v>0.125</v>
      </c>
      <c r="D14" s="4">
        <v>0.01</v>
      </c>
      <c r="E14" s="4">
        <v>0.05</v>
      </c>
      <c r="F14" s="5">
        <v>0.04</v>
      </c>
      <c r="G14" s="5">
        <f t="shared" si="0"/>
        <v>0.04</v>
      </c>
      <c r="H14" s="5">
        <v>0.04</v>
      </c>
      <c r="I14" s="5">
        <f t="shared" si="1"/>
        <v>0.04</v>
      </c>
      <c r="J14" s="5">
        <v>0.04</v>
      </c>
      <c r="K14" s="5">
        <v>0.04</v>
      </c>
      <c r="L14" s="5">
        <v>0.04</v>
      </c>
      <c r="M14" s="5">
        <v>0.04</v>
      </c>
    </row>
    <row r="15" spans="1:13" x14ac:dyDescent="0.2">
      <c r="A15" s="4" t="s">
        <v>52</v>
      </c>
      <c r="B15" s="4">
        <v>9</v>
      </c>
      <c r="C15" s="4">
        <v>0.25</v>
      </c>
      <c r="D15" s="4">
        <v>2E-3</v>
      </c>
      <c r="E15" s="4">
        <v>0</v>
      </c>
      <c r="F15" s="5">
        <v>0.03</v>
      </c>
      <c r="G15" s="5">
        <f t="shared" si="0"/>
        <v>0.03</v>
      </c>
      <c r="H15" s="5">
        <v>0.03</v>
      </c>
      <c r="I15" s="5">
        <f t="shared" si="1"/>
        <v>0.03</v>
      </c>
      <c r="J15" s="5">
        <v>0.03</v>
      </c>
      <c r="K15" s="5">
        <v>0.03</v>
      </c>
      <c r="L15" s="5">
        <v>0.03</v>
      </c>
      <c r="M15" s="5">
        <v>0.03</v>
      </c>
    </row>
    <row r="16" spans="1:13" x14ac:dyDescent="0.2">
      <c r="A16" s="4" t="s">
        <v>55</v>
      </c>
      <c r="B16" s="4">
        <v>13</v>
      </c>
      <c r="C16" s="4"/>
      <c r="D16" s="4"/>
      <c r="E16" s="4">
        <v>0</v>
      </c>
      <c r="F16" s="5">
        <v>0</v>
      </c>
      <c r="G16" s="5">
        <f t="shared" si="0"/>
        <v>0</v>
      </c>
      <c r="H16" s="5">
        <v>0</v>
      </c>
      <c r="I16" s="5">
        <f t="shared" si="1"/>
        <v>0</v>
      </c>
      <c r="J16" s="5">
        <v>0</v>
      </c>
      <c r="K16" s="5">
        <v>0</v>
      </c>
      <c r="L16" s="5">
        <v>0</v>
      </c>
      <c r="M16" s="5">
        <v>0</v>
      </c>
    </row>
    <row r="18" spans="1:8" x14ac:dyDescent="0.2">
      <c r="A18" s="4" t="s">
        <v>66</v>
      </c>
      <c r="D18" t="s">
        <v>73</v>
      </c>
      <c r="E18" t="s">
        <v>74</v>
      </c>
      <c r="G18" s="14"/>
      <c r="H18" s="14"/>
    </row>
    <row r="19" spans="1:8" x14ac:dyDescent="0.2">
      <c r="A19" s="4" t="s">
        <v>23</v>
      </c>
      <c r="B19" s="4">
        <v>0.25</v>
      </c>
      <c r="D19" t="s">
        <v>75</v>
      </c>
      <c r="E19" s="4">
        <v>5.8999999999999999E-3</v>
      </c>
      <c r="G19" s="14"/>
      <c r="H19" s="14"/>
    </row>
    <row r="20" spans="1:8" x14ac:dyDescent="0.2">
      <c r="A20" s="4" t="s">
        <v>24</v>
      </c>
      <c r="B20" s="4">
        <v>0.25</v>
      </c>
      <c r="D20" t="s">
        <v>76</v>
      </c>
      <c r="E20" s="4">
        <v>7.0000000000000001E-3</v>
      </c>
      <c r="G20" s="14"/>
      <c r="H20" s="14"/>
    </row>
    <row r="21" spans="1:8" x14ac:dyDescent="0.2">
      <c r="A21" s="4" t="s">
        <v>69</v>
      </c>
      <c r="B21" s="4">
        <v>0.19</v>
      </c>
      <c r="D21" t="s">
        <v>77</v>
      </c>
      <c r="E21" s="4">
        <v>1.8E-3</v>
      </c>
      <c r="G21" s="14"/>
      <c r="H21" s="14"/>
    </row>
    <row r="22" spans="1:8" x14ac:dyDescent="0.2">
      <c r="A22" s="4" t="s">
        <v>70</v>
      </c>
      <c r="B22" s="4">
        <v>0.6784</v>
      </c>
      <c r="D22" t="s">
        <v>78</v>
      </c>
      <c r="E22" s="4">
        <v>2.8999999999999998E-3</v>
      </c>
    </row>
    <row r="23" spans="1:8" x14ac:dyDescent="0.2">
      <c r="A23" s="4" t="s">
        <v>71</v>
      </c>
      <c r="B23">
        <f>44/28</f>
        <v>1.5714285714285714</v>
      </c>
      <c r="D23" t="s">
        <v>79</v>
      </c>
      <c r="E23" s="4">
        <v>8.0000000000000002E-3</v>
      </c>
    </row>
    <row r="24" spans="1:8" x14ac:dyDescent="0.2">
      <c r="A24" s="4" t="s">
        <v>72</v>
      </c>
      <c r="B24" s="4">
        <v>1.0999999999999999E-2</v>
      </c>
    </row>
    <row r="25" spans="1:8" x14ac:dyDescent="0.2">
      <c r="A25" s="4" t="s">
        <v>174</v>
      </c>
      <c r="B25" s="4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DBCA-25EA-AA45-B2A9-3882BAB79541}">
  <dimension ref="A1:S26"/>
  <sheetViews>
    <sheetView topLeftCell="A7" workbookViewId="0">
      <selection activeCell="H11" sqref="H11"/>
    </sheetView>
  </sheetViews>
  <sheetFormatPr baseColWidth="10" defaultRowHeight="16" x14ac:dyDescent="0.2"/>
  <sheetData>
    <row r="1" spans="1:19" x14ac:dyDescent="0.2">
      <c r="A1" s="1"/>
      <c r="B1" s="1"/>
      <c r="C1" s="1"/>
      <c r="D1" s="1"/>
      <c r="E1" s="1"/>
      <c r="F1" s="1"/>
      <c r="G1" s="1"/>
      <c r="H1" s="1"/>
    </row>
    <row r="2" spans="1:19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19" x14ac:dyDescent="0.2">
      <c r="A3" s="1"/>
      <c r="B3" s="1"/>
      <c r="C3" s="1"/>
      <c r="D3" s="1"/>
      <c r="E3" s="1"/>
      <c r="F3" s="1"/>
      <c r="G3" s="1"/>
      <c r="H3" s="1"/>
    </row>
    <row r="4" spans="1:19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x14ac:dyDescent="0.2">
      <c r="A5" s="1"/>
      <c r="B5" s="1"/>
      <c r="C5" s="1"/>
      <c r="D5" s="1"/>
      <c r="E5" s="1"/>
      <c r="F5" s="1"/>
      <c r="G5" s="1"/>
      <c r="H5" s="1"/>
    </row>
    <row r="6" spans="1:19" x14ac:dyDescent="0.2">
      <c r="A6" s="1"/>
      <c r="B6" s="1"/>
      <c r="C6" s="1"/>
      <c r="D6" s="1"/>
      <c r="E6" s="1"/>
      <c r="F6" s="1"/>
      <c r="G6" s="1"/>
      <c r="H6" s="1"/>
    </row>
    <row r="7" spans="1:19" x14ac:dyDescent="0.2">
      <c r="A7" s="1"/>
      <c r="B7" s="1"/>
      <c r="C7" s="1"/>
      <c r="D7" s="1"/>
      <c r="E7" s="1"/>
      <c r="F7" s="1"/>
      <c r="G7" s="1"/>
      <c r="H7" s="1"/>
    </row>
    <row r="8" spans="1:19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114</v>
      </c>
      <c r="I8" s="1" t="s">
        <v>118</v>
      </c>
      <c r="J8" s="1" t="s">
        <v>119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36</v>
      </c>
      <c r="R8" t="s">
        <v>37</v>
      </c>
      <c r="S8" t="s">
        <v>38</v>
      </c>
    </row>
    <row r="9" spans="1:19" x14ac:dyDescent="0.2">
      <c r="A9" s="1"/>
      <c r="B9" s="1"/>
      <c r="C9" s="1"/>
      <c r="D9" s="1"/>
      <c r="E9" s="1"/>
      <c r="F9" s="1"/>
      <c r="G9" s="1"/>
      <c r="H9" s="1"/>
    </row>
    <row r="10" spans="1:19" s="2" customFormat="1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113</v>
      </c>
      <c r="I10" s="3" t="s">
        <v>16</v>
      </c>
      <c r="J10" s="3" t="s">
        <v>15</v>
      </c>
      <c r="K10" s="3" t="s">
        <v>18</v>
      </c>
      <c r="L10" s="3" t="s">
        <v>19</v>
      </c>
      <c r="M10" s="3" t="s">
        <v>17</v>
      </c>
      <c r="N10" s="3" t="s">
        <v>20</v>
      </c>
      <c r="O10" s="3" t="s">
        <v>21</v>
      </c>
      <c r="P10" s="3" t="s">
        <v>22</v>
      </c>
      <c r="Q10" s="3" t="s">
        <v>35</v>
      </c>
      <c r="R10" s="3" t="s">
        <v>23</v>
      </c>
      <c r="S10" s="3" t="s">
        <v>24</v>
      </c>
    </row>
    <row r="11" spans="1:19" x14ac:dyDescent="0.2">
      <c r="A11" t="s">
        <v>14</v>
      </c>
      <c r="C11" t="s">
        <v>76</v>
      </c>
      <c r="D11" t="b">
        <v>1</v>
      </c>
      <c r="E11" t="s">
        <v>25</v>
      </c>
      <c r="F11">
        <v>111</v>
      </c>
      <c r="G11">
        <v>105</v>
      </c>
      <c r="K11">
        <v>1</v>
      </c>
      <c r="Q11" t="b">
        <v>1</v>
      </c>
    </row>
    <row r="12" spans="1:19" x14ac:dyDescent="0.2">
      <c r="A12" t="s">
        <v>14</v>
      </c>
      <c r="C12" t="s">
        <v>76</v>
      </c>
      <c r="D12" t="b">
        <v>1</v>
      </c>
      <c r="E12" t="s">
        <v>26</v>
      </c>
      <c r="F12">
        <v>222</v>
      </c>
      <c r="G12">
        <v>103</v>
      </c>
      <c r="K12">
        <v>1</v>
      </c>
      <c r="Q12" t="b">
        <v>1</v>
      </c>
    </row>
    <row r="13" spans="1:19" x14ac:dyDescent="0.2">
      <c r="A13" t="s">
        <v>14</v>
      </c>
      <c r="C13" t="s">
        <v>76</v>
      </c>
      <c r="D13" t="b">
        <v>1</v>
      </c>
      <c r="E13" t="s">
        <v>27</v>
      </c>
      <c r="F13">
        <v>333</v>
      </c>
      <c r="G13">
        <v>200</v>
      </c>
      <c r="O13">
        <v>1</v>
      </c>
      <c r="Q13" t="b">
        <v>0</v>
      </c>
    </row>
    <row r="14" spans="1:19" s="2" customFormat="1" x14ac:dyDescent="0.2">
      <c r="A14" s="2" t="s">
        <v>14</v>
      </c>
      <c r="C14" t="s">
        <v>76</v>
      </c>
      <c r="D14" s="2" t="b">
        <v>1</v>
      </c>
      <c r="E14" s="2" t="s">
        <v>28</v>
      </c>
      <c r="F14" s="2">
        <v>444</v>
      </c>
      <c r="G14" s="2">
        <v>365</v>
      </c>
      <c r="O14" s="2">
        <v>1</v>
      </c>
      <c r="Q14" s="2" t="b">
        <v>0</v>
      </c>
    </row>
    <row r="15" spans="1:19" x14ac:dyDescent="0.2">
      <c r="A15" t="s">
        <v>41</v>
      </c>
      <c r="C15" t="s">
        <v>75</v>
      </c>
      <c r="D15" t="b">
        <v>1</v>
      </c>
      <c r="E15" t="s">
        <v>25</v>
      </c>
      <c r="F15" s="9">
        <v>105</v>
      </c>
      <c r="G15" s="9">
        <v>75</v>
      </c>
      <c r="H15" s="9"/>
      <c r="K15">
        <v>0.2</v>
      </c>
      <c r="L15">
        <v>0.1</v>
      </c>
      <c r="M15">
        <v>0.2</v>
      </c>
      <c r="N15">
        <v>0.2</v>
      </c>
      <c r="O15">
        <v>0.2</v>
      </c>
      <c r="P15">
        <v>0.1</v>
      </c>
      <c r="Q15" s="9" t="b">
        <v>1</v>
      </c>
    </row>
    <row r="16" spans="1:19" x14ac:dyDescent="0.2">
      <c r="A16" t="s">
        <v>41</v>
      </c>
      <c r="C16" t="s">
        <v>75</v>
      </c>
      <c r="D16" t="b">
        <v>1</v>
      </c>
      <c r="E16" t="s">
        <v>26</v>
      </c>
      <c r="F16" s="9">
        <v>245</v>
      </c>
      <c r="G16" s="9">
        <v>290</v>
      </c>
      <c r="H16" s="9"/>
      <c r="K16">
        <v>0.2</v>
      </c>
      <c r="L16">
        <v>0.1</v>
      </c>
      <c r="M16">
        <v>0.2</v>
      </c>
      <c r="N16">
        <v>0.2</v>
      </c>
      <c r="O16">
        <v>0.2</v>
      </c>
      <c r="P16">
        <v>0.1</v>
      </c>
      <c r="Q16" s="9" t="b">
        <v>1</v>
      </c>
    </row>
    <row r="17" spans="1:17" x14ac:dyDescent="0.2">
      <c r="A17" t="s">
        <v>41</v>
      </c>
      <c r="C17" t="s">
        <v>75</v>
      </c>
      <c r="D17" t="b">
        <v>1</v>
      </c>
      <c r="E17" t="s">
        <v>27</v>
      </c>
      <c r="F17" s="9">
        <v>434</v>
      </c>
      <c r="G17" s="9">
        <v>280</v>
      </c>
      <c r="H17" s="9"/>
      <c r="K17">
        <v>0.2</v>
      </c>
      <c r="L17">
        <v>0.1</v>
      </c>
      <c r="M17">
        <v>0.2</v>
      </c>
      <c r="N17">
        <v>0.2</v>
      </c>
      <c r="O17">
        <v>0.2</v>
      </c>
      <c r="P17">
        <v>0.1</v>
      </c>
      <c r="Q17" s="9" t="b">
        <v>1</v>
      </c>
    </row>
    <row r="18" spans="1:17" s="2" customFormat="1" x14ac:dyDescent="0.2">
      <c r="A18" s="2" t="s">
        <v>41</v>
      </c>
      <c r="C18" t="s">
        <v>75</v>
      </c>
      <c r="D18" s="2" t="b">
        <v>1</v>
      </c>
      <c r="E18" s="2" t="s">
        <v>28</v>
      </c>
      <c r="F18" s="2">
        <v>44</v>
      </c>
      <c r="G18" s="2">
        <v>290</v>
      </c>
      <c r="K18" s="2">
        <v>0.2</v>
      </c>
      <c r="L18" s="2">
        <v>0.1</v>
      </c>
      <c r="M18" s="2">
        <v>0.2</v>
      </c>
      <c r="N18" s="2">
        <v>0.2</v>
      </c>
      <c r="O18" s="2">
        <v>0.2</v>
      </c>
      <c r="P18" s="2">
        <v>0.1</v>
      </c>
      <c r="Q18" s="2" t="b">
        <v>1</v>
      </c>
    </row>
    <row r="19" spans="1:17" x14ac:dyDescent="0.2">
      <c r="A19" t="s">
        <v>39</v>
      </c>
      <c r="C19" t="s">
        <v>77</v>
      </c>
      <c r="D19" t="b">
        <v>1</v>
      </c>
      <c r="E19" t="s">
        <v>25</v>
      </c>
      <c r="F19" s="9">
        <v>1000</v>
      </c>
      <c r="G19" s="9">
        <v>100</v>
      </c>
      <c r="H19" s="9"/>
      <c r="Q19" s="9" t="b">
        <v>0</v>
      </c>
    </row>
    <row r="20" spans="1:17" x14ac:dyDescent="0.2">
      <c r="A20" t="s">
        <v>39</v>
      </c>
      <c r="C20" t="s">
        <v>77</v>
      </c>
      <c r="D20" t="b">
        <v>1</v>
      </c>
      <c r="E20" t="s">
        <v>26</v>
      </c>
      <c r="F20" s="9">
        <v>233</v>
      </c>
      <c r="G20" s="9">
        <v>100</v>
      </c>
      <c r="H20" s="9"/>
      <c r="Q20" s="9" t="b">
        <v>0</v>
      </c>
    </row>
    <row r="21" spans="1:17" x14ac:dyDescent="0.2">
      <c r="A21" t="s">
        <v>39</v>
      </c>
      <c r="C21" t="s">
        <v>77</v>
      </c>
      <c r="D21" t="b">
        <v>1</v>
      </c>
      <c r="E21" t="s">
        <v>27</v>
      </c>
      <c r="F21" s="9">
        <v>923</v>
      </c>
      <c r="G21" s="9">
        <v>100</v>
      </c>
      <c r="H21" s="9"/>
      <c r="Q21" s="9" t="b">
        <v>0</v>
      </c>
    </row>
    <row r="22" spans="1:17" s="2" customFormat="1" x14ac:dyDescent="0.2">
      <c r="A22" s="2" t="s">
        <v>39</v>
      </c>
      <c r="C22" t="s">
        <v>77</v>
      </c>
      <c r="D22" s="2" t="b">
        <v>1</v>
      </c>
      <c r="E22" s="2" t="s">
        <v>28</v>
      </c>
      <c r="F22" s="2">
        <v>122</v>
      </c>
      <c r="G22" s="2">
        <v>100</v>
      </c>
      <c r="Q22" s="2" t="b">
        <v>0</v>
      </c>
    </row>
    <row r="23" spans="1:17" x14ac:dyDescent="0.2">
      <c r="A23" t="s">
        <v>40</v>
      </c>
      <c r="C23" t="s">
        <v>78</v>
      </c>
      <c r="D23" t="b">
        <v>0</v>
      </c>
      <c r="E23" t="s">
        <v>25</v>
      </c>
      <c r="F23" s="9">
        <v>750</v>
      </c>
      <c r="G23" s="9">
        <v>200</v>
      </c>
      <c r="H23" s="9"/>
      <c r="Q23" s="9" t="b">
        <v>0</v>
      </c>
    </row>
    <row r="24" spans="1:17" x14ac:dyDescent="0.2">
      <c r="A24" t="s">
        <v>40</v>
      </c>
      <c r="C24" t="s">
        <v>78</v>
      </c>
      <c r="D24" t="b">
        <v>0</v>
      </c>
      <c r="E24" t="s">
        <v>26</v>
      </c>
      <c r="F24" s="9">
        <v>600</v>
      </c>
      <c r="G24" s="9">
        <v>200</v>
      </c>
      <c r="H24" s="9"/>
      <c r="Q24" s="9" t="b">
        <v>0</v>
      </c>
    </row>
    <row r="25" spans="1:17" x14ac:dyDescent="0.2">
      <c r="A25" t="s">
        <v>40</v>
      </c>
      <c r="C25" t="s">
        <v>78</v>
      </c>
      <c r="D25" t="b">
        <v>0</v>
      </c>
      <c r="E25" t="s">
        <v>27</v>
      </c>
      <c r="F25" s="9">
        <v>100</v>
      </c>
      <c r="G25" s="9">
        <v>299</v>
      </c>
      <c r="H25" s="9"/>
      <c r="Q25" s="9" t="b">
        <v>1</v>
      </c>
    </row>
    <row r="26" spans="1:17" s="2" customFormat="1" x14ac:dyDescent="0.2">
      <c r="A26" s="2" t="s">
        <v>40</v>
      </c>
      <c r="C26" t="s">
        <v>78</v>
      </c>
      <c r="D26" s="2" t="b">
        <v>0</v>
      </c>
      <c r="E26" s="2" t="s">
        <v>28</v>
      </c>
      <c r="F26" s="2">
        <v>999</v>
      </c>
      <c r="G26" s="2">
        <v>299</v>
      </c>
      <c r="Q26" s="2" t="b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140B-90DE-CB4B-9CF8-98219B6845E7}">
  <dimension ref="A2:BK26"/>
  <sheetViews>
    <sheetView topLeftCell="AQ1" workbookViewId="0">
      <selection activeCell="BB9" sqref="BB9"/>
    </sheetView>
  </sheetViews>
  <sheetFormatPr baseColWidth="10" defaultRowHeight="16" x14ac:dyDescent="0.2"/>
  <sheetData>
    <row r="2" spans="1:63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63" x14ac:dyDescent="0.2">
      <c r="A3" s="1"/>
      <c r="B3" s="1"/>
      <c r="C3" s="1"/>
      <c r="D3" s="1"/>
      <c r="E3" s="1"/>
      <c r="F3" s="1"/>
      <c r="G3" s="1"/>
      <c r="H3" s="1"/>
    </row>
    <row r="4" spans="1:63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/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/>
    </row>
    <row r="5" spans="1:63" x14ac:dyDescent="0.2">
      <c r="A5" s="1"/>
      <c r="B5" s="1"/>
      <c r="C5" s="1"/>
      <c r="D5" s="1"/>
      <c r="E5" s="1"/>
      <c r="F5" s="1"/>
      <c r="G5" s="1"/>
      <c r="H5" s="1"/>
    </row>
    <row r="6" spans="1:63" x14ac:dyDescent="0.2">
      <c r="A6" s="1"/>
      <c r="B6" s="1"/>
      <c r="C6" s="1"/>
      <c r="D6" s="1"/>
      <c r="E6" s="1"/>
      <c r="F6" s="1"/>
      <c r="G6" s="1"/>
      <c r="H6" s="1"/>
    </row>
    <row r="7" spans="1:63" x14ac:dyDescent="0.2">
      <c r="A7" s="1"/>
      <c r="B7" s="1"/>
      <c r="C7" s="1"/>
      <c r="D7" s="1"/>
      <c r="E7" s="1"/>
      <c r="F7" s="1"/>
      <c r="G7" s="1"/>
      <c r="H7" s="1"/>
    </row>
    <row r="8" spans="1:63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114</v>
      </c>
      <c r="I8" s="1" t="s">
        <v>116</v>
      </c>
      <c r="J8" s="1" t="s">
        <v>117</v>
      </c>
      <c r="K8" t="s">
        <v>29</v>
      </c>
      <c r="L8" t="s">
        <v>31</v>
      </c>
      <c r="M8" t="s">
        <v>32</v>
      </c>
      <c r="N8" t="s">
        <v>33</v>
      </c>
      <c r="O8" t="s">
        <v>34</v>
      </c>
      <c r="P8" t="s">
        <v>30</v>
      </c>
      <c r="Q8" t="s">
        <v>36</v>
      </c>
      <c r="R8" t="s">
        <v>37</v>
      </c>
    </row>
    <row r="9" spans="1:63" x14ac:dyDescent="0.2">
      <c r="A9" s="1"/>
      <c r="B9" s="1"/>
      <c r="C9" s="1"/>
      <c r="D9" s="1"/>
      <c r="E9" s="1"/>
      <c r="F9" s="1"/>
      <c r="G9" s="1"/>
      <c r="H9" s="1"/>
    </row>
    <row r="10" spans="1:63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113</v>
      </c>
      <c r="I10" s="3" t="s">
        <v>16</v>
      </c>
      <c r="J10" s="3" t="s">
        <v>15</v>
      </c>
      <c r="K10" s="3" t="s">
        <v>18</v>
      </c>
      <c r="L10" s="3" t="s">
        <v>17</v>
      </c>
      <c r="M10" s="3" t="s">
        <v>20</v>
      </c>
      <c r="N10" s="3" t="s">
        <v>21</v>
      </c>
      <c r="O10" s="3" t="s">
        <v>22</v>
      </c>
      <c r="P10" s="3" t="s">
        <v>19</v>
      </c>
      <c r="Q10" s="3" t="s">
        <v>35</v>
      </c>
      <c r="R10" s="3" t="s">
        <v>23</v>
      </c>
      <c r="S10" s="10" t="s">
        <v>24</v>
      </c>
      <c r="T10" s="6" t="s">
        <v>80</v>
      </c>
      <c r="U10" s="6" t="s">
        <v>81</v>
      </c>
      <c r="V10" s="7" t="s">
        <v>82</v>
      </c>
      <c r="W10" s="7" t="s">
        <v>83</v>
      </c>
      <c r="X10" s="7" t="s">
        <v>84</v>
      </c>
      <c r="Y10" s="7" t="s">
        <v>85</v>
      </c>
      <c r="Z10" s="7" t="s">
        <v>69</v>
      </c>
      <c r="AA10" s="7" t="s">
        <v>70</v>
      </c>
      <c r="AB10" s="7" t="s">
        <v>92</v>
      </c>
      <c r="AC10" s="7" t="s">
        <v>93</v>
      </c>
      <c r="AD10" s="7" t="s">
        <v>94</v>
      </c>
      <c r="AE10" s="7" t="s">
        <v>95</v>
      </c>
      <c r="AF10" s="7" t="s">
        <v>96</v>
      </c>
      <c r="AG10" s="7" t="s">
        <v>97</v>
      </c>
      <c r="AH10" s="7" t="s">
        <v>106</v>
      </c>
      <c r="AI10" s="7" t="s">
        <v>86</v>
      </c>
      <c r="AJ10" s="7" t="s">
        <v>87</v>
      </c>
      <c r="AK10" s="7" t="s">
        <v>88</v>
      </c>
      <c r="AL10" s="7" t="s">
        <v>89</v>
      </c>
      <c r="AM10" s="7" t="s">
        <v>90</v>
      </c>
      <c r="AN10" s="7" t="s">
        <v>91</v>
      </c>
      <c r="AO10" s="8" t="s">
        <v>98</v>
      </c>
      <c r="AP10" s="7" t="s">
        <v>99</v>
      </c>
      <c r="AQ10" s="7" t="s">
        <v>100</v>
      </c>
      <c r="AR10" s="7" t="s">
        <v>101</v>
      </c>
      <c r="AS10" s="7" t="s">
        <v>102</v>
      </c>
      <c r="AT10" s="7" t="s">
        <v>103</v>
      </c>
      <c r="AU10" s="7" t="s">
        <v>104</v>
      </c>
      <c r="AV10" s="7" t="s">
        <v>175</v>
      </c>
      <c r="AW10" s="7" t="s">
        <v>176</v>
      </c>
      <c r="AX10" s="7" t="s">
        <v>177</v>
      </c>
      <c r="AY10" s="7" t="s">
        <v>178</v>
      </c>
      <c r="AZ10" s="7" t="s">
        <v>179</v>
      </c>
      <c r="BA10" s="7" t="s">
        <v>180</v>
      </c>
      <c r="BB10" s="7" t="s">
        <v>105</v>
      </c>
      <c r="BC10" s="7" t="s">
        <v>183</v>
      </c>
      <c r="BD10" s="7" t="s">
        <v>185</v>
      </c>
      <c r="BE10" s="7" t="s">
        <v>184</v>
      </c>
      <c r="BF10" s="7" t="s">
        <v>107</v>
      </c>
      <c r="BG10" s="7" t="s">
        <v>108</v>
      </c>
      <c r="BH10" s="7" t="s">
        <v>109</v>
      </c>
      <c r="BI10" s="8" t="s">
        <v>110</v>
      </c>
      <c r="BJ10" s="8" t="s">
        <v>111</v>
      </c>
      <c r="BK10" s="8" t="s">
        <v>112</v>
      </c>
    </row>
    <row r="11" spans="1:63" x14ac:dyDescent="0.2">
      <c r="A11" t="str">
        <f>'Input Scenarios'!A11</f>
        <v>NSW</v>
      </c>
      <c r="B11">
        <f>'Input Scenarios'!B11</f>
        <v>0</v>
      </c>
      <c r="C11" t="str">
        <f>'Input Scenarios'!C11</f>
        <v>Irrigated crop</v>
      </c>
      <c r="D11" t="b">
        <f>'Input Scenarios'!D11</f>
        <v>1</v>
      </c>
      <c r="E11" t="str">
        <f>'Input Scenarios'!E11</f>
        <v>boars</v>
      </c>
      <c r="F11">
        <f>'Input Scenarios'!F11</f>
        <v>111</v>
      </c>
      <c r="G11">
        <f>'Input Scenarios'!G11</f>
        <v>105</v>
      </c>
      <c r="H11">
        <f>IF('Input Scenarios'!H11&lt;&gt;"", 'Input Scenarios'!H11, _xlfn.XLOOKUP($E11,Constants!$A$3:$A$6, Constants!B$3:B$6))</f>
        <v>2.62</v>
      </c>
      <c r="I11">
        <f>IF('Input Scenarios'!I11&lt;&gt;"", 'Input Scenarios'!I11, _xlfn.XLOOKUP($E11,Constants!$A$3:$A$6, Constants!C$3:C$6))</f>
        <v>0.4</v>
      </c>
      <c r="J11">
        <f>IF('Input Scenarios'!J11&lt;&gt;"", 'Input Scenarios'!J11, _xlfn.XLOOKUP($E11,Constants!$A$3:$A$6, Constants!D$3:D$6))</f>
        <v>4.5999999999999999E-2</v>
      </c>
      <c r="K11">
        <f>'Input Scenarios'!K11</f>
        <v>1</v>
      </c>
      <c r="L11">
        <f>'Input Scenarios'!L11</f>
        <v>0</v>
      </c>
      <c r="M11">
        <f>'Input Scenarios'!M11</f>
        <v>0</v>
      </c>
      <c r="N11">
        <f>'Input Scenarios'!N11</f>
        <v>0</v>
      </c>
      <c r="O11">
        <f>'Input Scenarios'!O11</f>
        <v>0</v>
      </c>
      <c r="P11">
        <f>'Input Scenarios'!P11</f>
        <v>0</v>
      </c>
      <c r="Q11" t="b">
        <f>'Input Scenarios'!Q11</f>
        <v>1</v>
      </c>
      <c r="R11">
        <f>IF('Input Scenarios'!$R11&lt;&gt;"", 'Input Scenarios'!$R11, IF($Q11, Constants!$B$19, 0))</f>
        <v>0.25</v>
      </c>
      <c r="S11">
        <f>IF('Input Scenarios'!$R11&lt;&gt;"", 'Input Scenarios'!$R11, IF($Q11, Constants!$B$20, 0))</f>
        <v>0.25</v>
      </c>
      <c r="T11">
        <f>K11*(1-$R11)</f>
        <v>0.75</v>
      </c>
      <c r="U11">
        <f>L11</f>
        <v>0</v>
      </c>
      <c r="V11">
        <f>M11*(1-$R11)</f>
        <v>0</v>
      </c>
      <c r="W11">
        <f>N11</f>
        <v>0</v>
      </c>
      <c r="X11">
        <f>O11*(1-$R11)</f>
        <v>0</v>
      </c>
      <c r="Y11">
        <f>P11+(SUM(K11,M11,O11)*R11)</f>
        <v>0.25</v>
      </c>
      <c r="Z11">
        <f>Constants!$B$21</f>
        <v>0.19</v>
      </c>
      <c r="AA11">
        <f>Constants!$B$22</f>
        <v>0.6784</v>
      </c>
      <c r="AB11">
        <f>_xlfn.XLOOKUP($A11,Constants!$F$9:$M$9,Constants!$F$10:$M$10)</f>
        <v>0.75</v>
      </c>
      <c r="AC11">
        <f>_xlfn.XLOOKUP($A11,Constants!$F$9:$M$9,Constants!$F$12:$M$12)</f>
        <v>0.01</v>
      </c>
      <c r="AD11">
        <f>_xlfn.XLOOKUP($A11,Constants!$F$9:$M$9,Constants!$F$13:$M$13)</f>
        <v>0.1</v>
      </c>
      <c r="AE11">
        <f>_xlfn.XLOOKUP($A11,Constants!$F$9:$M$9,Constants!$F$14:$M$14)</f>
        <v>0.04</v>
      </c>
      <c r="AF11">
        <f>_xlfn.XLOOKUP($A11,Constants!$F$9:$M$9,Constants!$F$15:$M$15)</f>
        <v>0.03</v>
      </c>
      <c r="AG11">
        <f>_xlfn.XLOOKUP($A11,Constants!$F$9:$M$9,Constants!$F$11:$M$11)</f>
        <v>0.02</v>
      </c>
      <c r="AH11">
        <f>_xlfn.XLOOKUP($A11,Constants!$F$9:$M$9,Constants!$F$16:$M$16)</f>
        <v>0</v>
      </c>
      <c r="AI11">
        <f>$I11*T11*AB11*$Z11*$AA11</f>
        <v>2.9001600000000006E-2</v>
      </c>
      <c r="AJ11">
        <f t="shared" ref="AJ11:AN11" si="0">$I11*U11*AC11*$Z11*$AA11</f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2.5779200000000001E-4</v>
      </c>
      <c r="AO11">
        <f>(SUM(AI11:AN11)*F11*G11)/1000</f>
        <v>0.34101821376000008</v>
      </c>
      <c r="AP11">
        <f>Constants!$E$10</f>
        <v>0</v>
      </c>
      <c r="AQ11">
        <f>Constants!$E$12</f>
        <v>0</v>
      </c>
      <c r="AR11">
        <f>Constants!$E$13</f>
        <v>0.75</v>
      </c>
      <c r="AS11">
        <f>Constants!$E$14</f>
        <v>0.05</v>
      </c>
      <c r="AT11">
        <f>Constants!$E$15</f>
        <v>0</v>
      </c>
      <c r="AU11">
        <f>Constants!$E$11</f>
        <v>0</v>
      </c>
      <c r="AV11">
        <f t="shared" ref="AV11:AV14" si="1">(T11*(1-AP11))</f>
        <v>0.75</v>
      </c>
      <c r="AW11">
        <f>(U11*(1-AQ11))</f>
        <v>0</v>
      </c>
      <c r="AX11">
        <f t="shared" ref="AX11:AX14" si="2">(V11*(1-AR11))</f>
        <v>0</v>
      </c>
      <c r="AY11">
        <f t="shared" ref="AY11:AY14" si="3">(W11*(1-AS11))</f>
        <v>0</v>
      </c>
      <c r="AZ11">
        <f t="shared" ref="AZ11:AZ14" si="4">(X11*(1-AT11))</f>
        <v>0</v>
      </c>
      <c r="BA11">
        <f t="shared" ref="BA11:BA14" si="5">(Y11*(1-AU11))</f>
        <v>0.25</v>
      </c>
      <c r="BB11">
        <f t="shared" ref="BB11:BB14" si="6">SUM(AV11:BA11)*I11</f>
        <v>0.4</v>
      </c>
      <c r="BC11">
        <f>AX11*$I11</f>
        <v>0</v>
      </c>
      <c r="BD11">
        <f>AY11*$I11</f>
        <v>0</v>
      </c>
      <c r="BE11">
        <f>SUM(AV11:AW11, AZ11:BA11)*$I11</f>
        <v>0.4</v>
      </c>
      <c r="BF11">
        <f>BC11*$Z11*AB11*$AA11</f>
        <v>0</v>
      </c>
      <c r="BG11">
        <f>BD11*$Z11*AG11*$AA11</f>
        <v>0</v>
      </c>
      <c r="BH11">
        <f>BE11*$Z11*AH11*$AA11</f>
        <v>0</v>
      </c>
      <c r="BI11">
        <f>(SUM(BF11:BH11)*F11*G11)/1000</f>
        <v>0</v>
      </c>
      <c r="BJ11">
        <f t="shared" ref="BJ11:BJ14" si="7">SUM(AI11:AN11, BF11:BH11)*F11*G11/1000</f>
        <v>0.34101821376000008</v>
      </c>
      <c r="BK11">
        <f>SUM(BJ11:BJ14)</f>
        <v>1.4964640376448002</v>
      </c>
    </row>
    <row r="12" spans="1:63" x14ac:dyDescent="0.2">
      <c r="A12" t="str">
        <f>'Input Scenarios'!A12</f>
        <v>NSW</v>
      </c>
      <c r="B12">
        <f>'Input Scenarios'!B12</f>
        <v>0</v>
      </c>
      <c r="C12" t="str">
        <f>'Input Scenarios'!C12</f>
        <v>Irrigated crop</v>
      </c>
      <c r="D12" t="b">
        <f>'Input Scenarios'!D12</f>
        <v>1</v>
      </c>
      <c r="E12" t="str">
        <f>'Input Scenarios'!E12</f>
        <v>sows</v>
      </c>
      <c r="F12">
        <f>'Input Scenarios'!F12</f>
        <v>222</v>
      </c>
      <c r="G12">
        <f>'Input Scenarios'!G12</f>
        <v>103</v>
      </c>
      <c r="H12">
        <f>IF('Input Scenarios'!H12&lt;&gt;"", 'Input Scenarios'!H12, _xlfn.XLOOKUP($E12,Constants!$A$3:$A$6, Constants!B$3:B$6))</f>
        <v>2.2999999999999998</v>
      </c>
      <c r="I12">
        <f>IF('Input Scenarios'!I12&lt;&gt;"", 'Input Scenarios'!I12, _xlfn.XLOOKUP($E12,Constants!$A$3:$A$6, Constants!C$3:C$6))</f>
        <v>0.46</v>
      </c>
      <c r="J12">
        <f>IF('Input Scenarios'!J12&lt;&gt;"", 'Input Scenarios'!J12, _xlfn.XLOOKUP($E12,Constants!$A$3:$A$6, Constants!D$3:D$6))</f>
        <v>4.9000000000000002E-2</v>
      </c>
      <c r="K12">
        <f>'Input Scenarios'!K12</f>
        <v>1</v>
      </c>
      <c r="L12">
        <f>'Input Scenarios'!L12</f>
        <v>0</v>
      </c>
      <c r="M12">
        <f>'Input Scenarios'!M12</f>
        <v>0</v>
      </c>
      <c r="N12">
        <f>'Input Scenarios'!N12</f>
        <v>0</v>
      </c>
      <c r="O12">
        <f>'Input Scenarios'!O12</f>
        <v>0</v>
      </c>
      <c r="P12">
        <f>'Input Scenarios'!P12</f>
        <v>0</v>
      </c>
      <c r="Q12" t="b">
        <f>'Input Scenarios'!Q12</f>
        <v>1</v>
      </c>
      <c r="R12">
        <f>IF('Input Scenarios'!$R12&lt;&gt;"", 'Input Scenarios'!$R12, IF($Q12, Constants!$B$19, 0))</f>
        <v>0.25</v>
      </c>
      <c r="S12">
        <f>IF('Input Scenarios'!$R12&lt;&gt;"", 'Input Scenarios'!$R12, IF($Q12, Constants!$B$20, 0))</f>
        <v>0.25</v>
      </c>
      <c r="T12">
        <f t="shared" ref="T12:T26" si="8">K12*(1-$R12)</f>
        <v>0.75</v>
      </c>
      <c r="U12">
        <f t="shared" ref="U12:U26" si="9">L12</f>
        <v>0</v>
      </c>
      <c r="V12">
        <f t="shared" ref="V12:V26" si="10">M12*(1-$R12)</f>
        <v>0</v>
      </c>
      <c r="W12">
        <f t="shared" ref="W12:W26" si="11">N12</f>
        <v>0</v>
      </c>
      <c r="X12">
        <f t="shared" ref="X12:X26" si="12">O12*(1-$R12)</f>
        <v>0</v>
      </c>
      <c r="Y12">
        <f t="shared" ref="Y12:Y26" si="13">P12+(SUM(K12,M12,O12)*R12)</f>
        <v>0.25</v>
      </c>
      <c r="Z12">
        <f>Constants!$B$21</f>
        <v>0.19</v>
      </c>
      <c r="AA12">
        <f>Constants!$B$22</f>
        <v>0.6784</v>
      </c>
      <c r="AB12">
        <f>_xlfn.XLOOKUP($A12,Constants!$F$9:$M$9,Constants!$F$10:$M$10)</f>
        <v>0.75</v>
      </c>
      <c r="AC12">
        <f>_xlfn.XLOOKUP($A12,Constants!$F$9:$M$9,Constants!$F$12:$M$12)</f>
        <v>0.01</v>
      </c>
      <c r="AD12">
        <f>_xlfn.XLOOKUP($A12,Constants!$F$9:$M$9,Constants!$F$13:$M$13)</f>
        <v>0.1</v>
      </c>
      <c r="AE12">
        <f>_xlfn.XLOOKUP($A12,Constants!$F$9:$M$9,Constants!$F$14:$M$14)</f>
        <v>0.04</v>
      </c>
      <c r="AF12">
        <f>_xlfn.XLOOKUP($A12,Constants!$F$9:$M$9,Constants!$F$15:$M$15)</f>
        <v>0.03</v>
      </c>
      <c r="AG12">
        <f>_xlfn.XLOOKUP($A12,Constants!$F$9:$M$9,Constants!$F$11:$M$11)</f>
        <v>0.02</v>
      </c>
      <c r="AH12">
        <f>_xlfn.XLOOKUP($A12,Constants!$F$9:$M$9,Constants!$F$16:$M$16)</f>
        <v>0</v>
      </c>
      <c r="AI12">
        <f t="shared" ref="AI12:AI26" si="14">$I12*T12*AB12*$Z12*$AA12</f>
        <v>3.3351840000000001E-2</v>
      </c>
      <c r="AJ12">
        <f t="shared" ref="AJ12:AJ26" si="15">$I12*U12*AC12*$Z12*$AA12</f>
        <v>0</v>
      </c>
      <c r="AK12">
        <f t="shared" ref="AK12:AK26" si="16">$I12*V12*AD12*$Z12*$AA12</f>
        <v>0</v>
      </c>
      <c r="AL12">
        <f t="shared" ref="AL12:AL26" si="17">$I12*W12*AE12*$Z12*$AA12</f>
        <v>0</v>
      </c>
      <c r="AM12">
        <f t="shared" ref="AM12:AM26" si="18">$I12*X12*AF12*$Z12*$AA12</f>
        <v>0</v>
      </c>
      <c r="AN12">
        <f t="shared" ref="AN12:AN26" si="19">$I12*Y12*AG12*$Z12*$AA12</f>
        <v>2.9646080000000002E-4</v>
      </c>
      <c r="AO12">
        <f t="shared" ref="AO12:AO26" si="20">(SUM(AI12:AN12)*F12*G12)/1000</f>
        <v>0.76940204609280005</v>
      </c>
      <c r="AP12">
        <f>Constants!$E$10</f>
        <v>0</v>
      </c>
      <c r="AQ12">
        <f>Constants!$E$12</f>
        <v>0</v>
      </c>
      <c r="AR12">
        <f>Constants!$E$13</f>
        <v>0.75</v>
      </c>
      <c r="AS12">
        <f>Constants!$E$14</f>
        <v>0.05</v>
      </c>
      <c r="AT12">
        <f>Constants!$E$15</f>
        <v>0</v>
      </c>
      <c r="AU12">
        <f>Constants!$E$11</f>
        <v>0</v>
      </c>
      <c r="AV12">
        <f t="shared" si="1"/>
        <v>0.75</v>
      </c>
      <c r="AW12">
        <f t="shared" ref="AW11:AW14" si="21">(U12*(1-AQ12))</f>
        <v>0</v>
      </c>
      <c r="AX12">
        <f t="shared" si="2"/>
        <v>0</v>
      </c>
      <c r="AY12">
        <f t="shared" si="3"/>
        <v>0</v>
      </c>
      <c r="AZ12">
        <f t="shared" si="4"/>
        <v>0</v>
      </c>
      <c r="BA12">
        <f t="shared" si="5"/>
        <v>0.25</v>
      </c>
      <c r="BB12">
        <f t="shared" si="6"/>
        <v>0.46</v>
      </c>
      <c r="BC12">
        <f t="shared" ref="BC12:BC26" si="22">AX12*$I12</f>
        <v>0</v>
      </c>
      <c r="BD12">
        <f t="shared" ref="BD12:BD26" si="23">AY12*$I12</f>
        <v>0</v>
      </c>
      <c r="BE12">
        <f t="shared" ref="BE12:BE26" si="24">SUM(AV12:AW12, AZ12:BA12)*$I12</f>
        <v>0.46</v>
      </c>
      <c r="BF12">
        <f t="shared" ref="BF12:BF26" si="25">BC12*$Z12*AB12*$AA12</f>
        <v>0</v>
      </c>
      <c r="BG12">
        <f t="shared" ref="BG12:BG26" si="26">BD12*$Z12*AG12*$AA12</f>
        <v>0</v>
      </c>
      <c r="BH12">
        <f t="shared" ref="BH12:BH26" si="27">BE12*$Z12*AH12*$AA12</f>
        <v>0</v>
      </c>
      <c r="BI12">
        <f t="shared" ref="BI12:BI26" si="28">(SUM(BF12:BH12)*F12*G12)/1000</f>
        <v>0</v>
      </c>
      <c r="BJ12">
        <f t="shared" si="7"/>
        <v>0.76940204609280005</v>
      </c>
    </row>
    <row r="13" spans="1:63" x14ac:dyDescent="0.2">
      <c r="A13" t="str">
        <f>'Input Scenarios'!A13</f>
        <v>NSW</v>
      </c>
      <c r="B13">
        <f>'Input Scenarios'!B13</f>
        <v>0</v>
      </c>
      <c r="C13" t="str">
        <f>'Input Scenarios'!C13</f>
        <v>Irrigated crop</v>
      </c>
      <c r="D13" t="b">
        <f>'Input Scenarios'!D13</f>
        <v>1</v>
      </c>
      <c r="E13" t="str">
        <f>'Input Scenarios'!E13</f>
        <v>gilts</v>
      </c>
      <c r="F13">
        <f>'Input Scenarios'!F13</f>
        <v>333</v>
      </c>
      <c r="G13">
        <f>'Input Scenarios'!G13</f>
        <v>200</v>
      </c>
      <c r="H13">
        <f>IF('Input Scenarios'!H13&lt;&gt;"", 'Input Scenarios'!H13, _xlfn.XLOOKUP($E13,Constants!$A$3:$A$6, Constants!B$3:B$6))</f>
        <v>2.5</v>
      </c>
      <c r="I13">
        <f>IF('Input Scenarios'!I13&lt;&gt;"", 'Input Scenarios'!I13, _xlfn.XLOOKUP($E13,Constants!$A$3:$A$6, Constants!C$3:C$6))</f>
        <v>0.55000000000000004</v>
      </c>
      <c r="J13">
        <f>IF('Input Scenarios'!J13&lt;&gt;"", 'Input Scenarios'!J13, _xlfn.XLOOKUP($E13,Constants!$A$3:$A$6, Constants!D$3:D$6))</f>
        <v>4.5999999999999999E-2</v>
      </c>
      <c r="K13">
        <f>'Input Scenarios'!K13</f>
        <v>0</v>
      </c>
      <c r="L13">
        <f>'Input Scenarios'!L13</f>
        <v>0</v>
      </c>
      <c r="M13">
        <f>'Input Scenarios'!M13</f>
        <v>0</v>
      </c>
      <c r="N13">
        <f>'Input Scenarios'!N13</f>
        <v>0</v>
      </c>
      <c r="O13">
        <f>'Input Scenarios'!O13</f>
        <v>1</v>
      </c>
      <c r="P13">
        <f>'Input Scenarios'!P13</f>
        <v>0</v>
      </c>
      <c r="Q13" t="b">
        <f>'Input Scenarios'!Q13</f>
        <v>0</v>
      </c>
      <c r="R13">
        <f>IF('Input Scenarios'!$R13&lt;&gt;"", 'Input Scenarios'!$R13, IF($Q13, Constants!$B$19, 0))</f>
        <v>0</v>
      </c>
      <c r="S13">
        <f>IF('Input Scenarios'!$R13&lt;&gt;"", 'Input Scenarios'!$R13, IF($Q13, Constants!$B$20, 0))</f>
        <v>0</v>
      </c>
      <c r="T13">
        <f t="shared" si="8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1</v>
      </c>
      <c r="Y13">
        <f t="shared" si="13"/>
        <v>0</v>
      </c>
      <c r="Z13">
        <f>Constants!$B$21</f>
        <v>0.19</v>
      </c>
      <c r="AA13">
        <f>Constants!$B$22</f>
        <v>0.6784</v>
      </c>
      <c r="AB13">
        <f>_xlfn.XLOOKUP($A13,Constants!$F$9:$M$9,Constants!$F$10:$M$10)</f>
        <v>0.75</v>
      </c>
      <c r="AC13">
        <f>_xlfn.XLOOKUP($A13,Constants!$F$9:$M$9,Constants!$F$12:$M$12)</f>
        <v>0.01</v>
      </c>
      <c r="AD13">
        <f>_xlfn.XLOOKUP($A13,Constants!$F$9:$M$9,Constants!$F$13:$M$13)</f>
        <v>0.1</v>
      </c>
      <c r="AE13">
        <f>_xlfn.XLOOKUP($A13,Constants!$F$9:$M$9,Constants!$F$14:$M$14)</f>
        <v>0.04</v>
      </c>
      <c r="AF13">
        <f>_xlfn.XLOOKUP($A13,Constants!$F$9:$M$9,Constants!$F$15:$M$15)</f>
        <v>0.03</v>
      </c>
      <c r="AG13">
        <f>_xlfn.XLOOKUP($A13,Constants!$F$9:$M$9,Constants!$F$11:$M$11)</f>
        <v>0.02</v>
      </c>
      <c r="AH13">
        <f>_xlfn.XLOOKUP($A13,Constants!$F$9:$M$9,Constants!$F$16:$M$16)</f>
        <v>0</v>
      </c>
      <c r="AI13">
        <f t="shared" si="14"/>
        <v>0</v>
      </c>
      <c r="AJ13">
        <f t="shared" si="15"/>
        <v>0</v>
      </c>
      <c r="AK13">
        <f t="shared" si="16"/>
        <v>0</v>
      </c>
      <c r="AL13">
        <f t="shared" si="17"/>
        <v>0</v>
      </c>
      <c r="AM13">
        <f>$I13*X13*AF13*$Z13*$AA13</f>
        <v>2.1267840000000001E-3</v>
      </c>
      <c r="AN13">
        <f t="shared" si="19"/>
        <v>0</v>
      </c>
      <c r="AO13">
        <f t="shared" si="20"/>
        <v>0.14164381439999998</v>
      </c>
      <c r="AP13">
        <f>Constants!$E$10</f>
        <v>0</v>
      </c>
      <c r="AQ13">
        <f>Constants!$E$12</f>
        <v>0</v>
      </c>
      <c r="AR13">
        <f>Constants!$E$13</f>
        <v>0.75</v>
      </c>
      <c r="AS13">
        <f>Constants!$E$14</f>
        <v>0.05</v>
      </c>
      <c r="AT13">
        <f>Constants!$E$15</f>
        <v>0</v>
      </c>
      <c r="AU13">
        <f>Constants!$E$11</f>
        <v>0</v>
      </c>
      <c r="AV13">
        <f t="shared" si="1"/>
        <v>0</v>
      </c>
      <c r="AW13">
        <f t="shared" si="21"/>
        <v>0</v>
      </c>
      <c r="AX13">
        <f t="shared" si="2"/>
        <v>0</v>
      </c>
      <c r="AY13">
        <f t="shared" si="3"/>
        <v>0</v>
      </c>
      <c r="AZ13">
        <f t="shared" si="4"/>
        <v>1</v>
      </c>
      <c r="BA13">
        <f t="shared" si="5"/>
        <v>0</v>
      </c>
      <c r="BB13">
        <f t="shared" si="6"/>
        <v>0.55000000000000004</v>
      </c>
      <c r="BC13">
        <f t="shared" si="22"/>
        <v>0</v>
      </c>
      <c r="BD13">
        <f t="shared" si="23"/>
        <v>0</v>
      </c>
      <c r="BE13">
        <f t="shared" si="24"/>
        <v>0.55000000000000004</v>
      </c>
      <c r="BF13">
        <f t="shared" si="25"/>
        <v>0</v>
      </c>
      <c r="BG13">
        <f t="shared" si="26"/>
        <v>0</v>
      </c>
      <c r="BH13">
        <f t="shared" si="27"/>
        <v>0</v>
      </c>
      <c r="BI13">
        <f t="shared" si="28"/>
        <v>0</v>
      </c>
      <c r="BJ13">
        <f t="shared" si="7"/>
        <v>0.14164381439999998</v>
      </c>
    </row>
    <row r="14" spans="1:63" s="2" customFormat="1" x14ac:dyDescent="0.2">
      <c r="A14" s="2" t="str">
        <f>'Input Scenarios'!A14</f>
        <v>NSW</v>
      </c>
      <c r="B14" s="2">
        <f>'Input Scenarios'!B14</f>
        <v>0</v>
      </c>
      <c r="C14" s="2" t="str">
        <f>'Input Scenarios'!C14</f>
        <v>Irrigated crop</v>
      </c>
      <c r="D14" s="2" t="b">
        <f>'Input Scenarios'!D14</f>
        <v>1</v>
      </c>
      <c r="E14" s="2" t="str">
        <f>'Input Scenarios'!E14</f>
        <v>others</v>
      </c>
      <c r="F14" s="2">
        <f>'Input Scenarios'!F14</f>
        <v>444</v>
      </c>
      <c r="G14" s="2">
        <f>'Input Scenarios'!G14</f>
        <v>365</v>
      </c>
      <c r="H14">
        <f>IF('Input Scenarios'!H14&lt;&gt;"", 'Input Scenarios'!H14, _xlfn.XLOOKUP($E14,Constants!$A$3:$A$6, Constants!B$3:B$6))</f>
        <v>1.71</v>
      </c>
      <c r="I14">
        <f>IF('Input Scenarios'!I14&lt;&gt;"", 'Input Scenarios'!I14, _xlfn.XLOOKUP($E14,Constants!$A$3:$A$6, Constants!C$3:C$6))</f>
        <v>0.39</v>
      </c>
      <c r="J14">
        <f>IF('Input Scenarios'!J14&lt;&gt;"", 'Input Scenarios'!J14, _xlfn.XLOOKUP($E14,Constants!$A$3:$A$6, Constants!D$3:D$6))</f>
        <v>3.1232876712328769E-2</v>
      </c>
      <c r="K14" s="2">
        <f>'Input Scenarios'!K14</f>
        <v>0</v>
      </c>
      <c r="L14" s="2">
        <f>'Input Scenarios'!L14</f>
        <v>0</v>
      </c>
      <c r="M14" s="2">
        <f>'Input Scenarios'!M14</f>
        <v>0</v>
      </c>
      <c r="N14" s="2">
        <f>'Input Scenarios'!N14</f>
        <v>0</v>
      </c>
      <c r="O14" s="2">
        <f>'Input Scenarios'!O14</f>
        <v>1</v>
      </c>
      <c r="P14" s="2">
        <f>'Input Scenarios'!P14</f>
        <v>0</v>
      </c>
      <c r="Q14" s="2" t="b">
        <f>'Input Scenarios'!Q14</f>
        <v>0</v>
      </c>
      <c r="R14" s="2">
        <f>IF('Input Scenarios'!$R14&lt;&gt;"", 'Input Scenarios'!$R14, IF($Q14, Constants!$B$19, 0))</f>
        <v>0</v>
      </c>
      <c r="S14" s="2">
        <f>IF('Input Scenarios'!$R14&lt;&gt;"", 'Input Scenarios'!$R14, IF($Q14, Constants!$B$20, 0))</f>
        <v>0</v>
      </c>
      <c r="T14">
        <f t="shared" si="8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1</v>
      </c>
      <c r="Y14">
        <f t="shared" si="13"/>
        <v>0</v>
      </c>
      <c r="Z14" s="2">
        <f>Constants!$B$21</f>
        <v>0.19</v>
      </c>
      <c r="AA14" s="2">
        <f>Constants!$B$22</f>
        <v>0.6784</v>
      </c>
      <c r="AB14" s="2">
        <f>_xlfn.XLOOKUP($A14,Constants!$F$9:$M$9,Constants!$F$10:$M$10)</f>
        <v>0.75</v>
      </c>
      <c r="AC14" s="2">
        <f>_xlfn.XLOOKUP($A14,Constants!$F$9:$M$9,Constants!$F$12:$M$12)</f>
        <v>0.01</v>
      </c>
      <c r="AD14" s="2">
        <f>_xlfn.XLOOKUP($A14,Constants!$F$9:$M$9,Constants!$F$13:$M$13)</f>
        <v>0.1</v>
      </c>
      <c r="AE14" s="2">
        <f>_xlfn.XLOOKUP($A14,Constants!$F$9:$M$9,Constants!$F$14:$M$14)</f>
        <v>0.04</v>
      </c>
      <c r="AF14" s="2">
        <f>_xlfn.XLOOKUP($A14,Constants!$F$9:$M$9,Constants!$F$15:$M$15)</f>
        <v>0.03</v>
      </c>
      <c r="AG14" s="2">
        <f>_xlfn.XLOOKUP($A14,Constants!$F$9:$M$9,Constants!$F$11:$M$11)</f>
        <v>0.02</v>
      </c>
      <c r="AH14" s="2">
        <f>_xlfn.XLOOKUP($A14,Constants!$F$9:$M$9,Constants!$F$16:$M$16)</f>
        <v>0</v>
      </c>
      <c r="AI14">
        <f t="shared" si="14"/>
        <v>0</v>
      </c>
      <c r="AJ14">
        <f t="shared" si="15"/>
        <v>0</v>
      </c>
      <c r="AK14">
        <f t="shared" si="16"/>
        <v>0</v>
      </c>
      <c r="AL14">
        <f t="shared" si="17"/>
        <v>0</v>
      </c>
      <c r="AM14">
        <f t="shared" si="18"/>
        <v>1.5080832000000002E-3</v>
      </c>
      <c r="AN14">
        <f t="shared" si="19"/>
        <v>0</v>
      </c>
      <c r="AO14">
        <f t="shared" si="20"/>
        <v>0.24439996339200001</v>
      </c>
      <c r="AP14" s="2">
        <f>Constants!$E$10</f>
        <v>0</v>
      </c>
      <c r="AQ14" s="2">
        <f>Constants!$E$12</f>
        <v>0</v>
      </c>
      <c r="AR14" s="2">
        <f>Constants!$E$13</f>
        <v>0.75</v>
      </c>
      <c r="AS14" s="2">
        <f>Constants!$E$14</f>
        <v>0.05</v>
      </c>
      <c r="AT14" s="2">
        <f>Constants!$E$15</f>
        <v>0</v>
      </c>
      <c r="AU14" s="2">
        <f>Constants!$E$11</f>
        <v>0</v>
      </c>
      <c r="AV14">
        <f t="shared" si="1"/>
        <v>0</v>
      </c>
      <c r="AW14">
        <f t="shared" si="21"/>
        <v>0</v>
      </c>
      <c r="AX14">
        <f t="shared" si="2"/>
        <v>0</v>
      </c>
      <c r="AY14">
        <f t="shared" si="3"/>
        <v>0</v>
      </c>
      <c r="AZ14">
        <f t="shared" si="4"/>
        <v>1</v>
      </c>
      <c r="BA14">
        <f t="shared" si="5"/>
        <v>0</v>
      </c>
      <c r="BB14">
        <f t="shared" si="6"/>
        <v>0.39</v>
      </c>
      <c r="BC14">
        <f t="shared" si="22"/>
        <v>0</v>
      </c>
      <c r="BD14">
        <f t="shared" si="23"/>
        <v>0</v>
      </c>
      <c r="BE14">
        <f t="shared" si="24"/>
        <v>0.39</v>
      </c>
      <c r="BF14">
        <f t="shared" si="25"/>
        <v>0</v>
      </c>
      <c r="BG14">
        <f t="shared" si="26"/>
        <v>0</v>
      </c>
      <c r="BH14">
        <f t="shared" si="27"/>
        <v>0</v>
      </c>
      <c r="BI14">
        <f t="shared" si="28"/>
        <v>0</v>
      </c>
      <c r="BJ14">
        <f t="shared" si="7"/>
        <v>0.24439996339200001</v>
      </c>
    </row>
    <row r="15" spans="1:63" x14ac:dyDescent="0.2">
      <c r="A15" t="str">
        <f>'Input Scenarios'!A15</f>
        <v>NT</v>
      </c>
      <c r="B15">
        <f>'Input Scenarios'!B15</f>
        <v>0</v>
      </c>
      <c r="C15" t="str">
        <f>'Input Scenarios'!C15</f>
        <v>Irrigated pasture</v>
      </c>
      <c r="D15" t="b">
        <f>'Input Scenarios'!D15</f>
        <v>1</v>
      </c>
      <c r="E15" t="str">
        <f>'Input Scenarios'!E15</f>
        <v>boars</v>
      </c>
      <c r="F15">
        <f>'Input Scenarios'!F15</f>
        <v>105</v>
      </c>
      <c r="G15">
        <f>'Input Scenarios'!G15</f>
        <v>75</v>
      </c>
      <c r="H15">
        <f>IF('Input Scenarios'!H15&lt;&gt;"", 'Input Scenarios'!H15, _xlfn.XLOOKUP($E15,Constants!$A$3:$A$6, Constants!B$3:B$6))</f>
        <v>2.62</v>
      </c>
      <c r="I15">
        <f>IF('Input Scenarios'!I15&lt;&gt;"", 'Input Scenarios'!I15, _xlfn.XLOOKUP($E15,Constants!$A$3:$A$6, Constants!C$3:C$6))</f>
        <v>0.4</v>
      </c>
      <c r="J15">
        <f>IF('Input Scenarios'!J15&lt;&gt;"", 'Input Scenarios'!J15, _xlfn.XLOOKUP($E15,Constants!$A$3:$A$6, Constants!D$3:D$6))</f>
        <v>4.5999999999999999E-2</v>
      </c>
      <c r="K15">
        <f>'Input Scenarios'!K15</f>
        <v>0.2</v>
      </c>
      <c r="L15">
        <f>'Input Scenarios'!L15</f>
        <v>0.1</v>
      </c>
      <c r="M15">
        <f>'Input Scenarios'!M15</f>
        <v>0.2</v>
      </c>
      <c r="N15">
        <f>'Input Scenarios'!N15</f>
        <v>0.2</v>
      </c>
      <c r="O15">
        <f>'Input Scenarios'!O15</f>
        <v>0.2</v>
      </c>
      <c r="P15">
        <f>'Input Scenarios'!P15</f>
        <v>0.1</v>
      </c>
      <c r="Q15" t="b">
        <f>'Input Scenarios'!Q15</f>
        <v>1</v>
      </c>
      <c r="R15">
        <f>IF('Input Scenarios'!$R15&lt;&gt;"", 'Input Scenarios'!$R15, IF($Q15, Constants!$B$19, 0))</f>
        <v>0.25</v>
      </c>
      <c r="S15">
        <f>IF('Input Scenarios'!$R15&lt;&gt;"", 'Input Scenarios'!$R15, IF($Q15, Constants!$B$20, 0))</f>
        <v>0.25</v>
      </c>
      <c r="T15">
        <f t="shared" si="8"/>
        <v>0.15000000000000002</v>
      </c>
      <c r="U15">
        <f t="shared" si="9"/>
        <v>0.1</v>
      </c>
      <c r="V15">
        <f t="shared" si="10"/>
        <v>0.15000000000000002</v>
      </c>
      <c r="W15">
        <f t="shared" si="11"/>
        <v>0.2</v>
      </c>
      <c r="X15">
        <f t="shared" si="12"/>
        <v>0.15000000000000002</v>
      </c>
      <c r="Y15">
        <f t="shared" si="13"/>
        <v>0.25</v>
      </c>
      <c r="Z15">
        <f>Constants!$B$21</f>
        <v>0.19</v>
      </c>
      <c r="AA15">
        <f>Constants!$B$22</f>
        <v>0.6784</v>
      </c>
      <c r="AB15">
        <f>_xlfn.XLOOKUP($A15,Constants!$F$9:$M$9,Constants!$F$10:$M$10)</f>
        <v>0.78</v>
      </c>
      <c r="AC15">
        <f>_xlfn.XLOOKUP($A15,Constants!$F$9:$M$9,Constants!$F$12:$M$12)</f>
        <v>0.03</v>
      </c>
      <c r="AD15">
        <f>_xlfn.XLOOKUP($A15,Constants!$F$9:$M$9,Constants!$F$13:$M$13)</f>
        <v>0.1</v>
      </c>
      <c r="AE15">
        <f>_xlfn.XLOOKUP($A15,Constants!$F$9:$M$9,Constants!$F$14:$M$14)</f>
        <v>0.04</v>
      </c>
      <c r="AF15">
        <f>_xlfn.XLOOKUP($A15,Constants!$F$9:$M$9,Constants!$F$15:$M$15)</f>
        <v>0.03</v>
      </c>
      <c r="AG15">
        <f>_xlfn.XLOOKUP($A15,Constants!$F$9:$M$9,Constants!$F$11:$M$11)</f>
        <v>0.02</v>
      </c>
      <c r="AH15">
        <f>_xlfn.XLOOKUP($A15,Constants!$F$9:$M$9,Constants!$F$16:$M$16)</f>
        <v>0</v>
      </c>
      <c r="AI15">
        <f t="shared" si="14"/>
        <v>6.0323328000000016E-3</v>
      </c>
      <c r="AJ15">
        <f t="shared" si="15"/>
        <v>1.5467520000000002E-4</v>
      </c>
      <c r="AK15">
        <f t="shared" si="16"/>
        <v>7.7337600000000031E-4</v>
      </c>
      <c r="AL15">
        <f>$I15*W15*AE15*$Z15*$AA15</f>
        <v>4.1246720000000009E-4</v>
      </c>
      <c r="AM15">
        <f t="shared" si="18"/>
        <v>2.3201280000000006E-4</v>
      </c>
      <c r="AN15">
        <f t="shared" si="19"/>
        <v>2.5779200000000001E-4</v>
      </c>
      <c r="AO15">
        <f>(SUM(AI15:AN15)*F15*G15)/1000</f>
        <v>6.1918416000000018E-2</v>
      </c>
      <c r="AP15">
        <f>Constants!$E$10</f>
        <v>0</v>
      </c>
      <c r="AQ15">
        <f>Constants!$E$12</f>
        <v>0</v>
      </c>
      <c r="AR15">
        <f>Constants!$E$13</f>
        <v>0.75</v>
      </c>
      <c r="AS15">
        <f>Constants!$E$14</f>
        <v>0.05</v>
      </c>
      <c r="AT15">
        <f>Constants!$E$15</f>
        <v>0</v>
      </c>
      <c r="AU15">
        <f>Constants!$E$11</f>
        <v>0</v>
      </c>
      <c r="AV15">
        <f>(T15*(1-AP15))</f>
        <v>0.15000000000000002</v>
      </c>
      <c r="AW15">
        <f t="shared" ref="AW15:BA15" si="29">(U15*(1-AQ15))</f>
        <v>0.1</v>
      </c>
      <c r="AX15">
        <f t="shared" si="29"/>
        <v>3.7500000000000006E-2</v>
      </c>
      <c r="AY15">
        <f t="shared" si="29"/>
        <v>0.19</v>
      </c>
      <c r="AZ15">
        <f t="shared" si="29"/>
        <v>0.15000000000000002</v>
      </c>
      <c r="BA15">
        <f t="shared" si="29"/>
        <v>0.25</v>
      </c>
      <c r="BB15">
        <f>SUM(AV15:BA15)*I15</f>
        <v>0.35099999999999998</v>
      </c>
      <c r="BC15">
        <f>AX15*$I15</f>
        <v>1.5000000000000003E-2</v>
      </c>
      <c r="BD15">
        <f t="shared" si="23"/>
        <v>7.6000000000000012E-2</v>
      </c>
      <c r="BE15">
        <f t="shared" si="24"/>
        <v>0.26</v>
      </c>
      <c r="BF15">
        <f t="shared" si="25"/>
        <v>1.5080832000000004E-3</v>
      </c>
      <c r="BG15">
        <f t="shared" si="26"/>
        <v>1.9592192000000006E-4</v>
      </c>
      <c r="BH15">
        <f t="shared" si="27"/>
        <v>0</v>
      </c>
      <c r="BI15">
        <f t="shared" si="28"/>
        <v>1.3419040320000006E-2</v>
      </c>
      <c r="BJ15">
        <f>SUM(AI15:AN15, BF15:BH15)*F15*G15/1000</f>
        <v>7.533745632000001E-2</v>
      </c>
      <c r="BK15">
        <f t="shared" ref="BK12:BK26" si="30">SUM(BJ15:BJ18)</f>
        <v>2.5745176573171205</v>
      </c>
    </row>
    <row r="16" spans="1:63" x14ac:dyDescent="0.2">
      <c r="A16" t="str">
        <f>'Input Scenarios'!A16</f>
        <v>NT</v>
      </c>
      <c r="B16">
        <f>'Input Scenarios'!B16</f>
        <v>0</v>
      </c>
      <c r="C16" t="str">
        <f>'Input Scenarios'!C16</f>
        <v>Irrigated pasture</v>
      </c>
      <c r="D16" t="b">
        <f>'Input Scenarios'!D16</f>
        <v>1</v>
      </c>
      <c r="E16" t="str">
        <f>'Input Scenarios'!E16</f>
        <v>sows</v>
      </c>
      <c r="F16">
        <f>'Input Scenarios'!F16</f>
        <v>245</v>
      </c>
      <c r="G16">
        <f>'Input Scenarios'!G16</f>
        <v>290</v>
      </c>
      <c r="H16">
        <f>IF('Input Scenarios'!H16&lt;&gt;"", 'Input Scenarios'!H16, _xlfn.XLOOKUP($E16,Constants!$A$3:$A$6, Constants!B$3:B$6))</f>
        <v>2.2999999999999998</v>
      </c>
      <c r="I16">
        <f>IF('Input Scenarios'!I16&lt;&gt;"", 'Input Scenarios'!I16, _xlfn.XLOOKUP($E16,Constants!$A$3:$A$6, Constants!C$3:C$6))</f>
        <v>0.46</v>
      </c>
      <c r="J16">
        <f>IF('Input Scenarios'!J16&lt;&gt;"", 'Input Scenarios'!J16, _xlfn.XLOOKUP($E16,Constants!$A$3:$A$6, Constants!D$3:D$6))</f>
        <v>4.9000000000000002E-2</v>
      </c>
      <c r="K16">
        <f>'Input Scenarios'!K16</f>
        <v>0.2</v>
      </c>
      <c r="L16">
        <f>'Input Scenarios'!L16</f>
        <v>0.1</v>
      </c>
      <c r="M16">
        <f>'Input Scenarios'!M16</f>
        <v>0.2</v>
      </c>
      <c r="N16">
        <f>'Input Scenarios'!N16</f>
        <v>0.2</v>
      </c>
      <c r="O16">
        <f>'Input Scenarios'!O16</f>
        <v>0.2</v>
      </c>
      <c r="P16">
        <f>'Input Scenarios'!P16</f>
        <v>0.1</v>
      </c>
      <c r="Q16" t="b">
        <f>'Input Scenarios'!Q16</f>
        <v>1</v>
      </c>
      <c r="R16">
        <f>IF('Input Scenarios'!$R16&lt;&gt;"", 'Input Scenarios'!$R16, IF($Q16, Constants!$B$19, 0))</f>
        <v>0.25</v>
      </c>
      <c r="S16">
        <f>IF('Input Scenarios'!$R16&lt;&gt;"", 'Input Scenarios'!$R16, IF($Q16, Constants!$B$20, 0))</f>
        <v>0.25</v>
      </c>
      <c r="T16">
        <f t="shared" si="8"/>
        <v>0.15000000000000002</v>
      </c>
      <c r="U16">
        <f t="shared" si="9"/>
        <v>0.1</v>
      </c>
      <c r="V16">
        <f t="shared" si="10"/>
        <v>0.15000000000000002</v>
      </c>
      <c r="W16">
        <f t="shared" si="11"/>
        <v>0.2</v>
      </c>
      <c r="X16">
        <f t="shared" si="12"/>
        <v>0.15000000000000002</v>
      </c>
      <c r="Y16">
        <f t="shared" si="13"/>
        <v>0.25</v>
      </c>
      <c r="Z16">
        <f>Constants!$B$21</f>
        <v>0.19</v>
      </c>
      <c r="AA16">
        <f>Constants!$B$22</f>
        <v>0.6784</v>
      </c>
      <c r="AB16">
        <f>_xlfn.XLOOKUP($A16,Constants!$F$9:$M$9,Constants!$F$10:$M$10)</f>
        <v>0.78</v>
      </c>
      <c r="AC16">
        <f>_xlfn.XLOOKUP($A16,Constants!$F$9:$M$9,Constants!$F$12:$M$12)</f>
        <v>0.03</v>
      </c>
      <c r="AD16">
        <f>_xlfn.XLOOKUP($A16,Constants!$F$9:$M$9,Constants!$F$13:$M$13)</f>
        <v>0.1</v>
      </c>
      <c r="AE16">
        <f>_xlfn.XLOOKUP($A16,Constants!$F$9:$M$9,Constants!$F$14:$M$14)</f>
        <v>0.04</v>
      </c>
      <c r="AF16">
        <f>_xlfn.XLOOKUP($A16,Constants!$F$9:$M$9,Constants!$F$15:$M$15)</f>
        <v>0.03</v>
      </c>
      <c r="AG16">
        <f>_xlfn.XLOOKUP($A16,Constants!$F$9:$M$9,Constants!$F$11:$M$11)</f>
        <v>0.02</v>
      </c>
      <c r="AH16">
        <f>_xlfn.XLOOKUP($A16,Constants!$F$9:$M$9,Constants!$F$16:$M$16)</f>
        <v>0</v>
      </c>
      <c r="AI16">
        <f t="shared" si="14"/>
        <v>6.9371827200000024E-3</v>
      </c>
      <c r="AJ16">
        <f t="shared" si="15"/>
        <v>1.7787648000000002E-4</v>
      </c>
      <c r="AK16">
        <f t="shared" si="16"/>
        <v>8.8938240000000033E-4</v>
      </c>
      <c r="AL16">
        <f t="shared" si="17"/>
        <v>4.7433728000000004E-4</v>
      </c>
      <c r="AM16">
        <f t="shared" si="18"/>
        <v>2.6681472000000009E-4</v>
      </c>
      <c r="AN16">
        <f t="shared" si="19"/>
        <v>2.9646080000000002E-4</v>
      </c>
      <c r="AO16">
        <f t="shared" si="20"/>
        <v>0.64243796512000018</v>
      </c>
      <c r="AP16">
        <f>Constants!$E$10</f>
        <v>0</v>
      </c>
      <c r="AQ16">
        <f>Constants!$E$12</f>
        <v>0</v>
      </c>
      <c r="AR16">
        <f>Constants!$E$13</f>
        <v>0.75</v>
      </c>
      <c r="AS16">
        <f>Constants!$E$14</f>
        <v>0.05</v>
      </c>
      <c r="AT16">
        <f>Constants!$E$15</f>
        <v>0</v>
      </c>
      <c r="AU16">
        <f>Constants!$E$11</f>
        <v>0</v>
      </c>
      <c r="AV16">
        <f t="shared" ref="AV16:AV26" si="31">(T16*(1-AP16))</f>
        <v>0.15000000000000002</v>
      </c>
      <c r="AW16">
        <f t="shared" ref="AW16:AW26" si="32">(U16*(1-AQ16))</f>
        <v>0.1</v>
      </c>
      <c r="AX16">
        <f t="shared" ref="AX16:AX26" si="33">(V16*(1-AR16))</f>
        <v>3.7500000000000006E-2</v>
      </c>
      <c r="AY16">
        <f t="shared" ref="AY16:AY26" si="34">(W16*(1-AS16))</f>
        <v>0.19</v>
      </c>
      <c r="AZ16">
        <f t="shared" ref="AZ16:AZ26" si="35">(X16*(1-AT16))</f>
        <v>0.15000000000000002</v>
      </c>
      <c r="BA16">
        <f t="shared" ref="BA16:BA26" si="36">(Y16*(1-AU16))</f>
        <v>0.25</v>
      </c>
      <c r="BB16">
        <f t="shared" ref="BB16:BB26" si="37">SUM(AV16:BA16)*I16</f>
        <v>0.40365000000000001</v>
      </c>
      <c r="BC16">
        <f t="shared" si="22"/>
        <v>1.7250000000000005E-2</v>
      </c>
      <c r="BD16">
        <f t="shared" si="23"/>
        <v>8.7400000000000005E-2</v>
      </c>
      <c r="BE16">
        <f t="shared" si="24"/>
        <v>0.29900000000000004</v>
      </c>
      <c r="BF16">
        <f t="shared" si="25"/>
        <v>1.7342956800000006E-3</v>
      </c>
      <c r="BG16">
        <f t="shared" si="26"/>
        <v>2.2531020800000003E-4</v>
      </c>
      <c r="BH16">
        <f t="shared" si="27"/>
        <v>0</v>
      </c>
      <c r="BI16">
        <f t="shared" si="28"/>
        <v>0.13922999834240002</v>
      </c>
      <c r="BJ16">
        <f t="shared" ref="BJ16:BJ26" si="38">SUM(AI16:AN16, BF16:BH16)*F16*G16/1000</f>
        <v>0.78166796346240031</v>
      </c>
    </row>
    <row r="17" spans="1:63" x14ac:dyDescent="0.2">
      <c r="A17" t="str">
        <f>'Input Scenarios'!A17</f>
        <v>NT</v>
      </c>
      <c r="B17">
        <f>'Input Scenarios'!B17</f>
        <v>0</v>
      </c>
      <c r="C17" t="str">
        <f>'Input Scenarios'!C17</f>
        <v>Irrigated pasture</v>
      </c>
      <c r="D17" t="b">
        <f>'Input Scenarios'!D17</f>
        <v>1</v>
      </c>
      <c r="E17" t="str">
        <f>'Input Scenarios'!E17</f>
        <v>gilts</v>
      </c>
      <c r="F17">
        <f>'Input Scenarios'!F17</f>
        <v>434</v>
      </c>
      <c r="G17">
        <f>'Input Scenarios'!G17</f>
        <v>280</v>
      </c>
      <c r="H17">
        <f>IF('Input Scenarios'!H17&lt;&gt;"", 'Input Scenarios'!H17, _xlfn.XLOOKUP($E17,Constants!$A$3:$A$6, Constants!B$3:B$6))</f>
        <v>2.5</v>
      </c>
      <c r="I17">
        <f>IF('Input Scenarios'!I17&lt;&gt;"", 'Input Scenarios'!I17, _xlfn.XLOOKUP($E17,Constants!$A$3:$A$6, Constants!C$3:C$6))</f>
        <v>0.55000000000000004</v>
      </c>
      <c r="J17">
        <f>IF('Input Scenarios'!J17&lt;&gt;"", 'Input Scenarios'!J17, _xlfn.XLOOKUP($E17,Constants!$A$3:$A$6, Constants!D$3:D$6))</f>
        <v>4.5999999999999999E-2</v>
      </c>
      <c r="K17">
        <f>'Input Scenarios'!K17</f>
        <v>0.2</v>
      </c>
      <c r="L17">
        <f>'Input Scenarios'!L17</f>
        <v>0.1</v>
      </c>
      <c r="M17">
        <f>'Input Scenarios'!M17</f>
        <v>0.2</v>
      </c>
      <c r="N17">
        <f>'Input Scenarios'!N17</f>
        <v>0.2</v>
      </c>
      <c r="O17">
        <f>'Input Scenarios'!O17</f>
        <v>0.2</v>
      </c>
      <c r="P17">
        <f>'Input Scenarios'!P17</f>
        <v>0.1</v>
      </c>
      <c r="Q17" t="b">
        <f>'Input Scenarios'!Q17</f>
        <v>1</v>
      </c>
      <c r="R17">
        <f>IF('Input Scenarios'!$R17&lt;&gt;"", 'Input Scenarios'!$R17, IF($Q17, Constants!$B$19, 0))</f>
        <v>0.25</v>
      </c>
      <c r="S17">
        <f>IF('Input Scenarios'!$R17&lt;&gt;"", 'Input Scenarios'!$R17, IF($Q17, Constants!$B$20, 0))</f>
        <v>0.25</v>
      </c>
      <c r="T17">
        <f t="shared" si="8"/>
        <v>0.15000000000000002</v>
      </c>
      <c r="U17">
        <f t="shared" si="9"/>
        <v>0.1</v>
      </c>
      <c r="V17">
        <f t="shared" si="10"/>
        <v>0.15000000000000002</v>
      </c>
      <c r="W17">
        <f t="shared" si="11"/>
        <v>0.2</v>
      </c>
      <c r="X17">
        <f t="shared" si="12"/>
        <v>0.15000000000000002</v>
      </c>
      <c r="Y17">
        <f t="shared" si="13"/>
        <v>0.25</v>
      </c>
      <c r="Z17">
        <f>Constants!$B$21</f>
        <v>0.19</v>
      </c>
      <c r="AA17">
        <f>Constants!$B$22</f>
        <v>0.6784</v>
      </c>
      <c r="AB17">
        <f>_xlfn.XLOOKUP($A17,Constants!$F$9:$M$9,Constants!$F$10:$M$10)</f>
        <v>0.78</v>
      </c>
      <c r="AC17">
        <f>_xlfn.XLOOKUP($A17,Constants!$F$9:$M$9,Constants!$F$12:$M$12)</f>
        <v>0.03</v>
      </c>
      <c r="AD17">
        <f>_xlfn.XLOOKUP($A17,Constants!$F$9:$M$9,Constants!$F$13:$M$13)</f>
        <v>0.1</v>
      </c>
      <c r="AE17">
        <f>_xlfn.XLOOKUP($A17,Constants!$F$9:$M$9,Constants!$F$14:$M$14)</f>
        <v>0.04</v>
      </c>
      <c r="AF17">
        <f>_xlfn.XLOOKUP($A17,Constants!$F$9:$M$9,Constants!$F$15:$M$15)</f>
        <v>0.03</v>
      </c>
      <c r="AG17">
        <f>_xlfn.XLOOKUP($A17,Constants!$F$9:$M$9,Constants!$F$11:$M$11)</f>
        <v>0.02</v>
      </c>
      <c r="AH17">
        <f>_xlfn.XLOOKUP($A17,Constants!$F$9:$M$9,Constants!$F$16:$M$16)</f>
        <v>0</v>
      </c>
      <c r="AI17">
        <f t="shared" si="14"/>
        <v>8.2944576000000027E-3</v>
      </c>
      <c r="AJ17">
        <f t="shared" si="15"/>
        <v>2.1267840000000003E-4</v>
      </c>
      <c r="AK17">
        <f t="shared" si="16"/>
        <v>1.0633920000000002E-3</v>
      </c>
      <c r="AL17">
        <f t="shared" si="17"/>
        <v>5.671424E-4</v>
      </c>
      <c r="AM17">
        <f t="shared" si="18"/>
        <v>3.1901760000000009E-4</v>
      </c>
      <c r="AN17">
        <f t="shared" si="19"/>
        <v>3.5446400000000003E-4</v>
      </c>
      <c r="AO17">
        <f t="shared" si="20"/>
        <v>1.3137711910400003</v>
      </c>
      <c r="AP17">
        <f>Constants!$E$10</f>
        <v>0</v>
      </c>
      <c r="AQ17">
        <f>Constants!$E$12</f>
        <v>0</v>
      </c>
      <c r="AR17">
        <f>Constants!$E$13</f>
        <v>0.75</v>
      </c>
      <c r="AS17">
        <f>Constants!$E$14</f>
        <v>0.05</v>
      </c>
      <c r="AT17">
        <f>Constants!$E$15</f>
        <v>0</v>
      </c>
      <c r="AU17">
        <f>Constants!$E$11</f>
        <v>0</v>
      </c>
      <c r="AV17">
        <f t="shared" si="31"/>
        <v>0.15000000000000002</v>
      </c>
      <c r="AW17">
        <f t="shared" si="32"/>
        <v>0.1</v>
      </c>
      <c r="AX17">
        <f t="shared" si="33"/>
        <v>3.7500000000000006E-2</v>
      </c>
      <c r="AY17">
        <f t="shared" si="34"/>
        <v>0.19</v>
      </c>
      <c r="AZ17">
        <f t="shared" si="35"/>
        <v>0.15000000000000002</v>
      </c>
      <c r="BA17">
        <f t="shared" si="36"/>
        <v>0.25</v>
      </c>
      <c r="BB17">
        <f t="shared" si="37"/>
        <v>0.48262500000000003</v>
      </c>
      <c r="BC17">
        <f t="shared" si="22"/>
        <v>2.0625000000000004E-2</v>
      </c>
      <c r="BD17">
        <f t="shared" si="23"/>
        <v>0.10450000000000001</v>
      </c>
      <c r="BE17">
        <f t="shared" si="24"/>
        <v>0.35750000000000004</v>
      </c>
      <c r="BF17">
        <f t="shared" si="25"/>
        <v>2.0736144000000007E-3</v>
      </c>
      <c r="BG17">
        <f t="shared" si="26"/>
        <v>2.6939264000000002E-4</v>
      </c>
      <c r="BH17">
        <f t="shared" si="27"/>
        <v>0</v>
      </c>
      <c r="BI17">
        <f t="shared" si="28"/>
        <v>0.28472221550080007</v>
      </c>
      <c r="BJ17">
        <f t="shared" si="38"/>
        <v>1.5984934065408003</v>
      </c>
    </row>
    <row r="18" spans="1:63" s="2" customFormat="1" x14ac:dyDescent="0.2">
      <c r="A18" s="2" t="str">
        <f>'Input Scenarios'!A18</f>
        <v>NT</v>
      </c>
      <c r="B18" s="2">
        <f>'Input Scenarios'!B18</f>
        <v>0</v>
      </c>
      <c r="C18" s="2" t="str">
        <f>'Input Scenarios'!C18</f>
        <v>Irrigated pasture</v>
      </c>
      <c r="D18" s="2" t="b">
        <f>'Input Scenarios'!D18</f>
        <v>1</v>
      </c>
      <c r="E18" s="2" t="str">
        <f>'Input Scenarios'!E18</f>
        <v>others</v>
      </c>
      <c r="F18" s="2">
        <f>'Input Scenarios'!F18</f>
        <v>44</v>
      </c>
      <c r="G18" s="2">
        <f>'Input Scenarios'!G18</f>
        <v>290</v>
      </c>
      <c r="H18">
        <f>IF('Input Scenarios'!H18&lt;&gt;"", 'Input Scenarios'!H18, _xlfn.XLOOKUP($E18,Constants!$A$3:$A$6, Constants!B$3:B$6))</f>
        <v>1.71</v>
      </c>
      <c r="I18">
        <f>IF('Input Scenarios'!I18&lt;&gt;"", 'Input Scenarios'!I18, _xlfn.XLOOKUP($E18,Constants!$A$3:$A$6, Constants!C$3:C$6))</f>
        <v>0.39</v>
      </c>
      <c r="J18">
        <f>IF('Input Scenarios'!J18&lt;&gt;"", 'Input Scenarios'!J18, _xlfn.XLOOKUP($E18,Constants!$A$3:$A$6, Constants!D$3:D$6))</f>
        <v>3.1232876712328769E-2</v>
      </c>
      <c r="K18" s="2">
        <f>'Input Scenarios'!K18</f>
        <v>0.2</v>
      </c>
      <c r="L18" s="2">
        <f>'Input Scenarios'!L18</f>
        <v>0.1</v>
      </c>
      <c r="M18" s="2">
        <f>'Input Scenarios'!M18</f>
        <v>0.2</v>
      </c>
      <c r="N18" s="2">
        <f>'Input Scenarios'!N18</f>
        <v>0.2</v>
      </c>
      <c r="O18" s="2">
        <f>'Input Scenarios'!O18</f>
        <v>0.2</v>
      </c>
      <c r="P18" s="2">
        <f>'Input Scenarios'!P18</f>
        <v>0.1</v>
      </c>
      <c r="Q18" s="2" t="b">
        <f>'Input Scenarios'!Q18</f>
        <v>1</v>
      </c>
      <c r="R18" s="2">
        <f>IF('Input Scenarios'!$R18&lt;&gt;"", 'Input Scenarios'!$R18, IF($Q18, Constants!$B$19, 0))</f>
        <v>0.25</v>
      </c>
      <c r="S18" s="2">
        <f>IF('Input Scenarios'!$R18&lt;&gt;"", 'Input Scenarios'!$R18, IF($Q18, Constants!$B$20, 0))</f>
        <v>0.25</v>
      </c>
      <c r="T18">
        <f t="shared" si="8"/>
        <v>0.15000000000000002</v>
      </c>
      <c r="U18">
        <f t="shared" si="9"/>
        <v>0.1</v>
      </c>
      <c r="V18">
        <f t="shared" si="10"/>
        <v>0.15000000000000002</v>
      </c>
      <c r="W18">
        <f t="shared" si="11"/>
        <v>0.2</v>
      </c>
      <c r="X18">
        <f t="shared" si="12"/>
        <v>0.15000000000000002</v>
      </c>
      <c r="Y18">
        <f t="shared" si="13"/>
        <v>0.25</v>
      </c>
      <c r="Z18" s="2">
        <f>Constants!$B$21</f>
        <v>0.19</v>
      </c>
      <c r="AA18" s="2">
        <f>Constants!$B$22</f>
        <v>0.6784</v>
      </c>
      <c r="AB18" s="2">
        <f>_xlfn.XLOOKUP($A18,Constants!$F$9:$M$9,Constants!$F$10:$M$10)</f>
        <v>0.78</v>
      </c>
      <c r="AC18" s="2">
        <f>_xlfn.XLOOKUP($A18,Constants!$F$9:$M$9,Constants!$F$12:$M$12)</f>
        <v>0.03</v>
      </c>
      <c r="AD18" s="2">
        <f>_xlfn.XLOOKUP($A18,Constants!$F$9:$M$9,Constants!$F$13:$M$13)</f>
        <v>0.1</v>
      </c>
      <c r="AE18" s="2">
        <f>_xlfn.XLOOKUP($A18,Constants!$F$9:$M$9,Constants!$F$14:$M$14)</f>
        <v>0.04</v>
      </c>
      <c r="AF18" s="2">
        <f>_xlfn.XLOOKUP($A18,Constants!$F$9:$M$9,Constants!$F$15:$M$15)</f>
        <v>0.03</v>
      </c>
      <c r="AG18" s="2">
        <f>_xlfn.XLOOKUP($A18,Constants!$F$9:$M$9,Constants!$F$11:$M$11)</f>
        <v>0.02</v>
      </c>
      <c r="AH18" s="2">
        <f>_xlfn.XLOOKUP($A18,Constants!$F$9:$M$9,Constants!$F$16:$M$16)</f>
        <v>0</v>
      </c>
      <c r="AI18">
        <f t="shared" si="14"/>
        <v>5.8815244800000015E-3</v>
      </c>
      <c r="AJ18">
        <f t="shared" si="15"/>
        <v>1.5080832000000002E-4</v>
      </c>
      <c r="AK18">
        <f t="shared" si="16"/>
        <v>7.540416000000002E-4</v>
      </c>
      <c r="AL18">
        <f t="shared" si="17"/>
        <v>4.0215552000000016E-4</v>
      </c>
      <c r="AM18">
        <f t="shared" si="18"/>
        <v>2.2621248000000003E-4</v>
      </c>
      <c r="AN18">
        <f t="shared" si="19"/>
        <v>2.5134720000000003E-4</v>
      </c>
      <c r="AO18">
        <f t="shared" si="20"/>
        <v>9.7819303296000013E-2</v>
      </c>
      <c r="AP18" s="2">
        <f>Constants!$E$10</f>
        <v>0</v>
      </c>
      <c r="AQ18" s="2">
        <f>Constants!$E$12</f>
        <v>0</v>
      </c>
      <c r="AR18" s="2">
        <f>Constants!$E$13</f>
        <v>0.75</v>
      </c>
      <c r="AS18" s="2">
        <f>Constants!$E$14</f>
        <v>0.05</v>
      </c>
      <c r="AT18" s="2">
        <f>Constants!$E$15</f>
        <v>0</v>
      </c>
      <c r="AU18" s="2">
        <f>Constants!$E$11</f>
        <v>0</v>
      </c>
      <c r="AV18">
        <f t="shared" si="31"/>
        <v>0.15000000000000002</v>
      </c>
      <c r="AW18">
        <f t="shared" si="32"/>
        <v>0.1</v>
      </c>
      <c r="AX18">
        <f t="shared" si="33"/>
        <v>3.7500000000000006E-2</v>
      </c>
      <c r="AY18">
        <f t="shared" si="34"/>
        <v>0.19</v>
      </c>
      <c r="AZ18">
        <f t="shared" si="35"/>
        <v>0.15000000000000002</v>
      </c>
      <c r="BA18">
        <f t="shared" si="36"/>
        <v>0.25</v>
      </c>
      <c r="BB18">
        <f t="shared" si="37"/>
        <v>0.342225</v>
      </c>
      <c r="BC18">
        <f t="shared" si="22"/>
        <v>1.4625000000000003E-2</v>
      </c>
      <c r="BD18">
        <f t="shared" si="23"/>
        <v>7.4099999999999999E-2</v>
      </c>
      <c r="BE18">
        <f t="shared" si="24"/>
        <v>0.2535</v>
      </c>
      <c r="BF18">
        <f t="shared" si="25"/>
        <v>1.4703811200000004E-3</v>
      </c>
      <c r="BG18">
        <f t="shared" si="26"/>
        <v>1.9102387199999998E-4</v>
      </c>
      <c r="BH18">
        <f t="shared" si="27"/>
        <v>0</v>
      </c>
      <c r="BI18">
        <f t="shared" si="28"/>
        <v>2.1199527697920006E-2</v>
      </c>
      <c r="BJ18">
        <f t="shared" si="38"/>
        <v>0.11901883099392002</v>
      </c>
    </row>
    <row r="19" spans="1:63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pasture</v>
      </c>
      <c r="D19" t="b">
        <f>'Input Scenarios'!D19</f>
        <v>1</v>
      </c>
      <c r="E19" t="str">
        <f>'Input Scenarios'!E19</f>
        <v>boars</v>
      </c>
      <c r="F19">
        <f>'Input Scenarios'!F19</f>
        <v>1000</v>
      </c>
      <c r="G19">
        <f>'Input Scenarios'!G19</f>
        <v>100</v>
      </c>
      <c r="H19">
        <f>IF('Input Scenarios'!H19&lt;&gt;"", 'Input Scenarios'!H19, _xlfn.XLOOKUP($E19,Constants!$A$3:$A$6, Constants!B$3:B$6))</f>
        <v>2.62</v>
      </c>
      <c r="I19">
        <f>IF('Input Scenarios'!I19&lt;&gt;"", 'Input Scenarios'!I19, _xlfn.XLOOKUP($E19,Constants!$A$3:$A$6, Constants!C$3:C$6))</f>
        <v>0.4</v>
      </c>
      <c r="J19">
        <f>IF('Input Scenarios'!J19&lt;&gt;"", 'Input Scenarios'!J19, _xlfn.XLOOKUP($E19,Constants!$A$3:$A$6, Constants!D$3:D$6))</f>
        <v>4.5999999999999999E-2</v>
      </c>
      <c r="K19">
        <f>'Input Scenarios'!K19</f>
        <v>0</v>
      </c>
      <c r="L19">
        <f>'Input Scenarios'!L19</f>
        <v>0</v>
      </c>
      <c r="M19">
        <f>'Input Scenarios'!M19</f>
        <v>0</v>
      </c>
      <c r="N19">
        <f>'Input Scenarios'!N19</f>
        <v>0</v>
      </c>
      <c r="O19">
        <f>'Input Scenarios'!O19</f>
        <v>0</v>
      </c>
      <c r="P19">
        <f>'Input Scenarios'!P19</f>
        <v>0</v>
      </c>
      <c r="Q19" t="b">
        <f>'Input Scenarios'!Q19</f>
        <v>0</v>
      </c>
      <c r="R19">
        <f>IF('Input Scenarios'!$R19&lt;&gt;"", 'Input Scenarios'!$R19, IF($Q19, Constants!$B$19, 0))</f>
        <v>0</v>
      </c>
      <c r="S19">
        <f>IF('Input Scenarios'!$R19&lt;&gt;"", 'Input Scenarios'!$R19, IF($Q19, Constants!$B$20, 0))</f>
        <v>0</v>
      </c>
      <c r="T19">
        <f t="shared" si="8"/>
        <v>0</v>
      </c>
      <c r="U19">
        <f t="shared" si="9"/>
        <v>0</v>
      </c>
      <c r="V19">
        <f t="shared" si="10"/>
        <v>0</v>
      </c>
      <c r="W19">
        <f t="shared" si="11"/>
        <v>0</v>
      </c>
      <c r="X19">
        <f t="shared" si="12"/>
        <v>0</v>
      </c>
      <c r="Y19">
        <f t="shared" si="13"/>
        <v>0</v>
      </c>
      <c r="Z19">
        <f>Constants!$B$21</f>
        <v>0.19</v>
      </c>
      <c r="AA19">
        <f>Constants!$B$22</f>
        <v>0.6784</v>
      </c>
      <c r="AB19">
        <f>_xlfn.XLOOKUP($A19,Constants!$F$9:$M$9,Constants!$F$10:$M$10)</f>
        <v>0.78</v>
      </c>
      <c r="AC19">
        <f>_xlfn.XLOOKUP($A19,Constants!$F$9:$M$9,Constants!$F$12:$M$12)</f>
        <v>0.03</v>
      </c>
      <c r="AD19">
        <f>_xlfn.XLOOKUP($A19,Constants!$F$9:$M$9,Constants!$F$13:$M$13)</f>
        <v>0.1</v>
      </c>
      <c r="AE19">
        <f>_xlfn.XLOOKUP($A19,Constants!$F$9:$M$9,Constants!$F$14:$M$14)</f>
        <v>0.04</v>
      </c>
      <c r="AF19">
        <f>_xlfn.XLOOKUP($A19,Constants!$F$9:$M$9,Constants!$F$15:$M$15)</f>
        <v>0.03</v>
      </c>
      <c r="AG19">
        <f>_xlfn.XLOOKUP($A19,Constants!$F$9:$M$9,Constants!$F$11:$M$11)</f>
        <v>0.02</v>
      </c>
      <c r="AH19">
        <f>_xlfn.XLOOKUP($A19,Constants!$F$9:$M$9,Constants!$F$16:$M$16)</f>
        <v>0</v>
      </c>
      <c r="AI19">
        <f t="shared" si="14"/>
        <v>0</v>
      </c>
      <c r="AJ19">
        <f t="shared" si="15"/>
        <v>0</v>
      </c>
      <c r="AK19">
        <f t="shared" si="16"/>
        <v>0</v>
      </c>
      <c r="AL19">
        <f t="shared" si="17"/>
        <v>0</v>
      </c>
      <c r="AM19">
        <f t="shared" si="18"/>
        <v>0</v>
      </c>
      <c r="AN19">
        <f t="shared" si="19"/>
        <v>0</v>
      </c>
      <c r="AO19">
        <f t="shared" si="20"/>
        <v>0</v>
      </c>
      <c r="AP19">
        <f>Constants!$E$10</f>
        <v>0</v>
      </c>
      <c r="AQ19">
        <f>Constants!$E$12</f>
        <v>0</v>
      </c>
      <c r="AR19">
        <f>Constants!$E$13</f>
        <v>0.75</v>
      </c>
      <c r="AS19">
        <f>Constants!$E$14</f>
        <v>0.05</v>
      </c>
      <c r="AT19">
        <f>Constants!$E$15</f>
        <v>0</v>
      </c>
      <c r="AU19">
        <f>Constants!$E$11</f>
        <v>0</v>
      </c>
      <c r="AV19">
        <f t="shared" si="31"/>
        <v>0</v>
      </c>
      <c r="AW19">
        <f t="shared" si="32"/>
        <v>0</v>
      </c>
      <c r="AX19">
        <f t="shared" si="33"/>
        <v>0</v>
      </c>
      <c r="AY19">
        <f t="shared" si="34"/>
        <v>0</v>
      </c>
      <c r="AZ19">
        <f t="shared" si="35"/>
        <v>0</v>
      </c>
      <c r="BA19">
        <f t="shared" si="36"/>
        <v>0</v>
      </c>
      <c r="BB19">
        <f t="shared" si="37"/>
        <v>0</v>
      </c>
      <c r="BC19">
        <f t="shared" si="22"/>
        <v>0</v>
      </c>
      <c r="BD19">
        <f t="shared" si="23"/>
        <v>0</v>
      </c>
      <c r="BE19">
        <f t="shared" si="24"/>
        <v>0</v>
      </c>
      <c r="BF19">
        <f t="shared" si="25"/>
        <v>0</v>
      </c>
      <c r="BG19">
        <f t="shared" si="26"/>
        <v>0</v>
      </c>
      <c r="BH19">
        <f t="shared" si="27"/>
        <v>0</v>
      </c>
      <c r="BI19">
        <f t="shared" si="28"/>
        <v>0</v>
      </c>
      <c r="BJ19">
        <f t="shared" si="38"/>
        <v>0</v>
      </c>
      <c r="BK19">
        <f t="shared" si="30"/>
        <v>0</v>
      </c>
    </row>
    <row r="20" spans="1:63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pasture</v>
      </c>
      <c r="D20" t="b">
        <f>'Input Scenarios'!D20</f>
        <v>1</v>
      </c>
      <c r="E20" t="str">
        <f>'Input Scenarios'!E20</f>
        <v>sows</v>
      </c>
      <c r="F20">
        <f>'Input Scenarios'!F20</f>
        <v>233</v>
      </c>
      <c r="G20">
        <f>'Input Scenarios'!G20</f>
        <v>100</v>
      </c>
      <c r="H20">
        <f>IF('Input Scenarios'!H20&lt;&gt;"", 'Input Scenarios'!H20, _xlfn.XLOOKUP($E20,Constants!$A$3:$A$6, Constants!B$3:B$6))</f>
        <v>2.2999999999999998</v>
      </c>
      <c r="I20">
        <f>IF('Input Scenarios'!I20&lt;&gt;"", 'Input Scenarios'!I20, _xlfn.XLOOKUP($E20,Constants!$A$3:$A$6, Constants!C$3:C$6))</f>
        <v>0.46</v>
      </c>
      <c r="J20">
        <f>IF('Input Scenarios'!J20&lt;&gt;"", 'Input Scenarios'!J20, _xlfn.XLOOKUP($E20,Constants!$A$3:$A$6, Constants!D$3:D$6))</f>
        <v>4.9000000000000002E-2</v>
      </c>
      <c r="K20">
        <f>'Input Scenarios'!K20</f>
        <v>0</v>
      </c>
      <c r="L20">
        <f>'Input Scenarios'!L20</f>
        <v>0</v>
      </c>
      <c r="M20">
        <f>'Input Scenarios'!M20</f>
        <v>0</v>
      </c>
      <c r="N20">
        <f>'Input Scenarios'!N20</f>
        <v>0</v>
      </c>
      <c r="O20">
        <f>'Input Scenarios'!O20</f>
        <v>0</v>
      </c>
      <c r="P20">
        <f>'Input Scenarios'!P20</f>
        <v>0</v>
      </c>
      <c r="Q20" t="b">
        <f>'Input Scenarios'!Q20</f>
        <v>0</v>
      </c>
      <c r="R20">
        <f>IF('Input Scenarios'!$R20&lt;&gt;"", 'Input Scenarios'!$R20, IF($Q20, Constants!$B$19, 0))</f>
        <v>0</v>
      </c>
      <c r="S20">
        <f>IF('Input Scenarios'!$R20&lt;&gt;"", 'Input Scenarios'!$R20, IF($Q20, Constants!$B$20, 0))</f>
        <v>0</v>
      </c>
      <c r="T20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>Constants!$B$21</f>
        <v>0.19</v>
      </c>
      <c r="AA20">
        <f>Constants!$B$22</f>
        <v>0.6784</v>
      </c>
      <c r="AB20">
        <f>_xlfn.XLOOKUP($A20,Constants!$F$9:$M$9,Constants!$F$10:$M$10)</f>
        <v>0.78</v>
      </c>
      <c r="AC20">
        <f>_xlfn.XLOOKUP($A20,Constants!$F$9:$M$9,Constants!$F$12:$M$12)</f>
        <v>0.03</v>
      </c>
      <c r="AD20">
        <f>_xlfn.XLOOKUP($A20,Constants!$F$9:$M$9,Constants!$F$13:$M$13)</f>
        <v>0.1</v>
      </c>
      <c r="AE20">
        <f>_xlfn.XLOOKUP($A20,Constants!$F$9:$M$9,Constants!$F$14:$M$14)</f>
        <v>0.04</v>
      </c>
      <c r="AF20">
        <f>_xlfn.XLOOKUP($A20,Constants!$F$9:$M$9,Constants!$F$15:$M$15)</f>
        <v>0.03</v>
      </c>
      <c r="AG20">
        <f>_xlfn.XLOOKUP($A20,Constants!$F$9:$M$9,Constants!$F$11:$M$11)</f>
        <v>0.02</v>
      </c>
      <c r="AH20">
        <f>_xlfn.XLOOKUP($A20,Constants!$F$9:$M$9,Constants!$F$16:$M$16)</f>
        <v>0</v>
      </c>
      <c r="AI20">
        <f t="shared" si="14"/>
        <v>0</v>
      </c>
      <c r="AJ20">
        <f t="shared" si="15"/>
        <v>0</v>
      </c>
      <c r="AK20">
        <f t="shared" si="16"/>
        <v>0</v>
      </c>
      <c r="AL20">
        <f t="shared" si="17"/>
        <v>0</v>
      </c>
      <c r="AM20">
        <f t="shared" si="18"/>
        <v>0</v>
      </c>
      <c r="AN20">
        <f t="shared" si="19"/>
        <v>0</v>
      </c>
      <c r="AO20">
        <f t="shared" si="20"/>
        <v>0</v>
      </c>
      <c r="AP20">
        <f>Constants!$E$10</f>
        <v>0</v>
      </c>
      <c r="AQ20">
        <f>Constants!$E$12</f>
        <v>0</v>
      </c>
      <c r="AR20">
        <f>Constants!$E$13</f>
        <v>0.75</v>
      </c>
      <c r="AS20">
        <f>Constants!$E$14</f>
        <v>0.05</v>
      </c>
      <c r="AT20">
        <f>Constants!$E$15</f>
        <v>0</v>
      </c>
      <c r="AU20">
        <f>Constants!$E$11</f>
        <v>0</v>
      </c>
      <c r="AV20">
        <f t="shared" si="31"/>
        <v>0</v>
      </c>
      <c r="AW20">
        <f t="shared" si="32"/>
        <v>0</v>
      </c>
      <c r="AX20">
        <f t="shared" si="33"/>
        <v>0</v>
      </c>
      <c r="AY20">
        <f t="shared" si="34"/>
        <v>0</v>
      </c>
      <c r="AZ20">
        <f t="shared" si="35"/>
        <v>0</v>
      </c>
      <c r="BA20">
        <f t="shared" si="36"/>
        <v>0</v>
      </c>
      <c r="BB20">
        <f t="shared" si="37"/>
        <v>0</v>
      </c>
      <c r="BC20">
        <f t="shared" si="22"/>
        <v>0</v>
      </c>
      <c r="BD20">
        <f t="shared" si="23"/>
        <v>0</v>
      </c>
      <c r="BE20">
        <f t="shared" si="24"/>
        <v>0</v>
      </c>
      <c r="BF20">
        <f t="shared" si="25"/>
        <v>0</v>
      </c>
      <c r="BG20">
        <f t="shared" si="26"/>
        <v>0</v>
      </c>
      <c r="BH20">
        <f t="shared" si="27"/>
        <v>0</v>
      </c>
      <c r="BI20">
        <f t="shared" si="28"/>
        <v>0</v>
      </c>
      <c r="BJ20">
        <f t="shared" si="38"/>
        <v>0</v>
      </c>
    </row>
    <row r="21" spans="1:63" x14ac:dyDescent="0.2">
      <c r="A21" t="str">
        <f>'Input Scenarios'!A21</f>
        <v>QLD</v>
      </c>
      <c r="B21">
        <f>'Input Scenarios'!B21</f>
        <v>0</v>
      </c>
      <c r="C21" t="str">
        <f>'Input Scenarios'!C21</f>
        <v>Non-irrigated pasture</v>
      </c>
      <c r="D21" t="b">
        <f>'Input Scenarios'!D21</f>
        <v>1</v>
      </c>
      <c r="E21" t="str">
        <f>'Input Scenarios'!E21</f>
        <v>gilts</v>
      </c>
      <c r="F21">
        <f>'Input Scenarios'!F21</f>
        <v>923</v>
      </c>
      <c r="G21">
        <f>'Input Scenarios'!G21</f>
        <v>100</v>
      </c>
      <c r="H21">
        <f>IF('Input Scenarios'!H21&lt;&gt;"", 'Input Scenarios'!H21, _xlfn.XLOOKUP($E21,Constants!$A$3:$A$6, Constants!B$3:B$6))</f>
        <v>2.5</v>
      </c>
      <c r="I21">
        <f>IF('Input Scenarios'!I21&lt;&gt;"", 'Input Scenarios'!I21, _xlfn.XLOOKUP($E21,Constants!$A$3:$A$6, Constants!C$3:C$6))</f>
        <v>0.55000000000000004</v>
      </c>
      <c r="J21">
        <f>IF('Input Scenarios'!J21&lt;&gt;"", 'Input Scenarios'!J21, _xlfn.XLOOKUP($E21,Constants!$A$3:$A$6, Constants!D$3:D$6))</f>
        <v>4.5999999999999999E-2</v>
      </c>
      <c r="K21">
        <f>'Input Scenarios'!K21</f>
        <v>0</v>
      </c>
      <c r="L21">
        <f>'Input Scenarios'!L21</f>
        <v>0</v>
      </c>
      <c r="M21">
        <f>'Input Scenarios'!M21</f>
        <v>0</v>
      </c>
      <c r="N21">
        <f>'Input Scenarios'!N21</f>
        <v>0</v>
      </c>
      <c r="O21">
        <f>'Input Scenarios'!O21</f>
        <v>0</v>
      </c>
      <c r="P21">
        <f>'Input Scenarios'!P21</f>
        <v>0</v>
      </c>
      <c r="Q21" t="b">
        <f>'Input Scenarios'!Q21</f>
        <v>0</v>
      </c>
      <c r="R21">
        <f>IF('Input Scenarios'!$R21&lt;&gt;"", 'Input Scenarios'!$R21, IF($Q21, Constants!$B$19, 0))</f>
        <v>0</v>
      </c>
      <c r="S21">
        <f>IF('Input Scenarios'!$R21&lt;&gt;"", 'Input Scenarios'!$R21, IF($Q21, Constants!$B$20, 0))</f>
        <v>0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>Constants!$B$21</f>
        <v>0.19</v>
      </c>
      <c r="AA21">
        <f>Constants!$B$22</f>
        <v>0.6784</v>
      </c>
      <c r="AB21">
        <f>_xlfn.XLOOKUP($A21,Constants!$F$9:$M$9,Constants!$F$10:$M$10)</f>
        <v>0.78</v>
      </c>
      <c r="AC21">
        <f>_xlfn.XLOOKUP($A21,Constants!$F$9:$M$9,Constants!$F$12:$M$12)</f>
        <v>0.03</v>
      </c>
      <c r="AD21">
        <f>_xlfn.XLOOKUP($A21,Constants!$F$9:$M$9,Constants!$F$13:$M$13)</f>
        <v>0.1</v>
      </c>
      <c r="AE21">
        <f>_xlfn.XLOOKUP($A21,Constants!$F$9:$M$9,Constants!$F$14:$M$14)</f>
        <v>0.04</v>
      </c>
      <c r="AF21">
        <f>_xlfn.XLOOKUP($A21,Constants!$F$9:$M$9,Constants!$F$15:$M$15)</f>
        <v>0.03</v>
      </c>
      <c r="AG21">
        <f>_xlfn.XLOOKUP($A21,Constants!$F$9:$M$9,Constants!$F$11:$M$11)</f>
        <v>0.02</v>
      </c>
      <c r="AH21">
        <f>_xlfn.XLOOKUP($A21,Constants!$F$9:$M$9,Constants!$F$16:$M$16)</f>
        <v>0</v>
      </c>
      <c r="AI21">
        <f t="shared" si="14"/>
        <v>0</v>
      </c>
      <c r="AJ21">
        <f t="shared" si="15"/>
        <v>0</v>
      </c>
      <c r="AK21">
        <f t="shared" si="16"/>
        <v>0</v>
      </c>
      <c r="AL21">
        <f t="shared" si="17"/>
        <v>0</v>
      </c>
      <c r="AM21">
        <f t="shared" si="18"/>
        <v>0</v>
      </c>
      <c r="AN21">
        <f t="shared" si="19"/>
        <v>0</v>
      </c>
      <c r="AO21">
        <f t="shared" si="20"/>
        <v>0</v>
      </c>
      <c r="AP21">
        <f>Constants!$E$10</f>
        <v>0</v>
      </c>
      <c r="AQ21">
        <f>Constants!$E$12</f>
        <v>0</v>
      </c>
      <c r="AR21">
        <f>Constants!$E$13</f>
        <v>0.75</v>
      </c>
      <c r="AS21">
        <f>Constants!$E$14</f>
        <v>0.05</v>
      </c>
      <c r="AT21">
        <f>Constants!$E$15</f>
        <v>0</v>
      </c>
      <c r="AU21">
        <f>Constants!$E$11</f>
        <v>0</v>
      </c>
      <c r="AV21">
        <f t="shared" si="31"/>
        <v>0</v>
      </c>
      <c r="AW21">
        <f t="shared" si="32"/>
        <v>0</v>
      </c>
      <c r="AX21">
        <f t="shared" si="33"/>
        <v>0</v>
      </c>
      <c r="AY21">
        <f t="shared" si="34"/>
        <v>0</v>
      </c>
      <c r="AZ21">
        <f t="shared" si="35"/>
        <v>0</v>
      </c>
      <c r="BA21">
        <f t="shared" si="36"/>
        <v>0</v>
      </c>
      <c r="BB21">
        <f t="shared" si="37"/>
        <v>0</v>
      </c>
      <c r="BC21">
        <f t="shared" si="22"/>
        <v>0</v>
      </c>
      <c r="BD21">
        <f t="shared" si="23"/>
        <v>0</v>
      </c>
      <c r="BE21">
        <f t="shared" si="24"/>
        <v>0</v>
      </c>
      <c r="BF21">
        <f t="shared" si="25"/>
        <v>0</v>
      </c>
      <c r="BG21">
        <f t="shared" si="26"/>
        <v>0</v>
      </c>
      <c r="BH21">
        <f t="shared" si="27"/>
        <v>0</v>
      </c>
      <c r="BI21">
        <f t="shared" si="28"/>
        <v>0</v>
      </c>
      <c r="BJ21">
        <f t="shared" si="38"/>
        <v>0</v>
      </c>
    </row>
    <row r="22" spans="1:63" s="2" customFormat="1" x14ac:dyDescent="0.2">
      <c r="A22" s="2" t="str">
        <f>'Input Scenarios'!A22</f>
        <v>QLD</v>
      </c>
      <c r="B22" s="2">
        <f>'Input Scenarios'!B22</f>
        <v>0</v>
      </c>
      <c r="C22" s="2" t="str">
        <f>'Input Scenarios'!C22</f>
        <v>Non-irrigated pasture</v>
      </c>
      <c r="D22" s="2" t="b">
        <f>'Input Scenarios'!D22</f>
        <v>1</v>
      </c>
      <c r="E22" s="2" t="str">
        <f>'Input Scenarios'!E22</f>
        <v>others</v>
      </c>
      <c r="F22" s="2">
        <f>'Input Scenarios'!F22</f>
        <v>122</v>
      </c>
      <c r="G22" s="2">
        <f>'Input Scenarios'!G22</f>
        <v>100</v>
      </c>
      <c r="H22">
        <f>IF('Input Scenarios'!H22&lt;&gt;"", 'Input Scenarios'!H22, _xlfn.XLOOKUP($E22,Constants!$A$3:$A$6, Constants!B$3:B$6))</f>
        <v>1.71</v>
      </c>
      <c r="I22">
        <f>IF('Input Scenarios'!I22&lt;&gt;"", 'Input Scenarios'!I22, _xlfn.XLOOKUP($E22,Constants!$A$3:$A$6, Constants!C$3:C$6))</f>
        <v>0.39</v>
      </c>
      <c r="J22">
        <f>IF('Input Scenarios'!J22&lt;&gt;"", 'Input Scenarios'!J22, _xlfn.XLOOKUP($E22,Constants!$A$3:$A$6, Constants!D$3:D$6))</f>
        <v>3.1232876712328769E-2</v>
      </c>
      <c r="K22" s="2">
        <f>'Input Scenarios'!K22</f>
        <v>0</v>
      </c>
      <c r="L22" s="2">
        <f>'Input Scenarios'!L22</f>
        <v>0</v>
      </c>
      <c r="M22" s="2">
        <f>'Input Scenarios'!M22</f>
        <v>0</v>
      </c>
      <c r="N22" s="2">
        <f>'Input Scenarios'!N22</f>
        <v>0</v>
      </c>
      <c r="O22" s="2">
        <f>'Input Scenarios'!O22</f>
        <v>0</v>
      </c>
      <c r="P22" s="2">
        <f>'Input Scenarios'!P22</f>
        <v>0</v>
      </c>
      <c r="Q22" s="2" t="b">
        <f>'Input Scenarios'!Q22</f>
        <v>0</v>
      </c>
      <c r="R22" s="2">
        <f>IF('Input Scenarios'!$R22&lt;&gt;"", 'Input Scenarios'!$R22, IF($Q22, Constants!$B$19, 0))</f>
        <v>0</v>
      </c>
      <c r="S22" s="2">
        <f>IF('Input Scenarios'!$R22&lt;&gt;"", 'Input Scenarios'!$R22, IF($Q22, Constants!$B$20, 0))</f>
        <v>0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 s="2">
        <f>Constants!$B$21</f>
        <v>0.19</v>
      </c>
      <c r="AA22" s="2">
        <f>Constants!$B$22</f>
        <v>0.6784</v>
      </c>
      <c r="AB22" s="2">
        <f>_xlfn.XLOOKUP($A22,Constants!$F$9:$M$9,Constants!$F$10:$M$10)</f>
        <v>0.78</v>
      </c>
      <c r="AC22" s="2">
        <f>_xlfn.XLOOKUP($A22,Constants!$F$9:$M$9,Constants!$F$12:$M$12)</f>
        <v>0.03</v>
      </c>
      <c r="AD22" s="2">
        <f>_xlfn.XLOOKUP($A22,Constants!$F$9:$M$9,Constants!$F$13:$M$13)</f>
        <v>0.1</v>
      </c>
      <c r="AE22" s="2">
        <f>_xlfn.XLOOKUP($A22,Constants!$F$9:$M$9,Constants!$F$14:$M$14)</f>
        <v>0.04</v>
      </c>
      <c r="AF22" s="2">
        <f>_xlfn.XLOOKUP($A22,Constants!$F$9:$M$9,Constants!$F$15:$M$15)</f>
        <v>0.03</v>
      </c>
      <c r="AG22" s="2">
        <f>_xlfn.XLOOKUP($A22,Constants!$F$9:$M$9,Constants!$F$11:$M$11)</f>
        <v>0.02</v>
      </c>
      <c r="AH22" s="2">
        <f>_xlfn.XLOOKUP($A22,Constants!$F$9:$M$9,Constants!$F$16:$M$16)</f>
        <v>0</v>
      </c>
      <c r="AI22">
        <f t="shared" si="14"/>
        <v>0</v>
      </c>
      <c r="AJ22">
        <f t="shared" si="15"/>
        <v>0</v>
      </c>
      <c r="AK22">
        <f t="shared" si="16"/>
        <v>0</v>
      </c>
      <c r="AL22">
        <f t="shared" si="17"/>
        <v>0</v>
      </c>
      <c r="AM22">
        <f t="shared" si="18"/>
        <v>0</v>
      </c>
      <c r="AN22">
        <f t="shared" si="19"/>
        <v>0</v>
      </c>
      <c r="AO22">
        <f t="shared" si="20"/>
        <v>0</v>
      </c>
      <c r="AP22" s="2">
        <f>Constants!$E$10</f>
        <v>0</v>
      </c>
      <c r="AQ22" s="2">
        <f>Constants!$E$12</f>
        <v>0</v>
      </c>
      <c r="AR22" s="2">
        <f>Constants!$E$13</f>
        <v>0.75</v>
      </c>
      <c r="AS22" s="2">
        <f>Constants!$E$14</f>
        <v>0.05</v>
      </c>
      <c r="AT22" s="2">
        <f>Constants!$E$15</f>
        <v>0</v>
      </c>
      <c r="AU22" s="2">
        <f>Constants!$E$11</f>
        <v>0</v>
      </c>
      <c r="AV22">
        <f t="shared" si="31"/>
        <v>0</v>
      </c>
      <c r="AW22">
        <f t="shared" si="32"/>
        <v>0</v>
      </c>
      <c r="AX22">
        <f t="shared" si="33"/>
        <v>0</v>
      </c>
      <c r="AY22">
        <f t="shared" si="34"/>
        <v>0</v>
      </c>
      <c r="AZ22">
        <f t="shared" si="35"/>
        <v>0</v>
      </c>
      <c r="BA22">
        <f t="shared" si="36"/>
        <v>0</v>
      </c>
      <c r="BB22">
        <f t="shared" si="37"/>
        <v>0</v>
      </c>
      <c r="BC22">
        <f t="shared" si="22"/>
        <v>0</v>
      </c>
      <c r="BD22">
        <f t="shared" si="23"/>
        <v>0</v>
      </c>
      <c r="BE22">
        <f t="shared" si="24"/>
        <v>0</v>
      </c>
      <c r="BF22">
        <f t="shared" si="25"/>
        <v>0</v>
      </c>
      <c r="BG22">
        <f t="shared" si="26"/>
        <v>0</v>
      </c>
      <c r="BH22">
        <f t="shared" si="27"/>
        <v>0</v>
      </c>
      <c r="BI22">
        <f t="shared" si="28"/>
        <v>0</v>
      </c>
      <c r="BJ22">
        <f t="shared" si="38"/>
        <v>0</v>
      </c>
    </row>
    <row r="23" spans="1:63" x14ac:dyDescent="0.2">
      <c r="A23" t="str">
        <f>'Input Scenarios'!A23</f>
        <v>WA</v>
      </c>
      <c r="B23">
        <f>'Input Scenarios'!B23</f>
        <v>0</v>
      </c>
      <c r="C23" t="str">
        <f>'Input Scenarios'!C23</f>
        <v>Non-irrigated crop (low rainfall)</v>
      </c>
      <c r="D23" t="b">
        <f>'Input Scenarios'!D23</f>
        <v>0</v>
      </c>
      <c r="E23" t="str">
        <f>'Input Scenarios'!E23</f>
        <v>boars</v>
      </c>
      <c r="F23">
        <f>'Input Scenarios'!F23</f>
        <v>750</v>
      </c>
      <c r="G23">
        <f>'Input Scenarios'!G23</f>
        <v>200</v>
      </c>
      <c r="H23">
        <f>IF('Input Scenarios'!H23&lt;&gt;"", 'Input Scenarios'!H23, _xlfn.XLOOKUP($E23,Constants!$A$3:$A$6, Constants!B$3:B$6))</f>
        <v>2.62</v>
      </c>
      <c r="I23">
        <f>IF('Input Scenarios'!I23&lt;&gt;"", 'Input Scenarios'!I23, _xlfn.XLOOKUP($E23,Constants!$A$3:$A$6, Constants!C$3:C$6))</f>
        <v>0.4</v>
      </c>
      <c r="J23">
        <f>IF('Input Scenarios'!J23&lt;&gt;"", 'Input Scenarios'!J23, _xlfn.XLOOKUP($E23,Constants!$A$3:$A$6, Constants!D$3:D$6))</f>
        <v>4.5999999999999999E-2</v>
      </c>
      <c r="K23">
        <f>'Input Scenarios'!K23</f>
        <v>0</v>
      </c>
      <c r="L23">
        <f>'Input Scenarios'!L23</f>
        <v>0</v>
      </c>
      <c r="M23">
        <f>'Input Scenarios'!M23</f>
        <v>0</v>
      </c>
      <c r="N23">
        <f>'Input Scenarios'!N23</f>
        <v>0</v>
      </c>
      <c r="O23">
        <f>'Input Scenarios'!O23</f>
        <v>0</v>
      </c>
      <c r="P23">
        <f>'Input Scenarios'!P23</f>
        <v>0</v>
      </c>
      <c r="Q23" t="b">
        <f>'Input Scenarios'!Q23</f>
        <v>0</v>
      </c>
      <c r="R23">
        <f>IF('Input Scenarios'!$R23&lt;&gt;"", 'Input Scenarios'!$R23, IF($Q23, Constants!$B$19, 0))</f>
        <v>0</v>
      </c>
      <c r="S23">
        <f>IF('Input Scenarios'!$R23&lt;&gt;"", 'Input Scenarios'!$R23, IF($Q23, Constants!$B$20, 0))</f>
        <v>0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0</v>
      </c>
      <c r="X23">
        <f t="shared" si="12"/>
        <v>0</v>
      </c>
      <c r="Y23">
        <f t="shared" si="13"/>
        <v>0</v>
      </c>
      <c r="Z23">
        <f>Constants!$B$21</f>
        <v>0.19</v>
      </c>
      <c r="AA23">
        <f>Constants!$B$22</f>
        <v>0.6784</v>
      </c>
      <c r="AB23">
        <f>_xlfn.XLOOKUP($A23,Constants!$F$9:$M$9,Constants!$F$10:$M$10)</f>
        <v>0.76</v>
      </c>
      <c r="AC23">
        <f>_xlfn.XLOOKUP($A23,Constants!$F$9:$M$9,Constants!$F$12:$M$12)</f>
        <v>0.01</v>
      </c>
      <c r="AD23">
        <f>_xlfn.XLOOKUP($A23,Constants!$F$9:$M$9,Constants!$F$13:$M$13)</f>
        <v>0.1</v>
      </c>
      <c r="AE23">
        <f>_xlfn.XLOOKUP($A23,Constants!$F$9:$M$9,Constants!$F$14:$M$14)</f>
        <v>0.04</v>
      </c>
      <c r="AF23">
        <f>_xlfn.XLOOKUP($A23,Constants!$F$9:$M$9,Constants!$F$15:$M$15)</f>
        <v>0.03</v>
      </c>
      <c r="AG23">
        <f>_xlfn.XLOOKUP($A23,Constants!$F$9:$M$9,Constants!$F$11:$M$11)</f>
        <v>0.02</v>
      </c>
      <c r="AH23">
        <f>_xlfn.XLOOKUP($A23,Constants!$F$9:$M$9,Constants!$F$16:$M$16)</f>
        <v>0</v>
      </c>
      <c r="AI23">
        <f t="shared" si="14"/>
        <v>0</v>
      </c>
      <c r="AJ23">
        <f t="shared" si="15"/>
        <v>0</v>
      </c>
      <c r="AK23">
        <f t="shared" si="16"/>
        <v>0</v>
      </c>
      <c r="AL23">
        <f t="shared" si="17"/>
        <v>0</v>
      </c>
      <c r="AM23">
        <f t="shared" si="18"/>
        <v>0</v>
      </c>
      <c r="AN23">
        <f t="shared" si="19"/>
        <v>0</v>
      </c>
      <c r="AO23">
        <f t="shared" si="20"/>
        <v>0</v>
      </c>
      <c r="AP23">
        <f>Constants!$E$10</f>
        <v>0</v>
      </c>
      <c r="AQ23">
        <f>Constants!$E$12</f>
        <v>0</v>
      </c>
      <c r="AR23">
        <f>Constants!$E$13</f>
        <v>0.75</v>
      </c>
      <c r="AS23">
        <f>Constants!$E$14</f>
        <v>0.05</v>
      </c>
      <c r="AT23">
        <f>Constants!$E$15</f>
        <v>0</v>
      </c>
      <c r="AU23">
        <f>Constants!$E$11</f>
        <v>0</v>
      </c>
      <c r="AV23">
        <f t="shared" si="31"/>
        <v>0</v>
      </c>
      <c r="AW23">
        <f t="shared" si="32"/>
        <v>0</v>
      </c>
      <c r="AX23">
        <f t="shared" si="33"/>
        <v>0</v>
      </c>
      <c r="AY23">
        <f t="shared" si="34"/>
        <v>0</v>
      </c>
      <c r="AZ23">
        <f t="shared" si="35"/>
        <v>0</v>
      </c>
      <c r="BA23">
        <f t="shared" si="36"/>
        <v>0</v>
      </c>
      <c r="BB23">
        <f t="shared" si="37"/>
        <v>0</v>
      </c>
      <c r="BC23">
        <f t="shared" si="22"/>
        <v>0</v>
      </c>
      <c r="BD23">
        <f t="shared" si="23"/>
        <v>0</v>
      </c>
      <c r="BE23">
        <f t="shared" si="24"/>
        <v>0</v>
      </c>
      <c r="BF23">
        <f t="shared" si="25"/>
        <v>0</v>
      </c>
      <c r="BG23">
        <f t="shared" si="26"/>
        <v>0</v>
      </c>
      <c r="BH23">
        <f t="shared" si="27"/>
        <v>0</v>
      </c>
      <c r="BI23">
        <f t="shared" si="28"/>
        <v>0</v>
      </c>
      <c r="BJ23">
        <f t="shared" si="38"/>
        <v>0</v>
      </c>
      <c r="BK23">
        <f t="shared" si="30"/>
        <v>0</v>
      </c>
    </row>
    <row r="24" spans="1:63" x14ac:dyDescent="0.2">
      <c r="A24" t="str">
        <f>'Input Scenarios'!A24</f>
        <v>WA</v>
      </c>
      <c r="B24">
        <f>'Input Scenarios'!B24</f>
        <v>0</v>
      </c>
      <c r="C24" t="str">
        <f>'Input Scenarios'!C24</f>
        <v>Non-irrigated crop (low rainfall)</v>
      </c>
      <c r="D24" t="b">
        <f>'Input Scenarios'!D24</f>
        <v>0</v>
      </c>
      <c r="E24" t="str">
        <f>'Input Scenarios'!E24</f>
        <v>sows</v>
      </c>
      <c r="F24">
        <f>'Input Scenarios'!F24</f>
        <v>600</v>
      </c>
      <c r="G24">
        <f>'Input Scenarios'!G24</f>
        <v>200</v>
      </c>
      <c r="H24">
        <f>IF('Input Scenarios'!H24&lt;&gt;"", 'Input Scenarios'!H24, _xlfn.XLOOKUP($E24,Constants!$A$3:$A$6, Constants!B$3:B$6))</f>
        <v>2.2999999999999998</v>
      </c>
      <c r="I24">
        <f>IF('Input Scenarios'!I24&lt;&gt;"", 'Input Scenarios'!I24, _xlfn.XLOOKUP($E24,Constants!$A$3:$A$6, Constants!C$3:C$6))</f>
        <v>0.46</v>
      </c>
      <c r="J24">
        <f>IF('Input Scenarios'!J24&lt;&gt;"", 'Input Scenarios'!J24, _xlfn.XLOOKUP($E24,Constants!$A$3:$A$6, Constants!D$3:D$6))</f>
        <v>4.9000000000000002E-2</v>
      </c>
      <c r="K24">
        <f>'Input Scenarios'!K24</f>
        <v>0</v>
      </c>
      <c r="L24">
        <f>'Input Scenarios'!L24</f>
        <v>0</v>
      </c>
      <c r="M24">
        <f>'Input Scenarios'!M24</f>
        <v>0</v>
      </c>
      <c r="N24">
        <f>'Input Scenarios'!N24</f>
        <v>0</v>
      </c>
      <c r="O24">
        <f>'Input Scenarios'!O24</f>
        <v>0</v>
      </c>
      <c r="P24">
        <f>'Input Scenarios'!P24</f>
        <v>0</v>
      </c>
      <c r="Q24" t="b">
        <f>'Input Scenarios'!Q24</f>
        <v>0</v>
      </c>
      <c r="R24">
        <f>IF('Input Scenarios'!$R24&lt;&gt;"", 'Input Scenarios'!$R24, IF($Q24, Constants!$B$19, 0))</f>
        <v>0</v>
      </c>
      <c r="S24">
        <f>IF('Input Scenarios'!$R24&lt;&gt;"", 'Input Scenarios'!$R24, IF($Q24, Constants!$B$20, 0))</f>
        <v>0</v>
      </c>
      <c r="T24">
        <f t="shared" si="8"/>
        <v>0</v>
      </c>
      <c r="U24">
        <f t="shared" si="9"/>
        <v>0</v>
      </c>
      <c r="V24">
        <f t="shared" si="10"/>
        <v>0</v>
      </c>
      <c r="W24">
        <f t="shared" si="11"/>
        <v>0</v>
      </c>
      <c r="X24">
        <f t="shared" si="12"/>
        <v>0</v>
      </c>
      <c r="Y24">
        <f t="shared" si="13"/>
        <v>0</v>
      </c>
      <c r="Z24">
        <f>Constants!$B$21</f>
        <v>0.19</v>
      </c>
      <c r="AA24">
        <f>Constants!$B$22</f>
        <v>0.6784</v>
      </c>
      <c r="AB24">
        <f>_xlfn.XLOOKUP($A24,Constants!$F$9:$M$9,Constants!$F$10:$M$10)</f>
        <v>0.76</v>
      </c>
      <c r="AC24">
        <f>_xlfn.XLOOKUP($A24,Constants!$F$9:$M$9,Constants!$F$12:$M$12)</f>
        <v>0.01</v>
      </c>
      <c r="AD24">
        <f>_xlfn.XLOOKUP($A24,Constants!$F$9:$M$9,Constants!$F$13:$M$13)</f>
        <v>0.1</v>
      </c>
      <c r="AE24">
        <f>_xlfn.XLOOKUP($A24,Constants!$F$9:$M$9,Constants!$F$14:$M$14)</f>
        <v>0.04</v>
      </c>
      <c r="AF24">
        <f>_xlfn.XLOOKUP($A24,Constants!$F$9:$M$9,Constants!$F$15:$M$15)</f>
        <v>0.03</v>
      </c>
      <c r="AG24">
        <f>_xlfn.XLOOKUP($A24,Constants!$F$9:$M$9,Constants!$F$11:$M$11)</f>
        <v>0.02</v>
      </c>
      <c r="AH24">
        <f>_xlfn.XLOOKUP($A24,Constants!$F$9:$M$9,Constants!$F$16:$M$16)</f>
        <v>0</v>
      </c>
      <c r="AI24">
        <f t="shared" si="14"/>
        <v>0</v>
      </c>
      <c r="AJ24">
        <f t="shared" si="15"/>
        <v>0</v>
      </c>
      <c r="AK24">
        <f t="shared" si="16"/>
        <v>0</v>
      </c>
      <c r="AL24">
        <f t="shared" si="17"/>
        <v>0</v>
      </c>
      <c r="AM24">
        <f t="shared" si="18"/>
        <v>0</v>
      </c>
      <c r="AN24">
        <f t="shared" si="19"/>
        <v>0</v>
      </c>
      <c r="AO24">
        <f t="shared" si="20"/>
        <v>0</v>
      </c>
      <c r="AP24">
        <f>Constants!$E$10</f>
        <v>0</v>
      </c>
      <c r="AQ24">
        <f>Constants!$E$12</f>
        <v>0</v>
      </c>
      <c r="AR24">
        <f>Constants!$E$13</f>
        <v>0.75</v>
      </c>
      <c r="AS24">
        <f>Constants!$E$14</f>
        <v>0.05</v>
      </c>
      <c r="AT24">
        <f>Constants!$E$15</f>
        <v>0</v>
      </c>
      <c r="AU24">
        <f>Constants!$E$11</f>
        <v>0</v>
      </c>
      <c r="AV24">
        <f t="shared" si="31"/>
        <v>0</v>
      </c>
      <c r="AW24">
        <f t="shared" si="32"/>
        <v>0</v>
      </c>
      <c r="AX24">
        <f t="shared" si="33"/>
        <v>0</v>
      </c>
      <c r="AY24">
        <f t="shared" si="34"/>
        <v>0</v>
      </c>
      <c r="AZ24">
        <f t="shared" si="35"/>
        <v>0</v>
      </c>
      <c r="BA24">
        <f t="shared" si="36"/>
        <v>0</v>
      </c>
      <c r="BB24">
        <f t="shared" si="37"/>
        <v>0</v>
      </c>
      <c r="BC24">
        <f t="shared" si="22"/>
        <v>0</v>
      </c>
      <c r="BD24">
        <f t="shared" si="23"/>
        <v>0</v>
      </c>
      <c r="BE24">
        <f t="shared" si="24"/>
        <v>0</v>
      </c>
      <c r="BF24">
        <f t="shared" si="25"/>
        <v>0</v>
      </c>
      <c r="BG24">
        <f t="shared" si="26"/>
        <v>0</v>
      </c>
      <c r="BH24">
        <f t="shared" si="27"/>
        <v>0</v>
      </c>
      <c r="BI24">
        <f t="shared" si="28"/>
        <v>0</v>
      </c>
      <c r="BJ24">
        <f t="shared" si="38"/>
        <v>0</v>
      </c>
    </row>
    <row r="25" spans="1:63" x14ac:dyDescent="0.2">
      <c r="A25" t="str">
        <f>'Input Scenarios'!A25</f>
        <v>WA</v>
      </c>
      <c r="B25">
        <f>'Input Scenarios'!B25</f>
        <v>0</v>
      </c>
      <c r="C25" t="str">
        <f>'Input Scenarios'!C25</f>
        <v>Non-irrigated crop (low rainfall)</v>
      </c>
      <c r="D25" t="b">
        <f>'Input Scenarios'!D25</f>
        <v>0</v>
      </c>
      <c r="E25" t="str">
        <f>'Input Scenarios'!E25</f>
        <v>gilts</v>
      </c>
      <c r="F25">
        <f>'Input Scenarios'!F25</f>
        <v>100</v>
      </c>
      <c r="G25">
        <f>'Input Scenarios'!G25</f>
        <v>299</v>
      </c>
      <c r="H25">
        <f>IF('Input Scenarios'!H25&lt;&gt;"", 'Input Scenarios'!H25, _xlfn.XLOOKUP($E25,Constants!$A$3:$A$6, Constants!B$3:B$6))</f>
        <v>2.5</v>
      </c>
      <c r="I25">
        <f>IF('Input Scenarios'!I25&lt;&gt;"", 'Input Scenarios'!I25, _xlfn.XLOOKUP($E25,Constants!$A$3:$A$6, Constants!C$3:C$6))</f>
        <v>0.55000000000000004</v>
      </c>
      <c r="J25">
        <f>IF('Input Scenarios'!J25&lt;&gt;"", 'Input Scenarios'!J25, _xlfn.XLOOKUP($E25,Constants!$A$3:$A$6, Constants!D$3:D$6))</f>
        <v>4.5999999999999999E-2</v>
      </c>
      <c r="K25">
        <f>'Input Scenarios'!K25</f>
        <v>0</v>
      </c>
      <c r="L25">
        <f>'Input Scenarios'!L25</f>
        <v>0</v>
      </c>
      <c r="M25">
        <f>'Input Scenarios'!M25</f>
        <v>0</v>
      </c>
      <c r="N25">
        <f>'Input Scenarios'!N25</f>
        <v>0</v>
      </c>
      <c r="O25">
        <f>'Input Scenarios'!O25</f>
        <v>0</v>
      </c>
      <c r="P25">
        <f>'Input Scenarios'!P25</f>
        <v>0</v>
      </c>
      <c r="Q25" t="b">
        <f>'Input Scenarios'!Q25</f>
        <v>1</v>
      </c>
      <c r="R25">
        <f>IF('Input Scenarios'!$R25&lt;&gt;"", 'Input Scenarios'!$R25, IF($Q25, Constants!$B$19, 0))</f>
        <v>0.25</v>
      </c>
      <c r="S25">
        <f>IF('Input Scenarios'!$R25&lt;&gt;"", 'Input Scenarios'!$R25, IF($Q25, Constants!$B$20, 0))</f>
        <v>0.25</v>
      </c>
      <c r="T25">
        <f t="shared" si="8"/>
        <v>0</v>
      </c>
      <c r="U25">
        <f t="shared" si="9"/>
        <v>0</v>
      </c>
      <c r="V25">
        <f t="shared" si="10"/>
        <v>0</v>
      </c>
      <c r="W25">
        <f t="shared" si="11"/>
        <v>0</v>
      </c>
      <c r="X25">
        <f t="shared" si="12"/>
        <v>0</v>
      </c>
      <c r="Y25">
        <f t="shared" si="13"/>
        <v>0</v>
      </c>
      <c r="Z25">
        <f>Constants!$B$21</f>
        <v>0.19</v>
      </c>
      <c r="AA25">
        <f>Constants!$B$22</f>
        <v>0.6784</v>
      </c>
      <c r="AB25">
        <f>_xlfn.XLOOKUP($A25,Constants!$F$9:$M$9,Constants!$F$10:$M$10)</f>
        <v>0.76</v>
      </c>
      <c r="AC25">
        <f>_xlfn.XLOOKUP($A25,Constants!$F$9:$M$9,Constants!$F$12:$M$12)</f>
        <v>0.01</v>
      </c>
      <c r="AD25">
        <f>_xlfn.XLOOKUP($A25,Constants!$F$9:$M$9,Constants!$F$13:$M$13)</f>
        <v>0.1</v>
      </c>
      <c r="AE25">
        <f>_xlfn.XLOOKUP($A25,Constants!$F$9:$M$9,Constants!$F$14:$M$14)</f>
        <v>0.04</v>
      </c>
      <c r="AF25">
        <f>_xlfn.XLOOKUP($A25,Constants!$F$9:$M$9,Constants!$F$15:$M$15)</f>
        <v>0.03</v>
      </c>
      <c r="AG25">
        <f>_xlfn.XLOOKUP($A25,Constants!$F$9:$M$9,Constants!$F$11:$M$11)</f>
        <v>0.02</v>
      </c>
      <c r="AH25">
        <f>_xlfn.XLOOKUP($A25,Constants!$F$9:$M$9,Constants!$F$16:$M$16)</f>
        <v>0</v>
      </c>
      <c r="AI25">
        <f t="shared" si="14"/>
        <v>0</v>
      </c>
      <c r="AJ25">
        <f t="shared" si="15"/>
        <v>0</v>
      </c>
      <c r="AK25">
        <f t="shared" si="16"/>
        <v>0</v>
      </c>
      <c r="AL25">
        <f t="shared" si="17"/>
        <v>0</v>
      </c>
      <c r="AM25">
        <f t="shared" si="18"/>
        <v>0</v>
      </c>
      <c r="AN25">
        <f t="shared" si="19"/>
        <v>0</v>
      </c>
      <c r="AO25">
        <f t="shared" si="20"/>
        <v>0</v>
      </c>
      <c r="AP25">
        <f>Constants!$E$10</f>
        <v>0</v>
      </c>
      <c r="AQ25">
        <f>Constants!$E$12</f>
        <v>0</v>
      </c>
      <c r="AR25">
        <f>Constants!$E$13</f>
        <v>0.75</v>
      </c>
      <c r="AS25">
        <f>Constants!$E$14</f>
        <v>0.05</v>
      </c>
      <c r="AT25">
        <f>Constants!$E$15</f>
        <v>0</v>
      </c>
      <c r="AU25">
        <f>Constants!$E$11</f>
        <v>0</v>
      </c>
      <c r="AV25">
        <f t="shared" si="31"/>
        <v>0</v>
      </c>
      <c r="AW25">
        <f t="shared" si="32"/>
        <v>0</v>
      </c>
      <c r="AX25">
        <f t="shared" si="33"/>
        <v>0</v>
      </c>
      <c r="AY25">
        <f t="shared" si="34"/>
        <v>0</v>
      </c>
      <c r="AZ25">
        <f t="shared" si="35"/>
        <v>0</v>
      </c>
      <c r="BA25">
        <f t="shared" si="36"/>
        <v>0</v>
      </c>
      <c r="BB25">
        <f t="shared" si="37"/>
        <v>0</v>
      </c>
      <c r="BC25">
        <f t="shared" si="22"/>
        <v>0</v>
      </c>
      <c r="BD25">
        <f t="shared" si="23"/>
        <v>0</v>
      </c>
      <c r="BE25">
        <f t="shared" si="24"/>
        <v>0</v>
      </c>
      <c r="BF25">
        <f t="shared" si="25"/>
        <v>0</v>
      </c>
      <c r="BG25">
        <f t="shared" si="26"/>
        <v>0</v>
      </c>
      <c r="BH25">
        <f t="shared" si="27"/>
        <v>0</v>
      </c>
      <c r="BI25">
        <f t="shared" si="28"/>
        <v>0</v>
      </c>
      <c r="BJ25">
        <f t="shared" si="38"/>
        <v>0</v>
      </c>
    </row>
    <row r="26" spans="1:63" x14ac:dyDescent="0.2">
      <c r="A26" t="str">
        <f>'Input Scenarios'!A26</f>
        <v>WA</v>
      </c>
      <c r="B26">
        <f>'Input Scenarios'!B26</f>
        <v>0</v>
      </c>
      <c r="C26" t="str">
        <f>'Input Scenarios'!C26</f>
        <v>Non-irrigated crop (low rainfall)</v>
      </c>
      <c r="D26" t="b">
        <f>'Input Scenarios'!D26</f>
        <v>0</v>
      </c>
      <c r="E26" t="str">
        <f>'Input Scenarios'!E26</f>
        <v>others</v>
      </c>
      <c r="F26">
        <f>'Input Scenarios'!F26</f>
        <v>999</v>
      </c>
      <c r="G26">
        <f>'Input Scenarios'!G26</f>
        <v>299</v>
      </c>
      <c r="H26">
        <f>IF('Input Scenarios'!H26&lt;&gt;"", 'Input Scenarios'!H26, _xlfn.XLOOKUP($E26,Constants!$A$3:$A$6, Constants!B$3:B$6))</f>
        <v>1.71</v>
      </c>
      <c r="I26">
        <f>IF('Input Scenarios'!I26&lt;&gt;"", 'Input Scenarios'!I26, _xlfn.XLOOKUP($E26,Constants!$A$3:$A$6, Constants!C$3:C$6))</f>
        <v>0.39</v>
      </c>
      <c r="J26">
        <f>IF('Input Scenarios'!J26&lt;&gt;"", 'Input Scenarios'!J26, _xlfn.XLOOKUP($E26,Constants!$A$3:$A$6, Constants!D$3:D$6))</f>
        <v>3.1232876712328769E-2</v>
      </c>
      <c r="K26">
        <f>'Input Scenarios'!K26</f>
        <v>0</v>
      </c>
      <c r="L26">
        <f>'Input Scenarios'!L26</f>
        <v>0</v>
      </c>
      <c r="M26">
        <f>'Input Scenarios'!M26</f>
        <v>0</v>
      </c>
      <c r="N26">
        <f>'Input Scenarios'!N26</f>
        <v>0</v>
      </c>
      <c r="O26">
        <f>'Input Scenarios'!O26</f>
        <v>0</v>
      </c>
      <c r="P26">
        <f>'Input Scenarios'!P26</f>
        <v>0</v>
      </c>
      <c r="Q26" t="b">
        <f>'Input Scenarios'!Q26</f>
        <v>1</v>
      </c>
      <c r="R26">
        <f>IF('Input Scenarios'!$R26&lt;&gt;"", 'Input Scenarios'!$R26, IF($Q26, Constants!$B$19, 0))</f>
        <v>0.25</v>
      </c>
      <c r="S26">
        <f>IF('Input Scenarios'!$R26&lt;&gt;"", 'Input Scenarios'!$R26, IF($Q26, Constants!$B$20, 0))</f>
        <v>0.25</v>
      </c>
      <c r="T26">
        <f t="shared" si="8"/>
        <v>0</v>
      </c>
      <c r="U26">
        <f t="shared" si="9"/>
        <v>0</v>
      </c>
      <c r="V26">
        <f t="shared" si="10"/>
        <v>0</v>
      </c>
      <c r="W26">
        <f t="shared" si="11"/>
        <v>0</v>
      </c>
      <c r="X26">
        <f t="shared" si="12"/>
        <v>0</v>
      </c>
      <c r="Y26">
        <f t="shared" si="13"/>
        <v>0</v>
      </c>
      <c r="Z26">
        <f>Constants!$B$21</f>
        <v>0.19</v>
      </c>
      <c r="AA26">
        <f>Constants!$B$22</f>
        <v>0.6784</v>
      </c>
      <c r="AB26">
        <f>_xlfn.XLOOKUP($A26,Constants!$F$9:$M$9,Constants!$F$10:$M$10)</f>
        <v>0.76</v>
      </c>
      <c r="AC26">
        <f>_xlfn.XLOOKUP($A26,Constants!$F$9:$M$9,Constants!$F$12:$M$12)</f>
        <v>0.01</v>
      </c>
      <c r="AD26">
        <f>_xlfn.XLOOKUP($A26,Constants!$F$9:$M$9,Constants!$F$13:$M$13)</f>
        <v>0.1</v>
      </c>
      <c r="AE26">
        <f>_xlfn.XLOOKUP($A26,Constants!$F$9:$M$9,Constants!$F$14:$M$14)</f>
        <v>0.04</v>
      </c>
      <c r="AF26">
        <f>_xlfn.XLOOKUP($A26,Constants!$F$9:$M$9,Constants!$F$15:$M$15)</f>
        <v>0.03</v>
      </c>
      <c r="AG26">
        <f>_xlfn.XLOOKUP($A26,Constants!$F$9:$M$9,Constants!$F$11:$M$11)</f>
        <v>0.02</v>
      </c>
      <c r="AH26">
        <f>_xlfn.XLOOKUP($A26,Constants!$F$9:$M$9,Constants!$F$16:$M$16)</f>
        <v>0</v>
      </c>
      <c r="AI26">
        <f t="shared" si="14"/>
        <v>0</v>
      </c>
      <c r="AJ26">
        <f t="shared" si="15"/>
        <v>0</v>
      </c>
      <c r="AK26">
        <f t="shared" si="16"/>
        <v>0</v>
      </c>
      <c r="AL26">
        <f t="shared" si="17"/>
        <v>0</v>
      </c>
      <c r="AM26">
        <f t="shared" si="18"/>
        <v>0</v>
      </c>
      <c r="AN26">
        <f t="shared" si="19"/>
        <v>0</v>
      </c>
      <c r="AO26">
        <f t="shared" si="20"/>
        <v>0</v>
      </c>
      <c r="AP26">
        <f>Constants!$E$10</f>
        <v>0</v>
      </c>
      <c r="AQ26">
        <f>Constants!$E$12</f>
        <v>0</v>
      </c>
      <c r="AR26">
        <f>Constants!$E$13</f>
        <v>0.75</v>
      </c>
      <c r="AS26">
        <f>Constants!$E$14</f>
        <v>0.05</v>
      </c>
      <c r="AT26">
        <f>Constants!$E$15</f>
        <v>0</v>
      </c>
      <c r="AU26">
        <f>Constants!$E$11</f>
        <v>0</v>
      </c>
      <c r="AV26">
        <f t="shared" si="31"/>
        <v>0</v>
      </c>
      <c r="AW26">
        <f t="shared" si="32"/>
        <v>0</v>
      </c>
      <c r="AX26">
        <f t="shared" si="33"/>
        <v>0</v>
      </c>
      <c r="AY26">
        <f t="shared" si="34"/>
        <v>0</v>
      </c>
      <c r="AZ26">
        <f t="shared" si="35"/>
        <v>0</v>
      </c>
      <c r="BA26">
        <f t="shared" si="36"/>
        <v>0</v>
      </c>
      <c r="BB26">
        <f t="shared" si="37"/>
        <v>0</v>
      </c>
      <c r="BC26">
        <f t="shared" si="22"/>
        <v>0</v>
      </c>
      <c r="BD26">
        <f t="shared" si="23"/>
        <v>0</v>
      </c>
      <c r="BE26">
        <f t="shared" si="24"/>
        <v>0</v>
      </c>
      <c r="BF26">
        <f t="shared" si="25"/>
        <v>0</v>
      </c>
      <c r="BG26">
        <f t="shared" si="26"/>
        <v>0</v>
      </c>
      <c r="BH26">
        <f t="shared" si="27"/>
        <v>0</v>
      </c>
      <c r="BI26">
        <f t="shared" si="28"/>
        <v>0</v>
      </c>
      <c r="BJ26">
        <f t="shared" si="3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5317-E2B3-354C-A35E-1257035FEE0E}">
  <dimension ref="A2:BL26"/>
  <sheetViews>
    <sheetView topLeftCell="M5" workbookViewId="0">
      <selection activeCell="U10" sqref="U10:Z26"/>
    </sheetView>
  </sheetViews>
  <sheetFormatPr baseColWidth="10" defaultRowHeight="16" x14ac:dyDescent="0.2"/>
  <sheetData>
    <row r="2" spans="1:64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64" x14ac:dyDescent="0.2">
      <c r="A3" s="1"/>
      <c r="B3" s="1"/>
      <c r="C3" s="1"/>
      <c r="D3" s="1"/>
      <c r="E3" s="1"/>
      <c r="F3" s="1"/>
      <c r="G3" s="1"/>
      <c r="H3" s="1"/>
    </row>
    <row r="4" spans="1:64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/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/>
    </row>
    <row r="5" spans="1:64" x14ac:dyDescent="0.2">
      <c r="A5" s="1"/>
      <c r="B5" s="1"/>
      <c r="C5" s="1"/>
      <c r="D5" s="1"/>
      <c r="E5" s="1"/>
      <c r="F5" s="1"/>
      <c r="G5" s="1"/>
      <c r="H5" s="1"/>
    </row>
    <row r="6" spans="1:64" x14ac:dyDescent="0.2">
      <c r="A6" s="1"/>
      <c r="B6" s="1"/>
      <c r="C6" s="1"/>
      <c r="D6" s="1"/>
      <c r="E6" s="1"/>
      <c r="F6" s="1"/>
      <c r="G6" s="1"/>
      <c r="H6" s="1"/>
    </row>
    <row r="7" spans="1:64" x14ac:dyDescent="0.2">
      <c r="A7" s="1"/>
      <c r="B7" s="1"/>
      <c r="C7" s="1"/>
      <c r="D7" s="1"/>
      <c r="E7" s="1"/>
      <c r="F7" s="1"/>
      <c r="G7" s="1"/>
      <c r="H7" s="1"/>
    </row>
    <row r="8" spans="1:64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114</v>
      </c>
      <c r="I8" s="1" t="s">
        <v>116</v>
      </c>
      <c r="J8" s="1" t="s">
        <v>117</v>
      </c>
      <c r="K8" t="s">
        <v>29</v>
      </c>
      <c r="L8" t="s">
        <v>31</v>
      </c>
      <c r="M8" t="s">
        <v>32</v>
      </c>
      <c r="N8" t="s">
        <v>33</v>
      </c>
      <c r="O8" t="s">
        <v>34</v>
      </c>
      <c r="P8" t="s">
        <v>30</v>
      </c>
      <c r="Q8" t="s">
        <v>36</v>
      </c>
      <c r="R8" t="s">
        <v>37</v>
      </c>
    </row>
    <row r="9" spans="1:64" x14ac:dyDescent="0.2">
      <c r="A9" s="1"/>
      <c r="B9" s="1"/>
      <c r="C9" s="1"/>
      <c r="D9" s="1"/>
      <c r="E9" s="1"/>
      <c r="F9" s="1"/>
      <c r="G9" s="1"/>
      <c r="H9" s="1"/>
      <c r="BD9" t="s">
        <v>182</v>
      </c>
      <c r="BJ9" t="s">
        <v>181</v>
      </c>
    </row>
    <row r="10" spans="1:64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113</v>
      </c>
      <c r="I10" s="3" t="s">
        <v>16</v>
      </c>
      <c r="J10" s="3" t="s">
        <v>15</v>
      </c>
      <c r="K10" s="3" t="s">
        <v>18</v>
      </c>
      <c r="L10" s="3" t="s">
        <v>17</v>
      </c>
      <c r="M10" s="3" t="s">
        <v>20</v>
      </c>
      <c r="N10" s="3" t="s">
        <v>21</v>
      </c>
      <c r="O10" s="3" t="s">
        <v>22</v>
      </c>
      <c r="P10" s="3" t="s">
        <v>19</v>
      </c>
      <c r="Q10" s="3" t="s">
        <v>35</v>
      </c>
      <c r="R10" s="3" t="s">
        <v>23</v>
      </c>
      <c r="S10" s="10" t="s">
        <v>24</v>
      </c>
      <c r="T10" s="6" t="s">
        <v>115</v>
      </c>
      <c r="U10" s="6" t="s">
        <v>120</v>
      </c>
      <c r="V10" s="6" t="s">
        <v>121</v>
      </c>
      <c r="W10" s="7" t="s">
        <v>122</v>
      </c>
      <c r="X10" s="7" t="s">
        <v>123</v>
      </c>
      <c r="Y10" s="7" t="s">
        <v>124</v>
      </c>
      <c r="Z10" s="7" t="s">
        <v>125</v>
      </c>
      <c r="AA10" s="7" t="s">
        <v>145</v>
      </c>
      <c r="AB10" s="7" t="s">
        <v>146</v>
      </c>
      <c r="AC10" s="7" t="s">
        <v>147</v>
      </c>
      <c r="AD10" s="7" t="s">
        <v>148</v>
      </c>
      <c r="AE10" s="7" t="s">
        <v>149</v>
      </c>
      <c r="AF10" s="7" t="s">
        <v>150</v>
      </c>
      <c r="AG10" s="7" t="s">
        <v>126</v>
      </c>
      <c r="AH10" s="7" t="s">
        <v>128</v>
      </c>
      <c r="AI10" s="7" t="s">
        <v>129</v>
      </c>
      <c r="AJ10" s="7" t="s">
        <v>130</v>
      </c>
      <c r="AK10" s="7" t="s">
        <v>131</v>
      </c>
      <c r="AL10" s="7" t="s">
        <v>127</v>
      </c>
      <c r="AM10" s="7" t="s">
        <v>132</v>
      </c>
      <c r="AN10" s="7" t="s">
        <v>133</v>
      </c>
      <c r="AO10" s="7" t="s">
        <v>135</v>
      </c>
      <c r="AP10" s="7" t="s">
        <v>136</v>
      </c>
      <c r="AQ10" s="7" t="s">
        <v>137</v>
      </c>
      <c r="AR10" s="7" t="s">
        <v>134</v>
      </c>
      <c r="AS10" s="7" t="s">
        <v>139</v>
      </c>
      <c r="AT10" s="7" t="s">
        <v>140</v>
      </c>
      <c r="AU10" s="7" t="s">
        <v>141</v>
      </c>
      <c r="AV10" s="7" t="s">
        <v>143</v>
      </c>
      <c r="AW10" s="7" t="s">
        <v>144</v>
      </c>
      <c r="AX10" s="7" t="s">
        <v>142</v>
      </c>
      <c r="AY10" s="7" t="s">
        <v>138</v>
      </c>
      <c r="AZ10" s="7" t="s">
        <v>151</v>
      </c>
      <c r="BA10" s="7" t="s">
        <v>152</v>
      </c>
      <c r="BB10" s="7" t="s">
        <v>186</v>
      </c>
      <c r="BC10" s="7" t="s">
        <v>71</v>
      </c>
      <c r="BD10" s="8" t="s">
        <v>159</v>
      </c>
      <c r="BE10" s="8" t="s">
        <v>158</v>
      </c>
      <c r="BF10" s="8" t="s">
        <v>157</v>
      </c>
      <c r="BG10" s="8" t="s">
        <v>156</v>
      </c>
      <c r="BH10" s="8" t="s">
        <v>155</v>
      </c>
      <c r="BI10" s="12" t="s">
        <v>153</v>
      </c>
      <c r="BJ10" s="12" t="s">
        <v>154</v>
      </c>
      <c r="BK10" s="12" t="s">
        <v>153</v>
      </c>
      <c r="BL10" s="12" t="s">
        <v>160</v>
      </c>
    </row>
    <row r="11" spans="1:64" x14ac:dyDescent="0.2">
      <c r="A11" t="str">
        <f>'Input Scenarios'!A11</f>
        <v>NSW</v>
      </c>
      <c r="B11">
        <f>'Input Scenarios'!B11</f>
        <v>0</v>
      </c>
      <c r="C11" t="str">
        <f>'Input Scenarios'!C11</f>
        <v>Irrigated crop</v>
      </c>
      <c r="D11" t="b">
        <f>'Input Scenarios'!D11</f>
        <v>1</v>
      </c>
      <c r="E11" t="str">
        <f>'Input Scenarios'!E11</f>
        <v>boars</v>
      </c>
      <c r="F11">
        <f>'Input Scenarios'!F11</f>
        <v>111</v>
      </c>
      <c r="G11">
        <f>'Input Scenarios'!G11</f>
        <v>105</v>
      </c>
      <c r="H11">
        <f>IF('Input Scenarios'!H11&lt;&gt;"", 'Input Scenarios'!H11, _xlfn.XLOOKUP($E11,Constants!$A$3:$A$6, Constants!B$3:B$6))</f>
        <v>2.62</v>
      </c>
      <c r="I11">
        <f>IF('Input Scenarios'!I11&lt;&gt;"", 'Input Scenarios'!I11, _xlfn.XLOOKUP($E11,Constants!$A$3:$A$6, Constants!C$3:C$6))</f>
        <v>0.4</v>
      </c>
      <c r="J11">
        <f>IF('Input Scenarios'!J11&lt;&gt;"", 'Input Scenarios'!J11, _xlfn.XLOOKUP($E11,Constants!$A$3:$A$6, Constants!D$3:D$6))</f>
        <v>4.5999999999999999E-2</v>
      </c>
      <c r="K11">
        <f>'Input Scenarios'!K11</f>
        <v>1</v>
      </c>
      <c r="L11">
        <f>'Input Scenarios'!L11</f>
        <v>0</v>
      </c>
      <c r="M11">
        <f>'Input Scenarios'!M11</f>
        <v>0</v>
      </c>
      <c r="N11">
        <f>'Input Scenarios'!N11</f>
        <v>0</v>
      </c>
      <c r="O11">
        <f>'Input Scenarios'!O11</f>
        <v>0</v>
      </c>
      <c r="P11">
        <f>'Input Scenarios'!P11</f>
        <v>0</v>
      </c>
      <c r="Q11" t="b">
        <f>'Input Scenarios'!Q11</f>
        <v>1</v>
      </c>
      <c r="R11">
        <f>IF('Input Scenarios'!$R11&lt;&gt;"", 'Input Scenarios'!$R11, IF($Q11, Constants!$B$19, 0))</f>
        <v>0.25</v>
      </c>
      <c r="S11">
        <f>IF('Input Scenarios'!$R11&lt;&gt;"", 'Input Scenarios'!$R11, IF($Q11, Constants!$B$20, 0))</f>
        <v>0.25</v>
      </c>
      <c r="T11">
        <f>F11*G11*J11</f>
        <v>536.13</v>
      </c>
      <c r="U11">
        <f>K11*(1-$S11)</f>
        <v>0.75</v>
      </c>
      <c r="V11">
        <f>L11</f>
        <v>0</v>
      </c>
      <c r="W11">
        <f t="shared" ref="V11:Y11" si="0">M11*(1-$S11)</f>
        <v>0</v>
      </c>
      <c r="X11">
        <f>N11</f>
        <v>0</v>
      </c>
      <c r="Y11">
        <f t="shared" si="0"/>
        <v>0</v>
      </c>
      <c r="Z11">
        <f>P11+(SUM(K11, M11, O11)*S11)</f>
        <v>0.25</v>
      </c>
      <c r="AA11">
        <f>$T11*U11</f>
        <v>402.09749999999997</v>
      </c>
      <c r="AB11">
        <f t="shared" ref="AB11:AF11" si="1">$T11*V11</f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134.0325</v>
      </c>
      <c r="AG11" s="11">
        <f>Constants!$C$10</f>
        <v>0.55000000000000004</v>
      </c>
      <c r="AH11" s="11">
        <f>Constants!$C$12</f>
        <v>0.3</v>
      </c>
      <c r="AI11" s="11">
        <f>Constants!$C$13</f>
        <v>0</v>
      </c>
      <c r="AJ11" s="11">
        <f>Constants!$C$14</f>
        <v>0.125</v>
      </c>
      <c r="AK11" s="11">
        <f>Constants!$C$15</f>
        <v>0.25</v>
      </c>
      <c r="AL11" s="11">
        <f>Constants!$C$11</f>
        <v>0.2</v>
      </c>
      <c r="AM11" s="11">
        <f>Constants!$D$10</f>
        <v>0</v>
      </c>
      <c r="AN11" s="11">
        <f>Constants!$D$12</f>
        <v>0.02</v>
      </c>
      <c r="AO11" s="11">
        <f>Constants!$D$13</f>
        <v>0</v>
      </c>
      <c r="AP11" s="11">
        <f>Constants!$D$14</f>
        <v>0.01</v>
      </c>
      <c r="AQ11" s="11">
        <f>Constants!$D$15</f>
        <v>2E-3</v>
      </c>
      <c r="AR11" s="11">
        <f>Constants!$D$11</f>
        <v>5.0000000000000001E-3</v>
      </c>
      <c r="AS11">
        <f>AA11*(1-AG11-AM11)</f>
        <v>180.94387499999996</v>
      </c>
      <c r="AT11">
        <f t="shared" ref="AT11:AX11" si="2">AB11*(1-AH11-AN11)</f>
        <v>0</v>
      </c>
      <c r="AU11">
        <f t="shared" si="2"/>
        <v>0</v>
      </c>
      <c r="AV11">
        <f>AD11*(1-AJ11-AP11)</f>
        <v>0</v>
      </c>
      <c r="AW11">
        <f t="shared" si="2"/>
        <v>0</v>
      </c>
      <c r="AX11">
        <f t="shared" si="2"/>
        <v>106.55583750000001</v>
      </c>
      <c r="AY11">
        <f>SUM(AS11:AX11)</f>
        <v>287.49971249999999</v>
      </c>
      <c r="AZ11">
        <f>AU11</f>
        <v>0</v>
      </c>
      <c r="BA11">
        <f>AV11</f>
        <v>0</v>
      </c>
      <c r="BB11">
        <f>SUM(AS11:AT11,AW11:AX11)</f>
        <v>287.49971249999999</v>
      </c>
      <c r="BC11">
        <f>Constants!$B$23</f>
        <v>1.5714285714285714</v>
      </c>
      <c r="BD11">
        <f>(AA11*AM11*$BC11)</f>
        <v>0</v>
      </c>
      <c r="BE11">
        <f>(AB11*AN11*$BC11)</f>
        <v>0</v>
      </c>
      <c r="BF11">
        <f>(AC11*AO11*$BC11)</f>
        <v>0</v>
      </c>
      <c r="BG11">
        <f>(AD11*AP11*$BC11)</f>
        <v>0</v>
      </c>
      <c r="BH11">
        <f>(AE11*AQ11*$BC11)</f>
        <v>0</v>
      </c>
      <c r="BI11">
        <f>(AF11*AR11*$BC11)</f>
        <v>1.0531124999999999</v>
      </c>
      <c r="BJ11">
        <f>(AZ11*AM11*$BC11)</f>
        <v>0</v>
      </c>
      <c r="BK11">
        <f>(BA11*AR11*$BC11)</f>
        <v>0</v>
      </c>
      <c r="BL11">
        <f>SUM(BD11:BK14)/1000</f>
        <v>2.8790307857142858E-2</v>
      </c>
    </row>
    <row r="12" spans="1:64" x14ac:dyDescent="0.2">
      <c r="A12" t="str">
        <f>'Input Scenarios'!A12</f>
        <v>NSW</v>
      </c>
      <c r="B12">
        <f>'Input Scenarios'!B12</f>
        <v>0</v>
      </c>
      <c r="C12" t="str">
        <f>'Input Scenarios'!C12</f>
        <v>Irrigated crop</v>
      </c>
      <c r="D12" t="b">
        <f>'Input Scenarios'!D12</f>
        <v>1</v>
      </c>
      <c r="E12" t="str">
        <f>'Input Scenarios'!E12</f>
        <v>sows</v>
      </c>
      <c r="F12">
        <f>'Input Scenarios'!F12</f>
        <v>222</v>
      </c>
      <c r="G12">
        <f>'Input Scenarios'!G12</f>
        <v>103</v>
      </c>
      <c r="H12">
        <f>IF('Input Scenarios'!H12&lt;&gt;"", 'Input Scenarios'!H12, _xlfn.XLOOKUP($E12,Constants!$A$3:$A$6, Constants!B$3:B$6))</f>
        <v>2.2999999999999998</v>
      </c>
      <c r="I12">
        <f>IF('Input Scenarios'!I12&lt;&gt;"", 'Input Scenarios'!I12, _xlfn.XLOOKUP($E12,Constants!$A$3:$A$6, Constants!C$3:C$6))</f>
        <v>0.46</v>
      </c>
      <c r="J12">
        <f>IF('Input Scenarios'!J12&lt;&gt;"", 'Input Scenarios'!J12, _xlfn.XLOOKUP($E12,Constants!$A$3:$A$6, Constants!D$3:D$6))</f>
        <v>4.9000000000000002E-2</v>
      </c>
      <c r="K12">
        <f>'Input Scenarios'!K12</f>
        <v>1</v>
      </c>
      <c r="L12">
        <f>'Input Scenarios'!L12</f>
        <v>0</v>
      </c>
      <c r="M12">
        <f>'Input Scenarios'!M12</f>
        <v>0</v>
      </c>
      <c r="N12">
        <f>'Input Scenarios'!N12</f>
        <v>0</v>
      </c>
      <c r="O12">
        <f>'Input Scenarios'!O12</f>
        <v>0</v>
      </c>
      <c r="P12">
        <f>'Input Scenarios'!P12</f>
        <v>0</v>
      </c>
      <c r="Q12" t="b">
        <f>'Input Scenarios'!Q12</f>
        <v>1</v>
      </c>
      <c r="R12">
        <f>IF('Input Scenarios'!$R12&lt;&gt;"", 'Input Scenarios'!$R12, IF($Q12, Constants!$B$19, 0))</f>
        <v>0.25</v>
      </c>
      <c r="S12">
        <f>IF('Input Scenarios'!$R12&lt;&gt;"", 'Input Scenarios'!$R12, IF($Q12, Constants!$B$20, 0))</f>
        <v>0.25</v>
      </c>
      <c r="T12">
        <f t="shared" ref="T12:T26" si="3">F12*G12*J12</f>
        <v>1120.434</v>
      </c>
      <c r="U12">
        <f t="shared" ref="U12:U26" si="4">K12*(1-$S12)</f>
        <v>0.75</v>
      </c>
      <c r="V12">
        <f t="shared" ref="V12:V26" si="5">L12</f>
        <v>0</v>
      </c>
      <c r="W12">
        <f t="shared" ref="W12:W26" si="6">M12*(1-$S12)</f>
        <v>0</v>
      </c>
      <c r="X12">
        <f t="shared" ref="X12:X26" si="7">N12</f>
        <v>0</v>
      </c>
      <c r="Y12">
        <f t="shared" ref="Y12:Y26" si="8">O12*(1-$S12)</f>
        <v>0</v>
      </c>
      <c r="Z12">
        <f t="shared" ref="Z12:Z26" si="9">P12+(SUM(K12, M12, O12)*S12)</f>
        <v>0.25</v>
      </c>
      <c r="AA12">
        <f t="shared" ref="AA12:AA26" si="10">$T12*U12</f>
        <v>840.32549999999992</v>
      </c>
      <c r="AB12">
        <f t="shared" ref="AB12:AB26" si="11">$T12*V12</f>
        <v>0</v>
      </c>
      <c r="AC12">
        <f t="shared" ref="AC12:AC26" si="12">$T12*W12</f>
        <v>0</v>
      </c>
      <c r="AD12">
        <f t="shared" ref="AD12:AD26" si="13">$T12*X12</f>
        <v>0</v>
      </c>
      <c r="AE12">
        <f t="shared" ref="AE12:AE26" si="14">$T12*Y12</f>
        <v>0</v>
      </c>
      <c r="AF12">
        <f t="shared" ref="AF12:AF26" si="15">$T12*Z12</f>
        <v>280.10849999999999</v>
      </c>
      <c r="AG12" s="11">
        <f>Constants!$C$10</f>
        <v>0.55000000000000004</v>
      </c>
      <c r="AH12" s="11">
        <f>Constants!$C$12</f>
        <v>0.3</v>
      </c>
      <c r="AI12" s="11">
        <f>Constants!$C$13</f>
        <v>0</v>
      </c>
      <c r="AJ12" s="11">
        <f>Constants!$C$14</f>
        <v>0.125</v>
      </c>
      <c r="AK12" s="11">
        <f>Constants!$C$15</f>
        <v>0.25</v>
      </c>
      <c r="AL12" s="11">
        <f>Constants!$C$11</f>
        <v>0.2</v>
      </c>
      <c r="AM12" s="11">
        <f>Constants!$D$10</f>
        <v>0</v>
      </c>
      <c r="AN12" s="11">
        <f>Constants!$D$12</f>
        <v>0.02</v>
      </c>
      <c r="AO12" s="11">
        <f>Constants!$D$13</f>
        <v>0</v>
      </c>
      <c r="AP12" s="11">
        <f>Constants!$D$14</f>
        <v>0.01</v>
      </c>
      <c r="AQ12" s="11">
        <f>Constants!$D$15</f>
        <v>2E-3</v>
      </c>
      <c r="AR12" s="11">
        <f>Constants!$D$11</f>
        <v>5.0000000000000001E-3</v>
      </c>
      <c r="AS12">
        <f t="shared" ref="AS12:AS26" si="16">AA12*(1-AG12-AM12)</f>
        <v>378.14647499999995</v>
      </c>
      <c r="AT12">
        <f t="shared" ref="AT12:AT26" si="17">AB12*(1-AH12-AN12)</f>
        <v>0</v>
      </c>
      <c r="AU12">
        <f t="shared" ref="AU12:AU26" si="18">AC12*(1-AI12-AO12)</f>
        <v>0</v>
      </c>
      <c r="AV12">
        <f t="shared" ref="AV12:AV26" si="19">AD12*(1-AJ12-AP12)</f>
        <v>0</v>
      </c>
      <c r="AW12">
        <f t="shared" ref="AW12:AW26" si="20">AE12*(1-AK12-AQ12)</f>
        <v>0</v>
      </c>
      <c r="AX12">
        <f t="shared" ref="AX12:AX26" si="21">AF12*(1-AL12-AR12)</f>
        <v>222.68625750000001</v>
      </c>
      <c r="AY12">
        <f t="shared" ref="AY12:AY26" si="22">SUM(AS12:AX12)</f>
        <v>600.83273250000002</v>
      </c>
      <c r="AZ12">
        <f t="shared" ref="AZ12:AZ26" si="23">AU12</f>
        <v>0</v>
      </c>
      <c r="BA12">
        <f t="shared" ref="BA12:BA26" si="24">AV12</f>
        <v>0</v>
      </c>
      <c r="BB12">
        <f t="shared" ref="BB12:BB26" si="25">SUM(AS12:AT12,AW12:AX12)</f>
        <v>600.83273250000002</v>
      </c>
      <c r="BC12">
        <f>Constants!$B$23</f>
        <v>1.5714285714285714</v>
      </c>
      <c r="BD12">
        <f t="shared" ref="BD12:BD26" si="26">(AA12*AM12*$BC12)</f>
        <v>0</v>
      </c>
      <c r="BE12">
        <f t="shared" ref="BE12:BE26" si="27">(AB12*AN12*$BC12)</f>
        <v>0</v>
      </c>
      <c r="BF12">
        <f t="shared" ref="BF12:BF26" si="28">(AC12*AO12*$BC12)</f>
        <v>0</v>
      </c>
      <c r="BG12">
        <f t="shared" ref="BG12:BG26" si="29">(AD12*AP12*$BC12)</f>
        <v>0</v>
      </c>
      <c r="BH12">
        <f t="shared" ref="BH12:BH26" si="30">(AE12*AQ12*$BC12)</f>
        <v>0</v>
      </c>
      <c r="BI12">
        <f t="shared" ref="BI12:BI26" si="31">(AF12*AR12*$BC12)</f>
        <v>2.2008524999999999</v>
      </c>
      <c r="BJ12">
        <f t="shared" ref="BJ12:BJ26" si="32">(AZ12*AM12*$BC12)</f>
        <v>0</v>
      </c>
      <c r="BK12">
        <f t="shared" ref="BK12:BK26" si="33">(BA12*AR12*$BC12)</f>
        <v>0</v>
      </c>
    </row>
    <row r="13" spans="1:64" x14ac:dyDescent="0.2">
      <c r="A13" t="str">
        <f>'Input Scenarios'!A13</f>
        <v>NSW</v>
      </c>
      <c r="B13">
        <f>'Input Scenarios'!B13</f>
        <v>0</v>
      </c>
      <c r="C13" t="str">
        <f>'Input Scenarios'!C13</f>
        <v>Irrigated crop</v>
      </c>
      <c r="D13" t="b">
        <f>'Input Scenarios'!D13</f>
        <v>1</v>
      </c>
      <c r="E13" t="str">
        <f>'Input Scenarios'!E13</f>
        <v>gilts</v>
      </c>
      <c r="F13">
        <f>'Input Scenarios'!F13</f>
        <v>333</v>
      </c>
      <c r="G13">
        <f>'Input Scenarios'!G13</f>
        <v>200</v>
      </c>
      <c r="H13">
        <f>IF('Input Scenarios'!H13&lt;&gt;"", 'Input Scenarios'!H13, _xlfn.XLOOKUP($E13,Constants!$A$3:$A$6, Constants!B$3:B$6))</f>
        <v>2.5</v>
      </c>
      <c r="I13">
        <f>IF('Input Scenarios'!I13&lt;&gt;"", 'Input Scenarios'!I13, _xlfn.XLOOKUP($E13,Constants!$A$3:$A$6, Constants!C$3:C$6))</f>
        <v>0.55000000000000004</v>
      </c>
      <c r="J13">
        <f>IF('Input Scenarios'!J13&lt;&gt;"", 'Input Scenarios'!J13, _xlfn.XLOOKUP($E13,Constants!$A$3:$A$6, Constants!D$3:D$6))</f>
        <v>4.5999999999999999E-2</v>
      </c>
      <c r="K13">
        <f>'Input Scenarios'!K13</f>
        <v>0</v>
      </c>
      <c r="L13">
        <f>'Input Scenarios'!L13</f>
        <v>0</v>
      </c>
      <c r="M13">
        <f>'Input Scenarios'!M13</f>
        <v>0</v>
      </c>
      <c r="N13">
        <f>'Input Scenarios'!N13</f>
        <v>0</v>
      </c>
      <c r="O13">
        <f>'Input Scenarios'!O13</f>
        <v>1</v>
      </c>
      <c r="P13">
        <f>'Input Scenarios'!P13</f>
        <v>0</v>
      </c>
      <c r="Q13" t="b">
        <f>'Input Scenarios'!Q13</f>
        <v>0</v>
      </c>
      <c r="R13">
        <f>IF('Input Scenarios'!$R13&lt;&gt;"", 'Input Scenarios'!$R13, IF($Q13, Constants!$B$19, 0))</f>
        <v>0</v>
      </c>
      <c r="S13">
        <f>IF('Input Scenarios'!$R13&lt;&gt;"", 'Input Scenarios'!$R13, IF($Q13, Constants!$B$20, 0))</f>
        <v>0</v>
      </c>
      <c r="T13">
        <f t="shared" si="3"/>
        <v>3063.6</v>
      </c>
      <c r="U13">
        <f t="shared" si="4"/>
        <v>0</v>
      </c>
      <c r="V13">
        <f t="shared" si="5"/>
        <v>0</v>
      </c>
      <c r="W13">
        <f t="shared" si="6"/>
        <v>0</v>
      </c>
      <c r="X13">
        <f t="shared" si="7"/>
        <v>0</v>
      </c>
      <c r="Y13">
        <f t="shared" si="8"/>
        <v>1</v>
      </c>
      <c r="Z13">
        <f t="shared" si="9"/>
        <v>0</v>
      </c>
      <c r="AA13">
        <f t="shared" si="10"/>
        <v>0</v>
      </c>
      <c r="AB13">
        <f t="shared" si="11"/>
        <v>0</v>
      </c>
      <c r="AC13">
        <f t="shared" si="12"/>
        <v>0</v>
      </c>
      <c r="AD13">
        <f t="shared" si="13"/>
        <v>0</v>
      </c>
      <c r="AE13">
        <f t="shared" si="14"/>
        <v>3063.6</v>
      </c>
      <c r="AF13">
        <f t="shared" si="15"/>
        <v>0</v>
      </c>
      <c r="AG13" s="11">
        <f>Constants!$C$10</f>
        <v>0.55000000000000004</v>
      </c>
      <c r="AH13" s="11">
        <f>Constants!$C$12</f>
        <v>0.3</v>
      </c>
      <c r="AI13" s="11">
        <f>Constants!$C$13</f>
        <v>0</v>
      </c>
      <c r="AJ13" s="11">
        <f>Constants!$C$14</f>
        <v>0.125</v>
      </c>
      <c r="AK13" s="11">
        <f>Constants!$C$15</f>
        <v>0.25</v>
      </c>
      <c r="AL13" s="11">
        <f>Constants!$C$11</f>
        <v>0.2</v>
      </c>
      <c r="AM13" s="11">
        <f>Constants!$D$10</f>
        <v>0</v>
      </c>
      <c r="AN13" s="11">
        <f>Constants!$D$12</f>
        <v>0.02</v>
      </c>
      <c r="AO13" s="11">
        <f>Constants!$D$13</f>
        <v>0</v>
      </c>
      <c r="AP13" s="11">
        <f>Constants!$D$14</f>
        <v>0.01</v>
      </c>
      <c r="AQ13" s="11">
        <f>Constants!$D$15</f>
        <v>2E-3</v>
      </c>
      <c r="AR13" s="11">
        <f>Constants!$D$11</f>
        <v>5.0000000000000001E-3</v>
      </c>
      <c r="AS13">
        <f t="shared" si="16"/>
        <v>0</v>
      </c>
      <c r="AT13">
        <f t="shared" si="17"/>
        <v>0</v>
      </c>
      <c r="AU13">
        <f t="shared" si="18"/>
        <v>0</v>
      </c>
      <c r="AV13">
        <f t="shared" si="19"/>
        <v>0</v>
      </c>
      <c r="AW13">
        <f t="shared" si="20"/>
        <v>2291.5727999999999</v>
      </c>
      <c r="AX13">
        <f t="shared" si="21"/>
        <v>0</v>
      </c>
      <c r="AY13">
        <f t="shared" si="22"/>
        <v>2291.5727999999999</v>
      </c>
      <c r="AZ13">
        <f t="shared" si="23"/>
        <v>0</v>
      </c>
      <c r="BA13">
        <f t="shared" si="24"/>
        <v>0</v>
      </c>
      <c r="BB13">
        <f t="shared" si="25"/>
        <v>2291.5727999999999</v>
      </c>
      <c r="BC13">
        <f>Constants!$B$23</f>
        <v>1.5714285714285714</v>
      </c>
      <c r="BD13">
        <f t="shared" si="26"/>
        <v>0</v>
      </c>
      <c r="BE13">
        <f t="shared" si="27"/>
        <v>0</v>
      </c>
      <c r="BF13">
        <f t="shared" si="28"/>
        <v>0</v>
      </c>
      <c r="BG13">
        <f t="shared" si="29"/>
        <v>0</v>
      </c>
      <c r="BH13">
        <f t="shared" si="30"/>
        <v>9.6284571428571422</v>
      </c>
      <c r="BI13">
        <f t="shared" si="31"/>
        <v>0</v>
      </c>
      <c r="BJ13">
        <f t="shared" si="32"/>
        <v>0</v>
      </c>
      <c r="BK13">
        <f t="shared" si="33"/>
        <v>0</v>
      </c>
    </row>
    <row r="14" spans="1:64" s="2" customFormat="1" x14ac:dyDescent="0.2">
      <c r="A14" s="2" t="str">
        <f>'Input Scenarios'!A14</f>
        <v>NSW</v>
      </c>
      <c r="B14" s="2">
        <f>'Input Scenarios'!B14</f>
        <v>0</v>
      </c>
      <c r="C14" s="2" t="str">
        <f>'Input Scenarios'!C14</f>
        <v>Irrigated crop</v>
      </c>
      <c r="D14" s="2" t="b">
        <f>'Input Scenarios'!D14</f>
        <v>1</v>
      </c>
      <c r="E14" s="2" t="str">
        <f>'Input Scenarios'!E14</f>
        <v>others</v>
      </c>
      <c r="F14" s="2">
        <f>'Input Scenarios'!F14</f>
        <v>444</v>
      </c>
      <c r="G14" s="2">
        <f>'Input Scenarios'!G14</f>
        <v>365</v>
      </c>
      <c r="H14">
        <f>IF('Input Scenarios'!H14&lt;&gt;"", 'Input Scenarios'!H14, _xlfn.XLOOKUP($E14,Constants!$A$3:$A$6, Constants!B$3:B$6))</f>
        <v>1.71</v>
      </c>
      <c r="I14">
        <f>IF('Input Scenarios'!I14&lt;&gt;"", 'Input Scenarios'!I14, _xlfn.XLOOKUP($E14,Constants!$A$3:$A$6, Constants!C$3:C$6))</f>
        <v>0.39</v>
      </c>
      <c r="J14">
        <f>IF('Input Scenarios'!J14&lt;&gt;"", 'Input Scenarios'!J14, _xlfn.XLOOKUP($E14,Constants!$A$3:$A$6, Constants!D$3:D$6))</f>
        <v>3.1232876712328769E-2</v>
      </c>
      <c r="K14" s="2">
        <f>'Input Scenarios'!K14</f>
        <v>0</v>
      </c>
      <c r="L14" s="2">
        <f>'Input Scenarios'!L14</f>
        <v>0</v>
      </c>
      <c r="M14" s="2">
        <f>'Input Scenarios'!M14</f>
        <v>0</v>
      </c>
      <c r="N14" s="2">
        <f>'Input Scenarios'!N14</f>
        <v>0</v>
      </c>
      <c r="O14" s="2">
        <f>'Input Scenarios'!O14</f>
        <v>1</v>
      </c>
      <c r="P14" s="2">
        <f>'Input Scenarios'!P14</f>
        <v>0</v>
      </c>
      <c r="Q14" s="2" t="b">
        <f>'Input Scenarios'!Q14</f>
        <v>0</v>
      </c>
      <c r="R14" s="2">
        <f>IF('Input Scenarios'!$R14&lt;&gt;"", 'Input Scenarios'!$R14, IF($Q14, Constants!$B$19, 0))</f>
        <v>0</v>
      </c>
      <c r="S14" s="2">
        <f>IF('Input Scenarios'!$R14&lt;&gt;"", 'Input Scenarios'!$R14, IF($Q14, Constants!$B$20, 0))</f>
        <v>0</v>
      </c>
      <c r="T14">
        <f t="shared" si="3"/>
        <v>5061.6000000000004</v>
      </c>
      <c r="U14">
        <f t="shared" si="4"/>
        <v>0</v>
      </c>
      <c r="V14">
        <f t="shared" si="5"/>
        <v>0</v>
      </c>
      <c r="W14">
        <f t="shared" si="6"/>
        <v>0</v>
      </c>
      <c r="X14">
        <f t="shared" si="7"/>
        <v>0</v>
      </c>
      <c r="Y14">
        <f t="shared" si="8"/>
        <v>1</v>
      </c>
      <c r="Z14">
        <f t="shared" si="9"/>
        <v>0</v>
      </c>
      <c r="AA14">
        <f t="shared" si="10"/>
        <v>0</v>
      </c>
      <c r="AB14">
        <f t="shared" si="11"/>
        <v>0</v>
      </c>
      <c r="AC14">
        <f t="shared" si="12"/>
        <v>0</v>
      </c>
      <c r="AD14">
        <f t="shared" si="13"/>
        <v>0</v>
      </c>
      <c r="AE14">
        <f t="shared" si="14"/>
        <v>5061.6000000000004</v>
      </c>
      <c r="AF14">
        <f t="shared" si="15"/>
        <v>0</v>
      </c>
      <c r="AG14" s="11">
        <f>Constants!$C$10</f>
        <v>0.55000000000000004</v>
      </c>
      <c r="AH14" s="11">
        <f>Constants!$C$12</f>
        <v>0.3</v>
      </c>
      <c r="AI14" s="11">
        <f>Constants!$C$13</f>
        <v>0</v>
      </c>
      <c r="AJ14" s="11">
        <f>Constants!$C$14</f>
        <v>0.125</v>
      </c>
      <c r="AK14" s="11">
        <f>Constants!$C$15</f>
        <v>0.25</v>
      </c>
      <c r="AL14" s="11">
        <f>Constants!$C$11</f>
        <v>0.2</v>
      </c>
      <c r="AM14" s="11">
        <f>Constants!$D$10</f>
        <v>0</v>
      </c>
      <c r="AN14" s="11">
        <f>Constants!$D$12</f>
        <v>0.02</v>
      </c>
      <c r="AO14" s="11">
        <f>Constants!$D$13</f>
        <v>0</v>
      </c>
      <c r="AP14" s="11">
        <f>Constants!$D$14</f>
        <v>0.01</v>
      </c>
      <c r="AQ14" s="11">
        <f>Constants!$D$15</f>
        <v>2E-3</v>
      </c>
      <c r="AR14" s="11">
        <f>Constants!$D$11</f>
        <v>5.0000000000000001E-3</v>
      </c>
      <c r="AS14">
        <f t="shared" si="16"/>
        <v>0</v>
      </c>
      <c r="AT14">
        <f t="shared" si="17"/>
        <v>0</v>
      </c>
      <c r="AU14">
        <f t="shared" si="18"/>
        <v>0</v>
      </c>
      <c r="AV14">
        <f t="shared" si="19"/>
        <v>0</v>
      </c>
      <c r="AW14">
        <f t="shared" si="20"/>
        <v>3786.0768000000003</v>
      </c>
      <c r="AX14">
        <f t="shared" si="21"/>
        <v>0</v>
      </c>
      <c r="AY14">
        <f t="shared" si="22"/>
        <v>3786.0768000000003</v>
      </c>
      <c r="AZ14">
        <f t="shared" si="23"/>
        <v>0</v>
      </c>
      <c r="BA14">
        <f t="shared" si="24"/>
        <v>0</v>
      </c>
      <c r="BB14">
        <f t="shared" si="25"/>
        <v>3786.0768000000003</v>
      </c>
      <c r="BC14">
        <f>Constants!$B$23</f>
        <v>1.5714285714285714</v>
      </c>
      <c r="BD14">
        <f t="shared" si="26"/>
        <v>0</v>
      </c>
      <c r="BE14">
        <f t="shared" si="27"/>
        <v>0</v>
      </c>
      <c r="BF14">
        <f t="shared" si="28"/>
        <v>0</v>
      </c>
      <c r="BG14">
        <f t="shared" si="29"/>
        <v>0</v>
      </c>
      <c r="BH14">
        <f t="shared" si="30"/>
        <v>15.907885714285715</v>
      </c>
      <c r="BI14">
        <f t="shared" si="31"/>
        <v>0</v>
      </c>
      <c r="BJ14">
        <f t="shared" si="32"/>
        <v>0</v>
      </c>
      <c r="BK14">
        <f t="shared" si="33"/>
        <v>0</v>
      </c>
    </row>
    <row r="15" spans="1:64" x14ac:dyDescent="0.2">
      <c r="A15" t="str">
        <f>'Input Scenarios'!A15</f>
        <v>NT</v>
      </c>
      <c r="B15">
        <f>'Input Scenarios'!B15</f>
        <v>0</v>
      </c>
      <c r="C15" t="str">
        <f>'Input Scenarios'!C15</f>
        <v>Irrigated pasture</v>
      </c>
      <c r="D15" t="b">
        <f>'Input Scenarios'!D15</f>
        <v>1</v>
      </c>
      <c r="E15" t="str">
        <f>'Input Scenarios'!E15</f>
        <v>boars</v>
      </c>
      <c r="F15">
        <f>'Input Scenarios'!F15</f>
        <v>105</v>
      </c>
      <c r="G15">
        <f>'Input Scenarios'!G15</f>
        <v>75</v>
      </c>
      <c r="H15">
        <f>IF('Input Scenarios'!H15&lt;&gt;"", 'Input Scenarios'!H15, _xlfn.XLOOKUP($E15,Constants!$A$3:$A$6, Constants!B$3:B$6))</f>
        <v>2.62</v>
      </c>
      <c r="I15">
        <f>IF('Input Scenarios'!I15&lt;&gt;"", 'Input Scenarios'!I15, _xlfn.XLOOKUP($E15,Constants!$A$3:$A$6, Constants!C$3:C$6))</f>
        <v>0.4</v>
      </c>
      <c r="J15">
        <f>IF('Input Scenarios'!J15&lt;&gt;"", 'Input Scenarios'!J15, _xlfn.XLOOKUP($E15,Constants!$A$3:$A$6, Constants!D$3:D$6))</f>
        <v>4.5999999999999999E-2</v>
      </c>
      <c r="K15">
        <f>'Input Scenarios'!K15</f>
        <v>0.2</v>
      </c>
      <c r="L15">
        <f>'Input Scenarios'!L15</f>
        <v>0.1</v>
      </c>
      <c r="M15">
        <f>'Input Scenarios'!M15</f>
        <v>0.2</v>
      </c>
      <c r="N15">
        <f>'Input Scenarios'!N15</f>
        <v>0.2</v>
      </c>
      <c r="O15">
        <f>'Input Scenarios'!O15</f>
        <v>0.2</v>
      </c>
      <c r="P15">
        <f>'Input Scenarios'!P15</f>
        <v>0.1</v>
      </c>
      <c r="Q15" t="b">
        <f>'Input Scenarios'!Q15</f>
        <v>1</v>
      </c>
      <c r="R15">
        <f>IF('Input Scenarios'!$R15&lt;&gt;"", 'Input Scenarios'!$R15, IF($Q15, Constants!$B$19, 0))</f>
        <v>0.25</v>
      </c>
      <c r="S15">
        <f>IF('Input Scenarios'!$R15&lt;&gt;"", 'Input Scenarios'!$R15, IF($Q15, Constants!$B$20, 0))</f>
        <v>0.25</v>
      </c>
      <c r="T15">
        <f t="shared" si="3"/>
        <v>362.25</v>
      </c>
      <c r="U15">
        <f t="shared" si="4"/>
        <v>0.15000000000000002</v>
      </c>
      <c r="V15">
        <f t="shared" si="5"/>
        <v>0.1</v>
      </c>
      <c r="W15">
        <f t="shared" si="6"/>
        <v>0.15000000000000002</v>
      </c>
      <c r="X15">
        <f t="shared" si="7"/>
        <v>0.2</v>
      </c>
      <c r="Y15">
        <f t="shared" si="8"/>
        <v>0.15000000000000002</v>
      </c>
      <c r="Z15">
        <f t="shared" si="9"/>
        <v>0.25</v>
      </c>
      <c r="AA15">
        <f t="shared" si="10"/>
        <v>54.337500000000006</v>
      </c>
      <c r="AB15">
        <f>$T15*V15</f>
        <v>36.225000000000001</v>
      </c>
      <c r="AC15">
        <f t="shared" si="12"/>
        <v>54.337500000000006</v>
      </c>
      <c r="AD15">
        <f t="shared" si="13"/>
        <v>72.45</v>
      </c>
      <c r="AE15">
        <f t="shared" si="14"/>
        <v>54.337500000000006</v>
      </c>
      <c r="AF15">
        <f t="shared" si="15"/>
        <v>90.5625</v>
      </c>
      <c r="AG15" s="11">
        <f>Constants!$C$10</f>
        <v>0.55000000000000004</v>
      </c>
      <c r="AH15" s="11">
        <f>Constants!$C$12</f>
        <v>0.3</v>
      </c>
      <c r="AI15" s="11">
        <f>Constants!$C$13</f>
        <v>0</v>
      </c>
      <c r="AJ15" s="11">
        <f>Constants!$C$14</f>
        <v>0.125</v>
      </c>
      <c r="AK15" s="11">
        <f>Constants!$C$15</f>
        <v>0.25</v>
      </c>
      <c r="AL15" s="11">
        <f>Constants!$C$11</f>
        <v>0.2</v>
      </c>
      <c r="AM15" s="11">
        <f>Constants!$D$10</f>
        <v>0</v>
      </c>
      <c r="AN15" s="11">
        <f>Constants!$D$12</f>
        <v>0.02</v>
      </c>
      <c r="AO15" s="11">
        <f>Constants!$D$13</f>
        <v>0</v>
      </c>
      <c r="AP15" s="11">
        <f>Constants!$D$14</f>
        <v>0.01</v>
      </c>
      <c r="AQ15" s="11">
        <f>Constants!$D$15</f>
        <v>2E-3</v>
      </c>
      <c r="AR15" s="11">
        <f>Constants!$D$11</f>
        <v>5.0000000000000001E-3</v>
      </c>
      <c r="AS15">
        <f t="shared" si="16"/>
        <v>24.451875000000001</v>
      </c>
      <c r="AT15">
        <f>AB15*(1-AH15-AN15)</f>
        <v>24.632999999999999</v>
      </c>
      <c r="AU15">
        <f t="shared" si="18"/>
        <v>54.337500000000006</v>
      </c>
      <c r="AV15">
        <f>AD15*(1-AJ15-AP15)</f>
        <v>62.669250000000005</v>
      </c>
      <c r="AW15">
        <f t="shared" si="20"/>
        <v>40.644450000000006</v>
      </c>
      <c r="AX15">
        <f t="shared" si="21"/>
        <v>71.99718750000001</v>
      </c>
      <c r="AY15">
        <f t="shared" si="22"/>
        <v>278.73326250000002</v>
      </c>
      <c r="AZ15">
        <f t="shared" si="23"/>
        <v>54.337500000000006</v>
      </c>
      <c r="BA15">
        <f t="shared" si="24"/>
        <v>62.669250000000005</v>
      </c>
      <c r="BB15">
        <f t="shared" si="25"/>
        <v>161.72651250000001</v>
      </c>
      <c r="BC15">
        <f>Constants!$B$23</f>
        <v>1.5714285714285714</v>
      </c>
      <c r="BD15">
        <f t="shared" si="26"/>
        <v>0</v>
      </c>
      <c r="BE15">
        <f t="shared" si="27"/>
        <v>1.1385000000000001</v>
      </c>
      <c r="BF15">
        <f t="shared" si="28"/>
        <v>0</v>
      </c>
      <c r="BG15">
        <f t="shared" si="29"/>
        <v>1.1385000000000001</v>
      </c>
      <c r="BH15">
        <f t="shared" si="30"/>
        <v>0.17077500000000001</v>
      </c>
      <c r="BI15">
        <f t="shared" si="31"/>
        <v>0.71156249999999999</v>
      </c>
      <c r="BJ15">
        <f t="shared" si="32"/>
        <v>0</v>
      </c>
      <c r="BK15">
        <f t="shared" si="33"/>
        <v>0.49240125000000007</v>
      </c>
      <c r="BL15">
        <f>SUM(BD15:BK18)/1000</f>
        <v>9.9115110154403135E-2</v>
      </c>
    </row>
    <row r="16" spans="1:64" x14ac:dyDescent="0.2">
      <c r="A16" t="str">
        <f>'Input Scenarios'!A16</f>
        <v>NT</v>
      </c>
      <c r="B16">
        <f>'Input Scenarios'!B16</f>
        <v>0</v>
      </c>
      <c r="C16" t="str">
        <f>'Input Scenarios'!C16</f>
        <v>Irrigated pasture</v>
      </c>
      <c r="D16" t="b">
        <f>'Input Scenarios'!D16</f>
        <v>1</v>
      </c>
      <c r="E16" t="str">
        <f>'Input Scenarios'!E16</f>
        <v>sows</v>
      </c>
      <c r="F16">
        <f>'Input Scenarios'!F16</f>
        <v>245</v>
      </c>
      <c r="G16">
        <f>'Input Scenarios'!G16</f>
        <v>290</v>
      </c>
      <c r="H16">
        <f>IF('Input Scenarios'!H16&lt;&gt;"", 'Input Scenarios'!H16, _xlfn.XLOOKUP($E16,Constants!$A$3:$A$6, Constants!B$3:B$6))</f>
        <v>2.2999999999999998</v>
      </c>
      <c r="I16">
        <f>IF('Input Scenarios'!I16&lt;&gt;"", 'Input Scenarios'!I16, _xlfn.XLOOKUP($E16,Constants!$A$3:$A$6, Constants!C$3:C$6))</f>
        <v>0.46</v>
      </c>
      <c r="J16">
        <f>IF('Input Scenarios'!J16&lt;&gt;"", 'Input Scenarios'!J16, _xlfn.XLOOKUP($E16,Constants!$A$3:$A$6, Constants!D$3:D$6))</f>
        <v>4.9000000000000002E-2</v>
      </c>
      <c r="K16">
        <f>'Input Scenarios'!K16</f>
        <v>0.2</v>
      </c>
      <c r="L16">
        <f>'Input Scenarios'!L16</f>
        <v>0.1</v>
      </c>
      <c r="M16">
        <f>'Input Scenarios'!M16</f>
        <v>0.2</v>
      </c>
      <c r="N16">
        <f>'Input Scenarios'!N16</f>
        <v>0.2</v>
      </c>
      <c r="O16">
        <f>'Input Scenarios'!O16</f>
        <v>0.2</v>
      </c>
      <c r="P16">
        <f>'Input Scenarios'!P16</f>
        <v>0.1</v>
      </c>
      <c r="Q16" t="b">
        <f>'Input Scenarios'!Q16</f>
        <v>1</v>
      </c>
      <c r="R16">
        <f>IF('Input Scenarios'!$R16&lt;&gt;"", 'Input Scenarios'!$R16, IF($Q16, Constants!$B$19, 0))</f>
        <v>0.25</v>
      </c>
      <c r="S16">
        <f>IF('Input Scenarios'!$R16&lt;&gt;"", 'Input Scenarios'!$R16, IF($Q16, Constants!$B$20, 0))</f>
        <v>0.25</v>
      </c>
      <c r="T16">
        <f t="shared" si="3"/>
        <v>3481.4500000000003</v>
      </c>
      <c r="U16">
        <f t="shared" si="4"/>
        <v>0.15000000000000002</v>
      </c>
      <c r="V16">
        <f t="shared" si="5"/>
        <v>0.1</v>
      </c>
      <c r="W16">
        <f t="shared" si="6"/>
        <v>0.15000000000000002</v>
      </c>
      <c r="X16">
        <f t="shared" si="7"/>
        <v>0.2</v>
      </c>
      <c r="Y16">
        <f t="shared" si="8"/>
        <v>0.15000000000000002</v>
      </c>
      <c r="Z16">
        <f t="shared" si="9"/>
        <v>0.25</v>
      </c>
      <c r="AA16">
        <f t="shared" si="10"/>
        <v>522.21750000000009</v>
      </c>
      <c r="AB16">
        <f t="shared" si="11"/>
        <v>348.14500000000004</v>
      </c>
      <c r="AC16">
        <f t="shared" si="12"/>
        <v>522.21750000000009</v>
      </c>
      <c r="AD16">
        <f t="shared" si="13"/>
        <v>696.29000000000008</v>
      </c>
      <c r="AE16">
        <f t="shared" si="14"/>
        <v>522.21750000000009</v>
      </c>
      <c r="AF16">
        <f t="shared" si="15"/>
        <v>870.36250000000007</v>
      </c>
      <c r="AG16" s="11">
        <f>Constants!$C$10</f>
        <v>0.55000000000000004</v>
      </c>
      <c r="AH16" s="11">
        <f>Constants!$C$12</f>
        <v>0.3</v>
      </c>
      <c r="AI16" s="11">
        <f>Constants!$C$13</f>
        <v>0</v>
      </c>
      <c r="AJ16" s="11">
        <f>Constants!$C$14</f>
        <v>0.125</v>
      </c>
      <c r="AK16" s="11">
        <f>Constants!$C$15</f>
        <v>0.25</v>
      </c>
      <c r="AL16" s="11">
        <f>Constants!$C$11</f>
        <v>0.2</v>
      </c>
      <c r="AM16" s="11">
        <f>Constants!$D$10</f>
        <v>0</v>
      </c>
      <c r="AN16" s="11">
        <f>Constants!$D$12</f>
        <v>0.02</v>
      </c>
      <c r="AO16" s="11">
        <f>Constants!$D$13</f>
        <v>0</v>
      </c>
      <c r="AP16" s="11">
        <f>Constants!$D$14</f>
        <v>0.01</v>
      </c>
      <c r="AQ16" s="11">
        <f>Constants!$D$15</f>
        <v>2E-3</v>
      </c>
      <c r="AR16" s="11">
        <f>Constants!$D$11</f>
        <v>5.0000000000000001E-3</v>
      </c>
      <c r="AS16">
        <f t="shared" si="16"/>
        <v>234.99787500000002</v>
      </c>
      <c r="AT16">
        <f t="shared" si="17"/>
        <v>236.73859999999999</v>
      </c>
      <c r="AU16">
        <f t="shared" si="18"/>
        <v>522.21750000000009</v>
      </c>
      <c r="AV16">
        <f t="shared" si="19"/>
        <v>602.29085000000009</v>
      </c>
      <c r="AW16">
        <f t="shared" si="20"/>
        <v>390.61869000000007</v>
      </c>
      <c r="AX16">
        <f t="shared" si="21"/>
        <v>691.93818750000014</v>
      </c>
      <c r="AY16">
        <f t="shared" si="22"/>
        <v>2678.8017025000004</v>
      </c>
      <c r="AZ16">
        <f t="shared" si="23"/>
        <v>522.21750000000009</v>
      </c>
      <c r="BA16">
        <f t="shared" si="24"/>
        <v>602.29085000000009</v>
      </c>
      <c r="BB16">
        <f t="shared" si="25"/>
        <v>1554.2933525000003</v>
      </c>
      <c r="BC16">
        <f>Constants!$B$23</f>
        <v>1.5714285714285714</v>
      </c>
      <c r="BD16">
        <f t="shared" si="26"/>
        <v>0</v>
      </c>
      <c r="BE16">
        <f t="shared" si="27"/>
        <v>10.941700000000001</v>
      </c>
      <c r="BF16">
        <f t="shared" si="28"/>
        <v>0</v>
      </c>
      <c r="BG16">
        <f t="shared" si="29"/>
        <v>10.941700000000001</v>
      </c>
      <c r="BH16">
        <f t="shared" si="30"/>
        <v>1.6412550000000004</v>
      </c>
      <c r="BI16">
        <f t="shared" si="31"/>
        <v>6.8385625000000001</v>
      </c>
      <c r="BJ16">
        <f t="shared" si="32"/>
        <v>0</v>
      </c>
      <c r="BK16">
        <f t="shared" si="33"/>
        <v>4.7322852500000003</v>
      </c>
    </row>
    <row r="17" spans="1:64" x14ac:dyDescent="0.2">
      <c r="A17" t="str">
        <f>'Input Scenarios'!A17</f>
        <v>NT</v>
      </c>
      <c r="B17">
        <f>'Input Scenarios'!B17</f>
        <v>0</v>
      </c>
      <c r="C17" t="str">
        <f>'Input Scenarios'!C17</f>
        <v>Irrigated pasture</v>
      </c>
      <c r="D17" t="b">
        <f>'Input Scenarios'!D17</f>
        <v>1</v>
      </c>
      <c r="E17" t="str">
        <f>'Input Scenarios'!E17</f>
        <v>gilts</v>
      </c>
      <c r="F17">
        <f>'Input Scenarios'!F17</f>
        <v>434</v>
      </c>
      <c r="G17">
        <f>'Input Scenarios'!G17</f>
        <v>280</v>
      </c>
      <c r="H17">
        <f>IF('Input Scenarios'!H17&lt;&gt;"", 'Input Scenarios'!H17, _xlfn.XLOOKUP($E17,Constants!$A$3:$A$6, Constants!B$3:B$6))</f>
        <v>2.5</v>
      </c>
      <c r="I17">
        <f>IF('Input Scenarios'!I17&lt;&gt;"", 'Input Scenarios'!I17, _xlfn.XLOOKUP($E17,Constants!$A$3:$A$6, Constants!C$3:C$6))</f>
        <v>0.55000000000000004</v>
      </c>
      <c r="J17">
        <f>IF('Input Scenarios'!J17&lt;&gt;"", 'Input Scenarios'!J17, _xlfn.XLOOKUP($E17,Constants!$A$3:$A$6, Constants!D$3:D$6))</f>
        <v>4.5999999999999999E-2</v>
      </c>
      <c r="K17">
        <f>'Input Scenarios'!K17</f>
        <v>0.2</v>
      </c>
      <c r="L17">
        <f>'Input Scenarios'!L17</f>
        <v>0.1</v>
      </c>
      <c r="M17">
        <f>'Input Scenarios'!M17</f>
        <v>0.2</v>
      </c>
      <c r="N17">
        <f>'Input Scenarios'!N17</f>
        <v>0.2</v>
      </c>
      <c r="O17">
        <f>'Input Scenarios'!O17</f>
        <v>0.2</v>
      </c>
      <c r="P17">
        <f>'Input Scenarios'!P17</f>
        <v>0.1</v>
      </c>
      <c r="Q17" t="b">
        <f>'Input Scenarios'!Q17</f>
        <v>1</v>
      </c>
      <c r="R17">
        <f>IF('Input Scenarios'!$R17&lt;&gt;"", 'Input Scenarios'!$R17, IF($Q17, Constants!$B$19, 0))</f>
        <v>0.25</v>
      </c>
      <c r="S17">
        <f>IF('Input Scenarios'!$R17&lt;&gt;"", 'Input Scenarios'!$R17, IF($Q17, Constants!$B$20, 0))</f>
        <v>0.25</v>
      </c>
      <c r="T17">
        <f t="shared" si="3"/>
        <v>5589.92</v>
      </c>
      <c r="U17">
        <f t="shared" si="4"/>
        <v>0.15000000000000002</v>
      </c>
      <c r="V17">
        <f t="shared" si="5"/>
        <v>0.1</v>
      </c>
      <c r="W17">
        <f t="shared" si="6"/>
        <v>0.15000000000000002</v>
      </c>
      <c r="X17">
        <f t="shared" si="7"/>
        <v>0.2</v>
      </c>
      <c r="Y17">
        <f t="shared" si="8"/>
        <v>0.15000000000000002</v>
      </c>
      <c r="Z17">
        <f t="shared" si="9"/>
        <v>0.25</v>
      </c>
      <c r="AA17">
        <f t="shared" si="10"/>
        <v>838.48800000000017</v>
      </c>
      <c r="AB17">
        <f t="shared" si="11"/>
        <v>558.99200000000008</v>
      </c>
      <c r="AC17">
        <f t="shared" si="12"/>
        <v>838.48800000000017</v>
      </c>
      <c r="AD17">
        <f t="shared" si="13"/>
        <v>1117.9840000000002</v>
      </c>
      <c r="AE17">
        <f t="shared" si="14"/>
        <v>838.48800000000017</v>
      </c>
      <c r="AF17">
        <f t="shared" si="15"/>
        <v>1397.48</v>
      </c>
      <c r="AG17" s="11">
        <f>Constants!$C$10</f>
        <v>0.55000000000000004</v>
      </c>
      <c r="AH17" s="11">
        <f>Constants!$C$12</f>
        <v>0.3</v>
      </c>
      <c r="AI17" s="11">
        <f>Constants!$C$13</f>
        <v>0</v>
      </c>
      <c r="AJ17" s="11">
        <f>Constants!$C$14</f>
        <v>0.125</v>
      </c>
      <c r="AK17" s="11">
        <f>Constants!$C$15</f>
        <v>0.25</v>
      </c>
      <c r="AL17" s="11">
        <f>Constants!$C$11</f>
        <v>0.2</v>
      </c>
      <c r="AM17" s="11">
        <f>Constants!$D$10</f>
        <v>0</v>
      </c>
      <c r="AN17" s="11">
        <f>Constants!$D$12</f>
        <v>0.02</v>
      </c>
      <c r="AO17" s="11">
        <f>Constants!$D$13</f>
        <v>0</v>
      </c>
      <c r="AP17" s="11">
        <f>Constants!$D$14</f>
        <v>0.01</v>
      </c>
      <c r="AQ17" s="11">
        <f>Constants!$D$15</f>
        <v>2E-3</v>
      </c>
      <c r="AR17" s="11">
        <f>Constants!$D$11</f>
        <v>5.0000000000000001E-3</v>
      </c>
      <c r="AS17">
        <f t="shared" si="16"/>
        <v>377.31960000000004</v>
      </c>
      <c r="AT17">
        <f t="shared" si="17"/>
        <v>380.11456000000004</v>
      </c>
      <c r="AU17">
        <f t="shared" si="18"/>
        <v>838.48800000000017</v>
      </c>
      <c r="AV17">
        <f t="shared" si="19"/>
        <v>967.05616000000009</v>
      </c>
      <c r="AW17">
        <f t="shared" si="20"/>
        <v>627.18902400000013</v>
      </c>
      <c r="AX17">
        <f t="shared" si="21"/>
        <v>1110.9966000000002</v>
      </c>
      <c r="AY17">
        <f t="shared" si="22"/>
        <v>4301.1639440000008</v>
      </c>
      <c r="AZ17">
        <f t="shared" si="23"/>
        <v>838.48800000000017</v>
      </c>
      <c r="BA17">
        <f t="shared" si="24"/>
        <v>967.05616000000009</v>
      </c>
      <c r="BB17">
        <f t="shared" si="25"/>
        <v>2495.6197840000004</v>
      </c>
      <c r="BC17">
        <f>Constants!$B$23</f>
        <v>1.5714285714285714</v>
      </c>
      <c r="BD17">
        <f t="shared" si="26"/>
        <v>0</v>
      </c>
      <c r="BE17">
        <f t="shared" si="27"/>
        <v>17.568320000000003</v>
      </c>
      <c r="BF17">
        <f t="shared" si="28"/>
        <v>0</v>
      </c>
      <c r="BG17">
        <f t="shared" si="29"/>
        <v>17.568320000000003</v>
      </c>
      <c r="BH17">
        <f t="shared" si="30"/>
        <v>2.6352480000000007</v>
      </c>
      <c r="BI17">
        <f t="shared" si="31"/>
        <v>10.9802</v>
      </c>
      <c r="BJ17">
        <f t="shared" si="32"/>
        <v>0</v>
      </c>
      <c r="BK17">
        <f t="shared" si="33"/>
        <v>7.5982984000000009</v>
      </c>
    </row>
    <row r="18" spans="1:64" s="2" customFormat="1" x14ac:dyDescent="0.2">
      <c r="A18" s="2" t="str">
        <f>'Input Scenarios'!A18</f>
        <v>NT</v>
      </c>
      <c r="B18" s="2">
        <f>'Input Scenarios'!B18</f>
        <v>0</v>
      </c>
      <c r="C18" s="2" t="str">
        <f>'Input Scenarios'!C18</f>
        <v>Irrigated pasture</v>
      </c>
      <c r="D18" s="2" t="b">
        <f>'Input Scenarios'!D18</f>
        <v>1</v>
      </c>
      <c r="E18" s="2" t="str">
        <f>'Input Scenarios'!E18</f>
        <v>others</v>
      </c>
      <c r="F18" s="2">
        <f>'Input Scenarios'!F18</f>
        <v>44</v>
      </c>
      <c r="G18" s="2">
        <f>'Input Scenarios'!G18</f>
        <v>290</v>
      </c>
      <c r="H18">
        <f>IF('Input Scenarios'!H18&lt;&gt;"", 'Input Scenarios'!H18, _xlfn.XLOOKUP($E18,Constants!$A$3:$A$6, Constants!B$3:B$6))</f>
        <v>1.71</v>
      </c>
      <c r="I18">
        <f>IF('Input Scenarios'!I18&lt;&gt;"", 'Input Scenarios'!I18, _xlfn.XLOOKUP($E18,Constants!$A$3:$A$6, Constants!C$3:C$6))</f>
        <v>0.39</v>
      </c>
      <c r="J18">
        <f>IF('Input Scenarios'!J18&lt;&gt;"", 'Input Scenarios'!J18, _xlfn.XLOOKUP($E18,Constants!$A$3:$A$6, Constants!D$3:D$6))</f>
        <v>3.1232876712328769E-2</v>
      </c>
      <c r="K18" s="2">
        <f>'Input Scenarios'!K18</f>
        <v>0.2</v>
      </c>
      <c r="L18" s="2">
        <f>'Input Scenarios'!L18</f>
        <v>0.1</v>
      </c>
      <c r="M18" s="2">
        <f>'Input Scenarios'!M18</f>
        <v>0.2</v>
      </c>
      <c r="N18" s="2">
        <f>'Input Scenarios'!N18</f>
        <v>0.2</v>
      </c>
      <c r="O18" s="2">
        <f>'Input Scenarios'!O18</f>
        <v>0.2</v>
      </c>
      <c r="P18" s="2">
        <f>'Input Scenarios'!P18</f>
        <v>0.1</v>
      </c>
      <c r="Q18" s="2" t="b">
        <f>'Input Scenarios'!Q18</f>
        <v>1</v>
      </c>
      <c r="R18" s="2">
        <f>IF('Input Scenarios'!$R18&lt;&gt;"", 'Input Scenarios'!$R18, IF($Q18, Constants!$B$19, 0))</f>
        <v>0.25</v>
      </c>
      <c r="S18" s="2">
        <f>IF('Input Scenarios'!$R18&lt;&gt;"", 'Input Scenarios'!$R18, IF($Q18, Constants!$B$20, 0))</f>
        <v>0.25</v>
      </c>
      <c r="T18">
        <f t="shared" si="3"/>
        <v>398.53150684931506</v>
      </c>
      <c r="U18">
        <f t="shared" si="4"/>
        <v>0.15000000000000002</v>
      </c>
      <c r="V18">
        <f t="shared" si="5"/>
        <v>0.1</v>
      </c>
      <c r="W18">
        <f t="shared" si="6"/>
        <v>0.15000000000000002</v>
      </c>
      <c r="X18">
        <f t="shared" si="7"/>
        <v>0.2</v>
      </c>
      <c r="Y18">
        <f t="shared" si="8"/>
        <v>0.15000000000000002</v>
      </c>
      <c r="Z18">
        <f t="shared" si="9"/>
        <v>0.25</v>
      </c>
      <c r="AA18">
        <f t="shared" si="10"/>
        <v>59.779726027397267</v>
      </c>
      <c r="AB18">
        <f t="shared" si="11"/>
        <v>39.853150684931506</v>
      </c>
      <c r="AC18">
        <f t="shared" si="12"/>
        <v>59.779726027397267</v>
      </c>
      <c r="AD18">
        <f t="shared" si="13"/>
        <v>79.706301369863013</v>
      </c>
      <c r="AE18">
        <f t="shared" si="14"/>
        <v>59.779726027397267</v>
      </c>
      <c r="AF18">
        <f t="shared" si="15"/>
        <v>99.632876712328766</v>
      </c>
      <c r="AG18" s="11">
        <f>Constants!$C$10</f>
        <v>0.55000000000000004</v>
      </c>
      <c r="AH18" s="11">
        <f>Constants!$C$12</f>
        <v>0.3</v>
      </c>
      <c r="AI18" s="11">
        <f>Constants!$C$13</f>
        <v>0</v>
      </c>
      <c r="AJ18" s="11">
        <f>Constants!$C$14</f>
        <v>0.125</v>
      </c>
      <c r="AK18" s="11">
        <f>Constants!$C$15</f>
        <v>0.25</v>
      </c>
      <c r="AL18" s="11">
        <f>Constants!$C$11</f>
        <v>0.2</v>
      </c>
      <c r="AM18" s="11">
        <f>Constants!$D$10</f>
        <v>0</v>
      </c>
      <c r="AN18" s="11">
        <f>Constants!$D$12</f>
        <v>0.02</v>
      </c>
      <c r="AO18" s="11">
        <f>Constants!$D$13</f>
        <v>0</v>
      </c>
      <c r="AP18" s="11">
        <f>Constants!$D$14</f>
        <v>0.01</v>
      </c>
      <c r="AQ18" s="11">
        <f>Constants!$D$15</f>
        <v>2E-3</v>
      </c>
      <c r="AR18" s="11">
        <f>Constants!$D$11</f>
        <v>5.0000000000000001E-3</v>
      </c>
      <c r="AS18">
        <f t="shared" si="16"/>
        <v>26.900876712328767</v>
      </c>
      <c r="AT18">
        <f t="shared" si="17"/>
        <v>27.100142465753422</v>
      </c>
      <c r="AU18">
        <f t="shared" si="18"/>
        <v>59.779726027397267</v>
      </c>
      <c r="AV18">
        <f t="shared" si="19"/>
        <v>68.945950684931503</v>
      </c>
      <c r="AW18">
        <f t="shared" si="20"/>
        <v>44.715235068493158</v>
      </c>
      <c r="AX18">
        <f t="shared" si="21"/>
        <v>79.208136986301369</v>
      </c>
      <c r="AY18">
        <f t="shared" si="22"/>
        <v>306.65006794520548</v>
      </c>
      <c r="AZ18">
        <f t="shared" si="23"/>
        <v>59.779726027397267</v>
      </c>
      <c r="BA18">
        <f t="shared" si="24"/>
        <v>68.945950684931503</v>
      </c>
      <c r="BB18">
        <f t="shared" si="25"/>
        <v>177.9243912328767</v>
      </c>
      <c r="BC18">
        <f>Constants!$B$23</f>
        <v>1.5714285714285714</v>
      </c>
      <c r="BD18">
        <f t="shared" si="26"/>
        <v>0</v>
      </c>
      <c r="BE18">
        <f t="shared" si="27"/>
        <v>1.2525275929549904</v>
      </c>
      <c r="BF18">
        <f t="shared" si="28"/>
        <v>0</v>
      </c>
      <c r="BG18">
        <f t="shared" si="29"/>
        <v>1.2525275929549904</v>
      </c>
      <c r="BH18">
        <f t="shared" si="30"/>
        <v>0.18787913894324856</v>
      </c>
      <c r="BI18">
        <f t="shared" si="31"/>
        <v>0.78282974559686891</v>
      </c>
      <c r="BJ18">
        <f t="shared" si="32"/>
        <v>0</v>
      </c>
      <c r="BK18">
        <f t="shared" si="33"/>
        <v>0.54171818395303317</v>
      </c>
    </row>
    <row r="19" spans="1:64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pasture</v>
      </c>
      <c r="D19" t="b">
        <f>'Input Scenarios'!D19</f>
        <v>1</v>
      </c>
      <c r="E19" t="str">
        <f>'Input Scenarios'!E19</f>
        <v>boars</v>
      </c>
      <c r="F19">
        <f>'Input Scenarios'!F19</f>
        <v>1000</v>
      </c>
      <c r="G19">
        <f>'Input Scenarios'!G19</f>
        <v>100</v>
      </c>
      <c r="H19">
        <f>IF('Input Scenarios'!H19&lt;&gt;"", 'Input Scenarios'!H19, _xlfn.XLOOKUP($E19,Constants!$A$3:$A$6, Constants!B$3:B$6))</f>
        <v>2.62</v>
      </c>
      <c r="I19">
        <f>IF('Input Scenarios'!I19&lt;&gt;"", 'Input Scenarios'!I19, _xlfn.XLOOKUP($E19,Constants!$A$3:$A$6, Constants!C$3:C$6))</f>
        <v>0.4</v>
      </c>
      <c r="J19">
        <f>IF('Input Scenarios'!J19&lt;&gt;"", 'Input Scenarios'!J19, _xlfn.XLOOKUP($E19,Constants!$A$3:$A$6, Constants!D$3:D$6))</f>
        <v>4.5999999999999999E-2</v>
      </c>
      <c r="K19">
        <f>'Input Scenarios'!K19</f>
        <v>0</v>
      </c>
      <c r="L19">
        <f>'Input Scenarios'!L19</f>
        <v>0</v>
      </c>
      <c r="M19">
        <f>'Input Scenarios'!M19</f>
        <v>0</v>
      </c>
      <c r="N19">
        <f>'Input Scenarios'!N19</f>
        <v>0</v>
      </c>
      <c r="O19">
        <f>'Input Scenarios'!O19</f>
        <v>0</v>
      </c>
      <c r="P19">
        <f>'Input Scenarios'!P19</f>
        <v>0</v>
      </c>
      <c r="Q19" t="b">
        <f>'Input Scenarios'!Q19</f>
        <v>0</v>
      </c>
      <c r="R19">
        <f>IF('Input Scenarios'!$R19&lt;&gt;"", 'Input Scenarios'!$R19, IF($Q19, Constants!$B$19, 0))</f>
        <v>0</v>
      </c>
      <c r="S19">
        <f>IF('Input Scenarios'!$R19&lt;&gt;"", 'Input Scenarios'!$R19, IF($Q19, Constants!$B$20, 0))</f>
        <v>0</v>
      </c>
      <c r="T19">
        <f t="shared" si="3"/>
        <v>4600</v>
      </c>
      <c r="U19">
        <f t="shared" si="4"/>
        <v>0</v>
      </c>
      <c r="V19">
        <f t="shared" si="5"/>
        <v>0</v>
      </c>
      <c r="W19">
        <f t="shared" si="6"/>
        <v>0</v>
      </c>
      <c r="X19">
        <f t="shared" si="7"/>
        <v>0</v>
      </c>
      <c r="Y19">
        <f t="shared" si="8"/>
        <v>0</v>
      </c>
      <c r="Z19">
        <f t="shared" si="9"/>
        <v>0</v>
      </c>
      <c r="AA19">
        <f t="shared" si="10"/>
        <v>0</v>
      </c>
      <c r="AB19">
        <f t="shared" si="11"/>
        <v>0</v>
      </c>
      <c r="AC19">
        <f t="shared" si="12"/>
        <v>0</v>
      </c>
      <c r="AD19">
        <f t="shared" si="13"/>
        <v>0</v>
      </c>
      <c r="AE19">
        <f t="shared" si="14"/>
        <v>0</v>
      </c>
      <c r="AF19">
        <f t="shared" si="15"/>
        <v>0</v>
      </c>
      <c r="AG19" s="11">
        <f>Constants!$C$10</f>
        <v>0.55000000000000004</v>
      </c>
      <c r="AH19" s="11">
        <f>Constants!$C$12</f>
        <v>0.3</v>
      </c>
      <c r="AI19" s="11">
        <f>Constants!$C$13</f>
        <v>0</v>
      </c>
      <c r="AJ19" s="11">
        <f>Constants!$C$14</f>
        <v>0.125</v>
      </c>
      <c r="AK19" s="11">
        <f>Constants!$C$15</f>
        <v>0.25</v>
      </c>
      <c r="AL19" s="11">
        <f>Constants!$C$11</f>
        <v>0.2</v>
      </c>
      <c r="AM19" s="11">
        <f>Constants!$D$10</f>
        <v>0</v>
      </c>
      <c r="AN19" s="11">
        <f>Constants!$D$12</f>
        <v>0.02</v>
      </c>
      <c r="AO19" s="11">
        <f>Constants!$D$13</f>
        <v>0</v>
      </c>
      <c r="AP19" s="11">
        <f>Constants!$D$14</f>
        <v>0.01</v>
      </c>
      <c r="AQ19" s="11">
        <f>Constants!$D$15</f>
        <v>2E-3</v>
      </c>
      <c r="AR19" s="11">
        <f>Constants!$D$11</f>
        <v>5.0000000000000001E-3</v>
      </c>
      <c r="AS19">
        <f t="shared" si="16"/>
        <v>0</v>
      </c>
      <c r="AT19">
        <f t="shared" si="17"/>
        <v>0</v>
      </c>
      <c r="AU19">
        <f t="shared" si="18"/>
        <v>0</v>
      </c>
      <c r="AV19">
        <f t="shared" si="19"/>
        <v>0</v>
      </c>
      <c r="AW19">
        <f t="shared" si="20"/>
        <v>0</v>
      </c>
      <c r="AX19">
        <f t="shared" si="21"/>
        <v>0</v>
      </c>
      <c r="AY19">
        <f t="shared" si="22"/>
        <v>0</v>
      </c>
      <c r="AZ19">
        <f t="shared" si="23"/>
        <v>0</v>
      </c>
      <c r="BA19">
        <f t="shared" si="24"/>
        <v>0</v>
      </c>
      <c r="BB19">
        <f t="shared" si="25"/>
        <v>0</v>
      </c>
      <c r="BC19">
        <f>Constants!$B$23</f>
        <v>1.5714285714285714</v>
      </c>
      <c r="BD19">
        <f t="shared" si="26"/>
        <v>0</v>
      </c>
      <c r="BE19">
        <f t="shared" si="27"/>
        <v>0</v>
      </c>
      <c r="BF19">
        <f t="shared" si="28"/>
        <v>0</v>
      </c>
      <c r="BG19">
        <f t="shared" si="29"/>
        <v>0</v>
      </c>
      <c r="BH19">
        <f t="shared" si="30"/>
        <v>0</v>
      </c>
      <c r="BI19">
        <f t="shared" si="31"/>
        <v>0</v>
      </c>
      <c r="BJ19">
        <f t="shared" si="32"/>
        <v>0</v>
      </c>
      <c r="BK19">
        <f t="shared" si="33"/>
        <v>0</v>
      </c>
      <c r="BL19">
        <f>SUM(BD19:BK22)/1000</f>
        <v>0</v>
      </c>
    </row>
    <row r="20" spans="1:64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pasture</v>
      </c>
      <c r="D20" t="b">
        <f>'Input Scenarios'!D20</f>
        <v>1</v>
      </c>
      <c r="E20" t="str">
        <f>'Input Scenarios'!E20</f>
        <v>sows</v>
      </c>
      <c r="F20">
        <f>'Input Scenarios'!F20</f>
        <v>233</v>
      </c>
      <c r="G20">
        <f>'Input Scenarios'!G20</f>
        <v>100</v>
      </c>
      <c r="H20">
        <f>IF('Input Scenarios'!H20&lt;&gt;"", 'Input Scenarios'!H20, _xlfn.XLOOKUP($E20,Constants!$A$3:$A$6, Constants!B$3:B$6))</f>
        <v>2.2999999999999998</v>
      </c>
      <c r="I20">
        <f>IF('Input Scenarios'!I20&lt;&gt;"", 'Input Scenarios'!I20, _xlfn.XLOOKUP($E20,Constants!$A$3:$A$6, Constants!C$3:C$6))</f>
        <v>0.46</v>
      </c>
      <c r="J20">
        <f>IF('Input Scenarios'!J20&lt;&gt;"", 'Input Scenarios'!J20, _xlfn.XLOOKUP($E20,Constants!$A$3:$A$6, Constants!D$3:D$6))</f>
        <v>4.9000000000000002E-2</v>
      </c>
      <c r="K20">
        <f>'Input Scenarios'!K20</f>
        <v>0</v>
      </c>
      <c r="L20">
        <f>'Input Scenarios'!L20</f>
        <v>0</v>
      </c>
      <c r="M20">
        <f>'Input Scenarios'!M20</f>
        <v>0</v>
      </c>
      <c r="N20">
        <f>'Input Scenarios'!N20</f>
        <v>0</v>
      </c>
      <c r="O20">
        <f>'Input Scenarios'!O20</f>
        <v>0</v>
      </c>
      <c r="P20">
        <f>'Input Scenarios'!P20</f>
        <v>0</v>
      </c>
      <c r="Q20" t="b">
        <f>'Input Scenarios'!Q20</f>
        <v>0</v>
      </c>
      <c r="R20">
        <f>IF('Input Scenarios'!$R20&lt;&gt;"", 'Input Scenarios'!$R20, IF($Q20, Constants!$B$19, 0))</f>
        <v>0</v>
      </c>
      <c r="S20">
        <f>IF('Input Scenarios'!$R20&lt;&gt;"", 'Input Scenarios'!$R20, IF($Q20, Constants!$B$20, 0))</f>
        <v>0</v>
      </c>
      <c r="T20">
        <f t="shared" si="3"/>
        <v>1141.7</v>
      </c>
      <c r="U20">
        <f t="shared" si="4"/>
        <v>0</v>
      </c>
      <c r="V20">
        <f t="shared" si="5"/>
        <v>0</v>
      </c>
      <c r="W20">
        <f t="shared" si="6"/>
        <v>0</v>
      </c>
      <c r="X20">
        <f t="shared" si="7"/>
        <v>0</v>
      </c>
      <c r="Y20">
        <f t="shared" si="8"/>
        <v>0</v>
      </c>
      <c r="Z20">
        <f t="shared" si="9"/>
        <v>0</v>
      </c>
      <c r="AA20">
        <f t="shared" si="10"/>
        <v>0</v>
      </c>
      <c r="AB20">
        <f t="shared" si="11"/>
        <v>0</v>
      </c>
      <c r="AC20">
        <f t="shared" si="12"/>
        <v>0</v>
      </c>
      <c r="AD20">
        <f t="shared" si="13"/>
        <v>0</v>
      </c>
      <c r="AE20">
        <f t="shared" si="14"/>
        <v>0</v>
      </c>
      <c r="AF20">
        <f t="shared" si="15"/>
        <v>0</v>
      </c>
      <c r="AG20" s="11">
        <f>Constants!$C$10</f>
        <v>0.55000000000000004</v>
      </c>
      <c r="AH20" s="11">
        <f>Constants!$C$12</f>
        <v>0.3</v>
      </c>
      <c r="AI20" s="11">
        <f>Constants!$C$13</f>
        <v>0</v>
      </c>
      <c r="AJ20" s="11">
        <f>Constants!$C$14</f>
        <v>0.125</v>
      </c>
      <c r="AK20" s="11">
        <f>Constants!$C$15</f>
        <v>0.25</v>
      </c>
      <c r="AL20" s="11">
        <f>Constants!$C$11</f>
        <v>0.2</v>
      </c>
      <c r="AM20" s="11">
        <f>Constants!$D$10</f>
        <v>0</v>
      </c>
      <c r="AN20" s="11">
        <f>Constants!$D$12</f>
        <v>0.02</v>
      </c>
      <c r="AO20" s="11">
        <f>Constants!$D$13</f>
        <v>0</v>
      </c>
      <c r="AP20" s="11">
        <f>Constants!$D$14</f>
        <v>0.01</v>
      </c>
      <c r="AQ20" s="11">
        <f>Constants!$D$15</f>
        <v>2E-3</v>
      </c>
      <c r="AR20" s="11">
        <f>Constants!$D$11</f>
        <v>5.0000000000000001E-3</v>
      </c>
      <c r="AS20">
        <f t="shared" si="16"/>
        <v>0</v>
      </c>
      <c r="AT20">
        <f t="shared" si="17"/>
        <v>0</v>
      </c>
      <c r="AU20">
        <f t="shared" si="18"/>
        <v>0</v>
      </c>
      <c r="AV20">
        <f t="shared" si="19"/>
        <v>0</v>
      </c>
      <c r="AW20">
        <f t="shared" si="20"/>
        <v>0</v>
      </c>
      <c r="AX20">
        <f t="shared" si="21"/>
        <v>0</v>
      </c>
      <c r="AY20">
        <f t="shared" si="22"/>
        <v>0</v>
      </c>
      <c r="AZ20">
        <f t="shared" si="23"/>
        <v>0</v>
      </c>
      <c r="BA20">
        <f t="shared" si="24"/>
        <v>0</v>
      </c>
      <c r="BB20">
        <f t="shared" si="25"/>
        <v>0</v>
      </c>
      <c r="BC20">
        <f>Constants!$B$23</f>
        <v>1.5714285714285714</v>
      </c>
      <c r="BD20">
        <f t="shared" si="26"/>
        <v>0</v>
      </c>
      <c r="BE20">
        <f t="shared" si="27"/>
        <v>0</v>
      </c>
      <c r="BF20">
        <f t="shared" si="28"/>
        <v>0</v>
      </c>
      <c r="BG20">
        <f t="shared" si="29"/>
        <v>0</v>
      </c>
      <c r="BH20">
        <f t="shared" si="30"/>
        <v>0</v>
      </c>
      <c r="BI20">
        <f t="shared" si="31"/>
        <v>0</v>
      </c>
      <c r="BJ20">
        <f t="shared" si="32"/>
        <v>0</v>
      </c>
      <c r="BK20">
        <f t="shared" si="33"/>
        <v>0</v>
      </c>
    </row>
    <row r="21" spans="1:64" x14ac:dyDescent="0.2">
      <c r="A21" t="str">
        <f>'Input Scenarios'!A21</f>
        <v>QLD</v>
      </c>
      <c r="B21">
        <f>'Input Scenarios'!B21</f>
        <v>0</v>
      </c>
      <c r="C21" t="str">
        <f>'Input Scenarios'!C21</f>
        <v>Non-irrigated pasture</v>
      </c>
      <c r="D21" t="b">
        <f>'Input Scenarios'!D21</f>
        <v>1</v>
      </c>
      <c r="E21" t="str">
        <f>'Input Scenarios'!E21</f>
        <v>gilts</v>
      </c>
      <c r="F21">
        <f>'Input Scenarios'!F21</f>
        <v>923</v>
      </c>
      <c r="G21">
        <f>'Input Scenarios'!G21</f>
        <v>100</v>
      </c>
      <c r="H21">
        <f>IF('Input Scenarios'!H21&lt;&gt;"", 'Input Scenarios'!H21, _xlfn.XLOOKUP($E21,Constants!$A$3:$A$6, Constants!B$3:B$6))</f>
        <v>2.5</v>
      </c>
      <c r="I21">
        <f>IF('Input Scenarios'!I21&lt;&gt;"", 'Input Scenarios'!I21, _xlfn.XLOOKUP($E21,Constants!$A$3:$A$6, Constants!C$3:C$6))</f>
        <v>0.55000000000000004</v>
      </c>
      <c r="J21">
        <f>IF('Input Scenarios'!J21&lt;&gt;"", 'Input Scenarios'!J21, _xlfn.XLOOKUP($E21,Constants!$A$3:$A$6, Constants!D$3:D$6))</f>
        <v>4.5999999999999999E-2</v>
      </c>
      <c r="K21">
        <f>'Input Scenarios'!K21</f>
        <v>0</v>
      </c>
      <c r="L21">
        <f>'Input Scenarios'!L21</f>
        <v>0</v>
      </c>
      <c r="M21">
        <f>'Input Scenarios'!M21</f>
        <v>0</v>
      </c>
      <c r="N21">
        <f>'Input Scenarios'!N21</f>
        <v>0</v>
      </c>
      <c r="O21">
        <f>'Input Scenarios'!O21</f>
        <v>0</v>
      </c>
      <c r="P21">
        <f>'Input Scenarios'!P21</f>
        <v>0</v>
      </c>
      <c r="Q21" t="b">
        <f>'Input Scenarios'!Q21</f>
        <v>0</v>
      </c>
      <c r="R21">
        <f>IF('Input Scenarios'!$R21&lt;&gt;"", 'Input Scenarios'!$R21, IF($Q21, Constants!$B$19, 0))</f>
        <v>0</v>
      </c>
      <c r="S21">
        <f>IF('Input Scenarios'!$R21&lt;&gt;"", 'Input Scenarios'!$R21, IF($Q21, Constants!$B$20, 0))</f>
        <v>0</v>
      </c>
      <c r="T21">
        <f t="shared" si="3"/>
        <v>4245.8</v>
      </c>
      <c r="U21">
        <f t="shared" si="4"/>
        <v>0</v>
      </c>
      <c r="V21">
        <f t="shared" si="5"/>
        <v>0</v>
      </c>
      <c r="W21">
        <f t="shared" si="6"/>
        <v>0</v>
      </c>
      <c r="X21">
        <f t="shared" si="7"/>
        <v>0</v>
      </c>
      <c r="Y21">
        <f t="shared" si="8"/>
        <v>0</v>
      </c>
      <c r="Z21">
        <f t="shared" si="9"/>
        <v>0</v>
      </c>
      <c r="AA21">
        <f t="shared" si="10"/>
        <v>0</v>
      </c>
      <c r="AB21">
        <f t="shared" si="11"/>
        <v>0</v>
      </c>
      <c r="AC21">
        <f t="shared" si="12"/>
        <v>0</v>
      </c>
      <c r="AD21">
        <f t="shared" si="13"/>
        <v>0</v>
      </c>
      <c r="AE21">
        <f t="shared" si="14"/>
        <v>0</v>
      </c>
      <c r="AF21">
        <f t="shared" si="15"/>
        <v>0</v>
      </c>
      <c r="AG21" s="11">
        <f>Constants!$C$10</f>
        <v>0.55000000000000004</v>
      </c>
      <c r="AH21" s="11">
        <f>Constants!$C$12</f>
        <v>0.3</v>
      </c>
      <c r="AI21" s="11">
        <f>Constants!$C$13</f>
        <v>0</v>
      </c>
      <c r="AJ21" s="11">
        <f>Constants!$C$14</f>
        <v>0.125</v>
      </c>
      <c r="AK21" s="11">
        <f>Constants!$C$15</f>
        <v>0.25</v>
      </c>
      <c r="AL21" s="11">
        <f>Constants!$C$11</f>
        <v>0.2</v>
      </c>
      <c r="AM21" s="11">
        <f>Constants!$D$10</f>
        <v>0</v>
      </c>
      <c r="AN21" s="11">
        <f>Constants!$D$12</f>
        <v>0.02</v>
      </c>
      <c r="AO21" s="11">
        <f>Constants!$D$13</f>
        <v>0</v>
      </c>
      <c r="AP21" s="11">
        <f>Constants!$D$14</f>
        <v>0.01</v>
      </c>
      <c r="AQ21" s="11">
        <f>Constants!$D$15</f>
        <v>2E-3</v>
      </c>
      <c r="AR21" s="11">
        <f>Constants!$D$11</f>
        <v>5.0000000000000001E-3</v>
      </c>
      <c r="AS21">
        <f t="shared" si="16"/>
        <v>0</v>
      </c>
      <c r="AT21">
        <f t="shared" si="17"/>
        <v>0</v>
      </c>
      <c r="AU21">
        <f t="shared" si="18"/>
        <v>0</v>
      </c>
      <c r="AV21">
        <f t="shared" si="19"/>
        <v>0</v>
      </c>
      <c r="AW21">
        <f t="shared" si="20"/>
        <v>0</v>
      </c>
      <c r="AX21">
        <f t="shared" si="21"/>
        <v>0</v>
      </c>
      <c r="AY21">
        <f t="shared" si="22"/>
        <v>0</v>
      </c>
      <c r="AZ21">
        <f t="shared" si="23"/>
        <v>0</v>
      </c>
      <c r="BA21">
        <f t="shared" si="24"/>
        <v>0</v>
      </c>
      <c r="BB21">
        <f t="shared" si="25"/>
        <v>0</v>
      </c>
      <c r="BC21">
        <f>Constants!$B$23</f>
        <v>1.5714285714285714</v>
      </c>
      <c r="BD21">
        <f t="shared" si="26"/>
        <v>0</v>
      </c>
      <c r="BE21">
        <f t="shared" si="27"/>
        <v>0</v>
      </c>
      <c r="BF21">
        <f t="shared" si="28"/>
        <v>0</v>
      </c>
      <c r="BG21">
        <f t="shared" si="29"/>
        <v>0</v>
      </c>
      <c r="BH21">
        <f t="shared" si="30"/>
        <v>0</v>
      </c>
      <c r="BI21">
        <f t="shared" si="31"/>
        <v>0</v>
      </c>
      <c r="BJ21">
        <f t="shared" si="32"/>
        <v>0</v>
      </c>
      <c r="BK21">
        <f t="shared" si="33"/>
        <v>0</v>
      </c>
    </row>
    <row r="22" spans="1:64" s="2" customFormat="1" x14ac:dyDescent="0.2">
      <c r="A22" s="2" t="str">
        <f>'Input Scenarios'!A22</f>
        <v>QLD</v>
      </c>
      <c r="B22" s="2">
        <f>'Input Scenarios'!B22</f>
        <v>0</v>
      </c>
      <c r="C22" s="2" t="str">
        <f>'Input Scenarios'!C22</f>
        <v>Non-irrigated pasture</v>
      </c>
      <c r="D22" s="2" t="b">
        <f>'Input Scenarios'!D22</f>
        <v>1</v>
      </c>
      <c r="E22" s="2" t="str">
        <f>'Input Scenarios'!E22</f>
        <v>others</v>
      </c>
      <c r="F22" s="2">
        <f>'Input Scenarios'!F22</f>
        <v>122</v>
      </c>
      <c r="G22" s="2">
        <f>'Input Scenarios'!G22</f>
        <v>100</v>
      </c>
      <c r="H22">
        <f>IF('Input Scenarios'!H22&lt;&gt;"", 'Input Scenarios'!H22, _xlfn.XLOOKUP($E22,Constants!$A$3:$A$6, Constants!B$3:B$6))</f>
        <v>1.71</v>
      </c>
      <c r="I22">
        <f>IF('Input Scenarios'!I22&lt;&gt;"", 'Input Scenarios'!I22, _xlfn.XLOOKUP($E22,Constants!$A$3:$A$6, Constants!C$3:C$6))</f>
        <v>0.39</v>
      </c>
      <c r="J22">
        <f>IF('Input Scenarios'!J22&lt;&gt;"", 'Input Scenarios'!J22, _xlfn.XLOOKUP($E22,Constants!$A$3:$A$6, Constants!D$3:D$6))</f>
        <v>3.1232876712328769E-2</v>
      </c>
      <c r="K22" s="2">
        <f>'Input Scenarios'!K22</f>
        <v>0</v>
      </c>
      <c r="L22" s="2">
        <f>'Input Scenarios'!L22</f>
        <v>0</v>
      </c>
      <c r="M22" s="2">
        <f>'Input Scenarios'!M22</f>
        <v>0</v>
      </c>
      <c r="N22" s="2">
        <f>'Input Scenarios'!N22</f>
        <v>0</v>
      </c>
      <c r="O22" s="2">
        <f>'Input Scenarios'!O22</f>
        <v>0</v>
      </c>
      <c r="P22" s="2">
        <f>'Input Scenarios'!P22</f>
        <v>0</v>
      </c>
      <c r="Q22" s="2" t="b">
        <f>'Input Scenarios'!Q22</f>
        <v>0</v>
      </c>
      <c r="R22" s="2">
        <f>IF('Input Scenarios'!$R22&lt;&gt;"", 'Input Scenarios'!$R22, IF($Q22, Constants!$B$19, 0))</f>
        <v>0</v>
      </c>
      <c r="S22" s="2">
        <f>IF('Input Scenarios'!$R22&lt;&gt;"", 'Input Scenarios'!$R22, IF($Q22, Constants!$B$20, 0))</f>
        <v>0</v>
      </c>
      <c r="T22">
        <f t="shared" si="3"/>
        <v>381.04109589041099</v>
      </c>
      <c r="U22">
        <f t="shared" si="4"/>
        <v>0</v>
      </c>
      <c r="V22">
        <f t="shared" si="5"/>
        <v>0</v>
      </c>
      <c r="W22">
        <f t="shared" si="6"/>
        <v>0</v>
      </c>
      <c r="X22">
        <f t="shared" si="7"/>
        <v>0</v>
      </c>
      <c r="Y22">
        <f t="shared" si="8"/>
        <v>0</v>
      </c>
      <c r="Z22">
        <f t="shared" si="9"/>
        <v>0</v>
      </c>
      <c r="AA22">
        <f t="shared" si="10"/>
        <v>0</v>
      </c>
      <c r="AB22">
        <f t="shared" si="11"/>
        <v>0</v>
      </c>
      <c r="AC22">
        <f t="shared" si="12"/>
        <v>0</v>
      </c>
      <c r="AD22">
        <f t="shared" si="13"/>
        <v>0</v>
      </c>
      <c r="AE22">
        <f t="shared" si="14"/>
        <v>0</v>
      </c>
      <c r="AF22">
        <f t="shared" si="15"/>
        <v>0</v>
      </c>
      <c r="AG22" s="11">
        <f>Constants!$C$10</f>
        <v>0.55000000000000004</v>
      </c>
      <c r="AH22" s="11">
        <f>Constants!$C$12</f>
        <v>0.3</v>
      </c>
      <c r="AI22" s="11">
        <f>Constants!$C$13</f>
        <v>0</v>
      </c>
      <c r="AJ22" s="11">
        <f>Constants!$C$14</f>
        <v>0.125</v>
      </c>
      <c r="AK22" s="11">
        <f>Constants!$C$15</f>
        <v>0.25</v>
      </c>
      <c r="AL22" s="11">
        <f>Constants!$C$11</f>
        <v>0.2</v>
      </c>
      <c r="AM22" s="11">
        <f>Constants!$D$10</f>
        <v>0</v>
      </c>
      <c r="AN22" s="11">
        <f>Constants!$D$12</f>
        <v>0.02</v>
      </c>
      <c r="AO22" s="11">
        <f>Constants!$D$13</f>
        <v>0</v>
      </c>
      <c r="AP22" s="11">
        <f>Constants!$D$14</f>
        <v>0.01</v>
      </c>
      <c r="AQ22" s="11">
        <f>Constants!$D$15</f>
        <v>2E-3</v>
      </c>
      <c r="AR22" s="11">
        <f>Constants!$D$11</f>
        <v>5.0000000000000001E-3</v>
      </c>
      <c r="AS22">
        <f t="shared" si="16"/>
        <v>0</v>
      </c>
      <c r="AT22">
        <f t="shared" si="17"/>
        <v>0</v>
      </c>
      <c r="AU22">
        <f t="shared" si="18"/>
        <v>0</v>
      </c>
      <c r="AV22">
        <f t="shared" si="19"/>
        <v>0</v>
      </c>
      <c r="AW22">
        <f t="shared" si="20"/>
        <v>0</v>
      </c>
      <c r="AX22">
        <f t="shared" si="21"/>
        <v>0</v>
      </c>
      <c r="AY22">
        <f t="shared" si="22"/>
        <v>0</v>
      </c>
      <c r="AZ22">
        <f t="shared" si="23"/>
        <v>0</v>
      </c>
      <c r="BA22">
        <f t="shared" si="24"/>
        <v>0</v>
      </c>
      <c r="BB22">
        <f t="shared" si="25"/>
        <v>0</v>
      </c>
      <c r="BC22">
        <f>Constants!$B$23</f>
        <v>1.5714285714285714</v>
      </c>
      <c r="BD22">
        <f t="shared" si="26"/>
        <v>0</v>
      </c>
      <c r="BE22">
        <f t="shared" si="27"/>
        <v>0</v>
      </c>
      <c r="BF22">
        <f t="shared" si="28"/>
        <v>0</v>
      </c>
      <c r="BG22">
        <f t="shared" si="29"/>
        <v>0</v>
      </c>
      <c r="BH22">
        <f t="shared" si="30"/>
        <v>0</v>
      </c>
      <c r="BI22">
        <f t="shared" si="31"/>
        <v>0</v>
      </c>
      <c r="BJ22">
        <f t="shared" si="32"/>
        <v>0</v>
      </c>
      <c r="BK22">
        <f t="shared" si="33"/>
        <v>0</v>
      </c>
    </row>
    <row r="23" spans="1:64" x14ac:dyDescent="0.2">
      <c r="A23" t="str">
        <f>'Input Scenarios'!A23</f>
        <v>WA</v>
      </c>
      <c r="B23">
        <f>'Input Scenarios'!B23</f>
        <v>0</v>
      </c>
      <c r="C23" t="str">
        <f>'Input Scenarios'!C23</f>
        <v>Non-irrigated crop (low rainfall)</v>
      </c>
      <c r="D23" t="b">
        <f>'Input Scenarios'!D23</f>
        <v>0</v>
      </c>
      <c r="E23" t="str">
        <f>'Input Scenarios'!E23</f>
        <v>boars</v>
      </c>
      <c r="F23">
        <f>'Input Scenarios'!F23</f>
        <v>750</v>
      </c>
      <c r="G23">
        <f>'Input Scenarios'!G23</f>
        <v>200</v>
      </c>
      <c r="H23">
        <f>IF('Input Scenarios'!H23&lt;&gt;"", 'Input Scenarios'!H23, _xlfn.XLOOKUP($E23,Constants!$A$3:$A$6, Constants!B$3:B$6))</f>
        <v>2.62</v>
      </c>
      <c r="I23">
        <f>IF('Input Scenarios'!I23&lt;&gt;"", 'Input Scenarios'!I23, _xlfn.XLOOKUP($E23,Constants!$A$3:$A$6, Constants!C$3:C$6))</f>
        <v>0.4</v>
      </c>
      <c r="J23">
        <f>IF('Input Scenarios'!J23&lt;&gt;"", 'Input Scenarios'!J23, _xlfn.XLOOKUP($E23,Constants!$A$3:$A$6, Constants!D$3:D$6))</f>
        <v>4.5999999999999999E-2</v>
      </c>
      <c r="K23">
        <f>'Input Scenarios'!K23</f>
        <v>0</v>
      </c>
      <c r="L23">
        <f>'Input Scenarios'!L23</f>
        <v>0</v>
      </c>
      <c r="M23">
        <f>'Input Scenarios'!M23</f>
        <v>0</v>
      </c>
      <c r="N23">
        <f>'Input Scenarios'!N23</f>
        <v>0</v>
      </c>
      <c r="O23">
        <f>'Input Scenarios'!O23</f>
        <v>0</v>
      </c>
      <c r="P23">
        <f>'Input Scenarios'!P23</f>
        <v>0</v>
      </c>
      <c r="Q23" t="b">
        <f>'Input Scenarios'!Q23</f>
        <v>0</v>
      </c>
      <c r="R23">
        <f>IF('Input Scenarios'!$R23&lt;&gt;"", 'Input Scenarios'!$R23, IF($Q23, Constants!$B$19, 0))</f>
        <v>0</v>
      </c>
      <c r="S23">
        <f>IF('Input Scenarios'!$R23&lt;&gt;"", 'Input Scenarios'!$R23, IF($Q23, Constants!$B$20, 0))</f>
        <v>0</v>
      </c>
      <c r="T23">
        <f t="shared" si="3"/>
        <v>6900</v>
      </c>
      <c r="U23">
        <f t="shared" si="4"/>
        <v>0</v>
      </c>
      <c r="V23">
        <f t="shared" si="5"/>
        <v>0</v>
      </c>
      <c r="W23">
        <f t="shared" si="6"/>
        <v>0</v>
      </c>
      <c r="X23">
        <f t="shared" si="7"/>
        <v>0</v>
      </c>
      <c r="Y23">
        <f t="shared" si="8"/>
        <v>0</v>
      </c>
      <c r="Z23">
        <f t="shared" si="9"/>
        <v>0</v>
      </c>
      <c r="AA23">
        <f t="shared" si="10"/>
        <v>0</v>
      </c>
      <c r="AB23">
        <f t="shared" si="11"/>
        <v>0</v>
      </c>
      <c r="AC23">
        <f t="shared" si="12"/>
        <v>0</v>
      </c>
      <c r="AD23">
        <f t="shared" si="13"/>
        <v>0</v>
      </c>
      <c r="AE23">
        <f t="shared" si="14"/>
        <v>0</v>
      </c>
      <c r="AF23">
        <f t="shared" si="15"/>
        <v>0</v>
      </c>
      <c r="AG23" s="11">
        <f>Constants!$C$10</f>
        <v>0.55000000000000004</v>
      </c>
      <c r="AH23" s="11">
        <f>Constants!$C$12</f>
        <v>0.3</v>
      </c>
      <c r="AI23" s="11">
        <f>Constants!$C$13</f>
        <v>0</v>
      </c>
      <c r="AJ23" s="11">
        <f>Constants!$C$14</f>
        <v>0.125</v>
      </c>
      <c r="AK23" s="11">
        <f>Constants!$C$15</f>
        <v>0.25</v>
      </c>
      <c r="AL23" s="11">
        <f>Constants!$C$11</f>
        <v>0.2</v>
      </c>
      <c r="AM23" s="11">
        <f>Constants!$D$10</f>
        <v>0</v>
      </c>
      <c r="AN23" s="11">
        <f>Constants!$D$12</f>
        <v>0.02</v>
      </c>
      <c r="AO23" s="11">
        <f>Constants!$D$13</f>
        <v>0</v>
      </c>
      <c r="AP23" s="11">
        <f>Constants!$D$14</f>
        <v>0.01</v>
      </c>
      <c r="AQ23" s="11">
        <f>Constants!$D$15</f>
        <v>2E-3</v>
      </c>
      <c r="AR23" s="11">
        <f>Constants!$D$11</f>
        <v>5.0000000000000001E-3</v>
      </c>
      <c r="AS23">
        <f t="shared" si="16"/>
        <v>0</v>
      </c>
      <c r="AT23">
        <f t="shared" si="17"/>
        <v>0</v>
      </c>
      <c r="AU23">
        <f t="shared" si="18"/>
        <v>0</v>
      </c>
      <c r="AV23">
        <f t="shared" si="19"/>
        <v>0</v>
      </c>
      <c r="AW23">
        <f t="shared" si="20"/>
        <v>0</v>
      </c>
      <c r="AX23">
        <f t="shared" si="21"/>
        <v>0</v>
      </c>
      <c r="AY23">
        <f t="shared" si="22"/>
        <v>0</v>
      </c>
      <c r="AZ23">
        <f t="shared" si="23"/>
        <v>0</v>
      </c>
      <c r="BA23">
        <f t="shared" si="24"/>
        <v>0</v>
      </c>
      <c r="BB23">
        <f t="shared" si="25"/>
        <v>0</v>
      </c>
      <c r="BC23">
        <f>Constants!$B$23</f>
        <v>1.5714285714285714</v>
      </c>
      <c r="BD23">
        <f t="shared" si="26"/>
        <v>0</v>
      </c>
      <c r="BE23">
        <f t="shared" si="27"/>
        <v>0</v>
      </c>
      <c r="BF23">
        <f t="shared" si="28"/>
        <v>0</v>
      </c>
      <c r="BG23">
        <f t="shared" si="29"/>
        <v>0</v>
      </c>
      <c r="BH23">
        <f t="shared" si="30"/>
        <v>0</v>
      </c>
      <c r="BI23">
        <f t="shared" si="31"/>
        <v>0</v>
      </c>
      <c r="BJ23">
        <f t="shared" si="32"/>
        <v>0</v>
      </c>
      <c r="BK23">
        <f t="shared" si="33"/>
        <v>0</v>
      </c>
      <c r="BL23">
        <f>SUM(BD23:BK26)/1000</f>
        <v>0</v>
      </c>
    </row>
    <row r="24" spans="1:64" x14ac:dyDescent="0.2">
      <c r="A24" t="str">
        <f>'Input Scenarios'!A24</f>
        <v>WA</v>
      </c>
      <c r="B24">
        <f>'Input Scenarios'!B24</f>
        <v>0</v>
      </c>
      <c r="C24" t="str">
        <f>'Input Scenarios'!C24</f>
        <v>Non-irrigated crop (low rainfall)</v>
      </c>
      <c r="D24" t="b">
        <f>'Input Scenarios'!D24</f>
        <v>0</v>
      </c>
      <c r="E24" t="str">
        <f>'Input Scenarios'!E24</f>
        <v>sows</v>
      </c>
      <c r="F24">
        <f>'Input Scenarios'!F24</f>
        <v>600</v>
      </c>
      <c r="G24">
        <f>'Input Scenarios'!G24</f>
        <v>200</v>
      </c>
      <c r="H24">
        <f>IF('Input Scenarios'!H24&lt;&gt;"", 'Input Scenarios'!H24, _xlfn.XLOOKUP($E24,Constants!$A$3:$A$6, Constants!B$3:B$6))</f>
        <v>2.2999999999999998</v>
      </c>
      <c r="I24">
        <f>IF('Input Scenarios'!I24&lt;&gt;"", 'Input Scenarios'!I24, _xlfn.XLOOKUP($E24,Constants!$A$3:$A$6, Constants!C$3:C$6))</f>
        <v>0.46</v>
      </c>
      <c r="J24">
        <f>IF('Input Scenarios'!J24&lt;&gt;"", 'Input Scenarios'!J24, _xlfn.XLOOKUP($E24,Constants!$A$3:$A$6, Constants!D$3:D$6))</f>
        <v>4.9000000000000002E-2</v>
      </c>
      <c r="K24">
        <f>'Input Scenarios'!K24</f>
        <v>0</v>
      </c>
      <c r="L24">
        <f>'Input Scenarios'!L24</f>
        <v>0</v>
      </c>
      <c r="M24">
        <f>'Input Scenarios'!M24</f>
        <v>0</v>
      </c>
      <c r="N24">
        <f>'Input Scenarios'!N24</f>
        <v>0</v>
      </c>
      <c r="O24">
        <f>'Input Scenarios'!O24</f>
        <v>0</v>
      </c>
      <c r="P24">
        <f>'Input Scenarios'!P24</f>
        <v>0</v>
      </c>
      <c r="Q24" t="b">
        <f>'Input Scenarios'!Q24</f>
        <v>0</v>
      </c>
      <c r="R24">
        <f>IF('Input Scenarios'!$R24&lt;&gt;"", 'Input Scenarios'!$R24, IF($Q24, Constants!$B$19, 0))</f>
        <v>0</v>
      </c>
      <c r="S24">
        <f>IF('Input Scenarios'!$R24&lt;&gt;"", 'Input Scenarios'!$R24, IF($Q24, Constants!$B$20, 0))</f>
        <v>0</v>
      </c>
      <c r="T24">
        <f t="shared" si="3"/>
        <v>5880</v>
      </c>
      <c r="U24">
        <f t="shared" si="4"/>
        <v>0</v>
      </c>
      <c r="V24">
        <f t="shared" si="5"/>
        <v>0</v>
      </c>
      <c r="W24">
        <f t="shared" si="6"/>
        <v>0</v>
      </c>
      <c r="X24">
        <f t="shared" si="7"/>
        <v>0</v>
      </c>
      <c r="Y24">
        <f t="shared" si="8"/>
        <v>0</v>
      </c>
      <c r="Z24">
        <f t="shared" si="9"/>
        <v>0</v>
      </c>
      <c r="AA24">
        <f t="shared" si="10"/>
        <v>0</v>
      </c>
      <c r="AB24">
        <f t="shared" si="11"/>
        <v>0</v>
      </c>
      <c r="AC24">
        <f t="shared" si="12"/>
        <v>0</v>
      </c>
      <c r="AD24">
        <f t="shared" si="13"/>
        <v>0</v>
      </c>
      <c r="AE24">
        <f t="shared" si="14"/>
        <v>0</v>
      </c>
      <c r="AF24">
        <f t="shared" si="15"/>
        <v>0</v>
      </c>
      <c r="AG24" s="11">
        <f>Constants!$C$10</f>
        <v>0.55000000000000004</v>
      </c>
      <c r="AH24" s="11">
        <f>Constants!$C$12</f>
        <v>0.3</v>
      </c>
      <c r="AI24" s="11">
        <f>Constants!$C$13</f>
        <v>0</v>
      </c>
      <c r="AJ24" s="11">
        <f>Constants!$C$14</f>
        <v>0.125</v>
      </c>
      <c r="AK24" s="11">
        <f>Constants!$C$15</f>
        <v>0.25</v>
      </c>
      <c r="AL24" s="11">
        <f>Constants!$C$11</f>
        <v>0.2</v>
      </c>
      <c r="AM24" s="11">
        <f>Constants!$D$10</f>
        <v>0</v>
      </c>
      <c r="AN24" s="11">
        <f>Constants!$D$12</f>
        <v>0.02</v>
      </c>
      <c r="AO24" s="11">
        <f>Constants!$D$13</f>
        <v>0</v>
      </c>
      <c r="AP24" s="11">
        <f>Constants!$D$14</f>
        <v>0.01</v>
      </c>
      <c r="AQ24" s="11">
        <f>Constants!$D$15</f>
        <v>2E-3</v>
      </c>
      <c r="AR24" s="11">
        <f>Constants!$D$11</f>
        <v>5.0000000000000001E-3</v>
      </c>
      <c r="AS24">
        <f t="shared" si="16"/>
        <v>0</v>
      </c>
      <c r="AT24">
        <f t="shared" si="17"/>
        <v>0</v>
      </c>
      <c r="AU24">
        <f t="shared" si="18"/>
        <v>0</v>
      </c>
      <c r="AV24">
        <f t="shared" si="19"/>
        <v>0</v>
      </c>
      <c r="AW24">
        <f t="shared" si="20"/>
        <v>0</v>
      </c>
      <c r="AX24">
        <f t="shared" si="21"/>
        <v>0</v>
      </c>
      <c r="AY24">
        <f t="shared" si="22"/>
        <v>0</v>
      </c>
      <c r="AZ24">
        <f t="shared" si="23"/>
        <v>0</v>
      </c>
      <c r="BA24">
        <f t="shared" si="24"/>
        <v>0</v>
      </c>
      <c r="BB24">
        <f t="shared" si="25"/>
        <v>0</v>
      </c>
      <c r="BC24">
        <f>Constants!$B$23</f>
        <v>1.5714285714285714</v>
      </c>
      <c r="BD24">
        <f t="shared" si="26"/>
        <v>0</v>
      </c>
      <c r="BE24">
        <f t="shared" si="27"/>
        <v>0</v>
      </c>
      <c r="BF24">
        <f t="shared" si="28"/>
        <v>0</v>
      </c>
      <c r="BG24">
        <f t="shared" si="29"/>
        <v>0</v>
      </c>
      <c r="BH24">
        <f t="shared" si="30"/>
        <v>0</v>
      </c>
      <c r="BI24">
        <f t="shared" si="31"/>
        <v>0</v>
      </c>
      <c r="BJ24">
        <f t="shared" si="32"/>
        <v>0</v>
      </c>
      <c r="BK24">
        <f t="shared" si="33"/>
        <v>0</v>
      </c>
    </row>
    <row r="25" spans="1:64" x14ac:dyDescent="0.2">
      <c r="A25" t="str">
        <f>'Input Scenarios'!A25</f>
        <v>WA</v>
      </c>
      <c r="B25">
        <f>'Input Scenarios'!B25</f>
        <v>0</v>
      </c>
      <c r="C25" t="str">
        <f>'Input Scenarios'!C25</f>
        <v>Non-irrigated crop (low rainfall)</v>
      </c>
      <c r="D25" t="b">
        <f>'Input Scenarios'!D25</f>
        <v>0</v>
      </c>
      <c r="E25" t="str">
        <f>'Input Scenarios'!E25</f>
        <v>gilts</v>
      </c>
      <c r="F25">
        <f>'Input Scenarios'!F25</f>
        <v>100</v>
      </c>
      <c r="G25">
        <f>'Input Scenarios'!G25</f>
        <v>299</v>
      </c>
      <c r="H25">
        <f>IF('Input Scenarios'!H25&lt;&gt;"", 'Input Scenarios'!H25, _xlfn.XLOOKUP($E25,Constants!$A$3:$A$6, Constants!B$3:B$6))</f>
        <v>2.5</v>
      </c>
      <c r="I25">
        <f>IF('Input Scenarios'!I25&lt;&gt;"", 'Input Scenarios'!I25, _xlfn.XLOOKUP($E25,Constants!$A$3:$A$6, Constants!C$3:C$6))</f>
        <v>0.55000000000000004</v>
      </c>
      <c r="J25">
        <f>IF('Input Scenarios'!J25&lt;&gt;"", 'Input Scenarios'!J25, _xlfn.XLOOKUP($E25,Constants!$A$3:$A$6, Constants!D$3:D$6))</f>
        <v>4.5999999999999999E-2</v>
      </c>
      <c r="K25">
        <f>'Input Scenarios'!K25</f>
        <v>0</v>
      </c>
      <c r="L25">
        <f>'Input Scenarios'!L25</f>
        <v>0</v>
      </c>
      <c r="M25">
        <f>'Input Scenarios'!M25</f>
        <v>0</v>
      </c>
      <c r="N25">
        <f>'Input Scenarios'!N25</f>
        <v>0</v>
      </c>
      <c r="O25">
        <f>'Input Scenarios'!O25</f>
        <v>0</v>
      </c>
      <c r="P25">
        <f>'Input Scenarios'!P25</f>
        <v>0</v>
      </c>
      <c r="Q25" t="b">
        <f>'Input Scenarios'!Q25</f>
        <v>1</v>
      </c>
      <c r="R25">
        <f>IF('Input Scenarios'!$R25&lt;&gt;"", 'Input Scenarios'!$R25, IF($Q25, Constants!$B$19, 0))</f>
        <v>0.25</v>
      </c>
      <c r="S25">
        <f>IF('Input Scenarios'!$R25&lt;&gt;"", 'Input Scenarios'!$R25, IF($Q25, Constants!$B$20, 0))</f>
        <v>0.25</v>
      </c>
      <c r="T25">
        <f t="shared" si="3"/>
        <v>1375.3999999999999</v>
      </c>
      <c r="U25">
        <f t="shared" si="4"/>
        <v>0</v>
      </c>
      <c r="V25">
        <f t="shared" si="5"/>
        <v>0</v>
      </c>
      <c r="W25">
        <f t="shared" si="6"/>
        <v>0</v>
      </c>
      <c r="X25">
        <f t="shared" si="7"/>
        <v>0</v>
      </c>
      <c r="Y25">
        <f t="shared" si="8"/>
        <v>0</v>
      </c>
      <c r="Z25">
        <f t="shared" si="9"/>
        <v>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13"/>
        <v>0</v>
      </c>
      <c r="AE25">
        <f t="shared" si="14"/>
        <v>0</v>
      </c>
      <c r="AF25">
        <f t="shared" si="15"/>
        <v>0</v>
      </c>
      <c r="AG25" s="11">
        <f>Constants!$C$10</f>
        <v>0.55000000000000004</v>
      </c>
      <c r="AH25" s="11">
        <f>Constants!$C$12</f>
        <v>0.3</v>
      </c>
      <c r="AI25" s="11">
        <f>Constants!$C$13</f>
        <v>0</v>
      </c>
      <c r="AJ25" s="11">
        <f>Constants!$C$14</f>
        <v>0.125</v>
      </c>
      <c r="AK25" s="11">
        <f>Constants!$C$15</f>
        <v>0.25</v>
      </c>
      <c r="AL25" s="11">
        <f>Constants!$C$11</f>
        <v>0.2</v>
      </c>
      <c r="AM25" s="11">
        <f>Constants!$D$10</f>
        <v>0</v>
      </c>
      <c r="AN25" s="11">
        <f>Constants!$D$12</f>
        <v>0.02</v>
      </c>
      <c r="AO25" s="11">
        <f>Constants!$D$13</f>
        <v>0</v>
      </c>
      <c r="AP25" s="11">
        <f>Constants!$D$14</f>
        <v>0.01</v>
      </c>
      <c r="AQ25" s="11">
        <f>Constants!$D$15</f>
        <v>2E-3</v>
      </c>
      <c r="AR25" s="11">
        <f>Constants!$D$11</f>
        <v>5.0000000000000001E-3</v>
      </c>
      <c r="AS25">
        <f t="shared" si="16"/>
        <v>0</v>
      </c>
      <c r="AT25">
        <f t="shared" si="17"/>
        <v>0</v>
      </c>
      <c r="AU25">
        <f t="shared" si="18"/>
        <v>0</v>
      </c>
      <c r="AV25">
        <f t="shared" si="19"/>
        <v>0</v>
      </c>
      <c r="AW25">
        <f t="shared" si="20"/>
        <v>0</v>
      </c>
      <c r="AX25">
        <f t="shared" si="21"/>
        <v>0</v>
      </c>
      <c r="AY25">
        <f t="shared" si="22"/>
        <v>0</v>
      </c>
      <c r="AZ25">
        <f t="shared" si="23"/>
        <v>0</v>
      </c>
      <c r="BA25">
        <f t="shared" si="24"/>
        <v>0</v>
      </c>
      <c r="BB25">
        <f t="shared" si="25"/>
        <v>0</v>
      </c>
      <c r="BC25">
        <f>Constants!$B$23</f>
        <v>1.5714285714285714</v>
      </c>
      <c r="BD25">
        <f t="shared" si="26"/>
        <v>0</v>
      </c>
      <c r="BE25">
        <f t="shared" si="27"/>
        <v>0</v>
      </c>
      <c r="BF25">
        <f t="shared" si="28"/>
        <v>0</v>
      </c>
      <c r="BG25">
        <f t="shared" si="29"/>
        <v>0</v>
      </c>
      <c r="BH25">
        <f t="shared" si="30"/>
        <v>0</v>
      </c>
      <c r="BI25">
        <f t="shared" si="31"/>
        <v>0</v>
      </c>
      <c r="BJ25">
        <f t="shared" si="32"/>
        <v>0</v>
      </c>
      <c r="BK25">
        <f t="shared" si="33"/>
        <v>0</v>
      </c>
    </row>
    <row r="26" spans="1:64" x14ac:dyDescent="0.2">
      <c r="A26" t="str">
        <f>'Input Scenarios'!A26</f>
        <v>WA</v>
      </c>
      <c r="B26">
        <f>'Input Scenarios'!B26</f>
        <v>0</v>
      </c>
      <c r="C26" t="str">
        <f>'Input Scenarios'!C26</f>
        <v>Non-irrigated crop (low rainfall)</v>
      </c>
      <c r="D26" t="b">
        <f>'Input Scenarios'!D26</f>
        <v>0</v>
      </c>
      <c r="E26" t="str">
        <f>'Input Scenarios'!E26</f>
        <v>others</v>
      </c>
      <c r="F26">
        <f>'Input Scenarios'!F26</f>
        <v>999</v>
      </c>
      <c r="G26">
        <f>'Input Scenarios'!G26</f>
        <v>299</v>
      </c>
      <c r="H26">
        <f>IF('Input Scenarios'!H26&lt;&gt;"", 'Input Scenarios'!H26, _xlfn.XLOOKUP($E26,Constants!$A$3:$A$6, Constants!B$3:B$6))</f>
        <v>1.71</v>
      </c>
      <c r="I26">
        <f>IF('Input Scenarios'!I26&lt;&gt;"", 'Input Scenarios'!I26, _xlfn.XLOOKUP($E26,Constants!$A$3:$A$6, Constants!C$3:C$6))</f>
        <v>0.39</v>
      </c>
      <c r="J26">
        <f>IF('Input Scenarios'!J26&lt;&gt;"", 'Input Scenarios'!J26, _xlfn.XLOOKUP($E26,Constants!$A$3:$A$6, Constants!D$3:D$6))</f>
        <v>3.1232876712328769E-2</v>
      </c>
      <c r="K26">
        <f>'Input Scenarios'!K26</f>
        <v>0</v>
      </c>
      <c r="L26">
        <f>'Input Scenarios'!L26</f>
        <v>0</v>
      </c>
      <c r="M26">
        <f>'Input Scenarios'!M26</f>
        <v>0</v>
      </c>
      <c r="N26">
        <f>'Input Scenarios'!N26</f>
        <v>0</v>
      </c>
      <c r="O26">
        <f>'Input Scenarios'!O26</f>
        <v>0</v>
      </c>
      <c r="P26">
        <f>'Input Scenarios'!P26</f>
        <v>0</v>
      </c>
      <c r="Q26" t="b">
        <f>'Input Scenarios'!Q26</f>
        <v>1</v>
      </c>
      <c r="R26">
        <f>IF('Input Scenarios'!$R26&lt;&gt;"", 'Input Scenarios'!$R26, IF($Q26, Constants!$B$19, 0))</f>
        <v>0.25</v>
      </c>
      <c r="S26">
        <f>IF('Input Scenarios'!$R26&lt;&gt;"", 'Input Scenarios'!$R26, IF($Q26, Constants!$B$20, 0))</f>
        <v>0.25</v>
      </c>
      <c r="T26">
        <f t="shared" si="3"/>
        <v>9329.2915068493148</v>
      </c>
      <c r="U26">
        <f t="shared" si="4"/>
        <v>0</v>
      </c>
      <c r="V26">
        <f t="shared" si="5"/>
        <v>0</v>
      </c>
      <c r="W26">
        <f t="shared" si="6"/>
        <v>0</v>
      </c>
      <c r="X26">
        <f t="shared" si="7"/>
        <v>0</v>
      </c>
      <c r="Y26">
        <f t="shared" si="8"/>
        <v>0</v>
      </c>
      <c r="Z26">
        <f t="shared" si="9"/>
        <v>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13"/>
        <v>0</v>
      </c>
      <c r="AE26">
        <f t="shared" si="14"/>
        <v>0</v>
      </c>
      <c r="AF26">
        <f t="shared" si="15"/>
        <v>0</v>
      </c>
      <c r="AG26" s="11">
        <f>Constants!$C$10</f>
        <v>0.55000000000000004</v>
      </c>
      <c r="AH26" s="11">
        <f>Constants!$C$12</f>
        <v>0.3</v>
      </c>
      <c r="AI26" s="11">
        <f>Constants!$C$13</f>
        <v>0</v>
      </c>
      <c r="AJ26" s="11">
        <f>Constants!$C$14</f>
        <v>0.125</v>
      </c>
      <c r="AK26" s="11">
        <f>Constants!$C$15</f>
        <v>0.25</v>
      </c>
      <c r="AL26" s="11">
        <f>Constants!$C$11</f>
        <v>0.2</v>
      </c>
      <c r="AM26" s="11">
        <f>Constants!$D$10</f>
        <v>0</v>
      </c>
      <c r="AN26" s="11">
        <f>Constants!$D$12</f>
        <v>0.02</v>
      </c>
      <c r="AO26" s="11">
        <f>Constants!$D$13</f>
        <v>0</v>
      </c>
      <c r="AP26" s="11">
        <f>Constants!$D$14</f>
        <v>0.01</v>
      </c>
      <c r="AQ26" s="11">
        <f>Constants!$D$15</f>
        <v>2E-3</v>
      </c>
      <c r="AR26" s="11">
        <f>Constants!$D$11</f>
        <v>5.0000000000000001E-3</v>
      </c>
      <c r="AS26">
        <f t="shared" si="16"/>
        <v>0</v>
      </c>
      <c r="AT26">
        <f t="shared" si="17"/>
        <v>0</v>
      </c>
      <c r="AU26">
        <f t="shared" si="18"/>
        <v>0</v>
      </c>
      <c r="AV26">
        <f t="shared" si="19"/>
        <v>0</v>
      </c>
      <c r="AW26">
        <f t="shared" si="20"/>
        <v>0</v>
      </c>
      <c r="AX26">
        <f t="shared" si="21"/>
        <v>0</v>
      </c>
      <c r="AY26">
        <f t="shared" si="22"/>
        <v>0</v>
      </c>
      <c r="AZ26">
        <f t="shared" si="23"/>
        <v>0</v>
      </c>
      <c r="BA26">
        <f t="shared" si="24"/>
        <v>0</v>
      </c>
      <c r="BB26">
        <f t="shared" si="25"/>
        <v>0</v>
      </c>
      <c r="BC26">
        <f>Constants!$B$23</f>
        <v>1.5714285714285714</v>
      </c>
      <c r="BD26">
        <f t="shared" si="26"/>
        <v>0</v>
      </c>
      <c r="BE26">
        <f t="shared" si="27"/>
        <v>0</v>
      </c>
      <c r="BF26">
        <f t="shared" si="28"/>
        <v>0</v>
      </c>
      <c r="BG26">
        <f t="shared" si="29"/>
        <v>0</v>
      </c>
      <c r="BH26">
        <f t="shared" si="30"/>
        <v>0</v>
      </c>
      <c r="BI26">
        <f t="shared" si="31"/>
        <v>0</v>
      </c>
      <c r="BJ26">
        <f t="shared" si="32"/>
        <v>0</v>
      </c>
      <c r="BK26">
        <f t="shared" si="3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42AA-E45B-5543-9803-D6C647B11E76}">
  <dimension ref="A2:BO26"/>
  <sheetViews>
    <sheetView topLeftCell="BB2" workbookViewId="0">
      <selection activeCell="W8" sqref="W8"/>
    </sheetView>
  </sheetViews>
  <sheetFormatPr baseColWidth="10" defaultRowHeight="16" x14ac:dyDescent="0.2"/>
  <cols>
    <col min="64" max="64" width="12.5" customWidth="1"/>
  </cols>
  <sheetData>
    <row r="2" spans="1:67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67" x14ac:dyDescent="0.2">
      <c r="A3" s="1"/>
      <c r="B3" s="1"/>
      <c r="C3" s="1"/>
      <c r="D3" s="1"/>
      <c r="E3" s="1"/>
      <c r="F3" s="1"/>
      <c r="G3" s="1"/>
      <c r="H3" s="1"/>
    </row>
    <row r="4" spans="1:67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/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/>
    </row>
    <row r="5" spans="1:67" x14ac:dyDescent="0.2">
      <c r="A5" s="1"/>
      <c r="B5" s="1"/>
      <c r="C5" s="1"/>
      <c r="D5" s="1"/>
      <c r="E5" s="1"/>
      <c r="F5" s="1"/>
      <c r="G5" s="1"/>
      <c r="H5" s="1"/>
    </row>
    <row r="6" spans="1:67" x14ac:dyDescent="0.2">
      <c r="A6" s="1"/>
      <c r="B6" s="1"/>
      <c r="C6" s="1"/>
      <c r="D6" s="1"/>
      <c r="E6" s="1"/>
      <c r="F6" s="1"/>
      <c r="G6" s="1"/>
      <c r="H6" s="1"/>
    </row>
    <row r="7" spans="1:67" x14ac:dyDescent="0.2">
      <c r="A7" s="1"/>
      <c r="B7" s="1"/>
      <c r="C7" s="1"/>
      <c r="D7" s="1"/>
      <c r="E7" s="1"/>
      <c r="F7" s="1"/>
      <c r="G7" s="1"/>
      <c r="H7" s="1"/>
    </row>
    <row r="8" spans="1:67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114</v>
      </c>
      <c r="I8" s="1" t="s">
        <v>116</v>
      </c>
      <c r="J8" s="1" t="s">
        <v>117</v>
      </c>
      <c r="K8" t="s">
        <v>29</v>
      </c>
      <c r="L8" t="s">
        <v>31</v>
      </c>
      <c r="M8" t="s">
        <v>32</v>
      </c>
      <c r="N8" t="s">
        <v>33</v>
      </c>
      <c r="O8" t="s">
        <v>34</v>
      </c>
      <c r="P8" t="s">
        <v>30</v>
      </c>
      <c r="Q8" t="s">
        <v>36</v>
      </c>
      <c r="R8" t="s">
        <v>37</v>
      </c>
    </row>
    <row r="9" spans="1:67" x14ac:dyDescent="0.2">
      <c r="A9" s="1"/>
      <c r="B9" s="1"/>
      <c r="C9" s="1"/>
      <c r="D9" s="1"/>
      <c r="E9" s="1"/>
      <c r="F9" s="1"/>
      <c r="G9" s="1"/>
      <c r="H9" s="1"/>
    </row>
    <row r="10" spans="1:67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113</v>
      </c>
      <c r="I10" s="3" t="s">
        <v>16</v>
      </c>
      <c r="J10" s="3" t="s">
        <v>15</v>
      </c>
      <c r="K10" s="3" t="s">
        <v>18</v>
      </c>
      <c r="L10" s="3" t="s">
        <v>17</v>
      </c>
      <c r="M10" s="3" t="s">
        <v>20</v>
      </c>
      <c r="N10" s="3" t="s">
        <v>21</v>
      </c>
      <c r="O10" s="3" t="s">
        <v>22</v>
      </c>
      <c r="P10" s="3" t="s">
        <v>19</v>
      </c>
      <c r="Q10" s="3" t="s">
        <v>35</v>
      </c>
      <c r="R10" s="3" t="s">
        <v>23</v>
      </c>
      <c r="S10" s="10" t="s">
        <v>24</v>
      </c>
      <c r="T10" s="6" t="s">
        <v>115</v>
      </c>
      <c r="U10" s="6" t="s">
        <v>120</v>
      </c>
      <c r="V10" s="6" t="s">
        <v>121</v>
      </c>
      <c r="W10" s="7" t="s">
        <v>122</v>
      </c>
      <c r="X10" s="7" t="s">
        <v>123</v>
      </c>
      <c r="Y10" s="7" t="s">
        <v>124</v>
      </c>
      <c r="Z10" s="7" t="s">
        <v>125</v>
      </c>
      <c r="AA10" s="7" t="s">
        <v>145</v>
      </c>
      <c r="AB10" s="7" t="s">
        <v>146</v>
      </c>
      <c r="AC10" s="7" t="s">
        <v>147</v>
      </c>
      <c r="AD10" s="7" t="s">
        <v>148</v>
      </c>
      <c r="AE10" s="7" t="s">
        <v>149</v>
      </c>
      <c r="AF10" s="7" t="s">
        <v>150</v>
      </c>
      <c r="AG10" s="7" t="s">
        <v>126</v>
      </c>
      <c r="AH10" s="7" t="s">
        <v>128</v>
      </c>
      <c r="AI10" s="7" t="s">
        <v>129</v>
      </c>
      <c r="AJ10" s="7" t="s">
        <v>130</v>
      </c>
      <c r="AK10" s="7" t="s">
        <v>131</v>
      </c>
      <c r="AL10" s="7" t="s">
        <v>127</v>
      </c>
      <c r="AM10" s="7" t="s">
        <v>132</v>
      </c>
      <c r="AN10" s="7" t="s">
        <v>133</v>
      </c>
      <c r="AO10" s="7" t="s">
        <v>135</v>
      </c>
      <c r="AP10" s="7" t="s">
        <v>136</v>
      </c>
      <c r="AQ10" s="7" t="s">
        <v>137</v>
      </c>
      <c r="AR10" s="7" t="s">
        <v>134</v>
      </c>
      <c r="AS10" s="7" t="s">
        <v>139</v>
      </c>
      <c r="AT10" s="7" t="s">
        <v>140</v>
      </c>
      <c r="AU10" s="7" t="s">
        <v>141</v>
      </c>
      <c r="AV10" s="7" t="s">
        <v>143</v>
      </c>
      <c r="AW10" s="7" t="s">
        <v>144</v>
      </c>
      <c r="AX10" s="7" t="s">
        <v>142</v>
      </c>
      <c r="AY10" s="7" t="s">
        <v>138</v>
      </c>
      <c r="AZ10" s="7" t="s">
        <v>151</v>
      </c>
      <c r="BA10" s="7" t="s">
        <v>152</v>
      </c>
      <c r="BB10" s="7" t="s">
        <v>186</v>
      </c>
      <c r="BC10" s="7" t="s">
        <v>71</v>
      </c>
      <c r="BD10" s="13" t="s">
        <v>161</v>
      </c>
      <c r="BE10" s="13" t="s">
        <v>163</v>
      </c>
      <c r="BF10" s="13" t="s">
        <v>164</v>
      </c>
      <c r="BG10" s="13" t="s">
        <v>165</v>
      </c>
      <c r="BH10" s="13" t="s">
        <v>166</v>
      </c>
      <c r="BI10" s="13" t="s">
        <v>168</v>
      </c>
      <c r="BJ10" s="13" t="s">
        <v>162</v>
      </c>
      <c r="BK10" s="13" t="s">
        <v>167</v>
      </c>
      <c r="BL10" s="13" t="s">
        <v>169</v>
      </c>
      <c r="BM10" s="13" t="s">
        <v>74</v>
      </c>
      <c r="BN10" s="8" t="s">
        <v>171</v>
      </c>
      <c r="BO10" s="8" t="s">
        <v>170</v>
      </c>
    </row>
    <row r="11" spans="1:67" x14ac:dyDescent="0.2">
      <c r="A11" t="str">
        <f>'Input Scenarios'!A11</f>
        <v>NSW</v>
      </c>
      <c r="B11">
        <f>'Input Scenarios'!B11</f>
        <v>0</v>
      </c>
      <c r="C11" t="str">
        <f>'Input Scenarios'!C11</f>
        <v>Irrigated crop</v>
      </c>
      <c r="D11" t="b">
        <f>'Input Scenarios'!D11</f>
        <v>1</v>
      </c>
      <c r="E11" t="str">
        <f>'Input Scenarios'!E11</f>
        <v>boars</v>
      </c>
      <c r="F11">
        <f>'Input Scenarios'!F11</f>
        <v>111</v>
      </c>
      <c r="G11">
        <f>'Input Scenarios'!G11</f>
        <v>105</v>
      </c>
      <c r="H11">
        <f>IF('Input Scenarios'!H11&lt;&gt;"", 'Input Scenarios'!H11, _xlfn.XLOOKUP($E11,Constants!$A$3:$A$6, Constants!B$3:B$6))</f>
        <v>2.62</v>
      </c>
      <c r="I11">
        <f>IF('Input Scenarios'!I11&lt;&gt;"", 'Input Scenarios'!I11, _xlfn.XLOOKUP($E11,Constants!$A$3:$A$6, Constants!C$3:C$6))</f>
        <v>0.4</v>
      </c>
      <c r="J11">
        <f>IF('Input Scenarios'!J11&lt;&gt;"", 'Input Scenarios'!J11, _xlfn.XLOOKUP($E11,Constants!$A$3:$A$6, Constants!D$3:D$6))</f>
        <v>4.5999999999999999E-2</v>
      </c>
      <c r="K11">
        <f>'Input Scenarios'!K11</f>
        <v>1</v>
      </c>
      <c r="L11">
        <f>'Input Scenarios'!L11</f>
        <v>0</v>
      </c>
      <c r="M11">
        <f>'Input Scenarios'!M11</f>
        <v>0</v>
      </c>
      <c r="N11">
        <f>'Input Scenarios'!N11</f>
        <v>0</v>
      </c>
      <c r="O11">
        <f>'Input Scenarios'!O11</f>
        <v>0</v>
      </c>
      <c r="P11">
        <f>'Input Scenarios'!P11</f>
        <v>0</v>
      </c>
      <c r="Q11" t="b">
        <f>'Input Scenarios'!Q11</f>
        <v>1</v>
      </c>
      <c r="R11">
        <f>IF('Input Scenarios'!$R11&lt;&gt;"", 'Input Scenarios'!$R11, IF($Q11, Constants!$B$19, 0))</f>
        <v>0.25</v>
      </c>
      <c r="S11">
        <f>IF('Input Scenarios'!$R11&lt;&gt;"", 'Input Scenarios'!$R11, IF($Q11, Constants!$B$20, 0))</f>
        <v>0.25</v>
      </c>
      <c r="T11">
        <f>F11*G11*J11</f>
        <v>536.13</v>
      </c>
      <c r="U11">
        <f>K11*(1-$S11)</f>
        <v>0.75</v>
      </c>
      <c r="V11">
        <f>L11</f>
        <v>0</v>
      </c>
      <c r="W11">
        <f t="shared" ref="W11:Y26" si="0">M11*(1-$S11)</f>
        <v>0</v>
      </c>
      <c r="X11">
        <f>N11</f>
        <v>0</v>
      </c>
      <c r="Y11">
        <f t="shared" si="0"/>
        <v>0</v>
      </c>
      <c r="Z11">
        <f>P11+(SUM(K11, M11, O11)*S11)</f>
        <v>0.25</v>
      </c>
      <c r="AA11">
        <f>$T11*U11</f>
        <v>402.09749999999997</v>
      </c>
      <c r="AB11">
        <f t="shared" ref="AB11:AF26" si="1">$T11*V11</f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134.0325</v>
      </c>
      <c r="AG11" s="11">
        <f>Constants!$C$10</f>
        <v>0.55000000000000004</v>
      </c>
      <c r="AH11" s="11">
        <f>Constants!$C$12</f>
        <v>0.3</v>
      </c>
      <c r="AI11" s="11">
        <f>Constants!$C$13</f>
        <v>0</v>
      </c>
      <c r="AJ11" s="11">
        <f>Constants!$C$14</f>
        <v>0.125</v>
      </c>
      <c r="AK11" s="11">
        <f>Constants!$C$15</f>
        <v>0.25</v>
      </c>
      <c r="AL11" s="11">
        <f>Constants!$C$11</f>
        <v>0.2</v>
      </c>
      <c r="AM11" s="11">
        <f>Constants!$D$10</f>
        <v>0</v>
      </c>
      <c r="AN11" s="11">
        <f>Constants!$D$12</f>
        <v>0.02</v>
      </c>
      <c r="AO11" s="11">
        <f>Constants!$D$13</f>
        <v>0</v>
      </c>
      <c r="AP11" s="11">
        <f>Constants!$D$14</f>
        <v>0.01</v>
      </c>
      <c r="AQ11" s="11">
        <f>Constants!$D$15</f>
        <v>2E-3</v>
      </c>
      <c r="AR11" s="11">
        <f>Constants!$D$11</f>
        <v>5.0000000000000001E-3</v>
      </c>
      <c r="AS11">
        <f>AA11*(1-AG11-AM11)</f>
        <v>180.94387499999996</v>
      </c>
      <c r="AT11">
        <f t="shared" ref="AT11:AX26" si="2">AB11*(1-AH11-AN11)</f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2"/>
        <v>106.55583750000001</v>
      </c>
      <c r="AY11">
        <f>SUM(AS11:AX11)</f>
        <v>287.49971249999999</v>
      </c>
      <c r="AZ11">
        <f>AU11</f>
        <v>0</v>
      </c>
      <c r="BA11">
        <f>AV11</f>
        <v>0</v>
      </c>
      <c r="BB11">
        <f>SUM(AS11:AT11,AW11:AX11)</f>
        <v>287.49971249999999</v>
      </c>
      <c r="BC11">
        <f>Constants!$B$23</f>
        <v>1.5714285714285714</v>
      </c>
      <c r="BD11">
        <f>AA11*AG11</f>
        <v>221.15362500000001</v>
      </c>
      <c r="BE11">
        <f>AB11*AH11</f>
        <v>0</v>
      </c>
      <c r="BF11">
        <f>AC11*AI11</f>
        <v>0</v>
      </c>
      <c r="BG11">
        <f>AD11*AJ11</f>
        <v>0</v>
      </c>
      <c r="BH11">
        <f>AE11*AK11</f>
        <v>0</v>
      </c>
      <c r="BI11">
        <f>AF11*AL11</f>
        <v>26.8065</v>
      </c>
      <c r="BJ11">
        <f>AZ11*AG11</f>
        <v>0</v>
      </c>
      <c r="BK11">
        <f>BA11*AL11</f>
        <v>0</v>
      </c>
      <c r="BL11">
        <f>SUM(BD11:BK11)</f>
        <v>247.96012500000001</v>
      </c>
      <c r="BM11">
        <f>_xlfn.XLOOKUP(C11, Constants!$D$19:$D$23, Constants!$E$19:$E$23)</f>
        <v>7.0000000000000001E-3</v>
      </c>
      <c r="BN11">
        <f>(BL11*BM11*BC11)/1000</f>
        <v>2.7275613750000001E-3</v>
      </c>
      <c r="BO11">
        <f>SUM(BN11:BN14)</f>
        <v>3.077206935E-2</v>
      </c>
    </row>
    <row r="12" spans="1:67" x14ac:dyDescent="0.2">
      <c r="A12" t="str">
        <f>'Input Scenarios'!A12</f>
        <v>NSW</v>
      </c>
      <c r="B12">
        <f>'Input Scenarios'!B12</f>
        <v>0</v>
      </c>
      <c r="C12" t="str">
        <f>'Input Scenarios'!C12</f>
        <v>Irrigated crop</v>
      </c>
      <c r="D12" t="b">
        <f>'Input Scenarios'!D12</f>
        <v>1</v>
      </c>
      <c r="E12" t="str">
        <f>'Input Scenarios'!E12</f>
        <v>sows</v>
      </c>
      <c r="F12">
        <f>'Input Scenarios'!F12</f>
        <v>222</v>
      </c>
      <c r="G12">
        <f>'Input Scenarios'!G12</f>
        <v>103</v>
      </c>
      <c r="H12">
        <f>IF('Input Scenarios'!H12&lt;&gt;"", 'Input Scenarios'!H12, _xlfn.XLOOKUP($E12,Constants!$A$3:$A$6, Constants!B$3:B$6))</f>
        <v>2.2999999999999998</v>
      </c>
      <c r="I12">
        <f>IF('Input Scenarios'!I12&lt;&gt;"", 'Input Scenarios'!I12, _xlfn.XLOOKUP($E12,Constants!$A$3:$A$6, Constants!C$3:C$6))</f>
        <v>0.46</v>
      </c>
      <c r="J12">
        <f>IF('Input Scenarios'!J12&lt;&gt;"", 'Input Scenarios'!J12, _xlfn.XLOOKUP($E12,Constants!$A$3:$A$6, Constants!D$3:D$6))</f>
        <v>4.9000000000000002E-2</v>
      </c>
      <c r="K12">
        <f>'Input Scenarios'!K12</f>
        <v>1</v>
      </c>
      <c r="L12">
        <f>'Input Scenarios'!L12</f>
        <v>0</v>
      </c>
      <c r="M12">
        <f>'Input Scenarios'!M12</f>
        <v>0</v>
      </c>
      <c r="N12">
        <f>'Input Scenarios'!N12</f>
        <v>0</v>
      </c>
      <c r="O12">
        <f>'Input Scenarios'!O12</f>
        <v>0</v>
      </c>
      <c r="P12">
        <f>'Input Scenarios'!P12</f>
        <v>0</v>
      </c>
      <c r="Q12" t="b">
        <f>'Input Scenarios'!Q12</f>
        <v>1</v>
      </c>
      <c r="R12">
        <f>IF('Input Scenarios'!$R12&lt;&gt;"", 'Input Scenarios'!$R12, IF($Q12, Constants!$B$19, 0))</f>
        <v>0.25</v>
      </c>
      <c r="S12">
        <f>IF('Input Scenarios'!$R12&lt;&gt;"", 'Input Scenarios'!$R12, IF($Q12, Constants!$B$20, 0))</f>
        <v>0.25</v>
      </c>
      <c r="T12">
        <f t="shared" ref="T12:T26" si="3">F12*G12*J12</f>
        <v>1120.434</v>
      </c>
      <c r="U12">
        <f t="shared" ref="U12:U26" si="4">K12*(1-$S12)</f>
        <v>0.75</v>
      </c>
      <c r="V12">
        <f t="shared" ref="V12:V26" si="5">L12</f>
        <v>0</v>
      </c>
      <c r="W12">
        <f t="shared" si="0"/>
        <v>0</v>
      </c>
      <c r="X12">
        <f t="shared" ref="X12:X26" si="6">N12</f>
        <v>0</v>
      </c>
      <c r="Y12">
        <f t="shared" si="0"/>
        <v>0</v>
      </c>
      <c r="Z12">
        <f t="shared" ref="Z12:Z26" si="7">P12+(SUM(K12, M12, O12)*S12)</f>
        <v>0.25</v>
      </c>
      <c r="AA12">
        <f t="shared" ref="AA12:AA26" si="8">$T12*U12</f>
        <v>840.32549999999992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280.10849999999999</v>
      </c>
      <c r="AG12" s="11">
        <f>Constants!$C$10</f>
        <v>0.55000000000000004</v>
      </c>
      <c r="AH12" s="11">
        <f>Constants!$C$12</f>
        <v>0.3</v>
      </c>
      <c r="AI12" s="11">
        <f>Constants!$C$13</f>
        <v>0</v>
      </c>
      <c r="AJ12" s="11">
        <f>Constants!$C$14</f>
        <v>0.125</v>
      </c>
      <c r="AK12" s="11">
        <f>Constants!$C$15</f>
        <v>0.25</v>
      </c>
      <c r="AL12" s="11">
        <f>Constants!$C$11</f>
        <v>0.2</v>
      </c>
      <c r="AM12" s="11">
        <f>Constants!$D$10</f>
        <v>0</v>
      </c>
      <c r="AN12" s="11">
        <f>Constants!$D$12</f>
        <v>0.02</v>
      </c>
      <c r="AO12" s="11">
        <f>Constants!$D$13</f>
        <v>0</v>
      </c>
      <c r="AP12" s="11">
        <f>Constants!$D$14</f>
        <v>0.01</v>
      </c>
      <c r="AQ12" s="11">
        <f>Constants!$D$15</f>
        <v>2E-3</v>
      </c>
      <c r="AR12" s="11">
        <f>Constants!$D$11</f>
        <v>5.0000000000000001E-3</v>
      </c>
      <c r="AS12">
        <f t="shared" ref="AS12:AS26" si="9">AA12*(1-AG12-AM12)</f>
        <v>378.14647499999995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2"/>
        <v>222.68625750000001</v>
      </c>
      <c r="AY12">
        <f t="shared" ref="AY12:AY26" si="10">SUM(AS12:AX12)</f>
        <v>600.83273250000002</v>
      </c>
      <c r="AZ12">
        <f t="shared" ref="AZ12:BA26" si="11">AU12</f>
        <v>0</v>
      </c>
      <c r="BA12">
        <f t="shared" si="11"/>
        <v>0</v>
      </c>
      <c r="BB12">
        <f t="shared" ref="BB12:BB26" si="12">SUM(AS12:AT12,AW12:AX12)</f>
        <v>600.83273250000002</v>
      </c>
      <c r="BC12">
        <f>Constants!$B$23</f>
        <v>1.5714285714285714</v>
      </c>
      <c r="BD12">
        <f>AA12*AG12</f>
        <v>462.17902499999997</v>
      </c>
      <c r="BE12">
        <f>AB12*AH12</f>
        <v>0</v>
      </c>
      <c r="BF12">
        <f>AC12*AI12</f>
        <v>0</v>
      </c>
      <c r="BG12">
        <f>AD12*AJ12</f>
        <v>0</v>
      </c>
      <c r="BH12">
        <f>AE12*AK12</f>
        <v>0</v>
      </c>
      <c r="BI12">
        <f>AF12*AL12</f>
        <v>56.021700000000003</v>
      </c>
      <c r="BJ12">
        <f t="shared" ref="BJ12:BJ26" si="13">AZ12*AG12</f>
        <v>0</v>
      </c>
      <c r="BK12">
        <f t="shared" ref="BK12:BK26" si="14">BA12*AL12</f>
        <v>0</v>
      </c>
      <c r="BL12">
        <f t="shared" ref="BL12:BL26" si="15">SUM(BD12:BK12)</f>
        <v>518.20072499999992</v>
      </c>
      <c r="BM12">
        <f>_xlfn.XLOOKUP(C12, Constants!$D$19:$D$23, Constants!$E$19:$E$23)</f>
        <v>7.0000000000000001E-3</v>
      </c>
      <c r="BN12">
        <f t="shared" ref="BN12:BN26" si="16">(BL12*BM12*BC12)/1000</f>
        <v>5.7002079749999988E-3</v>
      </c>
    </row>
    <row r="13" spans="1:67" x14ac:dyDescent="0.2">
      <c r="A13" t="str">
        <f>'Input Scenarios'!A13</f>
        <v>NSW</v>
      </c>
      <c r="B13">
        <f>'Input Scenarios'!B13</f>
        <v>0</v>
      </c>
      <c r="C13" t="str">
        <f>'Input Scenarios'!C13</f>
        <v>Irrigated crop</v>
      </c>
      <c r="D13" t="b">
        <f>'Input Scenarios'!D13</f>
        <v>1</v>
      </c>
      <c r="E13" t="str">
        <f>'Input Scenarios'!E13</f>
        <v>gilts</v>
      </c>
      <c r="F13">
        <f>'Input Scenarios'!F13</f>
        <v>333</v>
      </c>
      <c r="G13">
        <f>'Input Scenarios'!G13</f>
        <v>200</v>
      </c>
      <c r="H13">
        <f>IF('Input Scenarios'!H13&lt;&gt;"", 'Input Scenarios'!H13, _xlfn.XLOOKUP($E13,Constants!$A$3:$A$6, Constants!B$3:B$6))</f>
        <v>2.5</v>
      </c>
      <c r="I13">
        <f>IF('Input Scenarios'!I13&lt;&gt;"", 'Input Scenarios'!I13, _xlfn.XLOOKUP($E13,Constants!$A$3:$A$6, Constants!C$3:C$6))</f>
        <v>0.55000000000000004</v>
      </c>
      <c r="J13">
        <f>IF('Input Scenarios'!J13&lt;&gt;"", 'Input Scenarios'!J13, _xlfn.XLOOKUP($E13,Constants!$A$3:$A$6, Constants!D$3:D$6))</f>
        <v>4.5999999999999999E-2</v>
      </c>
      <c r="K13">
        <f>'Input Scenarios'!K13</f>
        <v>0</v>
      </c>
      <c r="L13">
        <f>'Input Scenarios'!L13</f>
        <v>0</v>
      </c>
      <c r="M13">
        <f>'Input Scenarios'!M13</f>
        <v>0</v>
      </c>
      <c r="N13">
        <f>'Input Scenarios'!N13</f>
        <v>0</v>
      </c>
      <c r="O13">
        <f>'Input Scenarios'!O13</f>
        <v>1</v>
      </c>
      <c r="P13">
        <f>'Input Scenarios'!P13</f>
        <v>0</v>
      </c>
      <c r="Q13" t="b">
        <f>'Input Scenarios'!Q13</f>
        <v>0</v>
      </c>
      <c r="R13">
        <f>IF('Input Scenarios'!$R13&lt;&gt;"", 'Input Scenarios'!$R13, IF($Q13, Constants!$B$19, 0))</f>
        <v>0</v>
      </c>
      <c r="S13">
        <f>IF('Input Scenarios'!$R13&lt;&gt;"", 'Input Scenarios'!$R13, IF($Q13, Constants!$B$20, 0))</f>
        <v>0</v>
      </c>
      <c r="T13">
        <f t="shared" si="3"/>
        <v>3063.6</v>
      </c>
      <c r="U13">
        <f t="shared" si="4"/>
        <v>0</v>
      </c>
      <c r="V13">
        <f t="shared" si="5"/>
        <v>0</v>
      </c>
      <c r="W13">
        <f t="shared" si="0"/>
        <v>0</v>
      </c>
      <c r="X13">
        <f t="shared" si="6"/>
        <v>0</v>
      </c>
      <c r="Y13">
        <f t="shared" si="0"/>
        <v>1</v>
      </c>
      <c r="Z13">
        <f t="shared" si="7"/>
        <v>0</v>
      </c>
      <c r="AA13">
        <f t="shared" si="8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3063.6</v>
      </c>
      <c r="AF13">
        <f t="shared" si="1"/>
        <v>0</v>
      </c>
      <c r="AG13" s="11">
        <f>Constants!$C$10</f>
        <v>0.55000000000000004</v>
      </c>
      <c r="AH13" s="11">
        <f>Constants!$C$12</f>
        <v>0.3</v>
      </c>
      <c r="AI13" s="11">
        <f>Constants!$C$13</f>
        <v>0</v>
      </c>
      <c r="AJ13" s="11">
        <f>Constants!$C$14</f>
        <v>0.125</v>
      </c>
      <c r="AK13" s="11">
        <f>Constants!$C$15</f>
        <v>0.25</v>
      </c>
      <c r="AL13" s="11">
        <f>Constants!$C$11</f>
        <v>0.2</v>
      </c>
      <c r="AM13" s="11">
        <f>Constants!$D$10</f>
        <v>0</v>
      </c>
      <c r="AN13" s="11">
        <f>Constants!$D$12</f>
        <v>0.02</v>
      </c>
      <c r="AO13" s="11">
        <f>Constants!$D$13</f>
        <v>0</v>
      </c>
      <c r="AP13" s="11">
        <f>Constants!$D$14</f>
        <v>0.01</v>
      </c>
      <c r="AQ13" s="11">
        <f>Constants!$D$15</f>
        <v>2E-3</v>
      </c>
      <c r="AR13" s="11">
        <f>Constants!$D$11</f>
        <v>5.0000000000000001E-3</v>
      </c>
      <c r="AS13">
        <f t="shared" si="9"/>
        <v>0</v>
      </c>
      <c r="AT13">
        <f t="shared" si="2"/>
        <v>0</v>
      </c>
      <c r="AU13">
        <f t="shared" si="2"/>
        <v>0</v>
      </c>
      <c r="AV13">
        <f t="shared" si="2"/>
        <v>0</v>
      </c>
      <c r="AW13">
        <f t="shared" si="2"/>
        <v>2291.5727999999999</v>
      </c>
      <c r="AX13">
        <f t="shared" si="2"/>
        <v>0</v>
      </c>
      <c r="AY13">
        <f t="shared" si="10"/>
        <v>2291.5727999999999</v>
      </c>
      <c r="AZ13">
        <f t="shared" si="11"/>
        <v>0</v>
      </c>
      <c r="BA13">
        <f t="shared" si="11"/>
        <v>0</v>
      </c>
      <c r="BB13">
        <f t="shared" si="12"/>
        <v>2291.5727999999999</v>
      </c>
      <c r="BC13">
        <f>Constants!$B$23</f>
        <v>1.5714285714285714</v>
      </c>
      <c r="BD13">
        <f>AA13*AG13</f>
        <v>0</v>
      </c>
      <c r="BE13">
        <f>AB13*AH13</f>
        <v>0</v>
      </c>
      <c r="BF13">
        <f>AC13*AI13</f>
        <v>0</v>
      </c>
      <c r="BG13">
        <f>AD13*AJ13</f>
        <v>0</v>
      </c>
      <c r="BH13">
        <f>AE13*AK13</f>
        <v>765.9</v>
      </c>
      <c r="BI13">
        <f>AF13*AL13</f>
        <v>0</v>
      </c>
      <c r="BJ13">
        <f t="shared" si="13"/>
        <v>0</v>
      </c>
      <c r="BK13">
        <f t="shared" si="14"/>
        <v>0</v>
      </c>
      <c r="BL13">
        <f t="shared" si="15"/>
        <v>765.9</v>
      </c>
      <c r="BM13">
        <f>_xlfn.XLOOKUP(C13, Constants!$D$19:$D$23, Constants!$E$19:$E$23)</f>
        <v>7.0000000000000001E-3</v>
      </c>
      <c r="BN13">
        <f t="shared" si="16"/>
        <v>8.4248999999999991E-3</v>
      </c>
    </row>
    <row r="14" spans="1:67" s="2" customFormat="1" x14ac:dyDescent="0.2">
      <c r="A14" s="2" t="str">
        <f>'Input Scenarios'!A14</f>
        <v>NSW</v>
      </c>
      <c r="B14" s="2">
        <f>'Input Scenarios'!B14</f>
        <v>0</v>
      </c>
      <c r="C14" s="2" t="str">
        <f>'Input Scenarios'!C14</f>
        <v>Irrigated crop</v>
      </c>
      <c r="D14" s="2" t="b">
        <f>'Input Scenarios'!D14</f>
        <v>1</v>
      </c>
      <c r="E14" s="2" t="str">
        <f>'Input Scenarios'!E14</f>
        <v>others</v>
      </c>
      <c r="F14" s="2">
        <f>'Input Scenarios'!F14</f>
        <v>444</v>
      </c>
      <c r="G14" s="2">
        <f>'Input Scenarios'!G14</f>
        <v>365</v>
      </c>
      <c r="H14">
        <f>IF('Input Scenarios'!H14&lt;&gt;"", 'Input Scenarios'!H14, _xlfn.XLOOKUP($E14,Constants!$A$3:$A$6, Constants!B$3:B$6))</f>
        <v>1.71</v>
      </c>
      <c r="I14">
        <f>IF('Input Scenarios'!I14&lt;&gt;"", 'Input Scenarios'!I14, _xlfn.XLOOKUP($E14,Constants!$A$3:$A$6, Constants!C$3:C$6))</f>
        <v>0.39</v>
      </c>
      <c r="J14">
        <f>IF('Input Scenarios'!J14&lt;&gt;"", 'Input Scenarios'!J14, _xlfn.XLOOKUP($E14,Constants!$A$3:$A$6, Constants!D$3:D$6))</f>
        <v>3.1232876712328769E-2</v>
      </c>
      <c r="K14" s="2">
        <f>'Input Scenarios'!K14</f>
        <v>0</v>
      </c>
      <c r="L14" s="2">
        <f>'Input Scenarios'!L14</f>
        <v>0</v>
      </c>
      <c r="M14" s="2">
        <f>'Input Scenarios'!M14</f>
        <v>0</v>
      </c>
      <c r="N14" s="2">
        <f>'Input Scenarios'!N14</f>
        <v>0</v>
      </c>
      <c r="O14" s="2">
        <f>'Input Scenarios'!O14</f>
        <v>1</v>
      </c>
      <c r="P14" s="2">
        <f>'Input Scenarios'!P14</f>
        <v>0</v>
      </c>
      <c r="Q14" s="2" t="b">
        <f>'Input Scenarios'!Q14</f>
        <v>0</v>
      </c>
      <c r="R14" s="2">
        <f>IF('Input Scenarios'!$R14&lt;&gt;"", 'Input Scenarios'!$R14, IF($Q14, Constants!$B$19, 0))</f>
        <v>0</v>
      </c>
      <c r="S14" s="2">
        <f>IF('Input Scenarios'!$R14&lt;&gt;"", 'Input Scenarios'!$R14, IF($Q14, Constants!$B$20, 0))</f>
        <v>0</v>
      </c>
      <c r="T14">
        <f t="shared" si="3"/>
        <v>5061.6000000000004</v>
      </c>
      <c r="U14">
        <f t="shared" si="4"/>
        <v>0</v>
      </c>
      <c r="V14">
        <f t="shared" si="5"/>
        <v>0</v>
      </c>
      <c r="W14">
        <f t="shared" si="0"/>
        <v>0</v>
      </c>
      <c r="X14">
        <f t="shared" si="6"/>
        <v>0</v>
      </c>
      <c r="Y14">
        <f t="shared" si="0"/>
        <v>1</v>
      </c>
      <c r="Z14">
        <f t="shared" si="7"/>
        <v>0</v>
      </c>
      <c r="AA14">
        <f t="shared" si="8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5061.6000000000004</v>
      </c>
      <c r="AF14">
        <f t="shared" si="1"/>
        <v>0</v>
      </c>
      <c r="AG14" s="11">
        <f>Constants!$C$10</f>
        <v>0.55000000000000004</v>
      </c>
      <c r="AH14" s="11">
        <f>Constants!$C$12</f>
        <v>0.3</v>
      </c>
      <c r="AI14" s="11">
        <f>Constants!$C$13</f>
        <v>0</v>
      </c>
      <c r="AJ14" s="11">
        <f>Constants!$C$14</f>
        <v>0.125</v>
      </c>
      <c r="AK14" s="11">
        <f>Constants!$C$15</f>
        <v>0.25</v>
      </c>
      <c r="AL14" s="11">
        <f>Constants!$C$11</f>
        <v>0.2</v>
      </c>
      <c r="AM14" s="11">
        <f>Constants!$D$10</f>
        <v>0</v>
      </c>
      <c r="AN14" s="11">
        <f>Constants!$D$12</f>
        <v>0.02</v>
      </c>
      <c r="AO14" s="11">
        <f>Constants!$D$13</f>
        <v>0</v>
      </c>
      <c r="AP14" s="11">
        <f>Constants!$D$14</f>
        <v>0.01</v>
      </c>
      <c r="AQ14" s="11">
        <f>Constants!$D$15</f>
        <v>2E-3</v>
      </c>
      <c r="AR14" s="11">
        <f>Constants!$D$11</f>
        <v>5.0000000000000001E-3</v>
      </c>
      <c r="AS14">
        <f t="shared" si="9"/>
        <v>0</v>
      </c>
      <c r="AT14">
        <f t="shared" si="2"/>
        <v>0</v>
      </c>
      <c r="AU14">
        <f t="shared" si="2"/>
        <v>0</v>
      </c>
      <c r="AV14">
        <f t="shared" si="2"/>
        <v>0</v>
      </c>
      <c r="AW14">
        <f t="shared" si="2"/>
        <v>3786.0768000000003</v>
      </c>
      <c r="AX14">
        <f t="shared" si="2"/>
        <v>0</v>
      </c>
      <c r="AY14">
        <f t="shared" si="10"/>
        <v>3786.0768000000003</v>
      </c>
      <c r="AZ14">
        <f t="shared" si="11"/>
        <v>0</v>
      </c>
      <c r="BA14">
        <f t="shared" si="11"/>
        <v>0</v>
      </c>
      <c r="BB14">
        <f t="shared" si="12"/>
        <v>3786.0768000000003</v>
      </c>
      <c r="BC14">
        <f>Constants!$B$23</f>
        <v>1.5714285714285714</v>
      </c>
      <c r="BD14">
        <f>AA14*AG14</f>
        <v>0</v>
      </c>
      <c r="BE14">
        <f>AB14*AH14</f>
        <v>0</v>
      </c>
      <c r="BF14">
        <f>AC14*AI14</f>
        <v>0</v>
      </c>
      <c r="BG14">
        <f>AD14*AJ14</f>
        <v>0</v>
      </c>
      <c r="BH14">
        <f>AE14*AK14</f>
        <v>1265.4000000000001</v>
      </c>
      <c r="BI14">
        <f>AF14*AL14</f>
        <v>0</v>
      </c>
      <c r="BJ14">
        <f t="shared" si="13"/>
        <v>0</v>
      </c>
      <c r="BK14">
        <f t="shared" si="14"/>
        <v>0</v>
      </c>
      <c r="BL14">
        <f t="shared" si="15"/>
        <v>1265.4000000000001</v>
      </c>
      <c r="BM14">
        <f>_xlfn.XLOOKUP(C14, Constants!$D$19:$D$23, Constants!$E$19:$E$23)</f>
        <v>7.0000000000000001E-3</v>
      </c>
      <c r="BN14">
        <f t="shared" si="16"/>
        <v>1.3919400000000002E-2</v>
      </c>
    </row>
    <row r="15" spans="1:67" x14ac:dyDescent="0.2">
      <c r="A15" t="str">
        <f>'Input Scenarios'!A15</f>
        <v>NT</v>
      </c>
      <c r="B15">
        <f>'Input Scenarios'!B15</f>
        <v>0</v>
      </c>
      <c r="C15" t="str">
        <f>'Input Scenarios'!C15</f>
        <v>Irrigated pasture</v>
      </c>
      <c r="D15" t="b">
        <f>'Input Scenarios'!D15</f>
        <v>1</v>
      </c>
      <c r="E15" t="str">
        <f>'Input Scenarios'!E15</f>
        <v>boars</v>
      </c>
      <c r="F15">
        <f>'Input Scenarios'!F15</f>
        <v>105</v>
      </c>
      <c r="G15">
        <f>'Input Scenarios'!G15</f>
        <v>75</v>
      </c>
      <c r="H15">
        <f>IF('Input Scenarios'!H15&lt;&gt;"", 'Input Scenarios'!H15, _xlfn.XLOOKUP($E15,Constants!$A$3:$A$6, Constants!B$3:B$6))</f>
        <v>2.62</v>
      </c>
      <c r="I15">
        <f>IF('Input Scenarios'!I15&lt;&gt;"", 'Input Scenarios'!I15, _xlfn.XLOOKUP($E15,Constants!$A$3:$A$6, Constants!C$3:C$6))</f>
        <v>0.4</v>
      </c>
      <c r="J15">
        <f>IF('Input Scenarios'!J15&lt;&gt;"", 'Input Scenarios'!J15, _xlfn.XLOOKUP($E15,Constants!$A$3:$A$6, Constants!D$3:D$6))</f>
        <v>4.5999999999999999E-2</v>
      </c>
      <c r="K15">
        <f>'Input Scenarios'!K15</f>
        <v>0.2</v>
      </c>
      <c r="L15">
        <f>'Input Scenarios'!L15</f>
        <v>0.1</v>
      </c>
      <c r="M15">
        <f>'Input Scenarios'!M15</f>
        <v>0.2</v>
      </c>
      <c r="N15">
        <f>'Input Scenarios'!N15</f>
        <v>0.2</v>
      </c>
      <c r="O15">
        <f>'Input Scenarios'!O15</f>
        <v>0.2</v>
      </c>
      <c r="P15">
        <f>'Input Scenarios'!P15</f>
        <v>0.1</v>
      </c>
      <c r="Q15" t="b">
        <f>'Input Scenarios'!Q15</f>
        <v>1</v>
      </c>
      <c r="R15">
        <f>IF('Input Scenarios'!$R15&lt;&gt;"", 'Input Scenarios'!$R15, IF($Q15, Constants!$B$19, 0))</f>
        <v>0.25</v>
      </c>
      <c r="S15">
        <f>IF('Input Scenarios'!$R15&lt;&gt;"", 'Input Scenarios'!$R15, IF($Q15, Constants!$B$20, 0))</f>
        <v>0.25</v>
      </c>
      <c r="T15">
        <f t="shared" si="3"/>
        <v>362.25</v>
      </c>
      <c r="U15">
        <f t="shared" si="4"/>
        <v>0.15000000000000002</v>
      </c>
      <c r="V15">
        <f t="shared" si="5"/>
        <v>0.1</v>
      </c>
      <c r="W15">
        <f t="shared" si="0"/>
        <v>0.15000000000000002</v>
      </c>
      <c r="X15">
        <f t="shared" si="6"/>
        <v>0.2</v>
      </c>
      <c r="Y15">
        <f t="shared" si="0"/>
        <v>0.15000000000000002</v>
      </c>
      <c r="Z15">
        <f t="shared" si="7"/>
        <v>0.25</v>
      </c>
      <c r="AA15">
        <f t="shared" si="8"/>
        <v>54.337500000000006</v>
      </c>
      <c r="AB15">
        <f t="shared" si="1"/>
        <v>36.225000000000001</v>
      </c>
      <c r="AC15">
        <f t="shared" si="1"/>
        <v>54.337500000000006</v>
      </c>
      <c r="AD15">
        <f t="shared" si="1"/>
        <v>72.45</v>
      </c>
      <c r="AE15">
        <f t="shared" si="1"/>
        <v>54.337500000000006</v>
      </c>
      <c r="AF15">
        <f t="shared" si="1"/>
        <v>90.5625</v>
      </c>
      <c r="AG15" s="11">
        <f>Constants!$C$10</f>
        <v>0.55000000000000004</v>
      </c>
      <c r="AH15" s="11">
        <f>Constants!$C$12</f>
        <v>0.3</v>
      </c>
      <c r="AI15" s="11">
        <f>Constants!$C$13</f>
        <v>0</v>
      </c>
      <c r="AJ15" s="11">
        <f>Constants!$C$14</f>
        <v>0.125</v>
      </c>
      <c r="AK15" s="11">
        <f>Constants!$C$15</f>
        <v>0.25</v>
      </c>
      <c r="AL15" s="11">
        <f>Constants!$C$11</f>
        <v>0.2</v>
      </c>
      <c r="AM15" s="11">
        <f>Constants!$D$10</f>
        <v>0</v>
      </c>
      <c r="AN15" s="11">
        <f>Constants!$D$12</f>
        <v>0.02</v>
      </c>
      <c r="AO15" s="11">
        <f>Constants!$D$13</f>
        <v>0</v>
      </c>
      <c r="AP15" s="11">
        <f>Constants!$D$14</f>
        <v>0.01</v>
      </c>
      <c r="AQ15" s="11">
        <f>Constants!$D$15</f>
        <v>2E-3</v>
      </c>
      <c r="AR15" s="11">
        <f>Constants!$D$11</f>
        <v>5.0000000000000001E-3</v>
      </c>
      <c r="AS15">
        <f t="shared" si="9"/>
        <v>24.451875000000001</v>
      </c>
      <c r="AT15">
        <f t="shared" si="2"/>
        <v>24.632999999999999</v>
      </c>
      <c r="AU15">
        <f t="shared" si="2"/>
        <v>54.337500000000006</v>
      </c>
      <c r="AV15">
        <f t="shared" si="2"/>
        <v>62.669250000000005</v>
      </c>
      <c r="AW15">
        <f t="shared" si="2"/>
        <v>40.644450000000006</v>
      </c>
      <c r="AX15">
        <f t="shared" si="2"/>
        <v>71.99718750000001</v>
      </c>
      <c r="AY15">
        <f t="shared" si="10"/>
        <v>278.73326250000002</v>
      </c>
      <c r="AZ15">
        <f t="shared" si="11"/>
        <v>54.337500000000006</v>
      </c>
      <c r="BA15">
        <f t="shared" si="11"/>
        <v>62.669250000000005</v>
      </c>
      <c r="BB15">
        <f t="shared" si="12"/>
        <v>161.72651250000001</v>
      </c>
      <c r="BC15">
        <f>Constants!$B$23</f>
        <v>1.5714285714285714</v>
      </c>
      <c r="BD15">
        <f>AA15*AG15</f>
        <v>29.885625000000005</v>
      </c>
      <c r="BE15">
        <f>AB15*AH15</f>
        <v>10.8675</v>
      </c>
      <c r="BF15">
        <f>AC15*AI15</f>
        <v>0</v>
      </c>
      <c r="BG15">
        <f>AD15*AJ15</f>
        <v>9.0562500000000004</v>
      </c>
      <c r="BH15">
        <f>AE15*AK15</f>
        <v>13.584375000000001</v>
      </c>
      <c r="BI15">
        <f>AF15*AL15</f>
        <v>18.112500000000001</v>
      </c>
      <c r="BJ15">
        <f t="shared" si="13"/>
        <v>29.885625000000005</v>
      </c>
      <c r="BK15">
        <f t="shared" si="14"/>
        <v>12.533850000000001</v>
      </c>
      <c r="BL15">
        <f t="shared" si="15"/>
        <v>123.92572500000001</v>
      </c>
      <c r="BM15">
        <f>_xlfn.XLOOKUP(C15, Constants!$D$19:$D$23, Constants!$E$19:$E$23)</f>
        <v>5.8999999999999999E-3</v>
      </c>
      <c r="BN15">
        <f t="shared" si="16"/>
        <v>1.1489685075000001E-3</v>
      </c>
      <c r="BO15">
        <f>SUM(BN15:BN18)</f>
        <v>3.1185182725572219E-2</v>
      </c>
    </row>
    <row r="16" spans="1:67" x14ac:dyDescent="0.2">
      <c r="A16" t="str">
        <f>'Input Scenarios'!A16</f>
        <v>NT</v>
      </c>
      <c r="B16">
        <f>'Input Scenarios'!B16</f>
        <v>0</v>
      </c>
      <c r="C16" t="str">
        <f>'Input Scenarios'!C16</f>
        <v>Irrigated pasture</v>
      </c>
      <c r="D16" t="b">
        <f>'Input Scenarios'!D16</f>
        <v>1</v>
      </c>
      <c r="E16" t="str">
        <f>'Input Scenarios'!E16</f>
        <v>sows</v>
      </c>
      <c r="F16">
        <f>'Input Scenarios'!F16</f>
        <v>245</v>
      </c>
      <c r="G16">
        <f>'Input Scenarios'!G16</f>
        <v>290</v>
      </c>
      <c r="H16">
        <f>IF('Input Scenarios'!H16&lt;&gt;"", 'Input Scenarios'!H16, _xlfn.XLOOKUP($E16,Constants!$A$3:$A$6, Constants!B$3:B$6))</f>
        <v>2.2999999999999998</v>
      </c>
      <c r="I16">
        <f>IF('Input Scenarios'!I16&lt;&gt;"", 'Input Scenarios'!I16, _xlfn.XLOOKUP($E16,Constants!$A$3:$A$6, Constants!C$3:C$6))</f>
        <v>0.46</v>
      </c>
      <c r="J16">
        <f>IF('Input Scenarios'!J16&lt;&gt;"", 'Input Scenarios'!J16, _xlfn.XLOOKUP($E16,Constants!$A$3:$A$6, Constants!D$3:D$6))</f>
        <v>4.9000000000000002E-2</v>
      </c>
      <c r="K16">
        <f>'Input Scenarios'!K16</f>
        <v>0.2</v>
      </c>
      <c r="L16">
        <f>'Input Scenarios'!L16</f>
        <v>0.1</v>
      </c>
      <c r="M16">
        <f>'Input Scenarios'!M16</f>
        <v>0.2</v>
      </c>
      <c r="N16">
        <f>'Input Scenarios'!N16</f>
        <v>0.2</v>
      </c>
      <c r="O16">
        <f>'Input Scenarios'!O16</f>
        <v>0.2</v>
      </c>
      <c r="P16">
        <f>'Input Scenarios'!P16</f>
        <v>0.1</v>
      </c>
      <c r="Q16" t="b">
        <f>'Input Scenarios'!Q16</f>
        <v>1</v>
      </c>
      <c r="R16">
        <f>IF('Input Scenarios'!$R16&lt;&gt;"", 'Input Scenarios'!$R16, IF($Q16, Constants!$B$19, 0))</f>
        <v>0.25</v>
      </c>
      <c r="S16">
        <f>IF('Input Scenarios'!$R16&lt;&gt;"", 'Input Scenarios'!$R16, IF($Q16, Constants!$B$20, 0))</f>
        <v>0.25</v>
      </c>
      <c r="T16">
        <f t="shared" si="3"/>
        <v>3481.4500000000003</v>
      </c>
      <c r="U16">
        <f t="shared" si="4"/>
        <v>0.15000000000000002</v>
      </c>
      <c r="V16">
        <f t="shared" si="5"/>
        <v>0.1</v>
      </c>
      <c r="W16">
        <f t="shared" si="0"/>
        <v>0.15000000000000002</v>
      </c>
      <c r="X16">
        <f t="shared" si="6"/>
        <v>0.2</v>
      </c>
      <c r="Y16">
        <f t="shared" si="0"/>
        <v>0.15000000000000002</v>
      </c>
      <c r="Z16">
        <f t="shared" si="7"/>
        <v>0.25</v>
      </c>
      <c r="AA16">
        <f t="shared" si="8"/>
        <v>522.21750000000009</v>
      </c>
      <c r="AB16">
        <f t="shared" si="1"/>
        <v>348.14500000000004</v>
      </c>
      <c r="AC16">
        <f t="shared" si="1"/>
        <v>522.21750000000009</v>
      </c>
      <c r="AD16">
        <f t="shared" si="1"/>
        <v>696.29000000000008</v>
      </c>
      <c r="AE16">
        <f t="shared" si="1"/>
        <v>522.21750000000009</v>
      </c>
      <c r="AF16">
        <f t="shared" si="1"/>
        <v>870.36250000000007</v>
      </c>
      <c r="AG16" s="11">
        <f>Constants!$C$10</f>
        <v>0.55000000000000004</v>
      </c>
      <c r="AH16" s="11">
        <f>Constants!$C$12</f>
        <v>0.3</v>
      </c>
      <c r="AI16" s="11">
        <f>Constants!$C$13</f>
        <v>0</v>
      </c>
      <c r="AJ16" s="11">
        <f>Constants!$C$14</f>
        <v>0.125</v>
      </c>
      <c r="AK16" s="11">
        <f>Constants!$C$15</f>
        <v>0.25</v>
      </c>
      <c r="AL16" s="11">
        <f>Constants!$C$11</f>
        <v>0.2</v>
      </c>
      <c r="AM16" s="11">
        <f>Constants!$D$10</f>
        <v>0</v>
      </c>
      <c r="AN16" s="11">
        <f>Constants!$D$12</f>
        <v>0.02</v>
      </c>
      <c r="AO16" s="11">
        <f>Constants!$D$13</f>
        <v>0</v>
      </c>
      <c r="AP16" s="11">
        <f>Constants!$D$14</f>
        <v>0.01</v>
      </c>
      <c r="AQ16" s="11">
        <f>Constants!$D$15</f>
        <v>2E-3</v>
      </c>
      <c r="AR16" s="11">
        <f>Constants!$D$11</f>
        <v>5.0000000000000001E-3</v>
      </c>
      <c r="AS16">
        <f t="shared" si="9"/>
        <v>234.99787500000002</v>
      </c>
      <c r="AT16">
        <f t="shared" si="2"/>
        <v>236.73859999999999</v>
      </c>
      <c r="AU16">
        <f t="shared" si="2"/>
        <v>522.21750000000009</v>
      </c>
      <c r="AV16">
        <f t="shared" si="2"/>
        <v>602.29085000000009</v>
      </c>
      <c r="AW16">
        <f t="shared" si="2"/>
        <v>390.61869000000007</v>
      </c>
      <c r="AX16">
        <f t="shared" si="2"/>
        <v>691.93818750000014</v>
      </c>
      <c r="AY16">
        <f t="shared" si="10"/>
        <v>2678.8017025000004</v>
      </c>
      <c r="AZ16">
        <f t="shared" si="11"/>
        <v>522.21750000000009</v>
      </c>
      <c r="BA16">
        <f t="shared" si="11"/>
        <v>602.29085000000009</v>
      </c>
      <c r="BB16">
        <f t="shared" si="12"/>
        <v>1554.2933525000003</v>
      </c>
      <c r="BC16">
        <f>Constants!$B$23</f>
        <v>1.5714285714285714</v>
      </c>
      <c r="BD16">
        <f>AA16*AG16</f>
        <v>287.21962500000006</v>
      </c>
      <c r="BE16">
        <f>AB16*AH16</f>
        <v>104.44350000000001</v>
      </c>
      <c r="BF16">
        <f>AC16*AI16</f>
        <v>0</v>
      </c>
      <c r="BG16">
        <f>AD16*AJ16</f>
        <v>87.03625000000001</v>
      </c>
      <c r="BH16">
        <f>AE16*AK16</f>
        <v>130.55437500000002</v>
      </c>
      <c r="BI16">
        <f>AF16*AL16</f>
        <v>174.07250000000002</v>
      </c>
      <c r="BJ16">
        <f t="shared" si="13"/>
        <v>287.21962500000006</v>
      </c>
      <c r="BK16">
        <f t="shared" si="14"/>
        <v>120.45817000000002</v>
      </c>
      <c r="BL16">
        <f t="shared" si="15"/>
        <v>1191.0040450000004</v>
      </c>
      <c r="BM16">
        <f>_xlfn.XLOOKUP(C16, Constants!$D$19:$D$23, Constants!$E$19:$E$23)</f>
        <v>5.8999999999999999E-3</v>
      </c>
      <c r="BN16">
        <f t="shared" si="16"/>
        <v>1.1042308931500003E-2</v>
      </c>
    </row>
    <row r="17" spans="1:67" x14ac:dyDescent="0.2">
      <c r="A17" t="str">
        <f>'Input Scenarios'!A17</f>
        <v>NT</v>
      </c>
      <c r="B17">
        <f>'Input Scenarios'!B17</f>
        <v>0</v>
      </c>
      <c r="C17" t="str">
        <f>'Input Scenarios'!C17</f>
        <v>Irrigated pasture</v>
      </c>
      <c r="D17" t="b">
        <f>'Input Scenarios'!D17</f>
        <v>1</v>
      </c>
      <c r="E17" t="str">
        <f>'Input Scenarios'!E17</f>
        <v>gilts</v>
      </c>
      <c r="F17">
        <f>'Input Scenarios'!F17</f>
        <v>434</v>
      </c>
      <c r="G17">
        <f>'Input Scenarios'!G17</f>
        <v>280</v>
      </c>
      <c r="H17">
        <f>IF('Input Scenarios'!H17&lt;&gt;"", 'Input Scenarios'!H17, _xlfn.XLOOKUP($E17,Constants!$A$3:$A$6, Constants!B$3:B$6))</f>
        <v>2.5</v>
      </c>
      <c r="I17">
        <f>IF('Input Scenarios'!I17&lt;&gt;"", 'Input Scenarios'!I17, _xlfn.XLOOKUP($E17,Constants!$A$3:$A$6, Constants!C$3:C$6))</f>
        <v>0.55000000000000004</v>
      </c>
      <c r="J17">
        <f>IF('Input Scenarios'!J17&lt;&gt;"", 'Input Scenarios'!J17, _xlfn.XLOOKUP($E17,Constants!$A$3:$A$6, Constants!D$3:D$6))</f>
        <v>4.5999999999999999E-2</v>
      </c>
      <c r="K17">
        <f>'Input Scenarios'!K17</f>
        <v>0.2</v>
      </c>
      <c r="L17">
        <f>'Input Scenarios'!L17</f>
        <v>0.1</v>
      </c>
      <c r="M17">
        <f>'Input Scenarios'!M17</f>
        <v>0.2</v>
      </c>
      <c r="N17">
        <f>'Input Scenarios'!N17</f>
        <v>0.2</v>
      </c>
      <c r="O17">
        <f>'Input Scenarios'!O17</f>
        <v>0.2</v>
      </c>
      <c r="P17">
        <f>'Input Scenarios'!P17</f>
        <v>0.1</v>
      </c>
      <c r="Q17" t="b">
        <f>'Input Scenarios'!Q17</f>
        <v>1</v>
      </c>
      <c r="R17">
        <f>IF('Input Scenarios'!$R17&lt;&gt;"", 'Input Scenarios'!$R17, IF($Q17, Constants!$B$19, 0))</f>
        <v>0.25</v>
      </c>
      <c r="S17">
        <f>IF('Input Scenarios'!$R17&lt;&gt;"", 'Input Scenarios'!$R17, IF($Q17, Constants!$B$20, 0))</f>
        <v>0.25</v>
      </c>
      <c r="T17">
        <f t="shared" si="3"/>
        <v>5589.92</v>
      </c>
      <c r="U17">
        <f t="shared" si="4"/>
        <v>0.15000000000000002</v>
      </c>
      <c r="V17">
        <f t="shared" si="5"/>
        <v>0.1</v>
      </c>
      <c r="W17">
        <f t="shared" si="0"/>
        <v>0.15000000000000002</v>
      </c>
      <c r="X17">
        <f t="shared" si="6"/>
        <v>0.2</v>
      </c>
      <c r="Y17">
        <f t="shared" si="0"/>
        <v>0.15000000000000002</v>
      </c>
      <c r="Z17">
        <f t="shared" si="7"/>
        <v>0.25</v>
      </c>
      <c r="AA17">
        <f t="shared" si="8"/>
        <v>838.48800000000017</v>
      </c>
      <c r="AB17">
        <f t="shared" si="1"/>
        <v>558.99200000000008</v>
      </c>
      <c r="AC17">
        <f t="shared" si="1"/>
        <v>838.48800000000017</v>
      </c>
      <c r="AD17">
        <f t="shared" si="1"/>
        <v>1117.9840000000002</v>
      </c>
      <c r="AE17">
        <f t="shared" si="1"/>
        <v>838.48800000000017</v>
      </c>
      <c r="AF17">
        <f t="shared" si="1"/>
        <v>1397.48</v>
      </c>
      <c r="AG17" s="11">
        <f>Constants!$C$10</f>
        <v>0.55000000000000004</v>
      </c>
      <c r="AH17" s="11">
        <f>Constants!$C$12</f>
        <v>0.3</v>
      </c>
      <c r="AI17" s="11">
        <f>Constants!$C$13</f>
        <v>0</v>
      </c>
      <c r="AJ17" s="11">
        <f>Constants!$C$14</f>
        <v>0.125</v>
      </c>
      <c r="AK17" s="11">
        <f>Constants!$C$15</f>
        <v>0.25</v>
      </c>
      <c r="AL17" s="11">
        <f>Constants!$C$11</f>
        <v>0.2</v>
      </c>
      <c r="AM17" s="11">
        <f>Constants!$D$10</f>
        <v>0</v>
      </c>
      <c r="AN17" s="11">
        <f>Constants!$D$12</f>
        <v>0.02</v>
      </c>
      <c r="AO17" s="11">
        <f>Constants!$D$13</f>
        <v>0</v>
      </c>
      <c r="AP17" s="11">
        <f>Constants!$D$14</f>
        <v>0.01</v>
      </c>
      <c r="AQ17" s="11">
        <f>Constants!$D$15</f>
        <v>2E-3</v>
      </c>
      <c r="AR17" s="11">
        <f>Constants!$D$11</f>
        <v>5.0000000000000001E-3</v>
      </c>
      <c r="AS17">
        <f t="shared" si="9"/>
        <v>377.31960000000004</v>
      </c>
      <c r="AT17">
        <f t="shared" si="2"/>
        <v>380.11456000000004</v>
      </c>
      <c r="AU17">
        <f t="shared" si="2"/>
        <v>838.48800000000017</v>
      </c>
      <c r="AV17">
        <f t="shared" si="2"/>
        <v>967.05616000000009</v>
      </c>
      <c r="AW17">
        <f t="shared" si="2"/>
        <v>627.18902400000013</v>
      </c>
      <c r="AX17">
        <f t="shared" si="2"/>
        <v>1110.9966000000002</v>
      </c>
      <c r="AY17">
        <f t="shared" si="10"/>
        <v>4301.1639440000008</v>
      </c>
      <c r="AZ17">
        <f t="shared" si="11"/>
        <v>838.48800000000017</v>
      </c>
      <c r="BA17">
        <f t="shared" si="11"/>
        <v>967.05616000000009</v>
      </c>
      <c r="BB17">
        <f t="shared" si="12"/>
        <v>2495.6197840000004</v>
      </c>
      <c r="BC17">
        <f>Constants!$B$23</f>
        <v>1.5714285714285714</v>
      </c>
      <c r="BD17">
        <f>AA17*AG17</f>
        <v>461.16840000000013</v>
      </c>
      <c r="BE17">
        <f>AB17*AH17</f>
        <v>167.69760000000002</v>
      </c>
      <c r="BF17">
        <f>AC17*AI17</f>
        <v>0</v>
      </c>
      <c r="BG17">
        <f>AD17*AJ17</f>
        <v>139.74800000000002</v>
      </c>
      <c r="BH17">
        <f>AE17*AK17</f>
        <v>209.62200000000004</v>
      </c>
      <c r="BI17">
        <f>AF17*AL17</f>
        <v>279.49600000000004</v>
      </c>
      <c r="BJ17">
        <f t="shared" si="13"/>
        <v>461.16840000000013</v>
      </c>
      <c r="BK17">
        <f t="shared" si="14"/>
        <v>193.41123200000004</v>
      </c>
      <c r="BL17">
        <f t="shared" si="15"/>
        <v>1912.3116320000004</v>
      </c>
      <c r="BM17">
        <f>_xlfn.XLOOKUP(C17, Constants!$D$19:$D$23, Constants!$E$19:$E$23)</f>
        <v>5.8999999999999999E-3</v>
      </c>
      <c r="BN17">
        <f t="shared" si="16"/>
        <v>1.7729860702400003E-2</v>
      </c>
    </row>
    <row r="18" spans="1:67" s="2" customFormat="1" x14ac:dyDescent="0.2">
      <c r="A18" s="2" t="str">
        <f>'Input Scenarios'!A18</f>
        <v>NT</v>
      </c>
      <c r="B18" s="2">
        <f>'Input Scenarios'!B18</f>
        <v>0</v>
      </c>
      <c r="C18" s="2" t="str">
        <f>'Input Scenarios'!C18</f>
        <v>Irrigated pasture</v>
      </c>
      <c r="D18" s="2" t="b">
        <f>'Input Scenarios'!D18</f>
        <v>1</v>
      </c>
      <c r="E18" s="2" t="str">
        <f>'Input Scenarios'!E18</f>
        <v>others</v>
      </c>
      <c r="F18" s="2">
        <f>'Input Scenarios'!F18</f>
        <v>44</v>
      </c>
      <c r="G18" s="2">
        <f>'Input Scenarios'!G18</f>
        <v>290</v>
      </c>
      <c r="H18">
        <f>IF('Input Scenarios'!H18&lt;&gt;"", 'Input Scenarios'!H18, _xlfn.XLOOKUP($E18,Constants!$A$3:$A$6, Constants!B$3:B$6))</f>
        <v>1.71</v>
      </c>
      <c r="I18">
        <f>IF('Input Scenarios'!I18&lt;&gt;"", 'Input Scenarios'!I18, _xlfn.XLOOKUP($E18,Constants!$A$3:$A$6, Constants!C$3:C$6))</f>
        <v>0.39</v>
      </c>
      <c r="J18">
        <f>IF('Input Scenarios'!J18&lt;&gt;"", 'Input Scenarios'!J18, _xlfn.XLOOKUP($E18,Constants!$A$3:$A$6, Constants!D$3:D$6))</f>
        <v>3.1232876712328769E-2</v>
      </c>
      <c r="K18" s="2">
        <f>'Input Scenarios'!K18</f>
        <v>0.2</v>
      </c>
      <c r="L18" s="2">
        <f>'Input Scenarios'!L18</f>
        <v>0.1</v>
      </c>
      <c r="M18" s="2">
        <f>'Input Scenarios'!M18</f>
        <v>0.2</v>
      </c>
      <c r="N18" s="2">
        <f>'Input Scenarios'!N18</f>
        <v>0.2</v>
      </c>
      <c r="O18" s="2">
        <f>'Input Scenarios'!O18</f>
        <v>0.2</v>
      </c>
      <c r="P18" s="2">
        <f>'Input Scenarios'!P18</f>
        <v>0.1</v>
      </c>
      <c r="Q18" s="2" t="b">
        <f>'Input Scenarios'!Q18</f>
        <v>1</v>
      </c>
      <c r="R18" s="2">
        <f>IF('Input Scenarios'!$R18&lt;&gt;"", 'Input Scenarios'!$R18, IF($Q18, Constants!$B$19, 0))</f>
        <v>0.25</v>
      </c>
      <c r="S18" s="2">
        <f>IF('Input Scenarios'!$R18&lt;&gt;"", 'Input Scenarios'!$R18, IF($Q18, Constants!$B$20, 0))</f>
        <v>0.25</v>
      </c>
      <c r="T18">
        <f t="shared" si="3"/>
        <v>398.53150684931506</v>
      </c>
      <c r="U18">
        <f t="shared" si="4"/>
        <v>0.15000000000000002</v>
      </c>
      <c r="V18">
        <f t="shared" si="5"/>
        <v>0.1</v>
      </c>
      <c r="W18">
        <f t="shared" si="0"/>
        <v>0.15000000000000002</v>
      </c>
      <c r="X18">
        <f t="shared" si="6"/>
        <v>0.2</v>
      </c>
      <c r="Y18">
        <f t="shared" si="0"/>
        <v>0.15000000000000002</v>
      </c>
      <c r="Z18">
        <f t="shared" si="7"/>
        <v>0.25</v>
      </c>
      <c r="AA18">
        <f t="shared" si="8"/>
        <v>59.779726027397267</v>
      </c>
      <c r="AB18">
        <f t="shared" si="1"/>
        <v>39.853150684931506</v>
      </c>
      <c r="AC18">
        <f t="shared" si="1"/>
        <v>59.779726027397267</v>
      </c>
      <c r="AD18">
        <f t="shared" si="1"/>
        <v>79.706301369863013</v>
      </c>
      <c r="AE18">
        <f t="shared" si="1"/>
        <v>59.779726027397267</v>
      </c>
      <c r="AF18">
        <f t="shared" si="1"/>
        <v>99.632876712328766</v>
      </c>
      <c r="AG18" s="11">
        <f>Constants!$C$10</f>
        <v>0.55000000000000004</v>
      </c>
      <c r="AH18" s="11">
        <f>Constants!$C$12</f>
        <v>0.3</v>
      </c>
      <c r="AI18" s="11">
        <f>Constants!$C$13</f>
        <v>0</v>
      </c>
      <c r="AJ18" s="11">
        <f>Constants!$C$14</f>
        <v>0.125</v>
      </c>
      <c r="AK18" s="11">
        <f>Constants!$C$15</f>
        <v>0.25</v>
      </c>
      <c r="AL18" s="11">
        <f>Constants!$C$11</f>
        <v>0.2</v>
      </c>
      <c r="AM18" s="11">
        <f>Constants!$D$10</f>
        <v>0</v>
      </c>
      <c r="AN18" s="11">
        <f>Constants!$D$12</f>
        <v>0.02</v>
      </c>
      <c r="AO18" s="11">
        <f>Constants!$D$13</f>
        <v>0</v>
      </c>
      <c r="AP18" s="11">
        <f>Constants!$D$14</f>
        <v>0.01</v>
      </c>
      <c r="AQ18" s="11">
        <f>Constants!$D$15</f>
        <v>2E-3</v>
      </c>
      <c r="AR18" s="11">
        <f>Constants!$D$11</f>
        <v>5.0000000000000001E-3</v>
      </c>
      <c r="AS18">
        <f t="shared" si="9"/>
        <v>26.900876712328767</v>
      </c>
      <c r="AT18">
        <f t="shared" si="2"/>
        <v>27.100142465753422</v>
      </c>
      <c r="AU18">
        <f t="shared" si="2"/>
        <v>59.779726027397267</v>
      </c>
      <c r="AV18">
        <f t="shared" si="2"/>
        <v>68.945950684931503</v>
      </c>
      <c r="AW18">
        <f t="shared" si="2"/>
        <v>44.715235068493158</v>
      </c>
      <c r="AX18">
        <f t="shared" si="2"/>
        <v>79.208136986301369</v>
      </c>
      <c r="AY18">
        <f t="shared" si="10"/>
        <v>306.65006794520548</v>
      </c>
      <c r="AZ18">
        <f t="shared" si="11"/>
        <v>59.779726027397267</v>
      </c>
      <c r="BA18">
        <f t="shared" si="11"/>
        <v>68.945950684931503</v>
      </c>
      <c r="BB18">
        <f t="shared" si="12"/>
        <v>177.9243912328767</v>
      </c>
      <c r="BC18">
        <f>Constants!$B$23</f>
        <v>1.5714285714285714</v>
      </c>
      <c r="BD18">
        <f>AA18*AG18</f>
        <v>32.8788493150685</v>
      </c>
      <c r="BE18">
        <f>AB18*AH18</f>
        <v>11.955945205479452</v>
      </c>
      <c r="BF18">
        <f>AC18*AI18</f>
        <v>0</v>
      </c>
      <c r="BG18">
        <f>AD18*AJ18</f>
        <v>9.9632876712328766</v>
      </c>
      <c r="BH18">
        <f>AE18*AK18</f>
        <v>14.944931506849317</v>
      </c>
      <c r="BI18">
        <f>AF18*AL18</f>
        <v>19.926575342465753</v>
      </c>
      <c r="BJ18">
        <f t="shared" si="13"/>
        <v>32.8788493150685</v>
      </c>
      <c r="BK18">
        <f t="shared" si="14"/>
        <v>13.789190136986301</v>
      </c>
      <c r="BL18">
        <f t="shared" si="15"/>
        <v>136.3376284931507</v>
      </c>
      <c r="BM18">
        <f>_xlfn.XLOOKUP(C18, Constants!$D$19:$D$23, Constants!$E$19:$E$23)</f>
        <v>5.8999999999999999E-3</v>
      </c>
      <c r="BN18">
        <f t="shared" si="16"/>
        <v>1.2640445841722114E-3</v>
      </c>
    </row>
    <row r="19" spans="1:67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pasture</v>
      </c>
      <c r="D19" t="b">
        <f>'Input Scenarios'!D19</f>
        <v>1</v>
      </c>
      <c r="E19" t="str">
        <f>'Input Scenarios'!E19</f>
        <v>boars</v>
      </c>
      <c r="F19">
        <f>'Input Scenarios'!F19</f>
        <v>1000</v>
      </c>
      <c r="G19">
        <f>'Input Scenarios'!G19</f>
        <v>100</v>
      </c>
      <c r="H19">
        <f>IF('Input Scenarios'!H19&lt;&gt;"", 'Input Scenarios'!H19, _xlfn.XLOOKUP($E19,Constants!$A$3:$A$6, Constants!B$3:B$6))</f>
        <v>2.62</v>
      </c>
      <c r="I19">
        <f>IF('Input Scenarios'!I19&lt;&gt;"", 'Input Scenarios'!I19, _xlfn.XLOOKUP($E19,Constants!$A$3:$A$6, Constants!C$3:C$6))</f>
        <v>0.4</v>
      </c>
      <c r="J19">
        <f>IF('Input Scenarios'!J19&lt;&gt;"", 'Input Scenarios'!J19, _xlfn.XLOOKUP($E19,Constants!$A$3:$A$6, Constants!D$3:D$6))</f>
        <v>4.5999999999999999E-2</v>
      </c>
      <c r="K19">
        <f>'Input Scenarios'!K19</f>
        <v>0</v>
      </c>
      <c r="L19">
        <f>'Input Scenarios'!L19</f>
        <v>0</v>
      </c>
      <c r="M19">
        <f>'Input Scenarios'!M19</f>
        <v>0</v>
      </c>
      <c r="N19">
        <f>'Input Scenarios'!N19</f>
        <v>0</v>
      </c>
      <c r="O19">
        <f>'Input Scenarios'!O19</f>
        <v>0</v>
      </c>
      <c r="P19">
        <f>'Input Scenarios'!P19</f>
        <v>0</v>
      </c>
      <c r="Q19" t="b">
        <f>'Input Scenarios'!Q19</f>
        <v>0</v>
      </c>
      <c r="R19">
        <f>IF('Input Scenarios'!$R19&lt;&gt;"", 'Input Scenarios'!$R19, IF($Q19, Constants!$B$19, 0))</f>
        <v>0</v>
      </c>
      <c r="S19">
        <f>IF('Input Scenarios'!$R19&lt;&gt;"", 'Input Scenarios'!$R19, IF($Q19, Constants!$B$20, 0))</f>
        <v>0</v>
      </c>
      <c r="T19">
        <f t="shared" si="3"/>
        <v>4600</v>
      </c>
      <c r="U19">
        <f t="shared" si="4"/>
        <v>0</v>
      </c>
      <c r="V19">
        <f t="shared" si="5"/>
        <v>0</v>
      </c>
      <c r="W19">
        <f t="shared" si="0"/>
        <v>0</v>
      </c>
      <c r="X19">
        <f t="shared" si="6"/>
        <v>0</v>
      </c>
      <c r="Y19">
        <f t="shared" si="0"/>
        <v>0</v>
      </c>
      <c r="Z19">
        <f t="shared" si="7"/>
        <v>0</v>
      </c>
      <c r="AA19">
        <f t="shared" si="8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 s="11">
        <f>Constants!$C$10</f>
        <v>0.55000000000000004</v>
      </c>
      <c r="AH19" s="11">
        <f>Constants!$C$12</f>
        <v>0.3</v>
      </c>
      <c r="AI19" s="11">
        <f>Constants!$C$13</f>
        <v>0</v>
      </c>
      <c r="AJ19" s="11">
        <f>Constants!$C$14</f>
        <v>0.125</v>
      </c>
      <c r="AK19" s="11">
        <f>Constants!$C$15</f>
        <v>0.25</v>
      </c>
      <c r="AL19" s="11">
        <f>Constants!$C$11</f>
        <v>0.2</v>
      </c>
      <c r="AM19" s="11">
        <f>Constants!$D$10</f>
        <v>0</v>
      </c>
      <c r="AN19" s="11">
        <f>Constants!$D$12</f>
        <v>0.02</v>
      </c>
      <c r="AO19" s="11">
        <f>Constants!$D$13</f>
        <v>0</v>
      </c>
      <c r="AP19" s="11">
        <f>Constants!$D$14</f>
        <v>0.01</v>
      </c>
      <c r="AQ19" s="11">
        <f>Constants!$D$15</f>
        <v>2E-3</v>
      </c>
      <c r="AR19" s="11">
        <f>Constants!$D$11</f>
        <v>5.0000000000000001E-3</v>
      </c>
      <c r="AS19">
        <f t="shared" si="9"/>
        <v>0</v>
      </c>
      <c r="AT19">
        <f t="shared" si="2"/>
        <v>0</v>
      </c>
      <c r="AU19">
        <f t="shared" si="2"/>
        <v>0</v>
      </c>
      <c r="AV19">
        <f t="shared" si="2"/>
        <v>0</v>
      </c>
      <c r="AW19">
        <f t="shared" si="2"/>
        <v>0</v>
      </c>
      <c r="AX19">
        <f t="shared" si="2"/>
        <v>0</v>
      </c>
      <c r="AY19">
        <f t="shared" si="10"/>
        <v>0</v>
      </c>
      <c r="AZ19">
        <f t="shared" si="11"/>
        <v>0</v>
      </c>
      <c r="BA19">
        <f t="shared" si="11"/>
        <v>0</v>
      </c>
      <c r="BB19">
        <f t="shared" si="12"/>
        <v>0</v>
      </c>
      <c r="BC19">
        <f>Constants!$B$23</f>
        <v>1.5714285714285714</v>
      </c>
      <c r="BD19">
        <f>AA19*AG19</f>
        <v>0</v>
      </c>
      <c r="BE19">
        <f>AB19*AH19</f>
        <v>0</v>
      </c>
      <c r="BF19">
        <f>AC19*AI19</f>
        <v>0</v>
      </c>
      <c r="BG19">
        <f>AD19*AJ19</f>
        <v>0</v>
      </c>
      <c r="BH19">
        <f>AE19*AK19</f>
        <v>0</v>
      </c>
      <c r="BI19">
        <f>AF19*AL19</f>
        <v>0</v>
      </c>
      <c r="BJ19">
        <f t="shared" si="13"/>
        <v>0</v>
      </c>
      <c r="BK19">
        <f t="shared" si="14"/>
        <v>0</v>
      </c>
      <c r="BL19">
        <f t="shared" si="15"/>
        <v>0</v>
      </c>
      <c r="BM19">
        <f>_xlfn.XLOOKUP(C19, Constants!$D$19:$D$23, Constants!$E$19:$E$23)</f>
        <v>1.8E-3</v>
      </c>
      <c r="BN19">
        <f t="shared" si="16"/>
        <v>0</v>
      </c>
      <c r="BO19">
        <f>SUM(BN19:BN22)</f>
        <v>0</v>
      </c>
    </row>
    <row r="20" spans="1:67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pasture</v>
      </c>
      <c r="D20" t="b">
        <f>'Input Scenarios'!D20</f>
        <v>1</v>
      </c>
      <c r="E20" t="str">
        <f>'Input Scenarios'!E20</f>
        <v>sows</v>
      </c>
      <c r="F20">
        <f>'Input Scenarios'!F20</f>
        <v>233</v>
      </c>
      <c r="G20">
        <f>'Input Scenarios'!G20</f>
        <v>100</v>
      </c>
      <c r="H20">
        <f>IF('Input Scenarios'!H20&lt;&gt;"", 'Input Scenarios'!H20, _xlfn.XLOOKUP($E20,Constants!$A$3:$A$6, Constants!B$3:B$6))</f>
        <v>2.2999999999999998</v>
      </c>
      <c r="I20">
        <f>IF('Input Scenarios'!I20&lt;&gt;"", 'Input Scenarios'!I20, _xlfn.XLOOKUP($E20,Constants!$A$3:$A$6, Constants!C$3:C$6))</f>
        <v>0.46</v>
      </c>
      <c r="J20">
        <f>IF('Input Scenarios'!J20&lt;&gt;"", 'Input Scenarios'!J20, _xlfn.XLOOKUP($E20,Constants!$A$3:$A$6, Constants!D$3:D$6))</f>
        <v>4.9000000000000002E-2</v>
      </c>
      <c r="K20">
        <f>'Input Scenarios'!K20</f>
        <v>0</v>
      </c>
      <c r="L20">
        <f>'Input Scenarios'!L20</f>
        <v>0</v>
      </c>
      <c r="M20">
        <f>'Input Scenarios'!M20</f>
        <v>0</v>
      </c>
      <c r="N20">
        <f>'Input Scenarios'!N20</f>
        <v>0</v>
      </c>
      <c r="O20">
        <f>'Input Scenarios'!O20</f>
        <v>0</v>
      </c>
      <c r="P20">
        <f>'Input Scenarios'!P20</f>
        <v>0</v>
      </c>
      <c r="Q20" t="b">
        <f>'Input Scenarios'!Q20</f>
        <v>0</v>
      </c>
      <c r="R20">
        <f>IF('Input Scenarios'!$R20&lt;&gt;"", 'Input Scenarios'!$R20, IF($Q20, Constants!$B$19, 0))</f>
        <v>0</v>
      </c>
      <c r="S20">
        <f>IF('Input Scenarios'!$R20&lt;&gt;"", 'Input Scenarios'!$R20, IF($Q20, Constants!$B$20, 0))</f>
        <v>0</v>
      </c>
      <c r="T20">
        <f t="shared" si="3"/>
        <v>1141.7</v>
      </c>
      <c r="U20">
        <f t="shared" si="4"/>
        <v>0</v>
      </c>
      <c r="V20">
        <f t="shared" si="5"/>
        <v>0</v>
      </c>
      <c r="W20">
        <f t="shared" si="0"/>
        <v>0</v>
      </c>
      <c r="X20">
        <f t="shared" si="6"/>
        <v>0</v>
      </c>
      <c r="Y20">
        <f t="shared" si="0"/>
        <v>0</v>
      </c>
      <c r="Z20">
        <f t="shared" si="7"/>
        <v>0</v>
      </c>
      <c r="AA20">
        <f t="shared" si="8"/>
        <v>0</v>
      </c>
      <c r="AB20">
        <f t="shared" si="1"/>
        <v>0</v>
      </c>
      <c r="AC20">
        <f t="shared" si="1"/>
        <v>0</v>
      </c>
      <c r="AD20">
        <f t="shared" si="1"/>
        <v>0</v>
      </c>
      <c r="AE20">
        <f t="shared" si="1"/>
        <v>0</v>
      </c>
      <c r="AF20">
        <f t="shared" si="1"/>
        <v>0</v>
      </c>
      <c r="AG20" s="11">
        <f>Constants!$C$10</f>
        <v>0.55000000000000004</v>
      </c>
      <c r="AH20" s="11">
        <f>Constants!$C$12</f>
        <v>0.3</v>
      </c>
      <c r="AI20" s="11">
        <f>Constants!$C$13</f>
        <v>0</v>
      </c>
      <c r="AJ20" s="11">
        <f>Constants!$C$14</f>
        <v>0.125</v>
      </c>
      <c r="AK20" s="11">
        <f>Constants!$C$15</f>
        <v>0.25</v>
      </c>
      <c r="AL20" s="11">
        <f>Constants!$C$11</f>
        <v>0.2</v>
      </c>
      <c r="AM20" s="11">
        <f>Constants!$D$10</f>
        <v>0</v>
      </c>
      <c r="AN20" s="11">
        <f>Constants!$D$12</f>
        <v>0.02</v>
      </c>
      <c r="AO20" s="11">
        <f>Constants!$D$13</f>
        <v>0</v>
      </c>
      <c r="AP20" s="11">
        <f>Constants!$D$14</f>
        <v>0.01</v>
      </c>
      <c r="AQ20" s="11">
        <f>Constants!$D$15</f>
        <v>2E-3</v>
      </c>
      <c r="AR20" s="11">
        <f>Constants!$D$11</f>
        <v>5.0000000000000001E-3</v>
      </c>
      <c r="AS20">
        <f t="shared" si="9"/>
        <v>0</v>
      </c>
      <c r="AT20">
        <f t="shared" si="2"/>
        <v>0</v>
      </c>
      <c r="AU20">
        <f t="shared" si="2"/>
        <v>0</v>
      </c>
      <c r="AV20">
        <f t="shared" si="2"/>
        <v>0</v>
      </c>
      <c r="AW20">
        <f t="shared" si="2"/>
        <v>0</v>
      </c>
      <c r="AX20">
        <f t="shared" si="2"/>
        <v>0</v>
      </c>
      <c r="AY20">
        <f t="shared" si="10"/>
        <v>0</v>
      </c>
      <c r="AZ20">
        <f t="shared" si="11"/>
        <v>0</v>
      </c>
      <c r="BA20">
        <f t="shared" si="11"/>
        <v>0</v>
      </c>
      <c r="BB20">
        <f t="shared" si="12"/>
        <v>0</v>
      </c>
      <c r="BC20">
        <f>Constants!$B$23</f>
        <v>1.5714285714285714</v>
      </c>
      <c r="BD20">
        <f>AA20*AG20</f>
        <v>0</v>
      </c>
      <c r="BE20">
        <f>AB20*AH20</f>
        <v>0</v>
      </c>
      <c r="BF20">
        <f>AC20*AI20</f>
        <v>0</v>
      </c>
      <c r="BG20">
        <f>AD20*AJ20</f>
        <v>0</v>
      </c>
      <c r="BH20">
        <f>AE20*AK20</f>
        <v>0</v>
      </c>
      <c r="BI20">
        <f>AF20*AL20</f>
        <v>0</v>
      </c>
      <c r="BJ20">
        <f t="shared" si="13"/>
        <v>0</v>
      </c>
      <c r="BK20">
        <f t="shared" si="14"/>
        <v>0</v>
      </c>
      <c r="BL20">
        <f t="shared" si="15"/>
        <v>0</v>
      </c>
      <c r="BM20">
        <f>_xlfn.XLOOKUP(C20, Constants!$D$19:$D$23, Constants!$E$19:$E$23)</f>
        <v>1.8E-3</v>
      </c>
      <c r="BN20">
        <f t="shared" si="16"/>
        <v>0</v>
      </c>
    </row>
    <row r="21" spans="1:67" x14ac:dyDescent="0.2">
      <c r="A21" t="str">
        <f>'Input Scenarios'!A21</f>
        <v>QLD</v>
      </c>
      <c r="B21">
        <f>'Input Scenarios'!B21</f>
        <v>0</v>
      </c>
      <c r="C21" t="str">
        <f>'Input Scenarios'!C21</f>
        <v>Non-irrigated pasture</v>
      </c>
      <c r="D21" t="b">
        <f>'Input Scenarios'!D21</f>
        <v>1</v>
      </c>
      <c r="E21" t="str">
        <f>'Input Scenarios'!E21</f>
        <v>gilts</v>
      </c>
      <c r="F21">
        <f>'Input Scenarios'!F21</f>
        <v>923</v>
      </c>
      <c r="G21">
        <f>'Input Scenarios'!G21</f>
        <v>100</v>
      </c>
      <c r="H21">
        <f>IF('Input Scenarios'!H21&lt;&gt;"", 'Input Scenarios'!H21, _xlfn.XLOOKUP($E21,Constants!$A$3:$A$6, Constants!B$3:B$6))</f>
        <v>2.5</v>
      </c>
      <c r="I21">
        <f>IF('Input Scenarios'!I21&lt;&gt;"", 'Input Scenarios'!I21, _xlfn.XLOOKUP($E21,Constants!$A$3:$A$6, Constants!C$3:C$6))</f>
        <v>0.55000000000000004</v>
      </c>
      <c r="J21">
        <f>IF('Input Scenarios'!J21&lt;&gt;"", 'Input Scenarios'!J21, _xlfn.XLOOKUP($E21,Constants!$A$3:$A$6, Constants!D$3:D$6))</f>
        <v>4.5999999999999999E-2</v>
      </c>
      <c r="K21">
        <f>'Input Scenarios'!K21</f>
        <v>0</v>
      </c>
      <c r="L21">
        <f>'Input Scenarios'!L21</f>
        <v>0</v>
      </c>
      <c r="M21">
        <f>'Input Scenarios'!M21</f>
        <v>0</v>
      </c>
      <c r="N21">
        <f>'Input Scenarios'!N21</f>
        <v>0</v>
      </c>
      <c r="O21">
        <f>'Input Scenarios'!O21</f>
        <v>0</v>
      </c>
      <c r="P21">
        <f>'Input Scenarios'!P21</f>
        <v>0</v>
      </c>
      <c r="Q21" t="b">
        <f>'Input Scenarios'!Q21</f>
        <v>0</v>
      </c>
      <c r="R21">
        <f>IF('Input Scenarios'!$R21&lt;&gt;"", 'Input Scenarios'!$R21, IF($Q21, Constants!$B$19, 0))</f>
        <v>0</v>
      </c>
      <c r="S21">
        <f>IF('Input Scenarios'!$R21&lt;&gt;"", 'Input Scenarios'!$R21, IF($Q21, Constants!$B$20, 0))</f>
        <v>0</v>
      </c>
      <c r="T21">
        <f t="shared" si="3"/>
        <v>4245.8</v>
      </c>
      <c r="U21">
        <f t="shared" si="4"/>
        <v>0</v>
      </c>
      <c r="V21">
        <f t="shared" si="5"/>
        <v>0</v>
      </c>
      <c r="W21">
        <f t="shared" si="0"/>
        <v>0</v>
      </c>
      <c r="X21">
        <f t="shared" si="6"/>
        <v>0</v>
      </c>
      <c r="Y21">
        <f t="shared" si="0"/>
        <v>0</v>
      </c>
      <c r="Z21">
        <f t="shared" si="7"/>
        <v>0</v>
      </c>
      <c r="AA21">
        <f t="shared" si="8"/>
        <v>0</v>
      </c>
      <c r="AB21">
        <f t="shared" si="1"/>
        <v>0</v>
      </c>
      <c r="AC21">
        <f t="shared" si="1"/>
        <v>0</v>
      </c>
      <c r="AD21">
        <f t="shared" si="1"/>
        <v>0</v>
      </c>
      <c r="AE21">
        <f t="shared" si="1"/>
        <v>0</v>
      </c>
      <c r="AF21">
        <f t="shared" si="1"/>
        <v>0</v>
      </c>
      <c r="AG21" s="11">
        <f>Constants!$C$10</f>
        <v>0.55000000000000004</v>
      </c>
      <c r="AH21" s="11">
        <f>Constants!$C$12</f>
        <v>0.3</v>
      </c>
      <c r="AI21" s="11">
        <f>Constants!$C$13</f>
        <v>0</v>
      </c>
      <c r="AJ21" s="11">
        <f>Constants!$C$14</f>
        <v>0.125</v>
      </c>
      <c r="AK21" s="11">
        <f>Constants!$C$15</f>
        <v>0.25</v>
      </c>
      <c r="AL21" s="11">
        <f>Constants!$C$11</f>
        <v>0.2</v>
      </c>
      <c r="AM21" s="11">
        <f>Constants!$D$10</f>
        <v>0</v>
      </c>
      <c r="AN21" s="11">
        <f>Constants!$D$12</f>
        <v>0.02</v>
      </c>
      <c r="AO21" s="11">
        <f>Constants!$D$13</f>
        <v>0</v>
      </c>
      <c r="AP21" s="11">
        <f>Constants!$D$14</f>
        <v>0.01</v>
      </c>
      <c r="AQ21" s="11">
        <f>Constants!$D$15</f>
        <v>2E-3</v>
      </c>
      <c r="AR21" s="11">
        <f>Constants!$D$11</f>
        <v>5.0000000000000001E-3</v>
      </c>
      <c r="AS21">
        <f t="shared" si="9"/>
        <v>0</v>
      </c>
      <c r="AT21">
        <f t="shared" si="2"/>
        <v>0</v>
      </c>
      <c r="AU21">
        <f t="shared" si="2"/>
        <v>0</v>
      </c>
      <c r="AV21">
        <f t="shared" si="2"/>
        <v>0</v>
      </c>
      <c r="AW21">
        <f t="shared" si="2"/>
        <v>0</v>
      </c>
      <c r="AX21">
        <f t="shared" si="2"/>
        <v>0</v>
      </c>
      <c r="AY21">
        <f t="shared" si="10"/>
        <v>0</v>
      </c>
      <c r="AZ21">
        <f t="shared" si="11"/>
        <v>0</v>
      </c>
      <c r="BA21">
        <f t="shared" si="11"/>
        <v>0</v>
      </c>
      <c r="BB21">
        <f t="shared" si="12"/>
        <v>0</v>
      </c>
      <c r="BC21">
        <f>Constants!$B$23</f>
        <v>1.5714285714285714</v>
      </c>
      <c r="BD21">
        <f>AA21*AG21</f>
        <v>0</v>
      </c>
      <c r="BE21">
        <f>AB21*AH21</f>
        <v>0</v>
      </c>
      <c r="BF21">
        <f>AC21*AI21</f>
        <v>0</v>
      </c>
      <c r="BG21">
        <f>AD21*AJ21</f>
        <v>0</v>
      </c>
      <c r="BH21">
        <f>AE21*AK21</f>
        <v>0</v>
      </c>
      <c r="BI21">
        <f>AF21*AL21</f>
        <v>0</v>
      </c>
      <c r="BJ21">
        <f t="shared" si="13"/>
        <v>0</v>
      </c>
      <c r="BK21">
        <f t="shared" si="14"/>
        <v>0</v>
      </c>
      <c r="BL21">
        <f t="shared" si="15"/>
        <v>0</v>
      </c>
      <c r="BM21">
        <f>_xlfn.XLOOKUP(C21, Constants!$D$19:$D$23, Constants!$E$19:$E$23)</f>
        <v>1.8E-3</v>
      </c>
      <c r="BN21">
        <f t="shared" si="16"/>
        <v>0</v>
      </c>
    </row>
    <row r="22" spans="1:67" s="2" customFormat="1" x14ac:dyDescent="0.2">
      <c r="A22" s="2" t="str">
        <f>'Input Scenarios'!A22</f>
        <v>QLD</v>
      </c>
      <c r="B22" s="2">
        <f>'Input Scenarios'!B22</f>
        <v>0</v>
      </c>
      <c r="C22" s="2" t="str">
        <f>'Input Scenarios'!C22</f>
        <v>Non-irrigated pasture</v>
      </c>
      <c r="D22" s="2" t="b">
        <f>'Input Scenarios'!D22</f>
        <v>1</v>
      </c>
      <c r="E22" s="2" t="str">
        <f>'Input Scenarios'!E22</f>
        <v>others</v>
      </c>
      <c r="F22" s="2">
        <f>'Input Scenarios'!F22</f>
        <v>122</v>
      </c>
      <c r="G22" s="2">
        <f>'Input Scenarios'!G22</f>
        <v>100</v>
      </c>
      <c r="H22">
        <f>IF('Input Scenarios'!H22&lt;&gt;"", 'Input Scenarios'!H22, _xlfn.XLOOKUP($E22,Constants!$A$3:$A$6, Constants!B$3:B$6))</f>
        <v>1.71</v>
      </c>
      <c r="I22">
        <f>IF('Input Scenarios'!I22&lt;&gt;"", 'Input Scenarios'!I22, _xlfn.XLOOKUP($E22,Constants!$A$3:$A$6, Constants!C$3:C$6))</f>
        <v>0.39</v>
      </c>
      <c r="J22">
        <f>IF('Input Scenarios'!J22&lt;&gt;"", 'Input Scenarios'!J22, _xlfn.XLOOKUP($E22,Constants!$A$3:$A$6, Constants!D$3:D$6))</f>
        <v>3.1232876712328769E-2</v>
      </c>
      <c r="K22" s="2">
        <f>'Input Scenarios'!K22</f>
        <v>0</v>
      </c>
      <c r="L22" s="2">
        <f>'Input Scenarios'!L22</f>
        <v>0</v>
      </c>
      <c r="M22" s="2">
        <f>'Input Scenarios'!M22</f>
        <v>0</v>
      </c>
      <c r="N22" s="2">
        <f>'Input Scenarios'!N22</f>
        <v>0</v>
      </c>
      <c r="O22" s="2">
        <f>'Input Scenarios'!O22</f>
        <v>0</v>
      </c>
      <c r="P22" s="2">
        <f>'Input Scenarios'!P22</f>
        <v>0</v>
      </c>
      <c r="Q22" s="2" t="b">
        <f>'Input Scenarios'!Q22</f>
        <v>0</v>
      </c>
      <c r="R22" s="2">
        <f>IF('Input Scenarios'!$R22&lt;&gt;"", 'Input Scenarios'!$R22, IF($Q22, Constants!$B$19, 0))</f>
        <v>0</v>
      </c>
      <c r="S22" s="2">
        <f>IF('Input Scenarios'!$R22&lt;&gt;"", 'Input Scenarios'!$R22, IF($Q22, Constants!$B$20, 0))</f>
        <v>0</v>
      </c>
      <c r="T22">
        <f t="shared" si="3"/>
        <v>381.04109589041099</v>
      </c>
      <c r="U22">
        <f t="shared" si="4"/>
        <v>0</v>
      </c>
      <c r="V22">
        <f t="shared" si="5"/>
        <v>0</v>
      </c>
      <c r="W22">
        <f t="shared" si="0"/>
        <v>0</v>
      </c>
      <c r="X22">
        <f t="shared" si="6"/>
        <v>0</v>
      </c>
      <c r="Y22">
        <f t="shared" si="0"/>
        <v>0</v>
      </c>
      <c r="Z22">
        <f t="shared" si="7"/>
        <v>0</v>
      </c>
      <c r="AA22">
        <f t="shared" si="8"/>
        <v>0</v>
      </c>
      <c r="AB22">
        <f t="shared" si="1"/>
        <v>0</v>
      </c>
      <c r="AC22">
        <f t="shared" si="1"/>
        <v>0</v>
      </c>
      <c r="AD22">
        <f t="shared" si="1"/>
        <v>0</v>
      </c>
      <c r="AE22">
        <f t="shared" si="1"/>
        <v>0</v>
      </c>
      <c r="AF22">
        <f t="shared" si="1"/>
        <v>0</v>
      </c>
      <c r="AG22" s="11">
        <f>Constants!$C$10</f>
        <v>0.55000000000000004</v>
      </c>
      <c r="AH22" s="11">
        <f>Constants!$C$12</f>
        <v>0.3</v>
      </c>
      <c r="AI22" s="11">
        <f>Constants!$C$13</f>
        <v>0</v>
      </c>
      <c r="AJ22" s="11">
        <f>Constants!$C$14</f>
        <v>0.125</v>
      </c>
      <c r="AK22" s="11">
        <f>Constants!$C$15</f>
        <v>0.25</v>
      </c>
      <c r="AL22" s="11">
        <f>Constants!$C$11</f>
        <v>0.2</v>
      </c>
      <c r="AM22" s="11">
        <f>Constants!$D$10</f>
        <v>0</v>
      </c>
      <c r="AN22" s="11">
        <f>Constants!$D$12</f>
        <v>0.02</v>
      </c>
      <c r="AO22" s="11">
        <f>Constants!$D$13</f>
        <v>0</v>
      </c>
      <c r="AP22" s="11">
        <f>Constants!$D$14</f>
        <v>0.01</v>
      </c>
      <c r="AQ22" s="11">
        <f>Constants!$D$15</f>
        <v>2E-3</v>
      </c>
      <c r="AR22" s="11">
        <f>Constants!$D$11</f>
        <v>5.0000000000000001E-3</v>
      </c>
      <c r="AS22">
        <f t="shared" si="9"/>
        <v>0</v>
      </c>
      <c r="AT22">
        <f t="shared" si="2"/>
        <v>0</v>
      </c>
      <c r="AU22">
        <f t="shared" si="2"/>
        <v>0</v>
      </c>
      <c r="AV22">
        <f t="shared" si="2"/>
        <v>0</v>
      </c>
      <c r="AW22">
        <f t="shared" si="2"/>
        <v>0</v>
      </c>
      <c r="AX22">
        <f t="shared" si="2"/>
        <v>0</v>
      </c>
      <c r="AY22">
        <f t="shared" si="10"/>
        <v>0</v>
      </c>
      <c r="AZ22">
        <f t="shared" si="11"/>
        <v>0</v>
      </c>
      <c r="BA22">
        <f t="shared" si="11"/>
        <v>0</v>
      </c>
      <c r="BB22">
        <f t="shared" si="12"/>
        <v>0</v>
      </c>
      <c r="BC22">
        <f>Constants!$B$23</f>
        <v>1.5714285714285714</v>
      </c>
      <c r="BD22">
        <f>AA22*AG22</f>
        <v>0</v>
      </c>
      <c r="BE22">
        <f>AB22*AH22</f>
        <v>0</v>
      </c>
      <c r="BF22">
        <f>AC22*AI22</f>
        <v>0</v>
      </c>
      <c r="BG22">
        <f>AD22*AJ22</f>
        <v>0</v>
      </c>
      <c r="BH22">
        <f>AE22*AK22</f>
        <v>0</v>
      </c>
      <c r="BI22">
        <f>AF22*AL22</f>
        <v>0</v>
      </c>
      <c r="BJ22">
        <f t="shared" si="13"/>
        <v>0</v>
      </c>
      <c r="BK22">
        <f t="shared" si="14"/>
        <v>0</v>
      </c>
      <c r="BL22">
        <f t="shared" si="15"/>
        <v>0</v>
      </c>
      <c r="BM22">
        <f>_xlfn.XLOOKUP(C22, Constants!$D$19:$D$23, Constants!$E$19:$E$23)</f>
        <v>1.8E-3</v>
      </c>
      <c r="BN22">
        <f t="shared" si="16"/>
        <v>0</v>
      </c>
    </row>
    <row r="23" spans="1:67" x14ac:dyDescent="0.2">
      <c r="A23" t="str">
        <f>'Input Scenarios'!A23</f>
        <v>WA</v>
      </c>
      <c r="B23">
        <f>'Input Scenarios'!B23</f>
        <v>0</v>
      </c>
      <c r="C23" t="str">
        <f>'Input Scenarios'!C23</f>
        <v>Non-irrigated crop (low rainfall)</v>
      </c>
      <c r="D23" t="b">
        <f>'Input Scenarios'!D23</f>
        <v>0</v>
      </c>
      <c r="E23" t="str">
        <f>'Input Scenarios'!E23</f>
        <v>boars</v>
      </c>
      <c r="F23">
        <f>'Input Scenarios'!F23</f>
        <v>750</v>
      </c>
      <c r="G23">
        <f>'Input Scenarios'!G23</f>
        <v>200</v>
      </c>
      <c r="H23">
        <f>IF('Input Scenarios'!H23&lt;&gt;"", 'Input Scenarios'!H23, _xlfn.XLOOKUP($E23,Constants!$A$3:$A$6, Constants!B$3:B$6))</f>
        <v>2.62</v>
      </c>
      <c r="I23">
        <f>IF('Input Scenarios'!I23&lt;&gt;"", 'Input Scenarios'!I23, _xlfn.XLOOKUP($E23,Constants!$A$3:$A$6, Constants!C$3:C$6))</f>
        <v>0.4</v>
      </c>
      <c r="J23">
        <f>IF('Input Scenarios'!J23&lt;&gt;"", 'Input Scenarios'!J23, _xlfn.XLOOKUP($E23,Constants!$A$3:$A$6, Constants!D$3:D$6))</f>
        <v>4.5999999999999999E-2</v>
      </c>
      <c r="K23">
        <f>'Input Scenarios'!K23</f>
        <v>0</v>
      </c>
      <c r="L23">
        <f>'Input Scenarios'!L23</f>
        <v>0</v>
      </c>
      <c r="M23">
        <f>'Input Scenarios'!M23</f>
        <v>0</v>
      </c>
      <c r="N23">
        <f>'Input Scenarios'!N23</f>
        <v>0</v>
      </c>
      <c r="O23">
        <f>'Input Scenarios'!O23</f>
        <v>0</v>
      </c>
      <c r="P23">
        <f>'Input Scenarios'!P23</f>
        <v>0</v>
      </c>
      <c r="Q23" t="b">
        <f>'Input Scenarios'!Q23</f>
        <v>0</v>
      </c>
      <c r="R23">
        <f>IF('Input Scenarios'!$R23&lt;&gt;"", 'Input Scenarios'!$R23, IF($Q23, Constants!$B$19, 0))</f>
        <v>0</v>
      </c>
      <c r="S23">
        <f>IF('Input Scenarios'!$R23&lt;&gt;"", 'Input Scenarios'!$R23, IF($Q23, Constants!$B$20, 0))</f>
        <v>0</v>
      </c>
      <c r="T23">
        <f t="shared" si="3"/>
        <v>6900</v>
      </c>
      <c r="U23">
        <f t="shared" si="4"/>
        <v>0</v>
      </c>
      <c r="V23">
        <f t="shared" si="5"/>
        <v>0</v>
      </c>
      <c r="W23">
        <f t="shared" si="0"/>
        <v>0</v>
      </c>
      <c r="X23">
        <f t="shared" si="6"/>
        <v>0</v>
      </c>
      <c r="Y23">
        <f t="shared" si="0"/>
        <v>0</v>
      </c>
      <c r="Z23">
        <f t="shared" si="7"/>
        <v>0</v>
      </c>
      <c r="AA23">
        <f t="shared" si="8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  <c r="AF23">
        <f t="shared" si="1"/>
        <v>0</v>
      </c>
      <c r="AG23" s="11">
        <f>Constants!$C$10</f>
        <v>0.55000000000000004</v>
      </c>
      <c r="AH23" s="11">
        <f>Constants!$C$12</f>
        <v>0.3</v>
      </c>
      <c r="AI23" s="11">
        <f>Constants!$C$13</f>
        <v>0</v>
      </c>
      <c r="AJ23" s="11">
        <f>Constants!$C$14</f>
        <v>0.125</v>
      </c>
      <c r="AK23" s="11">
        <f>Constants!$C$15</f>
        <v>0.25</v>
      </c>
      <c r="AL23" s="11">
        <f>Constants!$C$11</f>
        <v>0.2</v>
      </c>
      <c r="AM23" s="11">
        <f>Constants!$D$10</f>
        <v>0</v>
      </c>
      <c r="AN23" s="11">
        <f>Constants!$D$12</f>
        <v>0.02</v>
      </c>
      <c r="AO23" s="11">
        <f>Constants!$D$13</f>
        <v>0</v>
      </c>
      <c r="AP23" s="11">
        <f>Constants!$D$14</f>
        <v>0.01</v>
      </c>
      <c r="AQ23" s="11">
        <f>Constants!$D$15</f>
        <v>2E-3</v>
      </c>
      <c r="AR23" s="11">
        <f>Constants!$D$11</f>
        <v>5.0000000000000001E-3</v>
      </c>
      <c r="AS23">
        <f t="shared" si="9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10"/>
        <v>0</v>
      </c>
      <c r="AZ23">
        <f t="shared" si="11"/>
        <v>0</v>
      </c>
      <c r="BA23">
        <f t="shared" si="11"/>
        <v>0</v>
      </c>
      <c r="BB23">
        <f t="shared" si="12"/>
        <v>0</v>
      </c>
      <c r="BC23">
        <f>Constants!$B$23</f>
        <v>1.5714285714285714</v>
      </c>
      <c r="BD23">
        <f>AA23*AG23</f>
        <v>0</v>
      </c>
      <c r="BE23">
        <f>AB23*AH23</f>
        <v>0</v>
      </c>
      <c r="BF23">
        <f>AC23*AI23</f>
        <v>0</v>
      </c>
      <c r="BG23">
        <f>AD23*AJ23</f>
        <v>0</v>
      </c>
      <c r="BH23">
        <f>AE23*AK23</f>
        <v>0</v>
      </c>
      <c r="BI23">
        <f>AF23*AL23</f>
        <v>0</v>
      </c>
      <c r="BJ23">
        <f t="shared" si="13"/>
        <v>0</v>
      </c>
      <c r="BK23">
        <f t="shared" si="14"/>
        <v>0</v>
      </c>
      <c r="BL23">
        <f t="shared" si="15"/>
        <v>0</v>
      </c>
      <c r="BM23">
        <f>_xlfn.XLOOKUP(C23, Constants!$D$19:$D$23, Constants!$E$19:$E$23)</f>
        <v>2.8999999999999998E-3</v>
      </c>
      <c r="BN23">
        <f t="shared" si="16"/>
        <v>0</v>
      </c>
      <c r="BO23">
        <f>SUM(BN23:BN26)</f>
        <v>0</v>
      </c>
    </row>
    <row r="24" spans="1:67" x14ac:dyDescent="0.2">
      <c r="A24" t="str">
        <f>'Input Scenarios'!A24</f>
        <v>WA</v>
      </c>
      <c r="B24">
        <f>'Input Scenarios'!B24</f>
        <v>0</v>
      </c>
      <c r="C24" t="str">
        <f>'Input Scenarios'!C24</f>
        <v>Non-irrigated crop (low rainfall)</v>
      </c>
      <c r="D24" t="b">
        <f>'Input Scenarios'!D24</f>
        <v>0</v>
      </c>
      <c r="E24" t="str">
        <f>'Input Scenarios'!E24</f>
        <v>sows</v>
      </c>
      <c r="F24">
        <f>'Input Scenarios'!F24</f>
        <v>600</v>
      </c>
      <c r="G24">
        <f>'Input Scenarios'!G24</f>
        <v>200</v>
      </c>
      <c r="H24">
        <f>IF('Input Scenarios'!H24&lt;&gt;"", 'Input Scenarios'!H24, _xlfn.XLOOKUP($E24,Constants!$A$3:$A$6, Constants!B$3:B$6))</f>
        <v>2.2999999999999998</v>
      </c>
      <c r="I24">
        <f>IF('Input Scenarios'!I24&lt;&gt;"", 'Input Scenarios'!I24, _xlfn.XLOOKUP($E24,Constants!$A$3:$A$6, Constants!C$3:C$6))</f>
        <v>0.46</v>
      </c>
      <c r="J24">
        <f>IF('Input Scenarios'!J24&lt;&gt;"", 'Input Scenarios'!J24, _xlfn.XLOOKUP($E24,Constants!$A$3:$A$6, Constants!D$3:D$6))</f>
        <v>4.9000000000000002E-2</v>
      </c>
      <c r="K24">
        <f>'Input Scenarios'!K24</f>
        <v>0</v>
      </c>
      <c r="L24">
        <f>'Input Scenarios'!L24</f>
        <v>0</v>
      </c>
      <c r="M24">
        <f>'Input Scenarios'!M24</f>
        <v>0</v>
      </c>
      <c r="N24">
        <f>'Input Scenarios'!N24</f>
        <v>0</v>
      </c>
      <c r="O24">
        <f>'Input Scenarios'!O24</f>
        <v>0</v>
      </c>
      <c r="P24">
        <f>'Input Scenarios'!P24</f>
        <v>0</v>
      </c>
      <c r="Q24" t="b">
        <f>'Input Scenarios'!Q24</f>
        <v>0</v>
      </c>
      <c r="R24">
        <f>IF('Input Scenarios'!$R24&lt;&gt;"", 'Input Scenarios'!$R24, IF($Q24, Constants!$B$19, 0))</f>
        <v>0</v>
      </c>
      <c r="S24">
        <f>IF('Input Scenarios'!$R24&lt;&gt;"", 'Input Scenarios'!$R24, IF($Q24, Constants!$B$20, 0))</f>
        <v>0</v>
      </c>
      <c r="T24">
        <f t="shared" si="3"/>
        <v>5880</v>
      </c>
      <c r="U24">
        <f t="shared" si="4"/>
        <v>0</v>
      </c>
      <c r="V24">
        <f t="shared" si="5"/>
        <v>0</v>
      </c>
      <c r="W24">
        <f t="shared" si="0"/>
        <v>0</v>
      </c>
      <c r="X24">
        <f t="shared" si="6"/>
        <v>0</v>
      </c>
      <c r="Y24">
        <f t="shared" si="0"/>
        <v>0</v>
      </c>
      <c r="Z24">
        <f t="shared" si="7"/>
        <v>0</v>
      </c>
      <c r="AA24">
        <f t="shared" si="8"/>
        <v>0</v>
      </c>
      <c r="AB24">
        <f t="shared" si="1"/>
        <v>0</v>
      </c>
      <c r="AC24">
        <f t="shared" si="1"/>
        <v>0</v>
      </c>
      <c r="AD24">
        <f t="shared" si="1"/>
        <v>0</v>
      </c>
      <c r="AE24">
        <f t="shared" si="1"/>
        <v>0</v>
      </c>
      <c r="AF24">
        <f t="shared" si="1"/>
        <v>0</v>
      </c>
      <c r="AG24" s="11">
        <f>Constants!$C$10</f>
        <v>0.55000000000000004</v>
      </c>
      <c r="AH24" s="11">
        <f>Constants!$C$12</f>
        <v>0.3</v>
      </c>
      <c r="AI24" s="11">
        <f>Constants!$C$13</f>
        <v>0</v>
      </c>
      <c r="AJ24" s="11">
        <f>Constants!$C$14</f>
        <v>0.125</v>
      </c>
      <c r="AK24" s="11">
        <f>Constants!$C$15</f>
        <v>0.25</v>
      </c>
      <c r="AL24" s="11">
        <f>Constants!$C$11</f>
        <v>0.2</v>
      </c>
      <c r="AM24" s="11">
        <f>Constants!$D$10</f>
        <v>0</v>
      </c>
      <c r="AN24" s="11">
        <f>Constants!$D$12</f>
        <v>0.02</v>
      </c>
      <c r="AO24" s="11">
        <f>Constants!$D$13</f>
        <v>0</v>
      </c>
      <c r="AP24" s="11">
        <f>Constants!$D$14</f>
        <v>0.01</v>
      </c>
      <c r="AQ24" s="11">
        <f>Constants!$D$15</f>
        <v>2E-3</v>
      </c>
      <c r="AR24" s="11">
        <f>Constants!$D$11</f>
        <v>5.0000000000000001E-3</v>
      </c>
      <c r="AS24">
        <f t="shared" si="9"/>
        <v>0</v>
      </c>
      <c r="AT24">
        <f t="shared" si="2"/>
        <v>0</v>
      </c>
      <c r="AU24">
        <f t="shared" si="2"/>
        <v>0</v>
      </c>
      <c r="AV24">
        <f t="shared" si="2"/>
        <v>0</v>
      </c>
      <c r="AW24">
        <f t="shared" si="2"/>
        <v>0</v>
      </c>
      <c r="AX24">
        <f t="shared" si="2"/>
        <v>0</v>
      </c>
      <c r="AY24">
        <f t="shared" si="10"/>
        <v>0</v>
      </c>
      <c r="AZ24">
        <f t="shared" si="11"/>
        <v>0</v>
      </c>
      <c r="BA24">
        <f t="shared" si="11"/>
        <v>0</v>
      </c>
      <c r="BB24">
        <f t="shared" si="12"/>
        <v>0</v>
      </c>
      <c r="BC24">
        <f>Constants!$B$23</f>
        <v>1.5714285714285714</v>
      </c>
      <c r="BD24">
        <f>AA24*AG24</f>
        <v>0</v>
      </c>
      <c r="BE24">
        <f>AB24*AH24</f>
        <v>0</v>
      </c>
      <c r="BF24">
        <f>AC24*AI24</f>
        <v>0</v>
      </c>
      <c r="BG24">
        <f>AD24*AJ24</f>
        <v>0</v>
      </c>
      <c r="BH24">
        <f>AE24*AK24</f>
        <v>0</v>
      </c>
      <c r="BI24">
        <f>AF24*AL24</f>
        <v>0</v>
      </c>
      <c r="BJ24">
        <f t="shared" si="13"/>
        <v>0</v>
      </c>
      <c r="BK24">
        <f t="shared" si="14"/>
        <v>0</v>
      </c>
      <c r="BL24">
        <f t="shared" si="15"/>
        <v>0</v>
      </c>
      <c r="BM24">
        <f>_xlfn.XLOOKUP(C24, Constants!$D$19:$D$23, Constants!$E$19:$E$23)</f>
        <v>2.8999999999999998E-3</v>
      </c>
      <c r="BN24">
        <f t="shared" si="16"/>
        <v>0</v>
      </c>
    </row>
    <row r="25" spans="1:67" x14ac:dyDescent="0.2">
      <c r="A25" t="str">
        <f>'Input Scenarios'!A25</f>
        <v>WA</v>
      </c>
      <c r="B25">
        <f>'Input Scenarios'!B25</f>
        <v>0</v>
      </c>
      <c r="C25" t="str">
        <f>'Input Scenarios'!C25</f>
        <v>Non-irrigated crop (low rainfall)</v>
      </c>
      <c r="D25" t="b">
        <f>'Input Scenarios'!D25</f>
        <v>0</v>
      </c>
      <c r="E25" t="str">
        <f>'Input Scenarios'!E25</f>
        <v>gilts</v>
      </c>
      <c r="F25">
        <f>'Input Scenarios'!F25</f>
        <v>100</v>
      </c>
      <c r="G25">
        <f>'Input Scenarios'!G25</f>
        <v>299</v>
      </c>
      <c r="H25">
        <f>IF('Input Scenarios'!H25&lt;&gt;"", 'Input Scenarios'!H25, _xlfn.XLOOKUP($E25,Constants!$A$3:$A$6, Constants!B$3:B$6))</f>
        <v>2.5</v>
      </c>
      <c r="I25">
        <f>IF('Input Scenarios'!I25&lt;&gt;"", 'Input Scenarios'!I25, _xlfn.XLOOKUP($E25,Constants!$A$3:$A$6, Constants!C$3:C$6))</f>
        <v>0.55000000000000004</v>
      </c>
      <c r="J25">
        <f>IF('Input Scenarios'!J25&lt;&gt;"", 'Input Scenarios'!J25, _xlfn.XLOOKUP($E25,Constants!$A$3:$A$6, Constants!D$3:D$6))</f>
        <v>4.5999999999999999E-2</v>
      </c>
      <c r="K25">
        <f>'Input Scenarios'!K25</f>
        <v>0</v>
      </c>
      <c r="L25">
        <f>'Input Scenarios'!L25</f>
        <v>0</v>
      </c>
      <c r="M25">
        <f>'Input Scenarios'!M25</f>
        <v>0</v>
      </c>
      <c r="N25">
        <f>'Input Scenarios'!N25</f>
        <v>0</v>
      </c>
      <c r="O25">
        <f>'Input Scenarios'!O25</f>
        <v>0</v>
      </c>
      <c r="P25">
        <f>'Input Scenarios'!P25</f>
        <v>0</v>
      </c>
      <c r="Q25" t="b">
        <f>'Input Scenarios'!Q25</f>
        <v>1</v>
      </c>
      <c r="R25">
        <f>IF('Input Scenarios'!$R25&lt;&gt;"", 'Input Scenarios'!$R25, IF($Q25, Constants!$B$19, 0))</f>
        <v>0.25</v>
      </c>
      <c r="S25">
        <f>IF('Input Scenarios'!$R25&lt;&gt;"", 'Input Scenarios'!$R25, IF($Q25, Constants!$B$20, 0))</f>
        <v>0.25</v>
      </c>
      <c r="T25">
        <f t="shared" si="3"/>
        <v>1375.3999999999999</v>
      </c>
      <c r="U25">
        <f t="shared" si="4"/>
        <v>0</v>
      </c>
      <c r="V25">
        <f t="shared" si="5"/>
        <v>0</v>
      </c>
      <c r="W25">
        <f t="shared" si="0"/>
        <v>0</v>
      </c>
      <c r="X25">
        <f t="shared" si="6"/>
        <v>0</v>
      </c>
      <c r="Y25">
        <f t="shared" si="0"/>
        <v>0</v>
      </c>
      <c r="Z25">
        <f t="shared" si="7"/>
        <v>0</v>
      </c>
      <c r="AA25">
        <f t="shared" si="8"/>
        <v>0</v>
      </c>
      <c r="AB25">
        <f t="shared" si="1"/>
        <v>0</v>
      </c>
      <c r="AC25">
        <f t="shared" si="1"/>
        <v>0</v>
      </c>
      <c r="AD25">
        <f t="shared" si="1"/>
        <v>0</v>
      </c>
      <c r="AE25">
        <f t="shared" si="1"/>
        <v>0</v>
      </c>
      <c r="AF25">
        <f t="shared" si="1"/>
        <v>0</v>
      </c>
      <c r="AG25" s="11">
        <f>Constants!$C$10</f>
        <v>0.55000000000000004</v>
      </c>
      <c r="AH25" s="11">
        <f>Constants!$C$12</f>
        <v>0.3</v>
      </c>
      <c r="AI25" s="11">
        <f>Constants!$C$13</f>
        <v>0</v>
      </c>
      <c r="AJ25" s="11">
        <f>Constants!$C$14</f>
        <v>0.125</v>
      </c>
      <c r="AK25" s="11">
        <f>Constants!$C$15</f>
        <v>0.25</v>
      </c>
      <c r="AL25" s="11">
        <f>Constants!$C$11</f>
        <v>0.2</v>
      </c>
      <c r="AM25" s="11">
        <f>Constants!$D$10</f>
        <v>0</v>
      </c>
      <c r="AN25" s="11">
        <f>Constants!$D$12</f>
        <v>0.02</v>
      </c>
      <c r="AO25" s="11">
        <f>Constants!$D$13</f>
        <v>0</v>
      </c>
      <c r="AP25" s="11">
        <f>Constants!$D$14</f>
        <v>0.01</v>
      </c>
      <c r="AQ25" s="11">
        <f>Constants!$D$15</f>
        <v>2E-3</v>
      </c>
      <c r="AR25" s="11">
        <f>Constants!$D$11</f>
        <v>5.0000000000000001E-3</v>
      </c>
      <c r="AS25">
        <f t="shared" si="9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10"/>
        <v>0</v>
      </c>
      <c r="AZ25">
        <f t="shared" si="11"/>
        <v>0</v>
      </c>
      <c r="BA25">
        <f t="shared" si="11"/>
        <v>0</v>
      </c>
      <c r="BB25">
        <f t="shared" si="12"/>
        <v>0</v>
      </c>
      <c r="BC25">
        <f>Constants!$B$23</f>
        <v>1.5714285714285714</v>
      </c>
      <c r="BD25">
        <f>AA25*AG25</f>
        <v>0</v>
      </c>
      <c r="BE25">
        <f>AB25*AH25</f>
        <v>0</v>
      </c>
      <c r="BF25">
        <f>AC25*AI25</f>
        <v>0</v>
      </c>
      <c r="BG25">
        <f>AD25*AJ25</f>
        <v>0</v>
      </c>
      <c r="BH25">
        <f>AE25*AK25</f>
        <v>0</v>
      </c>
      <c r="BI25">
        <f>AF25*AL25</f>
        <v>0</v>
      </c>
      <c r="BJ25">
        <f t="shared" si="13"/>
        <v>0</v>
      </c>
      <c r="BK25">
        <f t="shared" si="14"/>
        <v>0</v>
      </c>
      <c r="BL25">
        <f t="shared" si="15"/>
        <v>0</v>
      </c>
      <c r="BM25">
        <f>_xlfn.XLOOKUP(C25, Constants!$D$19:$D$23, Constants!$E$19:$E$23)</f>
        <v>2.8999999999999998E-3</v>
      </c>
      <c r="BN25">
        <f t="shared" si="16"/>
        <v>0</v>
      </c>
    </row>
    <row r="26" spans="1:67" x14ac:dyDescent="0.2">
      <c r="A26" t="str">
        <f>'Input Scenarios'!A26</f>
        <v>WA</v>
      </c>
      <c r="B26">
        <f>'Input Scenarios'!B26</f>
        <v>0</v>
      </c>
      <c r="C26" t="str">
        <f>'Input Scenarios'!C26</f>
        <v>Non-irrigated crop (low rainfall)</v>
      </c>
      <c r="D26" t="b">
        <f>'Input Scenarios'!D26</f>
        <v>0</v>
      </c>
      <c r="E26" t="str">
        <f>'Input Scenarios'!E26</f>
        <v>others</v>
      </c>
      <c r="F26">
        <f>'Input Scenarios'!F26</f>
        <v>999</v>
      </c>
      <c r="G26">
        <f>'Input Scenarios'!G26</f>
        <v>299</v>
      </c>
      <c r="H26">
        <f>IF('Input Scenarios'!H26&lt;&gt;"", 'Input Scenarios'!H26, _xlfn.XLOOKUP($E26,Constants!$A$3:$A$6, Constants!B$3:B$6))</f>
        <v>1.71</v>
      </c>
      <c r="I26">
        <f>IF('Input Scenarios'!I26&lt;&gt;"", 'Input Scenarios'!I26, _xlfn.XLOOKUP($E26,Constants!$A$3:$A$6, Constants!C$3:C$6))</f>
        <v>0.39</v>
      </c>
      <c r="J26">
        <f>IF('Input Scenarios'!J26&lt;&gt;"", 'Input Scenarios'!J26, _xlfn.XLOOKUP($E26,Constants!$A$3:$A$6, Constants!D$3:D$6))</f>
        <v>3.1232876712328769E-2</v>
      </c>
      <c r="K26">
        <f>'Input Scenarios'!K26</f>
        <v>0</v>
      </c>
      <c r="L26">
        <f>'Input Scenarios'!L26</f>
        <v>0</v>
      </c>
      <c r="M26">
        <f>'Input Scenarios'!M26</f>
        <v>0</v>
      </c>
      <c r="N26">
        <f>'Input Scenarios'!N26</f>
        <v>0</v>
      </c>
      <c r="O26">
        <f>'Input Scenarios'!O26</f>
        <v>0</v>
      </c>
      <c r="P26">
        <f>'Input Scenarios'!P26</f>
        <v>0</v>
      </c>
      <c r="Q26" t="b">
        <f>'Input Scenarios'!Q26</f>
        <v>1</v>
      </c>
      <c r="R26">
        <f>IF('Input Scenarios'!$R26&lt;&gt;"", 'Input Scenarios'!$R26, IF($Q26, Constants!$B$19, 0))</f>
        <v>0.25</v>
      </c>
      <c r="S26">
        <f>IF('Input Scenarios'!$R26&lt;&gt;"", 'Input Scenarios'!$R26, IF($Q26, Constants!$B$20, 0))</f>
        <v>0.25</v>
      </c>
      <c r="T26">
        <f t="shared" si="3"/>
        <v>9329.2915068493148</v>
      </c>
      <c r="U26">
        <f t="shared" si="4"/>
        <v>0</v>
      </c>
      <c r="V26">
        <f t="shared" si="5"/>
        <v>0</v>
      </c>
      <c r="W26">
        <f t="shared" si="0"/>
        <v>0</v>
      </c>
      <c r="X26">
        <f t="shared" si="6"/>
        <v>0</v>
      </c>
      <c r="Y26">
        <f t="shared" si="0"/>
        <v>0</v>
      </c>
      <c r="Z26">
        <f t="shared" si="7"/>
        <v>0</v>
      </c>
      <c r="AA26">
        <f t="shared" si="8"/>
        <v>0</v>
      </c>
      <c r="AB26">
        <f t="shared" si="1"/>
        <v>0</v>
      </c>
      <c r="AC26">
        <f t="shared" si="1"/>
        <v>0</v>
      </c>
      <c r="AD26">
        <f t="shared" si="1"/>
        <v>0</v>
      </c>
      <c r="AE26">
        <f t="shared" si="1"/>
        <v>0</v>
      </c>
      <c r="AF26">
        <f t="shared" si="1"/>
        <v>0</v>
      </c>
      <c r="AG26" s="11">
        <f>Constants!$C$10</f>
        <v>0.55000000000000004</v>
      </c>
      <c r="AH26" s="11">
        <f>Constants!$C$12</f>
        <v>0.3</v>
      </c>
      <c r="AI26" s="11">
        <f>Constants!$C$13</f>
        <v>0</v>
      </c>
      <c r="AJ26" s="11">
        <f>Constants!$C$14</f>
        <v>0.125</v>
      </c>
      <c r="AK26" s="11">
        <f>Constants!$C$15</f>
        <v>0.25</v>
      </c>
      <c r="AL26" s="11">
        <f>Constants!$C$11</f>
        <v>0.2</v>
      </c>
      <c r="AM26" s="11">
        <f>Constants!$D$10</f>
        <v>0</v>
      </c>
      <c r="AN26" s="11">
        <f>Constants!$D$12</f>
        <v>0.02</v>
      </c>
      <c r="AO26" s="11">
        <f>Constants!$D$13</f>
        <v>0</v>
      </c>
      <c r="AP26" s="11">
        <f>Constants!$D$14</f>
        <v>0.01</v>
      </c>
      <c r="AQ26" s="11">
        <f>Constants!$D$15</f>
        <v>2E-3</v>
      </c>
      <c r="AR26" s="11">
        <f>Constants!$D$11</f>
        <v>5.0000000000000001E-3</v>
      </c>
      <c r="AS26">
        <f t="shared" si="9"/>
        <v>0</v>
      </c>
      <c r="AT26">
        <f t="shared" si="2"/>
        <v>0</v>
      </c>
      <c r="AU26">
        <f t="shared" si="2"/>
        <v>0</v>
      </c>
      <c r="AV26">
        <f t="shared" si="2"/>
        <v>0</v>
      </c>
      <c r="AW26">
        <f t="shared" si="2"/>
        <v>0</v>
      </c>
      <c r="AX26">
        <f t="shared" si="2"/>
        <v>0</v>
      </c>
      <c r="AY26">
        <f t="shared" si="10"/>
        <v>0</v>
      </c>
      <c r="AZ26">
        <f t="shared" si="11"/>
        <v>0</v>
      </c>
      <c r="BA26">
        <f t="shared" si="11"/>
        <v>0</v>
      </c>
      <c r="BB26">
        <f t="shared" si="12"/>
        <v>0</v>
      </c>
      <c r="BC26">
        <f>Constants!$B$23</f>
        <v>1.5714285714285714</v>
      </c>
      <c r="BD26">
        <f>AA26*AG26</f>
        <v>0</v>
      </c>
      <c r="BE26">
        <f>AB26*AH26</f>
        <v>0</v>
      </c>
      <c r="BF26">
        <f>AC26*AI26</f>
        <v>0</v>
      </c>
      <c r="BG26">
        <f>AD26*AJ26</f>
        <v>0</v>
      </c>
      <c r="BH26">
        <f>AE26*AK26</f>
        <v>0</v>
      </c>
      <c r="BI26">
        <f>AF26*AL26</f>
        <v>0</v>
      </c>
      <c r="BJ26">
        <f t="shared" si="13"/>
        <v>0</v>
      </c>
      <c r="BK26">
        <f t="shared" si="14"/>
        <v>0</v>
      </c>
      <c r="BL26">
        <f t="shared" si="15"/>
        <v>0</v>
      </c>
      <c r="BM26">
        <f>_xlfn.XLOOKUP(C26, Constants!$D$19:$D$23, Constants!$E$19:$E$23)</f>
        <v>2.8999999999999998E-3</v>
      </c>
      <c r="BN26">
        <f t="shared" si="16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5613-EABF-5042-B928-48D7D1BF2A27}">
  <dimension ref="A2:AC26"/>
  <sheetViews>
    <sheetView tabSelected="1" topLeftCell="Q7" workbookViewId="0">
      <selection activeCell="AC23" sqref="AC23"/>
    </sheetView>
  </sheetViews>
  <sheetFormatPr baseColWidth="10" defaultRowHeight="16" x14ac:dyDescent="0.2"/>
  <sheetData>
    <row r="2" spans="1:29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29" x14ac:dyDescent="0.2">
      <c r="A3" s="1"/>
      <c r="B3" s="1"/>
      <c r="C3" s="1"/>
      <c r="D3" s="1"/>
      <c r="E3" s="1"/>
      <c r="F3" s="1"/>
      <c r="G3" s="1"/>
      <c r="H3" s="1"/>
    </row>
    <row r="4" spans="1:29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/>
      <c r="I4" s="1" t="s">
        <v>1</v>
      </c>
      <c r="J4" s="1"/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/>
    </row>
    <row r="5" spans="1:29" x14ac:dyDescent="0.2">
      <c r="A5" s="1"/>
      <c r="B5" s="1"/>
      <c r="C5" s="1"/>
      <c r="D5" s="1"/>
      <c r="E5" s="1"/>
      <c r="F5" s="1"/>
      <c r="G5" s="1"/>
      <c r="H5" s="1"/>
    </row>
    <row r="6" spans="1:29" x14ac:dyDescent="0.2">
      <c r="A6" s="1"/>
      <c r="B6" s="1"/>
      <c r="C6" s="1"/>
      <c r="D6" s="1"/>
      <c r="E6" s="1"/>
      <c r="F6" s="1"/>
      <c r="G6" s="1"/>
      <c r="H6" s="1"/>
    </row>
    <row r="7" spans="1:29" x14ac:dyDescent="0.2">
      <c r="A7" s="1"/>
      <c r="B7" s="1"/>
      <c r="C7" s="1"/>
      <c r="D7" s="1"/>
      <c r="E7" s="1"/>
      <c r="F7" s="1"/>
      <c r="G7" s="1"/>
      <c r="H7" s="1"/>
    </row>
    <row r="8" spans="1:29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10</v>
      </c>
      <c r="F8" s="1" t="s">
        <v>6</v>
      </c>
      <c r="G8" s="1" t="s">
        <v>7</v>
      </c>
      <c r="H8" s="1" t="s">
        <v>114</v>
      </c>
      <c r="I8" s="1" t="s">
        <v>116</v>
      </c>
      <c r="J8" s="1" t="s">
        <v>117</v>
      </c>
      <c r="K8" t="s">
        <v>29</v>
      </c>
      <c r="L8" t="s">
        <v>31</v>
      </c>
      <c r="M8" t="s">
        <v>32</v>
      </c>
      <c r="N8" t="s">
        <v>33</v>
      </c>
      <c r="O8" t="s">
        <v>34</v>
      </c>
      <c r="P8" t="s">
        <v>30</v>
      </c>
      <c r="Q8" t="s">
        <v>36</v>
      </c>
      <c r="R8" t="s">
        <v>37</v>
      </c>
    </row>
    <row r="9" spans="1:29" x14ac:dyDescent="0.2">
      <c r="A9" s="1"/>
      <c r="B9" s="1"/>
      <c r="C9" s="1"/>
      <c r="D9" s="1"/>
      <c r="E9" s="1"/>
      <c r="F9" s="1"/>
      <c r="G9" s="1"/>
      <c r="H9" s="1"/>
    </row>
    <row r="10" spans="1:29" x14ac:dyDescent="0.2">
      <c r="A10" s="3" t="s">
        <v>8</v>
      </c>
      <c r="B10" s="3" t="s">
        <v>8</v>
      </c>
      <c r="C10" s="3"/>
      <c r="D10" s="3" t="s">
        <v>9</v>
      </c>
      <c r="E10" s="3" t="s">
        <v>13</v>
      </c>
      <c r="F10" s="3" t="s">
        <v>11</v>
      </c>
      <c r="G10" s="3" t="s">
        <v>12</v>
      </c>
      <c r="H10" s="3" t="s">
        <v>113</v>
      </c>
      <c r="I10" s="3" t="s">
        <v>16</v>
      </c>
      <c r="J10" s="3" t="s">
        <v>15</v>
      </c>
      <c r="K10" s="3" t="s">
        <v>18</v>
      </c>
      <c r="L10" s="3" t="s">
        <v>17</v>
      </c>
      <c r="M10" s="3" t="s">
        <v>20</v>
      </c>
      <c r="N10" s="3" t="s">
        <v>21</v>
      </c>
      <c r="O10" s="3" t="s">
        <v>22</v>
      </c>
      <c r="P10" s="3" t="s">
        <v>19</v>
      </c>
      <c r="Q10" s="3" t="s">
        <v>35</v>
      </c>
      <c r="R10" s="3" t="s">
        <v>23</v>
      </c>
      <c r="S10" s="10" t="s">
        <v>24</v>
      </c>
      <c r="T10" s="6" t="s">
        <v>115</v>
      </c>
      <c r="U10" s="6" t="s">
        <v>121</v>
      </c>
      <c r="V10" s="7" t="s">
        <v>146</v>
      </c>
      <c r="W10" s="7" t="s">
        <v>71</v>
      </c>
      <c r="X10" s="7" t="s">
        <v>72</v>
      </c>
      <c r="Y10" s="7" t="s">
        <v>172</v>
      </c>
      <c r="Z10" s="7" t="s">
        <v>174</v>
      </c>
      <c r="AA10" s="7" t="s">
        <v>173</v>
      </c>
      <c r="AB10" s="8" t="s">
        <v>188</v>
      </c>
      <c r="AC10" s="8" t="s">
        <v>187</v>
      </c>
    </row>
    <row r="11" spans="1:29" x14ac:dyDescent="0.2">
      <c r="A11" t="str">
        <f>'Input Scenarios'!A11</f>
        <v>NSW</v>
      </c>
      <c r="B11">
        <f>'Input Scenarios'!B11</f>
        <v>0</v>
      </c>
      <c r="C11" t="str">
        <f>'Input Scenarios'!C11</f>
        <v>Irrigated crop</v>
      </c>
      <c r="D11" t="b">
        <f>'Input Scenarios'!D11</f>
        <v>1</v>
      </c>
      <c r="E11" t="str">
        <f>'Input Scenarios'!E11</f>
        <v>boars</v>
      </c>
      <c r="F11">
        <f>'Input Scenarios'!F11</f>
        <v>111</v>
      </c>
      <c r="G11">
        <f>'Input Scenarios'!G11</f>
        <v>105</v>
      </c>
      <c r="H11">
        <f>IF('Input Scenarios'!H11&lt;&gt;"", 'Input Scenarios'!H11, _xlfn.XLOOKUP($E11,Constants!$A$3:$A$6, Constants!B$3:B$6))</f>
        <v>2.62</v>
      </c>
      <c r="I11">
        <f>IF('Input Scenarios'!I11&lt;&gt;"", 'Input Scenarios'!I11, _xlfn.XLOOKUP($E11,Constants!$A$3:$A$6, Constants!C$3:C$6))</f>
        <v>0.4</v>
      </c>
      <c r="J11">
        <f>IF('Input Scenarios'!J11&lt;&gt;"", 'Input Scenarios'!J11, _xlfn.XLOOKUP($E11,Constants!$A$3:$A$6, Constants!D$3:D$6))</f>
        <v>4.5999999999999999E-2</v>
      </c>
      <c r="K11">
        <f>'Input Scenarios'!K11</f>
        <v>1</v>
      </c>
      <c r="L11">
        <f>'Input Scenarios'!L11</f>
        <v>0</v>
      </c>
      <c r="M11">
        <f>'Input Scenarios'!M11</f>
        <v>0</v>
      </c>
      <c r="N11">
        <f>'Input Scenarios'!N11</f>
        <v>0</v>
      </c>
      <c r="O11">
        <f>'Input Scenarios'!O11</f>
        <v>0</v>
      </c>
      <c r="P11">
        <f>'Input Scenarios'!P11</f>
        <v>0</v>
      </c>
      <c r="Q11" t="b">
        <f>'Input Scenarios'!Q11</f>
        <v>1</v>
      </c>
      <c r="R11">
        <f>IF('Input Scenarios'!$R11&lt;&gt;"", 'Input Scenarios'!$R11, IF($Q11, Constants!$B$19, 0))</f>
        <v>0.25</v>
      </c>
      <c r="S11">
        <f>IF('Input Scenarios'!$R11&lt;&gt;"", 'Input Scenarios'!$R11, IF($Q11, Constants!$B$20, 0))</f>
        <v>0.25</v>
      </c>
      <c r="T11">
        <f>F11*G11*J11</f>
        <v>536.13</v>
      </c>
      <c r="U11">
        <f>L11</f>
        <v>0</v>
      </c>
      <c r="V11">
        <f>$T11*U11</f>
        <v>0</v>
      </c>
      <c r="W11">
        <f>Constants!$B$23</f>
        <v>1.5714285714285714</v>
      </c>
      <c r="X11">
        <f>Constants!$B$24</f>
        <v>1.0999999999999999E-2</v>
      </c>
      <c r="Y11">
        <f>IF(D11, 1, 0)</f>
        <v>1</v>
      </c>
      <c r="Z11">
        <f>Constants!$B$25</f>
        <v>0.02</v>
      </c>
      <c r="AA11">
        <f>V11*Y11*Z11</f>
        <v>0</v>
      </c>
      <c r="AB11">
        <f>AA11*X11*W11</f>
        <v>0</v>
      </c>
      <c r="AC11">
        <f>SUM(AB11:AB14)/1000</f>
        <v>0</v>
      </c>
    </row>
    <row r="12" spans="1:29" x14ac:dyDescent="0.2">
      <c r="A12" t="str">
        <f>'Input Scenarios'!A12</f>
        <v>NSW</v>
      </c>
      <c r="B12">
        <f>'Input Scenarios'!B12</f>
        <v>0</v>
      </c>
      <c r="C12" t="str">
        <f>'Input Scenarios'!C12</f>
        <v>Irrigated crop</v>
      </c>
      <c r="D12" t="b">
        <f>'Input Scenarios'!D12</f>
        <v>1</v>
      </c>
      <c r="E12" t="str">
        <f>'Input Scenarios'!E12</f>
        <v>sows</v>
      </c>
      <c r="F12">
        <f>'Input Scenarios'!F12</f>
        <v>222</v>
      </c>
      <c r="G12">
        <f>'Input Scenarios'!G12</f>
        <v>103</v>
      </c>
      <c r="H12">
        <f>IF('Input Scenarios'!H12&lt;&gt;"", 'Input Scenarios'!H12, _xlfn.XLOOKUP($E12,Constants!$A$3:$A$6, Constants!B$3:B$6))</f>
        <v>2.2999999999999998</v>
      </c>
      <c r="I12">
        <f>IF('Input Scenarios'!I12&lt;&gt;"", 'Input Scenarios'!I12, _xlfn.XLOOKUP($E12,Constants!$A$3:$A$6, Constants!C$3:C$6))</f>
        <v>0.46</v>
      </c>
      <c r="J12">
        <f>IF('Input Scenarios'!J12&lt;&gt;"", 'Input Scenarios'!J12, _xlfn.XLOOKUP($E12,Constants!$A$3:$A$6, Constants!D$3:D$6))</f>
        <v>4.9000000000000002E-2</v>
      </c>
      <c r="K12">
        <f>'Input Scenarios'!K12</f>
        <v>1</v>
      </c>
      <c r="L12">
        <f>'Input Scenarios'!L12</f>
        <v>0</v>
      </c>
      <c r="M12">
        <f>'Input Scenarios'!M12</f>
        <v>0</v>
      </c>
      <c r="N12">
        <f>'Input Scenarios'!N12</f>
        <v>0</v>
      </c>
      <c r="O12">
        <f>'Input Scenarios'!O12</f>
        <v>0</v>
      </c>
      <c r="P12">
        <f>'Input Scenarios'!P12</f>
        <v>0</v>
      </c>
      <c r="Q12" t="b">
        <f>'Input Scenarios'!Q12</f>
        <v>1</v>
      </c>
      <c r="R12">
        <f>IF('Input Scenarios'!$R12&lt;&gt;"", 'Input Scenarios'!$R12, IF($Q12, Constants!$B$19, 0))</f>
        <v>0.25</v>
      </c>
      <c r="S12">
        <f>IF('Input Scenarios'!$R12&lt;&gt;"", 'Input Scenarios'!$R12, IF($Q12, Constants!$B$20, 0))</f>
        <v>0.25</v>
      </c>
      <c r="T12">
        <f t="shared" ref="T12:T26" si="0">F12*G12*J12</f>
        <v>1120.434</v>
      </c>
      <c r="U12">
        <f t="shared" ref="U12:U26" si="1">L12</f>
        <v>0</v>
      </c>
      <c r="V12">
        <f>$T12*U12</f>
        <v>0</v>
      </c>
      <c r="W12">
        <f>Constants!$B$23</f>
        <v>1.5714285714285714</v>
      </c>
      <c r="X12">
        <f>Constants!$B$24</f>
        <v>1.0999999999999999E-2</v>
      </c>
      <c r="Y12">
        <f t="shared" ref="Y12:Y26" si="2">IF(D12, 1, 0)</f>
        <v>1</v>
      </c>
      <c r="Z12">
        <f>Constants!$B$25</f>
        <v>0.02</v>
      </c>
      <c r="AA12">
        <f t="shared" ref="AA12:AA26" si="3">V12*Y12*Z12</f>
        <v>0</v>
      </c>
      <c r="AB12">
        <f t="shared" ref="AB12:AB26" si="4">AA12*X12*W12</f>
        <v>0</v>
      </c>
    </row>
    <row r="13" spans="1:29" x14ac:dyDescent="0.2">
      <c r="A13" t="str">
        <f>'Input Scenarios'!A13</f>
        <v>NSW</v>
      </c>
      <c r="B13">
        <f>'Input Scenarios'!B13</f>
        <v>0</v>
      </c>
      <c r="C13" t="str">
        <f>'Input Scenarios'!C13</f>
        <v>Irrigated crop</v>
      </c>
      <c r="D13" t="b">
        <f>'Input Scenarios'!D13</f>
        <v>1</v>
      </c>
      <c r="E13" t="str">
        <f>'Input Scenarios'!E13</f>
        <v>gilts</v>
      </c>
      <c r="F13">
        <f>'Input Scenarios'!F13</f>
        <v>333</v>
      </c>
      <c r="G13">
        <f>'Input Scenarios'!G13</f>
        <v>200</v>
      </c>
      <c r="H13">
        <f>IF('Input Scenarios'!H13&lt;&gt;"", 'Input Scenarios'!H13, _xlfn.XLOOKUP($E13,Constants!$A$3:$A$6, Constants!B$3:B$6))</f>
        <v>2.5</v>
      </c>
      <c r="I13">
        <f>IF('Input Scenarios'!I13&lt;&gt;"", 'Input Scenarios'!I13, _xlfn.XLOOKUP($E13,Constants!$A$3:$A$6, Constants!C$3:C$6))</f>
        <v>0.55000000000000004</v>
      </c>
      <c r="J13">
        <f>IF('Input Scenarios'!J13&lt;&gt;"", 'Input Scenarios'!J13, _xlfn.XLOOKUP($E13,Constants!$A$3:$A$6, Constants!D$3:D$6))</f>
        <v>4.5999999999999999E-2</v>
      </c>
      <c r="K13">
        <f>'Input Scenarios'!K13</f>
        <v>0</v>
      </c>
      <c r="L13">
        <f>'Input Scenarios'!L13</f>
        <v>0</v>
      </c>
      <c r="M13">
        <f>'Input Scenarios'!M13</f>
        <v>0</v>
      </c>
      <c r="N13">
        <f>'Input Scenarios'!N13</f>
        <v>0</v>
      </c>
      <c r="O13">
        <f>'Input Scenarios'!O13</f>
        <v>1</v>
      </c>
      <c r="P13">
        <f>'Input Scenarios'!P13</f>
        <v>0</v>
      </c>
      <c r="Q13" t="b">
        <f>'Input Scenarios'!Q13</f>
        <v>0</v>
      </c>
      <c r="R13">
        <f>IF('Input Scenarios'!$R13&lt;&gt;"", 'Input Scenarios'!$R13, IF($Q13, Constants!$B$19, 0))</f>
        <v>0</v>
      </c>
      <c r="S13">
        <f>IF('Input Scenarios'!$R13&lt;&gt;"", 'Input Scenarios'!$R13, IF($Q13, Constants!$B$20, 0))</f>
        <v>0</v>
      </c>
      <c r="T13">
        <f t="shared" si="0"/>
        <v>3063.6</v>
      </c>
      <c r="U13">
        <f t="shared" si="1"/>
        <v>0</v>
      </c>
      <c r="V13">
        <f>$T13*U13</f>
        <v>0</v>
      </c>
      <c r="W13">
        <f>Constants!$B$23</f>
        <v>1.5714285714285714</v>
      </c>
      <c r="X13">
        <f>Constants!$B$24</f>
        <v>1.0999999999999999E-2</v>
      </c>
      <c r="Y13">
        <f t="shared" si="2"/>
        <v>1</v>
      </c>
      <c r="Z13">
        <f>Constants!$B$25</f>
        <v>0.02</v>
      </c>
      <c r="AA13">
        <f t="shared" si="3"/>
        <v>0</v>
      </c>
      <c r="AB13">
        <f t="shared" si="4"/>
        <v>0</v>
      </c>
    </row>
    <row r="14" spans="1:29" s="2" customFormat="1" x14ac:dyDescent="0.2">
      <c r="A14" s="2" t="str">
        <f>'Input Scenarios'!A14</f>
        <v>NSW</v>
      </c>
      <c r="B14" s="2">
        <f>'Input Scenarios'!B14</f>
        <v>0</v>
      </c>
      <c r="C14" s="2" t="str">
        <f>'Input Scenarios'!C14</f>
        <v>Irrigated crop</v>
      </c>
      <c r="D14" s="2" t="b">
        <f>'Input Scenarios'!D14</f>
        <v>1</v>
      </c>
      <c r="E14" s="2" t="str">
        <f>'Input Scenarios'!E14</f>
        <v>others</v>
      </c>
      <c r="F14" s="2">
        <f>'Input Scenarios'!F14</f>
        <v>444</v>
      </c>
      <c r="G14" s="2">
        <f>'Input Scenarios'!G14</f>
        <v>365</v>
      </c>
      <c r="H14">
        <f>IF('Input Scenarios'!H14&lt;&gt;"", 'Input Scenarios'!H14, _xlfn.XLOOKUP($E14,Constants!$A$3:$A$6, Constants!B$3:B$6))</f>
        <v>1.71</v>
      </c>
      <c r="I14">
        <f>IF('Input Scenarios'!I14&lt;&gt;"", 'Input Scenarios'!I14, _xlfn.XLOOKUP($E14,Constants!$A$3:$A$6, Constants!C$3:C$6))</f>
        <v>0.39</v>
      </c>
      <c r="J14">
        <f>IF('Input Scenarios'!J14&lt;&gt;"", 'Input Scenarios'!J14, _xlfn.XLOOKUP($E14,Constants!$A$3:$A$6, Constants!D$3:D$6))</f>
        <v>3.1232876712328769E-2</v>
      </c>
      <c r="K14" s="2">
        <f>'Input Scenarios'!K14</f>
        <v>0</v>
      </c>
      <c r="L14" s="2">
        <f>'Input Scenarios'!L14</f>
        <v>0</v>
      </c>
      <c r="M14" s="2">
        <f>'Input Scenarios'!M14</f>
        <v>0</v>
      </c>
      <c r="N14" s="2">
        <f>'Input Scenarios'!N14</f>
        <v>0</v>
      </c>
      <c r="O14" s="2">
        <f>'Input Scenarios'!O14</f>
        <v>1</v>
      </c>
      <c r="P14" s="2">
        <f>'Input Scenarios'!P14</f>
        <v>0</v>
      </c>
      <c r="Q14" s="2" t="b">
        <f>'Input Scenarios'!Q14</f>
        <v>0</v>
      </c>
      <c r="R14" s="2">
        <f>IF('Input Scenarios'!$R14&lt;&gt;"", 'Input Scenarios'!$R14, IF($Q14, Constants!$B$19, 0))</f>
        <v>0</v>
      </c>
      <c r="S14" s="2">
        <f>IF('Input Scenarios'!$R14&lt;&gt;"", 'Input Scenarios'!$R14, IF($Q14, Constants!$B$20, 0))</f>
        <v>0</v>
      </c>
      <c r="T14">
        <f t="shared" si="0"/>
        <v>5061.6000000000004</v>
      </c>
      <c r="U14">
        <f t="shared" si="1"/>
        <v>0</v>
      </c>
      <c r="V14">
        <f>$T14*U14</f>
        <v>0</v>
      </c>
      <c r="W14">
        <f>Constants!$B$23</f>
        <v>1.5714285714285714</v>
      </c>
      <c r="X14">
        <f>Constants!$B$24</f>
        <v>1.0999999999999999E-2</v>
      </c>
      <c r="Y14">
        <f t="shared" si="2"/>
        <v>1</v>
      </c>
      <c r="Z14">
        <f>Constants!$B$25</f>
        <v>0.02</v>
      </c>
      <c r="AA14">
        <f t="shared" si="3"/>
        <v>0</v>
      </c>
      <c r="AB14">
        <f t="shared" si="4"/>
        <v>0</v>
      </c>
    </row>
    <row r="15" spans="1:29" x14ac:dyDescent="0.2">
      <c r="A15" t="str">
        <f>'Input Scenarios'!A15</f>
        <v>NT</v>
      </c>
      <c r="B15">
        <f>'Input Scenarios'!B15</f>
        <v>0</v>
      </c>
      <c r="C15" t="str">
        <f>'Input Scenarios'!C15</f>
        <v>Irrigated pasture</v>
      </c>
      <c r="D15" t="b">
        <f>'Input Scenarios'!D15</f>
        <v>1</v>
      </c>
      <c r="E15" t="str">
        <f>'Input Scenarios'!E15</f>
        <v>boars</v>
      </c>
      <c r="F15">
        <f>'Input Scenarios'!F15</f>
        <v>105</v>
      </c>
      <c r="G15">
        <f>'Input Scenarios'!G15</f>
        <v>75</v>
      </c>
      <c r="H15">
        <f>IF('Input Scenarios'!H15&lt;&gt;"", 'Input Scenarios'!H15, _xlfn.XLOOKUP($E15,Constants!$A$3:$A$6, Constants!B$3:B$6))</f>
        <v>2.62</v>
      </c>
      <c r="I15">
        <f>IF('Input Scenarios'!I15&lt;&gt;"", 'Input Scenarios'!I15, _xlfn.XLOOKUP($E15,Constants!$A$3:$A$6, Constants!C$3:C$6))</f>
        <v>0.4</v>
      </c>
      <c r="J15">
        <f>IF('Input Scenarios'!J15&lt;&gt;"", 'Input Scenarios'!J15, _xlfn.XLOOKUP($E15,Constants!$A$3:$A$6, Constants!D$3:D$6))</f>
        <v>4.5999999999999999E-2</v>
      </c>
      <c r="K15">
        <f>'Input Scenarios'!K15</f>
        <v>0.2</v>
      </c>
      <c r="L15">
        <f>'Input Scenarios'!L15</f>
        <v>0.1</v>
      </c>
      <c r="M15">
        <f>'Input Scenarios'!M15</f>
        <v>0.2</v>
      </c>
      <c r="N15">
        <f>'Input Scenarios'!N15</f>
        <v>0.2</v>
      </c>
      <c r="O15">
        <f>'Input Scenarios'!O15</f>
        <v>0.2</v>
      </c>
      <c r="P15">
        <f>'Input Scenarios'!P15</f>
        <v>0.1</v>
      </c>
      <c r="Q15" t="b">
        <f>'Input Scenarios'!Q15</f>
        <v>1</v>
      </c>
      <c r="R15">
        <f>IF('Input Scenarios'!$R15&lt;&gt;"", 'Input Scenarios'!$R15, IF($Q15, Constants!$B$19, 0))</f>
        <v>0.25</v>
      </c>
      <c r="S15">
        <f>IF('Input Scenarios'!$R15&lt;&gt;"", 'Input Scenarios'!$R15, IF($Q15, Constants!$B$20, 0))</f>
        <v>0.25</v>
      </c>
      <c r="T15">
        <f t="shared" si="0"/>
        <v>362.25</v>
      </c>
      <c r="U15">
        <f t="shared" si="1"/>
        <v>0.1</v>
      </c>
      <c r="V15">
        <f>$T15*U15</f>
        <v>36.225000000000001</v>
      </c>
      <c r="W15">
        <f>Constants!$B$23</f>
        <v>1.5714285714285714</v>
      </c>
      <c r="X15">
        <f>Constants!$B$24</f>
        <v>1.0999999999999999E-2</v>
      </c>
      <c r="Y15">
        <f t="shared" si="2"/>
        <v>1</v>
      </c>
      <c r="Z15">
        <f>Constants!$B$25</f>
        <v>0.02</v>
      </c>
      <c r="AA15">
        <f t="shared" si="3"/>
        <v>0.72450000000000003</v>
      </c>
      <c r="AB15">
        <f t="shared" si="4"/>
        <v>1.2523499999999998E-2</v>
      </c>
      <c r="AC15">
        <f>SUM(AB15:AB18)/1000</f>
        <v>3.3991152352250495E-4</v>
      </c>
    </row>
    <row r="16" spans="1:29" x14ac:dyDescent="0.2">
      <c r="A16" t="str">
        <f>'Input Scenarios'!A16</f>
        <v>NT</v>
      </c>
      <c r="B16">
        <f>'Input Scenarios'!B16</f>
        <v>0</v>
      </c>
      <c r="C16" t="str">
        <f>'Input Scenarios'!C16</f>
        <v>Irrigated pasture</v>
      </c>
      <c r="D16" t="b">
        <f>'Input Scenarios'!D16</f>
        <v>1</v>
      </c>
      <c r="E16" t="str">
        <f>'Input Scenarios'!E16</f>
        <v>sows</v>
      </c>
      <c r="F16">
        <f>'Input Scenarios'!F16</f>
        <v>245</v>
      </c>
      <c r="G16">
        <f>'Input Scenarios'!G16</f>
        <v>290</v>
      </c>
      <c r="H16">
        <f>IF('Input Scenarios'!H16&lt;&gt;"", 'Input Scenarios'!H16, _xlfn.XLOOKUP($E16,Constants!$A$3:$A$6, Constants!B$3:B$6))</f>
        <v>2.2999999999999998</v>
      </c>
      <c r="I16">
        <f>IF('Input Scenarios'!I16&lt;&gt;"", 'Input Scenarios'!I16, _xlfn.XLOOKUP($E16,Constants!$A$3:$A$6, Constants!C$3:C$6))</f>
        <v>0.46</v>
      </c>
      <c r="J16">
        <f>IF('Input Scenarios'!J16&lt;&gt;"", 'Input Scenarios'!J16, _xlfn.XLOOKUP($E16,Constants!$A$3:$A$6, Constants!D$3:D$6))</f>
        <v>4.9000000000000002E-2</v>
      </c>
      <c r="K16">
        <f>'Input Scenarios'!K16</f>
        <v>0.2</v>
      </c>
      <c r="L16">
        <f>'Input Scenarios'!L16</f>
        <v>0.1</v>
      </c>
      <c r="M16">
        <f>'Input Scenarios'!M16</f>
        <v>0.2</v>
      </c>
      <c r="N16">
        <f>'Input Scenarios'!N16</f>
        <v>0.2</v>
      </c>
      <c r="O16">
        <f>'Input Scenarios'!O16</f>
        <v>0.2</v>
      </c>
      <c r="P16">
        <f>'Input Scenarios'!P16</f>
        <v>0.1</v>
      </c>
      <c r="Q16" t="b">
        <f>'Input Scenarios'!Q16</f>
        <v>1</v>
      </c>
      <c r="R16">
        <f>IF('Input Scenarios'!$R16&lt;&gt;"", 'Input Scenarios'!$R16, IF($Q16, Constants!$B$19, 0))</f>
        <v>0.25</v>
      </c>
      <c r="S16">
        <f>IF('Input Scenarios'!$R16&lt;&gt;"", 'Input Scenarios'!$R16, IF($Q16, Constants!$B$20, 0))</f>
        <v>0.25</v>
      </c>
      <c r="T16">
        <f t="shared" si="0"/>
        <v>3481.4500000000003</v>
      </c>
      <c r="U16">
        <f t="shared" si="1"/>
        <v>0.1</v>
      </c>
      <c r="V16">
        <f>$T16*U16</f>
        <v>348.14500000000004</v>
      </c>
      <c r="W16">
        <f>Constants!$B$23</f>
        <v>1.5714285714285714</v>
      </c>
      <c r="X16">
        <f>Constants!$B$24</f>
        <v>1.0999999999999999E-2</v>
      </c>
      <c r="Y16">
        <f t="shared" si="2"/>
        <v>1</v>
      </c>
      <c r="Z16">
        <f>Constants!$B$25</f>
        <v>0.02</v>
      </c>
      <c r="AA16">
        <f t="shared" si="3"/>
        <v>6.9629000000000012</v>
      </c>
      <c r="AB16">
        <f t="shared" si="4"/>
        <v>0.1203587</v>
      </c>
    </row>
    <row r="17" spans="1:29" x14ac:dyDescent="0.2">
      <c r="A17" t="str">
        <f>'Input Scenarios'!A17</f>
        <v>NT</v>
      </c>
      <c r="B17">
        <f>'Input Scenarios'!B17</f>
        <v>0</v>
      </c>
      <c r="C17" t="str">
        <f>'Input Scenarios'!C17</f>
        <v>Irrigated pasture</v>
      </c>
      <c r="D17" t="b">
        <f>'Input Scenarios'!D17</f>
        <v>1</v>
      </c>
      <c r="E17" t="str">
        <f>'Input Scenarios'!E17</f>
        <v>gilts</v>
      </c>
      <c r="F17">
        <f>'Input Scenarios'!F17</f>
        <v>434</v>
      </c>
      <c r="G17">
        <f>'Input Scenarios'!G17</f>
        <v>280</v>
      </c>
      <c r="H17">
        <f>IF('Input Scenarios'!H17&lt;&gt;"", 'Input Scenarios'!H17, _xlfn.XLOOKUP($E17,Constants!$A$3:$A$6, Constants!B$3:B$6))</f>
        <v>2.5</v>
      </c>
      <c r="I17">
        <f>IF('Input Scenarios'!I17&lt;&gt;"", 'Input Scenarios'!I17, _xlfn.XLOOKUP($E17,Constants!$A$3:$A$6, Constants!C$3:C$6))</f>
        <v>0.55000000000000004</v>
      </c>
      <c r="J17">
        <f>IF('Input Scenarios'!J17&lt;&gt;"", 'Input Scenarios'!J17, _xlfn.XLOOKUP($E17,Constants!$A$3:$A$6, Constants!D$3:D$6))</f>
        <v>4.5999999999999999E-2</v>
      </c>
      <c r="K17">
        <f>'Input Scenarios'!K17</f>
        <v>0.2</v>
      </c>
      <c r="L17">
        <f>'Input Scenarios'!L17</f>
        <v>0.1</v>
      </c>
      <c r="M17">
        <f>'Input Scenarios'!M17</f>
        <v>0.2</v>
      </c>
      <c r="N17">
        <f>'Input Scenarios'!N17</f>
        <v>0.2</v>
      </c>
      <c r="O17">
        <f>'Input Scenarios'!O17</f>
        <v>0.2</v>
      </c>
      <c r="P17">
        <f>'Input Scenarios'!P17</f>
        <v>0.1</v>
      </c>
      <c r="Q17" t="b">
        <f>'Input Scenarios'!Q17</f>
        <v>1</v>
      </c>
      <c r="R17">
        <f>IF('Input Scenarios'!$R17&lt;&gt;"", 'Input Scenarios'!$R17, IF($Q17, Constants!$B$19, 0))</f>
        <v>0.25</v>
      </c>
      <c r="S17">
        <f>IF('Input Scenarios'!$R17&lt;&gt;"", 'Input Scenarios'!$R17, IF($Q17, Constants!$B$20, 0))</f>
        <v>0.25</v>
      </c>
      <c r="T17">
        <f t="shared" si="0"/>
        <v>5589.92</v>
      </c>
      <c r="U17">
        <f t="shared" si="1"/>
        <v>0.1</v>
      </c>
      <c r="V17">
        <f>$T17*U17</f>
        <v>558.99200000000008</v>
      </c>
      <c r="W17">
        <f>Constants!$B$23</f>
        <v>1.5714285714285714</v>
      </c>
      <c r="X17">
        <f>Constants!$B$24</f>
        <v>1.0999999999999999E-2</v>
      </c>
      <c r="Y17">
        <f t="shared" si="2"/>
        <v>1</v>
      </c>
      <c r="Z17">
        <f>Constants!$B$25</f>
        <v>0.02</v>
      </c>
      <c r="AA17">
        <f t="shared" si="3"/>
        <v>11.179840000000002</v>
      </c>
      <c r="AB17">
        <f t="shared" si="4"/>
        <v>0.19325152000000001</v>
      </c>
    </row>
    <row r="18" spans="1:29" s="2" customFormat="1" x14ac:dyDescent="0.2">
      <c r="A18" s="2" t="str">
        <f>'Input Scenarios'!A18</f>
        <v>NT</v>
      </c>
      <c r="B18" s="2">
        <f>'Input Scenarios'!B18</f>
        <v>0</v>
      </c>
      <c r="C18" s="2" t="str">
        <f>'Input Scenarios'!C18</f>
        <v>Irrigated pasture</v>
      </c>
      <c r="D18" s="2" t="b">
        <f>'Input Scenarios'!D18</f>
        <v>1</v>
      </c>
      <c r="E18" s="2" t="str">
        <f>'Input Scenarios'!E18</f>
        <v>others</v>
      </c>
      <c r="F18" s="2">
        <f>'Input Scenarios'!F18</f>
        <v>44</v>
      </c>
      <c r="G18" s="2">
        <f>'Input Scenarios'!G18</f>
        <v>290</v>
      </c>
      <c r="H18">
        <f>IF('Input Scenarios'!H18&lt;&gt;"", 'Input Scenarios'!H18, _xlfn.XLOOKUP($E18,Constants!$A$3:$A$6, Constants!B$3:B$6))</f>
        <v>1.71</v>
      </c>
      <c r="I18">
        <f>IF('Input Scenarios'!I18&lt;&gt;"", 'Input Scenarios'!I18, _xlfn.XLOOKUP($E18,Constants!$A$3:$A$6, Constants!C$3:C$6))</f>
        <v>0.39</v>
      </c>
      <c r="J18">
        <f>IF('Input Scenarios'!J18&lt;&gt;"", 'Input Scenarios'!J18, _xlfn.XLOOKUP($E18,Constants!$A$3:$A$6, Constants!D$3:D$6))</f>
        <v>3.1232876712328769E-2</v>
      </c>
      <c r="K18" s="2">
        <f>'Input Scenarios'!K18</f>
        <v>0.2</v>
      </c>
      <c r="L18" s="2">
        <f>'Input Scenarios'!L18</f>
        <v>0.1</v>
      </c>
      <c r="M18" s="2">
        <f>'Input Scenarios'!M18</f>
        <v>0.2</v>
      </c>
      <c r="N18" s="2">
        <f>'Input Scenarios'!N18</f>
        <v>0.2</v>
      </c>
      <c r="O18" s="2">
        <f>'Input Scenarios'!O18</f>
        <v>0.2</v>
      </c>
      <c r="P18" s="2">
        <f>'Input Scenarios'!P18</f>
        <v>0.1</v>
      </c>
      <c r="Q18" s="2" t="b">
        <f>'Input Scenarios'!Q18</f>
        <v>1</v>
      </c>
      <c r="R18" s="2">
        <f>IF('Input Scenarios'!$R18&lt;&gt;"", 'Input Scenarios'!$R18, IF($Q18, Constants!$B$19, 0))</f>
        <v>0.25</v>
      </c>
      <c r="S18" s="2">
        <f>IF('Input Scenarios'!$R18&lt;&gt;"", 'Input Scenarios'!$R18, IF($Q18, Constants!$B$20, 0))</f>
        <v>0.25</v>
      </c>
      <c r="T18">
        <f t="shared" si="0"/>
        <v>398.53150684931506</v>
      </c>
      <c r="U18">
        <f t="shared" si="1"/>
        <v>0.1</v>
      </c>
      <c r="V18">
        <f>$T18*U18</f>
        <v>39.853150684931506</v>
      </c>
      <c r="W18">
        <f>Constants!$B$23</f>
        <v>1.5714285714285714</v>
      </c>
      <c r="X18">
        <f>Constants!$B$24</f>
        <v>1.0999999999999999E-2</v>
      </c>
      <c r="Y18">
        <f t="shared" si="2"/>
        <v>1</v>
      </c>
      <c r="Z18">
        <f>Constants!$B$25</f>
        <v>0.02</v>
      </c>
      <c r="AA18">
        <f t="shared" si="3"/>
        <v>0.7970630136986302</v>
      </c>
      <c r="AB18">
        <f t="shared" si="4"/>
        <v>1.3777803522504892E-2</v>
      </c>
    </row>
    <row r="19" spans="1:29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pasture</v>
      </c>
      <c r="D19" t="b">
        <f>'Input Scenarios'!D19</f>
        <v>1</v>
      </c>
      <c r="E19" t="str">
        <f>'Input Scenarios'!E19</f>
        <v>boars</v>
      </c>
      <c r="F19">
        <f>'Input Scenarios'!F19</f>
        <v>1000</v>
      </c>
      <c r="G19">
        <f>'Input Scenarios'!G19</f>
        <v>100</v>
      </c>
      <c r="H19">
        <f>IF('Input Scenarios'!H19&lt;&gt;"", 'Input Scenarios'!H19, _xlfn.XLOOKUP($E19,Constants!$A$3:$A$6, Constants!B$3:B$6))</f>
        <v>2.62</v>
      </c>
      <c r="I19">
        <f>IF('Input Scenarios'!I19&lt;&gt;"", 'Input Scenarios'!I19, _xlfn.XLOOKUP($E19,Constants!$A$3:$A$6, Constants!C$3:C$6))</f>
        <v>0.4</v>
      </c>
      <c r="J19">
        <f>IF('Input Scenarios'!J19&lt;&gt;"", 'Input Scenarios'!J19, _xlfn.XLOOKUP($E19,Constants!$A$3:$A$6, Constants!D$3:D$6))</f>
        <v>4.5999999999999999E-2</v>
      </c>
      <c r="K19">
        <f>'Input Scenarios'!K19</f>
        <v>0</v>
      </c>
      <c r="L19">
        <f>'Input Scenarios'!L19</f>
        <v>0</v>
      </c>
      <c r="M19">
        <f>'Input Scenarios'!M19</f>
        <v>0</v>
      </c>
      <c r="N19">
        <f>'Input Scenarios'!N19</f>
        <v>0</v>
      </c>
      <c r="O19">
        <f>'Input Scenarios'!O19</f>
        <v>0</v>
      </c>
      <c r="P19">
        <f>'Input Scenarios'!P19</f>
        <v>0</v>
      </c>
      <c r="Q19" t="b">
        <f>'Input Scenarios'!Q19</f>
        <v>0</v>
      </c>
      <c r="R19">
        <f>IF('Input Scenarios'!$R19&lt;&gt;"", 'Input Scenarios'!$R19, IF($Q19, Constants!$B$19, 0))</f>
        <v>0</v>
      </c>
      <c r="S19">
        <f>IF('Input Scenarios'!$R19&lt;&gt;"", 'Input Scenarios'!$R19, IF($Q19, Constants!$B$20, 0))</f>
        <v>0</v>
      </c>
      <c r="T19">
        <f t="shared" si="0"/>
        <v>4600</v>
      </c>
      <c r="U19">
        <f t="shared" si="1"/>
        <v>0</v>
      </c>
      <c r="V19">
        <f>$T19*U19</f>
        <v>0</v>
      </c>
      <c r="W19">
        <f>Constants!$B$23</f>
        <v>1.5714285714285714</v>
      </c>
      <c r="X19">
        <f>Constants!$B$24</f>
        <v>1.0999999999999999E-2</v>
      </c>
      <c r="Y19">
        <f t="shared" si="2"/>
        <v>1</v>
      </c>
      <c r="Z19">
        <f>Constants!$B$25</f>
        <v>0.02</v>
      </c>
      <c r="AA19">
        <f t="shared" si="3"/>
        <v>0</v>
      </c>
      <c r="AB19">
        <f t="shared" si="4"/>
        <v>0</v>
      </c>
      <c r="AC19">
        <f>SUM(AB19:AB22)/1000</f>
        <v>0</v>
      </c>
    </row>
    <row r="20" spans="1:29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pasture</v>
      </c>
      <c r="D20" t="b">
        <f>'Input Scenarios'!D20</f>
        <v>1</v>
      </c>
      <c r="E20" t="str">
        <f>'Input Scenarios'!E20</f>
        <v>sows</v>
      </c>
      <c r="F20">
        <f>'Input Scenarios'!F20</f>
        <v>233</v>
      </c>
      <c r="G20">
        <f>'Input Scenarios'!G20</f>
        <v>100</v>
      </c>
      <c r="H20">
        <f>IF('Input Scenarios'!H20&lt;&gt;"", 'Input Scenarios'!H20, _xlfn.XLOOKUP($E20,Constants!$A$3:$A$6, Constants!B$3:B$6))</f>
        <v>2.2999999999999998</v>
      </c>
      <c r="I20">
        <f>IF('Input Scenarios'!I20&lt;&gt;"", 'Input Scenarios'!I20, _xlfn.XLOOKUP($E20,Constants!$A$3:$A$6, Constants!C$3:C$6))</f>
        <v>0.46</v>
      </c>
      <c r="J20">
        <f>IF('Input Scenarios'!J20&lt;&gt;"", 'Input Scenarios'!J20, _xlfn.XLOOKUP($E20,Constants!$A$3:$A$6, Constants!D$3:D$6))</f>
        <v>4.9000000000000002E-2</v>
      </c>
      <c r="K20">
        <f>'Input Scenarios'!K20</f>
        <v>0</v>
      </c>
      <c r="L20">
        <f>'Input Scenarios'!L20</f>
        <v>0</v>
      </c>
      <c r="M20">
        <f>'Input Scenarios'!M20</f>
        <v>0</v>
      </c>
      <c r="N20">
        <f>'Input Scenarios'!N20</f>
        <v>0</v>
      </c>
      <c r="O20">
        <f>'Input Scenarios'!O20</f>
        <v>0</v>
      </c>
      <c r="P20">
        <f>'Input Scenarios'!P20</f>
        <v>0</v>
      </c>
      <c r="Q20" t="b">
        <f>'Input Scenarios'!Q20</f>
        <v>0</v>
      </c>
      <c r="R20">
        <f>IF('Input Scenarios'!$R20&lt;&gt;"", 'Input Scenarios'!$R20, IF($Q20, Constants!$B$19, 0))</f>
        <v>0</v>
      </c>
      <c r="S20">
        <f>IF('Input Scenarios'!$R20&lt;&gt;"", 'Input Scenarios'!$R20, IF($Q20, Constants!$B$20, 0))</f>
        <v>0</v>
      </c>
      <c r="T20">
        <f t="shared" si="0"/>
        <v>1141.7</v>
      </c>
      <c r="U20">
        <f t="shared" si="1"/>
        <v>0</v>
      </c>
      <c r="V20">
        <f>$T20*U20</f>
        <v>0</v>
      </c>
      <c r="W20">
        <f>Constants!$B$23</f>
        <v>1.5714285714285714</v>
      </c>
      <c r="X20">
        <f>Constants!$B$24</f>
        <v>1.0999999999999999E-2</v>
      </c>
      <c r="Y20">
        <f t="shared" si="2"/>
        <v>1</v>
      </c>
      <c r="Z20">
        <f>Constants!$B$25</f>
        <v>0.02</v>
      </c>
      <c r="AA20">
        <f t="shared" si="3"/>
        <v>0</v>
      </c>
      <c r="AB20">
        <f t="shared" si="4"/>
        <v>0</v>
      </c>
    </row>
    <row r="21" spans="1:29" x14ac:dyDescent="0.2">
      <c r="A21" t="str">
        <f>'Input Scenarios'!A21</f>
        <v>QLD</v>
      </c>
      <c r="B21">
        <f>'Input Scenarios'!B21</f>
        <v>0</v>
      </c>
      <c r="C21" t="str">
        <f>'Input Scenarios'!C21</f>
        <v>Non-irrigated pasture</v>
      </c>
      <c r="D21" t="b">
        <f>'Input Scenarios'!D21</f>
        <v>1</v>
      </c>
      <c r="E21" t="str">
        <f>'Input Scenarios'!E21</f>
        <v>gilts</v>
      </c>
      <c r="F21">
        <f>'Input Scenarios'!F21</f>
        <v>923</v>
      </c>
      <c r="G21">
        <f>'Input Scenarios'!G21</f>
        <v>100</v>
      </c>
      <c r="H21">
        <f>IF('Input Scenarios'!H21&lt;&gt;"", 'Input Scenarios'!H21, _xlfn.XLOOKUP($E21,Constants!$A$3:$A$6, Constants!B$3:B$6))</f>
        <v>2.5</v>
      </c>
      <c r="I21">
        <f>IF('Input Scenarios'!I21&lt;&gt;"", 'Input Scenarios'!I21, _xlfn.XLOOKUP($E21,Constants!$A$3:$A$6, Constants!C$3:C$6))</f>
        <v>0.55000000000000004</v>
      </c>
      <c r="J21">
        <f>IF('Input Scenarios'!J21&lt;&gt;"", 'Input Scenarios'!J21, _xlfn.XLOOKUP($E21,Constants!$A$3:$A$6, Constants!D$3:D$6))</f>
        <v>4.5999999999999999E-2</v>
      </c>
      <c r="K21">
        <f>'Input Scenarios'!K21</f>
        <v>0</v>
      </c>
      <c r="L21">
        <f>'Input Scenarios'!L21</f>
        <v>0</v>
      </c>
      <c r="M21">
        <f>'Input Scenarios'!M21</f>
        <v>0</v>
      </c>
      <c r="N21">
        <f>'Input Scenarios'!N21</f>
        <v>0</v>
      </c>
      <c r="O21">
        <f>'Input Scenarios'!O21</f>
        <v>0</v>
      </c>
      <c r="P21">
        <f>'Input Scenarios'!P21</f>
        <v>0</v>
      </c>
      <c r="Q21" t="b">
        <f>'Input Scenarios'!Q21</f>
        <v>0</v>
      </c>
      <c r="R21">
        <f>IF('Input Scenarios'!$R21&lt;&gt;"", 'Input Scenarios'!$R21, IF($Q21, Constants!$B$19, 0))</f>
        <v>0</v>
      </c>
      <c r="S21">
        <f>IF('Input Scenarios'!$R21&lt;&gt;"", 'Input Scenarios'!$R21, IF($Q21, Constants!$B$20, 0))</f>
        <v>0</v>
      </c>
      <c r="T21">
        <f t="shared" si="0"/>
        <v>4245.8</v>
      </c>
      <c r="U21">
        <f t="shared" si="1"/>
        <v>0</v>
      </c>
      <c r="V21">
        <f>$T21*U21</f>
        <v>0</v>
      </c>
      <c r="W21">
        <f>Constants!$B$23</f>
        <v>1.5714285714285714</v>
      </c>
      <c r="X21">
        <f>Constants!$B$24</f>
        <v>1.0999999999999999E-2</v>
      </c>
      <c r="Y21">
        <f t="shared" si="2"/>
        <v>1</v>
      </c>
      <c r="Z21">
        <f>Constants!$B$25</f>
        <v>0.02</v>
      </c>
      <c r="AA21">
        <f t="shared" si="3"/>
        <v>0</v>
      </c>
      <c r="AB21">
        <f t="shared" si="4"/>
        <v>0</v>
      </c>
    </row>
    <row r="22" spans="1:29" s="2" customFormat="1" x14ac:dyDescent="0.2">
      <c r="A22" s="2" t="str">
        <f>'Input Scenarios'!A22</f>
        <v>QLD</v>
      </c>
      <c r="B22" s="2">
        <f>'Input Scenarios'!B22</f>
        <v>0</v>
      </c>
      <c r="C22" s="2" t="str">
        <f>'Input Scenarios'!C22</f>
        <v>Non-irrigated pasture</v>
      </c>
      <c r="D22" s="2" t="b">
        <f>'Input Scenarios'!D22</f>
        <v>1</v>
      </c>
      <c r="E22" s="2" t="str">
        <f>'Input Scenarios'!E22</f>
        <v>others</v>
      </c>
      <c r="F22" s="2">
        <f>'Input Scenarios'!F22</f>
        <v>122</v>
      </c>
      <c r="G22" s="2">
        <f>'Input Scenarios'!G22</f>
        <v>100</v>
      </c>
      <c r="H22">
        <f>IF('Input Scenarios'!H22&lt;&gt;"", 'Input Scenarios'!H22, _xlfn.XLOOKUP($E22,Constants!$A$3:$A$6, Constants!B$3:B$6))</f>
        <v>1.71</v>
      </c>
      <c r="I22">
        <f>IF('Input Scenarios'!I22&lt;&gt;"", 'Input Scenarios'!I22, _xlfn.XLOOKUP($E22,Constants!$A$3:$A$6, Constants!C$3:C$6))</f>
        <v>0.39</v>
      </c>
      <c r="J22">
        <f>IF('Input Scenarios'!J22&lt;&gt;"", 'Input Scenarios'!J22, _xlfn.XLOOKUP($E22,Constants!$A$3:$A$6, Constants!D$3:D$6))</f>
        <v>3.1232876712328769E-2</v>
      </c>
      <c r="K22" s="2">
        <f>'Input Scenarios'!K22</f>
        <v>0</v>
      </c>
      <c r="L22" s="2">
        <f>'Input Scenarios'!L22</f>
        <v>0</v>
      </c>
      <c r="M22" s="2">
        <f>'Input Scenarios'!M22</f>
        <v>0</v>
      </c>
      <c r="N22" s="2">
        <f>'Input Scenarios'!N22</f>
        <v>0</v>
      </c>
      <c r="O22" s="2">
        <f>'Input Scenarios'!O22</f>
        <v>0</v>
      </c>
      <c r="P22" s="2">
        <f>'Input Scenarios'!P22</f>
        <v>0</v>
      </c>
      <c r="Q22" s="2" t="b">
        <f>'Input Scenarios'!Q22</f>
        <v>0</v>
      </c>
      <c r="R22" s="2">
        <f>IF('Input Scenarios'!$R22&lt;&gt;"", 'Input Scenarios'!$R22, IF($Q22, Constants!$B$19, 0))</f>
        <v>0</v>
      </c>
      <c r="S22" s="2">
        <f>IF('Input Scenarios'!$R22&lt;&gt;"", 'Input Scenarios'!$R22, IF($Q22, Constants!$B$20, 0))</f>
        <v>0</v>
      </c>
      <c r="T22">
        <f t="shared" si="0"/>
        <v>381.04109589041099</v>
      </c>
      <c r="U22">
        <f t="shared" si="1"/>
        <v>0</v>
      </c>
      <c r="V22">
        <f>$T22*U22</f>
        <v>0</v>
      </c>
      <c r="W22">
        <f>Constants!$B$23</f>
        <v>1.5714285714285714</v>
      </c>
      <c r="X22">
        <f>Constants!$B$24</f>
        <v>1.0999999999999999E-2</v>
      </c>
      <c r="Y22">
        <f t="shared" si="2"/>
        <v>1</v>
      </c>
      <c r="Z22">
        <f>Constants!$B$25</f>
        <v>0.02</v>
      </c>
      <c r="AA22">
        <f t="shared" si="3"/>
        <v>0</v>
      </c>
      <c r="AB22">
        <f t="shared" si="4"/>
        <v>0</v>
      </c>
    </row>
    <row r="23" spans="1:29" x14ac:dyDescent="0.2">
      <c r="A23" t="str">
        <f>'Input Scenarios'!A23</f>
        <v>WA</v>
      </c>
      <c r="B23">
        <f>'Input Scenarios'!B23</f>
        <v>0</v>
      </c>
      <c r="C23" t="str">
        <f>'Input Scenarios'!C23</f>
        <v>Non-irrigated crop (low rainfall)</v>
      </c>
      <c r="D23" t="b">
        <f>'Input Scenarios'!D23</f>
        <v>0</v>
      </c>
      <c r="E23" t="str">
        <f>'Input Scenarios'!E23</f>
        <v>boars</v>
      </c>
      <c r="F23">
        <f>'Input Scenarios'!F23</f>
        <v>750</v>
      </c>
      <c r="G23">
        <f>'Input Scenarios'!G23</f>
        <v>200</v>
      </c>
      <c r="H23">
        <f>IF('Input Scenarios'!H23&lt;&gt;"", 'Input Scenarios'!H23, _xlfn.XLOOKUP($E23,Constants!$A$3:$A$6, Constants!B$3:B$6))</f>
        <v>2.62</v>
      </c>
      <c r="I23">
        <f>IF('Input Scenarios'!I23&lt;&gt;"", 'Input Scenarios'!I23, _xlfn.XLOOKUP($E23,Constants!$A$3:$A$6, Constants!C$3:C$6))</f>
        <v>0.4</v>
      </c>
      <c r="J23">
        <f>IF('Input Scenarios'!J23&lt;&gt;"", 'Input Scenarios'!J23, _xlfn.XLOOKUP($E23,Constants!$A$3:$A$6, Constants!D$3:D$6))</f>
        <v>4.5999999999999999E-2</v>
      </c>
      <c r="K23">
        <f>'Input Scenarios'!K23</f>
        <v>0</v>
      </c>
      <c r="L23">
        <f>'Input Scenarios'!L23</f>
        <v>0</v>
      </c>
      <c r="M23">
        <f>'Input Scenarios'!M23</f>
        <v>0</v>
      </c>
      <c r="N23">
        <f>'Input Scenarios'!N23</f>
        <v>0</v>
      </c>
      <c r="O23">
        <f>'Input Scenarios'!O23</f>
        <v>0</v>
      </c>
      <c r="P23">
        <f>'Input Scenarios'!P23</f>
        <v>0</v>
      </c>
      <c r="Q23" t="b">
        <f>'Input Scenarios'!Q23</f>
        <v>0</v>
      </c>
      <c r="R23">
        <f>IF('Input Scenarios'!$R23&lt;&gt;"", 'Input Scenarios'!$R23, IF($Q23, Constants!$B$19, 0))</f>
        <v>0</v>
      </c>
      <c r="S23">
        <f>IF('Input Scenarios'!$R23&lt;&gt;"", 'Input Scenarios'!$R23, IF($Q23, Constants!$B$20, 0))</f>
        <v>0</v>
      </c>
      <c r="T23">
        <f t="shared" si="0"/>
        <v>6900</v>
      </c>
      <c r="U23">
        <f t="shared" si="1"/>
        <v>0</v>
      </c>
      <c r="V23">
        <f>$T23*U23</f>
        <v>0</v>
      </c>
      <c r="W23">
        <f>Constants!$B$23</f>
        <v>1.5714285714285714</v>
      </c>
      <c r="X23">
        <f>Constants!$B$24</f>
        <v>1.0999999999999999E-2</v>
      </c>
      <c r="Y23">
        <f t="shared" si="2"/>
        <v>0</v>
      </c>
      <c r="Z23">
        <f>Constants!$B$25</f>
        <v>0.02</v>
      </c>
      <c r="AA23">
        <f t="shared" si="3"/>
        <v>0</v>
      </c>
      <c r="AB23">
        <f t="shared" si="4"/>
        <v>0</v>
      </c>
      <c r="AC23">
        <f>SUM(AB23:AB26)/1000</f>
        <v>0</v>
      </c>
    </row>
    <row r="24" spans="1:29" x14ac:dyDescent="0.2">
      <c r="A24" t="str">
        <f>'Input Scenarios'!A24</f>
        <v>WA</v>
      </c>
      <c r="B24">
        <f>'Input Scenarios'!B24</f>
        <v>0</v>
      </c>
      <c r="C24" t="str">
        <f>'Input Scenarios'!C24</f>
        <v>Non-irrigated crop (low rainfall)</v>
      </c>
      <c r="D24" t="b">
        <f>'Input Scenarios'!D24</f>
        <v>0</v>
      </c>
      <c r="E24" t="str">
        <f>'Input Scenarios'!E24</f>
        <v>sows</v>
      </c>
      <c r="F24">
        <f>'Input Scenarios'!F24</f>
        <v>600</v>
      </c>
      <c r="G24">
        <f>'Input Scenarios'!G24</f>
        <v>200</v>
      </c>
      <c r="H24">
        <f>IF('Input Scenarios'!H24&lt;&gt;"", 'Input Scenarios'!H24, _xlfn.XLOOKUP($E24,Constants!$A$3:$A$6, Constants!B$3:B$6))</f>
        <v>2.2999999999999998</v>
      </c>
      <c r="I24">
        <f>IF('Input Scenarios'!I24&lt;&gt;"", 'Input Scenarios'!I24, _xlfn.XLOOKUP($E24,Constants!$A$3:$A$6, Constants!C$3:C$6))</f>
        <v>0.46</v>
      </c>
      <c r="J24">
        <f>IF('Input Scenarios'!J24&lt;&gt;"", 'Input Scenarios'!J24, _xlfn.XLOOKUP($E24,Constants!$A$3:$A$6, Constants!D$3:D$6))</f>
        <v>4.9000000000000002E-2</v>
      </c>
      <c r="K24">
        <f>'Input Scenarios'!K24</f>
        <v>0</v>
      </c>
      <c r="L24">
        <f>'Input Scenarios'!L24</f>
        <v>0</v>
      </c>
      <c r="M24">
        <f>'Input Scenarios'!M24</f>
        <v>0</v>
      </c>
      <c r="N24">
        <f>'Input Scenarios'!N24</f>
        <v>0</v>
      </c>
      <c r="O24">
        <f>'Input Scenarios'!O24</f>
        <v>0</v>
      </c>
      <c r="P24">
        <f>'Input Scenarios'!P24</f>
        <v>0</v>
      </c>
      <c r="Q24" t="b">
        <f>'Input Scenarios'!Q24</f>
        <v>0</v>
      </c>
      <c r="R24">
        <f>IF('Input Scenarios'!$R24&lt;&gt;"", 'Input Scenarios'!$R24, IF($Q24, Constants!$B$19, 0))</f>
        <v>0</v>
      </c>
      <c r="S24">
        <f>IF('Input Scenarios'!$R24&lt;&gt;"", 'Input Scenarios'!$R24, IF($Q24, Constants!$B$20, 0))</f>
        <v>0</v>
      </c>
      <c r="T24">
        <f t="shared" si="0"/>
        <v>5880</v>
      </c>
      <c r="U24">
        <f t="shared" si="1"/>
        <v>0</v>
      </c>
      <c r="V24">
        <f>$T24*U24</f>
        <v>0</v>
      </c>
      <c r="W24">
        <f>Constants!$B$23</f>
        <v>1.5714285714285714</v>
      </c>
      <c r="X24">
        <f>Constants!$B$24</f>
        <v>1.0999999999999999E-2</v>
      </c>
      <c r="Y24">
        <f t="shared" si="2"/>
        <v>0</v>
      </c>
      <c r="Z24">
        <f>Constants!$B$25</f>
        <v>0.02</v>
      </c>
      <c r="AA24">
        <f t="shared" si="3"/>
        <v>0</v>
      </c>
      <c r="AB24">
        <f t="shared" si="4"/>
        <v>0</v>
      </c>
    </row>
    <row r="25" spans="1:29" x14ac:dyDescent="0.2">
      <c r="A25" t="str">
        <f>'Input Scenarios'!A25</f>
        <v>WA</v>
      </c>
      <c r="B25">
        <f>'Input Scenarios'!B25</f>
        <v>0</v>
      </c>
      <c r="C25" t="str">
        <f>'Input Scenarios'!C25</f>
        <v>Non-irrigated crop (low rainfall)</v>
      </c>
      <c r="D25" t="b">
        <f>'Input Scenarios'!D25</f>
        <v>0</v>
      </c>
      <c r="E25" t="str">
        <f>'Input Scenarios'!E25</f>
        <v>gilts</v>
      </c>
      <c r="F25">
        <f>'Input Scenarios'!F25</f>
        <v>100</v>
      </c>
      <c r="G25">
        <f>'Input Scenarios'!G25</f>
        <v>299</v>
      </c>
      <c r="H25">
        <f>IF('Input Scenarios'!H25&lt;&gt;"", 'Input Scenarios'!H25, _xlfn.XLOOKUP($E25,Constants!$A$3:$A$6, Constants!B$3:B$6))</f>
        <v>2.5</v>
      </c>
      <c r="I25">
        <f>IF('Input Scenarios'!I25&lt;&gt;"", 'Input Scenarios'!I25, _xlfn.XLOOKUP($E25,Constants!$A$3:$A$6, Constants!C$3:C$6))</f>
        <v>0.55000000000000004</v>
      </c>
      <c r="J25">
        <f>IF('Input Scenarios'!J25&lt;&gt;"", 'Input Scenarios'!J25, _xlfn.XLOOKUP($E25,Constants!$A$3:$A$6, Constants!D$3:D$6))</f>
        <v>4.5999999999999999E-2</v>
      </c>
      <c r="K25">
        <f>'Input Scenarios'!K25</f>
        <v>0</v>
      </c>
      <c r="L25">
        <f>'Input Scenarios'!L25</f>
        <v>0</v>
      </c>
      <c r="M25">
        <f>'Input Scenarios'!M25</f>
        <v>0</v>
      </c>
      <c r="N25">
        <f>'Input Scenarios'!N25</f>
        <v>0</v>
      </c>
      <c r="O25">
        <f>'Input Scenarios'!O25</f>
        <v>0</v>
      </c>
      <c r="P25">
        <f>'Input Scenarios'!P25</f>
        <v>0</v>
      </c>
      <c r="Q25" t="b">
        <f>'Input Scenarios'!Q25</f>
        <v>1</v>
      </c>
      <c r="R25">
        <f>IF('Input Scenarios'!$R25&lt;&gt;"", 'Input Scenarios'!$R25, IF($Q25, Constants!$B$19, 0))</f>
        <v>0.25</v>
      </c>
      <c r="S25">
        <f>IF('Input Scenarios'!$R25&lt;&gt;"", 'Input Scenarios'!$R25, IF($Q25, Constants!$B$20, 0))</f>
        <v>0.25</v>
      </c>
      <c r="T25">
        <f t="shared" si="0"/>
        <v>1375.3999999999999</v>
      </c>
      <c r="U25">
        <f t="shared" si="1"/>
        <v>0</v>
      </c>
      <c r="V25">
        <f>$T25*U25</f>
        <v>0</v>
      </c>
      <c r="W25">
        <f>Constants!$B$23</f>
        <v>1.5714285714285714</v>
      </c>
      <c r="X25">
        <f>Constants!$B$24</f>
        <v>1.0999999999999999E-2</v>
      </c>
      <c r="Y25">
        <f t="shared" si="2"/>
        <v>0</v>
      </c>
      <c r="Z25">
        <f>Constants!$B$25</f>
        <v>0.02</v>
      </c>
      <c r="AA25">
        <f t="shared" si="3"/>
        <v>0</v>
      </c>
      <c r="AB25">
        <f t="shared" si="4"/>
        <v>0</v>
      </c>
    </row>
    <row r="26" spans="1:29" x14ac:dyDescent="0.2">
      <c r="A26" t="str">
        <f>'Input Scenarios'!A26</f>
        <v>WA</v>
      </c>
      <c r="B26">
        <f>'Input Scenarios'!B26</f>
        <v>0</v>
      </c>
      <c r="C26" t="str">
        <f>'Input Scenarios'!C26</f>
        <v>Non-irrigated crop (low rainfall)</v>
      </c>
      <c r="D26" t="b">
        <f>'Input Scenarios'!D26</f>
        <v>0</v>
      </c>
      <c r="E26" t="str">
        <f>'Input Scenarios'!E26</f>
        <v>others</v>
      </c>
      <c r="F26">
        <f>'Input Scenarios'!F26</f>
        <v>999</v>
      </c>
      <c r="G26">
        <f>'Input Scenarios'!G26</f>
        <v>299</v>
      </c>
      <c r="H26">
        <f>IF('Input Scenarios'!H26&lt;&gt;"", 'Input Scenarios'!H26, _xlfn.XLOOKUP($E26,Constants!$A$3:$A$6, Constants!B$3:B$6))</f>
        <v>1.71</v>
      </c>
      <c r="I26">
        <f>IF('Input Scenarios'!I26&lt;&gt;"", 'Input Scenarios'!I26, _xlfn.XLOOKUP($E26,Constants!$A$3:$A$6, Constants!C$3:C$6))</f>
        <v>0.39</v>
      </c>
      <c r="J26">
        <f>IF('Input Scenarios'!J26&lt;&gt;"", 'Input Scenarios'!J26, _xlfn.XLOOKUP($E26,Constants!$A$3:$A$6, Constants!D$3:D$6))</f>
        <v>3.1232876712328769E-2</v>
      </c>
      <c r="K26">
        <f>'Input Scenarios'!K26</f>
        <v>0</v>
      </c>
      <c r="L26">
        <f>'Input Scenarios'!L26</f>
        <v>0</v>
      </c>
      <c r="M26">
        <f>'Input Scenarios'!M26</f>
        <v>0</v>
      </c>
      <c r="N26">
        <f>'Input Scenarios'!N26</f>
        <v>0</v>
      </c>
      <c r="O26">
        <f>'Input Scenarios'!O26</f>
        <v>0</v>
      </c>
      <c r="P26">
        <f>'Input Scenarios'!P26</f>
        <v>0</v>
      </c>
      <c r="Q26" t="b">
        <f>'Input Scenarios'!Q26</f>
        <v>1</v>
      </c>
      <c r="R26">
        <f>IF('Input Scenarios'!$R26&lt;&gt;"", 'Input Scenarios'!$R26, IF($Q26, Constants!$B$19, 0))</f>
        <v>0.25</v>
      </c>
      <c r="S26">
        <f>IF('Input Scenarios'!$R26&lt;&gt;"", 'Input Scenarios'!$R26, IF($Q26, Constants!$B$20, 0))</f>
        <v>0.25</v>
      </c>
      <c r="T26">
        <f t="shared" si="0"/>
        <v>9329.2915068493148</v>
      </c>
      <c r="U26">
        <f t="shared" si="1"/>
        <v>0</v>
      </c>
      <c r="V26">
        <f>$T26*U26</f>
        <v>0</v>
      </c>
      <c r="W26">
        <f>Constants!$B$23</f>
        <v>1.5714285714285714</v>
      </c>
      <c r="X26">
        <f>Constants!$B$24</f>
        <v>1.0999999999999999E-2</v>
      </c>
      <c r="Y26">
        <f t="shared" si="2"/>
        <v>0</v>
      </c>
      <c r="Z26">
        <f>Constants!$B$25</f>
        <v>0.02</v>
      </c>
      <c r="AA26">
        <f t="shared" si="3"/>
        <v>0</v>
      </c>
      <c r="AB26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Input Scenarios</vt:lpstr>
      <vt:lpstr>4.5.1.1</vt:lpstr>
      <vt:lpstr>4.5.1.3</vt:lpstr>
      <vt:lpstr>Atmospheric Deposition</vt:lpstr>
      <vt:lpstr>Leaching and Runoff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2026-06-04T01:48:29Z</dcterms:created>
  <dcterms:modified xsi:type="dcterms:W3CDTF">2026-06-11T02:02:07Z</dcterms:modified>
</cp:coreProperties>
</file>