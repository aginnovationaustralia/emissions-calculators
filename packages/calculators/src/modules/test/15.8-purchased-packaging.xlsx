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7"/>
  <workbookPr codeName="ThisWorkbook" defaultThemeVersion="202300"/>
  <xr:revisionPtr revIDLastSave="0" documentId="13_ncr:1_{79486A03-7C30-3742-8F0C-ACE8E7F0D3BD}" xr6:coauthVersionLast="47" xr6:coauthVersionMax="47" xr10:uidLastSave="{00000000-0000-0000-0000-000000000000}"/>
  <bookViews>
    <workbookView xWindow="0" yWindow="660" windowWidth="28800" windowHeight="15920" xr2:uid="{00000000-000D-0000-FFFF-FFFF00000000}"/>
  </bookViews>
  <sheets>
    <sheet name="15.8.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8" i="1" l="1"/>
  <c r="E27" i="1"/>
  <c r="E18" i="1"/>
  <c r="E19" i="1"/>
  <c r="E17" i="1"/>
  <c r="D18" i="1"/>
  <c r="D19" i="1"/>
  <c r="D17" i="1"/>
  <c r="D11" i="1"/>
  <c r="E11" i="1" s="1"/>
  <c r="D12" i="1"/>
  <c r="E12" i="1" s="1"/>
  <c r="D13" i="1"/>
  <c r="E13" i="1" s="1"/>
  <c r="D14" i="1"/>
  <c r="E14" i="1" s="1"/>
  <c r="D15" i="1"/>
  <c r="E15" i="1" s="1"/>
  <c r="E23" i="1"/>
  <c r="E24" i="1"/>
  <c r="E25" i="1"/>
</calcChain>
</file>

<file path=xl/sharedStrings.xml><?xml version="1.0" encoding="utf-8"?>
<sst xmlns="http://schemas.openxmlformats.org/spreadsheetml/2006/main" count="34" uniqueCount="22">
  <si>
    <t/>
  </si>
  <si>
    <t>input</t>
  </si>
  <si>
    <t>constant</t>
  </si>
  <si>
    <t>expression</t>
  </si>
  <si>
    <t>E</t>
  </si>
  <si>
    <t>Method 1</t>
  </si>
  <si>
    <t>Method 2</t>
  </si>
  <si>
    <t>SUM Qp * Efp</t>
  </si>
  <si>
    <t>Purchased packaing types (p)</t>
  </si>
  <si>
    <t>Efp</t>
  </si>
  <si>
    <t>Qp</t>
  </si>
  <si>
    <t>p</t>
  </si>
  <si>
    <t>1 tonne polypropylene bag</t>
  </si>
  <si>
    <t>25 kg polypropylene bag</t>
  </si>
  <si>
    <t>20L high density polyethylene (HDPE) container</t>
  </si>
  <si>
    <t>1000L intermediate bulk containers</t>
  </si>
  <si>
    <t>Plastic crate polypropylene</t>
  </si>
  <si>
    <t>Qp (units)</t>
  </si>
  <si>
    <t>Qp (mass)</t>
  </si>
  <si>
    <t>Corrugated board</t>
  </si>
  <si>
    <t>Plastic film LDPE</t>
  </si>
  <si>
    <t>Plastic sheet HDPE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</si>
</sst>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0" fontId="0" fillId="3" borderId="0" xfId="0" applyFill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4:H28"/>
  <sheetViews>
    <sheetView tabSelected="1" workbookViewId="0">
      <selection activeCell="F27" sqref="F27"/>
    </sheetView>
  </sheetViews>
  <sheetFormatPr baseColWidth="10" defaultRowHeight="16" x14ac:dyDescent="0.2"/>
  <sheetData>
    <row r="4" spans="1:8" x14ac:dyDescent="0.2">
      <c r="A4" t="s">
        <v>5</v>
      </c>
    </row>
    <row r="5" spans="1:8" x14ac:dyDescent="0.2">
      <c r="E5" t="s">
        <v>7</v>
      </c>
    </row>
    <row r="6" spans="1:8" x14ac:dyDescent="0.2">
      <c r="A6" t="s">
        <v>0</v>
      </c>
      <c r="B6">
        <v>468</v>
      </c>
      <c r="D6">
        <v>469</v>
      </c>
      <c r="E6">
        <v>467</v>
      </c>
    </row>
    <row r="7" spans="1:8" x14ac:dyDescent="0.2">
      <c r="A7" t="s">
        <v>1</v>
      </c>
      <c r="B7" t="s">
        <v>1</v>
      </c>
      <c r="D7" t="s">
        <v>2</v>
      </c>
      <c r="E7" t="s">
        <v>3</v>
      </c>
      <c r="G7" t="s">
        <v>8</v>
      </c>
      <c r="H7" t="s">
        <v>9</v>
      </c>
    </row>
    <row r="8" spans="1:8" x14ac:dyDescent="0.2">
      <c r="G8" t="s">
        <v>12</v>
      </c>
      <c r="H8">
        <v>6.04</v>
      </c>
    </row>
    <row r="9" spans="1:8" x14ac:dyDescent="0.2">
      <c r="G9" t="s">
        <v>13</v>
      </c>
      <c r="H9">
        <v>0.9</v>
      </c>
    </row>
    <row r="10" spans="1:8" x14ac:dyDescent="0.2">
      <c r="A10" s="1" t="s">
        <v>11</v>
      </c>
      <c r="B10" s="1" t="s">
        <v>17</v>
      </c>
      <c r="C10" s="1" t="s">
        <v>18</v>
      </c>
      <c r="D10" s="1" t="s">
        <v>9</v>
      </c>
      <c r="E10" s="2" t="s">
        <v>4</v>
      </c>
      <c r="G10" t="s">
        <v>14</v>
      </c>
      <c r="H10">
        <v>3.41</v>
      </c>
    </row>
    <row r="11" spans="1:8" x14ac:dyDescent="0.2">
      <c r="A11" t="s">
        <v>12</v>
      </c>
      <c r="B11">
        <v>100</v>
      </c>
      <c r="D11">
        <f xml:space="preserve"> _xlfn.XLOOKUP(A11, $G$8:$G$12,$H$8:$H$12)</f>
        <v>6.04</v>
      </c>
      <c r="E11">
        <f>(B11 * D11)/1000</f>
        <v>0.60399999999999998</v>
      </c>
      <c r="G11" t="s">
        <v>15</v>
      </c>
      <c r="H11">
        <v>190.15</v>
      </c>
    </row>
    <row r="12" spans="1:8" x14ac:dyDescent="0.2">
      <c r="A12" t="s">
        <v>13</v>
      </c>
      <c r="B12">
        <v>123000</v>
      </c>
      <c r="D12">
        <f t="shared" ref="D12:D15" si="0" xml:space="preserve"> _xlfn.XLOOKUP(A12, $G$8:$G$12,$H$8:$H$12)</f>
        <v>0.9</v>
      </c>
      <c r="E12">
        <f t="shared" ref="E12:E15" si="1">(B12 * D12)/1000</f>
        <v>110.7</v>
      </c>
      <c r="G12" t="s">
        <v>16</v>
      </c>
      <c r="H12">
        <v>3.99</v>
      </c>
    </row>
    <row r="13" spans="1:8" x14ac:dyDescent="0.2">
      <c r="A13" t="s">
        <v>14</v>
      </c>
      <c r="B13">
        <v>70</v>
      </c>
      <c r="D13">
        <f t="shared" si="0"/>
        <v>3.41</v>
      </c>
      <c r="E13">
        <f t="shared" si="1"/>
        <v>0.23870000000000002</v>
      </c>
    </row>
    <row r="14" spans="1:8" x14ac:dyDescent="0.2">
      <c r="A14" t="s">
        <v>15</v>
      </c>
      <c r="B14">
        <v>50</v>
      </c>
      <c r="D14">
        <f t="shared" si="0"/>
        <v>190.15</v>
      </c>
      <c r="E14">
        <f t="shared" si="1"/>
        <v>9.5075000000000003</v>
      </c>
    </row>
    <row r="15" spans="1:8" x14ac:dyDescent="0.2">
      <c r="A15" t="s">
        <v>16</v>
      </c>
      <c r="B15">
        <v>5750</v>
      </c>
      <c r="D15">
        <f t="shared" si="0"/>
        <v>3.99</v>
      </c>
      <c r="E15">
        <f t="shared" si="1"/>
        <v>22.942499999999999</v>
      </c>
    </row>
    <row r="17" spans="1:8" x14ac:dyDescent="0.2">
      <c r="A17" t="s">
        <v>19</v>
      </c>
      <c r="C17">
        <v>255</v>
      </c>
      <c r="D17">
        <f xml:space="preserve"> _xlfn.XLOOKUP(A17, $G$17:$G$19,$H$17:$H$19)</f>
        <v>1.050716</v>
      </c>
      <c r="E17">
        <f>C17*D17/1000</f>
        <v>0.26793257999999998</v>
      </c>
      <c r="G17" t="s">
        <v>19</v>
      </c>
      <c r="H17">
        <v>1.050716</v>
      </c>
    </row>
    <row r="18" spans="1:8" x14ac:dyDescent="0.2">
      <c r="A18" t="s">
        <v>20</v>
      </c>
      <c r="C18">
        <v>1200</v>
      </c>
      <c r="D18">
        <f t="shared" ref="D18:D19" si="2" xml:space="preserve"> _xlfn.XLOOKUP(A18, $G$17:$G$19,$H$17:$H$19)</f>
        <v>3.4411615000000002</v>
      </c>
      <c r="E18">
        <f t="shared" ref="E18:E19" si="3">C18*D18/1000</f>
        <v>4.1293937999999999</v>
      </c>
      <c r="G18" t="s">
        <v>20</v>
      </c>
      <c r="H18">
        <v>3.4411615000000002</v>
      </c>
    </row>
    <row r="19" spans="1:8" x14ac:dyDescent="0.2">
      <c r="A19" t="s">
        <v>21</v>
      </c>
      <c r="C19">
        <v>27</v>
      </c>
      <c r="D19">
        <f t="shared" si="2"/>
        <v>3.7225687000000001</v>
      </c>
      <c r="E19">
        <f t="shared" si="3"/>
        <v>0.1005093549</v>
      </c>
      <c r="G19" t="s">
        <v>21</v>
      </c>
      <c r="H19">
        <v>3.7225687000000001</v>
      </c>
    </row>
    <row r="21" spans="1:8" x14ac:dyDescent="0.2">
      <c r="A21" t="s">
        <v>6</v>
      </c>
    </row>
    <row r="22" spans="1:8" x14ac:dyDescent="0.2">
      <c r="B22" s="1" t="s">
        <v>10</v>
      </c>
      <c r="C22" s="1"/>
      <c r="D22" s="1" t="s">
        <v>9</v>
      </c>
      <c r="E22" s="2" t="s">
        <v>4</v>
      </c>
    </row>
    <row r="23" spans="1:8" x14ac:dyDescent="0.2">
      <c r="B23">
        <v>800</v>
      </c>
      <c r="D23">
        <v>0.5</v>
      </c>
      <c r="E23">
        <f>(B23 * D23)/1000</f>
        <v>0.4</v>
      </c>
    </row>
    <row r="24" spans="1:8" x14ac:dyDescent="0.2">
      <c r="B24">
        <v>9000</v>
      </c>
      <c r="D24">
        <v>2.3450000000000002</v>
      </c>
      <c r="E24">
        <f t="shared" ref="E24:E25" si="4">(B24 * D24)/1000</f>
        <v>21.105</v>
      </c>
    </row>
    <row r="25" spans="1:8" x14ac:dyDescent="0.2">
      <c r="B25">
        <v>10000</v>
      </c>
      <c r="D25">
        <v>1.0009999999999999</v>
      </c>
      <c r="E25">
        <f t="shared" si="4"/>
        <v>10.009999999999998</v>
      </c>
    </row>
    <row r="27" spans="1:8" x14ac:dyDescent="0.2">
      <c r="C27">
        <v>57</v>
      </c>
      <c r="D27">
        <v>2.5</v>
      </c>
      <c r="E27">
        <f>C27*D27/1000</f>
        <v>0.14249999999999999</v>
      </c>
    </row>
    <row r="28" spans="1:8" x14ac:dyDescent="0.2">
      <c r="C28">
        <v>2000</v>
      </c>
      <c r="D28">
        <v>0.5</v>
      </c>
      <c r="E28">
        <f>C28*D28/1000</f>
        <v>1</v>
      </c>
    </row>
  </sheetData>
  <pageMargins left="0.7" right="0.7" top="0.75" bottom="0.75" header="0.3" footer="0.3"/>
  <ignoredErrors>
    <ignoredError sqref="D7:E9 D5 A6 E10 A5:B5 A7:B9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15.8.1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Mack Cheesman</dc:creator>
  <cp:lastModifiedBy>Eddie Sholl</cp:lastModifiedBy>
  <dcterms:created xsi:type="dcterms:W3CDTF">2026-04-14T04:35:02Z</dcterms:created>
  <dcterms:modified xsi:type="dcterms:W3CDTF">2026-08-19T02:32:05Z</dcterms:modified>
</cp:coreProperties>
</file>