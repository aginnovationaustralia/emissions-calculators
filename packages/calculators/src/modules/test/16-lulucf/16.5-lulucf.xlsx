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4672540D-B5FC-7442-BB35-17D0C3FA44EB}" xr6:coauthVersionLast="47" xr6:coauthVersionMax="47" xr10:uidLastSave="{00000000-0000-0000-0000-000000000000}"/>
  <bookViews>
    <workbookView xWindow="51220" yWindow="10060" windowWidth="28800" windowHeight="26440" xr2:uid="{A7819E6E-1EF8-024D-B571-91DD1BC0E0B7}"/>
  </bookViews>
  <sheets>
    <sheet name="16.5.1.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6" i="1" l="1"/>
  <c r="G56" i="1"/>
  <c r="K58" i="1"/>
  <c r="D58" i="1" s="1"/>
  <c r="K57" i="1"/>
  <c r="D57" i="1"/>
  <c r="N56" i="1"/>
  <c r="K56" i="1"/>
  <c r="D56" i="1" s="1"/>
  <c r="E56" i="1" s="1"/>
  <c r="H56" i="1"/>
  <c r="O51" i="1"/>
  <c r="J51" i="1"/>
  <c r="H51" i="1"/>
  <c r="K11" i="1"/>
  <c r="L11" i="1"/>
  <c r="K53" i="1"/>
  <c r="D53" i="1"/>
  <c r="K52" i="1"/>
  <c r="D52" i="1" s="1"/>
  <c r="N51" i="1"/>
  <c r="L51" i="1"/>
  <c r="K51" i="1"/>
  <c r="G51" i="1"/>
  <c r="D51" i="1"/>
  <c r="G11" i="1"/>
  <c r="K12" i="1"/>
  <c r="D12" i="1" s="1"/>
  <c r="K13" i="1"/>
  <c r="D13" i="1" s="1"/>
  <c r="D11" i="1"/>
  <c r="S5" i="1"/>
  <c r="N11" i="1" s="1"/>
  <c r="E51" i="1" l="1"/>
  <c r="E11" i="1"/>
  <c r="O11" i="1"/>
</calcChain>
</file>

<file path=xl/sharedStrings.xml><?xml version="1.0" encoding="utf-8"?>
<sst xmlns="http://schemas.openxmlformats.org/spreadsheetml/2006/main" count="75" uniqueCount="41">
  <si>
    <t>Act</t>
  </si>
  <si>
    <t>Area planted t years ago</t>
  </si>
  <si>
    <t>Area of crop cleared</t>
  </si>
  <si>
    <t>ACc</t>
  </si>
  <si>
    <t>ha</t>
  </si>
  <si>
    <t>input</t>
  </si>
  <si>
    <t>BARc</t>
  </si>
  <si>
    <t>Biomass accumulation rate</t>
  </si>
  <si>
    <t>constant</t>
  </si>
  <si>
    <t>mc</t>
  </si>
  <si>
    <t>years to maturity for crop</t>
  </si>
  <si>
    <t>BAMc</t>
  </si>
  <si>
    <t>t / ha</t>
  </si>
  <si>
    <t>years</t>
  </si>
  <si>
    <t>t C / ha / year</t>
  </si>
  <si>
    <t>t</t>
  </si>
  <si>
    <t>Age of crop at time of clearing</t>
  </si>
  <si>
    <t>Biomass stock at maturity</t>
  </si>
  <si>
    <t>CgCO2</t>
  </si>
  <si>
    <t>RLUc</t>
  </si>
  <si>
    <t>Crop type</t>
  </si>
  <si>
    <t>Oranges</t>
  </si>
  <si>
    <t>Macadamias</t>
  </si>
  <si>
    <t>Almonds</t>
  </si>
  <si>
    <t>Apples</t>
  </si>
  <si>
    <t>Peaches</t>
  </si>
  <si>
    <t>Grapes</t>
  </si>
  <si>
    <t>N/A</t>
  </si>
  <si>
    <t>Kiwifruits</t>
  </si>
  <si>
    <t>Olives</t>
  </si>
  <si>
    <t>Avocados</t>
  </si>
  <si>
    <t>Mangoes</t>
  </si>
  <si>
    <t>stem density</t>
  </si>
  <si>
    <t>trees / ha</t>
  </si>
  <si>
    <t>tC / ha / yr</t>
  </si>
  <si>
    <t>tclearing</t>
  </si>
  <si>
    <t>Years since planting</t>
  </si>
  <si>
    <t>Hectares to include in removal</t>
  </si>
  <si>
    <t>Default stem density</t>
  </si>
  <si>
    <t>Custom BARc</t>
  </si>
  <si>
    <t>Actual stem 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</si>
</sst>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4C56-4465-6144-908F-761ED9C1F4A0}">
  <dimension ref="A4:V58"/>
  <sheetViews>
    <sheetView tabSelected="1" workbookViewId="0">
      <selection activeCell="O56" sqref="O56"/>
    </sheetView>
  </sheetViews>
  <sheetFormatPr baseColWidth="10" defaultRowHeight="16" x14ac:dyDescent="0.2"/>
  <cols>
    <col min="2" max="3" width="14.6640625" customWidth="1"/>
    <col min="4" max="5" width="18.1640625" customWidth="1"/>
    <col min="6" max="6" width="16.33203125" customWidth="1"/>
    <col min="7" max="10" width="17" customWidth="1"/>
    <col min="11" max="11" width="16.5" customWidth="1"/>
    <col min="12" max="12" width="17" customWidth="1"/>
    <col min="13" max="13" width="15.6640625" customWidth="1"/>
  </cols>
  <sheetData>
    <row r="4" spans="1:22" x14ac:dyDescent="0.2">
      <c r="B4" t="s">
        <v>5</v>
      </c>
      <c r="F4" t="s">
        <v>5</v>
      </c>
      <c r="G4" t="s">
        <v>8</v>
      </c>
      <c r="K4" t="s">
        <v>8</v>
      </c>
      <c r="L4" t="s">
        <v>8</v>
      </c>
    </row>
    <row r="5" spans="1:22" x14ac:dyDescent="0.2">
      <c r="G5" t="s">
        <v>5</v>
      </c>
      <c r="L5" t="s">
        <v>5</v>
      </c>
      <c r="R5" t="s">
        <v>18</v>
      </c>
      <c r="S5">
        <f>44/12</f>
        <v>3.6666666666666665</v>
      </c>
    </row>
    <row r="7" spans="1:22" x14ac:dyDescent="0.2">
      <c r="B7" t="s">
        <v>4</v>
      </c>
      <c r="F7" t="s">
        <v>4</v>
      </c>
      <c r="G7" t="s">
        <v>14</v>
      </c>
      <c r="K7" t="s">
        <v>13</v>
      </c>
      <c r="L7" t="s">
        <v>12</v>
      </c>
    </row>
    <row r="9" spans="1:22" s="5" customFormat="1" ht="34" x14ac:dyDescent="0.2">
      <c r="B9" s="3" t="s">
        <v>1</v>
      </c>
      <c r="C9" s="3" t="s">
        <v>36</v>
      </c>
      <c r="D9" s="4" t="s">
        <v>37</v>
      </c>
      <c r="E9" s="4"/>
      <c r="F9" s="3" t="s">
        <v>2</v>
      </c>
      <c r="G9" s="4" t="s">
        <v>7</v>
      </c>
      <c r="H9" s="4" t="s">
        <v>38</v>
      </c>
      <c r="I9" s="4"/>
      <c r="J9" s="4" t="s">
        <v>39</v>
      </c>
      <c r="K9" s="4" t="s">
        <v>10</v>
      </c>
      <c r="L9" s="3" t="s">
        <v>17</v>
      </c>
      <c r="M9" s="3" t="s">
        <v>16</v>
      </c>
    </row>
    <row r="10" spans="1:22" ht="17" x14ac:dyDescent="0.2">
      <c r="A10" s="5" t="s">
        <v>20</v>
      </c>
      <c r="B10" s="2" t="s">
        <v>0</v>
      </c>
      <c r="C10" s="2" t="s">
        <v>15</v>
      </c>
      <c r="F10" s="2" t="s">
        <v>3</v>
      </c>
      <c r="G10" t="s">
        <v>6</v>
      </c>
      <c r="K10" t="s">
        <v>9</v>
      </c>
      <c r="L10" s="2" t="s">
        <v>11</v>
      </c>
      <c r="M10" s="2" t="s">
        <v>35</v>
      </c>
      <c r="N10" t="s">
        <v>18</v>
      </c>
      <c r="O10" s="1" t="s">
        <v>19</v>
      </c>
      <c r="S10" t="s">
        <v>11</v>
      </c>
      <c r="T10" t="s">
        <v>9</v>
      </c>
      <c r="U10" t="s">
        <v>6</v>
      </c>
      <c r="V10" t="s">
        <v>32</v>
      </c>
    </row>
    <row r="11" spans="1:22" x14ac:dyDescent="0.2">
      <c r="A11" t="s">
        <v>21</v>
      </c>
      <c r="B11">
        <v>3</v>
      </c>
      <c r="C11">
        <v>1</v>
      </c>
      <c r="D11">
        <f>IF(C11&lt;=K11, B11,0)</f>
        <v>3</v>
      </c>
      <c r="E11">
        <f>SUM(D11:D13)</f>
        <v>6</v>
      </c>
      <c r="F11">
        <v>1</v>
      </c>
      <c r="G11">
        <f>VLOOKUP(A11, $R$12:$V$21, 4, FALSE)</f>
        <v>0.5</v>
      </c>
      <c r="K11">
        <f>VLOOKUP(A11, $R$12:$V$21, 3, FALSE)</f>
        <v>10</v>
      </c>
      <c r="L11">
        <f>VLOOKUP(A11, $R$12:$V$21, 2, FALSE)</f>
        <v>5</v>
      </c>
      <c r="M11">
        <v>5</v>
      </c>
      <c r="N11">
        <f>$S$5</f>
        <v>3.6666666666666665</v>
      </c>
      <c r="O11">
        <f>N11*G11*E11</f>
        <v>11</v>
      </c>
      <c r="S11" t="s">
        <v>34</v>
      </c>
      <c r="T11" t="s">
        <v>13</v>
      </c>
      <c r="U11" t="s">
        <v>34</v>
      </c>
      <c r="V11" t="s">
        <v>33</v>
      </c>
    </row>
    <row r="12" spans="1:22" x14ac:dyDescent="0.2">
      <c r="A12" t="s">
        <v>21</v>
      </c>
      <c r="B12">
        <v>3</v>
      </c>
      <c r="C12">
        <v>10</v>
      </c>
      <c r="D12">
        <f t="shared" ref="D12:D13" si="0">IF(C12&lt;=K12, B12,0)</f>
        <v>3</v>
      </c>
      <c r="K12">
        <f t="shared" ref="K12:K13" si="1">VLOOKUP(A12, $R$12:$V$21, 3, FALSE)</f>
        <v>10</v>
      </c>
      <c r="R12" t="s">
        <v>21</v>
      </c>
      <c r="S12">
        <v>5</v>
      </c>
      <c r="T12">
        <v>10</v>
      </c>
      <c r="U12">
        <v>0.5</v>
      </c>
      <c r="V12">
        <v>417</v>
      </c>
    </row>
    <row r="13" spans="1:22" x14ac:dyDescent="0.2">
      <c r="A13" t="s">
        <v>21</v>
      </c>
      <c r="B13">
        <v>4</v>
      </c>
      <c r="C13">
        <v>12</v>
      </c>
      <c r="D13">
        <f t="shared" si="0"/>
        <v>0</v>
      </c>
      <c r="K13">
        <f t="shared" si="1"/>
        <v>10</v>
      </c>
      <c r="R13" t="s">
        <v>22</v>
      </c>
      <c r="S13">
        <v>45</v>
      </c>
      <c r="T13">
        <v>15</v>
      </c>
      <c r="U13">
        <v>0.82</v>
      </c>
      <c r="V13">
        <v>312</v>
      </c>
    </row>
    <row r="14" spans="1:22" x14ac:dyDescent="0.2">
      <c r="R14" t="s">
        <v>23</v>
      </c>
      <c r="S14">
        <v>9.6</v>
      </c>
      <c r="T14">
        <v>8</v>
      </c>
      <c r="U14">
        <v>1.2</v>
      </c>
      <c r="V14">
        <v>222</v>
      </c>
    </row>
    <row r="15" spans="1:22" x14ac:dyDescent="0.2">
      <c r="R15" t="s">
        <v>24</v>
      </c>
      <c r="S15">
        <v>4.9000000000000004</v>
      </c>
      <c r="T15">
        <v>7</v>
      </c>
      <c r="U15">
        <v>0.7</v>
      </c>
      <c r="V15">
        <v>1500</v>
      </c>
    </row>
    <row r="16" spans="1:22" x14ac:dyDescent="0.2">
      <c r="R16" t="s">
        <v>25</v>
      </c>
      <c r="S16">
        <v>5.2</v>
      </c>
      <c r="T16">
        <v>4</v>
      </c>
      <c r="U16">
        <v>1.3</v>
      </c>
      <c r="V16">
        <v>740</v>
      </c>
    </row>
    <row r="17" spans="18:22" x14ac:dyDescent="0.2">
      <c r="R17" t="s">
        <v>26</v>
      </c>
      <c r="S17">
        <v>1.2</v>
      </c>
      <c r="T17">
        <v>4</v>
      </c>
      <c r="U17">
        <v>0.3</v>
      </c>
      <c r="V17" t="s">
        <v>27</v>
      </c>
    </row>
    <row r="18" spans="18:22" x14ac:dyDescent="0.2">
      <c r="R18" t="s">
        <v>28</v>
      </c>
      <c r="S18">
        <v>1.5</v>
      </c>
      <c r="T18">
        <v>5</v>
      </c>
      <c r="U18">
        <v>0.3</v>
      </c>
      <c r="V18" t="s">
        <v>27</v>
      </c>
    </row>
    <row r="19" spans="18:22" x14ac:dyDescent="0.2">
      <c r="R19" t="s">
        <v>29</v>
      </c>
      <c r="S19">
        <v>6.7</v>
      </c>
      <c r="T19">
        <v>10</v>
      </c>
      <c r="U19">
        <v>0.67</v>
      </c>
      <c r="V19">
        <v>250</v>
      </c>
    </row>
    <row r="20" spans="18:22" x14ac:dyDescent="0.2">
      <c r="R20" t="s">
        <v>30</v>
      </c>
      <c r="S20">
        <v>6</v>
      </c>
      <c r="T20">
        <v>10</v>
      </c>
      <c r="U20">
        <v>0.6</v>
      </c>
      <c r="V20">
        <v>210</v>
      </c>
    </row>
    <row r="21" spans="18:22" x14ac:dyDescent="0.2">
      <c r="R21" t="s">
        <v>31</v>
      </c>
      <c r="S21">
        <v>13</v>
      </c>
      <c r="T21">
        <v>10</v>
      </c>
      <c r="U21">
        <v>1.3</v>
      </c>
      <c r="V21">
        <v>185</v>
      </c>
    </row>
    <row r="50" spans="1:15" ht="34" x14ac:dyDescent="0.2">
      <c r="A50" s="5" t="s">
        <v>20</v>
      </c>
      <c r="B50" s="2" t="s">
        <v>0</v>
      </c>
      <c r="C50" s="2" t="s">
        <v>15</v>
      </c>
      <c r="F50" s="2" t="s">
        <v>3</v>
      </c>
      <c r="G50" t="s">
        <v>6</v>
      </c>
      <c r="H50" s="4" t="s">
        <v>38</v>
      </c>
      <c r="I50" s="3" t="s">
        <v>40</v>
      </c>
      <c r="J50" s="4" t="s">
        <v>39</v>
      </c>
      <c r="K50" t="s">
        <v>9</v>
      </c>
      <c r="L50" s="2" t="s">
        <v>11</v>
      </c>
      <c r="M50" s="2" t="s">
        <v>35</v>
      </c>
      <c r="N50" t="s">
        <v>18</v>
      </c>
      <c r="O50" s="1" t="s">
        <v>19</v>
      </c>
    </row>
    <row r="51" spans="1:15" x14ac:dyDescent="0.2">
      <c r="A51" t="s">
        <v>21</v>
      </c>
      <c r="B51">
        <v>3</v>
      </c>
      <c r="C51">
        <v>1</v>
      </c>
      <c r="D51">
        <f>IF(C51&lt;=K51, B51,0)</f>
        <v>3</v>
      </c>
      <c r="E51">
        <f>SUM(D51:D53)</f>
        <v>6</v>
      </c>
      <c r="F51">
        <v>1</v>
      </c>
      <c r="G51">
        <f>VLOOKUP(A51, $R$12:$V$21, 4, FALSE)</f>
        <v>0.5</v>
      </c>
      <c r="H51">
        <f>VLOOKUP(A51, $R$12:$V$21, 5, FALSE)</f>
        <v>417</v>
      </c>
      <c r="I51">
        <v>422</v>
      </c>
      <c r="J51">
        <f>G51*(I51/H51)</f>
        <v>0.50599520383693042</v>
      </c>
      <c r="K51">
        <f>VLOOKUP(A51, $R$12:$V$21, 3, FALSE)</f>
        <v>10</v>
      </c>
      <c r="L51">
        <f>VLOOKUP(A51, $R$12:$V$21, 2, FALSE)</f>
        <v>5</v>
      </c>
      <c r="M51">
        <v>5</v>
      </c>
      <c r="N51">
        <f>$S$5</f>
        <v>3.6666666666666665</v>
      </c>
      <c r="O51">
        <f>N51*J51*E51</f>
        <v>11.131894484412468</v>
      </c>
    </row>
    <row r="52" spans="1:15" x14ac:dyDescent="0.2">
      <c r="A52" t="s">
        <v>21</v>
      </c>
      <c r="B52">
        <v>3</v>
      </c>
      <c r="C52">
        <v>10</v>
      </c>
      <c r="D52">
        <f t="shared" ref="D52:D53" si="2">IF(C52&lt;=K52, B52,0)</f>
        <v>3</v>
      </c>
      <c r="K52">
        <f t="shared" ref="K52:K53" si="3">VLOOKUP(A52, $R$12:$V$21, 3, FALSE)</f>
        <v>10</v>
      </c>
    </row>
    <row r="53" spans="1:15" x14ac:dyDescent="0.2">
      <c r="A53" t="s">
        <v>21</v>
      </c>
      <c r="B53">
        <v>4</v>
      </c>
      <c r="C53">
        <v>12</v>
      </c>
      <c r="D53">
        <f t="shared" si="2"/>
        <v>0</v>
      </c>
      <c r="K53">
        <f t="shared" si="3"/>
        <v>10</v>
      </c>
    </row>
    <row r="56" spans="1:15" x14ac:dyDescent="0.2">
      <c r="A56" t="s">
        <v>21</v>
      </c>
      <c r="B56">
        <v>3</v>
      </c>
      <c r="C56">
        <v>1</v>
      </c>
      <c r="D56">
        <f>IF(C56&lt;=K56, B56,0)</f>
        <v>3</v>
      </c>
      <c r="E56">
        <f>SUM(D56:D58)</f>
        <v>6</v>
      </c>
      <c r="F56">
        <v>1</v>
      </c>
      <c r="G56">
        <f>L56/K56</f>
        <v>0.55000000000000004</v>
      </c>
      <c r="H56">
        <f>VLOOKUP(A56, $R$12:$V$21, 5, FALSE)</f>
        <v>417</v>
      </c>
      <c r="K56">
        <f>VLOOKUP(A56, $R$12:$V$21, 3, FALSE)</f>
        <v>10</v>
      </c>
      <c r="L56" s="2">
        <v>5.5</v>
      </c>
      <c r="M56">
        <v>5</v>
      </c>
      <c r="N56">
        <f>$S$5</f>
        <v>3.6666666666666665</v>
      </c>
      <c r="O56">
        <f>N56*G56*E56</f>
        <v>12.1</v>
      </c>
    </row>
    <row r="57" spans="1:15" x14ac:dyDescent="0.2">
      <c r="A57" t="s">
        <v>21</v>
      </c>
      <c r="B57">
        <v>3</v>
      </c>
      <c r="C57">
        <v>10</v>
      </c>
      <c r="D57">
        <f t="shared" ref="D57:D58" si="4">IF(C57&lt;=K57, B57,0)</f>
        <v>3</v>
      </c>
      <c r="K57">
        <f t="shared" ref="K57:K58" si="5">VLOOKUP(A57, $R$12:$V$21, 3, FALSE)</f>
        <v>10</v>
      </c>
    </row>
    <row r="58" spans="1:15" x14ac:dyDescent="0.2">
      <c r="A58" t="s">
        <v>21</v>
      </c>
      <c r="B58">
        <v>4</v>
      </c>
      <c r="C58">
        <v>12</v>
      </c>
      <c r="D58">
        <f t="shared" si="4"/>
        <v>0</v>
      </c>
      <c r="K58">
        <f t="shared" si="5"/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16.5.1.1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2026-04-17T05:21:56Z</dcterms:created>
  <dcterms:modified xsi:type="dcterms:W3CDTF">2026-04-17T06:37:33Z</dcterms:modified>
</cp:coreProperties>
</file>