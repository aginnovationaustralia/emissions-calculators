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EE4CEB35-E547-B647-BB18-0F7B6D0BF159}" xr6:coauthVersionLast="47" xr6:coauthVersionMax="47" xr10:uidLastSave="{00000000-0000-0000-0000-000000000000}"/>
  <bookViews>
    <workbookView xWindow="51200" yWindow="13240" windowWidth="28800" windowHeight="27420" xr2:uid="{CC0FEAF9-C40F-694B-BCB9-117AFB86C05D}"/>
  </bookViews>
  <sheets>
    <sheet name="16.2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1" l="1"/>
  <c r="J2" i="1"/>
  <c r="L11" i="1" l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11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1" i="1"/>
  <c r="K11" i="1"/>
  <c r="J11" i="1"/>
  <c r="C95" i="1"/>
  <c r="E95" i="1" s="1"/>
  <c r="C96" i="1"/>
  <c r="E96" i="1" s="1"/>
  <c r="C97" i="1"/>
  <c r="E97" i="1" s="1"/>
  <c r="C98" i="1"/>
  <c r="E98" i="1" s="1"/>
  <c r="C99" i="1"/>
  <c r="E99" i="1" s="1"/>
  <c r="C100" i="1"/>
  <c r="E100" i="1" s="1"/>
  <c r="C101" i="1"/>
  <c r="E101" i="1" s="1"/>
  <c r="G101" i="1" s="1"/>
  <c r="I101" i="1" s="1"/>
  <c r="C102" i="1"/>
  <c r="E102" i="1" s="1"/>
  <c r="C103" i="1"/>
  <c r="E103" i="1" s="1"/>
  <c r="C104" i="1"/>
  <c r="E104" i="1" s="1"/>
  <c r="C105" i="1"/>
  <c r="E105" i="1" s="1"/>
  <c r="C106" i="1"/>
  <c r="E106" i="1" s="1"/>
  <c r="C107" i="1"/>
  <c r="E107" i="1" s="1"/>
  <c r="C108" i="1"/>
  <c r="E108" i="1" s="1"/>
  <c r="C109" i="1"/>
  <c r="E109" i="1" s="1"/>
  <c r="C110" i="1"/>
  <c r="E110" i="1" s="1"/>
  <c r="C111" i="1"/>
  <c r="E111" i="1" s="1"/>
  <c r="C112" i="1"/>
  <c r="E112" i="1" s="1"/>
  <c r="C113" i="1"/>
  <c r="E113" i="1" s="1"/>
  <c r="C114" i="1"/>
  <c r="E114" i="1" s="1"/>
  <c r="C115" i="1"/>
  <c r="E115" i="1" s="1"/>
  <c r="C116" i="1"/>
  <c r="E116" i="1" s="1"/>
  <c r="C117" i="1"/>
  <c r="E117" i="1" s="1"/>
  <c r="C118" i="1"/>
  <c r="E118" i="1" s="1"/>
  <c r="C119" i="1"/>
  <c r="E119" i="1" s="1"/>
  <c r="C120" i="1"/>
  <c r="E120" i="1" s="1"/>
  <c r="C121" i="1"/>
  <c r="E121" i="1" s="1"/>
  <c r="C122" i="1"/>
  <c r="E122" i="1" s="1"/>
  <c r="C123" i="1"/>
  <c r="E123" i="1" s="1"/>
  <c r="C124" i="1"/>
  <c r="E124" i="1" s="1"/>
  <c r="C125" i="1"/>
  <c r="E125" i="1" s="1"/>
  <c r="C126" i="1"/>
  <c r="E126" i="1" s="1"/>
  <c r="C127" i="1"/>
  <c r="E127" i="1" s="1"/>
  <c r="C128" i="1"/>
  <c r="E128" i="1" s="1"/>
  <c r="C129" i="1"/>
  <c r="E129" i="1" s="1"/>
  <c r="C130" i="1"/>
  <c r="E130" i="1" s="1"/>
  <c r="C131" i="1"/>
  <c r="E131" i="1" s="1"/>
  <c r="C132" i="1"/>
  <c r="E132" i="1" s="1"/>
  <c r="C133" i="1"/>
  <c r="E133" i="1" s="1"/>
  <c r="C134" i="1"/>
  <c r="E134" i="1" s="1"/>
  <c r="C135" i="1"/>
  <c r="E135" i="1" s="1"/>
  <c r="C136" i="1"/>
  <c r="E136" i="1" s="1"/>
  <c r="C137" i="1"/>
  <c r="E137" i="1" s="1"/>
  <c r="C138" i="1"/>
  <c r="E138" i="1" s="1"/>
  <c r="C139" i="1"/>
  <c r="E139" i="1" s="1"/>
  <c r="C140" i="1"/>
  <c r="E140" i="1" s="1"/>
  <c r="C141" i="1"/>
  <c r="E141" i="1" s="1"/>
  <c r="C142" i="1"/>
  <c r="E142" i="1" s="1"/>
  <c r="C143" i="1"/>
  <c r="E143" i="1" s="1"/>
  <c r="C144" i="1"/>
  <c r="E144" i="1" s="1"/>
  <c r="C145" i="1"/>
  <c r="E145" i="1" s="1"/>
  <c r="C146" i="1"/>
  <c r="E146" i="1" s="1"/>
  <c r="C147" i="1"/>
  <c r="E147" i="1" s="1"/>
  <c r="C148" i="1"/>
  <c r="E148" i="1" s="1"/>
  <c r="C149" i="1"/>
  <c r="E149" i="1" s="1"/>
  <c r="C150" i="1"/>
  <c r="E150" i="1" s="1"/>
  <c r="C151" i="1"/>
  <c r="E151" i="1" s="1"/>
  <c r="C152" i="1"/>
  <c r="E152" i="1" s="1"/>
  <c r="C153" i="1"/>
  <c r="E153" i="1" s="1"/>
  <c r="C154" i="1"/>
  <c r="E154" i="1" s="1"/>
  <c r="C155" i="1"/>
  <c r="E155" i="1" s="1"/>
  <c r="C156" i="1"/>
  <c r="E156" i="1" s="1"/>
  <c r="C157" i="1"/>
  <c r="E157" i="1" s="1"/>
  <c r="C158" i="1"/>
  <c r="E158" i="1" s="1"/>
  <c r="C159" i="1"/>
  <c r="E159" i="1" s="1"/>
  <c r="C160" i="1"/>
  <c r="E160" i="1" s="1"/>
  <c r="C161" i="1"/>
  <c r="E161" i="1" s="1"/>
  <c r="G161" i="1" s="1"/>
  <c r="I161" i="1" s="1"/>
  <c r="C162" i="1"/>
  <c r="E162" i="1" s="1"/>
  <c r="C163" i="1"/>
  <c r="E163" i="1" s="1"/>
  <c r="C164" i="1"/>
  <c r="E164" i="1" s="1"/>
  <c r="C165" i="1"/>
  <c r="E165" i="1" s="1"/>
  <c r="C166" i="1"/>
  <c r="E166" i="1" s="1"/>
  <c r="C167" i="1"/>
  <c r="E167" i="1" s="1"/>
  <c r="C168" i="1"/>
  <c r="E168" i="1" s="1"/>
  <c r="C169" i="1"/>
  <c r="E169" i="1" s="1"/>
  <c r="C170" i="1"/>
  <c r="E170" i="1" s="1"/>
  <c r="C171" i="1"/>
  <c r="E171" i="1" s="1"/>
  <c r="C172" i="1"/>
  <c r="E172" i="1" s="1"/>
  <c r="C173" i="1"/>
  <c r="E173" i="1" s="1"/>
  <c r="C174" i="1"/>
  <c r="E174" i="1" s="1"/>
  <c r="C175" i="1"/>
  <c r="E175" i="1" s="1"/>
  <c r="C176" i="1"/>
  <c r="E176" i="1" s="1"/>
  <c r="C177" i="1"/>
  <c r="E177" i="1" s="1"/>
  <c r="C178" i="1"/>
  <c r="E178" i="1" s="1"/>
  <c r="C12" i="1"/>
  <c r="E12" i="1" s="1"/>
  <c r="C13" i="1"/>
  <c r="E13" i="1" s="1"/>
  <c r="C14" i="1"/>
  <c r="E14" i="1" s="1"/>
  <c r="C15" i="1"/>
  <c r="E15" i="1" s="1"/>
  <c r="C16" i="1"/>
  <c r="E16" i="1" s="1"/>
  <c r="C17" i="1"/>
  <c r="E17" i="1" s="1"/>
  <c r="C18" i="1"/>
  <c r="E18" i="1" s="1"/>
  <c r="C19" i="1"/>
  <c r="E19" i="1" s="1"/>
  <c r="C20" i="1"/>
  <c r="E20" i="1" s="1"/>
  <c r="C21" i="1"/>
  <c r="E21" i="1" s="1"/>
  <c r="C22" i="1"/>
  <c r="E22" i="1" s="1"/>
  <c r="C23" i="1"/>
  <c r="E23" i="1" s="1"/>
  <c r="C24" i="1"/>
  <c r="E24" i="1" s="1"/>
  <c r="C25" i="1"/>
  <c r="E25" i="1" s="1"/>
  <c r="C26" i="1"/>
  <c r="E26" i="1" s="1"/>
  <c r="C27" i="1"/>
  <c r="E27" i="1" s="1"/>
  <c r="C28" i="1"/>
  <c r="E28" i="1" s="1"/>
  <c r="C29" i="1"/>
  <c r="E29" i="1" s="1"/>
  <c r="C30" i="1"/>
  <c r="E30" i="1" s="1"/>
  <c r="C31" i="1"/>
  <c r="E31" i="1" s="1"/>
  <c r="C32" i="1"/>
  <c r="E32" i="1" s="1"/>
  <c r="C33" i="1"/>
  <c r="E33" i="1" s="1"/>
  <c r="C34" i="1"/>
  <c r="E34" i="1" s="1"/>
  <c r="C35" i="1"/>
  <c r="E35" i="1" s="1"/>
  <c r="C36" i="1"/>
  <c r="E36" i="1" s="1"/>
  <c r="C37" i="1"/>
  <c r="E37" i="1" s="1"/>
  <c r="C38" i="1"/>
  <c r="E38" i="1" s="1"/>
  <c r="C39" i="1"/>
  <c r="E39" i="1" s="1"/>
  <c r="C40" i="1"/>
  <c r="E40" i="1" s="1"/>
  <c r="C41" i="1"/>
  <c r="E41" i="1" s="1"/>
  <c r="C42" i="1"/>
  <c r="E42" i="1" s="1"/>
  <c r="C43" i="1"/>
  <c r="E43" i="1" s="1"/>
  <c r="C44" i="1"/>
  <c r="E44" i="1" s="1"/>
  <c r="C45" i="1"/>
  <c r="E45" i="1" s="1"/>
  <c r="C46" i="1"/>
  <c r="E46" i="1" s="1"/>
  <c r="C47" i="1"/>
  <c r="E47" i="1" s="1"/>
  <c r="C48" i="1"/>
  <c r="E48" i="1" s="1"/>
  <c r="C49" i="1"/>
  <c r="E49" i="1" s="1"/>
  <c r="C50" i="1"/>
  <c r="E50" i="1" s="1"/>
  <c r="C51" i="1"/>
  <c r="E51" i="1" s="1"/>
  <c r="C52" i="1"/>
  <c r="E52" i="1" s="1"/>
  <c r="C53" i="1"/>
  <c r="E53" i="1" s="1"/>
  <c r="C54" i="1"/>
  <c r="E54" i="1" s="1"/>
  <c r="C55" i="1"/>
  <c r="E55" i="1" s="1"/>
  <c r="C56" i="1"/>
  <c r="E56" i="1" s="1"/>
  <c r="C57" i="1"/>
  <c r="E57" i="1" s="1"/>
  <c r="C58" i="1"/>
  <c r="E58" i="1" s="1"/>
  <c r="C59" i="1"/>
  <c r="E59" i="1" s="1"/>
  <c r="C60" i="1"/>
  <c r="E60" i="1" s="1"/>
  <c r="C61" i="1"/>
  <c r="E61" i="1" s="1"/>
  <c r="C62" i="1"/>
  <c r="E62" i="1" s="1"/>
  <c r="C63" i="1"/>
  <c r="E63" i="1" s="1"/>
  <c r="C64" i="1"/>
  <c r="E64" i="1" s="1"/>
  <c r="C65" i="1"/>
  <c r="E65" i="1" s="1"/>
  <c r="C66" i="1"/>
  <c r="E66" i="1" s="1"/>
  <c r="C67" i="1"/>
  <c r="E67" i="1" s="1"/>
  <c r="C68" i="1"/>
  <c r="E68" i="1" s="1"/>
  <c r="C69" i="1"/>
  <c r="E69" i="1" s="1"/>
  <c r="C70" i="1"/>
  <c r="E70" i="1" s="1"/>
  <c r="C71" i="1"/>
  <c r="E71" i="1" s="1"/>
  <c r="C72" i="1"/>
  <c r="E72" i="1" s="1"/>
  <c r="C73" i="1"/>
  <c r="E73" i="1" s="1"/>
  <c r="C74" i="1"/>
  <c r="E74" i="1" s="1"/>
  <c r="C75" i="1"/>
  <c r="E75" i="1" s="1"/>
  <c r="C76" i="1"/>
  <c r="E76" i="1" s="1"/>
  <c r="C77" i="1"/>
  <c r="E77" i="1" s="1"/>
  <c r="C78" i="1"/>
  <c r="E78" i="1" s="1"/>
  <c r="C79" i="1"/>
  <c r="E79" i="1" s="1"/>
  <c r="C80" i="1"/>
  <c r="E80" i="1" s="1"/>
  <c r="C81" i="1"/>
  <c r="E81" i="1" s="1"/>
  <c r="C82" i="1"/>
  <c r="E82" i="1" s="1"/>
  <c r="C83" i="1"/>
  <c r="E83" i="1" s="1"/>
  <c r="C84" i="1"/>
  <c r="E84" i="1" s="1"/>
  <c r="C85" i="1"/>
  <c r="E85" i="1" s="1"/>
  <c r="C86" i="1"/>
  <c r="E86" i="1" s="1"/>
  <c r="C87" i="1"/>
  <c r="E87" i="1" s="1"/>
  <c r="C88" i="1"/>
  <c r="E88" i="1" s="1"/>
  <c r="C89" i="1"/>
  <c r="E89" i="1" s="1"/>
  <c r="G89" i="1" s="1"/>
  <c r="H89" i="1" s="1"/>
  <c r="M89" i="1" s="1"/>
  <c r="C90" i="1"/>
  <c r="E90" i="1" s="1"/>
  <c r="C91" i="1"/>
  <c r="E91" i="1" s="1"/>
  <c r="C92" i="1"/>
  <c r="E92" i="1" s="1"/>
  <c r="C93" i="1"/>
  <c r="E93" i="1" s="1"/>
  <c r="C94" i="1"/>
  <c r="E94" i="1" s="1"/>
  <c r="C11" i="1"/>
  <c r="E11" i="1" s="1"/>
  <c r="L2" i="1" l="1"/>
  <c r="G87" i="1"/>
  <c r="H87" i="1" s="1"/>
  <c r="M87" i="1" s="1"/>
  <c r="G75" i="1"/>
  <c r="H75" i="1" s="1"/>
  <c r="M75" i="1" s="1"/>
  <c r="G63" i="1"/>
  <c r="H63" i="1" s="1"/>
  <c r="M63" i="1" s="1"/>
  <c r="G51" i="1"/>
  <c r="H51" i="1" s="1"/>
  <c r="M51" i="1" s="1"/>
  <c r="G39" i="1"/>
  <c r="H39" i="1" s="1"/>
  <c r="M39" i="1" s="1"/>
  <c r="G27" i="1"/>
  <c r="H27" i="1" s="1"/>
  <c r="M27" i="1" s="1"/>
  <c r="G15" i="1"/>
  <c r="H15" i="1" s="1"/>
  <c r="M15" i="1" s="1"/>
  <c r="M161" i="1"/>
  <c r="M101" i="1"/>
  <c r="M145" i="1"/>
  <c r="G93" i="1"/>
  <c r="H93" i="1" s="1"/>
  <c r="M93" i="1" s="1"/>
  <c r="G81" i="1"/>
  <c r="H81" i="1" s="1"/>
  <c r="M81" i="1" s="1"/>
  <c r="G69" i="1"/>
  <c r="H69" i="1" s="1"/>
  <c r="M69" i="1" s="1"/>
  <c r="G57" i="1"/>
  <c r="H57" i="1" s="1"/>
  <c r="M57" i="1" s="1"/>
  <c r="G45" i="1"/>
  <c r="H45" i="1" s="1"/>
  <c r="M45" i="1" s="1"/>
  <c r="G33" i="1"/>
  <c r="H33" i="1" s="1"/>
  <c r="M33" i="1" s="1"/>
  <c r="G21" i="1"/>
  <c r="H21" i="1" s="1"/>
  <c r="M21" i="1" s="1"/>
  <c r="G176" i="1"/>
  <c r="I176" i="1" s="1"/>
  <c r="M176" i="1" s="1"/>
  <c r="G164" i="1"/>
  <c r="I164" i="1" s="1"/>
  <c r="M164" i="1" s="1"/>
  <c r="G152" i="1"/>
  <c r="I152" i="1" s="1"/>
  <c r="M152" i="1" s="1"/>
  <c r="G92" i="1"/>
  <c r="H92" i="1" s="1"/>
  <c r="M92" i="1" s="1"/>
  <c r="G80" i="1"/>
  <c r="H80" i="1" s="1"/>
  <c r="M80" i="1" s="1"/>
  <c r="G68" i="1"/>
  <c r="H68" i="1" s="1"/>
  <c r="M68" i="1" s="1"/>
  <c r="G175" i="1"/>
  <c r="I175" i="1" s="1"/>
  <c r="M175" i="1" s="1"/>
  <c r="G163" i="1"/>
  <c r="I163" i="1" s="1"/>
  <c r="M163" i="1" s="1"/>
  <c r="G127" i="1"/>
  <c r="I127" i="1" s="1"/>
  <c r="M127" i="1" s="1"/>
  <c r="G115" i="1"/>
  <c r="I115" i="1" s="1"/>
  <c r="M115" i="1" s="1"/>
  <c r="G103" i="1"/>
  <c r="I103" i="1" s="1"/>
  <c r="M103" i="1" s="1"/>
  <c r="G171" i="1"/>
  <c r="I171" i="1" s="1"/>
  <c r="M171" i="1" s="1"/>
  <c r="G147" i="1"/>
  <c r="I147" i="1" s="1"/>
  <c r="M147" i="1" s="1"/>
  <c r="G135" i="1"/>
  <c r="I135" i="1" s="1"/>
  <c r="M135" i="1" s="1"/>
  <c r="G123" i="1"/>
  <c r="I123" i="1" s="1"/>
  <c r="M123" i="1" s="1"/>
  <c r="G99" i="1"/>
  <c r="I99" i="1" s="1"/>
  <c r="M99" i="1" s="1"/>
  <c r="G145" i="1"/>
  <c r="I145" i="1" s="1"/>
  <c r="G85" i="1"/>
  <c r="H85" i="1" s="1"/>
  <c r="M85" i="1" s="1"/>
  <c r="G73" i="1"/>
  <c r="H73" i="1" s="1"/>
  <c r="M73" i="1" s="1"/>
  <c r="G61" i="1"/>
  <c r="H61" i="1" s="1"/>
  <c r="M61" i="1" s="1"/>
  <c r="G49" i="1"/>
  <c r="H49" i="1" s="1"/>
  <c r="M49" i="1" s="1"/>
  <c r="G37" i="1"/>
  <c r="H37" i="1" s="1"/>
  <c r="M37" i="1" s="1"/>
  <c r="G11" i="1"/>
  <c r="H11" i="1" s="1"/>
  <c r="G117" i="1"/>
  <c r="I117" i="1" s="1"/>
  <c r="M117" i="1" s="1"/>
  <c r="G94" i="1"/>
  <c r="H94" i="1" s="1"/>
  <c r="M94" i="1" s="1"/>
  <c r="G46" i="1"/>
  <c r="H46" i="1" s="1"/>
  <c r="M46" i="1" s="1"/>
  <c r="G178" i="1"/>
  <c r="I178" i="1" s="1"/>
  <c r="M178" i="1" s="1"/>
  <c r="G177" i="1"/>
  <c r="I177" i="1" s="1"/>
  <c r="M177" i="1" s="1"/>
  <c r="G165" i="1"/>
  <c r="I165" i="1" s="1"/>
  <c r="M165" i="1" s="1"/>
  <c r="G153" i="1"/>
  <c r="I153" i="1" s="1"/>
  <c r="M153" i="1" s="1"/>
  <c r="G142" i="1"/>
  <c r="I142" i="1" s="1"/>
  <c r="M142" i="1" s="1"/>
  <c r="G141" i="1"/>
  <c r="I141" i="1" s="1"/>
  <c r="M141" i="1" s="1"/>
  <c r="G129" i="1"/>
  <c r="I129" i="1" s="1"/>
  <c r="M129" i="1" s="1"/>
  <c r="G90" i="1"/>
  <c r="H90" i="1" s="1"/>
  <c r="M90" i="1" s="1"/>
  <c r="G78" i="1"/>
  <c r="H78" i="1" s="1"/>
  <c r="M78" i="1" s="1"/>
  <c r="G66" i="1"/>
  <c r="H66" i="1" s="1"/>
  <c r="M66" i="1" s="1"/>
  <c r="G54" i="1"/>
  <c r="H54" i="1" s="1"/>
  <c r="M54" i="1" s="1"/>
  <c r="G42" i="1"/>
  <c r="H42" i="1" s="1"/>
  <c r="M42" i="1" s="1"/>
  <c r="G30" i="1"/>
  <c r="H30" i="1" s="1"/>
  <c r="M30" i="1" s="1"/>
  <c r="G18" i="1"/>
  <c r="H18" i="1" s="1"/>
  <c r="M18" i="1" s="1"/>
  <c r="G100" i="1"/>
  <c r="I100" i="1" s="1"/>
  <c r="M100" i="1" s="1"/>
  <c r="G144" i="1"/>
  <c r="I144" i="1" s="1"/>
  <c r="M144" i="1" s="1"/>
  <c r="G56" i="1"/>
  <c r="H56" i="1" s="1"/>
  <c r="M56" i="1" s="1"/>
  <c r="G44" i="1"/>
  <c r="H44" i="1" s="1"/>
  <c r="M44" i="1" s="1"/>
  <c r="G32" i="1"/>
  <c r="H32" i="1" s="1"/>
  <c r="M32" i="1" s="1"/>
  <c r="G20" i="1"/>
  <c r="H20" i="1" s="1"/>
  <c r="M20" i="1" s="1"/>
  <c r="G128" i="1"/>
  <c r="I128" i="1" s="1"/>
  <c r="M128" i="1" s="1"/>
  <c r="G160" i="1"/>
  <c r="I160" i="1" s="1"/>
  <c r="M160" i="1" s="1"/>
  <c r="G88" i="1"/>
  <c r="H88" i="1" s="1"/>
  <c r="M88" i="1" s="1"/>
  <c r="G76" i="1"/>
  <c r="H76" i="1" s="1"/>
  <c r="M76" i="1" s="1"/>
  <c r="G64" i="1"/>
  <c r="H64" i="1" s="1"/>
  <c r="M64" i="1" s="1"/>
  <c r="G52" i="1"/>
  <c r="H52" i="1" s="1"/>
  <c r="M52" i="1" s="1"/>
  <c r="G40" i="1"/>
  <c r="H40" i="1" s="1"/>
  <c r="M40" i="1" s="1"/>
  <c r="G28" i="1"/>
  <c r="H28" i="1" s="1"/>
  <c r="M28" i="1" s="1"/>
  <c r="G16" i="1"/>
  <c r="H16" i="1" s="1"/>
  <c r="M16" i="1" s="1"/>
  <c r="G105" i="1"/>
  <c r="I105" i="1" s="1"/>
  <c r="M105" i="1" s="1"/>
  <c r="G137" i="1"/>
  <c r="I137" i="1" s="1"/>
  <c r="M137" i="1" s="1"/>
  <c r="G172" i="1"/>
  <c r="I172" i="1" s="1"/>
  <c r="M172" i="1" s="1"/>
  <c r="G136" i="1"/>
  <c r="I136" i="1" s="1"/>
  <c r="M136" i="1" s="1"/>
  <c r="G125" i="1"/>
  <c r="I125" i="1" s="1"/>
  <c r="M125" i="1" s="1"/>
  <c r="G82" i="1"/>
  <c r="H82" i="1" s="1"/>
  <c r="M82" i="1" s="1"/>
  <c r="G70" i="1"/>
  <c r="H70" i="1" s="1"/>
  <c r="M70" i="1" s="1"/>
  <c r="G58" i="1"/>
  <c r="H58" i="1" s="1"/>
  <c r="M58" i="1" s="1"/>
  <c r="G34" i="1"/>
  <c r="H34" i="1" s="1"/>
  <c r="M34" i="1" s="1"/>
  <c r="G22" i="1"/>
  <c r="H22" i="1" s="1"/>
  <c r="M22" i="1" s="1"/>
  <c r="G156" i="1"/>
  <c r="I156" i="1" s="1"/>
  <c r="M156" i="1" s="1"/>
  <c r="G106" i="1"/>
  <c r="I106" i="1" s="1"/>
  <c r="M106" i="1" s="1"/>
  <c r="G96" i="1"/>
  <c r="I96" i="1" s="1"/>
  <c r="M96" i="1" s="1"/>
  <c r="G154" i="1"/>
  <c r="I154" i="1" s="1"/>
  <c r="M154" i="1" s="1"/>
  <c r="G124" i="1"/>
  <c r="I124" i="1" s="1"/>
  <c r="M124" i="1" s="1"/>
  <c r="G132" i="1"/>
  <c r="I132" i="1" s="1"/>
  <c r="M132" i="1" s="1"/>
  <c r="G166" i="1"/>
  <c r="I166" i="1" s="1"/>
  <c r="M166" i="1" s="1"/>
  <c r="G151" i="1"/>
  <c r="I151" i="1" s="1"/>
  <c r="M151" i="1" s="1"/>
  <c r="G111" i="1"/>
  <c r="I111" i="1" s="1"/>
  <c r="M111" i="1" s="1"/>
  <c r="G14" i="1"/>
  <c r="H14" i="1" s="1"/>
  <c r="M14" i="1" s="1"/>
  <c r="G130" i="1"/>
  <c r="I130" i="1" s="1"/>
  <c r="M130" i="1" s="1"/>
  <c r="G120" i="1"/>
  <c r="I120" i="1" s="1"/>
  <c r="M120" i="1" s="1"/>
  <c r="G110" i="1"/>
  <c r="I110" i="1" s="1"/>
  <c r="M110" i="1" s="1"/>
  <c r="G113" i="1"/>
  <c r="I113" i="1" s="1"/>
  <c r="M113" i="1" s="1"/>
  <c r="G25" i="1"/>
  <c r="H25" i="1" s="1"/>
  <c r="M25" i="1" s="1"/>
  <c r="G13" i="1"/>
  <c r="H13" i="1" s="1"/>
  <c r="M13" i="1" s="1"/>
  <c r="G169" i="1"/>
  <c r="I169" i="1" s="1"/>
  <c r="M169" i="1" s="1"/>
  <c r="G159" i="1"/>
  <c r="I159" i="1" s="1"/>
  <c r="M159" i="1" s="1"/>
  <c r="G140" i="1"/>
  <c r="I140" i="1" s="1"/>
  <c r="M140" i="1" s="1"/>
  <c r="G109" i="1"/>
  <c r="I109" i="1" s="1"/>
  <c r="M109" i="1" s="1"/>
  <c r="G84" i="1"/>
  <c r="H84" i="1" s="1"/>
  <c r="M84" i="1" s="1"/>
  <c r="G72" i="1"/>
  <c r="H72" i="1" s="1"/>
  <c r="M72" i="1" s="1"/>
  <c r="G60" i="1"/>
  <c r="H60" i="1" s="1"/>
  <c r="M60" i="1" s="1"/>
  <c r="G48" i="1"/>
  <c r="H48" i="1" s="1"/>
  <c r="M48" i="1" s="1"/>
  <c r="G36" i="1"/>
  <c r="H36" i="1" s="1"/>
  <c r="M36" i="1" s="1"/>
  <c r="G24" i="1"/>
  <c r="H24" i="1" s="1"/>
  <c r="M24" i="1" s="1"/>
  <c r="G12" i="1"/>
  <c r="H12" i="1" s="1"/>
  <c r="M12" i="1" s="1"/>
  <c r="G168" i="1"/>
  <c r="I168" i="1" s="1"/>
  <c r="M168" i="1" s="1"/>
  <c r="G148" i="1"/>
  <c r="I148" i="1" s="1"/>
  <c r="M148" i="1" s="1"/>
  <c r="G139" i="1"/>
  <c r="I139" i="1" s="1"/>
  <c r="M139" i="1" s="1"/>
  <c r="G108" i="1"/>
  <c r="I108" i="1" s="1"/>
  <c r="M108" i="1" s="1"/>
  <c r="G98" i="1"/>
  <c r="I98" i="1" s="1"/>
  <c r="M98" i="1" s="1"/>
  <c r="G170" i="1"/>
  <c r="I170" i="1" s="1"/>
  <c r="M170" i="1" s="1"/>
  <c r="G86" i="1"/>
  <c r="H86" i="1" s="1"/>
  <c r="M86" i="1" s="1"/>
  <c r="G53" i="1"/>
  <c r="H53" i="1" s="1"/>
  <c r="M53" i="1" s="1"/>
  <c r="G29" i="1"/>
  <c r="H29" i="1" s="1"/>
  <c r="M29" i="1" s="1"/>
  <c r="G134" i="1"/>
  <c r="I134" i="1" s="1"/>
  <c r="M134" i="1" s="1"/>
  <c r="G77" i="1"/>
  <c r="H77" i="1" s="1"/>
  <c r="M77" i="1" s="1"/>
  <c r="G65" i="1"/>
  <c r="H65" i="1" s="1"/>
  <c r="M65" i="1" s="1"/>
  <c r="G41" i="1"/>
  <c r="H41" i="1" s="1"/>
  <c r="M41" i="1" s="1"/>
  <c r="G17" i="1"/>
  <c r="H17" i="1" s="1"/>
  <c r="M17" i="1" s="1"/>
  <c r="G133" i="1"/>
  <c r="I133" i="1" s="1"/>
  <c r="M133" i="1" s="1"/>
  <c r="G116" i="1"/>
  <c r="I116" i="1" s="1"/>
  <c r="M116" i="1" s="1"/>
  <c r="G162" i="1"/>
  <c r="I162" i="1" s="1"/>
  <c r="M162" i="1" s="1"/>
  <c r="G150" i="1"/>
  <c r="I150" i="1" s="1"/>
  <c r="M150" i="1" s="1"/>
  <c r="G50" i="1"/>
  <c r="H50" i="1" s="1"/>
  <c r="M50" i="1" s="1"/>
  <c r="G158" i="1"/>
  <c r="I158" i="1" s="1"/>
  <c r="M158" i="1" s="1"/>
  <c r="G149" i="1"/>
  <c r="I149" i="1" s="1"/>
  <c r="M149" i="1" s="1"/>
  <c r="G97" i="1"/>
  <c r="I97" i="1" s="1"/>
  <c r="M97" i="1" s="1"/>
  <c r="G62" i="1"/>
  <c r="H62" i="1" s="1"/>
  <c r="M62" i="1" s="1"/>
  <c r="G126" i="1"/>
  <c r="I126" i="1" s="1"/>
  <c r="M126" i="1" s="1"/>
  <c r="G157" i="1"/>
  <c r="I157" i="1" s="1"/>
  <c r="M157" i="1" s="1"/>
  <c r="G114" i="1"/>
  <c r="I114" i="1" s="1"/>
  <c r="M114" i="1" s="1"/>
  <c r="G122" i="1"/>
  <c r="I122" i="1" s="1"/>
  <c r="M122" i="1" s="1"/>
  <c r="G104" i="1"/>
  <c r="I104" i="1" s="1"/>
  <c r="M104" i="1" s="1"/>
  <c r="G118" i="1"/>
  <c r="I118" i="1" s="1"/>
  <c r="M118" i="1" s="1"/>
  <c r="G38" i="1"/>
  <c r="H38" i="1" s="1"/>
  <c r="M38" i="1" s="1"/>
  <c r="G174" i="1"/>
  <c r="I174" i="1" s="1"/>
  <c r="M174" i="1" s="1"/>
  <c r="G146" i="1"/>
  <c r="I146" i="1" s="1"/>
  <c r="M146" i="1" s="1"/>
  <c r="G121" i="1"/>
  <c r="I121" i="1" s="1"/>
  <c r="M121" i="1" s="1"/>
  <c r="G167" i="1"/>
  <c r="I167" i="1" s="1"/>
  <c r="M167" i="1" s="1"/>
  <c r="G155" i="1"/>
  <c r="I155" i="1" s="1"/>
  <c r="M155" i="1" s="1"/>
  <c r="G143" i="1"/>
  <c r="I143" i="1" s="1"/>
  <c r="M143" i="1" s="1"/>
  <c r="G131" i="1"/>
  <c r="I131" i="1" s="1"/>
  <c r="M131" i="1" s="1"/>
  <c r="G119" i="1"/>
  <c r="I119" i="1" s="1"/>
  <c r="M119" i="1" s="1"/>
  <c r="G107" i="1"/>
  <c r="I107" i="1" s="1"/>
  <c r="M107" i="1" s="1"/>
  <c r="G95" i="1"/>
  <c r="I95" i="1" s="1"/>
  <c r="M95" i="1" s="1"/>
  <c r="G91" i="1"/>
  <c r="H91" i="1" s="1"/>
  <c r="M91" i="1" s="1"/>
  <c r="G83" i="1"/>
  <c r="H83" i="1" s="1"/>
  <c r="M83" i="1" s="1"/>
  <c r="G79" i="1"/>
  <c r="H79" i="1" s="1"/>
  <c r="M79" i="1" s="1"/>
  <c r="G71" i="1"/>
  <c r="H71" i="1" s="1"/>
  <c r="M71" i="1" s="1"/>
  <c r="G67" i="1"/>
  <c r="H67" i="1" s="1"/>
  <c r="M67" i="1" s="1"/>
  <c r="G59" i="1"/>
  <c r="H59" i="1" s="1"/>
  <c r="M59" i="1" s="1"/>
  <c r="G55" i="1"/>
  <c r="H55" i="1" s="1"/>
  <c r="M55" i="1" s="1"/>
  <c r="G47" i="1"/>
  <c r="H47" i="1" s="1"/>
  <c r="M47" i="1" s="1"/>
  <c r="G43" i="1"/>
  <c r="H43" i="1" s="1"/>
  <c r="M43" i="1" s="1"/>
  <c r="G35" i="1"/>
  <c r="H35" i="1" s="1"/>
  <c r="M35" i="1" s="1"/>
  <c r="G31" i="1"/>
  <c r="H31" i="1" s="1"/>
  <c r="M31" i="1" s="1"/>
  <c r="G23" i="1"/>
  <c r="H23" i="1" s="1"/>
  <c r="M23" i="1" s="1"/>
  <c r="G19" i="1"/>
  <c r="H19" i="1" s="1"/>
  <c r="M19" i="1" s="1"/>
  <c r="G74" i="1"/>
  <c r="H74" i="1" s="1"/>
  <c r="M74" i="1" s="1"/>
  <c r="G26" i="1"/>
  <c r="H26" i="1" s="1"/>
  <c r="M26" i="1" s="1"/>
  <c r="G173" i="1"/>
  <c r="I173" i="1" s="1"/>
  <c r="M173" i="1" s="1"/>
  <c r="G138" i="1"/>
  <c r="I138" i="1" s="1"/>
  <c r="M138" i="1" s="1"/>
  <c r="G112" i="1"/>
  <c r="I112" i="1" s="1"/>
  <c r="M112" i="1" s="1"/>
  <c r="G102" i="1"/>
  <c r="I102" i="1" s="1"/>
  <c r="M102" i="1" s="1"/>
  <c r="M11" i="1" l="1"/>
  <c r="J3" i="1"/>
  <c r="L3" i="1" s="1"/>
</calcChain>
</file>

<file path=xl/sharedStrings.xml><?xml version="1.0" encoding="utf-8"?>
<sst xmlns="http://schemas.openxmlformats.org/spreadsheetml/2006/main" count="450" uniqueCount="107">
  <si>
    <t>input</t>
  </si>
  <si>
    <t>expression</t>
  </si>
  <si>
    <r>
      <t>∆𝑆</t>
    </r>
    <r>
      <rPr>
        <sz val="9"/>
        <color rgb="FF000000"/>
        <rFont val="Helvetica"/>
        <family val="2"/>
      </rPr>
      <t>𝑖,𝑗=1−3,𝑦</t>
    </r>
  </si>
  <si>
    <t>Or</t>
  </si>
  <si>
    <t>Region</t>
  </si>
  <si>
    <t>Arnhem Coast</t>
  </si>
  <si>
    <t>Arnhem Plateau</t>
  </si>
  <si>
    <t>Australian Alps</t>
  </si>
  <si>
    <t>Avon Wheatbelt</t>
  </si>
  <si>
    <t>Brigalow Belt North</t>
  </si>
  <si>
    <t>Brigalow Belt South</t>
  </si>
  <si>
    <t>Ben Lomond</t>
  </si>
  <si>
    <t>Broken Hill Complex</t>
  </si>
  <si>
    <t>Burt Plain</t>
  </si>
  <si>
    <t>Carnarvon</t>
  </si>
  <si>
    <t>Central Arnhem</t>
  </si>
  <si>
    <t>Central Kimberley</t>
  </si>
  <si>
    <t>Central Ranges</t>
  </si>
  <si>
    <t>Channel Country</t>
  </si>
  <si>
    <t>Central Mackay Coast</t>
  </si>
  <si>
    <t>Coolgardie</t>
  </si>
  <si>
    <t>Cobar Peneplain</t>
  </si>
  <si>
    <t>Cape York Peninsula</t>
  </si>
  <si>
    <t>Daly Basin</t>
  </si>
  <si>
    <t>Darwin Coastal</t>
  </si>
  <si>
    <t>Dampierland</t>
  </si>
  <si>
    <t>Desert Uplands</t>
  </si>
  <si>
    <t>Davenport Murchison Ranges</t>
  </si>
  <si>
    <t>Darling Riverine Plains</t>
  </si>
  <si>
    <t>Einasleigh Uplands</t>
  </si>
  <si>
    <t>Esperance Plains</t>
  </si>
  <si>
    <t>Eyre Yorke Block</t>
  </si>
  <si>
    <t>Flinders Lofty Block</t>
  </si>
  <si>
    <t>Furneaux</t>
  </si>
  <si>
    <t>Gascoyne</t>
  </si>
  <si>
    <t>Gawler</t>
  </si>
  <si>
    <t>Geraldton Sandplains</t>
  </si>
  <si>
    <t>Gulf Fall and Uplands</t>
  </si>
  <si>
    <t>Gibson Desert</t>
  </si>
  <si>
    <t>Great Sandy Desert</t>
  </si>
  <si>
    <t>Gulf Coastal</t>
  </si>
  <si>
    <t>Gulf Plains</t>
  </si>
  <si>
    <t>Great Victoria Desert</t>
  </si>
  <si>
    <t>Hampton</t>
  </si>
  <si>
    <t>Jarrah Forest</t>
  </si>
  <si>
    <t>Kanmantoo</t>
  </si>
  <si>
    <t>King</t>
  </si>
  <si>
    <t>Little Sandy Desert</t>
  </si>
  <si>
    <t>MacDonnell Ranges</t>
  </si>
  <si>
    <t>Mallee</t>
  </si>
  <si>
    <t>Murray Darling Depression</t>
  </si>
  <si>
    <t>Mitchell Grass Downs</t>
  </si>
  <si>
    <t>Mount Isa Inlier</t>
  </si>
  <si>
    <t>Mulga Lands</t>
  </si>
  <si>
    <t>Murchison</t>
  </si>
  <si>
    <t>Nandewar</t>
  </si>
  <si>
    <t>Naracoorte Coastal Plain</t>
  </si>
  <si>
    <t>New England Tablelands</t>
  </si>
  <si>
    <t>NSW North Coast</t>
  </si>
  <si>
    <t>Northern Kimberley</t>
  </si>
  <si>
    <t>NSW South Western Slopes</t>
  </si>
  <si>
    <t>Nullarbor</t>
  </si>
  <si>
    <t>Ord Victoria Plain</t>
  </si>
  <si>
    <t>Pine Creek</t>
  </si>
  <si>
    <t>Pilbara</t>
  </si>
  <si>
    <t>Riverina</t>
  </si>
  <si>
    <t>South East Coastal Plain</t>
  </si>
  <si>
    <t>South East Corner</t>
  </si>
  <si>
    <t>South Eastern Highlands</t>
  </si>
  <si>
    <t>South Eastern Queensland</t>
  </si>
  <si>
    <t>Simpson Strzelecki Dunefields</t>
  </si>
  <si>
    <t>Stony Plains</t>
  </si>
  <si>
    <t>Sturt Plateau</t>
  </si>
  <si>
    <t>Southern Volcanic Plain</t>
  </si>
  <si>
    <t>Swan Coastal Plain</t>
  </si>
  <si>
    <t>Sydney Basin</t>
  </si>
  <si>
    <t>Tanami</t>
  </si>
  <si>
    <t>Tasmanian Central Highlands</t>
  </si>
  <si>
    <t>Tiwi Cobourg</t>
  </si>
  <si>
    <t>Tasmanian Northern Midlands</t>
  </si>
  <si>
    <t>Tasmanian Northern Slopes</t>
  </si>
  <si>
    <t>Tasmanian South East</t>
  </si>
  <si>
    <t>Tasmanian Southern Ranges</t>
  </si>
  <si>
    <t>Tasmanian West</t>
  </si>
  <si>
    <t>Victoria Bonaparte</t>
  </si>
  <si>
    <t>Victorian Midlands</t>
  </si>
  <si>
    <t>Warren</t>
  </si>
  <si>
    <t>Wet Tropics</t>
  </si>
  <si>
    <t>Yalgoo</t>
  </si>
  <si>
    <t>EFcrop</t>
  </si>
  <si>
    <t>EFpasture</t>
  </si>
  <si>
    <t>R</t>
  </si>
  <si>
    <t>CgN2O</t>
  </si>
  <si>
    <r>
      <t>𝑁</t>
    </r>
    <r>
      <rPr>
        <sz val="9"/>
        <color rgb="FF000000"/>
        <rFont val="Helvetica"/>
        <family val="2"/>
      </rPr>
      <t>𝑖,𝑗=1−3,𝑦</t>
    </r>
  </si>
  <si>
    <t>constant</t>
  </si>
  <si>
    <t>t soil carbon / ha</t>
  </si>
  <si>
    <t>t N2O / t N</t>
  </si>
  <si>
    <t>t N / year</t>
  </si>
  <si>
    <r>
      <t>𝐸</t>
    </r>
    <r>
      <rPr>
        <sz val="9"/>
        <color rgb="FF000000"/>
        <rFont val="Helvetica"/>
        <family val="2"/>
      </rPr>
      <t>𝐿𝑈𝐶,𝑖,𝑗=1−3,𝑦</t>
    </r>
  </si>
  <si>
    <r>
      <t>𝑎</t>
    </r>
    <r>
      <rPr>
        <sz val="9"/>
        <color rgb="FF000000"/>
        <rFont val="Helvetica"/>
        <family val="2"/>
      </rPr>
      <t>𝑖,𝑗=1−3,𝑦</t>
    </r>
  </si>
  <si>
    <t>Clearing</t>
  </si>
  <si>
    <t>crop</t>
  </si>
  <si>
    <t>grassland</t>
  </si>
  <si>
    <t>settlements</t>
  </si>
  <si>
    <r>
      <t>𝑁</t>
    </r>
    <r>
      <rPr>
        <sz val="9"/>
        <color rgb="FF000000"/>
        <rFont val="Helvetica"/>
        <family val="2"/>
      </rPr>
      <t>𝑖,𝑗=1,𝑦</t>
    </r>
  </si>
  <si>
    <r>
      <t>𝑁</t>
    </r>
    <r>
      <rPr>
        <sz val="9"/>
        <color rgb="FF000000"/>
        <rFont val="Helvetica"/>
        <family val="2"/>
      </rPr>
      <t>𝑖,𝑗=2−3,𝑦</t>
    </r>
  </si>
  <si>
    <t>hectares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</si>
</sst>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9"/>
      <color rgb="FF000000"/>
      <name val="Helvetica"/>
      <family val="2"/>
    </font>
    <font>
      <sz val="12"/>
      <color rgb="FF000000"/>
      <name val="Helvetica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A539-AA2F-F544-8DB9-706C333F2267}">
  <dimension ref="A2:R178"/>
  <sheetViews>
    <sheetView tabSelected="1" workbookViewId="0">
      <selection activeCell="A12" sqref="A12:XFD12"/>
    </sheetView>
  </sheetViews>
  <sheetFormatPr baseColWidth="10" defaultRowHeight="16" x14ac:dyDescent="0.2"/>
  <cols>
    <col min="1" max="1" width="10.83203125" bestFit="1" customWidth="1"/>
    <col min="2" max="2" width="18.6640625" customWidth="1"/>
    <col min="3" max="3" width="5.83203125" bestFit="1" customWidth="1"/>
    <col min="4" max="4" width="13.1640625" customWidth="1"/>
    <col min="5" max="5" width="15.6640625" customWidth="1"/>
    <col min="6" max="6" width="18" customWidth="1"/>
    <col min="7" max="7" width="17.6640625" customWidth="1"/>
    <col min="8" max="11" width="14.6640625" customWidth="1"/>
    <col min="12" max="12" width="11.83203125" bestFit="1" customWidth="1"/>
    <col min="13" max="13" width="19.6640625" customWidth="1"/>
    <col min="17" max="17" width="17.5" customWidth="1"/>
  </cols>
  <sheetData>
    <row r="2" spans="1:18" x14ac:dyDescent="0.2">
      <c r="J2">
        <f>-10*0.0041</f>
        <v>-4.1000000000000002E-2</v>
      </c>
      <c r="L2">
        <f>J2*L11</f>
        <v>-6.4428571428571432E-2</v>
      </c>
    </row>
    <row r="3" spans="1:18" x14ac:dyDescent="0.2">
      <c r="J3">
        <f>H11*J11</f>
        <v>-4.1000000000000007E-5</v>
      </c>
      <c r="L3">
        <f>J3*L11</f>
        <v>-6.442857142857144E-5</v>
      </c>
    </row>
    <row r="4" spans="1:18" x14ac:dyDescent="0.2">
      <c r="O4" t="s">
        <v>89</v>
      </c>
      <c r="P4">
        <v>4.1000000000000003E-3</v>
      </c>
    </row>
    <row r="5" spans="1:18" x14ac:dyDescent="0.2">
      <c r="O5" t="s">
        <v>90</v>
      </c>
      <c r="P5">
        <v>1.8E-3</v>
      </c>
    </row>
    <row r="6" spans="1:18" x14ac:dyDescent="0.2">
      <c r="B6" t="s">
        <v>0</v>
      </c>
      <c r="D6" t="s">
        <v>0</v>
      </c>
      <c r="E6" t="s">
        <v>1</v>
      </c>
      <c r="F6" t="s">
        <v>94</v>
      </c>
      <c r="G6" t="s">
        <v>1</v>
      </c>
      <c r="J6" t="s">
        <v>94</v>
      </c>
      <c r="K6" t="s">
        <v>94</v>
      </c>
      <c r="L6" t="s">
        <v>94</v>
      </c>
      <c r="O6" t="s">
        <v>91</v>
      </c>
      <c r="P6">
        <v>18</v>
      </c>
    </row>
    <row r="7" spans="1:18" x14ac:dyDescent="0.2">
      <c r="O7" t="s">
        <v>92</v>
      </c>
      <c r="P7">
        <f>44/28</f>
        <v>1.5714285714285714</v>
      </c>
    </row>
    <row r="8" spans="1:18" x14ac:dyDescent="0.2">
      <c r="D8" t="s">
        <v>106</v>
      </c>
      <c r="E8" t="s">
        <v>95</v>
      </c>
      <c r="G8" t="s">
        <v>97</v>
      </c>
      <c r="J8" t="s">
        <v>96</v>
      </c>
      <c r="K8" t="s">
        <v>96</v>
      </c>
    </row>
    <row r="9" spans="1:18" s="1" customFormat="1" x14ac:dyDescent="0.2"/>
    <row r="10" spans="1:18" x14ac:dyDescent="0.2">
      <c r="A10" s="3" t="s">
        <v>100</v>
      </c>
      <c r="B10" s="3" t="s">
        <v>4</v>
      </c>
      <c r="C10" s="2" t="s">
        <v>3</v>
      </c>
      <c r="D10" s="4" t="s">
        <v>99</v>
      </c>
      <c r="E10" s="2" t="s">
        <v>2</v>
      </c>
      <c r="F10" s="7" t="s">
        <v>91</v>
      </c>
      <c r="G10" s="2" t="s">
        <v>93</v>
      </c>
      <c r="H10" s="2" t="s">
        <v>104</v>
      </c>
      <c r="I10" s="2" t="s">
        <v>105</v>
      </c>
      <c r="J10" s="2" t="s">
        <v>89</v>
      </c>
      <c r="K10" s="2" t="s">
        <v>90</v>
      </c>
      <c r="L10" s="2" t="s">
        <v>92</v>
      </c>
      <c r="M10" s="5" t="s">
        <v>98</v>
      </c>
    </row>
    <row r="11" spans="1:18" x14ac:dyDescent="0.2">
      <c r="A11" t="s">
        <v>101</v>
      </c>
      <c r="B11" s="6" t="s">
        <v>5</v>
      </c>
      <c r="C11">
        <f>VLOOKUP(B11, $Q$13:$R$96, 2, FALSE)</f>
        <v>-0.12</v>
      </c>
      <c r="D11">
        <v>1.5</v>
      </c>
      <c r="E11">
        <f>C11*D11</f>
        <v>-0.18</v>
      </c>
      <c r="F11">
        <f>$P$6</f>
        <v>18</v>
      </c>
      <c r="G11">
        <f>E11/F11</f>
        <v>-0.01</v>
      </c>
      <c r="H11">
        <f>IF(A11="crop",G11, 0)</f>
        <v>-0.01</v>
      </c>
      <c r="I11">
        <f>IF(A11="crop", 0, G11)</f>
        <v>0</v>
      </c>
      <c r="J11">
        <f>$P$4</f>
        <v>4.1000000000000003E-3</v>
      </c>
      <c r="K11">
        <f>$P$5</f>
        <v>1.8E-3</v>
      </c>
      <c r="L11">
        <f>$P$7</f>
        <v>1.5714285714285714</v>
      </c>
      <c r="M11">
        <f>(H11*$J$11+I11*$K$11)*$L$11</f>
        <v>-6.442857142857144E-5</v>
      </c>
    </row>
    <row r="12" spans="1:18" x14ac:dyDescent="0.2">
      <c r="A12" t="s">
        <v>101</v>
      </c>
      <c r="B12" s="6" t="s">
        <v>6</v>
      </c>
      <c r="C12">
        <f>VLOOKUP(B12, $Q$13:$R$96, 2, FALSE)</f>
        <v>-0.39</v>
      </c>
      <c r="D12">
        <v>1.6</v>
      </c>
      <c r="E12">
        <f t="shared" ref="E12:E75" si="0">C12*D12</f>
        <v>-0.62400000000000011</v>
      </c>
      <c r="F12">
        <f>$P$6</f>
        <v>18</v>
      </c>
      <c r="G12">
        <f>E12/F12</f>
        <v>-3.4666666666666672E-2</v>
      </c>
      <c r="H12">
        <f>IF(A12="crop",G12, 0)</f>
        <v>-3.4666666666666672E-2</v>
      </c>
      <c r="I12">
        <f>IF(A12="crop", 0, G12)</f>
        <v>0</v>
      </c>
      <c r="M12">
        <f t="shared" ref="M12:M75" si="1">(H12*$J$11+I12*$K$11)*$L$11</f>
        <v>-2.2335238095238101E-4</v>
      </c>
    </row>
    <row r="13" spans="1:18" x14ac:dyDescent="0.2">
      <c r="A13" t="s">
        <v>101</v>
      </c>
      <c r="B13" s="6" t="s">
        <v>7</v>
      </c>
      <c r="C13">
        <f>VLOOKUP(B13, $Q$13:$R$96, 2, FALSE)</f>
        <v>-0.09</v>
      </c>
      <c r="D13">
        <v>1.7</v>
      </c>
      <c r="E13">
        <f t="shared" si="0"/>
        <v>-0.153</v>
      </c>
      <c r="F13">
        <f>$P$6</f>
        <v>18</v>
      </c>
      <c r="G13">
        <f>E13/F13</f>
        <v>-8.5000000000000006E-3</v>
      </c>
      <c r="H13">
        <f>IF(A13="crop",G13, 0)</f>
        <v>-8.5000000000000006E-3</v>
      </c>
      <c r="I13">
        <f>IF(A13="crop", 0, G13)</f>
        <v>0</v>
      </c>
      <c r="M13">
        <f t="shared" si="1"/>
        <v>-5.4764285714285726E-5</v>
      </c>
      <c r="Q13" s="6" t="s">
        <v>5</v>
      </c>
      <c r="R13" s="6">
        <v>-0.12</v>
      </c>
    </row>
    <row r="14" spans="1:18" x14ac:dyDescent="0.2">
      <c r="A14" t="s">
        <v>101</v>
      </c>
      <c r="B14" s="6" t="s">
        <v>8</v>
      </c>
      <c r="C14">
        <f>VLOOKUP(B14, $Q$13:$R$96, 2, FALSE)</f>
        <v>-0.09</v>
      </c>
      <c r="D14">
        <v>1.8</v>
      </c>
      <c r="E14">
        <f t="shared" si="0"/>
        <v>-0.16200000000000001</v>
      </c>
      <c r="F14">
        <f>$P$6</f>
        <v>18</v>
      </c>
      <c r="G14">
        <f>E14/F14</f>
        <v>-9.0000000000000011E-3</v>
      </c>
      <c r="H14">
        <f>IF(A14="crop",G14, 0)</f>
        <v>-9.0000000000000011E-3</v>
      </c>
      <c r="I14">
        <f>IF(A14="crop", 0, G14)</f>
        <v>0</v>
      </c>
      <c r="M14">
        <f t="shared" si="1"/>
        <v>-5.7985714285714297E-5</v>
      </c>
      <c r="Q14" s="6" t="s">
        <v>6</v>
      </c>
      <c r="R14" s="6">
        <v>-0.39</v>
      </c>
    </row>
    <row r="15" spans="1:18" x14ac:dyDescent="0.2">
      <c r="A15" t="s">
        <v>101</v>
      </c>
      <c r="B15" s="6" t="s">
        <v>9</v>
      </c>
      <c r="C15">
        <f>VLOOKUP(B15, $Q$13:$R$96, 2, FALSE)</f>
        <v>-0.13</v>
      </c>
      <c r="D15">
        <v>1.9</v>
      </c>
      <c r="E15">
        <f t="shared" si="0"/>
        <v>-0.247</v>
      </c>
      <c r="F15">
        <f>$P$6</f>
        <v>18</v>
      </c>
      <c r="G15">
        <f>E15/F15</f>
        <v>-1.3722222222222222E-2</v>
      </c>
      <c r="H15">
        <f>IF(A15="crop",G15, 0)</f>
        <v>-1.3722222222222222E-2</v>
      </c>
      <c r="I15">
        <f>IF(A15="crop", 0, G15)</f>
        <v>0</v>
      </c>
      <c r="M15">
        <f t="shared" si="1"/>
        <v>-8.8410317460317476E-5</v>
      </c>
      <c r="Q15" s="6" t="s">
        <v>7</v>
      </c>
      <c r="R15" s="6">
        <v>-0.09</v>
      </c>
    </row>
    <row r="16" spans="1:18" x14ac:dyDescent="0.2">
      <c r="A16" t="s">
        <v>101</v>
      </c>
      <c r="B16" s="6" t="s">
        <v>10</v>
      </c>
      <c r="C16">
        <f>VLOOKUP(B16, $Q$13:$R$96, 2, FALSE)</f>
        <v>-0.13</v>
      </c>
      <c r="D16">
        <v>2</v>
      </c>
      <c r="E16">
        <f t="shared" si="0"/>
        <v>-0.26</v>
      </c>
      <c r="F16">
        <f>$P$6</f>
        <v>18</v>
      </c>
      <c r="G16">
        <f>E16/F16</f>
        <v>-1.4444444444444446E-2</v>
      </c>
      <c r="H16">
        <f>IF(A16="crop",G16, 0)</f>
        <v>-1.4444444444444446E-2</v>
      </c>
      <c r="I16">
        <f>IF(A16="crop", 0, G16)</f>
        <v>0</v>
      </c>
      <c r="M16">
        <f t="shared" si="1"/>
        <v>-9.3063492063492084E-5</v>
      </c>
      <c r="Q16" s="6" t="s">
        <v>8</v>
      </c>
      <c r="R16" s="6">
        <v>-0.09</v>
      </c>
    </row>
    <row r="17" spans="1:18" x14ac:dyDescent="0.2">
      <c r="A17" t="s">
        <v>101</v>
      </c>
      <c r="B17" s="6" t="s">
        <v>11</v>
      </c>
      <c r="C17">
        <f>VLOOKUP(B17, $Q$13:$R$96, 2, FALSE)</f>
        <v>-0.55000000000000004</v>
      </c>
      <c r="D17">
        <v>2.1</v>
      </c>
      <c r="E17">
        <f t="shared" si="0"/>
        <v>-1.1550000000000002</v>
      </c>
      <c r="F17">
        <f>$P$6</f>
        <v>18</v>
      </c>
      <c r="G17">
        <f>E17/F17</f>
        <v>-6.4166666666666677E-2</v>
      </c>
      <c r="H17">
        <f>IF(A17="crop",G17, 0)</f>
        <v>-6.4166666666666677E-2</v>
      </c>
      <c r="I17">
        <f>IF(A17="crop", 0, G17)</f>
        <v>0</v>
      </c>
      <c r="M17">
        <f t="shared" si="1"/>
        <v>-4.1341666666666675E-4</v>
      </c>
      <c r="Q17" s="6" t="s">
        <v>9</v>
      </c>
      <c r="R17" s="6">
        <v>-0.13</v>
      </c>
    </row>
    <row r="18" spans="1:18" x14ac:dyDescent="0.2">
      <c r="A18" t="s">
        <v>101</v>
      </c>
      <c r="B18" s="6" t="s">
        <v>12</v>
      </c>
      <c r="C18">
        <f>VLOOKUP(B18, $Q$13:$R$96, 2, FALSE)</f>
        <v>-0.01</v>
      </c>
      <c r="D18">
        <v>2.2000000000000002</v>
      </c>
      <c r="E18">
        <f t="shared" si="0"/>
        <v>-2.2000000000000002E-2</v>
      </c>
      <c r="F18">
        <f>$P$6</f>
        <v>18</v>
      </c>
      <c r="G18">
        <f>E18/F18</f>
        <v>-1.2222222222222224E-3</v>
      </c>
      <c r="H18">
        <f>IF(A18="crop",G18, 0)</f>
        <v>-1.2222222222222224E-3</v>
      </c>
      <c r="I18">
        <f>IF(A18="crop", 0, G18)</f>
        <v>0</v>
      </c>
      <c r="M18">
        <f t="shared" si="1"/>
        <v>-7.8746031746031762E-6</v>
      </c>
      <c r="Q18" s="6" t="s">
        <v>10</v>
      </c>
      <c r="R18" s="6">
        <v>-0.13</v>
      </c>
    </row>
    <row r="19" spans="1:18" x14ac:dyDescent="0.2">
      <c r="A19" t="s">
        <v>101</v>
      </c>
      <c r="B19" s="6" t="s">
        <v>13</v>
      </c>
      <c r="C19">
        <f>VLOOKUP(B19, $Q$13:$R$96, 2, FALSE)</f>
        <v>-7.0000000000000007E-2</v>
      </c>
      <c r="D19">
        <v>2.2999999999999998</v>
      </c>
      <c r="E19">
        <f t="shared" si="0"/>
        <v>-0.161</v>
      </c>
      <c r="F19">
        <f>$P$6</f>
        <v>18</v>
      </c>
      <c r="G19">
        <f>E19/F19</f>
        <v>-8.9444444444444441E-3</v>
      </c>
      <c r="H19">
        <f>IF(A19="crop",G19, 0)</f>
        <v>-8.9444444444444441E-3</v>
      </c>
      <c r="I19">
        <f>IF(A19="crop", 0, G19)</f>
        <v>0</v>
      </c>
      <c r="M19">
        <f t="shared" si="1"/>
        <v>-5.762777777777778E-5</v>
      </c>
      <c r="Q19" s="6" t="s">
        <v>11</v>
      </c>
      <c r="R19" s="6">
        <v>-0.55000000000000004</v>
      </c>
    </row>
    <row r="20" spans="1:18" x14ac:dyDescent="0.2">
      <c r="A20" t="s">
        <v>101</v>
      </c>
      <c r="B20" s="6" t="s">
        <v>14</v>
      </c>
      <c r="C20">
        <f>VLOOKUP(B20, $Q$13:$R$96, 2, FALSE)</f>
        <v>-0.06</v>
      </c>
      <c r="D20">
        <v>2.4</v>
      </c>
      <c r="E20">
        <f t="shared" si="0"/>
        <v>-0.14399999999999999</v>
      </c>
      <c r="F20">
        <f>$P$6</f>
        <v>18</v>
      </c>
      <c r="G20">
        <f>E20/F20</f>
        <v>-8.0000000000000002E-3</v>
      </c>
      <c r="H20">
        <f>IF(A20="crop",G20, 0)</f>
        <v>-8.0000000000000002E-3</v>
      </c>
      <c r="I20">
        <f>IF(A20="crop", 0, G20)</f>
        <v>0</v>
      </c>
      <c r="M20">
        <f t="shared" si="1"/>
        <v>-5.1542857142857148E-5</v>
      </c>
      <c r="Q20" s="6" t="s">
        <v>12</v>
      </c>
      <c r="R20" s="6">
        <v>-0.01</v>
      </c>
    </row>
    <row r="21" spans="1:18" x14ac:dyDescent="0.2">
      <c r="A21" t="s">
        <v>101</v>
      </c>
      <c r="B21" s="6" t="s">
        <v>15</v>
      </c>
      <c r="C21">
        <f>VLOOKUP(B21, $Q$13:$R$96, 2, FALSE)</f>
        <v>-0.09</v>
      </c>
      <c r="D21">
        <v>2.5</v>
      </c>
      <c r="E21">
        <f t="shared" si="0"/>
        <v>-0.22499999999999998</v>
      </c>
      <c r="F21">
        <f>$P$6</f>
        <v>18</v>
      </c>
      <c r="G21">
        <f>E21/F21</f>
        <v>-1.2499999999999999E-2</v>
      </c>
      <c r="H21">
        <f>IF(A21="crop",G21, 0)</f>
        <v>-1.2499999999999999E-2</v>
      </c>
      <c r="I21">
        <f>IF(A21="crop", 0, G21)</f>
        <v>0</v>
      </c>
      <c r="M21">
        <f t="shared" si="1"/>
        <v>-8.0535714285714276E-5</v>
      </c>
      <c r="Q21" s="6" t="s">
        <v>13</v>
      </c>
      <c r="R21" s="6">
        <v>-7.0000000000000007E-2</v>
      </c>
    </row>
    <row r="22" spans="1:18" x14ac:dyDescent="0.2">
      <c r="A22" t="s">
        <v>101</v>
      </c>
      <c r="B22" s="6" t="s">
        <v>16</v>
      </c>
      <c r="C22">
        <f>VLOOKUP(B22, $Q$13:$R$96, 2, FALSE)</f>
        <v>-0.19</v>
      </c>
      <c r="D22">
        <v>2.6</v>
      </c>
      <c r="E22">
        <f t="shared" si="0"/>
        <v>-0.49400000000000005</v>
      </c>
      <c r="F22">
        <f>$P$6</f>
        <v>18</v>
      </c>
      <c r="G22">
        <f>E22/F22</f>
        <v>-2.7444444444444448E-2</v>
      </c>
      <c r="H22">
        <f>IF(A22="crop",G22, 0)</f>
        <v>-2.7444444444444448E-2</v>
      </c>
      <c r="I22">
        <f>IF(A22="crop", 0, G22)</f>
        <v>0</v>
      </c>
      <c r="M22">
        <f t="shared" si="1"/>
        <v>-1.7682063492063495E-4</v>
      </c>
      <c r="Q22" s="6" t="s">
        <v>14</v>
      </c>
      <c r="R22" s="6">
        <v>-0.06</v>
      </c>
    </row>
    <row r="23" spans="1:18" x14ac:dyDescent="0.2">
      <c r="A23" t="s">
        <v>101</v>
      </c>
      <c r="B23" s="6" t="s">
        <v>17</v>
      </c>
      <c r="C23">
        <f>VLOOKUP(B23, $Q$13:$R$96, 2, FALSE)</f>
        <v>-0.13</v>
      </c>
      <c r="D23">
        <v>2.7</v>
      </c>
      <c r="E23">
        <f t="shared" si="0"/>
        <v>-0.35100000000000003</v>
      </c>
      <c r="F23">
        <f>$P$6</f>
        <v>18</v>
      </c>
      <c r="G23">
        <f>E23/F23</f>
        <v>-1.9500000000000003E-2</v>
      </c>
      <c r="H23">
        <f>IF(A23="crop",G23, 0)</f>
        <v>-1.9500000000000003E-2</v>
      </c>
      <c r="I23">
        <f>IF(A23="crop", 0, G23)</f>
        <v>0</v>
      </c>
      <c r="M23">
        <f t="shared" si="1"/>
        <v>-1.2563571428571432E-4</v>
      </c>
      <c r="Q23" s="6" t="s">
        <v>15</v>
      </c>
      <c r="R23" s="6">
        <v>-0.09</v>
      </c>
    </row>
    <row r="24" spans="1:18" x14ac:dyDescent="0.2">
      <c r="A24" t="s">
        <v>101</v>
      </c>
      <c r="B24" s="6" t="s">
        <v>18</v>
      </c>
      <c r="C24">
        <f>VLOOKUP(B24, $Q$13:$R$96, 2, FALSE)</f>
        <v>-0.04</v>
      </c>
      <c r="D24">
        <v>2.8</v>
      </c>
      <c r="E24">
        <f t="shared" si="0"/>
        <v>-0.11199999999999999</v>
      </c>
      <c r="F24">
        <f>$P$6</f>
        <v>18</v>
      </c>
      <c r="G24">
        <f>E24/F24</f>
        <v>-6.2222222222222219E-3</v>
      </c>
      <c r="H24">
        <f>IF(A24="crop",G24, 0)</f>
        <v>-6.2222222222222219E-3</v>
      </c>
      <c r="I24">
        <f>IF(A24="crop", 0, G24)</f>
        <v>0</v>
      </c>
      <c r="M24">
        <f t="shared" si="1"/>
        <v>-4.0088888888888893E-5</v>
      </c>
      <c r="Q24" s="6" t="s">
        <v>16</v>
      </c>
      <c r="R24" s="6">
        <v>-0.19</v>
      </c>
    </row>
    <row r="25" spans="1:18" x14ac:dyDescent="0.2">
      <c r="A25" t="s">
        <v>101</v>
      </c>
      <c r="B25" s="6" t="s">
        <v>19</v>
      </c>
      <c r="C25">
        <f>VLOOKUP(B25, $Q$13:$R$96, 2, FALSE)</f>
        <v>-0.4</v>
      </c>
      <c r="D25">
        <v>2.9</v>
      </c>
      <c r="E25">
        <f t="shared" si="0"/>
        <v>-1.1599999999999999</v>
      </c>
      <c r="F25">
        <f>$P$6</f>
        <v>18</v>
      </c>
      <c r="G25">
        <f>E25/F25</f>
        <v>-6.4444444444444443E-2</v>
      </c>
      <c r="H25">
        <f>IF(A25="crop",G25, 0)</f>
        <v>-6.4444444444444443E-2</v>
      </c>
      <c r="I25">
        <f>IF(A25="crop", 0, G25)</f>
        <v>0</v>
      </c>
      <c r="M25">
        <f t="shared" si="1"/>
        <v>-4.1520634920634922E-4</v>
      </c>
      <c r="Q25" s="6" t="s">
        <v>17</v>
      </c>
      <c r="R25" s="6">
        <v>-0.13</v>
      </c>
    </row>
    <row r="26" spans="1:18" x14ac:dyDescent="0.2">
      <c r="A26" t="s">
        <v>101</v>
      </c>
      <c r="B26" s="6" t="s">
        <v>20</v>
      </c>
      <c r="C26">
        <f>VLOOKUP(B26, $Q$13:$R$96, 2, FALSE)</f>
        <v>-0.09</v>
      </c>
      <c r="D26">
        <v>3</v>
      </c>
      <c r="E26">
        <f t="shared" si="0"/>
        <v>-0.27</v>
      </c>
      <c r="F26">
        <f>$P$6</f>
        <v>18</v>
      </c>
      <c r="G26">
        <f>E26/F26</f>
        <v>-1.5000000000000001E-2</v>
      </c>
      <c r="H26">
        <f>IF(A26="crop",G26, 0)</f>
        <v>-1.5000000000000001E-2</v>
      </c>
      <c r="I26">
        <f>IF(A26="crop", 0, G26)</f>
        <v>0</v>
      </c>
      <c r="M26">
        <f t="shared" si="1"/>
        <v>-9.6642857142857153E-5</v>
      </c>
      <c r="Q26" s="6" t="s">
        <v>18</v>
      </c>
      <c r="R26" s="6">
        <v>-0.04</v>
      </c>
    </row>
    <row r="27" spans="1:18" x14ac:dyDescent="0.2">
      <c r="A27" t="s">
        <v>101</v>
      </c>
      <c r="B27" s="6" t="s">
        <v>21</v>
      </c>
      <c r="C27">
        <f>VLOOKUP(B27, $Q$13:$R$96, 2, FALSE)</f>
        <v>0</v>
      </c>
      <c r="D27">
        <v>3.1</v>
      </c>
      <c r="E27">
        <f t="shared" si="0"/>
        <v>0</v>
      </c>
      <c r="F27">
        <f>$P$6</f>
        <v>18</v>
      </c>
      <c r="G27">
        <f>E27/F27</f>
        <v>0</v>
      </c>
      <c r="H27">
        <f>IF(A27="crop",G27, 0)</f>
        <v>0</v>
      </c>
      <c r="I27">
        <f>IF(A27="crop", 0, G27)</f>
        <v>0</v>
      </c>
      <c r="M27">
        <f t="shared" si="1"/>
        <v>0</v>
      </c>
      <c r="Q27" s="6" t="s">
        <v>19</v>
      </c>
      <c r="R27" s="6">
        <v>-0.4</v>
      </c>
    </row>
    <row r="28" spans="1:18" x14ac:dyDescent="0.2">
      <c r="A28" t="s">
        <v>101</v>
      </c>
      <c r="B28" s="6" t="s">
        <v>22</v>
      </c>
      <c r="C28">
        <f>VLOOKUP(B28, $Q$13:$R$96, 2, FALSE)</f>
        <v>-0.44</v>
      </c>
      <c r="D28">
        <v>3.2</v>
      </c>
      <c r="E28">
        <f t="shared" si="0"/>
        <v>-1.4080000000000001</v>
      </c>
      <c r="F28">
        <f>$P$6</f>
        <v>18</v>
      </c>
      <c r="G28">
        <f>E28/F28</f>
        <v>-7.8222222222222235E-2</v>
      </c>
      <c r="H28">
        <f>IF(A28="crop",G28, 0)</f>
        <v>-7.8222222222222235E-2</v>
      </c>
      <c r="I28">
        <f>IF(A28="crop", 0, G28)</f>
        <v>0</v>
      </c>
      <c r="M28">
        <f t="shared" si="1"/>
        <v>-5.0397460317460328E-4</v>
      </c>
      <c r="Q28" s="6" t="s">
        <v>20</v>
      </c>
      <c r="R28" s="6">
        <v>-0.09</v>
      </c>
    </row>
    <row r="29" spans="1:18" x14ac:dyDescent="0.2">
      <c r="A29" t="s">
        <v>101</v>
      </c>
      <c r="B29" s="6" t="s">
        <v>23</v>
      </c>
      <c r="C29">
        <f>VLOOKUP(B29, $Q$13:$R$96, 2, FALSE)</f>
        <v>-0.21</v>
      </c>
      <c r="D29">
        <v>3.3</v>
      </c>
      <c r="E29">
        <f t="shared" si="0"/>
        <v>-0.69299999999999995</v>
      </c>
      <c r="F29">
        <f>$P$6</f>
        <v>18</v>
      </c>
      <c r="G29">
        <f>E29/F29</f>
        <v>-3.85E-2</v>
      </c>
      <c r="H29">
        <f>IF(A29="crop",G29, 0)</f>
        <v>-3.85E-2</v>
      </c>
      <c r="I29">
        <f>IF(A29="crop", 0, G29)</f>
        <v>0</v>
      </c>
      <c r="M29">
        <f t="shared" si="1"/>
        <v>-2.4805000000000004E-4</v>
      </c>
      <c r="Q29" s="6" t="s">
        <v>21</v>
      </c>
      <c r="R29" s="6">
        <v>0</v>
      </c>
    </row>
    <row r="30" spans="1:18" x14ac:dyDescent="0.2">
      <c r="A30" t="s">
        <v>101</v>
      </c>
      <c r="B30" s="6" t="s">
        <v>24</v>
      </c>
      <c r="C30">
        <f>VLOOKUP(B30, $Q$13:$R$96, 2, FALSE)</f>
        <v>-0.21</v>
      </c>
      <c r="D30">
        <v>3.4</v>
      </c>
      <c r="E30">
        <f t="shared" si="0"/>
        <v>-0.71399999999999997</v>
      </c>
      <c r="F30">
        <f>$P$6</f>
        <v>18</v>
      </c>
      <c r="G30">
        <f>E30/F30</f>
        <v>-3.9666666666666663E-2</v>
      </c>
      <c r="H30">
        <f>IF(A30="crop",G30, 0)</f>
        <v>-3.9666666666666663E-2</v>
      </c>
      <c r="I30">
        <f>IF(A30="crop", 0, G30)</f>
        <v>0</v>
      </c>
      <c r="M30">
        <f t="shared" si="1"/>
        <v>-2.5556666666666663E-4</v>
      </c>
      <c r="Q30" s="6" t="s">
        <v>22</v>
      </c>
      <c r="R30" s="6">
        <v>-0.44</v>
      </c>
    </row>
    <row r="31" spans="1:18" x14ac:dyDescent="0.2">
      <c r="A31" t="s">
        <v>101</v>
      </c>
      <c r="B31" s="6" t="s">
        <v>25</v>
      </c>
      <c r="C31">
        <f>VLOOKUP(B31, $Q$13:$R$96, 2, FALSE)</f>
        <v>0</v>
      </c>
      <c r="D31">
        <v>3.5</v>
      </c>
      <c r="E31">
        <f t="shared" si="0"/>
        <v>0</v>
      </c>
      <c r="F31">
        <f>$P$6</f>
        <v>18</v>
      </c>
      <c r="G31">
        <f>E31/F31</f>
        <v>0</v>
      </c>
      <c r="H31">
        <f>IF(A31="crop",G31, 0)</f>
        <v>0</v>
      </c>
      <c r="I31">
        <f>IF(A31="crop", 0, G31)</f>
        <v>0</v>
      </c>
      <c r="M31">
        <f t="shared" si="1"/>
        <v>0</v>
      </c>
      <c r="Q31" s="6" t="s">
        <v>23</v>
      </c>
      <c r="R31" s="6">
        <v>-0.21</v>
      </c>
    </row>
    <row r="32" spans="1:18" x14ac:dyDescent="0.2">
      <c r="A32" t="s">
        <v>101</v>
      </c>
      <c r="B32" s="6" t="s">
        <v>26</v>
      </c>
      <c r="C32">
        <f>VLOOKUP(B32, $Q$13:$R$96, 2, FALSE)</f>
        <v>-0.04</v>
      </c>
      <c r="D32">
        <v>3.6</v>
      </c>
      <c r="E32">
        <f t="shared" si="0"/>
        <v>-0.14400000000000002</v>
      </c>
      <c r="F32">
        <f>$P$6</f>
        <v>18</v>
      </c>
      <c r="G32">
        <f>E32/F32</f>
        <v>-8.0000000000000002E-3</v>
      </c>
      <c r="H32">
        <f>IF(A32="crop",G32, 0)</f>
        <v>-8.0000000000000002E-3</v>
      </c>
      <c r="I32">
        <f>IF(A32="crop", 0, G32)</f>
        <v>0</v>
      </c>
      <c r="M32">
        <f t="shared" si="1"/>
        <v>-5.1542857142857148E-5</v>
      </c>
      <c r="Q32" s="6" t="s">
        <v>24</v>
      </c>
      <c r="R32" s="6">
        <v>-0.21</v>
      </c>
    </row>
    <row r="33" spans="1:18" x14ac:dyDescent="0.2">
      <c r="A33" t="s">
        <v>101</v>
      </c>
      <c r="B33" s="6" t="s">
        <v>27</v>
      </c>
      <c r="C33">
        <f>VLOOKUP(B33, $Q$13:$R$96, 2, FALSE)</f>
        <v>-7.0000000000000007E-2</v>
      </c>
      <c r="D33">
        <v>3.7</v>
      </c>
      <c r="E33">
        <f t="shared" si="0"/>
        <v>-0.25900000000000006</v>
      </c>
      <c r="F33">
        <f>$P$6</f>
        <v>18</v>
      </c>
      <c r="G33">
        <f>E33/F33</f>
        <v>-1.4388888888888892E-2</v>
      </c>
      <c r="H33">
        <f>IF(A33="crop",G33, 0)</f>
        <v>-1.4388888888888892E-2</v>
      </c>
      <c r="I33">
        <f>IF(A33="crop", 0, G33)</f>
        <v>0</v>
      </c>
      <c r="M33">
        <f t="shared" si="1"/>
        <v>-9.270555555555558E-5</v>
      </c>
      <c r="Q33" s="6" t="s">
        <v>25</v>
      </c>
      <c r="R33" s="6">
        <v>0</v>
      </c>
    </row>
    <row r="34" spans="1:18" x14ac:dyDescent="0.2">
      <c r="A34" t="s">
        <v>101</v>
      </c>
      <c r="B34" s="6" t="s">
        <v>28</v>
      </c>
      <c r="C34">
        <f>VLOOKUP(B34, $Q$13:$R$96, 2, FALSE)</f>
        <v>-0.04</v>
      </c>
      <c r="D34">
        <v>3.8</v>
      </c>
      <c r="E34">
        <f t="shared" si="0"/>
        <v>-0.152</v>
      </c>
      <c r="F34">
        <f>$P$6</f>
        <v>18</v>
      </c>
      <c r="G34">
        <f>E34/F34</f>
        <v>-8.4444444444444437E-3</v>
      </c>
      <c r="H34">
        <f>IF(A34="crop",G34, 0)</f>
        <v>-8.4444444444444437E-3</v>
      </c>
      <c r="I34">
        <f>IF(A34="crop", 0, G34)</f>
        <v>0</v>
      </c>
      <c r="M34">
        <f t="shared" si="1"/>
        <v>-5.4406349206349202E-5</v>
      </c>
      <c r="Q34" s="6" t="s">
        <v>26</v>
      </c>
      <c r="R34" s="6">
        <v>-0.04</v>
      </c>
    </row>
    <row r="35" spans="1:18" x14ac:dyDescent="0.2">
      <c r="A35" t="s">
        <v>101</v>
      </c>
      <c r="B35" s="6" t="s">
        <v>29</v>
      </c>
      <c r="C35">
        <f>VLOOKUP(B35, $Q$13:$R$96, 2, FALSE)</f>
        <v>-0.24</v>
      </c>
      <c r="D35">
        <v>3.9</v>
      </c>
      <c r="E35">
        <f t="shared" si="0"/>
        <v>-0.93599999999999994</v>
      </c>
      <c r="F35">
        <f>$P$6</f>
        <v>18</v>
      </c>
      <c r="G35">
        <f>E35/F35</f>
        <v>-5.1999999999999998E-2</v>
      </c>
      <c r="H35">
        <f>IF(A35="crop",G35, 0)</f>
        <v>-5.1999999999999998E-2</v>
      </c>
      <c r="I35">
        <f>IF(A35="crop", 0, G35)</f>
        <v>0</v>
      </c>
      <c r="M35">
        <f t="shared" si="1"/>
        <v>-3.3502857142857142E-4</v>
      </c>
      <c r="Q35" s="6" t="s">
        <v>27</v>
      </c>
      <c r="R35" s="6">
        <v>-7.0000000000000007E-2</v>
      </c>
    </row>
    <row r="36" spans="1:18" x14ac:dyDescent="0.2">
      <c r="A36" t="s">
        <v>101</v>
      </c>
      <c r="B36" s="6" t="s">
        <v>30</v>
      </c>
      <c r="C36">
        <f>VLOOKUP(B36, $Q$13:$R$96, 2, FALSE)</f>
        <v>-0.17</v>
      </c>
      <c r="D36">
        <v>4</v>
      </c>
      <c r="E36">
        <f t="shared" si="0"/>
        <v>-0.68</v>
      </c>
      <c r="F36">
        <f>$P$6</f>
        <v>18</v>
      </c>
      <c r="G36">
        <f>E36/F36</f>
        <v>-3.7777777777777778E-2</v>
      </c>
      <c r="H36">
        <f>IF(A36="crop",G36, 0)</f>
        <v>-3.7777777777777778E-2</v>
      </c>
      <c r="I36">
        <f>IF(A36="crop", 0, G36)</f>
        <v>0</v>
      </c>
      <c r="M36">
        <f t="shared" si="1"/>
        <v>-2.433968253968254E-4</v>
      </c>
      <c r="Q36" s="6" t="s">
        <v>28</v>
      </c>
      <c r="R36" s="6">
        <v>-0.04</v>
      </c>
    </row>
    <row r="37" spans="1:18" x14ac:dyDescent="0.2">
      <c r="A37" t="s">
        <v>101</v>
      </c>
      <c r="B37" s="6" t="s">
        <v>31</v>
      </c>
      <c r="C37">
        <f>VLOOKUP(B37, $Q$13:$R$96, 2, FALSE)</f>
        <v>-0.03</v>
      </c>
      <c r="D37">
        <v>4.0999999999999996</v>
      </c>
      <c r="E37">
        <f t="shared" si="0"/>
        <v>-0.12299999999999998</v>
      </c>
      <c r="F37">
        <f>$P$6</f>
        <v>18</v>
      </c>
      <c r="G37">
        <f>E37/F37</f>
        <v>-6.8333333333333328E-3</v>
      </c>
      <c r="H37">
        <f>IF(A37="crop",G37, 0)</f>
        <v>-6.8333333333333328E-3</v>
      </c>
      <c r="I37">
        <f>IF(A37="crop", 0, G37)</f>
        <v>0</v>
      </c>
      <c r="M37">
        <f t="shared" si="1"/>
        <v>-4.4026190476190472E-5</v>
      </c>
      <c r="Q37" s="6" t="s">
        <v>29</v>
      </c>
      <c r="R37" s="6">
        <v>-0.24</v>
      </c>
    </row>
    <row r="38" spans="1:18" x14ac:dyDescent="0.2">
      <c r="A38" t="s">
        <v>101</v>
      </c>
      <c r="B38" s="6" t="s">
        <v>32</v>
      </c>
      <c r="C38">
        <f>VLOOKUP(B38, $Q$13:$R$96, 2, FALSE)</f>
        <v>-0.02</v>
      </c>
      <c r="D38">
        <v>4.2</v>
      </c>
      <c r="E38">
        <f t="shared" si="0"/>
        <v>-8.4000000000000005E-2</v>
      </c>
      <c r="F38">
        <f>$P$6</f>
        <v>18</v>
      </c>
      <c r="G38">
        <f>E38/F38</f>
        <v>-4.6666666666666671E-3</v>
      </c>
      <c r="H38">
        <f>IF(A38="crop",G38, 0)</f>
        <v>-4.6666666666666671E-3</v>
      </c>
      <c r="I38">
        <f>IF(A38="crop", 0, G38)</f>
        <v>0</v>
      </c>
      <c r="M38">
        <f t="shared" si="1"/>
        <v>-3.0066666666666668E-5</v>
      </c>
      <c r="Q38" s="6" t="s">
        <v>30</v>
      </c>
      <c r="R38" s="6">
        <v>-0.17</v>
      </c>
    </row>
    <row r="39" spans="1:18" x14ac:dyDescent="0.2">
      <c r="A39" t="s">
        <v>101</v>
      </c>
      <c r="B39" s="6" t="s">
        <v>33</v>
      </c>
      <c r="C39">
        <f>VLOOKUP(B39, $Q$13:$R$96, 2, FALSE)</f>
        <v>-0.43</v>
      </c>
      <c r="D39">
        <v>4.3</v>
      </c>
      <c r="E39">
        <f t="shared" si="0"/>
        <v>-1.849</v>
      </c>
      <c r="F39">
        <f>$P$6</f>
        <v>18</v>
      </c>
      <c r="G39">
        <f>E39/F39</f>
        <v>-0.10272222222222221</v>
      </c>
      <c r="H39">
        <f>IF(A39="crop",G39, 0)</f>
        <v>-0.10272222222222221</v>
      </c>
      <c r="I39">
        <f>IF(A39="crop", 0, G39)</f>
        <v>0</v>
      </c>
      <c r="M39">
        <f t="shared" si="1"/>
        <v>-6.6182460317460313E-4</v>
      </c>
      <c r="Q39" s="6" t="s">
        <v>31</v>
      </c>
      <c r="R39" s="6">
        <v>-0.03</v>
      </c>
    </row>
    <row r="40" spans="1:18" x14ac:dyDescent="0.2">
      <c r="A40" t="s">
        <v>101</v>
      </c>
      <c r="B40" s="6" t="s">
        <v>34</v>
      </c>
      <c r="C40">
        <f>VLOOKUP(B40, $Q$13:$R$96, 2, FALSE)</f>
        <v>-0.14000000000000001</v>
      </c>
      <c r="D40">
        <v>4.4000000000000004</v>
      </c>
      <c r="E40">
        <f t="shared" si="0"/>
        <v>-0.6160000000000001</v>
      </c>
      <c r="F40">
        <f>$P$6</f>
        <v>18</v>
      </c>
      <c r="G40">
        <f>E40/F40</f>
        <v>-3.422222222222223E-2</v>
      </c>
      <c r="H40">
        <f>IF(A40="crop",G40, 0)</f>
        <v>-3.422222222222223E-2</v>
      </c>
      <c r="I40">
        <f>IF(A40="crop", 0, G40)</f>
        <v>0</v>
      </c>
      <c r="M40">
        <f t="shared" si="1"/>
        <v>-2.2048888888888895E-4</v>
      </c>
      <c r="Q40" s="6" t="s">
        <v>32</v>
      </c>
      <c r="R40" s="6">
        <v>-0.02</v>
      </c>
    </row>
    <row r="41" spans="1:18" x14ac:dyDescent="0.2">
      <c r="A41" t="s">
        <v>101</v>
      </c>
      <c r="B41" s="6" t="s">
        <v>35</v>
      </c>
      <c r="C41">
        <f>VLOOKUP(B41, $Q$13:$R$96, 2, FALSE)</f>
        <v>0</v>
      </c>
      <c r="D41">
        <v>4.5</v>
      </c>
      <c r="E41">
        <f t="shared" si="0"/>
        <v>0</v>
      </c>
      <c r="F41">
        <f>$P$6</f>
        <v>18</v>
      </c>
      <c r="G41">
        <f>E41/F41</f>
        <v>0</v>
      </c>
      <c r="H41">
        <f>IF(A41="crop",G41, 0)</f>
        <v>0</v>
      </c>
      <c r="I41">
        <f>IF(A41="crop", 0, G41)</f>
        <v>0</v>
      </c>
      <c r="M41">
        <f t="shared" si="1"/>
        <v>0</v>
      </c>
      <c r="Q41" s="6" t="s">
        <v>33</v>
      </c>
      <c r="R41" s="6">
        <v>-0.43</v>
      </c>
    </row>
    <row r="42" spans="1:18" x14ac:dyDescent="0.2">
      <c r="A42" t="s">
        <v>101</v>
      </c>
      <c r="B42" s="6" t="s">
        <v>36</v>
      </c>
      <c r="C42">
        <f>VLOOKUP(B42, $Q$13:$R$96, 2, FALSE)</f>
        <v>-0.12</v>
      </c>
      <c r="D42">
        <v>4.5999999999999996</v>
      </c>
      <c r="E42">
        <f t="shared" si="0"/>
        <v>-0.55199999999999994</v>
      </c>
      <c r="F42">
        <f>$P$6</f>
        <v>18</v>
      </c>
      <c r="G42">
        <f>E42/F42</f>
        <v>-3.0666666666666662E-2</v>
      </c>
      <c r="H42">
        <f>IF(A42="crop",G42, 0)</f>
        <v>-3.0666666666666662E-2</v>
      </c>
      <c r="I42">
        <f>IF(A42="crop", 0, G42)</f>
        <v>0</v>
      </c>
      <c r="M42">
        <f t="shared" si="1"/>
        <v>-1.9758095238095236E-4</v>
      </c>
      <c r="Q42" s="6" t="s">
        <v>34</v>
      </c>
      <c r="R42" s="6">
        <v>-0.14000000000000001</v>
      </c>
    </row>
    <row r="43" spans="1:18" x14ac:dyDescent="0.2">
      <c r="A43" t="s">
        <v>101</v>
      </c>
      <c r="B43" s="6" t="s">
        <v>37</v>
      </c>
      <c r="C43">
        <f>VLOOKUP(B43, $Q$13:$R$96, 2, FALSE)</f>
        <v>-0.13</v>
      </c>
      <c r="D43">
        <v>4.7</v>
      </c>
      <c r="E43">
        <f t="shared" si="0"/>
        <v>-0.6110000000000001</v>
      </c>
      <c r="F43">
        <f>$P$6</f>
        <v>18</v>
      </c>
      <c r="G43">
        <f>E43/F43</f>
        <v>-3.3944444444444451E-2</v>
      </c>
      <c r="H43">
        <f>IF(A43="crop",G43, 0)</f>
        <v>-3.3944444444444451E-2</v>
      </c>
      <c r="I43">
        <f>IF(A43="crop", 0, G43)</f>
        <v>0</v>
      </c>
      <c r="M43">
        <f t="shared" si="1"/>
        <v>-2.1869920634920637E-4</v>
      </c>
      <c r="Q43" s="6" t="s">
        <v>35</v>
      </c>
      <c r="R43" s="6">
        <v>0</v>
      </c>
    </row>
    <row r="44" spans="1:18" x14ac:dyDescent="0.2">
      <c r="A44" t="s">
        <v>101</v>
      </c>
      <c r="B44" s="6" t="s">
        <v>38</v>
      </c>
      <c r="C44">
        <f>VLOOKUP(B44, $Q$13:$R$96, 2, FALSE)</f>
        <v>-0.16</v>
      </c>
      <c r="D44">
        <v>4.8</v>
      </c>
      <c r="E44">
        <f t="shared" si="0"/>
        <v>-0.76800000000000002</v>
      </c>
      <c r="F44">
        <f>$P$6</f>
        <v>18</v>
      </c>
      <c r="G44">
        <f>E44/F44</f>
        <v>-4.2666666666666665E-2</v>
      </c>
      <c r="H44">
        <f>IF(A44="crop",G44, 0)</f>
        <v>-4.2666666666666665E-2</v>
      </c>
      <c r="I44">
        <f>IF(A44="crop", 0, G44)</f>
        <v>0</v>
      </c>
      <c r="M44">
        <f t="shared" si="1"/>
        <v>-2.7489523809523812E-4</v>
      </c>
      <c r="Q44" s="6" t="s">
        <v>36</v>
      </c>
      <c r="R44" s="6">
        <v>-0.12</v>
      </c>
    </row>
    <row r="45" spans="1:18" x14ac:dyDescent="0.2">
      <c r="A45" t="s">
        <v>101</v>
      </c>
      <c r="B45" s="6" t="s">
        <v>39</v>
      </c>
      <c r="C45">
        <f>VLOOKUP(B45, $Q$13:$R$96, 2, FALSE)</f>
        <v>-0.09</v>
      </c>
      <c r="D45">
        <v>4.9000000000000004</v>
      </c>
      <c r="E45">
        <f t="shared" si="0"/>
        <v>-0.441</v>
      </c>
      <c r="F45">
        <f>$P$6</f>
        <v>18</v>
      </c>
      <c r="G45">
        <f>E45/F45</f>
        <v>-2.4500000000000001E-2</v>
      </c>
      <c r="H45">
        <f>IF(A45="crop",G45, 0)</f>
        <v>-2.4500000000000001E-2</v>
      </c>
      <c r="I45">
        <f>IF(A45="crop", 0, G45)</f>
        <v>0</v>
      </c>
      <c r="M45">
        <f t="shared" si="1"/>
        <v>-1.5785000000000002E-4</v>
      </c>
      <c r="Q45" s="6" t="s">
        <v>37</v>
      </c>
      <c r="R45" s="6">
        <v>-0.13</v>
      </c>
    </row>
    <row r="46" spans="1:18" x14ac:dyDescent="0.2">
      <c r="A46" t="s">
        <v>101</v>
      </c>
      <c r="B46" s="6" t="s">
        <v>40</v>
      </c>
      <c r="C46">
        <f>VLOOKUP(B46, $Q$13:$R$96, 2, FALSE)</f>
        <v>0</v>
      </c>
      <c r="D46">
        <v>5</v>
      </c>
      <c r="E46">
        <f t="shared" si="0"/>
        <v>0</v>
      </c>
      <c r="F46">
        <f>$P$6</f>
        <v>18</v>
      </c>
      <c r="G46">
        <f>E46/F46</f>
        <v>0</v>
      </c>
      <c r="H46">
        <f>IF(A46="crop",G46, 0)</f>
        <v>0</v>
      </c>
      <c r="I46">
        <f>IF(A46="crop", 0, G46)</f>
        <v>0</v>
      </c>
      <c r="M46">
        <f t="shared" si="1"/>
        <v>0</v>
      </c>
      <c r="Q46" s="6" t="s">
        <v>38</v>
      </c>
      <c r="R46" s="6">
        <v>-0.16</v>
      </c>
    </row>
    <row r="47" spans="1:18" x14ac:dyDescent="0.2">
      <c r="A47" t="s">
        <v>101</v>
      </c>
      <c r="B47" s="6" t="s">
        <v>41</v>
      </c>
      <c r="C47">
        <f>VLOOKUP(B47, $Q$13:$R$96, 2, FALSE)</f>
        <v>-0.04</v>
      </c>
      <c r="D47">
        <v>5.0999999999999996</v>
      </c>
      <c r="E47">
        <f t="shared" si="0"/>
        <v>-0.20399999999999999</v>
      </c>
      <c r="F47">
        <f>$P$6</f>
        <v>18</v>
      </c>
      <c r="G47">
        <f>E47/F47</f>
        <v>-1.1333333333333332E-2</v>
      </c>
      <c r="H47">
        <f>IF(A47="crop",G47, 0)</f>
        <v>-1.1333333333333332E-2</v>
      </c>
      <c r="I47">
        <f>IF(A47="crop", 0, G47)</f>
        <v>0</v>
      </c>
      <c r="M47">
        <f t="shared" si="1"/>
        <v>-7.3019047619047621E-5</v>
      </c>
      <c r="Q47" s="6" t="s">
        <v>39</v>
      </c>
      <c r="R47" s="6">
        <v>-0.09</v>
      </c>
    </row>
    <row r="48" spans="1:18" x14ac:dyDescent="0.2">
      <c r="A48" t="s">
        <v>101</v>
      </c>
      <c r="B48" s="6" t="s">
        <v>42</v>
      </c>
      <c r="C48">
        <f>VLOOKUP(B48, $Q$13:$R$96, 2, FALSE)</f>
        <v>-0.03</v>
      </c>
      <c r="D48">
        <v>5.2</v>
      </c>
      <c r="E48">
        <f t="shared" si="0"/>
        <v>-0.156</v>
      </c>
      <c r="F48">
        <f>$P$6</f>
        <v>18</v>
      </c>
      <c r="G48">
        <f>E48/F48</f>
        <v>-8.6666666666666663E-3</v>
      </c>
      <c r="H48">
        <f>IF(A48="crop",G48, 0)</f>
        <v>-8.6666666666666663E-3</v>
      </c>
      <c r="I48">
        <f>IF(A48="crop", 0, G48)</f>
        <v>0</v>
      </c>
      <c r="M48">
        <f t="shared" si="1"/>
        <v>-5.5838095238095238E-5</v>
      </c>
      <c r="Q48" s="6" t="s">
        <v>40</v>
      </c>
      <c r="R48" s="6">
        <v>0</v>
      </c>
    </row>
    <row r="49" spans="1:18" x14ac:dyDescent="0.2">
      <c r="A49" t="s">
        <v>101</v>
      </c>
      <c r="B49" s="6" t="s">
        <v>43</v>
      </c>
      <c r="C49">
        <f>VLOOKUP(B49, $Q$13:$R$96, 2, FALSE)</f>
        <v>-0.14000000000000001</v>
      </c>
      <c r="D49">
        <v>5.3</v>
      </c>
      <c r="E49">
        <f t="shared" si="0"/>
        <v>-0.74199999999999999</v>
      </c>
      <c r="F49">
        <f>$P$6</f>
        <v>18</v>
      </c>
      <c r="G49">
        <f>E49/F49</f>
        <v>-4.1222222222222223E-2</v>
      </c>
      <c r="H49">
        <f>IF(A49="crop",G49, 0)</f>
        <v>-4.1222222222222223E-2</v>
      </c>
      <c r="I49">
        <f>IF(A49="crop", 0, G49)</f>
        <v>0</v>
      </c>
      <c r="M49">
        <f t="shared" si="1"/>
        <v>-2.6558888888888891E-4</v>
      </c>
      <c r="Q49" s="6" t="s">
        <v>41</v>
      </c>
      <c r="R49" s="6">
        <v>-0.04</v>
      </c>
    </row>
    <row r="50" spans="1:18" x14ac:dyDescent="0.2">
      <c r="A50" t="s">
        <v>101</v>
      </c>
      <c r="B50" s="6" t="s">
        <v>44</v>
      </c>
      <c r="C50">
        <f>VLOOKUP(B50, $Q$13:$R$96, 2, FALSE)</f>
        <v>-0.31</v>
      </c>
      <c r="D50">
        <v>5.4</v>
      </c>
      <c r="E50">
        <f t="shared" si="0"/>
        <v>-1.6740000000000002</v>
      </c>
      <c r="F50">
        <f>$P$6</f>
        <v>18</v>
      </c>
      <c r="G50">
        <f>E50/F50</f>
        <v>-9.3000000000000013E-2</v>
      </c>
      <c r="H50">
        <f>IF(A50="crop",G50, 0)</f>
        <v>-9.3000000000000013E-2</v>
      </c>
      <c r="I50">
        <f>IF(A50="crop", 0, G50)</f>
        <v>0</v>
      </c>
      <c r="M50">
        <f t="shared" si="1"/>
        <v>-5.9918571428571447E-4</v>
      </c>
      <c r="Q50" s="6" t="s">
        <v>42</v>
      </c>
      <c r="R50" s="6">
        <v>-0.03</v>
      </c>
    </row>
    <row r="51" spans="1:18" x14ac:dyDescent="0.2">
      <c r="A51" t="s">
        <v>101</v>
      </c>
      <c r="B51" s="6" t="s">
        <v>45</v>
      </c>
      <c r="C51">
        <f>VLOOKUP(B51, $Q$13:$R$96, 2, FALSE)</f>
        <v>-0.23</v>
      </c>
      <c r="D51">
        <v>5.5</v>
      </c>
      <c r="E51">
        <f t="shared" si="0"/>
        <v>-1.2650000000000001</v>
      </c>
      <c r="F51">
        <f>$P$6</f>
        <v>18</v>
      </c>
      <c r="G51">
        <f>E51/F51</f>
        <v>-7.0277777777777786E-2</v>
      </c>
      <c r="H51">
        <f>IF(A51="crop",G51, 0)</f>
        <v>-7.0277777777777786E-2</v>
      </c>
      <c r="I51">
        <f>IF(A51="crop", 0, G51)</f>
        <v>0</v>
      </c>
      <c r="M51">
        <f t="shared" si="1"/>
        <v>-4.5278968253968259E-4</v>
      </c>
      <c r="Q51" s="6" t="s">
        <v>43</v>
      </c>
      <c r="R51" s="6">
        <v>-0.14000000000000001</v>
      </c>
    </row>
    <row r="52" spans="1:18" x14ac:dyDescent="0.2">
      <c r="A52" t="s">
        <v>101</v>
      </c>
      <c r="B52" s="6" t="s">
        <v>46</v>
      </c>
      <c r="C52">
        <f>VLOOKUP(B52, $Q$13:$R$96, 2, FALSE)</f>
        <v>-0.17</v>
      </c>
      <c r="D52">
        <v>5.6</v>
      </c>
      <c r="E52">
        <f t="shared" si="0"/>
        <v>-0.95199999999999996</v>
      </c>
      <c r="F52">
        <f>$P$6</f>
        <v>18</v>
      </c>
      <c r="G52">
        <f>E52/F52</f>
        <v>-5.2888888888888888E-2</v>
      </c>
      <c r="H52">
        <f>IF(A52="crop",G52, 0)</f>
        <v>-5.2888888888888888E-2</v>
      </c>
      <c r="I52">
        <f>IF(A52="crop", 0, G52)</f>
        <v>0</v>
      </c>
      <c r="M52">
        <f t="shared" si="1"/>
        <v>-3.4075555555555559E-4</v>
      </c>
      <c r="Q52" s="6" t="s">
        <v>44</v>
      </c>
      <c r="R52" s="6">
        <v>-0.31</v>
      </c>
    </row>
    <row r="53" spans="1:18" x14ac:dyDescent="0.2">
      <c r="A53" t="s">
        <v>101</v>
      </c>
      <c r="B53" s="6" t="s">
        <v>47</v>
      </c>
      <c r="C53">
        <f>VLOOKUP(B53, $Q$13:$R$96, 2, FALSE)</f>
        <v>-0.17</v>
      </c>
      <c r="D53">
        <v>5.7</v>
      </c>
      <c r="E53">
        <f t="shared" si="0"/>
        <v>-0.96900000000000008</v>
      </c>
      <c r="F53">
        <f>$P$6</f>
        <v>18</v>
      </c>
      <c r="G53">
        <f>E53/F53</f>
        <v>-5.3833333333333337E-2</v>
      </c>
      <c r="H53">
        <f>IF(A53="crop",G53, 0)</f>
        <v>-5.3833333333333337E-2</v>
      </c>
      <c r="I53">
        <f>IF(A53="crop", 0, G53)</f>
        <v>0</v>
      </c>
      <c r="M53">
        <f t="shared" si="1"/>
        <v>-3.4684047619047622E-4</v>
      </c>
      <c r="Q53" s="6" t="s">
        <v>45</v>
      </c>
      <c r="R53" s="6">
        <v>-0.23</v>
      </c>
    </row>
    <row r="54" spans="1:18" x14ac:dyDescent="0.2">
      <c r="A54" t="s">
        <v>101</v>
      </c>
      <c r="B54" s="6" t="s">
        <v>48</v>
      </c>
      <c r="C54">
        <f>VLOOKUP(B54, $Q$13:$R$96, 2, FALSE)</f>
        <v>-0.08</v>
      </c>
      <c r="D54">
        <v>5.8</v>
      </c>
      <c r="E54">
        <f t="shared" si="0"/>
        <v>-0.46399999999999997</v>
      </c>
      <c r="F54">
        <f>$P$6</f>
        <v>18</v>
      </c>
      <c r="G54">
        <f>E54/F54</f>
        <v>-2.5777777777777774E-2</v>
      </c>
      <c r="H54">
        <f>IF(A54="crop",G54, 0)</f>
        <v>-2.5777777777777774E-2</v>
      </c>
      <c r="I54">
        <f>IF(A54="crop", 0, G54)</f>
        <v>0</v>
      </c>
      <c r="M54">
        <f t="shared" si="1"/>
        <v>-1.6608253968253966E-4</v>
      </c>
      <c r="Q54" s="6" t="s">
        <v>46</v>
      </c>
      <c r="R54" s="6">
        <v>-0.17</v>
      </c>
    </row>
    <row r="55" spans="1:18" x14ac:dyDescent="0.2">
      <c r="A55" t="s">
        <v>101</v>
      </c>
      <c r="B55" s="6" t="s">
        <v>49</v>
      </c>
      <c r="C55">
        <f>VLOOKUP(B55, $Q$13:$R$96, 2, FALSE)</f>
        <v>-0.11</v>
      </c>
      <c r="D55">
        <v>5.9</v>
      </c>
      <c r="E55">
        <f t="shared" si="0"/>
        <v>-0.64900000000000002</v>
      </c>
      <c r="F55">
        <f>$P$6</f>
        <v>18</v>
      </c>
      <c r="G55">
        <f>E55/F55</f>
        <v>-3.6055555555555556E-2</v>
      </c>
      <c r="H55">
        <f>IF(A55="crop",G55, 0)</f>
        <v>-3.6055555555555556E-2</v>
      </c>
      <c r="I55">
        <f>IF(A55="crop", 0, G55)</f>
        <v>0</v>
      </c>
      <c r="M55">
        <f t="shared" si="1"/>
        <v>-2.3230079365079367E-4</v>
      </c>
      <c r="Q55" s="6" t="s">
        <v>47</v>
      </c>
      <c r="R55" s="6">
        <v>-0.17</v>
      </c>
    </row>
    <row r="56" spans="1:18" x14ac:dyDescent="0.2">
      <c r="A56" t="s">
        <v>101</v>
      </c>
      <c r="B56" s="6" t="s">
        <v>50</v>
      </c>
      <c r="C56">
        <f>VLOOKUP(B56, $Q$13:$R$96, 2, FALSE)</f>
        <v>0</v>
      </c>
      <c r="D56">
        <v>6</v>
      </c>
      <c r="E56">
        <f t="shared" si="0"/>
        <v>0</v>
      </c>
      <c r="F56">
        <f>$P$6</f>
        <v>18</v>
      </c>
      <c r="G56">
        <f>E56/F56</f>
        <v>0</v>
      </c>
      <c r="H56">
        <f>IF(A56="crop",G56, 0)</f>
        <v>0</v>
      </c>
      <c r="I56">
        <f>IF(A56="crop", 0, G56)</f>
        <v>0</v>
      </c>
      <c r="M56">
        <f t="shared" si="1"/>
        <v>0</v>
      </c>
      <c r="Q56" s="6" t="s">
        <v>48</v>
      </c>
      <c r="R56" s="6">
        <v>-0.08</v>
      </c>
    </row>
    <row r="57" spans="1:18" x14ac:dyDescent="0.2">
      <c r="A57" t="s">
        <v>101</v>
      </c>
      <c r="B57" s="6" t="s">
        <v>51</v>
      </c>
      <c r="C57">
        <f>VLOOKUP(B57, $Q$13:$R$96, 2, FALSE)</f>
        <v>-0.02</v>
      </c>
      <c r="D57">
        <v>6.1</v>
      </c>
      <c r="E57">
        <f t="shared" si="0"/>
        <v>-0.122</v>
      </c>
      <c r="F57">
        <f>$P$6</f>
        <v>18</v>
      </c>
      <c r="G57">
        <f>E57/F57</f>
        <v>-6.7777777777777775E-3</v>
      </c>
      <c r="H57">
        <f>IF(A57="crop",G57, 0)</f>
        <v>-6.7777777777777775E-3</v>
      </c>
      <c r="I57">
        <f>IF(A57="crop", 0, G57)</f>
        <v>0</v>
      </c>
      <c r="M57">
        <f t="shared" si="1"/>
        <v>-4.3668253968253968E-5</v>
      </c>
      <c r="Q57" s="6" t="s">
        <v>49</v>
      </c>
      <c r="R57" s="6">
        <v>-0.11</v>
      </c>
    </row>
    <row r="58" spans="1:18" x14ac:dyDescent="0.2">
      <c r="A58" t="s">
        <v>101</v>
      </c>
      <c r="B58" s="6" t="s">
        <v>52</v>
      </c>
      <c r="C58">
        <f>VLOOKUP(B58, $Q$13:$R$96, 2, FALSE)</f>
        <v>-0.08</v>
      </c>
      <c r="D58">
        <v>6.2</v>
      </c>
      <c r="E58">
        <f t="shared" si="0"/>
        <v>-0.49600000000000005</v>
      </c>
      <c r="F58">
        <f>$P$6</f>
        <v>18</v>
      </c>
      <c r="G58">
        <f>E58/F58</f>
        <v>-2.7555555555555559E-2</v>
      </c>
      <c r="H58">
        <f>IF(A58="crop",G58, 0)</f>
        <v>-2.7555555555555559E-2</v>
      </c>
      <c r="I58">
        <f>IF(A58="crop", 0, G58)</f>
        <v>0</v>
      </c>
      <c r="M58">
        <f t="shared" si="1"/>
        <v>-1.7753650793650796E-4</v>
      </c>
      <c r="Q58" s="6" t="s">
        <v>50</v>
      </c>
      <c r="R58" s="6">
        <v>0</v>
      </c>
    </row>
    <row r="59" spans="1:18" x14ac:dyDescent="0.2">
      <c r="A59" t="s">
        <v>101</v>
      </c>
      <c r="B59" s="6" t="s">
        <v>53</v>
      </c>
      <c r="C59">
        <f>VLOOKUP(B59, $Q$13:$R$96, 2, FALSE)</f>
        <v>-0.06</v>
      </c>
      <c r="D59">
        <v>6.3</v>
      </c>
      <c r="E59">
        <f t="shared" si="0"/>
        <v>-0.378</v>
      </c>
      <c r="F59">
        <f>$P$6</f>
        <v>18</v>
      </c>
      <c r="G59">
        <f>E59/F59</f>
        <v>-2.1000000000000001E-2</v>
      </c>
      <c r="H59">
        <f>IF(A59="crop",G59, 0)</f>
        <v>-2.1000000000000001E-2</v>
      </c>
      <c r="I59">
        <f>IF(A59="crop", 0, G59)</f>
        <v>0</v>
      </c>
      <c r="M59">
        <f t="shared" si="1"/>
        <v>-1.3530000000000004E-4</v>
      </c>
      <c r="Q59" s="6" t="s">
        <v>51</v>
      </c>
      <c r="R59" s="6">
        <v>-0.02</v>
      </c>
    </row>
    <row r="60" spans="1:18" x14ac:dyDescent="0.2">
      <c r="A60" t="s">
        <v>101</v>
      </c>
      <c r="B60" s="6" t="s">
        <v>54</v>
      </c>
      <c r="C60">
        <f>VLOOKUP(B60, $Q$13:$R$96, 2, FALSE)</f>
        <v>-0.12</v>
      </c>
      <c r="D60">
        <v>6.4</v>
      </c>
      <c r="E60">
        <f t="shared" si="0"/>
        <v>-0.76800000000000002</v>
      </c>
      <c r="F60">
        <f>$P$6</f>
        <v>18</v>
      </c>
      <c r="G60">
        <f>E60/F60</f>
        <v>-4.2666666666666665E-2</v>
      </c>
      <c r="H60">
        <f>IF(A60="crop",G60, 0)</f>
        <v>-4.2666666666666665E-2</v>
      </c>
      <c r="I60">
        <f>IF(A60="crop", 0, G60)</f>
        <v>0</v>
      </c>
      <c r="M60">
        <f t="shared" si="1"/>
        <v>-2.7489523809523812E-4</v>
      </c>
      <c r="Q60" s="6" t="s">
        <v>52</v>
      </c>
      <c r="R60" s="6">
        <v>-0.08</v>
      </c>
    </row>
    <row r="61" spans="1:18" x14ac:dyDescent="0.2">
      <c r="A61" t="s">
        <v>101</v>
      </c>
      <c r="B61" s="6" t="s">
        <v>55</v>
      </c>
      <c r="C61">
        <f>VLOOKUP(B61, $Q$13:$R$96, 2, FALSE)</f>
        <v>-7.0000000000000007E-2</v>
      </c>
      <c r="D61">
        <v>6.5</v>
      </c>
      <c r="E61">
        <f t="shared" si="0"/>
        <v>-0.45500000000000007</v>
      </c>
      <c r="F61">
        <f>$P$6</f>
        <v>18</v>
      </c>
      <c r="G61">
        <f>E61/F61</f>
        <v>-2.5277777777777781E-2</v>
      </c>
      <c r="H61">
        <f>IF(A61="crop",G61, 0)</f>
        <v>-2.5277777777777781E-2</v>
      </c>
      <c r="I61">
        <f>IF(A61="crop", 0, G61)</f>
        <v>0</v>
      </c>
      <c r="M61">
        <f t="shared" si="1"/>
        <v>-1.6286111111111115E-4</v>
      </c>
      <c r="Q61" s="6" t="s">
        <v>53</v>
      </c>
      <c r="R61" s="6">
        <v>-0.06</v>
      </c>
    </row>
    <row r="62" spans="1:18" x14ac:dyDescent="0.2">
      <c r="A62" t="s">
        <v>101</v>
      </c>
      <c r="B62" s="6" t="s">
        <v>56</v>
      </c>
      <c r="C62">
        <f>VLOOKUP(B62, $Q$13:$R$96, 2, FALSE)</f>
        <v>-0.13</v>
      </c>
      <c r="D62">
        <v>6.6</v>
      </c>
      <c r="E62">
        <f t="shared" si="0"/>
        <v>-0.85799999999999998</v>
      </c>
      <c r="F62">
        <f>$P$6</f>
        <v>18</v>
      </c>
      <c r="G62">
        <f>E62/F62</f>
        <v>-4.7666666666666663E-2</v>
      </c>
      <c r="H62">
        <f>IF(A62="crop",G62, 0)</f>
        <v>-4.7666666666666663E-2</v>
      </c>
      <c r="I62">
        <f>IF(A62="crop", 0, G62)</f>
        <v>0</v>
      </c>
      <c r="M62">
        <f t="shared" si="1"/>
        <v>-3.0710952380952382E-4</v>
      </c>
      <c r="Q62" s="6" t="s">
        <v>54</v>
      </c>
      <c r="R62" s="6">
        <v>-0.12</v>
      </c>
    </row>
    <row r="63" spans="1:18" x14ac:dyDescent="0.2">
      <c r="A63" t="s">
        <v>101</v>
      </c>
      <c r="B63" s="6" t="s">
        <v>57</v>
      </c>
      <c r="C63">
        <f>VLOOKUP(B63, $Q$13:$R$96, 2, FALSE)</f>
        <v>0</v>
      </c>
      <c r="D63">
        <v>6.7</v>
      </c>
      <c r="E63">
        <f t="shared" si="0"/>
        <v>0</v>
      </c>
      <c r="F63">
        <f>$P$6</f>
        <v>18</v>
      </c>
      <c r="G63">
        <f>E63/F63</f>
        <v>0</v>
      </c>
      <c r="H63">
        <f>IF(A63="crop",G63, 0)</f>
        <v>0</v>
      </c>
      <c r="I63">
        <f>IF(A63="crop", 0, G63)</f>
        <v>0</v>
      </c>
      <c r="M63">
        <f t="shared" si="1"/>
        <v>0</v>
      </c>
      <c r="Q63" s="6" t="s">
        <v>55</v>
      </c>
      <c r="R63" s="6">
        <v>-7.0000000000000007E-2</v>
      </c>
    </row>
    <row r="64" spans="1:18" x14ac:dyDescent="0.2">
      <c r="A64" t="s">
        <v>101</v>
      </c>
      <c r="B64" s="6" t="s">
        <v>58</v>
      </c>
      <c r="C64">
        <f>VLOOKUP(B64, $Q$13:$R$96, 2, FALSE)</f>
        <v>-0.24</v>
      </c>
      <c r="D64">
        <v>6.8</v>
      </c>
      <c r="E64">
        <f t="shared" si="0"/>
        <v>-1.6319999999999999</v>
      </c>
      <c r="F64">
        <f>$P$6</f>
        <v>18</v>
      </c>
      <c r="G64">
        <f>E64/F64</f>
        <v>-9.0666666666666659E-2</v>
      </c>
      <c r="H64">
        <f>IF(A64="crop",G64, 0)</f>
        <v>-9.0666666666666659E-2</v>
      </c>
      <c r="I64">
        <f>IF(A64="crop", 0, G64)</f>
        <v>0</v>
      </c>
      <c r="M64">
        <f t="shared" si="1"/>
        <v>-5.8415238095238097E-4</v>
      </c>
      <c r="Q64" s="6" t="s">
        <v>56</v>
      </c>
      <c r="R64" s="6">
        <v>-0.13</v>
      </c>
    </row>
    <row r="65" spans="1:18" x14ac:dyDescent="0.2">
      <c r="A65" t="s">
        <v>101</v>
      </c>
      <c r="B65" s="6" t="s">
        <v>59</v>
      </c>
      <c r="C65">
        <f>VLOOKUP(B65, $Q$13:$R$96, 2, FALSE)</f>
        <v>-0.32</v>
      </c>
      <c r="D65">
        <v>6.9</v>
      </c>
      <c r="E65">
        <f t="shared" si="0"/>
        <v>-2.2080000000000002</v>
      </c>
      <c r="F65">
        <f>$P$6</f>
        <v>18</v>
      </c>
      <c r="G65">
        <f>E65/F65</f>
        <v>-0.12266666666666667</v>
      </c>
      <c r="H65">
        <f>IF(A65="crop",G65, 0)</f>
        <v>-0.12266666666666667</v>
      </c>
      <c r="I65">
        <f>IF(A65="crop", 0, G65)</f>
        <v>0</v>
      </c>
      <c r="M65">
        <f t="shared" si="1"/>
        <v>-7.9032380952380953E-4</v>
      </c>
      <c r="Q65" s="6" t="s">
        <v>57</v>
      </c>
      <c r="R65" s="6">
        <v>0</v>
      </c>
    </row>
    <row r="66" spans="1:18" x14ac:dyDescent="0.2">
      <c r="A66" t="s">
        <v>101</v>
      </c>
      <c r="B66" s="6" t="s">
        <v>60</v>
      </c>
      <c r="C66">
        <f>VLOOKUP(B66, $Q$13:$R$96, 2, FALSE)</f>
        <v>0</v>
      </c>
      <c r="D66">
        <v>7.0000000000000098</v>
      </c>
      <c r="E66">
        <f t="shared" si="0"/>
        <v>0</v>
      </c>
      <c r="F66">
        <f>$P$6</f>
        <v>18</v>
      </c>
      <c r="G66">
        <f>E66/F66</f>
        <v>0</v>
      </c>
      <c r="H66">
        <f>IF(A66="crop",G66, 0)</f>
        <v>0</v>
      </c>
      <c r="I66">
        <f>IF(A66="crop", 0, G66)</f>
        <v>0</v>
      </c>
      <c r="M66">
        <f t="shared" si="1"/>
        <v>0</v>
      </c>
      <c r="Q66" s="6" t="s">
        <v>58</v>
      </c>
      <c r="R66" s="6">
        <v>-0.24</v>
      </c>
    </row>
    <row r="67" spans="1:18" x14ac:dyDescent="0.2">
      <c r="A67" t="s">
        <v>101</v>
      </c>
      <c r="B67" s="6" t="s">
        <v>61</v>
      </c>
      <c r="C67">
        <f>VLOOKUP(B67, $Q$13:$R$96, 2, FALSE)</f>
        <v>0</v>
      </c>
      <c r="D67">
        <v>7.1</v>
      </c>
      <c r="E67">
        <f t="shared" si="0"/>
        <v>0</v>
      </c>
      <c r="F67">
        <f>$P$6</f>
        <v>18</v>
      </c>
      <c r="G67">
        <f>E67/F67</f>
        <v>0</v>
      </c>
      <c r="H67">
        <f>IF(A67="crop",G67, 0)</f>
        <v>0</v>
      </c>
      <c r="I67">
        <f>IF(A67="crop", 0, G67)</f>
        <v>0</v>
      </c>
      <c r="M67">
        <f t="shared" si="1"/>
        <v>0</v>
      </c>
      <c r="Q67" s="6" t="s">
        <v>59</v>
      </c>
      <c r="R67" s="6">
        <v>-0.32</v>
      </c>
    </row>
    <row r="68" spans="1:18" x14ac:dyDescent="0.2">
      <c r="A68" t="s">
        <v>101</v>
      </c>
      <c r="B68" s="6" t="s">
        <v>62</v>
      </c>
      <c r="C68">
        <f>VLOOKUP(B68, $Q$13:$R$96, 2, FALSE)</f>
        <v>-0.1</v>
      </c>
      <c r="D68">
        <v>7.2</v>
      </c>
      <c r="E68">
        <f t="shared" si="0"/>
        <v>-0.72000000000000008</v>
      </c>
      <c r="F68">
        <f>$P$6</f>
        <v>18</v>
      </c>
      <c r="G68">
        <f>E68/F68</f>
        <v>-4.0000000000000008E-2</v>
      </c>
      <c r="H68">
        <f>IF(A68="crop",G68, 0)</f>
        <v>-4.0000000000000008E-2</v>
      </c>
      <c r="I68">
        <f>IF(A68="crop", 0, G68)</f>
        <v>0</v>
      </c>
      <c r="M68">
        <f t="shared" si="1"/>
        <v>-2.5771428571428581E-4</v>
      </c>
      <c r="Q68" s="6" t="s">
        <v>60</v>
      </c>
      <c r="R68" s="6">
        <v>0</v>
      </c>
    </row>
    <row r="69" spans="1:18" x14ac:dyDescent="0.2">
      <c r="A69" t="s">
        <v>101</v>
      </c>
      <c r="B69" s="6" t="s">
        <v>63</v>
      </c>
      <c r="C69">
        <f>VLOOKUP(B69, $Q$13:$R$96, 2, FALSE)</f>
        <v>-0.33</v>
      </c>
      <c r="D69">
        <v>7.3000000000000096</v>
      </c>
      <c r="E69">
        <f t="shared" si="0"/>
        <v>-2.4090000000000034</v>
      </c>
      <c r="F69">
        <f>$P$6</f>
        <v>18</v>
      </c>
      <c r="G69">
        <f>E69/F69</f>
        <v>-0.13383333333333353</v>
      </c>
      <c r="H69">
        <f>IF(A69="crop",G69, 0)</f>
        <v>-0.13383333333333353</v>
      </c>
      <c r="I69">
        <f>IF(A69="crop", 0, G69)</f>
        <v>0</v>
      </c>
      <c r="M69">
        <f t="shared" si="1"/>
        <v>-8.6226904761904893E-4</v>
      </c>
      <c r="Q69" s="6" t="s">
        <v>61</v>
      </c>
      <c r="R69" s="6">
        <v>0</v>
      </c>
    </row>
    <row r="70" spans="1:18" x14ac:dyDescent="0.2">
      <c r="A70" t="s">
        <v>101</v>
      </c>
      <c r="B70" s="6" t="s">
        <v>64</v>
      </c>
      <c r="C70">
        <f>VLOOKUP(B70, $Q$13:$R$96, 2, FALSE)</f>
        <v>0</v>
      </c>
      <c r="D70">
        <v>7.4000000000000101</v>
      </c>
      <c r="E70">
        <f t="shared" si="0"/>
        <v>0</v>
      </c>
      <c r="F70">
        <f>$P$6</f>
        <v>18</v>
      </c>
      <c r="G70">
        <f>E70/F70</f>
        <v>0</v>
      </c>
      <c r="H70">
        <f>IF(A70="crop",G70, 0)</f>
        <v>0</v>
      </c>
      <c r="I70">
        <f>IF(A70="crop", 0, G70)</f>
        <v>0</v>
      </c>
      <c r="M70">
        <f t="shared" si="1"/>
        <v>0</v>
      </c>
      <c r="Q70" s="6" t="s">
        <v>62</v>
      </c>
      <c r="R70" s="6">
        <v>-0.1</v>
      </c>
    </row>
    <row r="71" spans="1:18" x14ac:dyDescent="0.2">
      <c r="A71" t="s">
        <v>101</v>
      </c>
      <c r="B71" s="6" t="s">
        <v>65</v>
      </c>
      <c r="C71">
        <f>VLOOKUP(B71, $Q$13:$R$96, 2, FALSE)</f>
        <v>-0.05</v>
      </c>
      <c r="D71">
        <v>7.5000000000000098</v>
      </c>
      <c r="E71">
        <f t="shared" si="0"/>
        <v>-0.3750000000000005</v>
      </c>
      <c r="F71">
        <f>$P$6</f>
        <v>18</v>
      </c>
      <c r="G71">
        <f>E71/F71</f>
        <v>-2.083333333333336E-2</v>
      </c>
      <c r="H71">
        <f>IF(A71="crop",G71, 0)</f>
        <v>-2.083333333333336E-2</v>
      </c>
      <c r="I71">
        <f>IF(A71="crop", 0, G71)</f>
        <v>0</v>
      </c>
      <c r="M71">
        <f t="shared" si="1"/>
        <v>-1.3422619047619066E-4</v>
      </c>
      <c r="Q71" s="6" t="s">
        <v>63</v>
      </c>
      <c r="R71" s="6">
        <v>-0.33</v>
      </c>
    </row>
    <row r="72" spans="1:18" x14ac:dyDescent="0.2">
      <c r="A72" t="s">
        <v>101</v>
      </c>
      <c r="B72" s="6" t="s">
        <v>66</v>
      </c>
      <c r="C72">
        <f>VLOOKUP(B72, $Q$13:$R$96, 2, FALSE)</f>
        <v>-0.26</v>
      </c>
      <c r="D72">
        <v>7.6</v>
      </c>
      <c r="E72">
        <f t="shared" si="0"/>
        <v>-1.976</v>
      </c>
      <c r="F72">
        <f>$P$6</f>
        <v>18</v>
      </c>
      <c r="G72">
        <f>E72/F72</f>
        <v>-0.10977777777777778</v>
      </c>
      <c r="H72">
        <f>IF(A72="crop",G72, 0)</f>
        <v>-0.10977777777777778</v>
      </c>
      <c r="I72">
        <f>IF(A72="crop", 0, G72)</f>
        <v>0</v>
      </c>
      <c r="M72">
        <f t="shared" si="1"/>
        <v>-7.0728253968253981E-4</v>
      </c>
      <c r="Q72" s="6" t="s">
        <v>64</v>
      </c>
      <c r="R72" s="6">
        <v>0</v>
      </c>
    </row>
    <row r="73" spans="1:18" x14ac:dyDescent="0.2">
      <c r="A73" t="s">
        <v>101</v>
      </c>
      <c r="B73" s="6" t="s">
        <v>67</v>
      </c>
      <c r="C73">
        <f>VLOOKUP(B73, $Q$13:$R$96, 2, FALSE)</f>
        <v>-0.26</v>
      </c>
      <c r="D73">
        <v>7.7000000000000099</v>
      </c>
      <c r="E73">
        <f t="shared" si="0"/>
        <v>-2.0020000000000024</v>
      </c>
      <c r="F73">
        <f>$P$6</f>
        <v>18</v>
      </c>
      <c r="G73">
        <f>E73/F73</f>
        <v>-0.11122222222222236</v>
      </c>
      <c r="H73">
        <f>IF(A73="crop",G73, 0)</f>
        <v>-0.11122222222222236</v>
      </c>
      <c r="I73">
        <f>IF(A73="crop", 0, G73)</f>
        <v>0</v>
      </c>
      <c r="M73">
        <f t="shared" si="1"/>
        <v>-7.1658888888888978E-4</v>
      </c>
      <c r="Q73" s="6" t="s">
        <v>65</v>
      </c>
      <c r="R73" s="6">
        <v>-0.05</v>
      </c>
    </row>
    <row r="74" spans="1:18" x14ac:dyDescent="0.2">
      <c r="A74" t="s">
        <v>101</v>
      </c>
      <c r="B74" s="6" t="s">
        <v>68</v>
      </c>
      <c r="C74">
        <f>VLOOKUP(B74, $Q$13:$R$96, 2, FALSE)</f>
        <v>-0.03</v>
      </c>
      <c r="D74">
        <v>7.8000000000000096</v>
      </c>
      <c r="E74">
        <f t="shared" si="0"/>
        <v>-0.23400000000000029</v>
      </c>
      <c r="F74">
        <f>$P$6</f>
        <v>18</v>
      </c>
      <c r="G74">
        <f>E74/F74</f>
        <v>-1.3000000000000017E-2</v>
      </c>
      <c r="H74">
        <f>IF(A74="crop",G74, 0)</f>
        <v>-1.3000000000000017E-2</v>
      </c>
      <c r="I74">
        <f>IF(A74="crop", 0, G74)</f>
        <v>0</v>
      </c>
      <c r="M74">
        <f t="shared" si="1"/>
        <v>-8.3757142857142976E-5</v>
      </c>
      <c r="Q74" s="6" t="s">
        <v>66</v>
      </c>
      <c r="R74" s="6">
        <v>-0.26</v>
      </c>
    </row>
    <row r="75" spans="1:18" x14ac:dyDescent="0.2">
      <c r="A75" t="s">
        <v>101</v>
      </c>
      <c r="B75" s="6" t="s">
        <v>69</v>
      </c>
      <c r="C75">
        <f>VLOOKUP(B75, $Q$13:$R$96, 2, FALSE)</f>
        <v>-0.37</v>
      </c>
      <c r="D75">
        <v>7.9000000000000101</v>
      </c>
      <c r="E75">
        <f t="shared" si="0"/>
        <v>-2.9230000000000036</v>
      </c>
      <c r="F75">
        <f>$P$6</f>
        <v>18</v>
      </c>
      <c r="G75">
        <f>E75/F75</f>
        <v>-0.16238888888888908</v>
      </c>
      <c r="H75">
        <f>IF(A75="crop",G75, 0)</f>
        <v>-0.16238888888888908</v>
      </c>
      <c r="I75">
        <f>IF(A75="crop", 0, G75)</f>
        <v>0</v>
      </c>
      <c r="M75">
        <f t="shared" si="1"/>
        <v>-1.0462484126984139E-3</v>
      </c>
      <c r="Q75" s="6" t="s">
        <v>67</v>
      </c>
      <c r="R75" s="6">
        <v>-0.26</v>
      </c>
    </row>
    <row r="76" spans="1:18" x14ac:dyDescent="0.2">
      <c r="A76" t="s">
        <v>101</v>
      </c>
      <c r="B76" s="6" t="s">
        <v>70</v>
      </c>
      <c r="C76">
        <f>VLOOKUP(B76, $Q$13:$R$96, 2, FALSE)</f>
        <v>-0.01</v>
      </c>
      <c r="D76">
        <v>8.0000000000000107</v>
      </c>
      <c r="E76">
        <f t="shared" ref="E76:E94" si="2">C76*D76</f>
        <v>-8.0000000000000113E-2</v>
      </c>
      <c r="F76">
        <f>$P$6</f>
        <v>18</v>
      </c>
      <c r="G76">
        <f>E76/F76</f>
        <v>-4.4444444444444505E-3</v>
      </c>
      <c r="H76">
        <f>IF(A76="crop",G76, 0)</f>
        <v>-4.4444444444444505E-3</v>
      </c>
      <c r="I76">
        <f>IF(A76="crop", 0, G76)</f>
        <v>0</v>
      </c>
      <c r="M76">
        <f t="shared" ref="M76:M83" si="3">(H76*$J$11+I76*$K$11)*$L$11</f>
        <v>-2.8634920634920675E-5</v>
      </c>
      <c r="Q76" s="6" t="s">
        <v>68</v>
      </c>
      <c r="R76" s="6">
        <v>-0.03</v>
      </c>
    </row>
    <row r="77" spans="1:18" x14ac:dyDescent="0.2">
      <c r="A77" t="s">
        <v>101</v>
      </c>
      <c r="B77" s="6" t="s">
        <v>71</v>
      </c>
      <c r="C77">
        <f>VLOOKUP(B77, $Q$13:$R$96, 2, FALSE)</f>
        <v>-0.03</v>
      </c>
      <c r="D77">
        <v>8.1000000000000103</v>
      </c>
      <c r="E77">
        <f t="shared" si="2"/>
        <v>-0.2430000000000003</v>
      </c>
      <c r="F77">
        <f>$P$6</f>
        <v>18</v>
      </c>
      <c r="G77">
        <f>E77/F77</f>
        <v>-1.3500000000000017E-2</v>
      </c>
      <c r="H77">
        <f>IF(A77="crop",G77, 0)</f>
        <v>-1.3500000000000017E-2</v>
      </c>
      <c r="I77">
        <f>IF(A77="crop", 0, G77)</f>
        <v>0</v>
      </c>
      <c r="M77">
        <f t="shared" si="3"/>
        <v>-8.6978571428571554E-5</v>
      </c>
      <c r="Q77" s="6" t="s">
        <v>69</v>
      </c>
      <c r="R77" s="6">
        <v>-0.37</v>
      </c>
    </row>
    <row r="78" spans="1:18" x14ac:dyDescent="0.2">
      <c r="A78" t="s">
        <v>101</v>
      </c>
      <c r="B78" s="6" t="s">
        <v>72</v>
      </c>
      <c r="C78">
        <f>VLOOKUP(B78, $Q$13:$R$96, 2, FALSE)</f>
        <v>-0.1</v>
      </c>
      <c r="D78">
        <v>8.2000000000000099</v>
      </c>
      <c r="E78">
        <f t="shared" si="2"/>
        <v>-0.82000000000000106</v>
      </c>
      <c r="F78">
        <f>$P$6</f>
        <v>18</v>
      </c>
      <c r="G78">
        <f>E78/F78</f>
        <v>-4.5555555555555613E-2</v>
      </c>
      <c r="H78">
        <f>IF(A78="crop",G78, 0)</f>
        <v>-4.5555555555555613E-2</v>
      </c>
      <c r="I78">
        <f>IF(A78="crop", 0, G78)</f>
        <v>0</v>
      </c>
      <c r="M78">
        <f t="shared" si="3"/>
        <v>-2.9350793650793688E-4</v>
      </c>
      <c r="Q78" s="6" t="s">
        <v>70</v>
      </c>
      <c r="R78" s="6">
        <v>-0.01</v>
      </c>
    </row>
    <row r="79" spans="1:18" x14ac:dyDescent="0.2">
      <c r="A79" t="s">
        <v>101</v>
      </c>
      <c r="B79" s="6" t="s">
        <v>73</v>
      </c>
      <c r="C79">
        <f>VLOOKUP(B79, $Q$13:$R$96, 2, FALSE)</f>
        <v>-0.25</v>
      </c>
      <c r="D79">
        <v>8.3000000000000096</v>
      </c>
      <c r="E79">
        <f t="shared" si="2"/>
        <v>-2.0750000000000024</v>
      </c>
      <c r="F79">
        <f>$P$6</f>
        <v>18</v>
      </c>
      <c r="G79">
        <f>E79/F79</f>
        <v>-0.11527777777777791</v>
      </c>
      <c r="H79">
        <f>IF(A79="crop",G79, 0)</f>
        <v>-0.11527777777777791</v>
      </c>
      <c r="I79">
        <f>IF(A79="crop", 0, G79)</f>
        <v>0</v>
      </c>
      <c r="M79">
        <f t="shared" si="3"/>
        <v>-7.4271825396825491E-4</v>
      </c>
      <c r="Q79" s="6" t="s">
        <v>71</v>
      </c>
      <c r="R79" s="6">
        <v>-0.03</v>
      </c>
    </row>
    <row r="80" spans="1:18" x14ac:dyDescent="0.2">
      <c r="A80" t="s">
        <v>101</v>
      </c>
      <c r="B80" s="6" t="s">
        <v>74</v>
      </c>
      <c r="C80">
        <f>VLOOKUP(B80, $Q$13:$R$96, 2, FALSE)</f>
        <v>-0.27</v>
      </c>
      <c r="D80">
        <v>8.4000000000000092</v>
      </c>
      <c r="E80">
        <f t="shared" si="2"/>
        <v>-2.2680000000000025</v>
      </c>
      <c r="F80">
        <f>$P$6</f>
        <v>18</v>
      </c>
      <c r="G80">
        <f>E80/F80</f>
        <v>-0.12600000000000014</v>
      </c>
      <c r="H80">
        <f>IF(A80="crop",G80, 0)</f>
        <v>-0.12600000000000014</v>
      </c>
      <c r="I80">
        <f>IF(A80="crop", 0, G80)</f>
        <v>0</v>
      </c>
      <c r="M80">
        <f t="shared" si="3"/>
        <v>-8.1180000000000098E-4</v>
      </c>
      <c r="Q80" s="6" t="s">
        <v>72</v>
      </c>
      <c r="R80" s="6">
        <v>-0.1</v>
      </c>
    </row>
    <row r="81" spans="1:18" x14ac:dyDescent="0.2">
      <c r="A81" t="s">
        <v>101</v>
      </c>
      <c r="B81" s="6" t="s">
        <v>75</v>
      </c>
      <c r="C81">
        <f>VLOOKUP(B81, $Q$13:$R$96, 2, FALSE)</f>
        <v>-0.18</v>
      </c>
      <c r="D81">
        <v>8.5000000000000107</v>
      </c>
      <c r="E81">
        <f t="shared" si="2"/>
        <v>-1.5300000000000018</v>
      </c>
      <c r="F81">
        <f>$P$6</f>
        <v>18</v>
      </c>
      <c r="G81">
        <f>E81/F81</f>
        <v>-8.5000000000000103E-2</v>
      </c>
      <c r="H81">
        <f>IF(A81="crop",G81, 0)</f>
        <v>-8.5000000000000103E-2</v>
      </c>
      <c r="I81">
        <f>IF(A81="crop", 0, G81)</f>
        <v>0</v>
      </c>
      <c r="M81">
        <f t="shared" si="3"/>
        <v>-5.4764285714285787E-4</v>
      </c>
      <c r="Q81" s="6" t="s">
        <v>73</v>
      </c>
      <c r="R81" s="6">
        <v>-0.25</v>
      </c>
    </row>
    <row r="82" spans="1:18" x14ac:dyDescent="0.2">
      <c r="A82" t="s">
        <v>101</v>
      </c>
      <c r="B82" s="6" t="s">
        <v>76</v>
      </c>
      <c r="C82">
        <f>VLOOKUP(B82, $Q$13:$R$96, 2, FALSE)</f>
        <v>-0.12</v>
      </c>
      <c r="D82">
        <v>8.6000000000000103</v>
      </c>
      <c r="E82">
        <f t="shared" si="2"/>
        <v>-1.0320000000000011</v>
      </c>
      <c r="F82">
        <f>$P$6</f>
        <v>18</v>
      </c>
      <c r="G82">
        <f>E82/F82</f>
        <v>-5.7333333333333396E-2</v>
      </c>
      <c r="H82">
        <f>IF(A82="crop",G82, 0)</f>
        <v>-5.7333333333333396E-2</v>
      </c>
      <c r="I82">
        <f>IF(A82="crop", 0, G82)</f>
        <v>0</v>
      </c>
      <c r="M82">
        <f t="shared" si="3"/>
        <v>-3.6939047619047663E-4</v>
      </c>
      <c r="Q82" s="6" t="s">
        <v>74</v>
      </c>
      <c r="R82" s="6">
        <v>-0.27</v>
      </c>
    </row>
    <row r="83" spans="1:18" x14ac:dyDescent="0.2">
      <c r="A83" t="s">
        <v>101</v>
      </c>
      <c r="B83" s="6" t="s">
        <v>77</v>
      </c>
      <c r="C83">
        <f>VLOOKUP(B83, $Q$13:$R$96, 2, FALSE)</f>
        <v>-0.22</v>
      </c>
      <c r="D83">
        <v>8.7000000000000099</v>
      </c>
      <c r="E83">
        <f t="shared" si="2"/>
        <v>-1.9140000000000021</v>
      </c>
      <c r="F83">
        <f>$P$6</f>
        <v>18</v>
      </c>
      <c r="G83">
        <f>E83/F83</f>
        <v>-0.10633333333333345</v>
      </c>
      <c r="H83">
        <f>IF(A83="crop",G83, 0)</f>
        <v>-0.10633333333333345</v>
      </c>
      <c r="I83">
        <f>IF(A83="crop", 0, G83)</f>
        <v>0</v>
      </c>
      <c r="M83">
        <f t="shared" si="3"/>
        <v>-6.8509047619047699E-4</v>
      </c>
      <c r="Q83" s="6" t="s">
        <v>75</v>
      </c>
      <c r="R83" s="6">
        <v>-0.18</v>
      </c>
    </row>
    <row r="84" spans="1:18" x14ac:dyDescent="0.2">
      <c r="A84" t="s">
        <v>101</v>
      </c>
      <c r="B84" s="6" t="s">
        <v>78</v>
      </c>
      <c r="C84">
        <f>VLOOKUP(B84, $Q$13:$R$96, 2, FALSE)</f>
        <v>-0.2</v>
      </c>
      <c r="D84">
        <v>8.8000000000000096</v>
      </c>
      <c r="E84">
        <f t="shared" si="2"/>
        <v>-1.760000000000002</v>
      </c>
      <c r="F84">
        <f>$P$6</f>
        <v>18</v>
      </c>
      <c r="G84">
        <f>E84/F84</f>
        <v>-9.7777777777777894E-2</v>
      </c>
      <c r="H84">
        <f>IF(A84="crop",G84, 0)</f>
        <v>-9.7777777777777894E-2</v>
      </c>
      <c r="I84">
        <f>IF(A84="crop", 0, G84)</f>
        <v>0</v>
      </c>
      <c r="M84">
        <f>(H84*$J$11+I84*$K$11)*$L$11</f>
        <v>-6.2996825396825469E-4</v>
      </c>
      <c r="Q84" s="6" t="s">
        <v>76</v>
      </c>
      <c r="R84" s="6">
        <v>-0.12</v>
      </c>
    </row>
    <row r="85" spans="1:18" x14ac:dyDescent="0.2">
      <c r="A85" t="s">
        <v>101</v>
      </c>
      <c r="B85" s="6" t="s">
        <v>79</v>
      </c>
      <c r="C85">
        <f>VLOOKUP(B85, $Q$13:$R$96, 2, FALSE)</f>
        <v>-0.18</v>
      </c>
      <c r="D85">
        <v>8.9000000000000092</v>
      </c>
      <c r="E85">
        <f t="shared" si="2"/>
        <v>-1.6020000000000016</v>
      </c>
      <c r="F85">
        <f>$P$6</f>
        <v>18</v>
      </c>
      <c r="G85">
        <f>E85/F85</f>
        <v>-8.9000000000000093E-2</v>
      </c>
      <c r="H85">
        <f>IF(A85="crop",G85, 0)</f>
        <v>-8.9000000000000093E-2</v>
      </c>
      <c r="I85">
        <f>IF(A85="crop", 0, G85)</f>
        <v>0</v>
      </c>
      <c r="M85">
        <f t="shared" ref="M85:M128" si="4">(H85*$J$11+I85*$K$11)*$L$11</f>
        <v>-5.7341428571428639E-4</v>
      </c>
      <c r="Q85" s="6" t="s">
        <v>77</v>
      </c>
      <c r="R85" s="6">
        <v>-0.22</v>
      </c>
    </row>
    <row r="86" spans="1:18" x14ac:dyDescent="0.2">
      <c r="A86" t="s">
        <v>101</v>
      </c>
      <c r="B86" s="6" t="s">
        <v>80</v>
      </c>
      <c r="C86">
        <f>VLOOKUP(B86, $Q$13:$R$96, 2, FALSE)</f>
        <v>-0.4</v>
      </c>
      <c r="D86">
        <v>9.0000000000000107</v>
      </c>
      <c r="E86">
        <f t="shared" si="2"/>
        <v>-3.6000000000000045</v>
      </c>
      <c r="F86">
        <f>$P$6</f>
        <v>18</v>
      </c>
      <c r="G86">
        <f>E86/F86</f>
        <v>-0.20000000000000026</v>
      </c>
      <c r="H86">
        <f>IF(A86="crop",G86, 0)</f>
        <v>-0.20000000000000026</v>
      </c>
      <c r="I86">
        <f>IF(A86="crop", 0, G86)</f>
        <v>0</v>
      </c>
      <c r="M86">
        <f t="shared" si="4"/>
        <v>-1.2885714285714304E-3</v>
      </c>
      <c r="Q86" s="6" t="s">
        <v>78</v>
      </c>
      <c r="R86" s="6">
        <v>-0.2</v>
      </c>
    </row>
    <row r="87" spans="1:18" x14ac:dyDescent="0.2">
      <c r="A87" t="s">
        <v>101</v>
      </c>
      <c r="B87" s="6" t="s">
        <v>81</v>
      </c>
      <c r="C87">
        <f>VLOOKUP(B87, $Q$13:$R$96, 2, FALSE)</f>
        <v>-0.21</v>
      </c>
      <c r="D87">
        <v>9.1000000000000103</v>
      </c>
      <c r="E87">
        <f t="shared" si="2"/>
        <v>-1.911000000000002</v>
      </c>
      <c r="F87">
        <f>$P$6</f>
        <v>18</v>
      </c>
      <c r="G87">
        <f>E87/F87</f>
        <v>-0.10616666666666678</v>
      </c>
      <c r="H87">
        <f>IF(A87="crop",G87, 0)</f>
        <v>-0.10616666666666678</v>
      </c>
      <c r="I87">
        <f>IF(A87="crop", 0, G87)</f>
        <v>0</v>
      </c>
      <c r="M87">
        <f t="shared" si="4"/>
        <v>-6.8401666666666747E-4</v>
      </c>
      <c r="Q87" s="6" t="s">
        <v>79</v>
      </c>
      <c r="R87" s="6">
        <v>-0.18</v>
      </c>
    </row>
    <row r="88" spans="1:18" x14ac:dyDescent="0.2">
      <c r="A88" t="s">
        <v>101</v>
      </c>
      <c r="B88" s="6" t="s">
        <v>82</v>
      </c>
      <c r="C88">
        <f>VLOOKUP(B88, $Q$13:$R$96, 2, FALSE)</f>
        <v>-0.39</v>
      </c>
      <c r="D88">
        <v>9.2000000000000099</v>
      </c>
      <c r="E88">
        <f t="shared" si="2"/>
        <v>-3.5880000000000041</v>
      </c>
      <c r="F88">
        <f>$P$6</f>
        <v>18</v>
      </c>
      <c r="G88">
        <f>E88/F88</f>
        <v>-0.19933333333333356</v>
      </c>
      <c r="H88">
        <f>IF(A88="crop",G88, 0)</f>
        <v>-0.19933333333333356</v>
      </c>
      <c r="I88">
        <f>IF(A88="crop", 0, G88)</f>
        <v>0</v>
      </c>
      <c r="M88">
        <f t="shared" si="4"/>
        <v>-1.2842761904761921E-3</v>
      </c>
      <c r="Q88" s="6" t="s">
        <v>80</v>
      </c>
      <c r="R88" s="6">
        <v>-0.4</v>
      </c>
    </row>
    <row r="89" spans="1:18" x14ac:dyDescent="0.2">
      <c r="A89" t="s">
        <v>101</v>
      </c>
      <c r="B89" s="6" t="s">
        <v>83</v>
      </c>
      <c r="C89">
        <f>VLOOKUP(B89, $Q$13:$R$96, 2, FALSE)</f>
        <v>-0.69</v>
      </c>
      <c r="D89">
        <v>9.3000000000000096</v>
      </c>
      <c r="E89">
        <f t="shared" si="2"/>
        <v>-6.417000000000006</v>
      </c>
      <c r="F89">
        <f>$P$6</f>
        <v>18</v>
      </c>
      <c r="G89">
        <f>E89/F89</f>
        <v>-0.35650000000000032</v>
      </c>
      <c r="H89">
        <f>IF(A89="crop",G89, 0)</f>
        <v>-0.35650000000000032</v>
      </c>
      <c r="I89">
        <f>IF(A89="crop", 0, G89)</f>
        <v>0</v>
      </c>
      <c r="M89">
        <f t="shared" si="4"/>
        <v>-2.2968785714285738E-3</v>
      </c>
      <c r="Q89" s="6" t="s">
        <v>81</v>
      </c>
      <c r="R89" s="6">
        <v>-0.21</v>
      </c>
    </row>
    <row r="90" spans="1:18" x14ac:dyDescent="0.2">
      <c r="A90" t="s">
        <v>101</v>
      </c>
      <c r="B90" s="6" t="s">
        <v>84</v>
      </c>
      <c r="C90">
        <f>VLOOKUP(B90, $Q$13:$R$96, 2, FALSE)</f>
        <v>0</v>
      </c>
      <c r="D90">
        <v>9.4000000000000092</v>
      </c>
      <c r="E90">
        <f t="shared" si="2"/>
        <v>0</v>
      </c>
      <c r="F90">
        <f>$P$6</f>
        <v>18</v>
      </c>
      <c r="G90">
        <f>E90/F90</f>
        <v>0</v>
      </c>
      <c r="H90">
        <f>IF(A90="crop",G90, 0)</f>
        <v>0</v>
      </c>
      <c r="I90">
        <f>IF(A90="crop", 0, G90)</f>
        <v>0</v>
      </c>
      <c r="M90">
        <f t="shared" si="4"/>
        <v>0</v>
      </c>
      <c r="Q90" s="6" t="s">
        <v>82</v>
      </c>
      <c r="R90" s="6">
        <v>-0.39</v>
      </c>
    </row>
    <row r="91" spans="1:18" x14ac:dyDescent="0.2">
      <c r="A91" t="s">
        <v>101</v>
      </c>
      <c r="B91" s="6" t="s">
        <v>85</v>
      </c>
      <c r="C91">
        <f>VLOOKUP(B91, $Q$13:$R$96, 2, FALSE)</f>
        <v>-7.0000000000000007E-2</v>
      </c>
      <c r="D91">
        <v>9.5000000000000107</v>
      </c>
      <c r="E91">
        <f t="shared" si="2"/>
        <v>-0.66500000000000081</v>
      </c>
      <c r="F91">
        <f>$P$6</f>
        <v>18</v>
      </c>
      <c r="G91">
        <f>E91/F91</f>
        <v>-3.6944444444444488E-2</v>
      </c>
      <c r="H91">
        <f>IF(A91="crop",G91, 0)</f>
        <v>-3.6944444444444488E-2</v>
      </c>
      <c r="I91">
        <f>IF(A91="crop", 0, G91)</f>
        <v>0</v>
      </c>
      <c r="M91">
        <f t="shared" si="4"/>
        <v>-2.3802777777777806E-4</v>
      </c>
      <c r="Q91" s="6" t="s">
        <v>83</v>
      </c>
      <c r="R91" s="6">
        <v>-0.69</v>
      </c>
    </row>
    <row r="92" spans="1:18" x14ac:dyDescent="0.2">
      <c r="A92" t="s">
        <v>101</v>
      </c>
      <c r="B92" s="6" t="s">
        <v>86</v>
      </c>
      <c r="C92">
        <f>VLOOKUP(B92, $Q$13:$R$96, 2, FALSE)</f>
        <v>-0.56999999999999995</v>
      </c>
      <c r="D92">
        <v>9.6000000000000103</v>
      </c>
      <c r="E92">
        <f t="shared" si="2"/>
        <v>-5.4720000000000057</v>
      </c>
      <c r="F92">
        <f>$P$6</f>
        <v>18</v>
      </c>
      <c r="G92">
        <f>E92/F92</f>
        <v>-0.30400000000000033</v>
      </c>
      <c r="H92">
        <f>IF(A92="crop",G92, 0)</f>
        <v>-0.30400000000000033</v>
      </c>
      <c r="I92">
        <f>IF(A92="crop", 0, G92)</f>
        <v>0</v>
      </c>
      <c r="M92">
        <f t="shared" si="4"/>
        <v>-1.9586285714285737E-3</v>
      </c>
      <c r="Q92" s="6" t="s">
        <v>84</v>
      </c>
      <c r="R92" s="6">
        <v>0</v>
      </c>
    </row>
    <row r="93" spans="1:18" x14ac:dyDescent="0.2">
      <c r="A93" t="s">
        <v>101</v>
      </c>
      <c r="B93" s="6" t="s">
        <v>87</v>
      </c>
      <c r="C93">
        <f>VLOOKUP(B93, $Q$13:$R$96, 2, FALSE)</f>
        <v>-0.67</v>
      </c>
      <c r="D93">
        <v>9.7000000000000099</v>
      </c>
      <c r="E93">
        <f t="shared" si="2"/>
        <v>-6.4990000000000068</v>
      </c>
      <c r="F93">
        <f>$P$6</f>
        <v>18</v>
      </c>
      <c r="G93">
        <f>E93/F93</f>
        <v>-0.36105555555555591</v>
      </c>
      <c r="H93">
        <f>IF(A93="crop",G93, 0)</f>
        <v>-0.36105555555555591</v>
      </c>
      <c r="I93">
        <f>IF(A93="crop", 0, G93)</f>
        <v>0</v>
      </c>
      <c r="M93">
        <f t="shared" si="4"/>
        <v>-2.3262293650793673E-3</v>
      </c>
      <c r="Q93" s="6" t="s">
        <v>85</v>
      </c>
      <c r="R93" s="6">
        <v>-7.0000000000000007E-2</v>
      </c>
    </row>
    <row r="94" spans="1:18" x14ac:dyDescent="0.2">
      <c r="A94" t="s">
        <v>101</v>
      </c>
      <c r="B94" s="6" t="s">
        <v>88</v>
      </c>
      <c r="C94">
        <f>VLOOKUP(B94, $Q$13:$R$96, 2, FALSE)</f>
        <v>-0.05</v>
      </c>
      <c r="D94">
        <v>9.8000000000000096</v>
      </c>
      <c r="E94">
        <f t="shared" si="2"/>
        <v>-0.49000000000000049</v>
      </c>
      <c r="F94">
        <f>$P$6</f>
        <v>18</v>
      </c>
      <c r="G94">
        <f>E94/F94</f>
        <v>-2.7222222222222248E-2</v>
      </c>
      <c r="H94">
        <f>IF(A94="crop",G94, 0)</f>
        <v>-2.7222222222222248E-2</v>
      </c>
      <c r="I94">
        <f>IF(A94="crop", 0, G94)</f>
        <v>0</v>
      </c>
      <c r="M94">
        <f t="shared" si="4"/>
        <v>-1.7538888888888907E-4</v>
      </c>
      <c r="Q94" s="6" t="s">
        <v>86</v>
      </c>
      <c r="R94" s="6">
        <v>-0.56999999999999995</v>
      </c>
    </row>
    <row r="95" spans="1:18" x14ac:dyDescent="0.2">
      <c r="A95" t="s">
        <v>102</v>
      </c>
      <c r="B95" s="6" t="s">
        <v>5</v>
      </c>
      <c r="C95">
        <f>VLOOKUP(B95, $Q$13:$R$96, 2, FALSE)</f>
        <v>-0.12</v>
      </c>
      <c r="D95">
        <v>10.8</v>
      </c>
      <c r="E95">
        <f t="shared" ref="E95:E158" si="5">C95*D95</f>
        <v>-1.296</v>
      </c>
      <c r="F95">
        <f>$P$6</f>
        <v>18</v>
      </c>
      <c r="G95">
        <f>E95/F95</f>
        <v>-7.2000000000000008E-2</v>
      </c>
      <c r="H95">
        <f>IF(A95="crop",G95, 0)</f>
        <v>0</v>
      </c>
      <c r="I95">
        <f>IF(A95="crop", 0, G95)</f>
        <v>-7.2000000000000008E-2</v>
      </c>
      <c r="M95">
        <f t="shared" si="4"/>
        <v>-2.0365714285714285E-4</v>
      </c>
      <c r="Q95" s="6" t="s">
        <v>87</v>
      </c>
      <c r="R95" s="6">
        <v>-0.67</v>
      </c>
    </row>
    <row r="96" spans="1:18" x14ac:dyDescent="0.2">
      <c r="A96" t="s">
        <v>102</v>
      </c>
      <c r="B96" s="6" t="s">
        <v>6</v>
      </c>
      <c r="C96">
        <f>VLOOKUP(B96, $Q$13:$R$96, 2, FALSE)</f>
        <v>-0.39</v>
      </c>
      <c r="D96">
        <v>11.8</v>
      </c>
      <c r="E96">
        <f t="shared" si="5"/>
        <v>-4.6020000000000003</v>
      </c>
      <c r="F96">
        <f>$P$6</f>
        <v>18</v>
      </c>
      <c r="G96">
        <f>E96/F96</f>
        <v>-0.25566666666666671</v>
      </c>
      <c r="H96">
        <f>IF(A96="crop",G96, 0)</f>
        <v>0</v>
      </c>
      <c r="I96">
        <f>IF(A96="crop", 0, G96)</f>
        <v>-0.25566666666666671</v>
      </c>
      <c r="M96">
        <f t="shared" si="4"/>
        <v>-7.2317142857142866E-4</v>
      </c>
      <c r="Q96" s="6" t="s">
        <v>88</v>
      </c>
      <c r="R96" s="6">
        <v>-0.05</v>
      </c>
    </row>
    <row r="97" spans="1:13" x14ac:dyDescent="0.2">
      <c r="A97" t="s">
        <v>102</v>
      </c>
      <c r="B97" s="6" t="s">
        <v>7</v>
      </c>
      <c r="C97">
        <f>VLOOKUP(B97, $Q$13:$R$96, 2, FALSE)</f>
        <v>-0.09</v>
      </c>
      <c r="D97">
        <v>12.8</v>
      </c>
      <c r="E97">
        <f t="shared" si="5"/>
        <v>-1.1519999999999999</v>
      </c>
      <c r="F97">
        <f>$P$6</f>
        <v>18</v>
      </c>
      <c r="G97">
        <f>E97/F97</f>
        <v>-6.4000000000000001E-2</v>
      </c>
      <c r="H97">
        <f>IF(A97="crop",G97, 0)</f>
        <v>0</v>
      </c>
      <c r="I97">
        <f>IF(A97="crop", 0, G97)</f>
        <v>-6.4000000000000001E-2</v>
      </c>
      <c r="M97">
        <f t="shared" si="4"/>
        <v>-1.8102857142857141E-4</v>
      </c>
    </row>
    <row r="98" spans="1:13" x14ac:dyDescent="0.2">
      <c r="A98" t="s">
        <v>102</v>
      </c>
      <c r="B98" s="6" t="s">
        <v>8</v>
      </c>
      <c r="C98">
        <f>VLOOKUP(B98, $Q$13:$R$96, 2, FALSE)</f>
        <v>-0.09</v>
      </c>
      <c r="D98">
        <v>13.8</v>
      </c>
      <c r="E98">
        <f t="shared" si="5"/>
        <v>-1.242</v>
      </c>
      <c r="F98">
        <f>$P$6</f>
        <v>18</v>
      </c>
      <c r="G98">
        <f>E98/F98</f>
        <v>-6.9000000000000006E-2</v>
      </c>
      <c r="H98">
        <f>IF(A98="crop",G98, 0)</f>
        <v>0</v>
      </c>
      <c r="I98">
        <f>IF(A98="crop", 0, G98)</f>
        <v>-6.9000000000000006E-2</v>
      </c>
      <c r="M98">
        <f t="shared" si="4"/>
        <v>-1.951714285714286E-4</v>
      </c>
    </row>
    <row r="99" spans="1:13" x14ac:dyDescent="0.2">
      <c r="A99" t="s">
        <v>102</v>
      </c>
      <c r="B99" s="6" t="s">
        <v>9</v>
      </c>
      <c r="C99">
        <f>VLOOKUP(B99, $Q$13:$R$96, 2, FALSE)</f>
        <v>-0.13</v>
      </c>
      <c r="D99">
        <v>14.8</v>
      </c>
      <c r="E99">
        <f t="shared" si="5"/>
        <v>-1.9240000000000002</v>
      </c>
      <c r="F99">
        <f>$P$6</f>
        <v>18</v>
      </c>
      <c r="G99">
        <f>E99/F99</f>
        <v>-0.10688888888888889</v>
      </c>
      <c r="H99">
        <f>IF(A99="crop",G99, 0)</f>
        <v>0</v>
      </c>
      <c r="I99">
        <f>IF(A99="crop", 0, G99)</f>
        <v>-0.10688888888888889</v>
      </c>
      <c r="M99">
        <f t="shared" si="4"/>
        <v>-3.0234285714285717E-4</v>
      </c>
    </row>
    <row r="100" spans="1:13" x14ac:dyDescent="0.2">
      <c r="A100" t="s">
        <v>102</v>
      </c>
      <c r="B100" s="6" t="s">
        <v>10</v>
      </c>
      <c r="C100">
        <f>VLOOKUP(B100, $Q$13:$R$96, 2, FALSE)</f>
        <v>-0.13</v>
      </c>
      <c r="D100">
        <v>15.8</v>
      </c>
      <c r="E100">
        <f t="shared" si="5"/>
        <v>-2.0540000000000003</v>
      </c>
      <c r="F100">
        <f>$P$6</f>
        <v>18</v>
      </c>
      <c r="G100">
        <f>E100/F100</f>
        <v>-0.11411111111111112</v>
      </c>
      <c r="H100">
        <f>IF(A100="crop",G100, 0)</f>
        <v>0</v>
      </c>
      <c r="I100">
        <f>IF(A100="crop", 0, G100)</f>
        <v>-0.11411111111111112</v>
      </c>
      <c r="M100">
        <f t="shared" si="4"/>
        <v>-3.2277142857142858E-4</v>
      </c>
    </row>
    <row r="101" spans="1:13" x14ac:dyDescent="0.2">
      <c r="A101" t="s">
        <v>102</v>
      </c>
      <c r="B101" s="6" t="s">
        <v>11</v>
      </c>
      <c r="C101">
        <f>VLOOKUP(B101, $Q$13:$R$96, 2, FALSE)</f>
        <v>-0.55000000000000004</v>
      </c>
      <c r="D101">
        <v>16.8</v>
      </c>
      <c r="E101">
        <f t="shared" si="5"/>
        <v>-9.240000000000002</v>
      </c>
      <c r="F101">
        <f>$P$6</f>
        <v>18</v>
      </c>
      <c r="G101">
        <f>E101/F101</f>
        <v>-0.51333333333333342</v>
      </c>
      <c r="H101">
        <f>IF(A101="crop",G101, 0)</f>
        <v>0</v>
      </c>
      <c r="I101">
        <f>IF(A101="crop", 0, G101)</f>
        <v>-0.51333333333333342</v>
      </c>
      <c r="M101">
        <f t="shared" si="4"/>
        <v>-1.4520000000000002E-3</v>
      </c>
    </row>
    <row r="102" spans="1:13" x14ac:dyDescent="0.2">
      <c r="A102" t="s">
        <v>102</v>
      </c>
      <c r="B102" s="6" t="s">
        <v>12</v>
      </c>
      <c r="C102">
        <f>VLOOKUP(B102, $Q$13:$R$96, 2, FALSE)</f>
        <v>-0.01</v>
      </c>
      <c r="D102">
        <v>17.8</v>
      </c>
      <c r="E102">
        <f t="shared" si="5"/>
        <v>-0.17800000000000002</v>
      </c>
      <c r="F102">
        <f>$P$6</f>
        <v>18</v>
      </c>
      <c r="G102">
        <f>E102/F102</f>
        <v>-9.8888888888888898E-3</v>
      </c>
      <c r="H102">
        <f>IF(A102="crop",G102, 0)</f>
        <v>0</v>
      </c>
      <c r="I102">
        <f>IF(A102="crop", 0, G102)</f>
        <v>-9.8888888888888898E-3</v>
      </c>
      <c r="M102">
        <f t="shared" si="4"/>
        <v>-2.7971428571428573E-5</v>
      </c>
    </row>
    <row r="103" spans="1:13" x14ac:dyDescent="0.2">
      <c r="A103" t="s">
        <v>102</v>
      </c>
      <c r="B103" s="6" t="s">
        <v>13</v>
      </c>
      <c r="C103">
        <f>VLOOKUP(B103, $Q$13:$R$96, 2, FALSE)</f>
        <v>-7.0000000000000007E-2</v>
      </c>
      <c r="D103">
        <v>18.8</v>
      </c>
      <c r="E103">
        <f t="shared" si="5"/>
        <v>-1.3160000000000003</v>
      </c>
      <c r="F103">
        <f>$P$6</f>
        <v>18</v>
      </c>
      <c r="G103">
        <f>E103/F103</f>
        <v>-7.3111111111111127E-2</v>
      </c>
      <c r="H103">
        <f>IF(A103="crop",G103, 0)</f>
        <v>0</v>
      </c>
      <c r="I103">
        <f>IF(A103="crop", 0, G103)</f>
        <v>-7.3111111111111127E-2</v>
      </c>
      <c r="M103">
        <f t="shared" si="4"/>
        <v>-2.0680000000000004E-4</v>
      </c>
    </row>
    <row r="104" spans="1:13" x14ac:dyDescent="0.2">
      <c r="A104" t="s">
        <v>102</v>
      </c>
      <c r="B104" s="6" t="s">
        <v>14</v>
      </c>
      <c r="C104">
        <f>VLOOKUP(B104, $Q$13:$R$96, 2, FALSE)</f>
        <v>-0.06</v>
      </c>
      <c r="D104">
        <v>19.8</v>
      </c>
      <c r="E104">
        <f t="shared" si="5"/>
        <v>-1.1879999999999999</v>
      </c>
      <c r="F104">
        <f>$P$6</f>
        <v>18</v>
      </c>
      <c r="G104">
        <f>E104/F104</f>
        <v>-6.6000000000000003E-2</v>
      </c>
      <c r="H104">
        <f>IF(A104="crop",G104, 0)</f>
        <v>0</v>
      </c>
      <c r="I104">
        <f>IF(A104="crop", 0, G104)</f>
        <v>-6.6000000000000003E-2</v>
      </c>
      <c r="M104">
        <f t="shared" si="4"/>
        <v>-1.8668571428571428E-4</v>
      </c>
    </row>
    <row r="105" spans="1:13" x14ac:dyDescent="0.2">
      <c r="A105" t="s">
        <v>102</v>
      </c>
      <c r="B105" s="6" t="s">
        <v>15</v>
      </c>
      <c r="C105">
        <f>VLOOKUP(B105, $Q$13:$R$96, 2, FALSE)</f>
        <v>-0.09</v>
      </c>
      <c r="D105">
        <v>20.8</v>
      </c>
      <c r="E105">
        <f t="shared" si="5"/>
        <v>-1.8719999999999999</v>
      </c>
      <c r="F105">
        <f>$P$6</f>
        <v>18</v>
      </c>
      <c r="G105">
        <f>E105/F105</f>
        <v>-0.104</v>
      </c>
      <c r="H105">
        <f>IF(A105="crop",G105, 0)</f>
        <v>0</v>
      </c>
      <c r="I105">
        <f>IF(A105="crop", 0, G105)</f>
        <v>-0.104</v>
      </c>
      <c r="M105">
        <f t="shared" si="4"/>
        <v>-2.9417142857142854E-4</v>
      </c>
    </row>
    <row r="106" spans="1:13" x14ac:dyDescent="0.2">
      <c r="A106" t="s">
        <v>102</v>
      </c>
      <c r="B106" s="6" t="s">
        <v>16</v>
      </c>
      <c r="C106">
        <f>VLOOKUP(B106, $Q$13:$R$96, 2, FALSE)</f>
        <v>-0.19</v>
      </c>
      <c r="D106">
        <v>21.8</v>
      </c>
      <c r="E106">
        <f t="shared" si="5"/>
        <v>-4.1420000000000003</v>
      </c>
      <c r="F106">
        <f>$P$6</f>
        <v>18</v>
      </c>
      <c r="G106">
        <f>E106/F106</f>
        <v>-0.23011111111111113</v>
      </c>
      <c r="H106">
        <f>IF(A106="crop",G106, 0)</f>
        <v>0</v>
      </c>
      <c r="I106">
        <f>IF(A106="crop", 0, G106)</f>
        <v>-0.23011111111111113</v>
      </c>
      <c r="M106">
        <f t="shared" si="4"/>
        <v>-6.5088571428571437E-4</v>
      </c>
    </row>
    <row r="107" spans="1:13" x14ac:dyDescent="0.2">
      <c r="A107" t="s">
        <v>102</v>
      </c>
      <c r="B107" s="6" t="s">
        <v>17</v>
      </c>
      <c r="C107">
        <f>VLOOKUP(B107, $Q$13:$R$96, 2, FALSE)</f>
        <v>-0.13</v>
      </c>
      <c r="D107">
        <v>22.8</v>
      </c>
      <c r="E107">
        <f t="shared" si="5"/>
        <v>-2.9640000000000004</v>
      </c>
      <c r="F107">
        <f>$P$6</f>
        <v>18</v>
      </c>
      <c r="G107">
        <f>E107/F107</f>
        <v>-0.16466666666666668</v>
      </c>
      <c r="H107">
        <f>IF(A107="crop",G107, 0)</f>
        <v>0</v>
      </c>
      <c r="I107">
        <f>IF(A107="crop", 0, G107)</f>
        <v>-0.16466666666666668</v>
      </c>
      <c r="M107">
        <f t="shared" si="4"/>
        <v>-4.6577142857142864E-4</v>
      </c>
    </row>
    <row r="108" spans="1:13" x14ac:dyDescent="0.2">
      <c r="A108" t="s">
        <v>102</v>
      </c>
      <c r="B108" s="6" t="s">
        <v>18</v>
      </c>
      <c r="C108">
        <f>VLOOKUP(B108, $Q$13:$R$96, 2, FALSE)</f>
        <v>-0.04</v>
      </c>
      <c r="D108">
        <v>23.8</v>
      </c>
      <c r="E108">
        <f t="shared" si="5"/>
        <v>-0.95200000000000007</v>
      </c>
      <c r="F108">
        <f>$P$6</f>
        <v>18</v>
      </c>
      <c r="G108">
        <f>E108/F108</f>
        <v>-5.2888888888888895E-2</v>
      </c>
      <c r="H108">
        <f>IF(A108="crop",G108, 0)</f>
        <v>0</v>
      </c>
      <c r="I108">
        <f>IF(A108="crop", 0, G108)</f>
        <v>-5.2888888888888895E-2</v>
      </c>
      <c r="M108">
        <f t="shared" si="4"/>
        <v>-1.496E-4</v>
      </c>
    </row>
    <row r="109" spans="1:13" x14ac:dyDescent="0.2">
      <c r="A109" t="s">
        <v>102</v>
      </c>
      <c r="B109" s="6" t="s">
        <v>19</v>
      </c>
      <c r="C109">
        <f>VLOOKUP(B109, $Q$13:$R$96, 2, FALSE)</f>
        <v>-0.4</v>
      </c>
      <c r="D109">
        <v>24.8</v>
      </c>
      <c r="E109">
        <f t="shared" si="5"/>
        <v>-9.9200000000000017</v>
      </c>
      <c r="F109">
        <f>$P$6</f>
        <v>18</v>
      </c>
      <c r="G109">
        <f>E109/F109</f>
        <v>-0.55111111111111122</v>
      </c>
      <c r="H109">
        <f>IF(A109="crop",G109, 0)</f>
        <v>0</v>
      </c>
      <c r="I109">
        <f>IF(A109="crop", 0, G109)</f>
        <v>-0.55111111111111122</v>
      </c>
      <c r="M109">
        <f t="shared" si="4"/>
        <v>-1.5588571428571433E-3</v>
      </c>
    </row>
    <row r="110" spans="1:13" x14ac:dyDescent="0.2">
      <c r="A110" t="s">
        <v>102</v>
      </c>
      <c r="B110" s="6" t="s">
        <v>20</v>
      </c>
      <c r="C110">
        <f>VLOOKUP(B110, $Q$13:$R$96, 2, FALSE)</f>
        <v>-0.09</v>
      </c>
      <c r="D110">
        <v>25.8</v>
      </c>
      <c r="E110">
        <f t="shared" si="5"/>
        <v>-2.3220000000000001</v>
      </c>
      <c r="F110">
        <f>$P$6</f>
        <v>18</v>
      </c>
      <c r="G110">
        <f>E110/F110</f>
        <v>-0.129</v>
      </c>
      <c r="H110">
        <f>IF(A110="crop",G110, 0)</f>
        <v>0</v>
      </c>
      <c r="I110">
        <f>IF(A110="crop", 0, G110)</f>
        <v>-0.129</v>
      </c>
      <c r="M110">
        <f t="shared" si="4"/>
        <v>-3.648857142857143E-4</v>
      </c>
    </row>
    <row r="111" spans="1:13" x14ac:dyDescent="0.2">
      <c r="A111" t="s">
        <v>102</v>
      </c>
      <c r="B111" s="6" t="s">
        <v>21</v>
      </c>
      <c r="C111">
        <f>VLOOKUP(B111, $Q$13:$R$96, 2, FALSE)</f>
        <v>0</v>
      </c>
      <c r="D111">
        <v>26.8</v>
      </c>
      <c r="E111">
        <f t="shared" si="5"/>
        <v>0</v>
      </c>
      <c r="F111">
        <f>$P$6</f>
        <v>18</v>
      </c>
      <c r="G111">
        <f>E111/F111</f>
        <v>0</v>
      </c>
      <c r="H111">
        <f>IF(A111="crop",G111, 0)</f>
        <v>0</v>
      </c>
      <c r="I111">
        <f>IF(A111="crop", 0, G111)</f>
        <v>0</v>
      </c>
      <c r="M111">
        <f t="shared" si="4"/>
        <v>0</v>
      </c>
    </row>
    <row r="112" spans="1:13" x14ac:dyDescent="0.2">
      <c r="A112" t="s">
        <v>102</v>
      </c>
      <c r="B112" s="6" t="s">
        <v>22</v>
      </c>
      <c r="C112">
        <f>VLOOKUP(B112, $Q$13:$R$96, 2, FALSE)</f>
        <v>-0.44</v>
      </c>
      <c r="D112">
        <v>27.8</v>
      </c>
      <c r="E112">
        <f t="shared" si="5"/>
        <v>-12.232000000000001</v>
      </c>
      <c r="F112">
        <f>$P$6</f>
        <v>18</v>
      </c>
      <c r="G112">
        <f>E112/F112</f>
        <v>-0.67955555555555558</v>
      </c>
      <c r="H112">
        <f>IF(A112="crop",G112, 0)</f>
        <v>0</v>
      </c>
      <c r="I112">
        <f>IF(A112="crop", 0, G112)</f>
        <v>-0.67955555555555558</v>
      </c>
      <c r="M112">
        <f t="shared" si="4"/>
        <v>-1.9221714285714286E-3</v>
      </c>
    </row>
    <row r="113" spans="1:13" x14ac:dyDescent="0.2">
      <c r="A113" t="s">
        <v>102</v>
      </c>
      <c r="B113" s="6" t="s">
        <v>23</v>
      </c>
      <c r="C113">
        <f>VLOOKUP(B113, $Q$13:$R$96, 2, FALSE)</f>
        <v>-0.21</v>
      </c>
      <c r="D113">
        <v>28.8</v>
      </c>
      <c r="E113">
        <f t="shared" si="5"/>
        <v>-6.048</v>
      </c>
      <c r="F113">
        <f>$P$6</f>
        <v>18</v>
      </c>
      <c r="G113">
        <f>E113/F113</f>
        <v>-0.33600000000000002</v>
      </c>
      <c r="H113">
        <f>IF(A113="crop",G113, 0)</f>
        <v>0</v>
      </c>
      <c r="I113">
        <f>IF(A113="crop", 0, G113)</f>
        <v>-0.33600000000000002</v>
      </c>
      <c r="M113">
        <f t="shared" si="4"/>
        <v>-9.5040000000000012E-4</v>
      </c>
    </row>
    <row r="114" spans="1:13" x14ac:dyDescent="0.2">
      <c r="A114" t="s">
        <v>102</v>
      </c>
      <c r="B114" s="6" t="s">
        <v>24</v>
      </c>
      <c r="C114">
        <f>VLOOKUP(B114, $Q$13:$R$96, 2, FALSE)</f>
        <v>-0.21</v>
      </c>
      <c r="D114">
        <v>29.8</v>
      </c>
      <c r="E114">
        <f t="shared" si="5"/>
        <v>-6.258</v>
      </c>
      <c r="F114">
        <f>$P$6</f>
        <v>18</v>
      </c>
      <c r="G114">
        <f>E114/F114</f>
        <v>-0.34766666666666668</v>
      </c>
      <c r="H114">
        <f>IF(A114="crop",G114, 0)</f>
        <v>0</v>
      </c>
      <c r="I114">
        <f>IF(A114="crop", 0, G114)</f>
        <v>-0.34766666666666668</v>
      </c>
      <c r="M114">
        <f t="shared" si="4"/>
        <v>-9.8339999999999994E-4</v>
      </c>
    </row>
    <row r="115" spans="1:13" x14ac:dyDescent="0.2">
      <c r="A115" t="s">
        <v>102</v>
      </c>
      <c r="B115" s="6" t="s">
        <v>25</v>
      </c>
      <c r="C115">
        <f>VLOOKUP(B115, $Q$13:$R$96, 2, FALSE)</f>
        <v>0</v>
      </c>
      <c r="D115">
        <v>30.8</v>
      </c>
      <c r="E115">
        <f t="shared" si="5"/>
        <v>0</v>
      </c>
      <c r="F115">
        <f>$P$6</f>
        <v>18</v>
      </c>
      <c r="G115">
        <f>E115/F115</f>
        <v>0</v>
      </c>
      <c r="H115">
        <f>IF(A115="crop",G115, 0)</f>
        <v>0</v>
      </c>
      <c r="I115">
        <f>IF(A115="crop", 0, G115)</f>
        <v>0</v>
      </c>
      <c r="M115">
        <f t="shared" si="4"/>
        <v>0</v>
      </c>
    </row>
    <row r="116" spans="1:13" x14ac:dyDescent="0.2">
      <c r="A116" t="s">
        <v>102</v>
      </c>
      <c r="B116" s="6" t="s">
        <v>26</v>
      </c>
      <c r="C116">
        <f>VLOOKUP(B116, $Q$13:$R$96, 2, FALSE)</f>
        <v>-0.04</v>
      </c>
      <c r="D116">
        <v>31.8</v>
      </c>
      <c r="E116">
        <f t="shared" si="5"/>
        <v>-1.272</v>
      </c>
      <c r="F116">
        <f>$P$6</f>
        <v>18</v>
      </c>
      <c r="G116">
        <f>E116/F116</f>
        <v>-7.0666666666666669E-2</v>
      </c>
      <c r="H116">
        <f>IF(A116="crop",G116, 0)</f>
        <v>0</v>
      </c>
      <c r="I116">
        <f>IF(A116="crop", 0, G116)</f>
        <v>-7.0666666666666669E-2</v>
      </c>
      <c r="M116">
        <f t="shared" si="4"/>
        <v>-1.9988571428571428E-4</v>
      </c>
    </row>
    <row r="117" spans="1:13" x14ac:dyDescent="0.2">
      <c r="A117" t="s">
        <v>102</v>
      </c>
      <c r="B117" s="6" t="s">
        <v>27</v>
      </c>
      <c r="C117">
        <f>VLOOKUP(B117, $Q$13:$R$96, 2, FALSE)</f>
        <v>-7.0000000000000007E-2</v>
      </c>
      <c r="D117">
        <v>32.799999999999997</v>
      </c>
      <c r="E117">
        <f t="shared" si="5"/>
        <v>-2.2959999999999998</v>
      </c>
      <c r="F117">
        <f>$P$6</f>
        <v>18</v>
      </c>
      <c r="G117">
        <f>E117/F117</f>
        <v>-0.12755555555555553</v>
      </c>
      <c r="H117">
        <f>IF(A117="crop",G117, 0)</f>
        <v>0</v>
      </c>
      <c r="I117">
        <f>IF(A117="crop", 0, G117)</f>
        <v>-0.12755555555555553</v>
      </c>
      <c r="M117">
        <f t="shared" si="4"/>
        <v>-3.6079999999999988E-4</v>
      </c>
    </row>
    <row r="118" spans="1:13" x14ac:dyDescent="0.2">
      <c r="A118" t="s">
        <v>102</v>
      </c>
      <c r="B118" s="6" t="s">
        <v>28</v>
      </c>
      <c r="C118">
        <f>VLOOKUP(B118, $Q$13:$R$96, 2, FALSE)</f>
        <v>-0.04</v>
      </c>
      <c r="D118">
        <v>33.799999999999997</v>
      </c>
      <c r="E118">
        <f t="shared" si="5"/>
        <v>-1.3519999999999999</v>
      </c>
      <c r="F118">
        <f>$P$6</f>
        <v>18</v>
      </c>
      <c r="G118">
        <f>E118/F118</f>
        <v>-7.5111111111111101E-2</v>
      </c>
      <c r="H118">
        <f>IF(A118="crop",G118, 0)</f>
        <v>0</v>
      </c>
      <c r="I118">
        <f>IF(A118="crop", 0, G118)</f>
        <v>-7.5111111111111101E-2</v>
      </c>
      <c r="M118">
        <f t="shared" si="4"/>
        <v>-2.1245714285714282E-4</v>
      </c>
    </row>
    <row r="119" spans="1:13" x14ac:dyDescent="0.2">
      <c r="A119" t="s">
        <v>102</v>
      </c>
      <c r="B119" s="6" t="s">
        <v>29</v>
      </c>
      <c r="C119">
        <f>VLOOKUP(B119, $Q$13:$R$96, 2, FALSE)</f>
        <v>-0.24</v>
      </c>
      <c r="D119">
        <v>34.799999999999997</v>
      </c>
      <c r="E119">
        <f t="shared" si="5"/>
        <v>-8.3519999999999985</v>
      </c>
      <c r="F119">
        <f>$P$6</f>
        <v>18</v>
      </c>
      <c r="G119">
        <f>E119/F119</f>
        <v>-0.46399999999999991</v>
      </c>
      <c r="H119">
        <f>IF(A119="crop",G119, 0)</f>
        <v>0</v>
      </c>
      <c r="I119">
        <f>IF(A119="crop", 0, G119)</f>
        <v>-0.46399999999999991</v>
      </c>
      <c r="M119">
        <f t="shared" si="4"/>
        <v>-1.3124571428571425E-3</v>
      </c>
    </row>
    <row r="120" spans="1:13" x14ac:dyDescent="0.2">
      <c r="A120" t="s">
        <v>102</v>
      </c>
      <c r="B120" s="6" t="s">
        <v>30</v>
      </c>
      <c r="C120">
        <f>VLOOKUP(B120, $Q$13:$R$96, 2, FALSE)</f>
        <v>-0.17</v>
      </c>
      <c r="D120">
        <v>35.799999999999997</v>
      </c>
      <c r="E120">
        <f t="shared" si="5"/>
        <v>-6.0860000000000003</v>
      </c>
      <c r="F120">
        <f>$P$6</f>
        <v>18</v>
      </c>
      <c r="G120">
        <f>E120/F120</f>
        <v>-0.33811111111111114</v>
      </c>
      <c r="H120">
        <f>IF(A120="crop",G120, 0)</f>
        <v>0</v>
      </c>
      <c r="I120">
        <f>IF(A120="crop", 0, G120)</f>
        <v>-0.33811111111111114</v>
      </c>
      <c r="M120">
        <f t="shared" si="4"/>
        <v>-9.5637142857142858E-4</v>
      </c>
    </row>
    <row r="121" spans="1:13" x14ac:dyDescent="0.2">
      <c r="A121" t="s">
        <v>102</v>
      </c>
      <c r="B121" s="6" t="s">
        <v>31</v>
      </c>
      <c r="C121">
        <f>VLOOKUP(B121, $Q$13:$R$96, 2, FALSE)</f>
        <v>-0.03</v>
      </c>
      <c r="D121">
        <v>36.799999999999997</v>
      </c>
      <c r="E121">
        <f t="shared" si="5"/>
        <v>-1.1039999999999999</v>
      </c>
      <c r="F121">
        <f>$P$6</f>
        <v>18</v>
      </c>
      <c r="G121">
        <f>E121/F121</f>
        <v>-6.1333333333333323E-2</v>
      </c>
      <c r="H121">
        <f>IF(A121="crop",G121, 0)</f>
        <v>0</v>
      </c>
      <c r="I121">
        <f>IF(A121="crop", 0, G121)</f>
        <v>-6.1333333333333323E-2</v>
      </c>
      <c r="M121">
        <f t="shared" si="4"/>
        <v>-1.7348571428571423E-4</v>
      </c>
    </row>
    <row r="122" spans="1:13" x14ac:dyDescent="0.2">
      <c r="A122" t="s">
        <v>102</v>
      </c>
      <c r="B122" s="6" t="s">
        <v>32</v>
      </c>
      <c r="C122">
        <f>VLOOKUP(B122, $Q$13:$R$96, 2, FALSE)</f>
        <v>-0.02</v>
      </c>
      <c r="D122">
        <v>37.799999999999997</v>
      </c>
      <c r="E122">
        <f t="shared" si="5"/>
        <v>-0.75600000000000001</v>
      </c>
      <c r="F122">
        <f>$P$6</f>
        <v>18</v>
      </c>
      <c r="G122">
        <f>E122/F122</f>
        <v>-4.2000000000000003E-2</v>
      </c>
      <c r="H122">
        <f>IF(A122="crop",G122, 0)</f>
        <v>0</v>
      </c>
      <c r="I122">
        <f>IF(A122="crop", 0, G122)</f>
        <v>-4.2000000000000003E-2</v>
      </c>
      <c r="M122">
        <f t="shared" si="4"/>
        <v>-1.1880000000000001E-4</v>
      </c>
    </row>
    <row r="123" spans="1:13" x14ac:dyDescent="0.2">
      <c r="A123" t="s">
        <v>102</v>
      </c>
      <c r="B123" s="6" t="s">
        <v>33</v>
      </c>
      <c r="C123">
        <f>VLOOKUP(B123, $Q$13:$R$96, 2, FALSE)</f>
        <v>-0.43</v>
      </c>
      <c r="D123">
        <v>38.799999999999997</v>
      </c>
      <c r="E123">
        <f t="shared" si="5"/>
        <v>-16.683999999999997</v>
      </c>
      <c r="F123">
        <f>$P$6</f>
        <v>18</v>
      </c>
      <c r="G123">
        <f>E123/F123</f>
        <v>-0.92688888888888876</v>
      </c>
      <c r="H123">
        <f>IF(A123="crop",G123, 0)</f>
        <v>0</v>
      </c>
      <c r="I123">
        <f>IF(A123="crop", 0, G123)</f>
        <v>-0.92688888888888876</v>
      </c>
      <c r="M123">
        <f t="shared" si="4"/>
        <v>-2.6217714285714281E-3</v>
      </c>
    </row>
    <row r="124" spans="1:13" x14ac:dyDescent="0.2">
      <c r="A124" t="s">
        <v>102</v>
      </c>
      <c r="B124" s="6" t="s">
        <v>34</v>
      </c>
      <c r="C124">
        <f>VLOOKUP(B124, $Q$13:$R$96, 2, FALSE)</f>
        <v>-0.14000000000000001</v>
      </c>
      <c r="D124">
        <v>39.799999999999997</v>
      </c>
      <c r="E124">
        <f t="shared" si="5"/>
        <v>-5.5720000000000001</v>
      </c>
      <c r="F124">
        <f>$P$6</f>
        <v>18</v>
      </c>
      <c r="G124">
        <f>E124/F124</f>
        <v>-0.30955555555555558</v>
      </c>
      <c r="H124">
        <f>IF(A124="crop",G124, 0)</f>
        <v>0</v>
      </c>
      <c r="I124">
        <f>IF(A124="crop", 0, G124)</f>
        <v>-0.30955555555555558</v>
      </c>
      <c r="M124">
        <f t="shared" si="4"/>
        <v>-8.7559999999999992E-4</v>
      </c>
    </row>
    <row r="125" spans="1:13" x14ac:dyDescent="0.2">
      <c r="A125" t="s">
        <v>102</v>
      </c>
      <c r="B125" s="6" t="s">
        <v>35</v>
      </c>
      <c r="C125">
        <f>VLOOKUP(B125, $Q$13:$R$96, 2, FALSE)</f>
        <v>0</v>
      </c>
      <c r="D125">
        <v>40.799999999999997</v>
      </c>
      <c r="E125">
        <f t="shared" si="5"/>
        <v>0</v>
      </c>
      <c r="F125">
        <f>$P$6</f>
        <v>18</v>
      </c>
      <c r="G125">
        <f>E125/F125</f>
        <v>0</v>
      </c>
      <c r="H125">
        <f>IF(A125="crop",G125, 0)</f>
        <v>0</v>
      </c>
      <c r="I125">
        <f>IF(A125="crop", 0, G125)</f>
        <v>0</v>
      </c>
      <c r="M125">
        <f t="shared" si="4"/>
        <v>0</v>
      </c>
    </row>
    <row r="126" spans="1:13" x14ac:dyDescent="0.2">
      <c r="A126" t="s">
        <v>102</v>
      </c>
      <c r="B126" s="6" t="s">
        <v>36</v>
      </c>
      <c r="C126">
        <f>VLOOKUP(B126, $Q$13:$R$96, 2, FALSE)</f>
        <v>-0.12</v>
      </c>
      <c r="D126">
        <v>41.8</v>
      </c>
      <c r="E126">
        <f t="shared" si="5"/>
        <v>-5.0159999999999991</v>
      </c>
      <c r="F126">
        <f>$P$6</f>
        <v>18</v>
      </c>
      <c r="G126">
        <f>E126/F126</f>
        <v>-0.27866666666666662</v>
      </c>
      <c r="H126">
        <f>IF(A126="crop",G126, 0)</f>
        <v>0</v>
      </c>
      <c r="I126">
        <f>IF(A126="crop", 0, G126)</f>
        <v>-0.27866666666666662</v>
      </c>
      <c r="M126">
        <f t="shared" si="4"/>
        <v>-7.8822857142857132E-4</v>
      </c>
    </row>
    <row r="127" spans="1:13" x14ac:dyDescent="0.2">
      <c r="A127" t="s">
        <v>102</v>
      </c>
      <c r="B127" s="6" t="s">
        <v>37</v>
      </c>
      <c r="C127">
        <f>VLOOKUP(B127, $Q$13:$R$96, 2, FALSE)</f>
        <v>-0.13</v>
      </c>
      <c r="D127">
        <v>42.8</v>
      </c>
      <c r="E127">
        <f t="shared" si="5"/>
        <v>-5.5640000000000001</v>
      </c>
      <c r="F127">
        <f>$P$6</f>
        <v>18</v>
      </c>
      <c r="G127">
        <f>E127/F127</f>
        <v>-0.30911111111111111</v>
      </c>
      <c r="H127">
        <f>IF(A127="crop",G127, 0)</f>
        <v>0</v>
      </c>
      <c r="I127">
        <f>IF(A127="crop", 0, G127)</f>
        <v>-0.30911111111111111</v>
      </c>
      <c r="M127">
        <f t="shared" si="4"/>
        <v>-8.7434285714285708E-4</v>
      </c>
    </row>
    <row r="128" spans="1:13" x14ac:dyDescent="0.2">
      <c r="A128" t="s">
        <v>102</v>
      </c>
      <c r="B128" s="6" t="s">
        <v>38</v>
      </c>
      <c r="C128">
        <f>VLOOKUP(B128, $Q$13:$R$96, 2, FALSE)</f>
        <v>-0.16</v>
      </c>
      <c r="D128">
        <v>43.8</v>
      </c>
      <c r="E128">
        <f t="shared" si="5"/>
        <v>-7.008</v>
      </c>
      <c r="F128">
        <f>$P$6</f>
        <v>18</v>
      </c>
      <c r="G128">
        <f>E128/F128</f>
        <v>-0.38933333333333331</v>
      </c>
      <c r="H128">
        <f>IF(A128="crop",G128, 0)</f>
        <v>0</v>
      </c>
      <c r="I128">
        <f>IF(A128="crop", 0, G128)</f>
        <v>-0.38933333333333331</v>
      </c>
      <c r="M128">
        <f t="shared" si="4"/>
        <v>-1.1012571428571426E-3</v>
      </c>
    </row>
    <row r="129" spans="1:13" x14ac:dyDescent="0.2">
      <c r="A129" t="s">
        <v>102</v>
      </c>
      <c r="B129" s="6" t="s">
        <v>39</v>
      </c>
      <c r="C129">
        <f>VLOOKUP(B129, $Q$13:$R$96, 2, FALSE)</f>
        <v>-0.09</v>
      </c>
      <c r="D129">
        <v>44.8</v>
      </c>
      <c r="E129">
        <f t="shared" si="5"/>
        <v>-4.032</v>
      </c>
      <c r="F129">
        <f>$P$6</f>
        <v>18</v>
      </c>
      <c r="G129">
        <f>E129/F129</f>
        <v>-0.224</v>
      </c>
      <c r="H129">
        <f>IF(A129="crop",G129, 0)</f>
        <v>0</v>
      </c>
      <c r="I129">
        <f>IF(A129="crop", 0, G129)</f>
        <v>-0.224</v>
      </c>
      <c r="M129">
        <f>(H129*$J$11+I129*$K$11)*$L$11</f>
        <v>-6.3360000000000001E-4</v>
      </c>
    </row>
    <row r="130" spans="1:13" x14ac:dyDescent="0.2">
      <c r="A130" t="s">
        <v>102</v>
      </c>
      <c r="B130" s="6" t="s">
        <v>40</v>
      </c>
      <c r="C130">
        <f>VLOOKUP(B130, $Q$13:$R$96, 2, FALSE)</f>
        <v>0</v>
      </c>
      <c r="D130">
        <v>45.8</v>
      </c>
      <c r="E130">
        <f t="shared" si="5"/>
        <v>0</v>
      </c>
      <c r="F130">
        <f>$P$6</f>
        <v>18</v>
      </c>
      <c r="G130">
        <f>E130/F130</f>
        <v>0</v>
      </c>
      <c r="H130">
        <f>IF(A130="crop",G130, 0)</f>
        <v>0</v>
      </c>
      <c r="I130">
        <f>IF(A130="crop", 0, G130)</f>
        <v>0</v>
      </c>
      <c r="M130">
        <f t="shared" ref="M130:M158" si="6">(H130*$J$11+I130*$K$11)*$L$11</f>
        <v>0</v>
      </c>
    </row>
    <row r="131" spans="1:13" x14ac:dyDescent="0.2">
      <c r="A131" t="s">
        <v>102</v>
      </c>
      <c r="B131" s="6" t="s">
        <v>41</v>
      </c>
      <c r="C131">
        <f>VLOOKUP(B131, $Q$13:$R$96, 2, FALSE)</f>
        <v>-0.04</v>
      </c>
      <c r="D131">
        <v>46.8</v>
      </c>
      <c r="E131">
        <f t="shared" si="5"/>
        <v>-1.8719999999999999</v>
      </c>
      <c r="F131">
        <f>$P$6</f>
        <v>18</v>
      </c>
      <c r="G131">
        <f>E131/F131</f>
        <v>-0.104</v>
      </c>
      <c r="H131">
        <f>IF(A131="crop",G131, 0)</f>
        <v>0</v>
      </c>
      <c r="I131">
        <f>IF(A131="crop", 0, G131)</f>
        <v>-0.104</v>
      </c>
      <c r="M131">
        <f t="shared" si="6"/>
        <v>-2.9417142857142854E-4</v>
      </c>
    </row>
    <row r="132" spans="1:13" x14ac:dyDescent="0.2">
      <c r="A132" t="s">
        <v>102</v>
      </c>
      <c r="B132" s="6" t="s">
        <v>42</v>
      </c>
      <c r="C132">
        <f>VLOOKUP(B132, $Q$13:$R$96, 2, FALSE)</f>
        <v>-0.03</v>
      </c>
      <c r="D132">
        <v>47.8</v>
      </c>
      <c r="E132">
        <f t="shared" si="5"/>
        <v>-1.4339999999999999</v>
      </c>
      <c r="F132">
        <f>$P$6</f>
        <v>18</v>
      </c>
      <c r="G132">
        <f>E132/F132</f>
        <v>-7.9666666666666663E-2</v>
      </c>
      <c r="H132">
        <f>IF(A132="crop",G132, 0)</f>
        <v>0</v>
      </c>
      <c r="I132">
        <f>IF(A132="crop", 0, G132)</f>
        <v>-7.9666666666666663E-2</v>
      </c>
      <c r="M132">
        <f t="shared" si="6"/>
        <v>-2.2534285714285711E-4</v>
      </c>
    </row>
    <row r="133" spans="1:13" x14ac:dyDescent="0.2">
      <c r="A133" t="s">
        <v>103</v>
      </c>
      <c r="B133" s="6" t="s">
        <v>43</v>
      </c>
      <c r="C133">
        <f>VLOOKUP(B133, $Q$13:$R$96, 2, FALSE)</f>
        <v>-0.14000000000000001</v>
      </c>
      <c r="D133">
        <v>48.8</v>
      </c>
      <c r="E133">
        <f t="shared" si="5"/>
        <v>-6.8319999999999999</v>
      </c>
      <c r="F133">
        <f>$P$6</f>
        <v>18</v>
      </c>
      <c r="G133">
        <f>E133/F133</f>
        <v>-0.37955555555555553</v>
      </c>
      <c r="H133">
        <f>IF(A133="crop",G133, 0)</f>
        <v>0</v>
      </c>
      <c r="I133">
        <f>IF(A133="crop", 0, G133)</f>
        <v>-0.37955555555555553</v>
      </c>
      <c r="M133">
        <f t="shared" si="6"/>
        <v>-1.0735999999999999E-3</v>
      </c>
    </row>
    <row r="134" spans="1:13" x14ac:dyDescent="0.2">
      <c r="A134" t="s">
        <v>103</v>
      </c>
      <c r="B134" s="6" t="s">
        <v>44</v>
      </c>
      <c r="C134">
        <f>VLOOKUP(B134, $Q$13:$R$96, 2, FALSE)</f>
        <v>-0.31</v>
      </c>
      <c r="D134">
        <v>49.8</v>
      </c>
      <c r="E134">
        <f t="shared" si="5"/>
        <v>-15.437999999999999</v>
      </c>
      <c r="F134">
        <f>$P$6</f>
        <v>18</v>
      </c>
      <c r="G134">
        <f>E134/F134</f>
        <v>-0.85766666666666658</v>
      </c>
      <c r="H134">
        <f>IF(A134="crop",G134, 0)</f>
        <v>0</v>
      </c>
      <c r="I134">
        <f>IF(A134="crop", 0, G134)</f>
        <v>-0.85766666666666658</v>
      </c>
      <c r="M134">
        <f t="shared" si="6"/>
        <v>-2.4259714285714282E-3</v>
      </c>
    </row>
    <row r="135" spans="1:13" x14ac:dyDescent="0.2">
      <c r="A135" t="s">
        <v>103</v>
      </c>
      <c r="B135" s="6" t="s">
        <v>45</v>
      </c>
      <c r="C135">
        <f>VLOOKUP(B135, $Q$13:$R$96, 2, FALSE)</f>
        <v>-0.23</v>
      </c>
      <c r="D135">
        <v>50.8</v>
      </c>
      <c r="E135">
        <f t="shared" si="5"/>
        <v>-11.683999999999999</v>
      </c>
      <c r="F135">
        <f>$P$6</f>
        <v>18</v>
      </c>
      <c r="G135">
        <f>E135/F135</f>
        <v>-0.64911111111111108</v>
      </c>
      <c r="H135">
        <f>IF(A135="crop",G135, 0)</f>
        <v>0</v>
      </c>
      <c r="I135">
        <f>IF(A135="crop", 0, G135)</f>
        <v>-0.64911111111111108</v>
      </c>
      <c r="M135">
        <f t="shared" si="6"/>
        <v>-1.8360571428571429E-3</v>
      </c>
    </row>
    <row r="136" spans="1:13" x14ac:dyDescent="0.2">
      <c r="A136" t="s">
        <v>103</v>
      </c>
      <c r="B136" s="6" t="s">
        <v>46</v>
      </c>
      <c r="C136">
        <f>VLOOKUP(B136, $Q$13:$R$96, 2, FALSE)</f>
        <v>-0.17</v>
      </c>
      <c r="D136">
        <v>51.8</v>
      </c>
      <c r="E136">
        <f t="shared" si="5"/>
        <v>-8.8060000000000009</v>
      </c>
      <c r="F136">
        <f>$P$6</f>
        <v>18</v>
      </c>
      <c r="G136">
        <f>E136/F136</f>
        <v>-0.48922222222222228</v>
      </c>
      <c r="H136">
        <f>IF(A136="crop",G136, 0)</f>
        <v>0</v>
      </c>
      <c r="I136">
        <f>IF(A136="crop", 0, G136)</f>
        <v>-0.48922222222222228</v>
      </c>
      <c r="M136">
        <f t="shared" si="6"/>
        <v>-1.3838000000000001E-3</v>
      </c>
    </row>
    <row r="137" spans="1:13" x14ac:dyDescent="0.2">
      <c r="A137" t="s">
        <v>103</v>
      </c>
      <c r="B137" s="6" t="s">
        <v>47</v>
      </c>
      <c r="C137">
        <f>VLOOKUP(B137, $Q$13:$R$96, 2, FALSE)</f>
        <v>-0.17</v>
      </c>
      <c r="D137">
        <v>52.8</v>
      </c>
      <c r="E137">
        <f t="shared" si="5"/>
        <v>-8.9760000000000009</v>
      </c>
      <c r="F137">
        <f>$P$6</f>
        <v>18</v>
      </c>
      <c r="G137">
        <f>E137/F137</f>
        <v>-0.4986666666666667</v>
      </c>
      <c r="H137">
        <f>IF(A137="crop",G137, 0)</f>
        <v>0</v>
      </c>
      <c r="I137">
        <f>IF(A137="crop", 0, G137)</f>
        <v>-0.4986666666666667</v>
      </c>
      <c r="M137">
        <f t="shared" si="6"/>
        <v>-1.4105142857142856E-3</v>
      </c>
    </row>
    <row r="138" spans="1:13" x14ac:dyDescent="0.2">
      <c r="A138" t="s">
        <v>103</v>
      </c>
      <c r="B138" s="6" t="s">
        <v>48</v>
      </c>
      <c r="C138">
        <f>VLOOKUP(B138, $Q$13:$R$96, 2, FALSE)</f>
        <v>-0.08</v>
      </c>
      <c r="D138">
        <v>53.8</v>
      </c>
      <c r="E138">
        <f t="shared" si="5"/>
        <v>-4.3040000000000003</v>
      </c>
      <c r="F138">
        <f>$P$6</f>
        <v>18</v>
      </c>
      <c r="G138">
        <f>E138/F138</f>
        <v>-0.23911111111111114</v>
      </c>
      <c r="H138">
        <f>IF(A138="crop",G138, 0)</f>
        <v>0</v>
      </c>
      <c r="I138">
        <f>IF(A138="crop", 0, G138)</f>
        <v>-0.23911111111111114</v>
      </c>
      <c r="M138">
        <f t="shared" si="6"/>
        <v>-6.7634285714285726E-4</v>
      </c>
    </row>
    <row r="139" spans="1:13" x14ac:dyDescent="0.2">
      <c r="A139" t="s">
        <v>103</v>
      </c>
      <c r="B139" s="6" t="s">
        <v>49</v>
      </c>
      <c r="C139">
        <f>VLOOKUP(B139, $Q$13:$R$96, 2, FALSE)</f>
        <v>-0.11</v>
      </c>
      <c r="D139">
        <v>54.8</v>
      </c>
      <c r="E139">
        <f t="shared" si="5"/>
        <v>-6.0279999999999996</v>
      </c>
      <c r="F139">
        <f>$P$6</f>
        <v>18</v>
      </c>
      <c r="G139">
        <f>E139/F139</f>
        <v>-0.33488888888888885</v>
      </c>
      <c r="H139">
        <f>IF(A139="crop",G139, 0)</f>
        <v>0</v>
      </c>
      <c r="I139">
        <f>IF(A139="crop", 0, G139)</f>
        <v>-0.33488888888888885</v>
      </c>
      <c r="M139">
        <f t="shared" si="6"/>
        <v>-9.4725714285714274E-4</v>
      </c>
    </row>
    <row r="140" spans="1:13" x14ac:dyDescent="0.2">
      <c r="A140" t="s">
        <v>103</v>
      </c>
      <c r="B140" s="6" t="s">
        <v>50</v>
      </c>
      <c r="C140">
        <f>VLOOKUP(B140, $Q$13:$R$96, 2, FALSE)</f>
        <v>0</v>
      </c>
      <c r="D140">
        <v>55.8</v>
      </c>
      <c r="E140">
        <f t="shared" si="5"/>
        <v>0</v>
      </c>
      <c r="F140">
        <f>$P$6</f>
        <v>18</v>
      </c>
      <c r="G140">
        <f>E140/F140</f>
        <v>0</v>
      </c>
      <c r="H140">
        <f>IF(A140="crop",G140, 0)</f>
        <v>0</v>
      </c>
      <c r="I140">
        <f>IF(A140="crop", 0, G140)</f>
        <v>0</v>
      </c>
      <c r="M140">
        <f t="shared" si="6"/>
        <v>0</v>
      </c>
    </row>
    <row r="141" spans="1:13" x14ac:dyDescent="0.2">
      <c r="A141" t="s">
        <v>103</v>
      </c>
      <c r="B141" s="6" t="s">
        <v>51</v>
      </c>
      <c r="C141">
        <f>VLOOKUP(B141, $Q$13:$R$96, 2, FALSE)</f>
        <v>-0.02</v>
      </c>
      <c r="D141">
        <v>56.8</v>
      </c>
      <c r="E141">
        <f t="shared" si="5"/>
        <v>-1.1359999999999999</v>
      </c>
      <c r="F141">
        <f>$P$6</f>
        <v>18</v>
      </c>
      <c r="G141">
        <f>E141/F141</f>
        <v>-6.3111111111111104E-2</v>
      </c>
      <c r="H141">
        <f>IF(A141="crop",G141, 0)</f>
        <v>0</v>
      </c>
      <c r="I141">
        <f>IF(A141="crop", 0, G141)</f>
        <v>-6.3111111111111104E-2</v>
      </c>
      <c r="M141">
        <f t="shared" si="6"/>
        <v>-1.7851428571428568E-4</v>
      </c>
    </row>
    <row r="142" spans="1:13" x14ac:dyDescent="0.2">
      <c r="A142" t="s">
        <v>103</v>
      </c>
      <c r="B142" s="6" t="s">
        <v>52</v>
      </c>
      <c r="C142">
        <f>VLOOKUP(B142, $Q$13:$R$96, 2, FALSE)</f>
        <v>-0.08</v>
      </c>
      <c r="D142">
        <v>57.8</v>
      </c>
      <c r="E142">
        <f t="shared" si="5"/>
        <v>-4.6239999999999997</v>
      </c>
      <c r="F142">
        <f>$P$6</f>
        <v>18</v>
      </c>
      <c r="G142">
        <f>E142/F142</f>
        <v>-0.25688888888888889</v>
      </c>
      <c r="H142">
        <f>IF(A142="crop",G142, 0)</f>
        <v>0</v>
      </c>
      <c r="I142">
        <f>IF(A142="crop", 0, G142)</f>
        <v>-0.25688888888888889</v>
      </c>
      <c r="M142">
        <f t="shared" si="6"/>
        <v>-7.2662857142857134E-4</v>
      </c>
    </row>
    <row r="143" spans="1:13" x14ac:dyDescent="0.2">
      <c r="A143" t="s">
        <v>103</v>
      </c>
      <c r="B143" s="6" t="s">
        <v>53</v>
      </c>
      <c r="C143">
        <f>VLOOKUP(B143, $Q$13:$R$96, 2, FALSE)</f>
        <v>-0.06</v>
      </c>
      <c r="D143">
        <v>58.8</v>
      </c>
      <c r="E143">
        <f t="shared" si="5"/>
        <v>-3.5279999999999996</v>
      </c>
      <c r="F143">
        <f>$P$6</f>
        <v>18</v>
      </c>
      <c r="G143">
        <f>E143/F143</f>
        <v>-0.19599999999999998</v>
      </c>
      <c r="H143">
        <f>IF(A143="crop",G143, 0)</f>
        <v>0</v>
      </c>
      <c r="I143">
        <f>IF(A143="crop", 0, G143)</f>
        <v>-0.19599999999999998</v>
      </c>
      <c r="M143">
        <f t="shared" si="6"/>
        <v>-5.5439999999999992E-4</v>
      </c>
    </row>
    <row r="144" spans="1:13" x14ac:dyDescent="0.2">
      <c r="A144" t="s">
        <v>103</v>
      </c>
      <c r="B144" s="6" t="s">
        <v>54</v>
      </c>
      <c r="C144">
        <f>VLOOKUP(B144, $Q$13:$R$96, 2, FALSE)</f>
        <v>-0.12</v>
      </c>
      <c r="D144">
        <v>59.8</v>
      </c>
      <c r="E144">
        <f t="shared" si="5"/>
        <v>-7.1759999999999993</v>
      </c>
      <c r="F144">
        <f>$P$6</f>
        <v>18</v>
      </c>
      <c r="G144">
        <f>E144/F144</f>
        <v>-0.39866666666666661</v>
      </c>
      <c r="H144">
        <f>IF(A144="crop",G144, 0)</f>
        <v>0</v>
      </c>
      <c r="I144">
        <f>IF(A144="crop", 0, G144)</f>
        <v>-0.39866666666666661</v>
      </c>
      <c r="M144">
        <f t="shared" si="6"/>
        <v>-1.1276571428571426E-3</v>
      </c>
    </row>
    <row r="145" spans="1:13" x14ac:dyDescent="0.2">
      <c r="A145" t="s">
        <v>103</v>
      </c>
      <c r="B145" s="6" t="s">
        <v>55</v>
      </c>
      <c r="C145">
        <f>VLOOKUP(B145, $Q$13:$R$96, 2, FALSE)</f>
        <v>-7.0000000000000007E-2</v>
      </c>
      <c r="D145">
        <v>60.8</v>
      </c>
      <c r="E145">
        <f t="shared" si="5"/>
        <v>-4.2560000000000002</v>
      </c>
      <c r="F145">
        <f>$P$6</f>
        <v>18</v>
      </c>
      <c r="G145">
        <f>E145/F145</f>
        <v>-0.23644444444444446</v>
      </c>
      <c r="H145">
        <f>IF(A145="crop",G145, 0)</f>
        <v>0</v>
      </c>
      <c r="I145">
        <f>IF(A145="crop", 0, G145)</f>
        <v>-0.23644444444444446</v>
      </c>
      <c r="M145">
        <f t="shared" si="6"/>
        <v>-6.6879999999999999E-4</v>
      </c>
    </row>
    <row r="146" spans="1:13" x14ac:dyDescent="0.2">
      <c r="A146" t="s">
        <v>103</v>
      </c>
      <c r="B146" s="6" t="s">
        <v>56</v>
      </c>
      <c r="C146">
        <f>VLOOKUP(B146, $Q$13:$R$96, 2, FALSE)</f>
        <v>-0.13</v>
      </c>
      <c r="D146">
        <v>61.8</v>
      </c>
      <c r="E146">
        <f t="shared" si="5"/>
        <v>-8.0340000000000007</v>
      </c>
      <c r="F146">
        <f>$P$6</f>
        <v>18</v>
      </c>
      <c r="G146">
        <f>E146/F146</f>
        <v>-0.44633333333333336</v>
      </c>
      <c r="H146">
        <f>IF(A146="crop",G146, 0)</f>
        <v>0</v>
      </c>
      <c r="I146">
        <f>IF(A146="crop", 0, G146)</f>
        <v>-0.44633333333333336</v>
      </c>
      <c r="M146">
        <f t="shared" si="6"/>
        <v>-1.2624857142857144E-3</v>
      </c>
    </row>
    <row r="147" spans="1:13" x14ac:dyDescent="0.2">
      <c r="A147" t="s">
        <v>103</v>
      </c>
      <c r="B147" s="6" t="s">
        <v>57</v>
      </c>
      <c r="C147">
        <f>VLOOKUP(B147, $Q$13:$R$96, 2, FALSE)</f>
        <v>0</v>
      </c>
      <c r="D147">
        <v>62.8</v>
      </c>
      <c r="E147">
        <f t="shared" si="5"/>
        <v>0</v>
      </c>
      <c r="F147">
        <f>$P$6</f>
        <v>18</v>
      </c>
      <c r="G147">
        <f>E147/F147</f>
        <v>0</v>
      </c>
      <c r="H147">
        <f>IF(A147="crop",G147, 0)</f>
        <v>0</v>
      </c>
      <c r="I147">
        <f>IF(A147="crop", 0, G147)</f>
        <v>0</v>
      </c>
      <c r="M147">
        <f t="shared" si="6"/>
        <v>0</v>
      </c>
    </row>
    <row r="148" spans="1:13" x14ac:dyDescent="0.2">
      <c r="A148" t="s">
        <v>103</v>
      </c>
      <c r="B148" s="6" t="s">
        <v>58</v>
      </c>
      <c r="C148">
        <f>VLOOKUP(B148, $Q$13:$R$96, 2, FALSE)</f>
        <v>-0.24</v>
      </c>
      <c r="D148">
        <v>63.8</v>
      </c>
      <c r="E148">
        <f t="shared" si="5"/>
        <v>-15.311999999999999</v>
      </c>
      <c r="F148">
        <f>$P$6</f>
        <v>18</v>
      </c>
      <c r="G148">
        <f>E148/F148</f>
        <v>-0.85066666666666668</v>
      </c>
      <c r="H148">
        <f>IF(A148="crop",G148, 0)</f>
        <v>0</v>
      </c>
      <c r="I148">
        <f>IF(A148="crop", 0, G148)</f>
        <v>-0.85066666666666668</v>
      </c>
      <c r="M148">
        <f t="shared" si="6"/>
        <v>-2.4061714285714283E-3</v>
      </c>
    </row>
    <row r="149" spans="1:13" x14ac:dyDescent="0.2">
      <c r="A149" t="s">
        <v>103</v>
      </c>
      <c r="B149" s="6" t="s">
        <v>59</v>
      </c>
      <c r="C149">
        <f>VLOOKUP(B149, $Q$13:$R$96, 2, FALSE)</f>
        <v>-0.32</v>
      </c>
      <c r="D149">
        <v>64.8</v>
      </c>
      <c r="E149">
        <f t="shared" si="5"/>
        <v>-20.736000000000001</v>
      </c>
      <c r="F149">
        <f>$P$6</f>
        <v>18</v>
      </c>
      <c r="G149">
        <f>E149/F149</f>
        <v>-1.1520000000000001</v>
      </c>
      <c r="H149">
        <f>IF(A149="crop",G149, 0)</f>
        <v>0</v>
      </c>
      <c r="I149">
        <f>IF(A149="crop", 0, G149)</f>
        <v>-1.1520000000000001</v>
      </c>
      <c r="M149">
        <f t="shared" si="6"/>
        <v>-3.2585142857142857E-3</v>
      </c>
    </row>
    <row r="150" spans="1:13" x14ac:dyDescent="0.2">
      <c r="A150" t="s">
        <v>103</v>
      </c>
      <c r="B150" s="6" t="s">
        <v>60</v>
      </c>
      <c r="C150">
        <f>VLOOKUP(B150, $Q$13:$R$96, 2, FALSE)</f>
        <v>0</v>
      </c>
      <c r="D150">
        <v>65.8</v>
      </c>
      <c r="E150">
        <f t="shared" si="5"/>
        <v>0</v>
      </c>
      <c r="F150">
        <f>$P$6</f>
        <v>18</v>
      </c>
      <c r="G150">
        <f>E150/F150</f>
        <v>0</v>
      </c>
      <c r="H150">
        <f>IF(A150="crop",G150, 0)</f>
        <v>0</v>
      </c>
      <c r="I150">
        <f>IF(A150="crop", 0, G150)</f>
        <v>0</v>
      </c>
      <c r="M150">
        <f t="shared" si="6"/>
        <v>0</v>
      </c>
    </row>
    <row r="151" spans="1:13" x14ac:dyDescent="0.2">
      <c r="A151" t="s">
        <v>103</v>
      </c>
      <c r="B151" s="6" t="s">
        <v>61</v>
      </c>
      <c r="C151">
        <f>VLOOKUP(B151, $Q$13:$R$96, 2, FALSE)</f>
        <v>0</v>
      </c>
      <c r="D151">
        <v>66.8</v>
      </c>
      <c r="E151">
        <f t="shared" si="5"/>
        <v>0</v>
      </c>
      <c r="F151">
        <f>$P$6</f>
        <v>18</v>
      </c>
      <c r="G151">
        <f>E151/F151</f>
        <v>0</v>
      </c>
      <c r="H151">
        <f>IF(A151="crop",G151, 0)</f>
        <v>0</v>
      </c>
      <c r="I151">
        <f>IF(A151="crop", 0, G151)</f>
        <v>0</v>
      </c>
      <c r="M151">
        <f t="shared" si="6"/>
        <v>0</v>
      </c>
    </row>
    <row r="152" spans="1:13" x14ac:dyDescent="0.2">
      <c r="A152" t="s">
        <v>103</v>
      </c>
      <c r="B152" s="6" t="s">
        <v>62</v>
      </c>
      <c r="C152">
        <f>VLOOKUP(B152, $Q$13:$R$96, 2, FALSE)</f>
        <v>-0.1</v>
      </c>
      <c r="D152">
        <v>67.8</v>
      </c>
      <c r="E152">
        <f t="shared" si="5"/>
        <v>-6.78</v>
      </c>
      <c r="F152">
        <f>$P$6</f>
        <v>18</v>
      </c>
      <c r="G152">
        <f>E152/F152</f>
        <v>-0.37666666666666671</v>
      </c>
      <c r="H152">
        <f>IF(A152="crop",G152, 0)</f>
        <v>0</v>
      </c>
      <c r="I152">
        <f>IF(A152="crop", 0, G152)</f>
        <v>-0.37666666666666671</v>
      </c>
      <c r="M152">
        <f t="shared" si="6"/>
        <v>-1.0654285714285713E-3</v>
      </c>
    </row>
    <row r="153" spans="1:13" x14ac:dyDescent="0.2">
      <c r="A153" t="s">
        <v>103</v>
      </c>
      <c r="B153" s="6" t="s">
        <v>63</v>
      </c>
      <c r="C153">
        <f>VLOOKUP(B153, $Q$13:$R$96, 2, FALSE)</f>
        <v>-0.33</v>
      </c>
      <c r="D153">
        <v>68.8</v>
      </c>
      <c r="E153">
        <f t="shared" si="5"/>
        <v>-22.704000000000001</v>
      </c>
      <c r="F153">
        <f>$P$6</f>
        <v>18</v>
      </c>
      <c r="G153">
        <f>E153/F153</f>
        <v>-1.2613333333333334</v>
      </c>
      <c r="H153">
        <f>IF(A153="crop",G153, 0)</f>
        <v>0</v>
      </c>
      <c r="I153">
        <f>IF(A153="crop", 0, G153)</f>
        <v>-1.2613333333333334</v>
      </c>
      <c r="M153">
        <f t="shared" si="6"/>
        <v>-3.5677714285714287E-3</v>
      </c>
    </row>
    <row r="154" spans="1:13" x14ac:dyDescent="0.2">
      <c r="A154" t="s">
        <v>103</v>
      </c>
      <c r="B154" s="6" t="s">
        <v>64</v>
      </c>
      <c r="C154">
        <f>VLOOKUP(B154, $Q$13:$R$96, 2, FALSE)</f>
        <v>0</v>
      </c>
      <c r="D154">
        <v>69.8</v>
      </c>
      <c r="E154">
        <f t="shared" si="5"/>
        <v>0</v>
      </c>
      <c r="F154">
        <f>$P$6</f>
        <v>18</v>
      </c>
      <c r="G154">
        <f>E154/F154</f>
        <v>0</v>
      </c>
      <c r="H154">
        <f>IF(A154="crop",G154, 0)</f>
        <v>0</v>
      </c>
      <c r="I154">
        <f>IF(A154="crop", 0, G154)</f>
        <v>0</v>
      </c>
      <c r="M154">
        <f t="shared" si="6"/>
        <v>0</v>
      </c>
    </row>
    <row r="155" spans="1:13" x14ac:dyDescent="0.2">
      <c r="A155" t="s">
        <v>103</v>
      </c>
      <c r="B155" s="6" t="s">
        <v>65</v>
      </c>
      <c r="C155">
        <f>VLOOKUP(B155, $Q$13:$R$96, 2, FALSE)</f>
        <v>-0.05</v>
      </c>
      <c r="D155">
        <v>70.8</v>
      </c>
      <c r="E155">
        <f t="shared" si="5"/>
        <v>-3.54</v>
      </c>
      <c r="F155">
        <f>$P$6</f>
        <v>18</v>
      </c>
      <c r="G155">
        <f>E155/F155</f>
        <v>-0.19666666666666666</v>
      </c>
      <c r="H155">
        <f>IF(A155="crop",G155, 0)</f>
        <v>0</v>
      </c>
      <c r="I155">
        <f>IF(A155="crop", 0, G155)</f>
        <v>-0.19666666666666666</v>
      </c>
      <c r="M155">
        <f t="shared" si="6"/>
        <v>-5.5628571428571424E-4</v>
      </c>
    </row>
    <row r="156" spans="1:13" x14ac:dyDescent="0.2">
      <c r="A156" t="s">
        <v>103</v>
      </c>
      <c r="B156" s="6" t="s">
        <v>66</v>
      </c>
      <c r="C156">
        <f>VLOOKUP(B156, $Q$13:$R$96, 2, FALSE)</f>
        <v>-0.26</v>
      </c>
      <c r="D156">
        <v>71.8</v>
      </c>
      <c r="E156">
        <f t="shared" si="5"/>
        <v>-18.667999999999999</v>
      </c>
      <c r="F156">
        <f>$P$6</f>
        <v>18</v>
      </c>
      <c r="G156">
        <f>E156/F156</f>
        <v>-1.0371111111111111</v>
      </c>
      <c r="H156">
        <f>IF(A156="crop",G156, 0)</f>
        <v>0</v>
      </c>
      <c r="I156">
        <f>IF(A156="crop", 0, G156)</f>
        <v>-1.0371111111111111</v>
      </c>
      <c r="M156">
        <f t="shared" si="6"/>
        <v>-2.933542857142857E-3</v>
      </c>
    </row>
    <row r="157" spans="1:13" x14ac:dyDescent="0.2">
      <c r="A157" t="s">
        <v>103</v>
      </c>
      <c r="B157" s="6" t="s">
        <v>67</v>
      </c>
      <c r="C157">
        <f>VLOOKUP(B157, $Q$13:$R$96, 2, FALSE)</f>
        <v>-0.26</v>
      </c>
      <c r="D157">
        <v>72.8</v>
      </c>
      <c r="E157">
        <f t="shared" si="5"/>
        <v>-18.928000000000001</v>
      </c>
      <c r="F157">
        <f>$P$6</f>
        <v>18</v>
      </c>
      <c r="G157">
        <f>E157/F157</f>
        <v>-1.0515555555555556</v>
      </c>
      <c r="H157">
        <f>IF(A157="crop",G157, 0)</f>
        <v>0</v>
      </c>
      <c r="I157">
        <f>IF(A157="crop", 0, G157)</f>
        <v>-1.0515555555555556</v>
      </c>
      <c r="M157">
        <f t="shared" si="6"/>
        <v>-2.9743999999999999E-3</v>
      </c>
    </row>
    <row r="158" spans="1:13" x14ac:dyDescent="0.2">
      <c r="A158" t="s">
        <v>103</v>
      </c>
      <c r="B158" s="6" t="s">
        <v>68</v>
      </c>
      <c r="C158">
        <f>VLOOKUP(B158, $Q$13:$R$96, 2, FALSE)</f>
        <v>-0.03</v>
      </c>
      <c r="D158">
        <v>73.8</v>
      </c>
      <c r="E158">
        <f t="shared" si="5"/>
        <v>-2.214</v>
      </c>
      <c r="F158">
        <f>$P$6</f>
        <v>18</v>
      </c>
      <c r="G158">
        <f>E158/F158</f>
        <v>-0.123</v>
      </c>
      <c r="H158">
        <f>IF(A158="crop",G158, 0)</f>
        <v>0</v>
      </c>
      <c r="I158">
        <f>IF(A158="crop", 0, G158)</f>
        <v>-0.123</v>
      </c>
      <c r="M158">
        <f t="shared" si="6"/>
        <v>-3.4791428571428568E-4</v>
      </c>
    </row>
    <row r="159" spans="1:13" x14ac:dyDescent="0.2">
      <c r="A159" t="s">
        <v>103</v>
      </c>
      <c r="B159" s="6" t="s">
        <v>69</v>
      </c>
      <c r="C159">
        <f>VLOOKUP(B159, $Q$13:$R$96, 2, FALSE)</f>
        <v>-0.37</v>
      </c>
      <c r="D159">
        <v>74.8</v>
      </c>
      <c r="E159">
        <f t="shared" ref="E159:E178" si="7">C159*D159</f>
        <v>-27.675999999999998</v>
      </c>
      <c r="F159">
        <f>$P$6</f>
        <v>18</v>
      </c>
      <c r="G159">
        <f>E159/F159</f>
        <v>-1.5375555555555556</v>
      </c>
      <c r="H159">
        <f>IF(A159="crop",G159, 0)</f>
        <v>0</v>
      </c>
      <c r="I159">
        <f>IF(A159="crop", 0, G159)</f>
        <v>-1.5375555555555556</v>
      </c>
      <c r="M159">
        <f>(H159*$J$11+I159*$K$11)*$L$11</f>
        <v>-4.3490857142857138E-3</v>
      </c>
    </row>
    <row r="160" spans="1:13" x14ac:dyDescent="0.2">
      <c r="A160" t="s">
        <v>103</v>
      </c>
      <c r="B160" s="6" t="s">
        <v>70</v>
      </c>
      <c r="C160">
        <f>VLOOKUP(B160, $Q$13:$R$96, 2, FALSE)</f>
        <v>-0.01</v>
      </c>
      <c r="D160">
        <v>75.8</v>
      </c>
      <c r="E160">
        <f t="shared" si="7"/>
        <v>-0.75800000000000001</v>
      </c>
      <c r="F160">
        <f>$P$6</f>
        <v>18</v>
      </c>
      <c r="G160">
        <f>E160/F160</f>
        <v>-4.2111111111111113E-2</v>
      </c>
      <c r="H160">
        <f>IF(A160="crop",G160, 0)</f>
        <v>0</v>
      </c>
      <c r="I160">
        <f>IF(A160="crop", 0, G160)</f>
        <v>-4.2111111111111113E-2</v>
      </c>
      <c r="M160">
        <f t="shared" ref="M160:M178" si="8">(H160*$J$11+I160*$K$11)*$L$11</f>
        <v>-1.1911428571428571E-4</v>
      </c>
    </row>
    <row r="161" spans="1:13" x14ac:dyDescent="0.2">
      <c r="A161" t="s">
        <v>103</v>
      </c>
      <c r="B161" s="6" t="s">
        <v>71</v>
      </c>
      <c r="C161">
        <f>VLOOKUP(B161, $Q$13:$R$96, 2, FALSE)</f>
        <v>-0.03</v>
      </c>
      <c r="D161">
        <v>76.8</v>
      </c>
      <c r="E161">
        <f t="shared" si="7"/>
        <v>-2.3039999999999998</v>
      </c>
      <c r="F161">
        <f>$P$6</f>
        <v>18</v>
      </c>
      <c r="G161">
        <f>E161/F161</f>
        <v>-0.128</v>
      </c>
      <c r="H161">
        <f>IF(A161="crop",G161, 0)</f>
        <v>0</v>
      </c>
      <c r="I161">
        <f>IF(A161="crop", 0, G161)</f>
        <v>-0.128</v>
      </c>
      <c r="M161">
        <f t="shared" si="8"/>
        <v>-3.6205714285714283E-4</v>
      </c>
    </row>
    <row r="162" spans="1:13" x14ac:dyDescent="0.2">
      <c r="A162" t="s">
        <v>103</v>
      </c>
      <c r="B162" s="6" t="s">
        <v>72</v>
      </c>
      <c r="C162">
        <f>VLOOKUP(B162, $Q$13:$R$96, 2, FALSE)</f>
        <v>-0.1</v>
      </c>
      <c r="D162">
        <v>77.8</v>
      </c>
      <c r="E162">
        <f t="shared" si="7"/>
        <v>-7.78</v>
      </c>
      <c r="F162">
        <f>$P$6</f>
        <v>18</v>
      </c>
      <c r="G162">
        <f>E162/F162</f>
        <v>-0.43222222222222223</v>
      </c>
      <c r="H162">
        <f>IF(A162="crop",G162, 0)</f>
        <v>0</v>
      </c>
      <c r="I162">
        <f>IF(A162="crop", 0, G162)</f>
        <v>-0.43222222222222223</v>
      </c>
      <c r="M162">
        <f t="shared" si="8"/>
        <v>-1.2225714285714286E-3</v>
      </c>
    </row>
    <row r="163" spans="1:13" x14ac:dyDescent="0.2">
      <c r="A163" t="s">
        <v>103</v>
      </c>
      <c r="B163" s="6" t="s">
        <v>73</v>
      </c>
      <c r="C163">
        <f>VLOOKUP(B163, $Q$13:$R$96, 2, FALSE)</f>
        <v>-0.25</v>
      </c>
      <c r="D163">
        <v>78.8</v>
      </c>
      <c r="E163">
        <f t="shared" si="7"/>
        <v>-19.7</v>
      </c>
      <c r="F163">
        <f>$P$6</f>
        <v>18</v>
      </c>
      <c r="G163">
        <f>E163/F163</f>
        <v>-1.0944444444444443</v>
      </c>
      <c r="H163">
        <f>IF(A163="crop",G163, 0)</f>
        <v>0</v>
      </c>
      <c r="I163">
        <f>IF(A163="crop", 0, G163)</f>
        <v>-1.0944444444444443</v>
      </c>
      <c r="M163">
        <f t="shared" si="8"/>
        <v>-3.095714285714285E-3</v>
      </c>
    </row>
    <row r="164" spans="1:13" x14ac:dyDescent="0.2">
      <c r="A164" t="s">
        <v>103</v>
      </c>
      <c r="B164" s="6" t="s">
        <v>74</v>
      </c>
      <c r="C164">
        <f>VLOOKUP(B164, $Q$13:$R$96, 2, FALSE)</f>
        <v>-0.27</v>
      </c>
      <c r="D164">
        <v>79.8</v>
      </c>
      <c r="E164">
        <f t="shared" si="7"/>
        <v>-21.545999999999999</v>
      </c>
      <c r="F164">
        <f>$P$6</f>
        <v>18</v>
      </c>
      <c r="G164">
        <f>E164/F164</f>
        <v>-1.1970000000000001</v>
      </c>
      <c r="H164">
        <f>IF(A164="crop",G164, 0)</f>
        <v>0</v>
      </c>
      <c r="I164">
        <f>IF(A164="crop", 0, G164)</f>
        <v>-1.1970000000000001</v>
      </c>
      <c r="M164">
        <f t="shared" si="8"/>
        <v>-3.3858E-3</v>
      </c>
    </row>
    <row r="165" spans="1:13" x14ac:dyDescent="0.2">
      <c r="A165" t="s">
        <v>103</v>
      </c>
      <c r="B165" s="6" t="s">
        <v>75</v>
      </c>
      <c r="C165">
        <f>VLOOKUP(B165, $Q$13:$R$96, 2, FALSE)</f>
        <v>-0.18</v>
      </c>
      <c r="D165">
        <v>80.8</v>
      </c>
      <c r="E165">
        <f t="shared" si="7"/>
        <v>-14.543999999999999</v>
      </c>
      <c r="F165">
        <f>$P$6</f>
        <v>18</v>
      </c>
      <c r="G165">
        <f>E165/F165</f>
        <v>-0.80799999999999994</v>
      </c>
      <c r="H165">
        <f>IF(A165="crop",G165, 0)</f>
        <v>0</v>
      </c>
      <c r="I165">
        <f>IF(A165="crop", 0, G165)</f>
        <v>-0.80799999999999994</v>
      </c>
      <c r="M165">
        <f t="shared" si="8"/>
        <v>-2.2854857142857138E-3</v>
      </c>
    </row>
    <row r="166" spans="1:13" x14ac:dyDescent="0.2">
      <c r="A166" t="s">
        <v>103</v>
      </c>
      <c r="B166" s="6" t="s">
        <v>76</v>
      </c>
      <c r="C166">
        <f>VLOOKUP(B166, $Q$13:$R$96, 2, FALSE)</f>
        <v>-0.12</v>
      </c>
      <c r="D166">
        <v>81.8</v>
      </c>
      <c r="E166">
        <f t="shared" si="7"/>
        <v>-9.8159999999999989</v>
      </c>
      <c r="F166">
        <f>$P$6</f>
        <v>18</v>
      </c>
      <c r="G166">
        <f>E166/F166</f>
        <v>-0.54533333333333323</v>
      </c>
      <c r="H166">
        <f>IF(A166="crop",G166, 0)</f>
        <v>0</v>
      </c>
      <c r="I166">
        <f>IF(A166="crop", 0, G166)</f>
        <v>-0.54533333333333323</v>
      </c>
      <c r="M166">
        <f t="shared" si="8"/>
        <v>-1.5425142857142854E-3</v>
      </c>
    </row>
    <row r="167" spans="1:13" x14ac:dyDescent="0.2">
      <c r="A167" t="s">
        <v>103</v>
      </c>
      <c r="B167" s="6" t="s">
        <v>77</v>
      </c>
      <c r="C167">
        <f>VLOOKUP(B167, $Q$13:$R$96, 2, FALSE)</f>
        <v>-0.22</v>
      </c>
      <c r="D167">
        <v>82.8</v>
      </c>
      <c r="E167">
        <f t="shared" si="7"/>
        <v>-18.216000000000001</v>
      </c>
      <c r="F167">
        <f>$P$6</f>
        <v>18</v>
      </c>
      <c r="G167">
        <f>E167/F167</f>
        <v>-1.012</v>
      </c>
      <c r="H167">
        <f>IF(A167="crop",G167, 0)</f>
        <v>0</v>
      </c>
      <c r="I167">
        <f>IF(A167="crop", 0, G167)</f>
        <v>-1.012</v>
      </c>
      <c r="M167">
        <f t="shared" si="8"/>
        <v>-2.8625142857142856E-3</v>
      </c>
    </row>
    <row r="168" spans="1:13" x14ac:dyDescent="0.2">
      <c r="A168" t="s">
        <v>103</v>
      </c>
      <c r="B168" s="6" t="s">
        <v>78</v>
      </c>
      <c r="C168">
        <f>VLOOKUP(B168, $Q$13:$R$96, 2, FALSE)</f>
        <v>-0.2</v>
      </c>
      <c r="D168">
        <v>83.8</v>
      </c>
      <c r="E168">
        <f t="shared" si="7"/>
        <v>-16.760000000000002</v>
      </c>
      <c r="F168">
        <f>$P$6</f>
        <v>18</v>
      </c>
      <c r="G168">
        <f>E168/F168</f>
        <v>-0.93111111111111122</v>
      </c>
      <c r="H168">
        <f>IF(A168="crop",G168, 0)</f>
        <v>0</v>
      </c>
      <c r="I168">
        <f>IF(A168="crop", 0, G168)</f>
        <v>-0.93111111111111122</v>
      </c>
      <c r="M168">
        <f t="shared" si="8"/>
        <v>-2.6337142857142861E-3</v>
      </c>
    </row>
    <row r="169" spans="1:13" x14ac:dyDescent="0.2">
      <c r="A169" t="s">
        <v>103</v>
      </c>
      <c r="B169" s="6" t="s">
        <v>79</v>
      </c>
      <c r="C169">
        <f>VLOOKUP(B169, $Q$13:$R$96, 2, FALSE)</f>
        <v>-0.18</v>
      </c>
      <c r="D169">
        <v>84.8</v>
      </c>
      <c r="E169">
        <f t="shared" si="7"/>
        <v>-15.263999999999999</v>
      </c>
      <c r="F169">
        <f>$P$6</f>
        <v>18</v>
      </c>
      <c r="G169">
        <f>E169/F169</f>
        <v>-0.84799999999999998</v>
      </c>
      <c r="H169">
        <f>IF(A169="crop",G169, 0)</f>
        <v>0</v>
      </c>
      <c r="I169">
        <f>IF(A169="crop", 0, G169)</f>
        <v>-0.84799999999999998</v>
      </c>
      <c r="M169">
        <f t="shared" si="8"/>
        <v>-2.3986285714285714E-3</v>
      </c>
    </row>
    <row r="170" spans="1:13" x14ac:dyDescent="0.2">
      <c r="A170" t="s">
        <v>103</v>
      </c>
      <c r="B170" s="6" t="s">
        <v>80</v>
      </c>
      <c r="C170">
        <f>VLOOKUP(B170, $Q$13:$R$96, 2, FALSE)</f>
        <v>-0.4</v>
      </c>
      <c r="D170">
        <v>85.8</v>
      </c>
      <c r="E170">
        <f t="shared" si="7"/>
        <v>-34.32</v>
      </c>
      <c r="F170">
        <f>$P$6</f>
        <v>18</v>
      </c>
      <c r="G170">
        <f>E170/F170</f>
        <v>-1.9066666666666667</v>
      </c>
      <c r="H170">
        <f>IF(A170="crop",G170, 0)</f>
        <v>0</v>
      </c>
      <c r="I170">
        <f>IF(A170="crop", 0, G170)</f>
        <v>-1.9066666666666667</v>
      </c>
      <c r="M170">
        <f t="shared" si="8"/>
        <v>-5.3931428571428576E-3</v>
      </c>
    </row>
    <row r="171" spans="1:13" x14ac:dyDescent="0.2">
      <c r="A171" t="s">
        <v>103</v>
      </c>
      <c r="B171" s="6" t="s">
        <v>81</v>
      </c>
      <c r="C171">
        <f>VLOOKUP(B171, $Q$13:$R$96, 2, FALSE)</f>
        <v>-0.21</v>
      </c>
      <c r="D171">
        <v>86.8</v>
      </c>
      <c r="E171">
        <f t="shared" si="7"/>
        <v>-18.227999999999998</v>
      </c>
      <c r="F171">
        <f>$P$6</f>
        <v>18</v>
      </c>
      <c r="G171">
        <f>E171/F171</f>
        <v>-1.0126666666666666</v>
      </c>
      <c r="H171">
        <f>IF(A171="crop",G171, 0)</f>
        <v>0</v>
      </c>
      <c r="I171">
        <f>IF(A171="crop", 0, G171)</f>
        <v>-1.0126666666666666</v>
      </c>
      <c r="M171">
        <f t="shared" si="8"/>
        <v>-2.8643999999999996E-3</v>
      </c>
    </row>
    <row r="172" spans="1:13" x14ac:dyDescent="0.2">
      <c r="A172" t="s">
        <v>103</v>
      </c>
      <c r="B172" s="6" t="s">
        <v>82</v>
      </c>
      <c r="C172">
        <f>VLOOKUP(B172, $Q$13:$R$96, 2, FALSE)</f>
        <v>-0.39</v>
      </c>
      <c r="D172">
        <v>87.8</v>
      </c>
      <c r="E172">
        <f t="shared" si="7"/>
        <v>-34.241999999999997</v>
      </c>
      <c r="F172">
        <f>$P$6</f>
        <v>18</v>
      </c>
      <c r="G172">
        <f>E172/F172</f>
        <v>-1.9023333333333332</v>
      </c>
      <c r="H172">
        <f>IF(A172="crop",G172, 0)</f>
        <v>0</v>
      </c>
      <c r="I172">
        <f>IF(A172="crop", 0, G172)</f>
        <v>-1.9023333333333332</v>
      </c>
      <c r="M172">
        <f t="shared" si="8"/>
        <v>-5.3808857142857132E-3</v>
      </c>
    </row>
    <row r="173" spans="1:13" x14ac:dyDescent="0.2">
      <c r="A173" t="s">
        <v>103</v>
      </c>
      <c r="B173" s="6" t="s">
        <v>83</v>
      </c>
      <c r="C173">
        <f>VLOOKUP(B173, $Q$13:$R$96, 2, FALSE)</f>
        <v>-0.69</v>
      </c>
      <c r="D173">
        <v>88.8</v>
      </c>
      <c r="E173">
        <f t="shared" si="7"/>
        <v>-61.271999999999991</v>
      </c>
      <c r="F173">
        <f>$P$6</f>
        <v>18</v>
      </c>
      <c r="G173">
        <f>E173/F173</f>
        <v>-3.4039999999999995</v>
      </c>
      <c r="H173">
        <f>IF(A173="crop",G173, 0)</f>
        <v>0</v>
      </c>
      <c r="I173">
        <f>IF(A173="crop", 0, G173)</f>
        <v>-3.4039999999999995</v>
      </c>
      <c r="M173">
        <f t="shared" si="8"/>
        <v>-9.628457142857141E-3</v>
      </c>
    </row>
    <row r="174" spans="1:13" x14ac:dyDescent="0.2">
      <c r="A174" t="s">
        <v>103</v>
      </c>
      <c r="B174" s="6" t="s">
        <v>84</v>
      </c>
      <c r="C174">
        <f>VLOOKUP(B174, $Q$13:$R$96, 2, FALSE)</f>
        <v>0</v>
      </c>
      <c r="D174">
        <v>89.8</v>
      </c>
      <c r="E174">
        <f t="shared" si="7"/>
        <v>0</v>
      </c>
      <c r="F174">
        <f>$P$6</f>
        <v>18</v>
      </c>
      <c r="G174">
        <f>E174/F174</f>
        <v>0</v>
      </c>
      <c r="H174">
        <f>IF(A174="crop",G174, 0)</f>
        <v>0</v>
      </c>
      <c r="I174">
        <f>IF(A174="crop", 0, G174)</f>
        <v>0</v>
      </c>
      <c r="M174">
        <f t="shared" si="8"/>
        <v>0</v>
      </c>
    </row>
    <row r="175" spans="1:13" x14ac:dyDescent="0.2">
      <c r="A175" t="s">
        <v>103</v>
      </c>
      <c r="B175" s="6" t="s">
        <v>85</v>
      </c>
      <c r="C175">
        <f>VLOOKUP(B175, $Q$13:$R$96, 2, FALSE)</f>
        <v>-7.0000000000000007E-2</v>
      </c>
      <c r="D175">
        <v>90.8</v>
      </c>
      <c r="E175">
        <f t="shared" si="7"/>
        <v>-6.3560000000000008</v>
      </c>
      <c r="F175">
        <f>$P$6</f>
        <v>18</v>
      </c>
      <c r="G175">
        <f>E175/F175</f>
        <v>-0.35311111111111115</v>
      </c>
      <c r="H175">
        <f>IF(A175="crop",G175, 0)</f>
        <v>0</v>
      </c>
      <c r="I175">
        <f>IF(A175="crop", 0, G175)</f>
        <v>-0.35311111111111115</v>
      </c>
      <c r="M175">
        <f t="shared" si="8"/>
        <v>-9.9879999999999999E-4</v>
      </c>
    </row>
    <row r="176" spans="1:13" x14ac:dyDescent="0.2">
      <c r="A176" t="s">
        <v>103</v>
      </c>
      <c r="B176" s="6" t="s">
        <v>86</v>
      </c>
      <c r="C176">
        <f>VLOOKUP(B176, $Q$13:$R$96, 2, FALSE)</f>
        <v>-0.56999999999999995</v>
      </c>
      <c r="D176">
        <v>91.8</v>
      </c>
      <c r="E176">
        <f t="shared" si="7"/>
        <v>-52.325999999999993</v>
      </c>
      <c r="F176">
        <f>$P$6</f>
        <v>18</v>
      </c>
      <c r="G176">
        <f>E176/F176</f>
        <v>-2.9069999999999996</v>
      </c>
      <c r="H176">
        <f>IF(A176="crop",G176, 0)</f>
        <v>0</v>
      </c>
      <c r="I176">
        <f>IF(A176="crop", 0, G176)</f>
        <v>-2.9069999999999996</v>
      </c>
      <c r="M176">
        <f t="shared" si="8"/>
        <v>-8.2226571428571406E-3</v>
      </c>
    </row>
    <row r="177" spans="1:13" x14ac:dyDescent="0.2">
      <c r="A177" t="s">
        <v>103</v>
      </c>
      <c r="B177" s="6" t="s">
        <v>87</v>
      </c>
      <c r="C177">
        <f>VLOOKUP(B177, $Q$13:$R$96, 2, FALSE)</f>
        <v>-0.67</v>
      </c>
      <c r="D177">
        <v>92.8</v>
      </c>
      <c r="E177">
        <f t="shared" si="7"/>
        <v>-62.176000000000002</v>
      </c>
      <c r="F177">
        <f>$P$6</f>
        <v>18</v>
      </c>
      <c r="G177">
        <f>E177/F177</f>
        <v>-3.4542222222222225</v>
      </c>
      <c r="H177">
        <f>IF(A177="crop",G177, 0)</f>
        <v>0</v>
      </c>
      <c r="I177">
        <f>IF(A177="crop", 0, G177)</f>
        <v>-3.4542222222222225</v>
      </c>
      <c r="M177">
        <f t="shared" si="8"/>
        <v>-9.7705142857142865E-3</v>
      </c>
    </row>
    <row r="178" spans="1:13" x14ac:dyDescent="0.2">
      <c r="A178" t="s">
        <v>103</v>
      </c>
      <c r="B178" s="6" t="s">
        <v>88</v>
      </c>
      <c r="C178">
        <f>VLOOKUP(B178, $Q$13:$R$96, 2, FALSE)</f>
        <v>-0.05</v>
      </c>
      <c r="D178">
        <v>93.8</v>
      </c>
      <c r="E178">
        <f t="shared" si="7"/>
        <v>-4.6900000000000004</v>
      </c>
      <c r="F178">
        <f>$P$6</f>
        <v>18</v>
      </c>
      <c r="G178">
        <f>E178/F178</f>
        <v>-0.2605555555555556</v>
      </c>
      <c r="H178">
        <f>IF(A178="crop",G178, 0)</f>
        <v>0</v>
      </c>
      <c r="I178">
        <f>IF(A178="crop", 0, G178)</f>
        <v>-0.2605555555555556</v>
      </c>
      <c r="M178">
        <f t="shared" si="8"/>
        <v>-7.3700000000000013E-4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16.2.1.1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2026-04-15T10:25:52Z</dcterms:created>
  <dcterms:modified xsi:type="dcterms:W3CDTF">2026-04-16T08:55:10Z</dcterms:modified>
</cp:coreProperties>
</file>