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16-lulucf/"/>
    </mc:Choice>
  </mc:AlternateContent>
  <xr:revisionPtr revIDLastSave="0" documentId="13_ncr:1_{0B2D38DC-5093-8343-98D9-A5C4A993970F}" xr6:coauthVersionLast="47" xr6:coauthVersionMax="47" xr10:uidLastSave="{00000000-0000-0000-0000-000000000000}"/>
  <bookViews>
    <workbookView xWindow="0" yWindow="660" windowWidth="30240" windowHeight="18980" activeTab="2" xr2:uid="{CC0FEAF9-C40F-694B-BCB9-117AFB86C05D}"/>
  </bookViews>
  <sheets>
    <sheet name="16.2.1.2" sheetId="1" r:id="rId1"/>
    <sheet name="16.2.1.4" sheetId="2" r:id="rId2"/>
    <sheet name="16.2.1.5" sheetId="3" r:id="rId3"/>
    <sheet name="16.2.1.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3" l="1"/>
  <c r="D94" i="3" s="1"/>
  <c r="E22" i="4"/>
  <c r="E21" i="4"/>
  <c r="D22" i="4"/>
  <c r="D21" i="4"/>
  <c r="F12" i="2"/>
  <c r="F13" i="2"/>
  <c r="F11" i="2"/>
  <c r="H7" i="4"/>
  <c r="D12" i="4" s="1"/>
  <c r="E12" i="4" s="1"/>
  <c r="P7" i="1"/>
  <c r="M7" i="3"/>
  <c r="E16" i="3" s="1"/>
  <c r="E12" i="2"/>
  <c r="E13" i="2"/>
  <c r="E12" i="3"/>
  <c r="E13" i="3"/>
  <c r="E14" i="3"/>
  <c r="E15" i="3"/>
  <c r="E17" i="3"/>
  <c r="E18" i="3"/>
  <c r="E19" i="3"/>
  <c r="E20" i="3"/>
  <c r="E21" i="3"/>
  <c r="E22" i="3"/>
  <c r="E23" i="3"/>
  <c r="E24" i="3"/>
  <c r="E25" i="3"/>
  <c r="E26" i="3"/>
  <c r="E27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C65" i="3"/>
  <c r="D65" i="3" s="1"/>
  <c r="F65" i="3" s="1"/>
  <c r="C66" i="3"/>
  <c r="D66" i="3" s="1"/>
  <c r="C67" i="3"/>
  <c r="D67" i="3" s="1"/>
  <c r="C68" i="3"/>
  <c r="D68" i="3" s="1"/>
  <c r="F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F77" i="3" s="1"/>
  <c r="C78" i="3"/>
  <c r="D78" i="3" s="1"/>
  <c r="C79" i="3"/>
  <c r="D79" i="3" s="1"/>
  <c r="F79" i="3" s="1"/>
  <c r="C80" i="3"/>
  <c r="D80" i="3" s="1"/>
  <c r="F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F89" i="3" s="1"/>
  <c r="C90" i="3"/>
  <c r="D90" i="3" s="1"/>
  <c r="C91" i="3"/>
  <c r="D91" i="3" s="1"/>
  <c r="F91" i="3" s="1"/>
  <c r="C92" i="3"/>
  <c r="D92" i="3" s="1"/>
  <c r="C93" i="3"/>
  <c r="D93" i="3" s="1"/>
  <c r="C12" i="3"/>
  <c r="D12" i="3" s="1"/>
  <c r="C13" i="3"/>
  <c r="D13" i="3" s="1"/>
  <c r="C14" i="3"/>
  <c r="D14" i="3" s="1"/>
  <c r="C15" i="3"/>
  <c r="D15" i="3" s="1"/>
  <c r="F15" i="3" s="1"/>
  <c r="C16" i="3"/>
  <c r="D16" i="3" s="1"/>
  <c r="C17" i="3"/>
  <c r="D17" i="3" s="1"/>
  <c r="F17" i="3" s="1"/>
  <c r="C18" i="3"/>
  <c r="D18" i="3" s="1"/>
  <c r="F18" i="3" s="1"/>
  <c r="C19" i="3"/>
  <c r="D19" i="3" s="1"/>
  <c r="C20" i="3"/>
  <c r="D20" i="3" s="1"/>
  <c r="F20" i="3" s="1"/>
  <c r="C21" i="3"/>
  <c r="D21" i="3" s="1"/>
  <c r="F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F29" i="3" s="1"/>
  <c r="C30" i="3"/>
  <c r="D30" i="3" s="1"/>
  <c r="C31" i="3"/>
  <c r="D31" i="3" s="1"/>
  <c r="C32" i="3"/>
  <c r="D32" i="3" s="1"/>
  <c r="F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F41" i="3" s="1"/>
  <c r="C42" i="3"/>
  <c r="D42" i="3" s="1"/>
  <c r="F42" i="3" s="1"/>
  <c r="C43" i="3"/>
  <c r="D43" i="3" s="1"/>
  <c r="C44" i="3"/>
  <c r="D44" i="3" s="1"/>
  <c r="F44" i="3" s="1"/>
  <c r="C45" i="3"/>
  <c r="D45" i="3" s="1"/>
  <c r="F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F53" i="3" s="1"/>
  <c r="C54" i="3"/>
  <c r="D54" i="3" s="1"/>
  <c r="F54" i="3" s="1"/>
  <c r="C55" i="3"/>
  <c r="D55" i="3" s="1"/>
  <c r="C56" i="3"/>
  <c r="D56" i="3" s="1"/>
  <c r="F56" i="3" s="1"/>
  <c r="C57" i="3"/>
  <c r="D57" i="3" s="1"/>
  <c r="F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11" i="3"/>
  <c r="D11" i="3" s="1"/>
  <c r="E11" i="3"/>
  <c r="E11" i="2"/>
  <c r="J12" i="1"/>
  <c r="G12" i="1"/>
  <c r="D12" i="1"/>
  <c r="G11" i="1"/>
  <c r="D11" i="1"/>
  <c r="J11" i="1"/>
  <c r="F23" i="3" l="1"/>
  <c r="F71" i="3"/>
  <c r="F59" i="3"/>
  <c r="F35" i="3"/>
  <c r="F22" i="3"/>
  <c r="F16" i="3"/>
  <c r="F82" i="3"/>
  <c r="F70" i="3"/>
  <c r="F33" i="3"/>
  <c r="F92" i="3"/>
  <c r="F64" i="3"/>
  <c r="F52" i="3"/>
  <c r="F40" i="3"/>
  <c r="F87" i="3"/>
  <c r="F75" i="3"/>
  <c r="D11" i="4"/>
  <c r="E11" i="4" s="1"/>
  <c r="F30" i="3"/>
  <c r="F11" i="3"/>
  <c r="F74" i="3"/>
  <c r="F62" i="3"/>
  <c r="F24" i="3"/>
  <c r="E28" i="3"/>
  <c r="F28" i="3" s="1"/>
  <c r="F86" i="3"/>
  <c r="F50" i="3"/>
  <c r="F60" i="3"/>
  <c r="F48" i="3"/>
  <c r="F36" i="3"/>
  <c r="F12" i="3"/>
  <c r="F47" i="3"/>
  <c r="F94" i="3"/>
  <c r="F58" i="3"/>
  <c r="F46" i="3"/>
  <c r="F34" i="3"/>
  <c r="F93" i="3"/>
  <c r="F81" i="3"/>
  <c r="F69" i="3"/>
  <c r="F63" i="3"/>
  <c r="F51" i="3"/>
  <c r="F39" i="3"/>
  <c r="F27" i="3"/>
  <c r="F85" i="3"/>
  <c r="F61" i="3"/>
  <c r="F49" i="3"/>
  <c r="F37" i="3"/>
  <c r="F25" i="3"/>
  <c r="F13" i="3"/>
  <c r="F84" i="3"/>
  <c r="F72" i="3"/>
  <c r="F90" i="3"/>
  <c r="F78" i="3"/>
  <c r="F67" i="3"/>
  <c r="F55" i="3"/>
  <c r="F43" i="3"/>
  <c r="F31" i="3"/>
  <c r="F19" i="3"/>
  <c r="F38" i="3"/>
  <c r="F26" i="3"/>
  <c r="F14" i="3"/>
  <c r="F83" i="3"/>
  <c r="F66" i="3"/>
  <c r="F73" i="3"/>
  <c r="F88" i="3"/>
  <c r="F76" i="3"/>
  <c r="I12" i="1"/>
  <c r="K12" i="1" s="1"/>
  <c r="I11" i="1"/>
  <c r="K11" i="1" s="1"/>
</calcChain>
</file>

<file path=xl/sharedStrings.xml><?xml version="1.0" encoding="utf-8"?>
<sst xmlns="http://schemas.openxmlformats.org/spreadsheetml/2006/main" count="261" uniqueCount="141">
  <si>
    <t>Scenario</t>
  </si>
  <si>
    <t>Ctijy</t>
  </si>
  <si>
    <t>Ctijy-1</t>
  </si>
  <si>
    <t>Carbon mass in trees year y</t>
  </si>
  <si>
    <t>Carbon mass in trees year y-1</t>
  </si>
  <si>
    <t>input</t>
  </si>
  <si>
    <t>Carbon mass in debris year y</t>
  </si>
  <si>
    <t>Carbon mass in debris year y-1</t>
  </si>
  <si>
    <t>Cdijy</t>
  </si>
  <si>
    <t>Cdijy-1</t>
  </si>
  <si>
    <r>
      <t>∆𝐶</t>
    </r>
    <r>
      <rPr>
        <sz val="9"/>
        <color rgb="FF000000"/>
        <rFont val="Helvetica"/>
        <family val="2"/>
      </rPr>
      <t>𝑑,𝑖,𝑗,𝑦</t>
    </r>
  </si>
  <si>
    <t>Baseline</t>
  </si>
  <si>
    <t>Change in carbon in debris</t>
  </si>
  <si>
    <r>
      <t>∆𝐶</t>
    </r>
    <r>
      <rPr>
        <sz val="9"/>
        <color rgb="FF000000"/>
        <rFont val="Helvetica"/>
        <family val="2"/>
      </rPr>
      <t>t,𝑖,𝑗,𝑦</t>
    </r>
  </si>
  <si>
    <t>Change in carbon in trees</t>
  </si>
  <si>
    <t>t C / ha</t>
  </si>
  <si>
    <r>
      <t>∆𝐶</t>
    </r>
    <r>
      <rPr>
        <sz val="9"/>
        <color rgb="FF000000"/>
        <rFont val="Helvetica"/>
        <family val="2"/>
      </rPr>
      <t>𝑖,𝑗,𝑦</t>
    </r>
  </si>
  <si>
    <t>expression</t>
  </si>
  <si>
    <t>Change in woody carbon</t>
  </si>
  <si>
    <t>Activity area</t>
  </si>
  <si>
    <t>aijy</t>
  </si>
  <si>
    <t>CLUCjy</t>
  </si>
  <si>
    <t>Annual co2 from woody carbon from land use change</t>
  </si>
  <si>
    <t>CgCO2</t>
  </si>
  <si>
    <t>ha</t>
  </si>
  <si>
    <t>Deforesting</t>
  </si>
  <si>
    <t>agijy</t>
  </si>
  <si>
    <t>Emissions from biomass burning</t>
  </si>
  <si>
    <t>t CO2e</t>
  </si>
  <si>
    <t>Area burnt</t>
  </si>
  <si>
    <t>Mass emitted per hectare</t>
  </si>
  <si>
    <t>SLUCj=1-3y</t>
  </si>
  <si>
    <t>Emissions from soil carbon from land clearing</t>
  </si>
  <si>
    <r>
      <t>∆𝑆</t>
    </r>
    <r>
      <rPr>
        <sz val="9"/>
        <color rgb="FF000000"/>
        <rFont val="Helvetica"/>
        <family val="2"/>
      </rPr>
      <t>𝑖,𝑗=1−3,𝑦</t>
    </r>
  </si>
  <si>
    <t>t C</t>
  </si>
  <si>
    <t>Soil carbon change for area</t>
  </si>
  <si>
    <t>Or</t>
  </si>
  <si>
    <t>Annual loss for region</t>
  </si>
  <si>
    <t>aij=1-3y</t>
  </si>
  <si>
    <t>Region</t>
  </si>
  <si>
    <r>
      <t>𝐶</t>
    </r>
    <r>
      <rPr>
        <sz val="9"/>
        <color rgb="FF000000"/>
        <rFont val="Helvetica"/>
        <family val="2"/>
      </rPr>
      <t>𝑝,𝑖,𝑗=6−7,𝑦</t>
    </r>
  </si>
  <si>
    <r>
      <t>𝑎</t>
    </r>
    <r>
      <rPr>
        <sz val="9"/>
        <color rgb="FF000000"/>
        <rFont val="Helvetica"/>
        <family val="2"/>
      </rPr>
      <t>𝑖,𝑗,𝑦</t>
    </r>
  </si>
  <si>
    <r>
      <t>𝐶</t>
    </r>
    <r>
      <rPr>
        <sz val="9"/>
        <color rgb="FF000000"/>
        <rFont val="Helvetica"/>
        <family val="2"/>
      </rPr>
      <t>𝐻𝑊𝑃,𝑗=6−7,𝑦</t>
    </r>
  </si>
  <si>
    <t>t CO2</t>
  </si>
  <si>
    <t>FullCAM</t>
  </si>
  <si>
    <t>Empty</t>
  </si>
  <si>
    <t>Large</t>
  </si>
  <si>
    <t>Arnhem Coast</t>
  </si>
  <si>
    <t>Arnhem Plateau</t>
  </si>
  <si>
    <t>Australian Alps</t>
  </si>
  <si>
    <t>Avon Wheatbelt</t>
  </si>
  <si>
    <t>Brigalow Belt North</t>
  </si>
  <si>
    <t>Brigalow Belt South</t>
  </si>
  <si>
    <t>Ben Lomond</t>
  </si>
  <si>
    <t>Broken Hill Complex</t>
  </si>
  <si>
    <t>Burt Plain</t>
  </si>
  <si>
    <t>Carnarvon</t>
  </si>
  <si>
    <t>Central Arnhem</t>
  </si>
  <si>
    <t>Central Kimberley</t>
  </si>
  <si>
    <t>Central Ranges</t>
  </si>
  <si>
    <t>Channel Country</t>
  </si>
  <si>
    <t>Central Mackay Coast</t>
  </si>
  <si>
    <t>Coolgardie</t>
  </si>
  <si>
    <t>Cobar Peneplain</t>
  </si>
  <si>
    <t>Cape York Peninsula</t>
  </si>
  <si>
    <t>Daly Basin</t>
  </si>
  <si>
    <t>Darwin Coastal</t>
  </si>
  <si>
    <t>Dampierland</t>
  </si>
  <si>
    <t>Desert Uplands</t>
  </si>
  <si>
    <t>Davenport Murchison Ranges</t>
  </si>
  <si>
    <t>Darling Riverine Plains</t>
  </si>
  <si>
    <t>Einasleigh Uplands</t>
  </si>
  <si>
    <t>Esperance Plains</t>
  </si>
  <si>
    <t>Eyre Yorke Block</t>
  </si>
  <si>
    <t>Flinders Lofty Block</t>
  </si>
  <si>
    <t>Furneaux</t>
  </si>
  <si>
    <t>Gascoyne</t>
  </si>
  <si>
    <t>Gawler</t>
  </si>
  <si>
    <t>Geraldton Sandplains</t>
  </si>
  <si>
    <t>Gulf Fall and Uplands</t>
  </si>
  <si>
    <t>Gibson Desert</t>
  </si>
  <si>
    <t>Great Sandy Desert</t>
  </si>
  <si>
    <t>Gulf Coastal</t>
  </si>
  <si>
    <t>Gulf Plains</t>
  </si>
  <si>
    <t>Great Victoria Desert</t>
  </si>
  <si>
    <t>Hampton</t>
  </si>
  <si>
    <t>Jarrah Forest</t>
  </si>
  <si>
    <t>Kanmantoo</t>
  </si>
  <si>
    <t>King</t>
  </si>
  <si>
    <t>Little Sandy Desert</t>
  </si>
  <si>
    <t>MacDonnell Ranges</t>
  </si>
  <si>
    <t>Mallee</t>
  </si>
  <si>
    <t>Murray Darling Depression</t>
  </si>
  <si>
    <t>Mitchell Grass Downs</t>
  </si>
  <si>
    <t>Mount Isa Inlier</t>
  </si>
  <si>
    <t>Mulga Lands</t>
  </si>
  <si>
    <t>Murchison</t>
  </si>
  <si>
    <t>Nandewar</t>
  </si>
  <si>
    <t>Naracoorte Coastal Plain</t>
  </si>
  <si>
    <t>New England Tablelands</t>
  </si>
  <si>
    <t>NSW North Coast</t>
  </si>
  <si>
    <t>Northern Kimberley</t>
  </si>
  <si>
    <t>NSW South Western Slopes</t>
  </si>
  <si>
    <t>Nullarbor</t>
  </si>
  <si>
    <t>Ord Victoria Plain</t>
  </si>
  <si>
    <t>Pine Creek</t>
  </si>
  <si>
    <t>Pilbara</t>
  </si>
  <si>
    <t>Riverina</t>
  </si>
  <si>
    <t>South East Coastal Plain</t>
  </si>
  <si>
    <t>South East Corner</t>
  </si>
  <si>
    <t>South Eastern Highlands</t>
  </si>
  <si>
    <t>South Eastern Queensland</t>
  </si>
  <si>
    <t>Simpson Strzelecki Dunefields</t>
  </si>
  <si>
    <t>Stony Plains</t>
  </si>
  <si>
    <t>Sturt Plateau</t>
  </si>
  <si>
    <t>Southern Volcanic Plain</t>
  </si>
  <si>
    <t>Swan Coastal Plain</t>
  </si>
  <si>
    <t>Sydney Basin</t>
  </si>
  <si>
    <t>Tanami</t>
  </si>
  <si>
    <t>Tasmanian Central Highlands</t>
  </si>
  <si>
    <t>Tiwi Cobourg</t>
  </si>
  <si>
    <t>Tasmanian Northern Midlands</t>
  </si>
  <si>
    <t>Tasmanian Northern Slopes</t>
  </si>
  <si>
    <t>Tasmanian South East</t>
  </si>
  <si>
    <t>Tasmanian Southern Ranges</t>
  </si>
  <si>
    <t>Tasmanian West</t>
  </si>
  <si>
    <t>Victoria Bonaparte</t>
  </si>
  <si>
    <t>Victorian Midlands</t>
  </si>
  <si>
    <t>Warren</t>
  </si>
  <si>
    <t>Wet Tropics</t>
  </si>
  <si>
    <t>Yalgoo</t>
  </si>
  <si>
    <t>Eg=ch4,I,j,y</t>
  </si>
  <si>
    <t>t CH4 / ha</t>
  </si>
  <si>
    <t>t N2O / ha</t>
  </si>
  <si>
    <t>Eg=n2o,I,j,y</t>
  </si>
  <si>
    <t>ELUCg=ch4jy</t>
  </si>
  <si>
    <t>t CH4</t>
  </si>
  <si>
    <t>t N2O</t>
  </si>
  <si>
    <t>ELUCg=n2ojy</t>
  </si>
  <si>
    <t>From records</t>
  </si>
  <si>
    <t>Finke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</si>
</sst>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A539-AA2F-F544-8DB9-706C333F2267}">
  <dimension ref="A4:P12"/>
  <sheetViews>
    <sheetView workbookViewId="0">
      <selection activeCell="P8" sqref="P8"/>
    </sheetView>
  </sheetViews>
  <sheetFormatPr baseColWidth="10" defaultRowHeight="16" x14ac:dyDescent="0.2"/>
  <cols>
    <col min="1" max="1" width="15.6640625" customWidth="1"/>
    <col min="2" max="2" width="14.1640625" customWidth="1"/>
    <col min="3" max="4" width="18.6640625" customWidth="1"/>
    <col min="5" max="5" width="14.6640625" customWidth="1"/>
    <col min="6" max="6" width="15.6640625" customWidth="1"/>
    <col min="7" max="8" width="18" customWidth="1"/>
    <col min="9" max="9" width="17.6640625" customWidth="1"/>
    <col min="11" max="11" width="19.6640625" customWidth="1"/>
  </cols>
  <sheetData>
    <row r="4" spans="1:16" x14ac:dyDescent="0.2">
      <c r="B4" t="s">
        <v>44</v>
      </c>
      <c r="C4" t="s">
        <v>44</v>
      </c>
      <c r="E4" t="s">
        <v>44</v>
      </c>
      <c r="F4" t="s">
        <v>44</v>
      </c>
    </row>
    <row r="6" spans="1:16" x14ac:dyDescent="0.2">
      <c r="B6" t="s">
        <v>5</v>
      </c>
      <c r="C6" t="s">
        <v>5</v>
      </c>
      <c r="E6" t="s">
        <v>5</v>
      </c>
      <c r="F6" t="s">
        <v>5</v>
      </c>
      <c r="H6" t="s">
        <v>5</v>
      </c>
      <c r="I6" t="s">
        <v>17</v>
      </c>
    </row>
    <row r="7" spans="1:16" x14ac:dyDescent="0.2">
      <c r="O7" t="s">
        <v>23</v>
      </c>
      <c r="P7">
        <f>44/12</f>
        <v>3.6666666666666665</v>
      </c>
    </row>
    <row r="8" spans="1:16" x14ac:dyDescent="0.2"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24</v>
      </c>
    </row>
    <row r="9" spans="1:16" s="1" customFormat="1" ht="51" x14ac:dyDescent="0.2">
      <c r="B9" s="1" t="s">
        <v>3</v>
      </c>
      <c r="C9" s="1" t="s">
        <v>4</v>
      </c>
      <c r="D9" s="1" t="s">
        <v>14</v>
      </c>
      <c r="E9" s="1" t="s">
        <v>6</v>
      </c>
      <c r="F9" s="1" t="s">
        <v>7</v>
      </c>
      <c r="G9" s="1" t="s">
        <v>12</v>
      </c>
      <c r="H9" s="1" t="s">
        <v>19</v>
      </c>
      <c r="I9" s="1" t="s">
        <v>18</v>
      </c>
      <c r="K9" s="1" t="s">
        <v>22</v>
      </c>
    </row>
    <row r="10" spans="1:16" x14ac:dyDescent="0.2">
      <c r="A10" t="s">
        <v>0</v>
      </c>
      <c r="B10" s="3" t="s">
        <v>1</v>
      </c>
      <c r="C10" s="3" t="s">
        <v>2</v>
      </c>
      <c r="D10" s="2" t="s">
        <v>13</v>
      </c>
      <c r="E10" s="3" t="s">
        <v>8</v>
      </c>
      <c r="F10" s="3" t="s">
        <v>9</v>
      </c>
      <c r="G10" s="2" t="s">
        <v>10</v>
      </c>
      <c r="H10" s="4" t="s">
        <v>20</v>
      </c>
      <c r="I10" s="2" t="s">
        <v>16</v>
      </c>
      <c r="J10" s="2" t="s">
        <v>23</v>
      </c>
      <c r="K10" s="5" t="s">
        <v>21</v>
      </c>
    </row>
    <row r="11" spans="1:16" x14ac:dyDescent="0.2">
      <c r="A11" t="s">
        <v>11</v>
      </c>
      <c r="B11">
        <v>100</v>
      </c>
      <c r="C11">
        <v>99</v>
      </c>
      <c r="D11">
        <f>B11-C11</f>
        <v>1</v>
      </c>
      <c r="E11">
        <v>50</v>
      </c>
      <c r="F11">
        <v>49</v>
      </c>
      <c r="G11">
        <f>E11-F11</f>
        <v>1</v>
      </c>
      <c r="H11">
        <v>25</v>
      </c>
      <c r="I11">
        <f>(D11+G11)*H11</f>
        <v>50</v>
      </c>
      <c r="J11">
        <f>$P$7</f>
        <v>3.6666666666666665</v>
      </c>
      <c r="K11">
        <f>I11*J11*-1</f>
        <v>-183.33333333333331</v>
      </c>
    </row>
    <row r="12" spans="1:16" x14ac:dyDescent="0.2">
      <c r="A12" t="s">
        <v>25</v>
      </c>
      <c r="B12">
        <v>40</v>
      </c>
      <c r="C12">
        <v>99</v>
      </c>
      <c r="D12">
        <f>B12-C12</f>
        <v>-59</v>
      </c>
      <c r="E12">
        <v>30</v>
      </c>
      <c r="F12">
        <v>49</v>
      </c>
      <c r="G12">
        <f>E12-F12</f>
        <v>-19</v>
      </c>
      <c r="H12">
        <v>25</v>
      </c>
      <c r="I12">
        <f>(D12+G12)*H12</f>
        <v>-1950</v>
      </c>
      <c r="J12">
        <f>$P$7</f>
        <v>3.6666666666666665</v>
      </c>
      <c r="K12">
        <f>I12*J12*-1</f>
        <v>7150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B52C-734F-7046-ACDC-C5573D991542}">
  <dimension ref="A4:F13"/>
  <sheetViews>
    <sheetView zoomScale="125" zoomScaleNormal="125" workbookViewId="0">
      <selection activeCell="F15" sqref="F15"/>
    </sheetView>
  </sheetViews>
  <sheetFormatPr baseColWidth="10" defaultRowHeight="16" x14ac:dyDescent="0.2"/>
  <cols>
    <col min="2" max="3" width="16.1640625" customWidth="1"/>
    <col min="4" max="4" width="18.1640625" customWidth="1"/>
    <col min="5" max="5" width="19.33203125" customWidth="1"/>
    <col min="6" max="6" width="14.6640625" customWidth="1"/>
  </cols>
  <sheetData>
    <row r="4" spans="1:6" x14ac:dyDescent="0.2">
      <c r="B4" t="s">
        <v>44</v>
      </c>
      <c r="C4" t="s">
        <v>44</v>
      </c>
    </row>
    <row r="6" spans="1:6" x14ac:dyDescent="0.2">
      <c r="B6" t="s">
        <v>5</v>
      </c>
      <c r="C6" t="s">
        <v>5</v>
      </c>
      <c r="D6" t="s">
        <v>5</v>
      </c>
    </row>
    <row r="7" spans="1:6" x14ac:dyDescent="0.2">
      <c r="B7" t="s">
        <v>132</v>
      </c>
      <c r="C7" t="s">
        <v>133</v>
      </c>
      <c r="D7" t="s">
        <v>24</v>
      </c>
      <c r="E7" t="s">
        <v>136</v>
      </c>
      <c r="F7" t="s">
        <v>137</v>
      </c>
    </row>
    <row r="9" spans="1:6" s="1" customFormat="1" ht="34" x14ac:dyDescent="0.2">
      <c r="B9" s="1" t="s">
        <v>30</v>
      </c>
      <c r="C9" s="1" t="s">
        <v>30</v>
      </c>
      <c r="D9" s="1" t="s">
        <v>29</v>
      </c>
      <c r="E9" s="1" t="s">
        <v>27</v>
      </c>
      <c r="F9" s="1" t="s">
        <v>27</v>
      </c>
    </row>
    <row r="10" spans="1:6" x14ac:dyDescent="0.2">
      <c r="A10" t="s">
        <v>0</v>
      </c>
      <c r="B10" s="3" t="s">
        <v>131</v>
      </c>
      <c r="C10" s="3" t="s">
        <v>134</v>
      </c>
      <c r="D10" s="3" t="s">
        <v>26</v>
      </c>
      <c r="E10" s="6" t="s">
        <v>135</v>
      </c>
      <c r="F10" s="6" t="s">
        <v>138</v>
      </c>
    </row>
    <row r="11" spans="1:6" x14ac:dyDescent="0.2">
      <c r="A11" t="s">
        <v>11</v>
      </c>
      <c r="B11">
        <v>25</v>
      </c>
      <c r="C11">
        <v>4</v>
      </c>
      <c r="D11">
        <v>5</v>
      </c>
      <c r="E11">
        <f>B11*D11</f>
        <v>125</v>
      </c>
      <c r="F11">
        <f>C11*D11</f>
        <v>20</v>
      </c>
    </row>
    <row r="12" spans="1:6" x14ac:dyDescent="0.2">
      <c r="A12" t="s">
        <v>45</v>
      </c>
      <c r="B12">
        <v>0</v>
      </c>
      <c r="C12">
        <v>0</v>
      </c>
      <c r="D12">
        <v>0</v>
      </c>
      <c r="E12">
        <f t="shared" ref="E12:E13" si="0">B12*D12</f>
        <v>0</v>
      </c>
      <c r="F12">
        <f t="shared" ref="F12:F13" si="1">C12*D12</f>
        <v>0</v>
      </c>
    </row>
    <row r="13" spans="1:6" x14ac:dyDescent="0.2">
      <c r="A13" t="s">
        <v>46</v>
      </c>
      <c r="B13">
        <v>35</v>
      </c>
      <c r="C13">
        <v>40</v>
      </c>
      <c r="D13">
        <v>200</v>
      </c>
      <c r="E13">
        <f t="shared" si="0"/>
        <v>7000</v>
      </c>
      <c r="F13">
        <f t="shared" si="1"/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6393-0D72-6D45-B0BB-68DF80AF67FB}">
  <dimension ref="A7:M95"/>
  <sheetViews>
    <sheetView tabSelected="1" workbookViewId="0">
      <selection activeCell="K11" sqref="K11:L95"/>
    </sheetView>
  </sheetViews>
  <sheetFormatPr baseColWidth="10" defaultRowHeight="16" x14ac:dyDescent="0.2"/>
  <cols>
    <col min="1" max="1" width="21.33203125" customWidth="1"/>
    <col min="4" max="4" width="15.6640625" customWidth="1"/>
    <col min="6" max="6" width="17.6640625" customWidth="1"/>
    <col min="11" max="11" width="22" customWidth="1"/>
  </cols>
  <sheetData>
    <row r="7" spans="1:13" x14ac:dyDescent="0.2">
      <c r="B7" t="s">
        <v>24</v>
      </c>
      <c r="C7" t="s">
        <v>15</v>
      </c>
      <c r="D7" t="s">
        <v>34</v>
      </c>
      <c r="F7" t="s">
        <v>28</v>
      </c>
      <c r="L7" t="s">
        <v>23</v>
      </c>
      <c r="M7">
        <f>44/12</f>
        <v>3.6666666666666665</v>
      </c>
    </row>
    <row r="9" spans="1:13" s="1" customFormat="1" ht="51" x14ac:dyDescent="0.2">
      <c r="B9" s="1" t="s">
        <v>19</v>
      </c>
      <c r="C9" s="1" t="s">
        <v>37</v>
      </c>
      <c r="D9" s="1" t="s">
        <v>35</v>
      </c>
      <c r="F9" s="1" t="s">
        <v>32</v>
      </c>
    </row>
    <row r="10" spans="1:13" ht="17" x14ac:dyDescent="0.2">
      <c r="A10" s="8" t="s">
        <v>39</v>
      </c>
      <c r="B10" s="3" t="s">
        <v>38</v>
      </c>
      <c r="C10" t="s">
        <v>36</v>
      </c>
      <c r="D10" s="2" t="s">
        <v>33</v>
      </c>
      <c r="E10" t="s">
        <v>23</v>
      </c>
      <c r="F10" s="6" t="s">
        <v>31</v>
      </c>
    </row>
    <row r="11" spans="1:13" x14ac:dyDescent="0.2">
      <c r="A11" s="7" t="s">
        <v>47</v>
      </c>
      <c r="B11">
        <v>1</v>
      </c>
      <c r="C11">
        <f>VLOOKUP(A11,$K$11:$L$94, 2, FALSE)</f>
        <v>-0.12</v>
      </c>
      <c r="D11">
        <f>B11*C11</f>
        <v>-0.12</v>
      </c>
      <c r="E11">
        <f>$M$7</f>
        <v>3.6666666666666665</v>
      </c>
      <c r="F11">
        <f>D11*E11*-1</f>
        <v>0.43999999999999995</v>
      </c>
      <c r="K11" t="s">
        <v>47</v>
      </c>
      <c r="L11">
        <v>-0.12</v>
      </c>
    </row>
    <row r="12" spans="1:13" x14ac:dyDescent="0.2">
      <c r="A12" s="7" t="s">
        <v>48</v>
      </c>
      <c r="B12">
        <v>2</v>
      </c>
      <c r="C12">
        <f t="shared" ref="C12:C75" si="0">VLOOKUP(A12,$K$11:$L$94, 2, FALSE)</f>
        <v>-0.43</v>
      </c>
      <c r="D12">
        <f t="shared" ref="D12:D75" si="1">B12*C12</f>
        <v>-0.86</v>
      </c>
      <c r="E12">
        <f t="shared" ref="E12:E75" si="2">$M$7</f>
        <v>3.6666666666666665</v>
      </c>
      <c r="F12">
        <f t="shared" ref="F12:F75" si="3">D12*E12*-1</f>
        <v>3.1533333333333333</v>
      </c>
      <c r="K12" t="s">
        <v>48</v>
      </c>
      <c r="L12">
        <v>-0.43</v>
      </c>
    </row>
    <row r="13" spans="1:13" x14ac:dyDescent="0.2">
      <c r="A13" s="7" t="s">
        <v>49</v>
      </c>
      <c r="B13">
        <v>3</v>
      </c>
      <c r="C13">
        <f t="shared" si="0"/>
        <v>-0.09</v>
      </c>
      <c r="D13">
        <f t="shared" si="1"/>
        <v>-0.27</v>
      </c>
      <c r="E13">
        <f t="shared" si="2"/>
        <v>3.6666666666666665</v>
      </c>
      <c r="F13">
        <f t="shared" si="3"/>
        <v>0.99</v>
      </c>
      <c r="K13" t="s">
        <v>49</v>
      </c>
      <c r="L13">
        <v>-0.09</v>
      </c>
    </row>
    <row r="14" spans="1:13" x14ac:dyDescent="0.2">
      <c r="A14" s="7" t="s">
        <v>50</v>
      </c>
      <c r="B14">
        <v>4</v>
      </c>
      <c r="C14">
        <f t="shared" si="0"/>
        <v>-0.09</v>
      </c>
      <c r="D14">
        <f t="shared" si="1"/>
        <v>-0.36</v>
      </c>
      <c r="E14">
        <f t="shared" si="2"/>
        <v>3.6666666666666665</v>
      </c>
      <c r="F14">
        <f t="shared" si="3"/>
        <v>1.3199999999999998</v>
      </c>
      <c r="K14" t="s">
        <v>50</v>
      </c>
      <c r="L14">
        <v>-0.09</v>
      </c>
    </row>
    <row r="15" spans="1:13" x14ac:dyDescent="0.2">
      <c r="A15" s="7" t="s">
        <v>51</v>
      </c>
      <c r="B15">
        <v>5</v>
      </c>
      <c r="C15">
        <f t="shared" si="0"/>
        <v>-0.14000000000000001</v>
      </c>
      <c r="D15">
        <f t="shared" si="1"/>
        <v>-0.70000000000000007</v>
      </c>
      <c r="E15">
        <f t="shared" si="2"/>
        <v>3.6666666666666665</v>
      </c>
      <c r="F15">
        <f t="shared" si="3"/>
        <v>2.5666666666666669</v>
      </c>
      <c r="K15" t="s">
        <v>51</v>
      </c>
      <c r="L15">
        <v>-0.14000000000000001</v>
      </c>
    </row>
    <row r="16" spans="1:13" x14ac:dyDescent="0.2">
      <c r="A16" s="7" t="s">
        <v>52</v>
      </c>
      <c r="B16">
        <v>6</v>
      </c>
      <c r="C16">
        <f t="shared" si="0"/>
        <v>-0.13</v>
      </c>
      <c r="D16">
        <f t="shared" si="1"/>
        <v>-0.78</v>
      </c>
      <c r="E16">
        <f t="shared" si="2"/>
        <v>3.6666666666666665</v>
      </c>
      <c r="F16">
        <f t="shared" si="3"/>
        <v>2.86</v>
      </c>
      <c r="K16" t="s">
        <v>52</v>
      </c>
      <c r="L16">
        <v>-0.13</v>
      </c>
    </row>
    <row r="17" spans="1:12" x14ac:dyDescent="0.2">
      <c r="A17" s="7" t="s">
        <v>53</v>
      </c>
      <c r="B17">
        <v>7</v>
      </c>
      <c r="C17">
        <f t="shared" si="0"/>
        <v>-0.31</v>
      </c>
      <c r="D17">
        <f t="shared" si="1"/>
        <v>-2.17</v>
      </c>
      <c r="E17">
        <f t="shared" si="2"/>
        <v>3.6666666666666665</v>
      </c>
      <c r="F17">
        <f t="shared" si="3"/>
        <v>7.9566666666666661</v>
      </c>
      <c r="K17" t="s">
        <v>53</v>
      </c>
      <c r="L17">
        <v>-0.31</v>
      </c>
    </row>
    <row r="18" spans="1:12" x14ac:dyDescent="0.2">
      <c r="A18" s="7" t="s">
        <v>54</v>
      </c>
      <c r="B18">
        <v>8</v>
      </c>
      <c r="C18">
        <f t="shared" si="0"/>
        <v>-0.01</v>
      </c>
      <c r="D18">
        <f t="shared" si="1"/>
        <v>-0.08</v>
      </c>
      <c r="E18">
        <f t="shared" si="2"/>
        <v>3.6666666666666665</v>
      </c>
      <c r="F18">
        <f t="shared" si="3"/>
        <v>0.29333333333333333</v>
      </c>
      <c r="K18" t="s">
        <v>54</v>
      </c>
      <c r="L18">
        <v>-0.01</v>
      </c>
    </row>
    <row r="19" spans="1:12" x14ac:dyDescent="0.2">
      <c r="A19" s="7" t="s">
        <v>55</v>
      </c>
      <c r="B19">
        <v>9</v>
      </c>
      <c r="C19">
        <f t="shared" si="0"/>
        <v>-7.0000000000000007E-2</v>
      </c>
      <c r="D19">
        <f t="shared" si="1"/>
        <v>-0.63000000000000012</v>
      </c>
      <c r="E19">
        <f t="shared" si="2"/>
        <v>3.6666666666666665</v>
      </c>
      <c r="F19">
        <f t="shared" si="3"/>
        <v>2.3100000000000005</v>
      </c>
      <c r="K19" t="s">
        <v>55</v>
      </c>
      <c r="L19">
        <v>-7.0000000000000007E-2</v>
      </c>
    </row>
    <row r="20" spans="1:12" x14ac:dyDescent="0.2">
      <c r="A20" s="7" t="s">
        <v>56</v>
      </c>
      <c r="B20">
        <v>10</v>
      </c>
      <c r="C20">
        <f t="shared" si="0"/>
        <v>-0.06</v>
      </c>
      <c r="D20">
        <f t="shared" si="1"/>
        <v>-0.6</v>
      </c>
      <c r="E20">
        <f t="shared" si="2"/>
        <v>3.6666666666666665</v>
      </c>
      <c r="F20">
        <f t="shared" si="3"/>
        <v>2.1999999999999997</v>
      </c>
      <c r="K20" t="s">
        <v>56</v>
      </c>
      <c r="L20">
        <v>-0.06</v>
      </c>
    </row>
    <row r="21" spans="1:12" x14ac:dyDescent="0.2">
      <c r="A21" s="7" t="s">
        <v>57</v>
      </c>
      <c r="B21">
        <v>11</v>
      </c>
      <c r="C21">
        <f t="shared" si="0"/>
        <v>-0.09</v>
      </c>
      <c r="D21">
        <f t="shared" si="1"/>
        <v>-0.99</v>
      </c>
      <c r="E21">
        <f t="shared" si="2"/>
        <v>3.6666666666666665</v>
      </c>
      <c r="F21">
        <f t="shared" si="3"/>
        <v>3.63</v>
      </c>
      <c r="K21" t="s">
        <v>57</v>
      </c>
      <c r="L21">
        <v>-0.09</v>
      </c>
    </row>
    <row r="22" spans="1:12" x14ac:dyDescent="0.2">
      <c r="A22" s="7" t="s">
        <v>58</v>
      </c>
      <c r="B22">
        <v>12</v>
      </c>
      <c r="C22">
        <f t="shared" si="0"/>
        <v>-0.19</v>
      </c>
      <c r="D22">
        <f t="shared" si="1"/>
        <v>-2.2800000000000002</v>
      </c>
      <c r="E22">
        <f t="shared" si="2"/>
        <v>3.6666666666666665</v>
      </c>
      <c r="F22">
        <f t="shared" si="3"/>
        <v>8.3600000000000012</v>
      </c>
      <c r="K22" t="s">
        <v>58</v>
      </c>
      <c r="L22">
        <v>-0.19</v>
      </c>
    </row>
    <row r="23" spans="1:12" x14ac:dyDescent="0.2">
      <c r="A23" s="7" t="s">
        <v>59</v>
      </c>
      <c r="B23">
        <v>13</v>
      </c>
      <c r="C23">
        <f t="shared" si="0"/>
        <v>-0.13</v>
      </c>
      <c r="D23">
        <f t="shared" si="1"/>
        <v>-1.69</v>
      </c>
      <c r="E23">
        <f t="shared" si="2"/>
        <v>3.6666666666666665</v>
      </c>
      <c r="F23">
        <f t="shared" si="3"/>
        <v>6.1966666666666663</v>
      </c>
      <c r="K23" t="s">
        <v>59</v>
      </c>
      <c r="L23">
        <v>-0.13</v>
      </c>
    </row>
    <row r="24" spans="1:12" x14ac:dyDescent="0.2">
      <c r="A24" s="7" t="s">
        <v>60</v>
      </c>
      <c r="B24">
        <v>14</v>
      </c>
      <c r="C24">
        <f t="shared" si="0"/>
        <v>-0.04</v>
      </c>
      <c r="D24">
        <f t="shared" si="1"/>
        <v>-0.56000000000000005</v>
      </c>
      <c r="E24">
        <f t="shared" si="2"/>
        <v>3.6666666666666665</v>
      </c>
      <c r="F24">
        <f t="shared" si="3"/>
        <v>2.0533333333333332</v>
      </c>
      <c r="K24" t="s">
        <v>60</v>
      </c>
      <c r="L24">
        <v>-0.04</v>
      </c>
    </row>
    <row r="25" spans="1:12" x14ac:dyDescent="0.2">
      <c r="A25" s="7" t="s">
        <v>61</v>
      </c>
      <c r="B25">
        <v>15</v>
      </c>
      <c r="C25">
        <f t="shared" si="0"/>
        <v>-0.4</v>
      </c>
      <c r="D25">
        <f t="shared" si="1"/>
        <v>-6</v>
      </c>
      <c r="E25">
        <f t="shared" si="2"/>
        <v>3.6666666666666665</v>
      </c>
      <c r="F25">
        <f t="shared" si="3"/>
        <v>22</v>
      </c>
      <c r="K25" t="s">
        <v>61</v>
      </c>
      <c r="L25">
        <v>-0.4</v>
      </c>
    </row>
    <row r="26" spans="1:12" x14ac:dyDescent="0.2">
      <c r="A26" s="7" t="s">
        <v>62</v>
      </c>
      <c r="B26">
        <v>16</v>
      </c>
      <c r="C26">
        <f t="shared" si="0"/>
        <v>-0.09</v>
      </c>
      <c r="D26">
        <f t="shared" si="1"/>
        <v>-1.44</v>
      </c>
      <c r="E26">
        <f t="shared" si="2"/>
        <v>3.6666666666666665</v>
      </c>
      <c r="F26">
        <f t="shared" si="3"/>
        <v>5.2799999999999994</v>
      </c>
      <c r="K26" t="s">
        <v>62</v>
      </c>
      <c r="L26">
        <v>-0.09</v>
      </c>
    </row>
    <row r="27" spans="1:12" x14ac:dyDescent="0.2">
      <c r="A27" s="7" t="s">
        <v>63</v>
      </c>
      <c r="B27">
        <v>17</v>
      </c>
      <c r="C27">
        <f t="shared" si="0"/>
        <v>-0.04</v>
      </c>
      <c r="D27">
        <f t="shared" si="1"/>
        <v>-0.68</v>
      </c>
      <c r="E27">
        <f t="shared" si="2"/>
        <v>3.6666666666666665</v>
      </c>
      <c r="F27">
        <f t="shared" si="3"/>
        <v>2.4933333333333336</v>
      </c>
      <c r="K27" t="s">
        <v>63</v>
      </c>
      <c r="L27">
        <v>-0.04</v>
      </c>
    </row>
    <row r="28" spans="1:12" x14ac:dyDescent="0.2">
      <c r="A28" s="7" t="s">
        <v>64</v>
      </c>
      <c r="B28">
        <v>18</v>
      </c>
      <c r="C28">
        <f t="shared" si="0"/>
        <v>-0.44</v>
      </c>
      <c r="D28">
        <f t="shared" si="1"/>
        <v>-7.92</v>
      </c>
      <c r="E28">
        <f t="shared" si="2"/>
        <v>3.6666666666666665</v>
      </c>
      <c r="F28">
        <f t="shared" si="3"/>
        <v>29.04</v>
      </c>
      <c r="K28" t="s">
        <v>64</v>
      </c>
      <c r="L28">
        <v>-0.44</v>
      </c>
    </row>
    <row r="29" spans="1:12" x14ac:dyDescent="0.2">
      <c r="A29" s="7" t="s">
        <v>65</v>
      </c>
      <c r="B29">
        <v>19</v>
      </c>
      <c r="C29">
        <f t="shared" si="0"/>
        <v>-0.21</v>
      </c>
      <c r="D29">
        <f t="shared" si="1"/>
        <v>-3.9899999999999998</v>
      </c>
      <c r="E29">
        <f t="shared" si="2"/>
        <v>3.6666666666666665</v>
      </c>
      <c r="F29">
        <f t="shared" si="3"/>
        <v>14.629999999999999</v>
      </c>
      <c r="K29" t="s">
        <v>65</v>
      </c>
      <c r="L29">
        <v>-0.21</v>
      </c>
    </row>
    <row r="30" spans="1:12" x14ac:dyDescent="0.2">
      <c r="A30" s="7" t="s">
        <v>66</v>
      </c>
      <c r="B30">
        <v>20</v>
      </c>
      <c r="C30">
        <f t="shared" si="0"/>
        <v>-0.21</v>
      </c>
      <c r="D30">
        <f t="shared" si="1"/>
        <v>-4.2</v>
      </c>
      <c r="E30">
        <f t="shared" si="2"/>
        <v>3.6666666666666665</v>
      </c>
      <c r="F30">
        <f t="shared" si="3"/>
        <v>15.4</v>
      </c>
      <c r="K30" t="s">
        <v>66</v>
      </c>
      <c r="L30">
        <v>-0.21</v>
      </c>
    </row>
    <row r="31" spans="1:12" x14ac:dyDescent="0.2">
      <c r="A31" s="7" t="s">
        <v>67</v>
      </c>
      <c r="B31">
        <v>21</v>
      </c>
      <c r="C31">
        <f t="shared" si="0"/>
        <v>-0.19</v>
      </c>
      <c r="D31">
        <f t="shared" si="1"/>
        <v>-3.99</v>
      </c>
      <c r="E31">
        <f t="shared" si="2"/>
        <v>3.6666666666666665</v>
      </c>
      <c r="F31">
        <f t="shared" si="3"/>
        <v>14.63</v>
      </c>
      <c r="K31" t="s">
        <v>67</v>
      </c>
      <c r="L31">
        <v>-0.19</v>
      </c>
    </row>
    <row r="32" spans="1:12" x14ac:dyDescent="0.2">
      <c r="A32" s="7" t="s">
        <v>68</v>
      </c>
      <c r="B32">
        <v>22</v>
      </c>
      <c r="C32">
        <f t="shared" si="0"/>
        <v>-0.04</v>
      </c>
      <c r="D32">
        <f t="shared" si="1"/>
        <v>-0.88</v>
      </c>
      <c r="E32">
        <f t="shared" si="2"/>
        <v>3.6666666666666665</v>
      </c>
      <c r="F32">
        <f t="shared" si="3"/>
        <v>3.2266666666666666</v>
      </c>
      <c r="K32" t="s">
        <v>68</v>
      </c>
      <c r="L32">
        <v>-0.04</v>
      </c>
    </row>
    <row r="33" spans="1:12" x14ac:dyDescent="0.2">
      <c r="A33" s="7" t="s">
        <v>69</v>
      </c>
      <c r="B33">
        <v>23</v>
      </c>
      <c r="C33">
        <f t="shared" si="0"/>
        <v>-7.0000000000000007E-2</v>
      </c>
      <c r="D33">
        <f t="shared" si="1"/>
        <v>-1.61</v>
      </c>
      <c r="E33">
        <f t="shared" si="2"/>
        <v>3.6666666666666665</v>
      </c>
      <c r="F33">
        <f t="shared" si="3"/>
        <v>5.9033333333333333</v>
      </c>
      <c r="K33" t="s">
        <v>69</v>
      </c>
      <c r="L33">
        <v>-7.0000000000000007E-2</v>
      </c>
    </row>
    <row r="34" spans="1:12" x14ac:dyDescent="0.2">
      <c r="A34" s="7" t="s">
        <v>70</v>
      </c>
      <c r="B34">
        <v>24</v>
      </c>
      <c r="C34">
        <f t="shared" si="0"/>
        <v>-0.04</v>
      </c>
      <c r="D34">
        <f t="shared" si="1"/>
        <v>-0.96</v>
      </c>
      <c r="E34">
        <f t="shared" si="2"/>
        <v>3.6666666666666665</v>
      </c>
      <c r="F34">
        <f t="shared" si="3"/>
        <v>3.5199999999999996</v>
      </c>
      <c r="K34" t="s">
        <v>70</v>
      </c>
      <c r="L34">
        <v>-0.04</v>
      </c>
    </row>
    <row r="35" spans="1:12" x14ac:dyDescent="0.2">
      <c r="A35" s="7" t="s">
        <v>71</v>
      </c>
      <c r="B35">
        <v>25</v>
      </c>
      <c r="C35">
        <f t="shared" si="0"/>
        <v>-0.25</v>
      </c>
      <c r="D35">
        <f t="shared" si="1"/>
        <v>-6.25</v>
      </c>
      <c r="E35">
        <f t="shared" si="2"/>
        <v>3.6666666666666665</v>
      </c>
      <c r="F35">
        <f t="shared" si="3"/>
        <v>22.916666666666664</v>
      </c>
      <c r="K35" t="s">
        <v>71</v>
      </c>
      <c r="L35">
        <v>-0.25</v>
      </c>
    </row>
    <row r="36" spans="1:12" x14ac:dyDescent="0.2">
      <c r="A36" s="7" t="s">
        <v>72</v>
      </c>
      <c r="B36">
        <v>26</v>
      </c>
      <c r="C36">
        <f t="shared" si="0"/>
        <v>-0.17</v>
      </c>
      <c r="D36">
        <f t="shared" si="1"/>
        <v>-4.42</v>
      </c>
      <c r="E36">
        <f t="shared" si="2"/>
        <v>3.6666666666666665</v>
      </c>
      <c r="F36">
        <f t="shared" si="3"/>
        <v>16.206666666666667</v>
      </c>
      <c r="K36" t="s">
        <v>72</v>
      </c>
      <c r="L36">
        <v>-0.17</v>
      </c>
    </row>
    <row r="37" spans="1:12" x14ac:dyDescent="0.2">
      <c r="A37" s="7" t="s">
        <v>73</v>
      </c>
      <c r="B37">
        <v>27</v>
      </c>
      <c r="C37">
        <f t="shared" si="0"/>
        <v>-0.03</v>
      </c>
      <c r="D37">
        <f t="shared" si="1"/>
        <v>-0.80999999999999994</v>
      </c>
      <c r="E37">
        <f t="shared" si="2"/>
        <v>3.6666666666666665</v>
      </c>
      <c r="F37">
        <f t="shared" si="3"/>
        <v>2.9699999999999998</v>
      </c>
      <c r="K37" t="s">
        <v>73</v>
      </c>
      <c r="L37">
        <v>-0.03</v>
      </c>
    </row>
    <row r="38" spans="1:12" x14ac:dyDescent="0.2">
      <c r="A38" s="7" t="s">
        <v>74</v>
      </c>
      <c r="B38">
        <v>28</v>
      </c>
      <c r="C38">
        <f t="shared" si="0"/>
        <v>-0.02</v>
      </c>
      <c r="D38">
        <f t="shared" si="1"/>
        <v>-0.56000000000000005</v>
      </c>
      <c r="E38">
        <f t="shared" si="2"/>
        <v>3.6666666666666665</v>
      </c>
      <c r="F38">
        <f t="shared" si="3"/>
        <v>2.0533333333333332</v>
      </c>
      <c r="K38" t="s">
        <v>140</v>
      </c>
      <c r="L38">
        <v>-0.06</v>
      </c>
    </row>
    <row r="39" spans="1:12" x14ac:dyDescent="0.2">
      <c r="A39" s="7" t="s">
        <v>75</v>
      </c>
      <c r="B39">
        <v>29</v>
      </c>
      <c r="C39">
        <f t="shared" si="0"/>
        <v>-0.43</v>
      </c>
      <c r="D39">
        <f t="shared" si="1"/>
        <v>-12.47</v>
      </c>
      <c r="E39">
        <f t="shared" si="2"/>
        <v>3.6666666666666665</v>
      </c>
      <c r="F39">
        <f t="shared" si="3"/>
        <v>45.723333333333336</v>
      </c>
      <c r="K39" t="s">
        <v>74</v>
      </c>
      <c r="L39">
        <v>-0.02</v>
      </c>
    </row>
    <row r="40" spans="1:12" x14ac:dyDescent="0.2">
      <c r="A40" s="7" t="s">
        <v>76</v>
      </c>
      <c r="B40">
        <v>30</v>
      </c>
      <c r="C40">
        <f t="shared" si="0"/>
        <v>-0.14000000000000001</v>
      </c>
      <c r="D40">
        <f t="shared" si="1"/>
        <v>-4.2</v>
      </c>
      <c r="E40">
        <f t="shared" si="2"/>
        <v>3.6666666666666665</v>
      </c>
      <c r="F40">
        <f t="shared" si="3"/>
        <v>15.4</v>
      </c>
      <c r="K40" t="s">
        <v>75</v>
      </c>
      <c r="L40">
        <v>-0.43</v>
      </c>
    </row>
    <row r="41" spans="1:12" x14ac:dyDescent="0.2">
      <c r="A41" s="7" t="s">
        <v>77</v>
      </c>
      <c r="B41">
        <v>31</v>
      </c>
      <c r="C41">
        <f t="shared" si="0"/>
        <v>-0.03</v>
      </c>
      <c r="D41">
        <f t="shared" si="1"/>
        <v>-0.92999999999999994</v>
      </c>
      <c r="E41">
        <f t="shared" si="2"/>
        <v>3.6666666666666665</v>
      </c>
      <c r="F41">
        <f t="shared" si="3"/>
        <v>3.4099999999999997</v>
      </c>
      <c r="K41" t="s">
        <v>76</v>
      </c>
      <c r="L41">
        <v>-0.14000000000000001</v>
      </c>
    </row>
    <row r="42" spans="1:12" x14ac:dyDescent="0.2">
      <c r="A42" s="7" t="s">
        <v>78</v>
      </c>
      <c r="B42">
        <v>32</v>
      </c>
      <c r="C42">
        <f t="shared" si="0"/>
        <v>-0.12</v>
      </c>
      <c r="D42">
        <f t="shared" si="1"/>
        <v>-3.84</v>
      </c>
      <c r="E42">
        <f t="shared" si="2"/>
        <v>3.6666666666666665</v>
      </c>
      <c r="F42">
        <f t="shared" si="3"/>
        <v>14.079999999999998</v>
      </c>
      <c r="K42" t="s">
        <v>77</v>
      </c>
      <c r="L42">
        <v>-0.03</v>
      </c>
    </row>
    <row r="43" spans="1:12" x14ac:dyDescent="0.2">
      <c r="A43" s="7" t="s">
        <v>79</v>
      </c>
      <c r="B43">
        <v>33</v>
      </c>
      <c r="C43">
        <f t="shared" si="0"/>
        <v>-0.13</v>
      </c>
      <c r="D43">
        <f t="shared" si="1"/>
        <v>-4.29</v>
      </c>
      <c r="E43">
        <f t="shared" si="2"/>
        <v>3.6666666666666665</v>
      </c>
      <c r="F43">
        <f t="shared" si="3"/>
        <v>15.729999999999999</v>
      </c>
      <c r="K43" t="s">
        <v>78</v>
      </c>
      <c r="L43">
        <v>-0.12</v>
      </c>
    </row>
    <row r="44" spans="1:12" x14ac:dyDescent="0.2">
      <c r="A44" s="7" t="s">
        <v>80</v>
      </c>
      <c r="B44">
        <v>34</v>
      </c>
      <c r="C44">
        <f t="shared" si="0"/>
        <v>-0.16</v>
      </c>
      <c r="D44">
        <f t="shared" si="1"/>
        <v>-5.44</v>
      </c>
      <c r="E44">
        <f t="shared" si="2"/>
        <v>3.6666666666666665</v>
      </c>
      <c r="F44">
        <f t="shared" si="3"/>
        <v>19.946666666666669</v>
      </c>
      <c r="K44" t="s">
        <v>79</v>
      </c>
      <c r="L44">
        <v>-0.13</v>
      </c>
    </row>
    <row r="45" spans="1:12" x14ac:dyDescent="0.2">
      <c r="A45" s="7" t="s">
        <v>81</v>
      </c>
      <c r="B45">
        <v>35</v>
      </c>
      <c r="C45">
        <f t="shared" si="0"/>
        <v>-0.09</v>
      </c>
      <c r="D45">
        <f t="shared" si="1"/>
        <v>-3.15</v>
      </c>
      <c r="E45">
        <f t="shared" si="2"/>
        <v>3.6666666666666665</v>
      </c>
      <c r="F45">
        <f t="shared" si="3"/>
        <v>11.549999999999999</v>
      </c>
      <c r="K45" t="s">
        <v>80</v>
      </c>
      <c r="L45">
        <v>-0.16</v>
      </c>
    </row>
    <row r="46" spans="1:12" x14ac:dyDescent="0.2">
      <c r="A46" s="7" t="s">
        <v>82</v>
      </c>
      <c r="B46">
        <v>36</v>
      </c>
      <c r="C46">
        <f t="shared" si="0"/>
        <v>-0.09</v>
      </c>
      <c r="D46">
        <f t="shared" si="1"/>
        <v>-3.2399999999999998</v>
      </c>
      <c r="E46">
        <f t="shared" si="2"/>
        <v>3.6666666666666665</v>
      </c>
      <c r="F46">
        <f t="shared" si="3"/>
        <v>11.879999999999999</v>
      </c>
      <c r="K46" t="s">
        <v>81</v>
      </c>
      <c r="L46">
        <v>-0.09</v>
      </c>
    </row>
    <row r="47" spans="1:12" x14ac:dyDescent="0.2">
      <c r="A47" s="7" t="s">
        <v>83</v>
      </c>
      <c r="B47">
        <v>37</v>
      </c>
      <c r="C47">
        <f t="shared" si="0"/>
        <v>-0.04</v>
      </c>
      <c r="D47">
        <f t="shared" si="1"/>
        <v>-1.48</v>
      </c>
      <c r="E47">
        <f t="shared" si="2"/>
        <v>3.6666666666666665</v>
      </c>
      <c r="F47">
        <f t="shared" si="3"/>
        <v>5.4266666666666667</v>
      </c>
      <c r="K47" t="s">
        <v>82</v>
      </c>
      <c r="L47">
        <v>-0.09</v>
      </c>
    </row>
    <row r="48" spans="1:12" x14ac:dyDescent="0.2">
      <c r="A48" s="7" t="s">
        <v>84</v>
      </c>
      <c r="B48">
        <v>38</v>
      </c>
      <c r="C48">
        <f t="shared" si="0"/>
        <v>-0.03</v>
      </c>
      <c r="D48">
        <f t="shared" si="1"/>
        <v>-1.1399999999999999</v>
      </c>
      <c r="E48">
        <f t="shared" si="2"/>
        <v>3.6666666666666665</v>
      </c>
      <c r="F48">
        <f t="shared" si="3"/>
        <v>4.18</v>
      </c>
      <c r="K48" t="s">
        <v>83</v>
      </c>
      <c r="L48">
        <v>-0.04</v>
      </c>
    </row>
    <row r="49" spans="1:12" x14ac:dyDescent="0.2">
      <c r="A49" s="7" t="s">
        <v>85</v>
      </c>
      <c r="B49">
        <v>39</v>
      </c>
      <c r="C49">
        <f t="shared" si="0"/>
        <v>-0.14000000000000001</v>
      </c>
      <c r="D49">
        <f t="shared" si="1"/>
        <v>-5.4600000000000009</v>
      </c>
      <c r="E49">
        <f t="shared" si="2"/>
        <v>3.6666666666666665</v>
      </c>
      <c r="F49">
        <f t="shared" si="3"/>
        <v>20.020000000000003</v>
      </c>
      <c r="K49" t="s">
        <v>84</v>
      </c>
      <c r="L49">
        <v>-0.03</v>
      </c>
    </row>
    <row r="50" spans="1:12" x14ac:dyDescent="0.2">
      <c r="A50" s="7" t="s">
        <v>86</v>
      </c>
      <c r="B50">
        <v>40</v>
      </c>
      <c r="C50">
        <f t="shared" si="0"/>
        <v>-0.31</v>
      </c>
      <c r="D50">
        <f t="shared" si="1"/>
        <v>-12.4</v>
      </c>
      <c r="E50">
        <f t="shared" si="2"/>
        <v>3.6666666666666665</v>
      </c>
      <c r="F50">
        <f t="shared" si="3"/>
        <v>45.466666666666669</v>
      </c>
      <c r="K50" t="s">
        <v>85</v>
      </c>
      <c r="L50">
        <v>-0.14000000000000001</v>
      </c>
    </row>
    <row r="51" spans="1:12" x14ac:dyDescent="0.2">
      <c r="A51" s="7" t="s">
        <v>87</v>
      </c>
      <c r="B51">
        <v>41</v>
      </c>
      <c r="C51">
        <f t="shared" si="0"/>
        <v>-0.23</v>
      </c>
      <c r="D51">
        <f t="shared" si="1"/>
        <v>-9.43</v>
      </c>
      <c r="E51">
        <f t="shared" si="2"/>
        <v>3.6666666666666665</v>
      </c>
      <c r="F51">
        <f t="shared" si="3"/>
        <v>34.576666666666661</v>
      </c>
      <c r="K51" t="s">
        <v>86</v>
      </c>
      <c r="L51">
        <v>-0.31</v>
      </c>
    </row>
    <row r="52" spans="1:12" x14ac:dyDescent="0.2">
      <c r="A52" s="7" t="s">
        <v>88</v>
      </c>
      <c r="B52">
        <v>42</v>
      </c>
      <c r="C52">
        <f t="shared" si="0"/>
        <v>-0.17</v>
      </c>
      <c r="D52">
        <f t="shared" si="1"/>
        <v>-7.1400000000000006</v>
      </c>
      <c r="E52">
        <f t="shared" si="2"/>
        <v>3.6666666666666665</v>
      </c>
      <c r="F52">
        <f t="shared" si="3"/>
        <v>26.18</v>
      </c>
      <c r="K52" t="s">
        <v>87</v>
      </c>
      <c r="L52">
        <v>-0.23</v>
      </c>
    </row>
    <row r="53" spans="1:12" x14ac:dyDescent="0.2">
      <c r="A53" s="7" t="s">
        <v>89</v>
      </c>
      <c r="B53">
        <v>43</v>
      </c>
      <c r="C53">
        <f t="shared" si="0"/>
        <v>-0.11</v>
      </c>
      <c r="D53">
        <f t="shared" si="1"/>
        <v>-4.7300000000000004</v>
      </c>
      <c r="E53">
        <f t="shared" si="2"/>
        <v>3.6666666666666665</v>
      </c>
      <c r="F53">
        <f t="shared" si="3"/>
        <v>17.343333333333334</v>
      </c>
      <c r="K53" t="s">
        <v>88</v>
      </c>
      <c r="L53">
        <v>-0.17</v>
      </c>
    </row>
    <row r="54" spans="1:12" x14ac:dyDescent="0.2">
      <c r="A54" s="7" t="s">
        <v>90</v>
      </c>
      <c r="B54">
        <v>44</v>
      </c>
      <c r="C54">
        <f t="shared" si="0"/>
        <v>-0.06</v>
      </c>
      <c r="D54">
        <f t="shared" si="1"/>
        <v>-2.6399999999999997</v>
      </c>
      <c r="E54">
        <f t="shared" si="2"/>
        <v>3.6666666666666665</v>
      </c>
      <c r="F54">
        <f t="shared" si="3"/>
        <v>9.6799999999999979</v>
      </c>
      <c r="K54" t="s">
        <v>89</v>
      </c>
      <c r="L54">
        <v>-0.11</v>
      </c>
    </row>
    <row r="55" spans="1:12" x14ac:dyDescent="0.2">
      <c r="A55" s="7" t="s">
        <v>91</v>
      </c>
      <c r="B55">
        <v>45</v>
      </c>
      <c r="C55">
        <f t="shared" si="0"/>
        <v>-0.11</v>
      </c>
      <c r="D55">
        <f t="shared" si="1"/>
        <v>-4.95</v>
      </c>
      <c r="E55">
        <f t="shared" si="2"/>
        <v>3.6666666666666665</v>
      </c>
      <c r="F55">
        <f t="shared" si="3"/>
        <v>18.149999999999999</v>
      </c>
      <c r="K55" t="s">
        <v>90</v>
      </c>
      <c r="L55">
        <v>-0.06</v>
      </c>
    </row>
    <row r="56" spans="1:12" x14ac:dyDescent="0.2">
      <c r="A56" s="7" t="s">
        <v>92</v>
      </c>
      <c r="B56">
        <v>46</v>
      </c>
      <c r="C56">
        <f t="shared" si="0"/>
        <v>-0.08</v>
      </c>
      <c r="D56">
        <f t="shared" si="1"/>
        <v>-3.68</v>
      </c>
      <c r="E56">
        <f t="shared" si="2"/>
        <v>3.6666666666666665</v>
      </c>
      <c r="F56">
        <f t="shared" si="3"/>
        <v>13.493333333333334</v>
      </c>
      <c r="K56" t="s">
        <v>91</v>
      </c>
      <c r="L56">
        <v>-0.11</v>
      </c>
    </row>
    <row r="57" spans="1:12" x14ac:dyDescent="0.2">
      <c r="A57" s="7" t="s">
        <v>93</v>
      </c>
      <c r="B57">
        <v>47</v>
      </c>
      <c r="C57">
        <f t="shared" si="0"/>
        <v>-0.02</v>
      </c>
      <c r="D57">
        <f t="shared" si="1"/>
        <v>-0.94000000000000006</v>
      </c>
      <c r="E57">
        <f t="shared" si="2"/>
        <v>3.6666666666666665</v>
      </c>
      <c r="F57">
        <f t="shared" si="3"/>
        <v>3.4466666666666668</v>
      </c>
      <c r="K57" t="s">
        <v>92</v>
      </c>
      <c r="L57">
        <v>-0.08</v>
      </c>
    </row>
    <row r="58" spans="1:12" x14ac:dyDescent="0.2">
      <c r="A58" s="7" t="s">
        <v>94</v>
      </c>
      <c r="B58">
        <v>48</v>
      </c>
      <c r="C58">
        <f t="shared" si="0"/>
        <v>-0.08</v>
      </c>
      <c r="D58">
        <f t="shared" si="1"/>
        <v>-3.84</v>
      </c>
      <c r="E58">
        <f t="shared" si="2"/>
        <v>3.6666666666666665</v>
      </c>
      <c r="F58">
        <f t="shared" si="3"/>
        <v>14.079999999999998</v>
      </c>
      <c r="K58" t="s">
        <v>93</v>
      </c>
      <c r="L58">
        <v>-0.02</v>
      </c>
    </row>
    <row r="59" spans="1:12" x14ac:dyDescent="0.2">
      <c r="A59" s="7" t="s">
        <v>95</v>
      </c>
      <c r="B59">
        <v>49</v>
      </c>
      <c r="C59">
        <f t="shared" si="0"/>
        <v>-0.06</v>
      </c>
      <c r="D59">
        <f t="shared" si="1"/>
        <v>-2.94</v>
      </c>
      <c r="E59">
        <f t="shared" si="2"/>
        <v>3.6666666666666665</v>
      </c>
      <c r="F59">
        <f t="shared" si="3"/>
        <v>10.78</v>
      </c>
      <c r="K59" t="s">
        <v>94</v>
      </c>
      <c r="L59">
        <v>-0.08</v>
      </c>
    </row>
    <row r="60" spans="1:12" x14ac:dyDescent="0.2">
      <c r="A60" s="7" t="s">
        <v>96</v>
      </c>
      <c r="B60">
        <v>50</v>
      </c>
      <c r="C60">
        <f t="shared" si="0"/>
        <v>-0.12</v>
      </c>
      <c r="D60">
        <f t="shared" si="1"/>
        <v>-6</v>
      </c>
      <c r="E60">
        <f t="shared" si="2"/>
        <v>3.6666666666666665</v>
      </c>
      <c r="F60">
        <f t="shared" si="3"/>
        <v>22</v>
      </c>
      <c r="K60" t="s">
        <v>95</v>
      </c>
      <c r="L60">
        <v>-0.06</v>
      </c>
    </row>
    <row r="61" spans="1:12" x14ac:dyDescent="0.2">
      <c r="A61" s="7" t="s">
        <v>97</v>
      </c>
      <c r="B61">
        <v>51</v>
      </c>
      <c r="C61">
        <f t="shared" si="0"/>
        <v>-7.0000000000000007E-2</v>
      </c>
      <c r="D61">
        <f t="shared" si="1"/>
        <v>-3.5700000000000003</v>
      </c>
      <c r="E61">
        <f t="shared" si="2"/>
        <v>3.6666666666666665</v>
      </c>
      <c r="F61">
        <f t="shared" si="3"/>
        <v>13.09</v>
      </c>
      <c r="K61" t="s">
        <v>96</v>
      </c>
      <c r="L61">
        <v>-0.12</v>
      </c>
    </row>
    <row r="62" spans="1:12" x14ac:dyDescent="0.2">
      <c r="A62" s="7" t="s">
        <v>98</v>
      </c>
      <c r="B62">
        <v>52</v>
      </c>
      <c r="C62">
        <f t="shared" si="0"/>
        <v>-0.13</v>
      </c>
      <c r="D62">
        <f t="shared" si="1"/>
        <v>-6.76</v>
      </c>
      <c r="E62">
        <f t="shared" si="2"/>
        <v>3.6666666666666665</v>
      </c>
      <c r="F62">
        <f t="shared" si="3"/>
        <v>24.786666666666665</v>
      </c>
      <c r="K62" t="s">
        <v>97</v>
      </c>
      <c r="L62">
        <v>-7.0000000000000007E-2</v>
      </c>
    </row>
    <row r="63" spans="1:12" x14ac:dyDescent="0.2">
      <c r="A63" s="7" t="s">
        <v>99</v>
      </c>
      <c r="B63">
        <v>53</v>
      </c>
      <c r="C63">
        <f t="shared" si="0"/>
        <v>-0.15</v>
      </c>
      <c r="D63">
        <f t="shared" si="1"/>
        <v>-7.9499999999999993</v>
      </c>
      <c r="E63">
        <f t="shared" si="2"/>
        <v>3.6666666666666665</v>
      </c>
      <c r="F63">
        <f t="shared" si="3"/>
        <v>29.149999999999995</v>
      </c>
      <c r="K63" t="s">
        <v>98</v>
      </c>
      <c r="L63">
        <v>-0.13</v>
      </c>
    </row>
    <row r="64" spans="1:12" x14ac:dyDescent="0.2">
      <c r="A64" s="7" t="s">
        <v>100</v>
      </c>
      <c r="B64">
        <v>54</v>
      </c>
      <c r="C64">
        <f t="shared" si="0"/>
        <v>-0.24</v>
      </c>
      <c r="D64">
        <f t="shared" si="1"/>
        <v>-12.959999999999999</v>
      </c>
      <c r="E64">
        <f t="shared" si="2"/>
        <v>3.6666666666666665</v>
      </c>
      <c r="F64">
        <f t="shared" si="3"/>
        <v>47.519999999999996</v>
      </c>
      <c r="K64" t="s">
        <v>99</v>
      </c>
      <c r="L64">
        <v>-0.15</v>
      </c>
    </row>
    <row r="65" spans="1:12" x14ac:dyDescent="0.2">
      <c r="A65" s="7" t="s">
        <v>101</v>
      </c>
      <c r="B65">
        <v>55</v>
      </c>
      <c r="C65">
        <f>VLOOKUP(A65,$K$11:$L$94, 2, FALSE)</f>
        <v>-0.32</v>
      </c>
      <c r="D65">
        <f t="shared" si="1"/>
        <v>-17.600000000000001</v>
      </c>
      <c r="E65">
        <f t="shared" si="2"/>
        <v>3.6666666666666665</v>
      </c>
      <c r="F65">
        <f t="shared" si="3"/>
        <v>64.533333333333331</v>
      </c>
      <c r="K65" t="s">
        <v>100</v>
      </c>
      <c r="L65">
        <v>-0.24</v>
      </c>
    </row>
    <row r="66" spans="1:12" x14ac:dyDescent="0.2">
      <c r="A66" s="7" t="s">
        <v>102</v>
      </c>
      <c r="B66">
        <v>56</v>
      </c>
      <c r="C66">
        <f t="shared" si="0"/>
        <v>-0.08</v>
      </c>
      <c r="D66">
        <f t="shared" si="1"/>
        <v>-4.4800000000000004</v>
      </c>
      <c r="E66">
        <f t="shared" si="2"/>
        <v>3.6666666666666665</v>
      </c>
      <c r="F66">
        <f t="shared" si="3"/>
        <v>16.426666666666666</v>
      </c>
      <c r="K66" t="s">
        <v>101</v>
      </c>
      <c r="L66">
        <v>-0.32</v>
      </c>
    </row>
    <row r="67" spans="1:12" x14ac:dyDescent="0.2">
      <c r="A67" s="7" t="s">
        <v>103</v>
      </c>
      <c r="B67">
        <v>57</v>
      </c>
      <c r="C67">
        <f t="shared" si="0"/>
        <v>0</v>
      </c>
      <c r="D67">
        <f t="shared" si="1"/>
        <v>0</v>
      </c>
      <c r="E67">
        <f t="shared" si="2"/>
        <v>3.6666666666666665</v>
      </c>
      <c r="F67">
        <f t="shared" si="3"/>
        <v>0</v>
      </c>
      <c r="K67" t="s">
        <v>102</v>
      </c>
      <c r="L67">
        <v>-0.08</v>
      </c>
    </row>
    <row r="68" spans="1:12" x14ac:dyDescent="0.2">
      <c r="A68" s="7" t="s">
        <v>104</v>
      </c>
      <c r="B68">
        <v>58</v>
      </c>
      <c r="C68">
        <f t="shared" si="0"/>
        <v>-0.16</v>
      </c>
      <c r="D68">
        <f t="shared" si="1"/>
        <v>-9.2799999999999994</v>
      </c>
      <c r="E68">
        <f t="shared" si="2"/>
        <v>3.6666666666666665</v>
      </c>
      <c r="F68">
        <f t="shared" si="3"/>
        <v>34.026666666666664</v>
      </c>
      <c r="K68" t="s">
        <v>103</v>
      </c>
      <c r="L68">
        <v>0</v>
      </c>
    </row>
    <row r="69" spans="1:12" x14ac:dyDescent="0.2">
      <c r="A69" s="7" t="s">
        <v>105</v>
      </c>
      <c r="B69">
        <v>59</v>
      </c>
      <c r="C69">
        <f t="shared" si="0"/>
        <v>-0.33</v>
      </c>
      <c r="D69">
        <f t="shared" si="1"/>
        <v>-19.470000000000002</v>
      </c>
      <c r="E69">
        <f t="shared" si="2"/>
        <v>3.6666666666666665</v>
      </c>
      <c r="F69">
        <f t="shared" si="3"/>
        <v>71.39</v>
      </c>
      <c r="K69" t="s">
        <v>104</v>
      </c>
      <c r="L69">
        <v>-0.16</v>
      </c>
    </row>
    <row r="70" spans="1:12" x14ac:dyDescent="0.2">
      <c r="A70" s="7" t="s">
        <v>106</v>
      </c>
      <c r="B70">
        <v>60</v>
      </c>
      <c r="C70">
        <f t="shared" si="0"/>
        <v>-0.1</v>
      </c>
      <c r="D70">
        <f t="shared" si="1"/>
        <v>-6</v>
      </c>
      <c r="E70">
        <f t="shared" si="2"/>
        <v>3.6666666666666665</v>
      </c>
      <c r="F70">
        <f t="shared" si="3"/>
        <v>22</v>
      </c>
      <c r="K70" t="s">
        <v>105</v>
      </c>
      <c r="L70">
        <v>-0.33</v>
      </c>
    </row>
    <row r="71" spans="1:12" x14ac:dyDescent="0.2">
      <c r="A71" s="7" t="s">
        <v>107</v>
      </c>
      <c r="B71">
        <v>61</v>
      </c>
      <c r="C71">
        <f t="shared" si="0"/>
        <v>-0.05</v>
      </c>
      <c r="D71">
        <f t="shared" si="1"/>
        <v>-3.0500000000000003</v>
      </c>
      <c r="E71">
        <f t="shared" si="2"/>
        <v>3.6666666666666665</v>
      </c>
      <c r="F71">
        <f t="shared" si="3"/>
        <v>11.183333333333334</v>
      </c>
      <c r="K71" t="s">
        <v>106</v>
      </c>
      <c r="L71">
        <v>-0.1</v>
      </c>
    </row>
    <row r="72" spans="1:12" x14ac:dyDescent="0.2">
      <c r="A72" s="7" t="s">
        <v>108</v>
      </c>
      <c r="B72">
        <v>62</v>
      </c>
      <c r="C72">
        <f t="shared" si="0"/>
        <v>-0.26</v>
      </c>
      <c r="D72">
        <f t="shared" si="1"/>
        <v>-16.12</v>
      </c>
      <c r="E72">
        <f t="shared" si="2"/>
        <v>3.6666666666666665</v>
      </c>
      <c r="F72">
        <f t="shared" si="3"/>
        <v>59.106666666666669</v>
      </c>
      <c r="K72" t="s">
        <v>107</v>
      </c>
      <c r="L72">
        <v>-0.05</v>
      </c>
    </row>
    <row r="73" spans="1:12" x14ac:dyDescent="0.2">
      <c r="A73" s="7" t="s">
        <v>109</v>
      </c>
      <c r="B73">
        <v>63</v>
      </c>
      <c r="C73">
        <f t="shared" si="0"/>
        <v>-0.26</v>
      </c>
      <c r="D73">
        <f t="shared" si="1"/>
        <v>-16.38</v>
      </c>
      <c r="E73">
        <f t="shared" si="2"/>
        <v>3.6666666666666665</v>
      </c>
      <c r="F73">
        <f t="shared" si="3"/>
        <v>60.059999999999995</v>
      </c>
      <c r="K73" t="s">
        <v>108</v>
      </c>
      <c r="L73">
        <v>-0.26</v>
      </c>
    </row>
    <row r="74" spans="1:12" x14ac:dyDescent="0.2">
      <c r="A74" s="7" t="s">
        <v>110</v>
      </c>
      <c r="B74">
        <v>64</v>
      </c>
      <c r="C74">
        <f t="shared" si="0"/>
        <v>-0.03</v>
      </c>
      <c r="D74">
        <f t="shared" si="1"/>
        <v>-1.92</v>
      </c>
      <c r="E74">
        <f t="shared" si="2"/>
        <v>3.6666666666666665</v>
      </c>
      <c r="F74">
        <f t="shared" si="3"/>
        <v>7.0399999999999991</v>
      </c>
      <c r="K74" t="s">
        <v>109</v>
      </c>
      <c r="L74">
        <v>-0.26</v>
      </c>
    </row>
    <row r="75" spans="1:12" x14ac:dyDescent="0.2">
      <c r="A75" s="7" t="s">
        <v>111</v>
      </c>
      <c r="B75">
        <v>65</v>
      </c>
      <c r="C75">
        <f t="shared" si="0"/>
        <v>-0.37</v>
      </c>
      <c r="D75">
        <f t="shared" si="1"/>
        <v>-24.05</v>
      </c>
      <c r="E75">
        <f t="shared" si="2"/>
        <v>3.6666666666666665</v>
      </c>
      <c r="F75">
        <f t="shared" si="3"/>
        <v>88.183333333333337</v>
      </c>
      <c r="K75" t="s">
        <v>110</v>
      </c>
      <c r="L75">
        <v>-0.03</v>
      </c>
    </row>
    <row r="76" spans="1:12" x14ac:dyDescent="0.2">
      <c r="A76" s="7" t="s">
        <v>112</v>
      </c>
      <c r="B76">
        <v>66</v>
      </c>
      <c r="C76">
        <f t="shared" ref="C76:C93" si="4">VLOOKUP(A76,$K$11:$L$94, 2, FALSE)</f>
        <v>-0.03</v>
      </c>
      <c r="D76">
        <f t="shared" ref="D76:D94" si="5">B76*C76</f>
        <v>-1.98</v>
      </c>
      <c r="E76">
        <f t="shared" ref="E76:E94" si="6">$M$7</f>
        <v>3.6666666666666665</v>
      </c>
      <c r="F76">
        <f t="shared" ref="F76:F94" si="7">D76*E76*-1</f>
        <v>7.26</v>
      </c>
      <c r="K76" t="s">
        <v>111</v>
      </c>
      <c r="L76">
        <v>-0.37</v>
      </c>
    </row>
    <row r="77" spans="1:12" x14ac:dyDescent="0.2">
      <c r="A77" s="7" t="s">
        <v>113</v>
      </c>
      <c r="B77">
        <v>67</v>
      </c>
      <c r="C77">
        <f t="shared" si="4"/>
        <v>-0.03</v>
      </c>
      <c r="D77">
        <f t="shared" si="5"/>
        <v>-2.0099999999999998</v>
      </c>
      <c r="E77">
        <f t="shared" si="6"/>
        <v>3.6666666666666665</v>
      </c>
      <c r="F77">
        <f t="shared" si="7"/>
        <v>7.3699999999999992</v>
      </c>
      <c r="K77" t="s">
        <v>112</v>
      </c>
      <c r="L77">
        <v>-0.03</v>
      </c>
    </row>
    <row r="78" spans="1:12" x14ac:dyDescent="0.2">
      <c r="A78" s="7" t="s">
        <v>114</v>
      </c>
      <c r="B78">
        <v>68</v>
      </c>
      <c r="C78">
        <f t="shared" si="4"/>
        <v>-0.1</v>
      </c>
      <c r="D78">
        <f t="shared" si="5"/>
        <v>-6.8000000000000007</v>
      </c>
      <c r="E78">
        <f t="shared" si="6"/>
        <v>3.6666666666666665</v>
      </c>
      <c r="F78">
        <f t="shared" si="7"/>
        <v>24.933333333333334</v>
      </c>
      <c r="K78" t="s">
        <v>113</v>
      </c>
      <c r="L78">
        <v>-0.03</v>
      </c>
    </row>
    <row r="79" spans="1:12" x14ac:dyDescent="0.2">
      <c r="A79" s="7" t="s">
        <v>115</v>
      </c>
      <c r="B79">
        <v>69</v>
      </c>
      <c r="C79">
        <f t="shared" si="4"/>
        <v>-0.25</v>
      </c>
      <c r="D79">
        <f t="shared" si="5"/>
        <v>-17.25</v>
      </c>
      <c r="E79">
        <f t="shared" si="6"/>
        <v>3.6666666666666665</v>
      </c>
      <c r="F79">
        <f t="shared" si="7"/>
        <v>63.25</v>
      </c>
      <c r="K79" t="s">
        <v>114</v>
      </c>
      <c r="L79">
        <v>-0.1</v>
      </c>
    </row>
    <row r="80" spans="1:12" x14ac:dyDescent="0.2">
      <c r="A80" s="7" t="s">
        <v>116</v>
      </c>
      <c r="B80">
        <v>70</v>
      </c>
      <c r="C80">
        <f t="shared" si="4"/>
        <v>-0.27</v>
      </c>
      <c r="D80">
        <f t="shared" si="5"/>
        <v>-18.900000000000002</v>
      </c>
      <c r="E80">
        <f t="shared" si="6"/>
        <v>3.6666666666666665</v>
      </c>
      <c r="F80">
        <f t="shared" si="7"/>
        <v>69.300000000000011</v>
      </c>
      <c r="K80" t="s">
        <v>115</v>
      </c>
      <c r="L80">
        <v>-0.25</v>
      </c>
    </row>
    <row r="81" spans="1:12" x14ac:dyDescent="0.2">
      <c r="A81" s="7" t="s">
        <v>117</v>
      </c>
      <c r="B81">
        <v>71</v>
      </c>
      <c r="C81">
        <f t="shared" si="4"/>
        <v>-0.18</v>
      </c>
      <c r="D81">
        <f t="shared" si="5"/>
        <v>-12.78</v>
      </c>
      <c r="E81">
        <f t="shared" si="6"/>
        <v>3.6666666666666665</v>
      </c>
      <c r="F81">
        <f t="shared" si="7"/>
        <v>46.859999999999992</v>
      </c>
      <c r="K81" t="s">
        <v>116</v>
      </c>
      <c r="L81">
        <v>-0.27</v>
      </c>
    </row>
    <row r="82" spans="1:12" x14ac:dyDescent="0.2">
      <c r="A82" s="7" t="s">
        <v>118</v>
      </c>
      <c r="B82">
        <v>72</v>
      </c>
      <c r="C82">
        <f t="shared" si="4"/>
        <v>-0.12</v>
      </c>
      <c r="D82">
        <f t="shared" si="5"/>
        <v>-8.64</v>
      </c>
      <c r="E82">
        <f t="shared" si="6"/>
        <v>3.6666666666666665</v>
      </c>
      <c r="F82">
        <f t="shared" si="7"/>
        <v>31.68</v>
      </c>
      <c r="K82" t="s">
        <v>117</v>
      </c>
      <c r="L82">
        <v>-0.18</v>
      </c>
    </row>
    <row r="83" spans="1:12" x14ac:dyDescent="0.2">
      <c r="A83" s="7" t="s">
        <v>119</v>
      </c>
      <c r="B83">
        <v>73</v>
      </c>
      <c r="C83">
        <f t="shared" si="4"/>
        <v>-0.32</v>
      </c>
      <c r="D83">
        <f t="shared" si="5"/>
        <v>-23.36</v>
      </c>
      <c r="E83">
        <f t="shared" si="6"/>
        <v>3.6666666666666665</v>
      </c>
      <c r="F83">
        <f t="shared" si="7"/>
        <v>85.653333333333322</v>
      </c>
      <c r="K83" t="s">
        <v>118</v>
      </c>
      <c r="L83">
        <v>-0.12</v>
      </c>
    </row>
    <row r="84" spans="1:12" x14ac:dyDescent="0.2">
      <c r="A84" s="7" t="s">
        <v>120</v>
      </c>
      <c r="B84">
        <v>74</v>
      </c>
      <c r="C84">
        <f t="shared" si="4"/>
        <v>-0.2</v>
      </c>
      <c r="D84">
        <f t="shared" si="5"/>
        <v>-14.8</v>
      </c>
      <c r="E84">
        <f t="shared" si="6"/>
        <v>3.6666666666666665</v>
      </c>
      <c r="F84">
        <f t="shared" si="7"/>
        <v>54.266666666666666</v>
      </c>
      <c r="K84" t="s">
        <v>119</v>
      </c>
      <c r="L84">
        <v>-0.32</v>
      </c>
    </row>
    <row r="85" spans="1:12" x14ac:dyDescent="0.2">
      <c r="A85" s="7" t="s">
        <v>121</v>
      </c>
      <c r="B85">
        <v>75</v>
      </c>
      <c r="C85">
        <f t="shared" si="4"/>
        <v>-0.18</v>
      </c>
      <c r="D85">
        <f t="shared" si="5"/>
        <v>-13.5</v>
      </c>
      <c r="E85">
        <f t="shared" si="6"/>
        <v>3.6666666666666665</v>
      </c>
      <c r="F85">
        <f t="shared" si="7"/>
        <v>49.5</v>
      </c>
      <c r="K85" t="s">
        <v>120</v>
      </c>
      <c r="L85">
        <v>-0.2</v>
      </c>
    </row>
    <row r="86" spans="1:12" x14ac:dyDescent="0.2">
      <c r="A86" s="7" t="s">
        <v>122</v>
      </c>
      <c r="B86">
        <v>76</v>
      </c>
      <c r="C86">
        <f t="shared" si="4"/>
        <v>-0.4</v>
      </c>
      <c r="D86">
        <f t="shared" si="5"/>
        <v>-30.400000000000002</v>
      </c>
      <c r="E86">
        <f t="shared" si="6"/>
        <v>3.6666666666666665</v>
      </c>
      <c r="F86">
        <f t="shared" si="7"/>
        <v>111.46666666666667</v>
      </c>
      <c r="K86" t="s">
        <v>121</v>
      </c>
      <c r="L86">
        <v>-0.18</v>
      </c>
    </row>
    <row r="87" spans="1:12" x14ac:dyDescent="0.2">
      <c r="A87" s="7" t="s">
        <v>123</v>
      </c>
      <c r="B87">
        <v>77</v>
      </c>
      <c r="C87">
        <f t="shared" si="4"/>
        <v>-0.21</v>
      </c>
      <c r="D87">
        <f t="shared" si="5"/>
        <v>-16.169999999999998</v>
      </c>
      <c r="E87">
        <f t="shared" si="6"/>
        <v>3.6666666666666665</v>
      </c>
      <c r="F87">
        <f t="shared" si="7"/>
        <v>59.289999999999992</v>
      </c>
      <c r="K87" t="s">
        <v>122</v>
      </c>
      <c r="L87">
        <v>-0.4</v>
      </c>
    </row>
    <row r="88" spans="1:12" x14ac:dyDescent="0.2">
      <c r="A88" s="7" t="s">
        <v>124</v>
      </c>
      <c r="B88">
        <v>78</v>
      </c>
      <c r="C88">
        <f t="shared" si="4"/>
        <v>-0.42</v>
      </c>
      <c r="D88">
        <f t="shared" si="5"/>
        <v>-32.76</v>
      </c>
      <c r="E88">
        <f t="shared" si="6"/>
        <v>3.6666666666666665</v>
      </c>
      <c r="F88">
        <f t="shared" si="7"/>
        <v>120.11999999999999</v>
      </c>
      <c r="K88" t="s">
        <v>123</v>
      </c>
      <c r="L88">
        <v>-0.21</v>
      </c>
    </row>
    <row r="89" spans="1:12" x14ac:dyDescent="0.2">
      <c r="A89" s="7" t="s">
        <v>125</v>
      </c>
      <c r="B89">
        <v>79</v>
      </c>
      <c r="C89">
        <f t="shared" si="4"/>
        <v>-0.33</v>
      </c>
      <c r="D89">
        <f t="shared" si="5"/>
        <v>-26.07</v>
      </c>
      <c r="E89">
        <f t="shared" si="6"/>
        <v>3.6666666666666665</v>
      </c>
      <c r="F89">
        <f t="shared" si="7"/>
        <v>95.59</v>
      </c>
      <c r="K89" t="s">
        <v>124</v>
      </c>
      <c r="L89">
        <v>-0.42</v>
      </c>
    </row>
    <row r="90" spans="1:12" x14ac:dyDescent="0.2">
      <c r="A90" s="7" t="s">
        <v>126</v>
      </c>
      <c r="B90">
        <v>80</v>
      </c>
      <c r="C90">
        <f t="shared" si="4"/>
        <v>-0.22</v>
      </c>
      <c r="D90">
        <f t="shared" si="5"/>
        <v>-17.600000000000001</v>
      </c>
      <c r="E90">
        <f t="shared" si="6"/>
        <v>3.6666666666666665</v>
      </c>
      <c r="F90">
        <f t="shared" si="7"/>
        <v>64.533333333333331</v>
      </c>
      <c r="K90" t="s">
        <v>125</v>
      </c>
      <c r="L90">
        <v>-0.33</v>
      </c>
    </row>
    <row r="91" spans="1:12" x14ac:dyDescent="0.2">
      <c r="A91" s="7" t="s">
        <v>127</v>
      </c>
      <c r="B91">
        <v>81</v>
      </c>
      <c r="C91">
        <f t="shared" si="4"/>
        <v>-7.0000000000000007E-2</v>
      </c>
      <c r="D91">
        <f t="shared" si="5"/>
        <v>-5.6700000000000008</v>
      </c>
      <c r="E91">
        <f t="shared" si="6"/>
        <v>3.6666666666666665</v>
      </c>
      <c r="F91">
        <f t="shared" si="7"/>
        <v>20.790000000000003</v>
      </c>
      <c r="K91" t="s">
        <v>126</v>
      </c>
      <c r="L91">
        <v>-0.22</v>
      </c>
    </row>
    <row r="92" spans="1:12" x14ac:dyDescent="0.2">
      <c r="A92" s="7" t="s">
        <v>128</v>
      </c>
      <c r="B92">
        <v>82</v>
      </c>
      <c r="C92">
        <f t="shared" si="4"/>
        <v>-0.31</v>
      </c>
      <c r="D92">
        <f t="shared" si="5"/>
        <v>-25.419999999999998</v>
      </c>
      <c r="E92">
        <f t="shared" si="6"/>
        <v>3.6666666666666665</v>
      </c>
      <c r="F92">
        <f t="shared" si="7"/>
        <v>93.206666666666649</v>
      </c>
      <c r="K92" t="s">
        <v>127</v>
      </c>
      <c r="L92">
        <v>-7.0000000000000007E-2</v>
      </c>
    </row>
    <row r="93" spans="1:12" x14ac:dyDescent="0.2">
      <c r="A93" s="7" t="s">
        <v>129</v>
      </c>
      <c r="B93">
        <v>83</v>
      </c>
      <c r="C93">
        <f t="shared" si="4"/>
        <v>-0.27</v>
      </c>
      <c r="D93">
        <f t="shared" si="5"/>
        <v>-22.41</v>
      </c>
      <c r="E93">
        <f t="shared" si="6"/>
        <v>3.6666666666666665</v>
      </c>
      <c r="F93">
        <f t="shared" si="7"/>
        <v>82.17</v>
      </c>
      <c r="K93" t="s">
        <v>128</v>
      </c>
      <c r="L93">
        <v>-0.31</v>
      </c>
    </row>
    <row r="94" spans="1:12" x14ac:dyDescent="0.2">
      <c r="A94" s="7" t="s">
        <v>130</v>
      </c>
      <c r="B94">
        <v>84</v>
      </c>
      <c r="C94">
        <f>VLOOKUP(A94,$K$11:$L$95, 2, FALSE)</f>
        <v>-0.05</v>
      </c>
      <c r="D94">
        <f t="shared" si="5"/>
        <v>-4.2</v>
      </c>
      <c r="E94">
        <f t="shared" si="6"/>
        <v>3.6666666666666665</v>
      </c>
      <c r="F94">
        <f t="shared" si="7"/>
        <v>15.4</v>
      </c>
      <c r="K94" t="s">
        <v>129</v>
      </c>
      <c r="L94">
        <v>-0.27</v>
      </c>
    </row>
    <row r="95" spans="1:12" x14ac:dyDescent="0.2">
      <c r="K95" t="s">
        <v>130</v>
      </c>
      <c r="L95">
        <v>-0.05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1653-7A64-1C48-9F49-FBBFECCA3798}">
  <dimension ref="A3:H22"/>
  <sheetViews>
    <sheetView workbookViewId="0">
      <selection activeCell="E23" sqref="E23"/>
    </sheetView>
  </sheetViews>
  <sheetFormatPr baseColWidth="10" defaultRowHeight="16" x14ac:dyDescent="0.2"/>
  <sheetData>
    <row r="3" spans="1:8" x14ac:dyDescent="0.2">
      <c r="A3" t="s">
        <v>44</v>
      </c>
      <c r="B3" t="s">
        <v>139</v>
      </c>
    </row>
    <row r="5" spans="1:8" x14ac:dyDescent="0.2">
      <c r="A5" t="s">
        <v>5</v>
      </c>
      <c r="C5" t="s">
        <v>5</v>
      </c>
    </row>
    <row r="7" spans="1:8" x14ac:dyDescent="0.2">
      <c r="G7" t="s">
        <v>23</v>
      </c>
      <c r="H7">
        <f>44/12</f>
        <v>3.6666666666666665</v>
      </c>
    </row>
    <row r="8" spans="1:8" x14ac:dyDescent="0.2">
      <c r="A8" t="s">
        <v>15</v>
      </c>
      <c r="C8" t="s">
        <v>24</v>
      </c>
      <c r="E8" t="s">
        <v>43</v>
      </c>
    </row>
    <row r="10" spans="1:8" x14ac:dyDescent="0.2">
      <c r="A10" s="4" t="s">
        <v>40</v>
      </c>
      <c r="B10" s="4" t="s">
        <v>40</v>
      </c>
      <c r="C10" s="4" t="s">
        <v>41</v>
      </c>
      <c r="D10" t="s">
        <v>23</v>
      </c>
      <c r="E10" s="5" t="s">
        <v>42</v>
      </c>
    </row>
    <row r="11" spans="1:8" x14ac:dyDescent="0.2">
      <c r="A11">
        <v>35</v>
      </c>
      <c r="C11">
        <v>5</v>
      </c>
      <c r="D11">
        <f>$H$7</f>
        <v>3.6666666666666665</v>
      </c>
      <c r="E11">
        <f>A11*C11*D11*-1</f>
        <v>-641.66666666666663</v>
      </c>
    </row>
    <row r="12" spans="1:8" x14ac:dyDescent="0.2">
      <c r="A12">
        <v>2.4</v>
      </c>
      <c r="C12">
        <v>33.200000000000003</v>
      </c>
      <c r="D12">
        <f>$H$7</f>
        <v>3.6666666666666665</v>
      </c>
      <c r="E12">
        <f>A12*C12*D12*-1</f>
        <v>-292.16000000000003</v>
      </c>
    </row>
    <row r="21" spans="2:5" x14ac:dyDescent="0.2">
      <c r="B21">
        <v>2.5</v>
      </c>
      <c r="C21">
        <v>5</v>
      </c>
      <c r="D21">
        <f>$H$7</f>
        <v>3.6666666666666665</v>
      </c>
      <c r="E21">
        <f>B21*C21*D21*-1</f>
        <v>-45.833333333333329</v>
      </c>
    </row>
    <row r="22" spans="2:5" x14ac:dyDescent="0.2">
      <c r="B22">
        <v>11</v>
      </c>
      <c r="C22">
        <v>33.200000000000003</v>
      </c>
      <c r="D22">
        <f>$H$7</f>
        <v>3.6666666666666665</v>
      </c>
      <c r="E22">
        <f>B22*C22*D22*-1</f>
        <v>-1339.0666666666668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16.2.1.2</vt:lpstr>
      <vt:lpstr>16.2.1.4</vt:lpstr>
      <vt:lpstr>16.2.1.5</vt:lpstr>
      <vt:lpstr>16.2.1.7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2026-04-15T10:25:52Z</dcterms:created>
  <dcterms:modified xsi:type="dcterms:W3CDTF">2026-09-22T04:13:11Z</dcterms:modified>
</cp:coreProperties>
</file>