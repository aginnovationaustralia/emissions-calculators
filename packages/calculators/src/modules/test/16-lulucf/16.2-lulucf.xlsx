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A74AA807-A1B5-9D4E-B535-2D8D15701CEF}" xr6:coauthVersionLast="47" xr6:coauthVersionMax="47" xr10:uidLastSave="{00000000-0000-0000-0000-000000000000}"/>
  <bookViews>
    <workbookView xWindow="18080" yWindow="740" windowWidth="28800" windowHeight="27420" xr2:uid="{CC0FEAF9-C40F-694B-BCB9-117AFB86C05D}"/>
  </bookViews>
  <sheets>
    <sheet name="1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P11" i="1"/>
  <c r="O11" i="1"/>
  <c r="N11" i="1"/>
  <c r="U7" i="1" l="1"/>
  <c r="M11" i="1" l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11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1" i="1"/>
  <c r="L11" i="1"/>
  <c r="K11" i="1"/>
  <c r="C95" i="1"/>
  <c r="F95" i="1" s="1"/>
  <c r="C96" i="1"/>
  <c r="F96" i="1" s="1"/>
  <c r="C97" i="1"/>
  <c r="F97" i="1" s="1"/>
  <c r="C98" i="1"/>
  <c r="F98" i="1" s="1"/>
  <c r="C99" i="1"/>
  <c r="F99" i="1" s="1"/>
  <c r="C100" i="1"/>
  <c r="F100" i="1" s="1"/>
  <c r="C101" i="1"/>
  <c r="F101" i="1" s="1"/>
  <c r="C102" i="1"/>
  <c r="F102" i="1" s="1"/>
  <c r="C103" i="1"/>
  <c r="F103" i="1" s="1"/>
  <c r="C104" i="1"/>
  <c r="F104" i="1" s="1"/>
  <c r="C105" i="1"/>
  <c r="F105" i="1" s="1"/>
  <c r="C106" i="1"/>
  <c r="F106" i="1" s="1"/>
  <c r="C107" i="1"/>
  <c r="F107" i="1" s="1"/>
  <c r="C108" i="1"/>
  <c r="F108" i="1" s="1"/>
  <c r="C109" i="1"/>
  <c r="F109" i="1" s="1"/>
  <c r="C110" i="1"/>
  <c r="F110" i="1" s="1"/>
  <c r="C111" i="1"/>
  <c r="F111" i="1" s="1"/>
  <c r="C112" i="1"/>
  <c r="F112" i="1" s="1"/>
  <c r="C113" i="1"/>
  <c r="F113" i="1" s="1"/>
  <c r="C114" i="1"/>
  <c r="F114" i="1" s="1"/>
  <c r="C115" i="1"/>
  <c r="F115" i="1" s="1"/>
  <c r="C116" i="1"/>
  <c r="F116" i="1" s="1"/>
  <c r="C117" i="1"/>
  <c r="F117" i="1" s="1"/>
  <c r="C118" i="1"/>
  <c r="F118" i="1" s="1"/>
  <c r="C119" i="1"/>
  <c r="F119" i="1" s="1"/>
  <c r="C120" i="1"/>
  <c r="F120" i="1" s="1"/>
  <c r="C121" i="1"/>
  <c r="F121" i="1" s="1"/>
  <c r="C122" i="1"/>
  <c r="F122" i="1" s="1"/>
  <c r="C123" i="1"/>
  <c r="F123" i="1" s="1"/>
  <c r="C124" i="1"/>
  <c r="F124" i="1" s="1"/>
  <c r="C125" i="1"/>
  <c r="F125" i="1" s="1"/>
  <c r="C126" i="1"/>
  <c r="F126" i="1" s="1"/>
  <c r="C127" i="1"/>
  <c r="F127" i="1" s="1"/>
  <c r="C128" i="1"/>
  <c r="F128" i="1" s="1"/>
  <c r="C129" i="1"/>
  <c r="F129" i="1" s="1"/>
  <c r="C130" i="1"/>
  <c r="F130" i="1" s="1"/>
  <c r="C131" i="1"/>
  <c r="F131" i="1" s="1"/>
  <c r="C132" i="1"/>
  <c r="F132" i="1" s="1"/>
  <c r="C133" i="1"/>
  <c r="F133" i="1" s="1"/>
  <c r="C134" i="1"/>
  <c r="F134" i="1" s="1"/>
  <c r="C135" i="1"/>
  <c r="F135" i="1" s="1"/>
  <c r="C136" i="1"/>
  <c r="F136" i="1" s="1"/>
  <c r="C137" i="1"/>
  <c r="F137" i="1" s="1"/>
  <c r="C138" i="1"/>
  <c r="F138" i="1" s="1"/>
  <c r="C139" i="1"/>
  <c r="F139" i="1" s="1"/>
  <c r="C140" i="1"/>
  <c r="F140" i="1" s="1"/>
  <c r="C141" i="1"/>
  <c r="F141" i="1" s="1"/>
  <c r="C142" i="1"/>
  <c r="F142" i="1" s="1"/>
  <c r="C143" i="1"/>
  <c r="F143" i="1" s="1"/>
  <c r="C144" i="1"/>
  <c r="F144" i="1" s="1"/>
  <c r="C145" i="1"/>
  <c r="F145" i="1" s="1"/>
  <c r="C146" i="1"/>
  <c r="F146" i="1" s="1"/>
  <c r="C147" i="1"/>
  <c r="F147" i="1" s="1"/>
  <c r="C148" i="1"/>
  <c r="F148" i="1" s="1"/>
  <c r="C149" i="1"/>
  <c r="F149" i="1" s="1"/>
  <c r="C150" i="1"/>
  <c r="F150" i="1" s="1"/>
  <c r="C151" i="1"/>
  <c r="F151" i="1" s="1"/>
  <c r="C152" i="1"/>
  <c r="F152" i="1" s="1"/>
  <c r="C153" i="1"/>
  <c r="F153" i="1" s="1"/>
  <c r="C154" i="1"/>
  <c r="F154" i="1" s="1"/>
  <c r="C155" i="1"/>
  <c r="F155" i="1" s="1"/>
  <c r="C156" i="1"/>
  <c r="F156" i="1" s="1"/>
  <c r="C157" i="1"/>
  <c r="F157" i="1" s="1"/>
  <c r="C158" i="1"/>
  <c r="F158" i="1" s="1"/>
  <c r="C159" i="1"/>
  <c r="F159" i="1" s="1"/>
  <c r="C160" i="1"/>
  <c r="F160" i="1" s="1"/>
  <c r="C161" i="1"/>
  <c r="F161" i="1" s="1"/>
  <c r="C162" i="1"/>
  <c r="F162" i="1" s="1"/>
  <c r="C163" i="1"/>
  <c r="F163" i="1" s="1"/>
  <c r="C164" i="1"/>
  <c r="F164" i="1" s="1"/>
  <c r="C165" i="1"/>
  <c r="F165" i="1" s="1"/>
  <c r="C166" i="1"/>
  <c r="F166" i="1" s="1"/>
  <c r="C167" i="1"/>
  <c r="F167" i="1" s="1"/>
  <c r="C168" i="1"/>
  <c r="F168" i="1" s="1"/>
  <c r="C169" i="1"/>
  <c r="F169" i="1" s="1"/>
  <c r="C170" i="1"/>
  <c r="F170" i="1" s="1"/>
  <c r="C171" i="1"/>
  <c r="F171" i="1" s="1"/>
  <c r="C172" i="1"/>
  <c r="F172" i="1" s="1"/>
  <c r="C173" i="1"/>
  <c r="F173" i="1" s="1"/>
  <c r="C174" i="1"/>
  <c r="F174" i="1" s="1"/>
  <c r="C175" i="1"/>
  <c r="F175" i="1" s="1"/>
  <c r="C176" i="1"/>
  <c r="F176" i="1" s="1"/>
  <c r="C177" i="1"/>
  <c r="F177" i="1" s="1"/>
  <c r="C178" i="1"/>
  <c r="F178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F19" i="1" s="1"/>
  <c r="C20" i="1"/>
  <c r="F20" i="1" s="1"/>
  <c r="C21" i="1"/>
  <c r="F21" i="1" s="1"/>
  <c r="C22" i="1"/>
  <c r="F22" i="1" s="1"/>
  <c r="C23" i="1"/>
  <c r="F23" i="1" s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C43" i="1"/>
  <c r="F43" i="1" s="1"/>
  <c r="C44" i="1"/>
  <c r="F44" i="1" s="1"/>
  <c r="C45" i="1"/>
  <c r="F45" i="1" s="1"/>
  <c r="C46" i="1"/>
  <c r="F46" i="1" s="1"/>
  <c r="C47" i="1"/>
  <c r="F47" i="1" s="1"/>
  <c r="C48" i="1"/>
  <c r="F48" i="1" s="1"/>
  <c r="C49" i="1"/>
  <c r="F49" i="1" s="1"/>
  <c r="C50" i="1"/>
  <c r="F50" i="1" s="1"/>
  <c r="C51" i="1"/>
  <c r="F51" i="1" s="1"/>
  <c r="C52" i="1"/>
  <c r="F52" i="1" s="1"/>
  <c r="C53" i="1"/>
  <c r="F53" i="1" s="1"/>
  <c r="C54" i="1"/>
  <c r="F54" i="1" s="1"/>
  <c r="C55" i="1"/>
  <c r="F55" i="1" s="1"/>
  <c r="C56" i="1"/>
  <c r="F56" i="1" s="1"/>
  <c r="C57" i="1"/>
  <c r="F57" i="1" s="1"/>
  <c r="C58" i="1"/>
  <c r="F58" i="1" s="1"/>
  <c r="C59" i="1"/>
  <c r="F59" i="1" s="1"/>
  <c r="C60" i="1"/>
  <c r="F60" i="1" s="1"/>
  <c r="C61" i="1"/>
  <c r="F61" i="1" s="1"/>
  <c r="C62" i="1"/>
  <c r="F62" i="1" s="1"/>
  <c r="C63" i="1"/>
  <c r="F63" i="1" s="1"/>
  <c r="C64" i="1"/>
  <c r="F64" i="1" s="1"/>
  <c r="C65" i="1"/>
  <c r="F65" i="1" s="1"/>
  <c r="C66" i="1"/>
  <c r="F66" i="1" s="1"/>
  <c r="C67" i="1"/>
  <c r="F67" i="1" s="1"/>
  <c r="C68" i="1"/>
  <c r="F68" i="1" s="1"/>
  <c r="C69" i="1"/>
  <c r="F69" i="1" s="1"/>
  <c r="C70" i="1"/>
  <c r="F70" i="1" s="1"/>
  <c r="C71" i="1"/>
  <c r="F71" i="1" s="1"/>
  <c r="C72" i="1"/>
  <c r="F72" i="1" s="1"/>
  <c r="C73" i="1"/>
  <c r="F73" i="1" s="1"/>
  <c r="C74" i="1"/>
  <c r="F74" i="1" s="1"/>
  <c r="C75" i="1"/>
  <c r="F75" i="1" s="1"/>
  <c r="C76" i="1"/>
  <c r="F76" i="1" s="1"/>
  <c r="C77" i="1"/>
  <c r="F77" i="1" s="1"/>
  <c r="C78" i="1"/>
  <c r="F78" i="1" s="1"/>
  <c r="C79" i="1"/>
  <c r="F79" i="1" s="1"/>
  <c r="C80" i="1"/>
  <c r="F80" i="1" s="1"/>
  <c r="C81" i="1"/>
  <c r="F81" i="1" s="1"/>
  <c r="C82" i="1"/>
  <c r="F82" i="1" s="1"/>
  <c r="C83" i="1"/>
  <c r="F83" i="1" s="1"/>
  <c r="C84" i="1"/>
  <c r="F84" i="1" s="1"/>
  <c r="C85" i="1"/>
  <c r="F85" i="1" s="1"/>
  <c r="C86" i="1"/>
  <c r="F86" i="1" s="1"/>
  <c r="C87" i="1"/>
  <c r="F87" i="1" s="1"/>
  <c r="C88" i="1"/>
  <c r="F88" i="1" s="1"/>
  <c r="C89" i="1"/>
  <c r="F89" i="1" s="1"/>
  <c r="H89" i="1" s="1"/>
  <c r="C90" i="1"/>
  <c r="F90" i="1" s="1"/>
  <c r="C91" i="1"/>
  <c r="F91" i="1" s="1"/>
  <c r="C92" i="1"/>
  <c r="F92" i="1" s="1"/>
  <c r="C93" i="1"/>
  <c r="F93" i="1" s="1"/>
  <c r="C94" i="1"/>
  <c r="F94" i="1" s="1"/>
  <c r="C11" i="1"/>
  <c r="F11" i="1" s="1"/>
  <c r="I89" i="1" l="1"/>
  <c r="Q89" i="1" s="1"/>
  <c r="R89" i="1"/>
  <c r="H161" i="1"/>
  <c r="H101" i="1"/>
  <c r="H87" i="1"/>
  <c r="H75" i="1"/>
  <c r="H63" i="1"/>
  <c r="H51" i="1"/>
  <c r="H39" i="1"/>
  <c r="H27" i="1"/>
  <c r="H15" i="1"/>
  <c r="H93" i="1"/>
  <c r="H81" i="1"/>
  <c r="H69" i="1"/>
  <c r="H57" i="1"/>
  <c r="H45" i="1"/>
  <c r="H33" i="1"/>
  <c r="H21" i="1"/>
  <c r="H176" i="1"/>
  <c r="H164" i="1"/>
  <c r="H152" i="1"/>
  <c r="H92" i="1"/>
  <c r="H80" i="1"/>
  <c r="H68" i="1"/>
  <c r="H175" i="1"/>
  <c r="H163" i="1"/>
  <c r="H127" i="1"/>
  <c r="H115" i="1"/>
  <c r="H103" i="1"/>
  <c r="H171" i="1"/>
  <c r="H147" i="1"/>
  <c r="H135" i="1"/>
  <c r="H123" i="1"/>
  <c r="H99" i="1"/>
  <c r="H145" i="1"/>
  <c r="H85" i="1"/>
  <c r="H73" i="1"/>
  <c r="H61" i="1"/>
  <c r="H49" i="1"/>
  <c r="H37" i="1"/>
  <c r="H11" i="1"/>
  <c r="H117" i="1"/>
  <c r="H94" i="1"/>
  <c r="H46" i="1"/>
  <c r="H178" i="1"/>
  <c r="H177" i="1"/>
  <c r="H165" i="1"/>
  <c r="H153" i="1"/>
  <c r="H142" i="1"/>
  <c r="H141" i="1"/>
  <c r="H129" i="1"/>
  <c r="H90" i="1"/>
  <c r="H78" i="1"/>
  <c r="H66" i="1"/>
  <c r="H54" i="1"/>
  <c r="H42" i="1"/>
  <c r="H30" i="1"/>
  <c r="H18" i="1"/>
  <c r="H100" i="1"/>
  <c r="H144" i="1"/>
  <c r="H56" i="1"/>
  <c r="H44" i="1"/>
  <c r="H32" i="1"/>
  <c r="H20" i="1"/>
  <c r="H128" i="1"/>
  <c r="H160" i="1"/>
  <c r="H88" i="1"/>
  <c r="H76" i="1"/>
  <c r="H64" i="1"/>
  <c r="H52" i="1"/>
  <c r="H40" i="1"/>
  <c r="H28" i="1"/>
  <c r="H16" i="1"/>
  <c r="H105" i="1"/>
  <c r="H137" i="1"/>
  <c r="H172" i="1"/>
  <c r="H136" i="1"/>
  <c r="H125" i="1"/>
  <c r="H82" i="1"/>
  <c r="H70" i="1"/>
  <c r="H58" i="1"/>
  <c r="H34" i="1"/>
  <c r="H22" i="1"/>
  <c r="H156" i="1"/>
  <c r="H106" i="1"/>
  <c r="H96" i="1"/>
  <c r="H154" i="1"/>
  <c r="H124" i="1"/>
  <c r="H132" i="1"/>
  <c r="H166" i="1"/>
  <c r="H151" i="1"/>
  <c r="H111" i="1"/>
  <c r="H14" i="1"/>
  <c r="H130" i="1"/>
  <c r="H120" i="1"/>
  <c r="H110" i="1"/>
  <c r="H113" i="1"/>
  <c r="H25" i="1"/>
  <c r="H13" i="1"/>
  <c r="H169" i="1"/>
  <c r="H159" i="1"/>
  <c r="H140" i="1"/>
  <c r="H109" i="1"/>
  <c r="H84" i="1"/>
  <c r="H72" i="1"/>
  <c r="H60" i="1"/>
  <c r="H48" i="1"/>
  <c r="H36" i="1"/>
  <c r="H24" i="1"/>
  <c r="H12" i="1"/>
  <c r="H168" i="1"/>
  <c r="H148" i="1"/>
  <c r="H139" i="1"/>
  <c r="H108" i="1"/>
  <c r="H98" i="1"/>
  <c r="H170" i="1"/>
  <c r="H86" i="1"/>
  <c r="H53" i="1"/>
  <c r="H29" i="1"/>
  <c r="H134" i="1"/>
  <c r="H77" i="1"/>
  <c r="H65" i="1"/>
  <c r="H41" i="1"/>
  <c r="H17" i="1"/>
  <c r="H133" i="1"/>
  <c r="H116" i="1"/>
  <c r="H162" i="1"/>
  <c r="H150" i="1"/>
  <c r="H50" i="1"/>
  <c r="H158" i="1"/>
  <c r="H149" i="1"/>
  <c r="H97" i="1"/>
  <c r="H62" i="1"/>
  <c r="H126" i="1"/>
  <c r="H157" i="1"/>
  <c r="H114" i="1"/>
  <c r="H122" i="1"/>
  <c r="H104" i="1"/>
  <c r="H118" i="1"/>
  <c r="H38" i="1"/>
  <c r="H174" i="1"/>
  <c r="H146" i="1"/>
  <c r="H121" i="1"/>
  <c r="H167" i="1"/>
  <c r="H155" i="1"/>
  <c r="H143" i="1"/>
  <c r="H131" i="1"/>
  <c r="H119" i="1"/>
  <c r="H107" i="1"/>
  <c r="H95" i="1"/>
  <c r="H91" i="1"/>
  <c r="H83" i="1"/>
  <c r="H79" i="1"/>
  <c r="H71" i="1"/>
  <c r="H67" i="1"/>
  <c r="H59" i="1"/>
  <c r="H55" i="1"/>
  <c r="H47" i="1"/>
  <c r="H43" i="1"/>
  <c r="H35" i="1"/>
  <c r="H31" i="1"/>
  <c r="H23" i="1"/>
  <c r="H19" i="1"/>
  <c r="H74" i="1"/>
  <c r="H26" i="1"/>
  <c r="H173" i="1"/>
  <c r="H138" i="1"/>
  <c r="H112" i="1"/>
  <c r="H102" i="1"/>
  <c r="J158" i="1" l="1"/>
  <c r="Q158" i="1" s="1"/>
  <c r="R158" i="1"/>
  <c r="J130" i="1"/>
  <c r="Q130" i="1" s="1"/>
  <c r="R130" i="1"/>
  <c r="I86" i="1"/>
  <c r="Q86" i="1" s="1"/>
  <c r="R86" i="1"/>
  <c r="I64" i="1"/>
  <c r="Q64" i="1" s="1"/>
  <c r="R64" i="1"/>
  <c r="J152" i="1"/>
  <c r="Q152" i="1" s="1"/>
  <c r="R152" i="1"/>
  <c r="I83" i="1"/>
  <c r="Q83" i="1" s="1"/>
  <c r="R83" i="1"/>
  <c r="I84" i="1"/>
  <c r="Q84" i="1" s="1"/>
  <c r="R84" i="1"/>
  <c r="I70" i="1"/>
  <c r="Q70" i="1" s="1"/>
  <c r="R70" i="1"/>
  <c r="J135" i="1"/>
  <c r="Q135" i="1" s="1"/>
  <c r="R135" i="1"/>
  <c r="J118" i="1"/>
  <c r="Q118" i="1" s="1"/>
  <c r="R118" i="1"/>
  <c r="J109" i="1"/>
  <c r="Q109" i="1" s="1"/>
  <c r="R109" i="1"/>
  <c r="I82" i="1"/>
  <c r="Q82" i="1" s="1"/>
  <c r="R82" i="1"/>
  <c r="I94" i="1"/>
  <c r="Q94" i="1" s="1"/>
  <c r="R94" i="1"/>
  <c r="J108" i="1"/>
  <c r="Q108" i="1" s="1"/>
  <c r="R108" i="1"/>
  <c r="J125" i="1"/>
  <c r="Q125" i="1" s="1"/>
  <c r="R125" i="1"/>
  <c r="I51" i="1"/>
  <c r="Q51" i="1" s="1"/>
  <c r="R51" i="1"/>
  <c r="J107" i="1"/>
  <c r="Q107" i="1" s="1"/>
  <c r="R107" i="1"/>
  <c r="J133" i="1"/>
  <c r="Q133" i="1" s="1"/>
  <c r="R133" i="1"/>
  <c r="J159" i="1"/>
  <c r="Q159" i="1" s="1"/>
  <c r="R159" i="1"/>
  <c r="I78" i="1"/>
  <c r="Q78" i="1" s="1"/>
  <c r="R78" i="1"/>
  <c r="J103" i="1"/>
  <c r="Q103" i="1" s="1"/>
  <c r="R103" i="1"/>
  <c r="J114" i="1"/>
  <c r="Q114" i="1" s="1"/>
  <c r="R114" i="1"/>
  <c r="J169" i="1"/>
  <c r="Q169" i="1" s="1"/>
  <c r="R169" i="1"/>
  <c r="I90" i="1"/>
  <c r="Q90" i="1" s="1"/>
  <c r="R90" i="1"/>
  <c r="I75" i="1"/>
  <c r="Q75" i="1" s="1"/>
  <c r="R75" i="1"/>
  <c r="J157" i="1"/>
  <c r="Q157" i="1" s="1"/>
  <c r="R157" i="1"/>
  <c r="J137" i="1"/>
  <c r="Q137" i="1" s="1"/>
  <c r="R137" i="1"/>
  <c r="I49" i="1"/>
  <c r="Q49" i="1" s="1"/>
  <c r="R49" i="1"/>
  <c r="J127" i="1"/>
  <c r="Q127" i="1" s="1"/>
  <c r="R127" i="1"/>
  <c r="I47" i="1"/>
  <c r="Q47" i="1" s="1"/>
  <c r="R47" i="1"/>
  <c r="J126" i="1"/>
  <c r="Q126" i="1" s="1"/>
  <c r="R126" i="1"/>
  <c r="I44" i="1"/>
  <c r="Q44" i="1" s="1"/>
  <c r="R44" i="1"/>
  <c r="I69" i="1"/>
  <c r="Q69" i="1" s="1"/>
  <c r="R69" i="1"/>
  <c r="I55" i="1"/>
  <c r="Q55" i="1" s="1"/>
  <c r="R55" i="1"/>
  <c r="J155" i="1"/>
  <c r="Q155" i="1" s="1"/>
  <c r="R155" i="1"/>
  <c r="I62" i="1"/>
  <c r="Q62" i="1" s="1"/>
  <c r="R62" i="1"/>
  <c r="I77" i="1"/>
  <c r="Q77" i="1" s="1"/>
  <c r="R77" i="1"/>
  <c r="J113" i="1"/>
  <c r="Q113" i="1" s="1"/>
  <c r="R113" i="1"/>
  <c r="J106" i="1"/>
  <c r="Q106" i="1" s="1"/>
  <c r="R106" i="1"/>
  <c r="I56" i="1"/>
  <c r="Q56" i="1" s="1"/>
  <c r="R56" i="1"/>
  <c r="J142" i="1"/>
  <c r="Q142" i="1" s="1"/>
  <c r="R142" i="1"/>
  <c r="I73" i="1"/>
  <c r="Q73" i="1" s="1"/>
  <c r="R73" i="1"/>
  <c r="J175" i="1"/>
  <c r="Q175" i="1" s="1"/>
  <c r="R175" i="1"/>
  <c r="I81" i="1"/>
  <c r="Q81" i="1" s="1"/>
  <c r="R81" i="1"/>
  <c r="J161" i="1"/>
  <c r="Q161" i="1" s="1"/>
  <c r="R161" i="1"/>
  <c r="J173" i="1"/>
  <c r="Q173" i="1" s="1"/>
  <c r="R173" i="1"/>
  <c r="J146" i="1"/>
  <c r="Q146" i="1" s="1"/>
  <c r="R146" i="1"/>
  <c r="I60" i="1"/>
  <c r="Q60" i="1" s="1"/>
  <c r="R60" i="1"/>
  <c r="I52" i="1"/>
  <c r="Q52" i="1" s="1"/>
  <c r="R52" i="1"/>
  <c r="J177" i="1"/>
  <c r="Q177" i="1" s="1"/>
  <c r="R177" i="1"/>
  <c r="J99" i="1"/>
  <c r="Q99" i="1" s="1"/>
  <c r="R99" i="1"/>
  <c r="I92" i="1"/>
  <c r="Q92" i="1" s="1"/>
  <c r="R92" i="1"/>
  <c r="J174" i="1"/>
  <c r="Q174" i="1" s="1"/>
  <c r="R174" i="1"/>
  <c r="I72" i="1"/>
  <c r="Q72" i="1" s="1"/>
  <c r="R72" i="1"/>
  <c r="J178" i="1"/>
  <c r="Q178" i="1" s="1"/>
  <c r="R178" i="1"/>
  <c r="J150" i="1"/>
  <c r="Q150" i="1" s="1"/>
  <c r="R150" i="1"/>
  <c r="J111" i="1"/>
  <c r="Q111" i="1" s="1"/>
  <c r="R111" i="1"/>
  <c r="I42" i="1"/>
  <c r="Q42" i="1" s="1"/>
  <c r="R42" i="1"/>
  <c r="I46" i="1"/>
  <c r="Q46" i="1" s="1"/>
  <c r="R46" i="1"/>
  <c r="J98" i="1"/>
  <c r="Q98" i="1" s="1"/>
  <c r="R98" i="1"/>
  <c r="I88" i="1"/>
  <c r="Q88" i="1" s="1"/>
  <c r="R88" i="1"/>
  <c r="J176" i="1"/>
  <c r="Q176" i="1" s="1"/>
  <c r="R176" i="1"/>
  <c r="J104" i="1"/>
  <c r="Q104" i="1" s="1"/>
  <c r="R104" i="1"/>
  <c r="J140" i="1"/>
  <c r="Q140" i="1" s="1"/>
  <c r="R140" i="1"/>
  <c r="I66" i="1"/>
  <c r="Q66" i="1" s="1"/>
  <c r="R66" i="1"/>
  <c r="J117" i="1"/>
  <c r="Q117" i="1" s="1"/>
  <c r="R117" i="1"/>
  <c r="J139" i="1"/>
  <c r="Q139" i="1" s="1"/>
  <c r="R139" i="1"/>
  <c r="J132" i="1"/>
  <c r="Q132" i="1" s="1"/>
  <c r="R132" i="1"/>
  <c r="J128" i="1"/>
  <c r="Q128" i="1" s="1"/>
  <c r="R128" i="1"/>
  <c r="J119" i="1"/>
  <c r="Q119" i="1" s="1"/>
  <c r="R119" i="1"/>
  <c r="J172" i="1"/>
  <c r="Q172" i="1" s="1"/>
  <c r="R172" i="1"/>
  <c r="I45" i="1"/>
  <c r="Q45" i="1" s="1"/>
  <c r="R45" i="1"/>
  <c r="I41" i="1"/>
  <c r="Q41" i="1" s="1"/>
  <c r="R41" i="1"/>
  <c r="J154" i="1"/>
  <c r="Q154" i="1" s="1"/>
  <c r="R154" i="1"/>
  <c r="J129" i="1"/>
  <c r="Q129" i="1" s="1"/>
  <c r="R129" i="1"/>
  <c r="I57" i="1"/>
  <c r="Q57" i="1" s="1"/>
  <c r="R57" i="1"/>
  <c r="I65" i="1"/>
  <c r="Q65" i="1" s="1"/>
  <c r="R65" i="1"/>
  <c r="J96" i="1"/>
  <c r="Q96" i="1" s="1"/>
  <c r="R96" i="1"/>
  <c r="J141" i="1"/>
  <c r="Q141" i="1" s="1"/>
  <c r="R141" i="1"/>
  <c r="J101" i="1"/>
  <c r="Q101" i="1" s="1"/>
  <c r="R101" i="1"/>
  <c r="J102" i="1"/>
  <c r="Q102" i="1" s="1"/>
  <c r="R102" i="1"/>
  <c r="J112" i="1"/>
  <c r="Q112" i="1" s="1"/>
  <c r="R112" i="1"/>
  <c r="I59" i="1"/>
  <c r="Q59" i="1" s="1"/>
  <c r="R59" i="1"/>
  <c r="J167" i="1"/>
  <c r="Q167" i="1" s="1"/>
  <c r="R167" i="1"/>
  <c r="J97" i="1"/>
  <c r="Q97" i="1" s="1"/>
  <c r="R97" i="1"/>
  <c r="J134" i="1"/>
  <c r="Q134" i="1" s="1"/>
  <c r="R134" i="1"/>
  <c r="J110" i="1"/>
  <c r="Q110" i="1" s="1"/>
  <c r="R110" i="1"/>
  <c r="J156" i="1"/>
  <c r="Q156" i="1" s="1"/>
  <c r="R156" i="1"/>
  <c r="J144" i="1"/>
  <c r="Q144" i="1" s="1"/>
  <c r="R144" i="1"/>
  <c r="J153" i="1"/>
  <c r="Q153" i="1" s="1"/>
  <c r="R153" i="1"/>
  <c r="I85" i="1"/>
  <c r="Q85" i="1" s="1"/>
  <c r="R85" i="1"/>
  <c r="I68" i="1"/>
  <c r="Q68" i="1" s="1"/>
  <c r="R68" i="1"/>
  <c r="I93" i="1"/>
  <c r="Q93" i="1" s="1"/>
  <c r="R93" i="1"/>
  <c r="I71" i="1"/>
  <c r="Q71" i="1" s="1"/>
  <c r="R71" i="1"/>
  <c r="I53" i="1"/>
  <c r="Q53" i="1" s="1"/>
  <c r="R53" i="1"/>
  <c r="I79" i="1"/>
  <c r="Q79" i="1" s="1"/>
  <c r="R79" i="1"/>
  <c r="I50" i="1"/>
  <c r="Q50" i="1" s="1"/>
  <c r="R50" i="1"/>
  <c r="I58" i="1"/>
  <c r="Q58" i="1" s="1"/>
  <c r="R58" i="1"/>
  <c r="J123" i="1"/>
  <c r="Q123" i="1" s="1"/>
  <c r="R123" i="1"/>
  <c r="I74" i="1"/>
  <c r="Q74" i="1" s="1"/>
  <c r="R74" i="1"/>
  <c r="J170" i="1"/>
  <c r="Q170" i="1" s="1"/>
  <c r="R170" i="1"/>
  <c r="I76" i="1"/>
  <c r="Q76" i="1" s="1"/>
  <c r="R76" i="1"/>
  <c r="J164" i="1"/>
  <c r="Q164" i="1" s="1"/>
  <c r="R164" i="1"/>
  <c r="I91" i="1"/>
  <c r="Q91" i="1" s="1"/>
  <c r="R91" i="1"/>
  <c r="J162" i="1"/>
  <c r="Q162" i="1" s="1"/>
  <c r="R162" i="1"/>
  <c r="J151" i="1"/>
  <c r="Q151" i="1" s="1"/>
  <c r="R151" i="1"/>
  <c r="I54" i="1"/>
  <c r="Q54" i="1" s="1"/>
  <c r="R54" i="1"/>
  <c r="J147" i="1"/>
  <c r="Q147" i="1" s="1"/>
  <c r="R147" i="1"/>
  <c r="J95" i="1"/>
  <c r="Q95" i="1" s="1"/>
  <c r="R95" i="1"/>
  <c r="J116" i="1"/>
  <c r="Q116" i="1" s="1"/>
  <c r="R116" i="1"/>
  <c r="J166" i="1"/>
  <c r="Q166" i="1" s="1"/>
  <c r="R166" i="1"/>
  <c r="J160" i="1"/>
  <c r="Q160" i="1" s="1"/>
  <c r="R160" i="1"/>
  <c r="J171" i="1"/>
  <c r="Q171" i="1" s="1"/>
  <c r="R171" i="1"/>
  <c r="J122" i="1"/>
  <c r="Q122" i="1" s="1"/>
  <c r="R122" i="1"/>
  <c r="J136" i="1"/>
  <c r="Q136" i="1" s="1"/>
  <c r="R136" i="1"/>
  <c r="I63" i="1"/>
  <c r="Q63" i="1" s="1"/>
  <c r="R63" i="1"/>
  <c r="J148" i="1"/>
  <c r="Q148" i="1" s="1"/>
  <c r="R148" i="1"/>
  <c r="J124" i="1"/>
  <c r="Q124" i="1" s="1"/>
  <c r="R124" i="1"/>
  <c r="J115" i="1"/>
  <c r="Q115" i="1" s="1"/>
  <c r="R115" i="1"/>
  <c r="I43" i="1"/>
  <c r="Q43" i="1" s="1"/>
  <c r="R43" i="1"/>
  <c r="J131" i="1"/>
  <c r="Q131" i="1" s="1"/>
  <c r="R131" i="1"/>
  <c r="J168" i="1"/>
  <c r="Q168" i="1" s="1"/>
  <c r="R168" i="1"/>
  <c r="I87" i="1"/>
  <c r="Q87" i="1" s="1"/>
  <c r="R87" i="1"/>
  <c r="J143" i="1"/>
  <c r="Q143" i="1" s="1"/>
  <c r="R143" i="1"/>
  <c r="J105" i="1"/>
  <c r="Q105" i="1" s="1"/>
  <c r="R105" i="1"/>
  <c r="I61" i="1"/>
  <c r="Q61" i="1" s="1"/>
  <c r="R61" i="1"/>
  <c r="J163" i="1"/>
  <c r="Q163" i="1" s="1"/>
  <c r="R163" i="1"/>
  <c r="J138" i="1"/>
  <c r="Q138" i="1" s="1"/>
  <c r="R138" i="1"/>
  <c r="I67" i="1"/>
  <c r="Q67" i="1" s="1"/>
  <c r="R67" i="1"/>
  <c r="J121" i="1"/>
  <c r="Q121" i="1" s="1"/>
  <c r="R121" i="1"/>
  <c r="J149" i="1"/>
  <c r="Q149" i="1" s="1"/>
  <c r="R149" i="1"/>
  <c r="I48" i="1"/>
  <c r="Q48" i="1" s="1"/>
  <c r="R48" i="1"/>
  <c r="J120" i="1"/>
  <c r="Q120" i="1" s="1"/>
  <c r="R120" i="1"/>
  <c r="I40" i="1"/>
  <c r="Q40" i="1" s="1"/>
  <c r="R40" i="1"/>
  <c r="J100" i="1"/>
  <c r="Q100" i="1" s="1"/>
  <c r="R100" i="1"/>
  <c r="J165" i="1"/>
  <c r="Q165" i="1" s="1"/>
  <c r="R165" i="1"/>
  <c r="J145" i="1"/>
  <c r="Q145" i="1" s="1"/>
  <c r="R145" i="1"/>
  <c r="I80" i="1"/>
  <c r="Q80" i="1" s="1"/>
  <c r="R80" i="1"/>
  <c r="I29" i="1"/>
  <c r="Q29" i="1" s="1"/>
  <c r="R29" i="1"/>
  <c r="I14" i="1"/>
  <c r="Q14" i="1" s="1"/>
  <c r="R14" i="1"/>
  <c r="I28" i="1"/>
  <c r="Q28" i="1" s="1"/>
  <c r="R28" i="1"/>
  <c r="I26" i="1"/>
  <c r="Q26" i="1" s="1"/>
  <c r="R26" i="1"/>
  <c r="I30" i="1"/>
  <c r="Q30" i="1" s="1"/>
  <c r="R30" i="1"/>
  <c r="I38" i="1"/>
  <c r="Q38" i="1" s="1"/>
  <c r="R38" i="1"/>
  <c r="I27" i="1"/>
  <c r="Q27" i="1" s="1"/>
  <c r="R27" i="1"/>
  <c r="I39" i="1"/>
  <c r="Q39" i="1" s="1"/>
  <c r="R39" i="1"/>
  <c r="I21" i="1"/>
  <c r="Q21" i="1" s="1"/>
  <c r="R21" i="1"/>
  <c r="I31" i="1"/>
  <c r="Q31" i="1" s="1"/>
  <c r="R31" i="1"/>
  <c r="I17" i="1"/>
  <c r="Q17" i="1" s="1"/>
  <c r="R17" i="1"/>
  <c r="I20" i="1"/>
  <c r="Q20" i="1" s="1"/>
  <c r="R20" i="1"/>
  <c r="I32" i="1"/>
  <c r="Q32" i="1" s="1"/>
  <c r="R32" i="1"/>
  <c r="I25" i="1"/>
  <c r="Q25" i="1" s="1"/>
  <c r="R25" i="1"/>
  <c r="I36" i="1"/>
  <c r="Q36" i="1" s="1"/>
  <c r="R36" i="1"/>
  <c r="I22" i="1"/>
  <c r="Q22" i="1" s="1"/>
  <c r="R22" i="1"/>
  <c r="I34" i="1"/>
  <c r="Q34" i="1" s="1"/>
  <c r="R34" i="1"/>
  <c r="I18" i="1"/>
  <c r="Q18" i="1" s="1"/>
  <c r="R18" i="1"/>
  <c r="I15" i="1"/>
  <c r="Q15" i="1" s="1"/>
  <c r="R15" i="1"/>
  <c r="I19" i="1"/>
  <c r="Q19" i="1" s="1"/>
  <c r="R19" i="1"/>
  <c r="I23" i="1"/>
  <c r="Q23" i="1" s="1"/>
  <c r="R23" i="1"/>
  <c r="I33" i="1"/>
  <c r="Q33" i="1" s="1"/>
  <c r="R33" i="1"/>
  <c r="I35" i="1"/>
  <c r="Q35" i="1" s="1"/>
  <c r="R35" i="1"/>
  <c r="I37" i="1"/>
  <c r="Q37" i="1" s="1"/>
  <c r="R37" i="1"/>
  <c r="I24" i="1"/>
  <c r="Q24" i="1" s="1"/>
  <c r="R24" i="1"/>
  <c r="I16" i="1"/>
  <c r="Q16" i="1" s="1"/>
  <c r="R16" i="1"/>
  <c r="I13" i="1"/>
  <c r="Q13" i="1" s="1"/>
  <c r="R13" i="1"/>
  <c r="I12" i="1"/>
  <c r="Q12" i="1" s="1"/>
  <c r="R12" i="1"/>
  <c r="I11" i="1"/>
  <c r="Q11" i="1" s="1"/>
  <c r="R11" i="1"/>
</calcChain>
</file>

<file path=xl/sharedStrings.xml><?xml version="1.0" encoding="utf-8"?>
<sst xmlns="http://schemas.openxmlformats.org/spreadsheetml/2006/main" count="628" uniqueCount="117">
  <si>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</si>
  <si>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</si>
  <si>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</si>
  <si>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</si>
  <si>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</si>
  <si>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</si>
  <si>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</si>
  <si>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</si>
  <si>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</si>
  <si>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</si>
  <si>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</si>
  <si>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</si>
  <si>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</si>
  <si>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</si>
  <si>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</si>
  <si>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</si>
  <si>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</si>
  <si>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</si>
  <si>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</si>
  <si>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</si>
  <si>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</si>
  <si>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</si>
  <si>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</si>
  <si>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</si>
  <si>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</si>
  <si>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</si>
  <si>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</si>
  <si>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</si>
  <si>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</si>
  <si>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</si>
  <si>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</si>
  <si>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</si>
  <si>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</si>
  <si>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</si>
  <si>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</si>
  <si>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</si>
  <si>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</si>
  <si>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</si>
  <si>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</si>
  <si>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</si>
  <si>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</si>
  <si>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</si>
  <si>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</si>
  <si>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</si>
  <si>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</si>
  <si>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</si>
  <si>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</si>
  <si>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</si>
  <si>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</si>
  <si>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</si>
  <si>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</si>
  <si>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</si>
  <si>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</si>
  <si>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</si>
  <si>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</si>
  <si>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</si>
  <si>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</si>
  <si>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</si>
  <si>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</si>
  <si>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</si>
  <si>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</si>
  <si>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</si>
  <si>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</si>
  <si>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</si>
  <si>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</si>
  <si>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</si>
  <si>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</si>
  <si>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</si>
  <si>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</si>
  <si>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</si>
  <si>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</si>
  <si>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</si>
  <si>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</si>
  <si>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</si>
  <si>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</si>
  <si>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</si>
  <si>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</si>
  <si>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</si>
  <si>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</si>
  <si>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</si>
  <si>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</si>
  <si>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</si>
  <si>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</si>
  <si>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</si>
  <si>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</si>
  <si>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</si>
  <si>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</si>
  <si>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</si>
  <si>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</si>
  <si>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</si>
  <si>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</si>
  <si>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</si>
  <si>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</si>
  <si>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</si>
  <si>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</si>
  <si>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</si>
  <si>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</si>
  <si>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</si>
  <si>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</si>
  <si>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</si>
  <si>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</si>
  <si>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</si>
  <si>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</si>
  <si>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</si>
  <si>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</si>
  <si>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</si>
  <si>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</si>
  <si>
    <t>EFleach</t>
  </si>
  <si>
    <t>FracLEACH</t>
  </si>
  <si>
    <t>FracWET</t>
  </si>
  <si>
    <t>𝐸𝐿𝑈𝐶,𝑖,𝑗=1−3,𝑦</t>
  </si>
  <si>
    <t>16.2.1.1</t>
  </si>
  <si>
    <t>16.3.1.1</t>
  </si>
  <si>
    <t>leaching zone</t>
  </si>
  <si>
    <t>yes</t>
  </si>
  <si>
    <r>
      <t> 𝑁</t>
    </r>
    <r>
      <rPr>
        <sz val="9"/>
        <color rgb="FF000000"/>
        <rFont val="Helvetica"/>
        <family val="2"/>
      </rPr>
      <t xml:space="preserve">𝑖,𝑗=1−3,𝑦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𝑊𝐸𝑇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𝐿𝐸𝐴𝐶𝐻 </t>
    </r>
    <r>
      <rPr>
        <sz val="12"/>
        <color rgb="FF000000"/>
        <rFont val="Helvetica"/>
        <family val="2"/>
      </rPr>
      <t xml:space="preserve">× 𝐸𝐹 </t>
    </r>
    <r>
      <rPr>
        <sz val="9"/>
        <color rgb="FF000000"/>
        <rFont val="Helvetica"/>
        <family val="2"/>
      </rPr>
      <t xml:space="preserve">𝑙𝑒𝑎𝑐ℎ </t>
    </r>
    <r>
      <rPr>
        <sz val="12"/>
        <color rgb="FF000000"/>
        <rFont val="Helvetica"/>
        <family val="2"/>
      </rPr>
      <t>× 𝐶</t>
    </r>
    <r>
      <rPr>
        <sz val="9"/>
        <color rgb="FF000000"/>
        <rFont val="Helvetica"/>
        <family val="2"/>
      </rPr>
      <t>𝑔,𝑁2𝑂</t>
    </r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</si>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</sst>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3:W178"/>
  <sheetViews>
    <sheetView tabSelected="1" topLeftCell="F1" workbookViewId="0">
      <selection activeCell="E11" sqref="E11:E178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4" width="16.33203125" customWidth="1"/>
    <col min="5" max="5" width="13.1640625" customWidth="1"/>
    <col min="6" max="6" width="15.6640625" customWidth="1"/>
    <col min="7" max="7" width="18" customWidth="1"/>
    <col min="8" max="8" width="17.6640625" customWidth="1"/>
    <col min="9" max="12" width="14.6640625" customWidth="1"/>
    <col min="13" max="13" width="11.83203125" bestFit="1" customWidth="1"/>
    <col min="14" max="16" width="11.83203125" customWidth="1"/>
    <col min="17" max="18" width="19.6640625" customWidth="1"/>
    <col min="22" max="22" width="17.5" customWidth="1"/>
  </cols>
  <sheetData>
    <row r="3" spans="1:23" x14ac:dyDescent="0.2">
      <c r="R3" s="2" t="s">
        <v>115</v>
      </c>
    </row>
    <row r="4" spans="1:23" x14ac:dyDescent="0.2">
      <c r="T4" t="s">
        <v>89</v>
      </c>
      <c r="U4">
        <v>4.1000000000000003E-3</v>
      </c>
    </row>
    <row r="5" spans="1:23" x14ac:dyDescent="0.2">
      <c r="T5" t="s">
        <v>90</v>
      </c>
      <c r="U5">
        <v>1.8E-3</v>
      </c>
    </row>
    <row r="6" spans="1:23" x14ac:dyDescent="0.2">
      <c r="B6" t="s">
        <v>0</v>
      </c>
      <c r="E6" t="s">
        <v>0</v>
      </c>
      <c r="F6" t="s">
        <v>1</v>
      </c>
      <c r="G6" t="s">
        <v>94</v>
      </c>
      <c r="H6" t="s">
        <v>1</v>
      </c>
      <c r="K6" t="s">
        <v>94</v>
      </c>
      <c r="L6" t="s">
        <v>94</v>
      </c>
      <c r="M6" t="s">
        <v>94</v>
      </c>
      <c r="T6" t="s">
        <v>91</v>
      </c>
      <c r="U6">
        <v>18</v>
      </c>
    </row>
    <row r="7" spans="1:23" x14ac:dyDescent="0.2">
      <c r="T7" t="s">
        <v>92</v>
      </c>
      <c r="U7">
        <f>44/28</f>
        <v>1.5714285714285714</v>
      </c>
    </row>
    <row r="8" spans="1:23" x14ac:dyDescent="0.2">
      <c r="E8" t="s">
        <v>106</v>
      </c>
      <c r="F8" t="s">
        <v>95</v>
      </c>
      <c r="H8" t="s">
        <v>97</v>
      </c>
      <c r="K8" t="s">
        <v>96</v>
      </c>
      <c r="L8" t="s">
        <v>96</v>
      </c>
      <c r="T8" t="s">
        <v>107</v>
      </c>
      <c r="U8">
        <v>1.0999999999999999E-2</v>
      </c>
    </row>
    <row r="9" spans="1:23" s="1" customFormat="1" ht="17" x14ac:dyDescent="0.2">
      <c r="Q9" s="1" t="s">
        <v>111</v>
      </c>
      <c r="R9" s="1" t="s">
        <v>112</v>
      </c>
      <c r="T9" s="1" t="s">
        <v>108</v>
      </c>
      <c r="U9" s="1">
        <v>0.24</v>
      </c>
    </row>
    <row r="10" spans="1:23" x14ac:dyDescent="0.2">
      <c r="A10" s="3" t="s">
        <v>100</v>
      </c>
      <c r="B10" s="3" t="s">
        <v>4</v>
      </c>
      <c r="C10" s="2" t="s">
        <v>3</v>
      </c>
      <c r="D10" s="4" t="s">
        <v>113</v>
      </c>
      <c r="E10" s="4" t="s">
        <v>99</v>
      </c>
      <c r="F10" s="2" t="s">
        <v>2</v>
      </c>
      <c r="G10" s="7" t="s">
        <v>91</v>
      </c>
      <c r="H10" s="2" t="s">
        <v>93</v>
      </c>
      <c r="I10" s="2" t="s">
        <v>104</v>
      </c>
      <c r="J10" s="2" t="s">
        <v>105</v>
      </c>
      <c r="K10" s="2" t="s">
        <v>89</v>
      </c>
      <c r="L10" s="2" t="s">
        <v>90</v>
      </c>
      <c r="M10" s="2" t="s">
        <v>92</v>
      </c>
      <c r="N10" s="2" t="s">
        <v>109</v>
      </c>
      <c r="O10" s="2" t="s">
        <v>108</v>
      </c>
      <c r="P10" s="2" t="s">
        <v>107</v>
      </c>
      <c r="Q10" s="5" t="s">
        <v>98</v>
      </c>
      <c r="R10" s="5" t="s">
        <v>110</v>
      </c>
    </row>
    <row r="11" spans="1:23" x14ac:dyDescent="0.2">
      <c r="A11" t="s">
        <v>101</v>
      </c>
      <c r="B11" s="6" t="s">
        <v>5</v>
      </c>
      <c r="C11">
        <f>VLOOKUP(B11, $V$13:$W$96, 2, FALSE)</f>
        <v>-0.12</v>
      </c>
      <c r="D11" t="s">
        <v>114</v>
      </c>
      <c r="E11">
        <v>85.1</v>
      </c>
      <c r="F11">
        <f>C11*E11</f>
        <v>-10.212</v>
      </c>
      <c r="G11">
        <f>$U$6</f>
        <v>18</v>
      </c>
      <c r="H11">
        <f>F11/G11</f>
        <v>-0.56733333333333336</v>
      </c>
      <c r="I11">
        <f>IF(A11="crop",H11, 0)</f>
        <v>-0.56733333333333336</v>
      </c>
      <c r="J11">
        <f>IF(A11="crop", 0, H11)</f>
        <v>0</v>
      </c>
      <c r="K11">
        <f>$U$4</f>
        <v>4.1000000000000003E-3</v>
      </c>
      <c r="L11">
        <f>$U$5</f>
        <v>1.8E-3</v>
      </c>
      <c r="M11">
        <f>$U$7</f>
        <v>1.5714285714285714</v>
      </c>
      <c r="N11">
        <f>IF(D11="yes",1,0)</f>
        <v>1</v>
      </c>
      <c r="O11">
        <f>$U$9</f>
        <v>0.24</v>
      </c>
      <c r="P11">
        <f>$U$8</f>
        <v>1.0999999999999999E-2</v>
      </c>
      <c r="Q11">
        <f>(I11*$K$11+J11*$L$11)*$M$11</f>
        <v>-3.6552476190476195E-3</v>
      </c>
      <c r="R11">
        <f>H11*N11*O$11*P$11*M$11</f>
        <v>-2.3536228571428568E-3</v>
      </c>
    </row>
    <row r="12" spans="1:23" x14ac:dyDescent="0.2">
      <c r="A12" t="s">
        <v>101</v>
      </c>
      <c r="B12" s="6" t="s">
        <v>6</v>
      </c>
      <c r="C12">
        <f>VLOOKUP(B12, $V$13:$W$96, 2, FALSE)</f>
        <v>-0.39</v>
      </c>
      <c r="D12" t="s">
        <v>114</v>
      </c>
      <c r="E12">
        <v>85.2</v>
      </c>
      <c r="F12">
        <f t="shared" ref="F12:F75" si="0">C12*E12</f>
        <v>-33.228000000000002</v>
      </c>
      <c r="G12">
        <f>$U$6</f>
        <v>18</v>
      </c>
      <c r="H12">
        <f>F12/G12</f>
        <v>-1.8460000000000001</v>
      </c>
      <c r="I12">
        <f>IF(A12="crop",H12, 0)</f>
        <v>-1.8460000000000001</v>
      </c>
      <c r="J12">
        <f>IF(A12="crop", 0, H12)</f>
        <v>0</v>
      </c>
      <c r="N12">
        <f t="shared" ref="N12:N75" si="1">IF(D12="yes",1,0)</f>
        <v>1</v>
      </c>
      <c r="Q12">
        <f t="shared" ref="Q12:Q75" si="2">(I12*$K$11+J12*$L$11)*$M$11</f>
        <v>-1.1893514285714286E-2</v>
      </c>
      <c r="R12">
        <f t="shared" ref="R12:R75" si="3">H12*N12*O$11*P$11*M$11</f>
        <v>-7.6582628571428566E-3</v>
      </c>
    </row>
    <row r="13" spans="1:23" x14ac:dyDescent="0.2">
      <c r="A13" t="s">
        <v>101</v>
      </c>
      <c r="B13" s="6" t="s">
        <v>7</v>
      </c>
      <c r="C13">
        <f>VLOOKUP(B13, $V$13:$W$96, 2, FALSE)</f>
        <v>-0.09</v>
      </c>
      <c r="D13" t="s">
        <v>114</v>
      </c>
      <c r="E13">
        <v>85.3</v>
      </c>
      <c r="F13">
        <f t="shared" si="0"/>
        <v>-7.6769999999999996</v>
      </c>
      <c r="G13">
        <f>$U$6</f>
        <v>18</v>
      </c>
      <c r="H13">
        <f>F13/G13</f>
        <v>-0.42649999999999999</v>
      </c>
      <c r="I13">
        <f>IF(A13="crop",H13, 0)</f>
        <v>-0.42649999999999999</v>
      </c>
      <c r="J13">
        <f>IF(A13="crop", 0, H13)</f>
        <v>0</v>
      </c>
      <c r="N13">
        <f t="shared" si="1"/>
        <v>1</v>
      </c>
      <c r="Q13">
        <f t="shared" si="2"/>
        <v>-2.7478785714285716E-3</v>
      </c>
      <c r="R13">
        <f t="shared" si="3"/>
        <v>-1.7693657142857141E-3</v>
      </c>
      <c r="V13" s="6" t="s">
        <v>5</v>
      </c>
      <c r="W13" s="6">
        <v>-0.12</v>
      </c>
    </row>
    <row r="14" spans="1:23" x14ac:dyDescent="0.2">
      <c r="A14" t="s">
        <v>101</v>
      </c>
      <c r="B14" s="6" t="s">
        <v>8</v>
      </c>
      <c r="C14">
        <f>VLOOKUP(B14, $V$13:$W$96, 2, FALSE)</f>
        <v>-0.09</v>
      </c>
      <c r="D14" t="s">
        <v>114</v>
      </c>
      <c r="E14">
        <v>85.4</v>
      </c>
      <c r="F14">
        <f t="shared" si="0"/>
        <v>-7.6859999999999999</v>
      </c>
      <c r="G14">
        <f>$U$6</f>
        <v>18</v>
      </c>
      <c r="H14">
        <f>F14/G14</f>
        <v>-0.42699999999999999</v>
      </c>
      <c r="I14">
        <f>IF(A14="crop",H14, 0)</f>
        <v>-0.42699999999999999</v>
      </c>
      <c r="J14">
        <f>IF(A14="crop", 0, H14)</f>
        <v>0</v>
      </c>
      <c r="N14">
        <f t="shared" si="1"/>
        <v>1</v>
      </c>
      <c r="Q14">
        <f t="shared" si="2"/>
        <v>-2.7511000000000002E-3</v>
      </c>
      <c r="R14">
        <f t="shared" si="3"/>
        <v>-1.7714399999999998E-3</v>
      </c>
      <c r="V14" s="6" t="s">
        <v>6</v>
      </c>
      <c r="W14" s="6">
        <v>-0.39</v>
      </c>
    </row>
    <row r="15" spans="1:23" x14ac:dyDescent="0.2">
      <c r="A15" t="s">
        <v>101</v>
      </c>
      <c r="B15" s="6" t="s">
        <v>9</v>
      </c>
      <c r="C15">
        <f>VLOOKUP(B15, $V$13:$W$96, 2, FALSE)</f>
        <v>-0.13</v>
      </c>
      <c r="D15" t="s">
        <v>114</v>
      </c>
      <c r="E15">
        <v>85.5</v>
      </c>
      <c r="F15">
        <f t="shared" si="0"/>
        <v>-11.115</v>
      </c>
      <c r="G15">
        <f>$U$6</f>
        <v>18</v>
      </c>
      <c r="H15">
        <f>F15/G15</f>
        <v>-0.61750000000000005</v>
      </c>
      <c r="I15">
        <f>IF(A15="crop",H15, 0)</f>
        <v>-0.61750000000000005</v>
      </c>
      <c r="J15">
        <f>IF(A15="crop", 0, H15)</f>
        <v>0</v>
      </c>
      <c r="N15">
        <f t="shared" si="1"/>
        <v>1</v>
      </c>
      <c r="Q15">
        <f t="shared" si="2"/>
        <v>-3.9784642857142866E-3</v>
      </c>
      <c r="R15">
        <f t="shared" si="3"/>
        <v>-2.5617428571428568E-3</v>
      </c>
      <c r="V15" s="6" t="s">
        <v>7</v>
      </c>
      <c r="W15" s="6">
        <v>-0.09</v>
      </c>
    </row>
    <row r="16" spans="1:23" x14ac:dyDescent="0.2">
      <c r="A16" t="s">
        <v>101</v>
      </c>
      <c r="B16" s="6" t="s">
        <v>10</v>
      </c>
      <c r="C16">
        <f>VLOOKUP(B16, $V$13:$W$96, 2, FALSE)</f>
        <v>-0.13</v>
      </c>
      <c r="D16" t="s">
        <v>114</v>
      </c>
      <c r="E16">
        <v>85.6</v>
      </c>
      <c r="F16">
        <f t="shared" si="0"/>
        <v>-11.128</v>
      </c>
      <c r="G16">
        <f>$U$6</f>
        <v>18</v>
      </c>
      <c r="H16">
        <f>F16/G16</f>
        <v>-0.61822222222222223</v>
      </c>
      <c r="I16">
        <f>IF(A16="crop",H16, 0)</f>
        <v>-0.61822222222222223</v>
      </c>
      <c r="J16">
        <f>IF(A16="crop", 0, H16)</f>
        <v>0</v>
      </c>
      <c r="N16">
        <f t="shared" si="1"/>
        <v>1</v>
      </c>
      <c r="Q16">
        <f t="shared" si="2"/>
        <v>-3.9831174603174608E-3</v>
      </c>
      <c r="R16">
        <f t="shared" si="3"/>
        <v>-2.5647390476190471E-3</v>
      </c>
      <c r="V16" s="6" t="s">
        <v>8</v>
      </c>
      <c r="W16" s="6">
        <v>-0.09</v>
      </c>
    </row>
    <row r="17" spans="1:23" x14ac:dyDescent="0.2">
      <c r="A17" t="s">
        <v>101</v>
      </c>
      <c r="B17" s="6" t="s">
        <v>11</v>
      </c>
      <c r="C17">
        <f>VLOOKUP(B17, $V$13:$W$96, 2, FALSE)</f>
        <v>-0.55000000000000004</v>
      </c>
      <c r="D17" t="s">
        <v>114</v>
      </c>
      <c r="E17">
        <v>85.7</v>
      </c>
      <c r="F17">
        <f t="shared" si="0"/>
        <v>-47.135000000000005</v>
      </c>
      <c r="G17">
        <f>$U$6</f>
        <v>18</v>
      </c>
      <c r="H17">
        <f>F17/G17</f>
        <v>-2.6186111111111114</v>
      </c>
      <c r="I17">
        <f>IF(A17="crop",H17, 0)</f>
        <v>-2.6186111111111114</v>
      </c>
      <c r="J17">
        <f>IF(A17="crop", 0, H17)</f>
        <v>0</v>
      </c>
      <c r="N17">
        <f t="shared" si="1"/>
        <v>1</v>
      </c>
      <c r="Q17">
        <f t="shared" si="2"/>
        <v>-1.6871337301587304E-2</v>
      </c>
      <c r="R17">
        <f t="shared" si="3"/>
        <v>-1.0863495238095237E-2</v>
      </c>
      <c r="V17" s="6" t="s">
        <v>9</v>
      </c>
      <c r="W17" s="6">
        <v>-0.13</v>
      </c>
    </row>
    <row r="18" spans="1:23" x14ac:dyDescent="0.2">
      <c r="A18" t="s">
        <v>101</v>
      </c>
      <c r="B18" s="6" t="s">
        <v>12</v>
      </c>
      <c r="C18">
        <f>VLOOKUP(B18, $V$13:$W$96, 2, FALSE)</f>
        <v>-0.01</v>
      </c>
      <c r="D18" t="s">
        <v>114</v>
      </c>
      <c r="E18">
        <v>85.800000000000097</v>
      </c>
      <c r="F18">
        <f t="shared" si="0"/>
        <v>-0.85800000000000098</v>
      </c>
      <c r="G18">
        <f>$U$6</f>
        <v>18</v>
      </c>
      <c r="H18">
        <f>F18/G18</f>
        <v>-4.7666666666666718E-2</v>
      </c>
      <c r="I18">
        <f>IF(A18="crop",H18, 0)</f>
        <v>-4.7666666666666718E-2</v>
      </c>
      <c r="J18">
        <f>IF(A18="crop", 0, H18)</f>
        <v>0</v>
      </c>
      <c r="N18">
        <f t="shared" si="1"/>
        <v>1</v>
      </c>
      <c r="Q18">
        <f t="shared" si="2"/>
        <v>-3.0710952380952415E-4</v>
      </c>
      <c r="R18">
        <f t="shared" si="3"/>
        <v>-1.9774857142857165E-4</v>
      </c>
      <c r="V18" s="6" t="s">
        <v>10</v>
      </c>
      <c r="W18" s="6">
        <v>-0.13</v>
      </c>
    </row>
    <row r="19" spans="1:23" x14ac:dyDescent="0.2">
      <c r="A19" t="s">
        <v>101</v>
      </c>
      <c r="B19" s="6" t="s">
        <v>13</v>
      </c>
      <c r="C19">
        <f>VLOOKUP(B19, $V$13:$W$96, 2, FALSE)</f>
        <v>-7.0000000000000007E-2</v>
      </c>
      <c r="D19" t="s">
        <v>114</v>
      </c>
      <c r="E19">
        <v>85.900000000000105</v>
      </c>
      <c r="F19">
        <f t="shared" si="0"/>
        <v>-6.0130000000000079</v>
      </c>
      <c r="G19">
        <f>$U$6</f>
        <v>18</v>
      </c>
      <c r="H19">
        <f>F19/G19</f>
        <v>-0.33405555555555599</v>
      </c>
      <c r="I19">
        <f>IF(A19="crop",H19, 0)</f>
        <v>-0.33405555555555599</v>
      </c>
      <c r="J19">
        <f>IF(A19="crop", 0, H19)</f>
        <v>0</v>
      </c>
      <c r="N19">
        <f t="shared" si="1"/>
        <v>1</v>
      </c>
      <c r="Q19">
        <f t="shared" si="2"/>
        <v>-2.1522722222222252E-3</v>
      </c>
      <c r="R19">
        <f t="shared" si="3"/>
        <v>-1.3858533333333347E-3</v>
      </c>
      <c r="V19" s="6" t="s">
        <v>11</v>
      </c>
      <c r="W19" s="6">
        <v>-0.55000000000000004</v>
      </c>
    </row>
    <row r="20" spans="1:23" x14ac:dyDescent="0.2">
      <c r="A20" t="s">
        <v>101</v>
      </c>
      <c r="B20" s="6" t="s">
        <v>14</v>
      </c>
      <c r="C20">
        <f>VLOOKUP(B20, $V$13:$W$96, 2, FALSE)</f>
        <v>-0.06</v>
      </c>
      <c r="D20" t="s">
        <v>114</v>
      </c>
      <c r="E20">
        <v>86.000000000000099</v>
      </c>
      <c r="F20">
        <f t="shared" si="0"/>
        <v>-5.1600000000000055</v>
      </c>
      <c r="G20">
        <f>$U$6</f>
        <v>18</v>
      </c>
      <c r="H20">
        <f>F20/G20</f>
        <v>-0.28666666666666696</v>
      </c>
      <c r="I20">
        <f>IF(A20="crop",H20, 0)</f>
        <v>-0.28666666666666696</v>
      </c>
      <c r="J20">
        <f>IF(A20="crop", 0, H20)</f>
        <v>0</v>
      </c>
      <c r="N20">
        <f t="shared" si="1"/>
        <v>1</v>
      </c>
      <c r="Q20">
        <f t="shared" si="2"/>
        <v>-1.8469523809523829E-3</v>
      </c>
      <c r="R20">
        <f t="shared" si="3"/>
        <v>-1.1892571428571441E-3</v>
      </c>
      <c r="V20" s="6" t="s">
        <v>12</v>
      </c>
      <c r="W20" s="6">
        <v>-0.01</v>
      </c>
    </row>
    <row r="21" spans="1:23" x14ac:dyDescent="0.2">
      <c r="A21" t="s">
        <v>101</v>
      </c>
      <c r="B21" s="6" t="s">
        <v>15</v>
      </c>
      <c r="C21">
        <f>VLOOKUP(B21, $V$13:$W$96, 2, FALSE)</f>
        <v>-0.09</v>
      </c>
      <c r="D21" t="s">
        <v>114</v>
      </c>
      <c r="E21">
        <v>86.100000000000094</v>
      </c>
      <c r="F21">
        <f t="shared" si="0"/>
        <v>-7.7490000000000085</v>
      </c>
      <c r="G21">
        <f>$U$6</f>
        <v>18</v>
      </c>
      <c r="H21">
        <f>F21/G21</f>
        <v>-0.43050000000000049</v>
      </c>
      <c r="I21">
        <f>IF(A21="crop",H21, 0)</f>
        <v>-0.43050000000000049</v>
      </c>
      <c r="J21">
        <f>IF(A21="crop", 0, H21)</f>
        <v>0</v>
      </c>
      <c r="N21">
        <f t="shared" si="1"/>
        <v>1</v>
      </c>
      <c r="Q21">
        <f t="shared" si="2"/>
        <v>-2.7736500000000034E-3</v>
      </c>
      <c r="R21">
        <f t="shared" si="3"/>
        <v>-1.785960000000002E-3</v>
      </c>
      <c r="V21" s="6" t="s">
        <v>13</v>
      </c>
      <c r="W21" s="6">
        <v>-7.0000000000000007E-2</v>
      </c>
    </row>
    <row r="22" spans="1:23" x14ac:dyDescent="0.2">
      <c r="A22" t="s">
        <v>101</v>
      </c>
      <c r="B22" s="6" t="s">
        <v>16</v>
      </c>
      <c r="C22">
        <f>VLOOKUP(B22, $V$13:$W$96, 2, FALSE)</f>
        <v>-0.19</v>
      </c>
      <c r="D22" t="s">
        <v>114</v>
      </c>
      <c r="E22">
        <v>86.200000000000102</v>
      </c>
      <c r="F22">
        <f t="shared" si="0"/>
        <v>-16.378000000000018</v>
      </c>
      <c r="G22">
        <f>$U$6</f>
        <v>18</v>
      </c>
      <c r="H22">
        <f>F22/G22</f>
        <v>-0.90988888888888986</v>
      </c>
      <c r="I22">
        <f>IF(A22="crop",H22, 0)</f>
        <v>-0.90988888888888986</v>
      </c>
      <c r="J22">
        <f>IF(A22="crop", 0, H22)</f>
        <v>0</v>
      </c>
      <c r="N22">
        <f t="shared" si="1"/>
        <v>1</v>
      </c>
      <c r="Q22">
        <f t="shared" si="2"/>
        <v>-5.8622841269841339E-3</v>
      </c>
      <c r="R22">
        <f t="shared" si="3"/>
        <v>-3.7747390476190515E-3</v>
      </c>
      <c r="V22" s="6" t="s">
        <v>14</v>
      </c>
      <c r="W22" s="6">
        <v>-0.06</v>
      </c>
    </row>
    <row r="23" spans="1:23" x14ac:dyDescent="0.2">
      <c r="A23" t="s">
        <v>101</v>
      </c>
      <c r="B23" s="6" t="s">
        <v>17</v>
      </c>
      <c r="C23">
        <f>VLOOKUP(B23, $V$13:$W$96, 2, FALSE)</f>
        <v>-0.13</v>
      </c>
      <c r="D23" t="s">
        <v>114</v>
      </c>
      <c r="E23">
        <v>86.300000000000097</v>
      </c>
      <c r="F23">
        <f t="shared" si="0"/>
        <v>-11.219000000000014</v>
      </c>
      <c r="G23">
        <f>$U$6</f>
        <v>18</v>
      </c>
      <c r="H23">
        <f>F23/G23</f>
        <v>-0.62327777777777849</v>
      </c>
      <c r="I23">
        <f>IF(A23="crop",H23, 0)</f>
        <v>-0.62327777777777849</v>
      </c>
      <c r="J23">
        <f>IF(A23="crop", 0, H23)</f>
        <v>0</v>
      </c>
      <c r="N23">
        <f t="shared" si="1"/>
        <v>1</v>
      </c>
      <c r="Q23">
        <f t="shared" si="2"/>
        <v>-4.0156896825396873E-3</v>
      </c>
      <c r="R23">
        <f t="shared" si="3"/>
        <v>-2.5857123809523838E-3</v>
      </c>
      <c r="V23" s="6" t="s">
        <v>15</v>
      </c>
      <c r="W23" s="6">
        <v>-0.09</v>
      </c>
    </row>
    <row r="24" spans="1:23" x14ac:dyDescent="0.2">
      <c r="A24" t="s">
        <v>101</v>
      </c>
      <c r="B24" s="6" t="s">
        <v>18</v>
      </c>
      <c r="C24">
        <f>VLOOKUP(B24, $V$13:$W$96, 2, FALSE)</f>
        <v>-0.04</v>
      </c>
      <c r="D24" t="s">
        <v>114</v>
      </c>
      <c r="E24">
        <v>86.400000000000105</v>
      </c>
      <c r="F24">
        <f t="shared" si="0"/>
        <v>-3.4560000000000044</v>
      </c>
      <c r="G24">
        <f>$U$6</f>
        <v>18</v>
      </c>
      <c r="H24">
        <f>F24/G24</f>
        <v>-0.19200000000000025</v>
      </c>
      <c r="I24">
        <f>IF(A24="crop",H24, 0)</f>
        <v>-0.19200000000000025</v>
      </c>
      <c r="J24">
        <f>IF(A24="crop", 0, H24)</f>
        <v>0</v>
      </c>
      <c r="N24">
        <f t="shared" si="1"/>
        <v>1</v>
      </c>
      <c r="Q24">
        <f t="shared" si="2"/>
        <v>-1.2370285714285731E-3</v>
      </c>
      <c r="R24">
        <f t="shared" si="3"/>
        <v>-7.9652571428571518E-4</v>
      </c>
      <c r="V24" s="6" t="s">
        <v>16</v>
      </c>
      <c r="W24" s="6">
        <v>-0.19</v>
      </c>
    </row>
    <row r="25" spans="1:23" x14ac:dyDescent="0.2">
      <c r="A25" t="s">
        <v>101</v>
      </c>
      <c r="B25" s="6" t="s">
        <v>19</v>
      </c>
      <c r="C25">
        <f>VLOOKUP(B25, $V$13:$W$96, 2, FALSE)</f>
        <v>-0.4</v>
      </c>
      <c r="D25" t="s">
        <v>114</v>
      </c>
      <c r="E25">
        <v>86.500000000000099</v>
      </c>
      <c r="F25">
        <f t="shared" si="0"/>
        <v>-34.600000000000044</v>
      </c>
      <c r="G25">
        <f>$U$6</f>
        <v>18</v>
      </c>
      <c r="H25">
        <f>F25/G25</f>
        <v>-1.9222222222222247</v>
      </c>
      <c r="I25">
        <f>IF(A25="crop",H25, 0)</f>
        <v>-1.9222222222222247</v>
      </c>
      <c r="J25">
        <f>IF(A25="crop", 0, H25)</f>
        <v>0</v>
      </c>
      <c r="N25">
        <f t="shared" si="1"/>
        <v>1</v>
      </c>
      <c r="Q25">
        <f t="shared" si="2"/>
        <v>-1.2384603174603191E-2</v>
      </c>
      <c r="R25">
        <f t="shared" si="3"/>
        <v>-7.9744761904762002E-3</v>
      </c>
      <c r="V25" s="6" t="s">
        <v>17</v>
      </c>
      <c r="W25" s="6">
        <v>-0.13</v>
      </c>
    </row>
    <row r="26" spans="1:23" x14ac:dyDescent="0.2">
      <c r="A26" t="s">
        <v>101</v>
      </c>
      <c r="B26" s="6" t="s">
        <v>20</v>
      </c>
      <c r="C26">
        <f>VLOOKUP(B26, $V$13:$W$96, 2, FALSE)</f>
        <v>-0.09</v>
      </c>
      <c r="D26" t="s">
        <v>114</v>
      </c>
      <c r="E26">
        <v>86.600000000000094</v>
      </c>
      <c r="F26">
        <f t="shared" si="0"/>
        <v>-7.7940000000000085</v>
      </c>
      <c r="G26">
        <f>$U$6</f>
        <v>18</v>
      </c>
      <c r="H26">
        <f>F26/G26</f>
        <v>-0.4330000000000005</v>
      </c>
      <c r="I26">
        <f>IF(A26="crop",H26, 0)</f>
        <v>-0.4330000000000005</v>
      </c>
      <c r="J26">
        <f>IF(A26="crop", 0, H26)</f>
        <v>0</v>
      </c>
      <c r="N26">
        <f t="shared" si="1"/>
        <v>1</v>
      </c>
      <c r="Q26">
        <f t="shared" si="2"/>
        <v>-2.7897571428571462E-3</v>
      </c>
      <c r="R26">
        <f t="shared" si="3"/>
        <v>-1.7963314285714303E-3</v>
      </c>
      <c r="V26" s="6" t="s">
        <v>18</v>
      </c>
      <c r="W26" s="6">
        <v>-0.04</v>
      </c>
    </row>
    <row r="27" spans="1:23" x14ac:dyDescent="0.2">
      <c r="A27" t="s">
        <v>101</v>
      </c>
      <c r="B27" s="6" t="s">
        <v>21</v>
      </c>
      <c r="C27">
        <f>VLOOKUP(B27, $V$13:$W$96, 2, FALSE)</f>
        <v>0</v>
      </c>
      <c r="D27" t="s">
        <v>114</v>
      </c>
      <c r="E27">
        <v>86.700000000000102</v>
      </c>
      <c r="F27">
        <f t="shared" si="0"/>
        <v>0</v>
      </c>
      <c r="G27">
        <f>$U$6</f>
        <v>18</v>
      </c>
      <c r="H27">
        <f>F27/G27</f>
        <v>0</v>
      </c>
      <c r="I27">
        <f>IF(A27="crop",H27, 0)</f>
        <v>0</v>
      </c>
      <c r="J27">
        <f>IF(A27="crop", 0, H27)</f>
        <v>0</v>
      </c>
      <c r="N27">
        <f t="shared" si="1"/>
        <v>1</v>
      </c>
      <c r="Q27">
        <f t="shared" si="2"/>
        <v>0</v>
      </c>
      <c r="R27">
        <f t="shared" si="3"/>
        <v>0</v>
      </c>
      <c r="V27" s="6" t="s">
        <v>19</v>
      </c>
      <c r="W27" s="6">
        <v>-0.4</v>
      </c>
    </row>
    <row r="28" spans="1:23" x14ac:dyDescent="0.2">
      <c r="A28" t="s">
        <v>101</v>
      </c>
      <c r="B28" s="6" t="s">
        <v>22</v>
      </c>
      <c r="C28">
        <f>VLOOKUP(B28, $V$13:$W$96, 2, FALSE)</f>
        <v>-0.44</v>
      </c>
      <c r="D28" t="s">
        <v>114</v>
      </c>
      <c r="E28">
        <v>86.800000000000097</v>
      </c>
      <c r="F28">
        <f t="shared" si="0"/>
        <v>-38.192000000000043</v>
      </c>
      <c r="G28">
        <f>$U$6</f>
        <v>18</v>
      </c>
      <c r="H28">
        <f>F28/G28</f>
        <v>-2.1217777777777802</v>
      </c>
      <c r="I28">
        <f>IF(A28="crop",H28, 0)</f>
        <v>-2.1217777777777802</v>
      </c>
      <c r="J28">
        <f>IF(A28="crop", 0, H28)</f>
        <v>0</v>
      </c>
      <c r="N28">
        <f t="shared" si="1"/>
        <v>1</v>
      </c>
      <c r="Q28">
        <f t="shared" si="2"/>
        <v>-1.3670311111111128E-2</v>
      </c>
      <c r="R28">
        <f t="shared" si="3"/>
        <v>-8.8023466666666775E-3</v>
      </c>
      <c r="V28" s="6" t="s">
        <v>20</v>
      </c>
      <c r="W28" s="6">
        <v>-0.09</v>
      </c>
    </row>
    <row r="29" spans="1:23" x14ac:dyDescent="0.2">
      <c r="A29" t="s">
        <v>101</v>
      </c>
      <c r="B29" s="6" t="s">
        <v>23</v>
      </c>
      <c r="C29">
        <f>VLOOKUP(B29, $V$13:$W$96, 2, FALSE)</f>
        <v>-0.21</v>
      </c>
      <c r="D29" t="s">
        <v>114</v>
      </c>
      <c r="E29">
        <v>86.900000000000105</v>
      </c>
      <c r="F29">
        <f t="shared" si="0"/>
        <v>-18.24900000000002</v>
      </c>
      <c r="G29">
        <f>$U$6</f>
        <v>18</v>
      </c>
      <c r="H29">
        <f>F29/G29</f>
        <v>-1.0138333333333345</v>
      </c>
      <c r="I29">
        <f>IF(A29="crop",H29, 0)</f>
        <v>-1.0138333333333345</v>
      </c>
      <c r="J29">
        <f>IF(A29="crop", 0, H29)</f>
        <v>0</v>
      </c>
      <c r="N29">
        <f t="shared" si="1"/>
        <v>1</v>
      </c>
      <c r="Q29">
        <f t="shared" si="2"/>
        <v>-6.5319833333333417E-3</v>
      </c>
      <c r="R29">
        <f t="shared" si="3"/>
        <v>-4.2059600000000042E-3</v>
      </c>
      <c r="V29" s="6" t="s">
        <v>21</v>
      </c>
      <c r="W29" s="6">
        <v>0</v>
      </c>
    </row>
    <row r="30" spans="1:23" x14ac:dyDescent="0.2">
      <c r="A30" t="s">
        <v>101</v>
      </c>
      <c r="B30" s="6" t="s">
        <v>24</v>
      </c>
      <c r="C30">
        <f>VLOOKUP(B30, $V$13:$W$96, 2, FALSE)</f>
        <v>-0.21</v>
      </c>
      <c r="D30" t="s">
        <v>114</v>
      </c>
      <c r="E30">
        <v>87.000000000000199</v>
      </c>
      <c r="F30">
        <f t="shared" si="0"/>
        <v>-18.270000000000042</v>
      </c>
      <c r="G30">
        <f>$U$6</f>
        <v>18</v>
      </c>
      <c r="H30">
        <f>F30/G30</f>
        <v>-1.0150000000000023</v>
      </c>
      <c r="I30">
        <f>IF(A30="crop",H30, 0)</f>
        <v>-1.0150000000000023</v>
      </c>
      <c r="J30">
        <f>IF(A30="crop", 0, H30)</f>
        <v>0</v>
      </c>
      <c r="N30">
        <f t="shared" si="1"/>
        <v>1</v>
      </c>
      <c r="Q30">
        <f t="shared" si="2"/>
        <v>-6.5395000000000149E-3</v>
      </c>
      <c r="R30">
        <f t="shared" si="3"/>
        <v>-4.2108000000000093E-3</v>
      </c>
      <c r="V30" s="6" t="s">
        <v>22</v>
      </c>
      <c r="W30" s="6">
        <v>-0.44</v>
      </c>
    </row>
    <row r="31" spans="1:23" x14ac:dyDescent="0.2">
      <c r="A31" t="s">
        <v>101</v>
      </c>
      <c r="B31" s="6" t="s">
        <v>25</v>
      </c>
      <c r="C31">
        <f>VLOOKUP(B31, $V$13:$W$96, 2, FALSE)</f>
        <v>0</v>
      </c>
      <c r="D31" t="s">
        <v>114</v>
      </c>
      <c r="E31">
        <v>87.100000000000193</v>
      </c>
      <c r="F31">
        <f t="shared" si="0"/>
        <v>0</v>
      </c>
      <c r="G31">
        <f>$U$6</f>
        <v>18</v>
      </c>
      <c r="H31">
        <f>F31/G31</f>
        <v>0</v>
      </c>
      <c r="I31">
        <f>IF(A31="crop",H31, 0)</f>
        <v>0</v>
      </c>
      <c r="J31">
        <f>IF(A31="crop", 0, H31)</f>
        <v>0</v>
      </c>
      <c r="N31">
        <f t="shared" si="1"/>
        <v>1</v>
      </c>
      <c r="Q31">
        <f t="shared" si="2"/>
        <v>0</v>
      </c>
      <c r="R31">
        <f t="shared" si="3"/>
        <v>0</v>
      </c>
      <c r="V31" s="6" t="s">
        <v>23</v>
      </c>
      <c r="W31" s="6">
        <v>-0.21</v>
      </c>
    </row>
    <row r="32" spans="1:23" x14ac:dyDescent="0.2">
      <c r="A32" t="s">
        <v>101</v>
      </c>
      <c r="B32" s="6" t="s">
        <v>26</v>
      </c>
      <c r="C32">
        <f>VLOOKUP(B32, $V$13:$W$96, 2, FALSE)</f>
        <v>-0.04</v>
      </c>
      <c r="D32" t="s">
        <v>114</v>
      </c>
      <c r="E32">
        <v>87.200000000000202</v>
      </c>
      <c r="F32">
        <f t="shared" si="0"/>
        <v>-3.488000000000008</v>
      </c>
      <c r="G32">
        <f>$U$6</f>
        <v>18</v>
      </c>
      <c r="H32">
        <f>F32/G32</f>
        <v>-0.19377777777777822</v>
      </c>
      <c r="I32">
        <f>IF(A32="crop",H32, 0)</f>
        <v>-0.19377777777777822</v>
      </c>
      <c r="J32">
        <f>IF(A32="crop", 0, H32)</f>
        <v>0</v>
      </c>
      <c r="N32">
        <f t="shared" si="1"/>
        <v>1</v>
      </c>
      <c r="Q32">
        <f t="shared" si="2"/>
        <v>-1.2484825396825426E-3</v>
      </c>
      <c r="R32">
        <f t="shared" si="3"/>
        <v>-8.0390095238095413E-4</v>
      </c>
      <c r="V32" s="6" t="s">
        <v>24</v>
      </c>
      <c r="W32" s="6">
        <v>-0.21</v>
      </c>
    </row>
    <row r="33" spans="1:23" x14ac:dyDescent="0.2">
      <c r="A33" t="s">
        <v>101</v>
      </c>
      <c r="B33" s="6" t="s">
        <v>27</v>
      </c>
      <c r="C33">
        <f>VLOOKUP(B33, $V$13:$W$96, 2, FALSE)</f>
        <v>-7.0000000000000007E-2</v>
      </c>
      <c r="D33" t="s">
        <v>114</v>
      </c>
      <c r="E33">
        <v>87.300000000000196</v>
      </c>
      <c r="F33">
        <f t="shared" si="0"/>
        <v>-6.111000000000014</v>
      </c>
      <c r="G33">
        <f>$U$6</f>
        <v>18</v>
      </c>
      <c r="H33">
        <f>F33/G33</f>
        <v>-0.3395000000000008</v>
      </c>
      <c r="I33">
        <f>IF(A33="crop",H33, 0)</f>
        <v>-0.3395000000000008</v>
      </c>
      <c r="J33">
        <f>IF(A33="crop", 0, H33)</f>
        <v>0</v>
      </c>
      <c r="N33">
        <f t="shared" si="1"/>
        <v>1</v>
      </c>
      <c r="Q33">
        <f t="shared" si="2"/>
        <v>-2.187350000000005E-3</v>
      </c>
      <c r="R33">
        <f t="shared" si="3"/>
        <v>-1.4084400000000032E-3</v>
      </c>
      <c r="V33" s="6" t="s">
        <v>25</v>
      </c>
      <c r="W33" s="6">
        <v>0</v>
      </c>
    </row>
    <row r="34" spans="1:23" x14ac:dyDescent="0.2">
      <c r="A34" t="s">
        <v>101</v>
      </c>
      <c r="B34" s="6" t="s">
        <v>28</v>
      </c>
      <c r="C34">
        <f>VLOOKUP(B34, $V$13:$W$96, 2, FALSE)</f>
        <v>-0.04</v>
      </c>
      <c r="D34" t="s">
        <v>114</v>
      </c>
      <c r="E34">
        <v>87.400000000000205</v>
      </c>
      <c r="F34">
        <f t="shared" si="0"/>
        <v>-3.4960000000000084</v>
      </c>
      <c r="G34">
        <f>$U$6</f>
        <v>18</v>
      </c>
      <c r="H34">
        <f>F34/G34</f>
        <v>-0.19422222222222268</v>
      </c>
      <c r="I34">
        <f>IF(A34="crop",H34, 0)</f>
        <v>-0.19422222222222268</v>
      </c>
      <c r="J34">
        <f>IF(A34="crop", 0, H34)</f>
        <v>0</v>
      </c>
      <c r="N34">
        <f t="shared" si="1"/>
        <v>1</v>
      </c>
      <c r="Q34">
        <f t="shared" si="2"/>
        <v>-1.2513460317460348E-3</v>
      </c>
      <c r="R34">
        <f t="shared" si="3"/>
        <v>-8.0574476190476373E-4</v>
      </c>
      <c r="V34" s="6" t="s">
        <v>26</v>
      </c>
      <c r="W34" s="6">
        <v>-0.04</v>
      </c>
    </row>
    <row r="35" spans="1:23" x14ac:dyDescent="0.2">
      <c r="A35" t="s">
        <v>101</v>
      </c>
      <c r="B35" s="6" t="s">
        <v>29</v>
      </c>
      <c r="C35">
        <f>VLOOKUP(B35, $V$13:$W$96, 2, FALSE)</f>
        <v>-0.24</v>
      </c>
      <c r="D35" t="s">
        <v>116</v>
      </c>
      <c r="E35">
        <v>87.500000000000199</v>
      </c>
      <c r="F35">
        <f t="shared" si="0"/>
        <v>-21.000000000000046</v>
      </c>
      <c r="G35">
        <f>$U$6</f>
        <v>18</v>
      </c>
      <c r="H35">
        <f>F35/G35</f>
        <v>-1.1666666666666692</v>
      </c>
      <c r="I35">
        <f>IF(A35="crop",H35, 0)</f>
        <v>-1.1666666666666692</v>
      </c>
      <c r="J35">
        <f>IF(A35="crop", 0, H35)</f>
        <v>0</v>
      </c>
      <c r="N35">
        <f t="shared" si="1"/>
        <v>0</v>
      </c>
      <c r="Q35">
        <f t="shared" si="2"/>
        <v>-7.5166666666666836E-3</v>
      </c>
      <c r="R35">
        <f t="shared" si="3"/>
        <v>0</v>
      </c>
      <c r="V35" s="6" t="s">
        <v>27</v>
      </c>
      <c r="W35" s="6">
        <v>-7.0000000000000007E-2</v>
      </c>
    </row>
    <row r="36" spans="1:23" x14ac:dyDescent="0.2">
      <c r="A36" t="s">
        <v>101</v>
      </c>
      <c r="B36" s="6" t="s">
        <v>30</v>
      </c>
      <c r="C36">
        <f>VLOOKUP(B36, $V$13:$W$96, 2, FALSE)</f>
        <v>-0.17</v>
      </c>
      <c r="D36" t="s">
        <v>116</v>
      </c>
      <c r="E36">
        <v>87.600000000000193</v>
      </c>
      <c r="F36">
        <f t="shared" si="0"/>
        <v>-14.892000000000033</v>
      </c>
      <c r="G36">
        <f>$U$6</f>
        <v>18</v>
      </c>
      <c r="H36">
        <f>F36/G36</f>
        <v>-0.82733333333333514</v>
      </c>
      <c r="I36">
        <f>IF(A36="crop",H36, 0)</f>
        <v>-0.82733333333333514</v>
      </c>
      <c r="J36">
        <f>IF(A36="crop", 0, H36)</f>
        <v>0</v>
      </c>
      <c r="N36">
        <f t="shared" si="1"/>
        <v>0</v>
      </c>
      <c r="Q36">
        <f t="shared" si="2"/>
        <v>-5.3303904761904889E-3</v>
      </c>
      <c r="R36">
        <f t="shared" si="3"/>
        <v>0</v>
      </c>
      <c r="V36" s="6" t="s">
        <v>28</v>
      </c>
      <c r="W36" s="6">
        <v>-0.04</v>
      </c>
    </row>
    <row r="37" spans="1:23" x14ac:dyDescent="0.2">
      <c r="A37" t="s">
        <v>101</v>
      </c>
      <c r="B37" s="6" t="s">
        <v>31</v>
      </c>
      <c r="C37">
        <f>VLOOKUP(B37, $V$13:$W$96, 2, FALSE)</f>
        <v>-0.03</v>
      </c>
      <c r="D37" t="s">
        <v>116</v>
      </c>
      <c r="E37">
        <v>87.700000000000202</v>
      </c>
      <c r="F37">
        <f t="shared" si="0"/>
        <v>-2.631000000000006</v>
      </c>
      <c r="G37">
        <f>$U$6</f>
        <v>18</v>
      </c>
      <c r="H37">
        <f>F37/G37</f>
        <v>-0.146166666666667</v>
      </c>
      <c r="I37">
        <f>IF(A37="crop",H37, 0)</f>
        <v>-0.146166666666667</v>
      </c>
      <c r="J37">
        <f>IF(A37="crop", 0, H37)</f>
        <v>0</v>
      </c>
      <c r="N37">
        <f t="shared" si="1"/>
        <v>0</v>
      </c>
      <c r="Q37">
        <f t="shared" si="2"/>
        <v>-9.4173095238095459E-4</v>
      </c>
      <c r="R37">
        <f t="shared" si="3"/>
        <v>0</v>
      </c>
      <c r="V37" s="6" t="s">
        <v>29</v>
      </c>
      <c r="W37" s="6">
        <v>-0.24</v>
      </c>
    </row>
    <row r="38" spans="1:23" x14ac:dyDescent="0.2">
      <c r="A38" t="s">
        <v>101</v>
      </c>
      <c r="B38" s="6" t="s">
        <v>32</v>
      </c>
      <c r="C38">
        <f>VLOOKUP(B38, $V$13:$W$96, 2, FALSE)</f>
        <v>-0.02</v>
      </c>
      <c r="D38" t="s">
        <v>116</v>
      </c>
      <c r="E38">
        <v>87.800000000000196</v>
      </c>
      <c r="F38">
        <f t="shared" si="0"/>
        <v>-1.756000000000004</v>
      </c>
      <c r="G38">
        <f>$U$6</f>
        <v>18</v>
      </c>
      <c r="H38">
        <f>F38/G38</f>
        <v>-9.7555555555555784E-2</v>
      </c>
      <c r="I38">
        <f>IF(A38="crop",H38, 0)</f>
        <v>-9.7555555555555784E-2</v>
      </c>
      <c r="J38">
        <f>IF(A38="crop", 0, H38)</f>
        <v>0</v>
      </c>
      <c r="N38">
        <f t="shared" si="1"/>
        <v>0</v>
      </c>
      <c r="Q38">
        <f t="shared" si="2"/>
        <v>-6.2853650793650944E-4</v>
      </c>
      <c r="R38">
        <f t="shared" si="3"/>
        <v>0</v>
      </c>
      <c r="V38" s="6" t="s">
        <v>30</v>
      </c>
      <c r="W38" s="6">
        <v>-0.17</v>
      </c>
    </row>
    <row r="39" spans="1:23" x14ac:dyDescent="0.2">
      <c r="A39" t="s">
        <v>101</v>
      </c>
      <c r="B39" s="6" t="s">
        <v>33</v>
      </c>
      <c r="C39">
        <f>VLOOKUP(B39, $V$13:$W$96, 2, FALSE)</f>
        <v>-0.43</v>
      </c>
      <c r="D39" t="s">
        <v>116</v>
      </c>
      <c r="E39">
        <v>87.900000000000205</v>
      </c>
      <c r="F39">
        <f t="shared" si="0"/>
        <v>-37.797000000000089</v>
      </c>
      <c r="G39">
        <f>$U$6</f>
        <v>18</v>
      </c>
      <c r="H39">
        <f>F39/G39</f>
        <v>-2.0998333333333381</v>
      </c>
      <c r="I39">
        <f>IF(A39="crop",H39, 0)</f>
        <v>-2.0998333333333381</v>
      </c>
      <c r="J39">
        <f>IF(A39="crop", 0, H39)</f>
        <v>0</v>
      </c>
      <c r="N39">
        <f t="shared" si="1"/>
        <v>0</v>
      </c>
      <c r="Q39">
        <f t="shared" si="2"/>
        <v>-1.3528926190476223E-2</v>
      </c>
      <c r="R39">
        <f t="shared" si="3"/>
        <v>0</v>
      </c>
      <c r="V39" s="6" t="s">
        <v>31</v>
      </c>
      <c r="W39" s="6">
        <v>-0.03</v>
      </c>
    </row>
    <row r="40" spans="1:23" x14ac:dyDescent="0.2">
      <c r="A40" t="s">
        <v>101</v>
      </c>
      <c r="B40" s="6" t="s">
        <v>34</v>
      </c>
      <c r="C40">
        <f>VLOOKUP(B40, $V$13:$W$96, 2, FALSE)</f>
        <v>-0.14000000000000001</v>
      </c>
      <c r="D40" t="s">
        <v>116</v>
      </c>
      <c r="E40">
        <v>88.000000000000199</v>
      </c>
      <c r="F40">
        <f t="shared" si="0"/>
        <v>-12.320000000000029</v>
      </c>
      <c r="G40">
        <f>$U$6</f>
        <v>18</v>
      </c>
      <c r="H40">
        <f>F40/G40</f>
        <v>-0.68444444444444608</v>
      </c>
      <c r="I40">
        <f>IF(A40="crop",H40, 0)</f>
        <v>-0.68444444444444608</v>
      </c>
      <c r="J40">
        <f>IF(A40="crop", 0, H40)</f>
        <v>0</v>
      </c>
      <c r="N40">
        <f t="shared" si="1"/>
        <v>0</v>
      </c>
      <c r="Q40">
        <f t="shared" si="2"/>
        <v>-4.4097777777777885E-3</v>
      </c>
      <c r="R40">
        <f t="shared" si="3"/>
        <v>0</v>
      </c>
      <c r="V40" s="6" t="s">
        <v>32</v>
      </c>
      <c r="W40" s="6">
        <v>-0.02</v>
      </c>
    </row>
    <row r="41" spans="1:23" x14ac:dyDescent="0.2">
      <c r="A41" t="s">
        <v>101</v>
      </c>
      <c r="B41" s="6" t="s">
        <v>35</v>
      </c>
      <c r="C41">
        <f>VLOOKUP(B41, $V$13:$W$96, 2, FALSE)</f>
        <v>0</v>
      </c>
      <c r="D41" t="s">
        <v>116</v>
      </c>
      <c r="E41">
        <v>88.100000000000307</v>
      </c>
      <c r="F41">
        <f t="shared" si="0"/>
        <v>0</v>
      </c>
      <c r="G41">
        <f>$U$6</f>
        <v>18</v>
      </c>
      <c r="H41">
        <f>F41/G41</f>
        <v>0</v>
      </c>
      <c r="I41">
        <f>IF(A41="crop",H41, 0)</f>
        <v>0</v>
      </c>
      <c r="J41">
        <f>IF(A41="crop", 0, H41)</f>
        <v>0</v>
      </c>
      <c r="N41">
        <f t="shared" si="1"/>
        <v>0</v>
      </c>
      <c r="Q41">
        <f t="shared" si="2"/>
        <v>0</v>
      </c>
      <c r="R41">
        <f t="shared" si="3"/>
        <v>0</v>
      </c>
      <c r="V41" s="6" t="s">
        <v>33</v>
      </c>
      <c r="W41" s="6">
        <v>-0.43</v>
      </c>
    </row>
    <row r="42" spans="1:23" x14ac:dyDescent="0.2">
      <c r="A42" t="s">
        <v>101</v>
      </c>
      <c r="B42" s="6" t="s">
        <v>36</v>
      </c>
      <c r="C42">
        <f>VLOOKUP(B42, $V$13:$W$96, 2, FALSE)</f>
        <v>-0.12</v>
      </c>
      <c r="D42" t="s">
        <v>116</v>
      </c>
      <c r="E42">
        <v>88.200000000000301</v>
      </c>
      <c r="F42">
        <f t="shared" si="0"/>
        <v>-10.584000000000035</v>
      </c>
      <c r="G42">
        <f>$U$6</f>
        <v>18</v>
      </c>
      <c r="H42">
        <f>F42/G42</f>
        <v>-0.58800000000000197</v>
      </c>
      <c r="I42">
        <f>IF(A42="crop",H42, 0)</f>
        <v>-0.58800000000000197</v>
      </c>
      <c r="J42">
        <f>IF(A42="crop", 0, H42)</f>
        <v>0</v>
      </c>
      <c r="N42">
        <f t="shared" si="1"/>
        <v>0</v>
      </c>
      <c r="Q42">
        <f t="shared" si="2"/>
        <v>-3.7884000000000125E-3</v>
      </c>
      <c r="R42">
        <f t="shared" si="3"/>
        <v>0</v>
      </c>
      <c r="V42" s="6" t="s">
        <v>34</v>
      </c>
      <c r="W42" s="6">
        <v>-0.14000000000000001</v>
      </c>
    </row>
    <row r="43" spans="1:23" x14ac:dyDescent="0.2">
      <c r="A43" t="s">
        <v>101</v>
      </c>
      <c r="B43" s="6" t="s">
        <v>37</v>
      </c>
      <c r="C43">
        <f>VLOOKUP(B43, $V$13:$W$96, 2, FALSE)</f>
        <v>-0.13</v>
      </c>
      <c r="D43" t="s">
        <v>116</v>
      </c>
      <c r="E43">
        <v>88.300000000000296</v>
      </c>
      <c r="F43">
        <f t="shared" si="0"/>
        <v>-11.479000000000038</v>
      </c>
      <c r="G43">
        <f>$U$6</f>
        <v>18</v>
      </c>
      <c r="H43">
        <f>F43/G43</f>
        <v>-0.6377222222222243</v>
      </c>
      <c r="I43">
        <f>IF(A43="crop",H43, 0)</f>
        <v>-0.6377222222222243</v>
      </c>
      <c r="J43">
        <f>IF(A43="crop", 0, H43)</f>
        <v>0</v>
      </c>
      <c r="N43">
        <f t="shared" si="1"/>
        <v>0</v>
      </c>
      <c r="Q43">
        <f t="shared" si="2"/>
        <v>-4.1087531746031884E-3</v>
      </c>
      <c r="R43">
        <f t="shared" si="3"/>
        <v>0</v>
      </c>
      <c r="V43" s="6" t="s">
        <v>35</v>
      </c>
      <c r="W43" s="6">
        <v>0</v>
      </c>
    </row>
    <row r="44" spans="1:23" x14ac:dyDescent="0.2">
      <c r="A44" t="s">
        <v>101</v>
      </c>
      <c r="B44" s="6" t="s">
        <v>38</v>
      </c>
      <c r="C44">
        <f>VLOOKUP(B44, $V$13:$W$96, 2, FALSE)</f>
        <v>-0.16</v>
      </c>
      <c r="D44" t="s">
        <v>116</v>
      </c>
      <c r="E44">
        <v>88.400000000000304</v>
      </c>
      <c r="F44">
        <f t="shared" si="0"/>
        <v>-14.144000000000048</v>
      </c>
      <c r="G44">
        <f>$U$6</f>
        <v>18</v>
      </c>
      <c r="H44">
        <f>F44/G44</f>
        <v>-0.78577777777778046</v>
      </c>
      <c r="I44">
        <f>IF(A44="crop",H44, 0)</f>
        <v>-0.78577777777778046</v>
      </c>
      <c r="J44">
        <f>IF(A44="crop", 0, H44)</f>
        <v>0</v>
      </c>
      <c r="N44">
        <f t="shared" si="1"/>
        <v>0</v>
      </c>
      <c r="Q44">
        <f t="shared" si="2"/>
        <v>-5.062653968253986E-3</v>
      </c>
      <c r="R44">
        <f t="shared" si="3"/>
        <v>0</v>
      </c>
      <c r="V44" s="6" t="s">
        <v>36</v>
      </c>
      <c r="W44" s="6">
        <v>-0.12</v>
      </c>
    </row>
    <row r="45" spans="1:23" x14ac:dyDescent="0.2">
      <c r="A45" t="s">
        <v>101</v>
      </c>
      <c r="B45" s="6" t="s">
        <v>39</v>
      </c>
      <c r="C45">
        <f>VLOOKUP(B45, $V$13:$W$96, 2, FALSE)</f>
        <v>-0.09</v>
      </c>
      <c r="D45" t="s">
        <v>116</v>
      </c>
      <c r="E45">
        <v>88.500000000000298</v>
      </c>
      <c r="F45">
        <f t="shared" si="0"/>
        <v>-7.9650000000000265</v>
      </c>
      <c r="G45">
        <f>$U$6</f>
        <v>18</v>
      </c>
      <c r="H45">
        <f>F45/G45</f>
        <v>-0.44250000000000145</v>
      </c>
      <c r="I45">
        <f>IF(A45="crop",H45, 0)</f>
        <v>-0.44250000000000145</v>
      </c>
      <c r="J45">
        <f>IF(A45="crop", 0, H45)</f>
        <v>0</v>
      </c>
      <c r="N45">
        <f t="shared" si="1"/>
        <v>0</v>
      </c>
      <c r="Q45">
        <f t="shared" si="2"/>
        <v>-2.8509642857142952E-3</v>
      </c>
      <c r="R45">
        <f t="shared" si="3"/>
        <v>0</v>
      </c>
      <c r="V45" s="6" t="s">
        <v>37</v>
      </c>
      <c r="W45" s="6">
        <v>-0.13</v>
      </c>
    </row>
    <row r="46" spans="1:23" x14ac:dyDescent="0.2">
      <c r="A46" t="s">
        <v>101</v>
      </c>
      <c r="B46" s="6" t="s">
        <v>40</v>
      </c>
      <c r="C46">
        <f>VLOOKUP(B46, $V$13:$W$96, 2, FALSE)</f>
        <v>0</v>
      </c>
      <c r="D46" t="s">
        <v>116</v>
      </c>
      <c r="E46">
        <v>88.600000000000307</v>
      </c>
      <c r="F46">
        <f t="shared" si="0"/>
        <v>0</v>
      </c>
      <c r="G46">
        <f>$U$6</f>
        <v>18</v>
      </c>
      <c r="H46">
        <f>F46/G46</f>
        <v>0</v>
      </c>
      <c r="I46">
        <f>IF(A46="crop",H46, 0)</f>
        <v>0</v>
      </c>
      <c r="J46">
        <f>IF(A46="crop", 0, H46)</f>
        <v>0</v>
      </c>
      <c r="N46">
        <f t="shared" si="1"/>
        <v>0</v>
      </c>
      <c r="Q46">
        <f t="shared" si="2"/>
        <v>0</v>
      </c>
      <c r="R46">
        <f t="shared" si="3"/>
        <v>0</v>
      </c>
      <c r="V46" s="6" t="s">
        <v>38</v>
      </c>
      <c r="W46" s="6">
        <v>-0.16</v>
      </c>
    </row>
    <row r="47" spans="1:23" x14ac:dyDescent="0.2">
      <c r="A47" t="s">
        <v>101</v>
      </c>
      <c r="B47" s="6" t="s">
        <v>41</v>
      </c>
      <c r="C47">
        <f>VLOOKUP(B47, $V$13:$W$96, 2, FALSE)</f>
        <v>-0.04</v>
      </c>
      <c r="D47" t="s">
        <v>116</v>
      </c>
      <c r="E47">
        <v>88.700000000000301</v>
      </c>
      <c r="F47">
        <f t="shared" si="0"/>
        <v>-3.548000000000012</v>
      </c>
      <c r="G47">
        <f>$U$6</f>
        <v>18</v>
      </c>
      <c r="H47">
        <f>F47/G47</f>
        <v>-0.19711111111111179</v>
      </c>
      <c r="I47">
        <f>IF(A47="crop",H47, 0)</f>
        <v>-0.19711111111111179</v>
      </c>
      <c r="J47">
        <f>IF(A47="crop", 0, H47)</f>
        <v>0</v>
      </c>
      <c r="N47">
        <f t="shared" si="1"/>
        <v>0</v>
      </c>
      <c r="Q47">
        <f t="shared" si="2"/>
        <v>-1.2699587301587348E-3</v>
      </c>
      <c r="R47">
        <f t="shared" si="3"/>
        <v>0</v>
      </c>
      <c r="V47" s="6" t="s">
        <v>39</v>
      </c>
      <c r="W47" s="6">
        <v>-0.09</v>
      </c>
    </row>
    <row r="48" spans="1:23" x14ac:dyDescent="0.2">
      <c r="A48" t="s">
        <v>101</v>
      </c>
      <c r="B48" s="6" t="s">
        <v>42</v>
      </c>
      <c r="C48">
        <f>VLOOKUP(B48, $V$13:$W$96, 2, FALSE)</f>
        <v>-0.03</v>
      </c>
      <c r="D48" t="s">
        <v>116</v>
      </c>
      <c r="E48">
        <v>88.800000000000296</v>
      </c>
      <c r="F48">
        <f t="shared" si="0"/>
        <v>-2.6640000000000086</v>
      </c>
      <c r="G48">
        <f>$U$6</f>
        <v>18</v>
      </c>
      <c r="H48">
        <f>F48/G48</f>
        <v>-0.14800000000000046</v>
      </c>
      <c r="I48">
        <f>IF(A48="crop",H48, 0)</f>
        <v>-0.14800000000000046</v>
      </c>
      <c r="J48">
        <f>IF(A48="crop", 0, H48)</f>
        <v>0</v>
      </c>
      <c r="N48">
        <f t="shared" si="1"/>
        <v>0</v>
      </c>
      <c r="Q48">
        <f t="shared" si="2"/>
        <v>-9.535428571428602E-4</v>
      </c>
      <c r="R48">
        <f t="shared" si="3"/>
        <v>0</v>
      </c>
      <c r="V48" s="6" t="s">
        <v>40</v>
      </c>
      <c r="W48" s="6">
        <v>0</v>
      </c>
    </row>
    <row r="49" spans="1:23" x14ac:dyDescent="0.2">
      <c r="A49" t="s">
        <v>101</v>
      </c>
      <c r="B49" s="6" t="s">
        <v>43</v>
      </c>
      <c r="C49">
        <f>VLOOKUP(B49, $V$13:$W$96, 2, FALSE)</f>
        <v>-0.14000000000000001</v>
      </c>
      <c r="D49" t="s">
        <v>116</v>
      </c>
      <c r="E49">
        <v>88.900000000000304</v>
      </c>
      <c r="F49">
        <f t="shared" si="0"/>
        <v>-12.446000000000044</v>
      </c>
      <c r="G49">
        <f>$U$6</f>
        <v>18</v>
      </c>
      <c r="H49">
        <f>F49/G49</f>
        <v>-0.69144444444444686</v>
      </c>
      <c r="I49">
        <f>IF(A49="crop",H49, 0)</f>
        <v>-0.69144444444444686</v>
      </c>
      <c r="J49">
        <f>IF(A49="crop", 0, H49)</f>
        <v>0</v>
      </c>
      <c r="N49">
        <f t="shared" si="1"/>
        <v>0</v>
      </c>
      <c r="Q49">
        <f t="shared" si="2"/>
        <v>-4.4548777777777939E-3</v>
      </c>
      <c r="R49">
        <f t="shared" si="3"/>
        <v>0</v>
      </c>
      <c r="V49" s="6" t="s">
        <v>41</v>
      </c>
      <c r="W49" s="6">
        <v>-0.04</v>
      </c>
    </row>
    <row r="50" spans="1:23" x14ac:dyDescent="0.2">
      <c r="A50" t="s">
        <v>101</v>
      </c>
      <c r="B50" s="6" t="s">
        <v>44</v>
      </c>
      <c r="C50">
        <f>VLOOKUP(B50, $V$13:$W$96, 2, FALSE)</f>
        <v>-0.31</v>
      </c>
      <c r="D50" t="s">
        <v>116</v>
      </c>
      <c r="E50">
        <v>89.000000000000298</v>
      </c>
      <c r="F50">
        <f t="shared" si="0"/>
        <v>-27.590000000000092</v>
      </c>
      <c r="G50">
        <f>$U$6</f>
        <v>18</v>
      </c>
      <c r="H50">
        <f>F50/G50</f>
        <v>-1.5327777777777829</v>
      </c>
      <c r="I50">
        <f>IF(A50="crop",H50, 0)</f>
        <v>-1.5327777777777829</v>
      </c>
      <c r="J50">
        <f>IF(A50="crop", 0, H50)</f>
        <v>0</v>
      </c>
      <c r="N50">
        <f t="shared" si="1"/>
        <v>0</v>
      </c>
      <c r="Q50">
        <f t="shared" si="2"/>
        <v>-9.8754682539682875E-3</v>
      </c>
      <c r="R50">
        <f t="shared" si="3"/>
        <v>0</v>
      </c>
      <c r="V50" s="6" t="s">
        <v>42</v>
      </c>
      <c r="W50" s="6">
        <v>-0.03</v>
      </c>
    </row>
    <row r="51" spans="1:23" x14ac:dyDescent="0.2">
      <c r="A51" t="s">
        <v>101</v>
      </c>
      <c r="B51" s="6" t="s">
        <v>45</v>
      </c>
      <c r="C51">
        <f>VLOOKUP(B51, $V$13:$W$96, 2, FALSE)</f>
        <v>-0.23</v>
      </c>
      <c r="D51" t="s">
        <v>116</v>
      </c>
      <c r="E51">
        <v>89.100000000000307</v>
      </c>
      <c r="F51">
        <f t="shared" si="0"/>
        <v>-20.493000000000073</v>
      </c>
      <c r="G51">
        <f>$U$6</f>
        <v>18</v>
      </c>
      <c r="H51">
        <f>F51/G51</f>
        <v>-1.1385000000000041</v>
      </c>
      <c r="I51">
        <f>IF(A51="crop",H51, 0)</f>
        <v>-1.1385000000000041</v>
      </c>
      <c r="J51">
        <f>IF(A51="crop", 0, H51)</f>
        <v>0</v>
      </c>
      <c r="N51">
        <f t="shared" si="1"/>
        <v>0</v>
      </c>
      <c r="Q51">
        <f t="shared" si="2"/>
        <v>-7.3351928571428835E-3</v>
      </c>
      <c r="R51">
        <f t="shared" si="3"/>
        <v>0</v>
      </c>
      <c r="V51" s="6" t="s">
        <v>43</v>
      </c>
      <c r="W51" s="6">
        <v>-0.14000000000000001</v>
      </c>
    </row>
    <row r="52" spans="1:23" x14ac:dyDescent="0.2">
      <c r="A52" t="s">
        <v>101</v>
      </c>
      <c r="B52" s="6" t="s">
        <v>46</v>
      </c>
      <c r="C52">
        <f>VLOOKUP(B52, $V$13:$W$96, 2, FALSE)</f>
        <v>-0.17</v>
      </c>
      <c r="D52" t="s">
        <v>116</v>
      </c>
      <c r="E52">
        <v>89.200000000000301</v>
      </c>
      <c r="F52">
        <f t="shared" si="0"/>
        <v>-15.164000000000053</v>
      </c>
      <c r="G52">
        <f>$U$6</f>
        <v>18</v>
      </c>
      <c r="H52">
        <f>F52/G52</f>
        <v>-0.84244444444444744</v>
      </c>
      <c r="I52">
        <f>IF(A52="crop",H52, 0)</f>
        <v>-0.84244444444444744</v>
      </c>
      <c r="J52">
        <f>IF(A52="crop", 0, H52)</f>
        <v>0</v>
      </c>
      <c r="N52">
        <f t="shared" si="1"/>
        <v>0</v>
      </c>
      <c r="Q52">
        <f t="shared" si="2"/>
        <v>-5.4277492063492258E-3</v>
      </c>
      <c r="R52">
        <f t="shared" si="3"/>
        <v>0</v>
      </c>
      <c r="V52" s="6" t="s">
        <v>44</v>
      </c>
      <c r="W52" s="6">
        <v>-0.31</v>
      </c>
    </row>
    <row r="53" spans="1:23" x14ac:dyDescent="0.2">
      <c r="A53" t="s">
        <v>101</v>
      </c>
      <c r="B53" s="6" t="s">
        <v>47</v>
      </c>
      <c r="C53">
        <f>VLOOKUP(B53, $V$13:$W$96, 2, FALSE)</f>
        <v>-0.17</v>
      </c>
      <c r="D53" t="s">
        <v>116</v>
      </c>
      <c r="E53">
        <v>89.300000000000395</v>
      </c>
      <c r="F53">
        <f t="shared" si="0"/>
        <v>-15.181000000000068</v>
      </c>
      <c r="G53">
        <f>$U$6</f>
        <v>18</v>
      </c>
      <c r="H53">
        <f>F53/G53</f>
        <v>-0.84338888888889274</v>
      </c>
      <c r="I53">
        <f>IF(A53="crop",H53, 0)</f>
        <v>-0.84338888888889274</v>
      </c>
      <c r="J53">
        <f>IF(A53="crop", 0, H53)</f>
        <v>0</v>
      </c>
      <c r="N53">
        <f t="shared" si="1"/>
        <v>0</v>
      </c>
      <c r="Q53">
        <f t="shared" si="2"/>
        <v>-5.4338341269841517E-3</v>
      </c>
      <c r="R53">
        <f t="shared" si="3"/>
        <v>0</v>
      </c>
      <c r="V53" s="6" t="s">
        <v>45</v>
      </c>
      <c r="W53" s="6">
        <v>-0.23</v>
      </c>
    </row>
    <row r="54" spans="1:23" x14ac:dyDescent="0.2">
      <c r="A54" t="s">
        <v>101</v>
      </c>
      <c r="B54" s="6" t="s">
        <v>48</v>
      </c>
      <c r="C54">
        <f>VLOOKUP(B54, $V$13:$W$96, 2, FALSE)</f>
        <v>-0.08</v>
      </c>
      <c r="D54" t="s">
        <v>116</v>
      </c>
      <c r="E54">
        <v>89.400000000000404</v>
      </c>
      <c r="F54">
        <f t="shared" si="0"/>
        <v>-7.1520000000000321</v>
      </c>
      <c r="G54">
        <f>$U$6</f>
        <v>18</v>
      </c>
      <c r="H54">
        <f>F54/G54</f>
        <v>-0.39733333333333509</v>
      </c>
      <c r="I54">
        <f>IF(A54="crop",H54, 0)</f>
        <v>-0.39733333333333509</v>
      </c>
      <c r="J54">
        <f>IF(A54="crop", 0, H54)</f>
        <v>0</v>
      </c>
      <c r="N54">
        <f t="shared" si="1"/>
        <v>0</v>
      </c>
      <c r="Q54">
        <f t="shared" si="2"/>
        <v>-2.5599619047619163E-3</v>
      </c>
      <c r="R54">
        <f t="shared" si="3"/>
        <v>0</v>
      </c>
      <c r="V54" s="6" t="s">
        <v>46</v>
      </c>
      <c r="W54" s="6">
        <v>-0.17</v>
      </c>
    </row>
    <row r="55" spans="1:23" x14ac:dyDescent="0.2">
      <c r="A55" t="s">
        <v>101</v>
      </c>
      <c r="B55" s="6" t="s">
        <v>49</v>
      </c>
      <c r="C55">
        <f>VLOOKUP(B55, $V$13:$W$96, 2, FALSE)</f>
        <v>-0.11</v>
      </c>
      <c r="D55" t="s">
        <v>114</v>
      </c>
      <c r="E55">
        <v>89.500000000000398</v>
      </c>
      <c r="F55">
        <f t="shared" si="0"/>
        <v>-9.8450000000000433</v>
      </c>
      <c r="G55">
        <f>$U$6</f>
        <v>18</v>
      </c>
      <c r="H55">
        <f>F55/G55</f>
        <v>-0.5469444444444469</v>
      </c>
      <c r="I55">
        <f>IF(A55="crop",H55, 0)</f>
        <v>-0.5469444444444469</v>
      </c>
      <c r="J55">
        <f>IF(A55="crop", 0, H55)</f>
        <v>0</v>
      </c>
      <c r="N55">
        <f t="shared" si="1"/>
        <v>1</v>
      </c>
      <c r="Q55">
        <f t="shared" si="2"/>
        <v>-3.5238849206349369E-3</v>
      </c>
      <c r="R55">
        <f t="shared" si="3"/>
        <v>-2.2690380952381053E-3</v>
      </c>
      <c r="V55" s="6" t="s">
        <v>47</v>
      </c>
      <c r="W55" s="6">
        <v>-0.17</v>
      </c>
    </row>
    <row r="56" spans="1:23" x14ac:dyDescent="0.2">
      <c r="A56" t="s">
        <v>101</v>
      </c>
      <c r="B56" s="6" t="s">
        <v>50</v>
      </c>
      <c r="C56">
        <f>VLOOKUP(B56, $V$13:$W$96, 2, FALSE)</f>
        <v>0</v>
      </c>
      <c r="D56" t="s">
        <v>114</v>
      </c>
      <c r="E56">
        <v>89.600000000000406</v>
      </c>
      <c r="F56">
        <f t="shared" si="0"/>
        <v>0</v>
      </c>
      <c r="G56">
        <f>$U$6</f>
        <v>18</v>
      </c>
      <c r="H56">
        <f>F56/G56</f>
        <v>0</v>
      </c>
      <c r="I56">
        <f>IF(A56="crop",H56, 0)</f>
        <v>0</v>
      </c>
      <c r="J56">
        <f>IF(A56="crop", 0, H56)</f>
        <v>0</v>
      </c>
      <c r="N56">
        <f t="shared" si="1"/>
        <v>1</v>
      </c>
      <c r="Q56">
        <f t="shared" si="2"/>
        <v>0</v>
      </c>
      <c r="R56">
        <f t="shared" si="3"/>
        <v>0</v>
      </c>
      <c r="V56" s="6" t="s">
        <v>48</v>
      </c>
      <c r="W56" s="6">
        <v>-0.08</v>
      </c>
    </row>
    <row r="57" spans="1:23" x14ac:dyDescent="0.2">
      <c r="A57" t="s">
        <v>101</v>
      </c>
      <c r="B57" s="6" t="s">
        <v>51</v>
      </c>
      <c r="C57">
        <f>VLOOKUP(B57, $V$13:$W$96, 2, FALSE)</f>
        <v>-0.02</v>
      </c>
      <c r="D57" t="s">
        <v>114</v>
      </c>
      <c r="E57">
        <v>89.700000000000401</v>
      </c>
      <c r="F57">
        <f t="shared" si="0"/>
        <v>-1.794000000000008</v>
      </c>
      <c r="G57">
        <f>$U$6</f>
        <v>18</v>
      </c>
      <c r="H57">
        <f>F57/G57</f>
        <v>-9.9666666666667111E-2</v>
      </c>
      <c r="I57">
        <f>IF(A57="crop",H57, 0)</f>
        <v>-9.9666666666667111E-2</v>
      </c>
      <c r="J57">
        <f>IF(A57="crop", 0, H57)</f>
        <v>0</v>
      </c>
      <c r="N57">
        <f t="shared" si="1"/>
        <v>1</v>
      </c>
      <c r="Q57">
        <f t="shared" si="2"/>
        <v>-6.4213809523809822E-4</v>
      </c>
      <c r="R57">
        <f t="shared" si="3"/>
        <v>-4.1347428571428745E-4</v>
      </c>
      <c r="V57" s="6" t="s">
        <v>49</v>
      </c>
      <c r="W57" s="6">
        <v>-0.11</v>
      </c>
    </row>
    <row r="58" spans="1:23" x14ac:dyDescent="0.2">
      <c r="A58" t="s">
        <v>101</v>
      </c>
      <c r="B58" s="6" t="s">
        <v>52</v>
      </c>
      <c r="C58">
        <f>VLOOKUP(B58, $V$13:$W$96, 2, FALSE)</f>
        <v>-0.08</v>
      </c>
      <c r="D58" t="s">
        <v>114</v>
      </c>
      <c r="E58">
        <v>89.800000000000395</v>
      </c>
      <c r="F58">
        <f t="shared" si="0"/>
        <v>-7.1840000000000321</v>
      </c>
      <c r="G58">
        <f>$U$6</f>
        <v>18</v>
      </c>
      <c r="H58">
        <f>F58/G58</f>
        <v>-0.39911111111111292</v>
      </c>
      <c r="I58">
        <f>IF(A58="crop",H58, 0)</f>
        <v>-0.39911111111111292</v>
      </c>
      <c r="J58">
        <f>IF(A58="crop", 0, H58)</f>
        <v>0</v>
      </c>
      <c r="N58">
        <f t="shared" si="1"/>
        <v>1</v>
      </c>
      <c r="Q58">
        <f t="shared" si="2"/>
        <v>-2.5714158730158849E-3</v>
      </c>
      <c r="R58">
        <f t="shared" si="3"/>
        <v>-1.6557409523809596E-3</v>
      </c>
      <c r="V58" s="6" t="s">
        <v>50</v>
      </c>
      <c r="W58" s="6">
        <v>0</v>
      </c>
    </row>
    <row r="59" spans="1:23" x14ac:dyDescent="0.2">
      <c r="A59" t="s">
        <v>101</v>
      </c>
      <c r="B59" s="6" t="s">
        <v>53</v>
      </c>
      <c r="C59">
        <f>VLOOKUP(B59, $V$13:$W$96, 2, FALSE)</f>
        <v>-0.06</v>
      </c>
      <c r="D59" t="s">
        <v>114</v>
      </c>
      <c r="E59">
        <v>89.900000000000404</v>
      </c>
      <c r="F59">
        <f t="shared" si="0"/>
        <v>-5.3940000000000241</v>
      </c>
      <c r="G59">
        <f>$U$6</f>
        <v>18</v>
      </c>
      <c r="H59">
        <f>F59/G59</f>
        <v>-0.29966666666666802</v>
      </c>
      <c r="I59">
        <f>IF(A59="crop",H59, 0)</f>
        <v>-0.29966666666666802</v>
      </c>
      <c r="J59">
        <f>IF(A59="crop", 0, H59)</f>
        <v>0</v>
      </c>
      <c r="N59">
        <f t="shared" si="1"/>
        <v>1</v>
      </c>
      <c r="Q59">
        <f t="shared" si="2"/>
        <v>-1.9307095238095327E-3</v>
      </c>
      <c r="R59">
        <f t="shared" si="3"/>
        <v>-1.2431885714285769E-3</v>
      </c>
      <c r="V59" s="6" t="s">
        <v>51</v>
      </c>
      <c r="W59" s="6">
        <v>-0.02</v>
      </c>
    </row>
    <row r="60" spans="1:23" x14ac:dyDescent="0.2">
      <c r="A60" t="s">
        <v>101</v>
      </c>
      <c r="B60" s="6" t="s">
        <v>54</v>
      </c>
      <c r="C60">
        <f>VLOOKUP(B60, $V$13:$W$96, 2, FALSE)</f>
        <v>-0.12</v>
      </c>
      <c r="D60" t="s">
        <v>114</v>
      </c>
      <c r="E60">
        <v>90.000000000000398</v>
      </c>
      <c r="F60">
        <f t="shared" si="0"/>
        <v>-10.800000000000047</v>
      </c>
      <c r="G60">
        <f>$U$6</f>
        <v>18</v>
      </c>
      <c r="H60">
        <f>F60/G60</f>
        <v>-0.60000000000000264</v>
      </c>
      <c r="I60">
        <f>IF(A60="crop",H60, 0)</f>
        <v>-0.60000000000000264</v>
      </c>
      <c r="J60">
        <f>IF(A60="crop", 0, H60)</f>
        <v>0</v>
      </c>
      <c r="N60">
        <f t="shared" si="1"/>
        <v>1</v>
      </c>
      <c r="Q60">
        <f t="shared" si="2"/>
        <v>-3.8657142857143035E-3</v>
      </c>
      <c r="R60">
        <f t="shared" si="3"/>
        <v>-2.4891428571428677E-3</v>
      </c>
      <c r="V60" s="6" t="s">
        <v>52</v>
      </c>
      <c r="W60" s="6">
        <v>-0.08</v>
      </c>
    </row>
    <row r="61" spans="1:23" x14ac:dyDescent="0.2">
      <c r="A61" t="s">
        <v>101</v>
      </c>
      <c r="B61" s="6" t="s">
        <v>55</v>
      </c>
      <c r="C61">
        <f>VLOOKUP(B61, $V$13:$W$96, 2, FALSE)</f>
        <v>-7.0000000000000007E-2</v>
      </c>
      <c r="D61" t="s">
        <v>114</v>
      </c>
      <c r="E61">
        <v>90.100000000000406</v>
      </c>
      <c r="F61">
        <f t="shared" si="0"/>
        <v>-6.3070000000000288</v>
      </c>
      <c r="G61">
        <f>$U$6</f>
        <v>18</v>
      </c>
      <c r="H61">
        <f>F61/G61</f>
        <v>-0.35038888888889047</v>
      </c>
      <c r="I61">
        <f>IF(A61="crop",H61, 0)</f>
        <v>-0.35038888888889047</v>
      </c>
      <c r="J61">
        <f>IF(A61="crop", 0, H61)</f>
        <v>0</v>
      </c>
      <c r="N61">
        <f t="shared" si="1"/>
        <v>1</v>
      </c>
      <c r="Q61">
        <f t="shared" si="2"/>
        <v>-2.2575055555555659E-3</v>
      </c>
      <c r="R61">
        <f t="shared" si="3"/>
        <v>-1.4536133333333397E-3</v>
      </c>
      <c r="V61" s="6" t="s">
        <v>53</v>
      </c>
      <c r="W61" s="6">
        <v>-0.06</v>
      </c>
    </row>
    <row r="62" spans="1:23" x14ac:dyDescent="0.2">
      <c r="A62" t="s">
        <v>101</v>
      </c>
      <c r="B62" s="6" t="s">
        <v>56</v>
      </c>
      <c r="C62">
        <f>VLOOKUP(B62, $V$13:$W$96, 2, FALSE)</f>
        <v>-0.13</v>
      </c>
      <c r="D62" t="s">
        <v>114</v>
      </c>
      <c r="E62">
        <v>90.200000000000401</v>
      </c>
      <c r="F62">
        <f t="shared" si="0"/>
        <v>-11.726000000000052</v>
      </c>
      <c r="G62">
        <f>$U$6</f>
        <v>18</v>
      </c>
      <c r="H62">
        <f>F62/G62</f>
        <v>-0.65144444444444738</v>
      </c>
      <c r="I62">
        <f>IF(A62="crop",H62, 0)</f>
        <v>-0.65144444444444738</v>
      </c>
      <c r="J62">
        <f>IF(A62="crop", 0, H62)</f>
        <v>0</v>
      </c>
      <c r="N62">
        <f t="shared" si="1"/>
        <v>1</v>
      </c>
      <c r="Q62">
        <f t="shared" si="2"/>
        <v>-4.1971634920635117E-3</v>
      </c>
      <c r="R62">
        <f t="shared" si="3"/>
        <v>-2.7025638095238215E-3</v>
      </c>
      <c r="V62" s="6" t="s">
        <v>54</v>
      </c>
      <c r="W62" s="6">
        <v>-0.12</v>
      </c>
    </row>
    <row r="63" spans="1:23" x14ac:dyDescent="0.2">
      <c r="A63" t="s">
        <v>101</v>
      </c>
      <c r="B63" s="6" t="s">
        <v>57</v>
      </c>
      <c r="C63">
        <f>VLOOKUP(B63, $V$13:$W$96, 2, FALSE)</f>
        <v>0</v>
      </c>
      <c r="D63" t="s">
        <v>114</v>
      </c>
      <c r="E63">
        <v>90.300000000000395</v>
      </c>
      <c r="F63">
        <f t="shared" si="0"/>
        <v>0</v>
      </c>
      <c r="G63">
        <f>$U$6</f>
        <v>18</v>
      </c>
      <c r="H63">
        <f>F63/G63</f>
        <v>0</v>
      </c>
      <c r="I63">
        <f>IF(A63="crop",H63, 0)</f>
        <v>0</v>
      </c>
      <c r="J63">
        <f>IF(A63="crop", 0, H63)</f>
        <v>0</v>
      </c>
      <c r="N63">
        <f t="shared" si="1"/>
        <v>1</v>
      </c>
      <c r="Q63">
        <f t="shared" si="2"/>
        <v>0</v>
      </c>
      <c r="R63">
        <f t="shared" si="3"/>
        <v>0</v>
      </c>
      <c r="V63" s="6" t="s">
        <v>55</v>
      </c>
      <c r="W63" s="6">
        <v>-7.0000000000000007E-2</v>
      </c>
    </row>
    <row r="64" spans="1:23" x14ac:dyDescent="0.2">
      <c r="A64" t="s">
        <v>101</v>
      </c>
      <c r="B64" s="6" t="s">
        <v>58</v>
      </c>
      <c r="C64">
        <f>VLOOKUP(B64, $V$13:$W$96, 2, FALSE)</f>
        <v>-0.24</v>
      </c>
      <c r="D64" t="s">
        <v>114</v>
      </c>
      <c r="E64">
        <v>90.400000000000404</v>
      </c>
      <c r="F64">
        <f t="shared" si="0"/>
        <v>-21.696000000000097</v>
      </c>
      <c r="G64">
        <f>$U$6</f>
        <v>18</v>
      </c>
      <c r="H64">
        <f>F64/G64</f>
        <v>-1.2053333333333387</v>
      </c>
      <c r="I64">
        <f>IF(A64="crop",H64, 0)</f>
        <v>-1.2053333333333387</v>
      </c>
      <c r="J64">
        <f>IF(A64="crop", 0, H64)</f>
        <v>0</v>
      </c>
      <c r="N64">
        <f t="shared" si="1"/>
        <v>1</v>
      </c>
      <c r="Q64">
        <f t="shared" si="2"/>
        <v>-7.7657904761905113E-3</v>
      </c>
      <c r="R64">
        <f t="shared" si="3"/>
        <v>-5.0004114285714498E-3</v>
      </c>
      <c r="V64" s="6" t="s">
        <v>56</v>
      </c>
      <c r="W64" s="6">
        <v>-0.13</v>
      </c>
    </row>
    <row r="65" spans="1:23" x14ac:dyDescent="0.2">
      <c r="A65" t="s">
        <v>101</v>
      </c>
      <c r="B65" s="6" t="s">
        <v>59</v>
      </c>
      <c r="C65">
        <f>VLOOKUP(B65, $V$13:$W$96, 2, FALSE)</f>
        <v>-0.32</v>
      </c>
      <c r="D65" t="s">
        <v>114</v>
      </c>
      <c r="E65">
        <v>90.500000000000497</v>
      </c>
      <c r="F65">
        <f t="shared" si="0"/>
        <v>-28.960000000000161</v>
      </c>
      <c r="G65">
        <f>$U$6</f>
        <v>18</v>
      </c>
      <c r="H65">
        <f>F65/G65</f>
        <v>-1.6088888888888979</v>
      </c>
      <c r="I65">
        <f>IF(A65="crop",H65, 0)</f>
        <v>-1.6088888888888979</v>
      </c>
      <c r="J65">
        <f>IF(A65="crop", 0, H65)</f>
        <v>0</v>
      </c>
      <c r="N65">
        <f t="shared" si="1"/>
        <v>1</v>
      </c>
      <c r="Q65">
        <f t="shared" si="2"/>
        <v>-1.0365841269841329E-2</v>
      </c>
      <c r="R65">
        <f t="shared" si="3"/>
        <v>-6.6745904761905126E-3</v>
      </c>
      <c r="V65" s="6" t="s">
        <v>57</v>
      </c>
      <c r="W65" s="6">
        <v>0</v>
      </c>
    </row>
    <row r="66" spans="1:23" x14ac:dyDescent="0.2">
      <c r="A66" t="s">
        <v>101</v>
      </c>
      <c r="B66" s="6" t="s">
        <v>60</v>
      </c>
      <c r="C66">
        <f>VLOOKUP(B66, $V$13:$W$96, 2, FALSE)</f>
        <v>0</v>
      </c>
      <c r="D66" t="s">
        <v>114</v>
      </c>
      <c r="E66">
        <v>90.600000000000506</v>
      </c>
      <c r="F66">
        <f t="shared" si="0"/>
        <v>0</v>
      </c>
      <c r="G66">
        <f>$U$6</f>
        <v>18</v>
      </c>
      <c r="H66">
        <f>F66/G66</f>
        <v>0</v>
      </c>
      <c r="I66">
        <f>IF(A66="crop",H66, 0)</f>
        <v>0</v>
      </c>
      <c r="J66">
        <f>IF(A66="crop", 0, H66)</f>
        <v>0</v>
      </c>
      <c r="N66">
        <f t="shared" si="1"/>
        <v>1</v>
      </c>
      <c r="Q66">
        <f t="shared" si="2"/>
        <v>0</v>
      </c>
      <c r="R66">
        <f t="shared" si="3"/>
        <v>0</v>
      </c>
      <c r="V66" s="6" t="s">
        <v>58</v>
      </c>
      <c r="W66" s="6">
        <v>-0.24</v>
      </c>
    </row>
    <row r="67" spans="1:23" x14ac:dyDescent="0.2">
      <c r="A67" t="s">
        <v>101</v>
      </c>
      <c r="B67" s="6" t="s">
        <v>61</v>
      </c>
      <c r="C67">
        <f>VLOOKUP(B67, $V$13:$W$96, 2, FALSE)</f>
        <v>0</v>
      </c>
      <c r="D67" t="s">
        <v>114</v>
      </c>
      <c r="E67">
        <v>90.7000000000005</v>
      </c>
      <c r="F67">
        <f t="shared" si="0"/>
        <v>0</v>
      </c>
      <c r="G67">
        <f>$U$6</f>
        <v>18</v>
      </c>
      <c r="H67">
        <f>F67/G67</f>
        <v>0</v>
      </c>
      <c r="I67">
        <f>IF(A67="crop",H67, 0)</f>
        <v>0</v>
      </c>
      <c r="J67">
        <f>IF(A67="crop", 0, H67)</f>
        <v>0</v>
      </c>
      <c r="N67">
        <f t="shared" si="1"/>
        <v>1</v>
      </c>
      <c r="Q67">
        <f t="shared" si="2"/>
        <v>0</v>
      </c>
      <c r="R67">
        <f t="shared" si="3"/>
        <v>0</v>
      </c>
      <c r="V67" s="6" t="s">
        <v>59</v>
      </c>
      <c r="W67" s="6">
        <v>-0.32</v>
      </c>
    </row>
    <row r="68" spans="1:23" x14ac:dyDescent="0.2">
      <c r="A68" t="s">
        <v>101</v>
      </c>
      <c r="B68" s="6" t="s">
        <v>62</v>
      </c>
      <c r="C68">
        <f>VLOOKUP(B68, $V$13:$W$96, 2, FALSE)</f>
        <v>-0.1</v>
      </c>
      <c r="D68" t="s">
        <v>114</v>
      </c>
      <c r="E68">
        <v>90.800000000000495</v>
      </c>
      <c r="F68">
        <f t="shared" si="0"/>
        <v>-9.0800000000000498</v>
      </c>
      <c r="G68">
        <f>$U$6</f>
        <v>18</v>
      </c>
      <c r="H68">
        <f>F68/G68</f>
        <v>-0.50444444444444725</v>
      </c>
      <c r="I68">
        <f>IF(A68="crop",H68, 0)</f>
        <v>-0.50444444444444725</v>
      </c>
      <c r="J68">
        <f>IF(A68="crop", 0, H68)</f>
        <v>0</v>
      </c>
      <c r="N68">
        <f t="shared" si="1"/>
        <v>1</v>
      </c>
      <c r="Q68">
        <f t="shared" si="2"/>
        <v>-3.2500634920635102E-3</v>
      </c>
      <c r="R68">
        <f t="shared" si="3"/>
        <v>-2.0927238095238211E-3</v>
      </c>
      <c r="V68" s="6" t="s">
        <v>60</v>
      </c>
      <c r="W68" s="6">
        <v>0</v>
      </c>
    </row>
    <row r="69" spans="1:23" x14ac:dyDescent="0.2">
      <c r="A69" t="s">
        <v>101</v>
      </c>
      <c r="B69" s="6" t="s">
        <v>63</v>
      </c>
      <c r="C69">
        <f>VLOOKUP(B69, $V$13:$W$96, 2, FALSE)</f>
        <v>-0.33</v>
      </c>
      <c r="D69" t="s">
        <v>114</v>
      </c>
      <c r="E69">
        <v>90.900000000000503</v>
      </c>
      <c r="F69">
        <f t="shared" si="0"/>
        <v>-29.997000000000167</v>
      </c>
      <c r="G69">
        <f>$U$6</f>
        <v>18</v>
      </c>
      <c r="H69">
        <f>F69/G69</f>
        <v>-1.6665000000000092</v>
      </c>
      <c r="I69">
        <f>IF(A69="crop",H69, 0)</f>
        <v>-1.6665000000000092</v>
      </c>
      <c r="J69">
        <f>IF(A69="crop", 0, H69)</f>
        <v>0</v>
      </c>
      <c r="N69">
        <f t="shared" si="1"/>
        <v>1</v>
      </c>
      <c r="Q69">
        <f t="shared" si="2"/>
        <v>-1.0737021428571488E-2</v>
      </c>
      <c r="R69">
        <f t="shared" si="3"/>
        <v>-6.9135942857143232E-3</v>
      </c>
      <c r="V69" s="6" t="s">
        <v>61</v>
      </c>
      <c r="W69" s="6">
        <v>0</v>
      </c>
    </row>
    <row r="70" spans="1:23" x14ac:dyDescent="0.2">
      <c r="A70" t="s">
        <v>101</v>
      </c>
      <c r="B70" s="6" t="s">
        <v>64</v>
      </c>
      <c r="C70">
        <f>VLOOKUP(B70, $V$13:$W$96, 2, FALSE)</f>
        <v>0</v>
      </c>
      <c r="D70" t="s">
        <v>114</v>
      </c>
      <c r="E70">
        <v>91.000000000000497</v>
      </c>
      <c r="F70">
        <f t="shared" si="0"/>
        <v>0</v>
      </c>
      <c r="G70">
        <f>$U$6</f>
        <v>18</v>
      </c>
      <c r="H70">
        <f>F70/G70</f>
        <v>0</v>
      </c>
      <c r="I70">
        <f>IF(A70="crop",H70, 0)</f>
        <v>0</v>
      </c>
      <c r="J70">
        <f>IF(A70="crop", 0, H70)</f>
        <v>0</v>
      </c>
      <c r="N70">
        <f t="shared" si="1"/>
        <v>1</v>
      </c>
      <c r="Q70">
        <f t="shared" si="2"/>
        <v>0</v>
      </c>
      <c r="R70">
        <f t="shared" si="3"/>
        <v>0</v>
      </c>
      <c r="V70" s="6" t="s">
        <v>62</v>
      </c>
      <c r="W70" s="6">
        <v>-0.1</v>
      </c>
    </row>
    <row r="71" spans="1:23" x14ac:dyDescent="0.2">
      <c r="A71" t="s">
        <v>101</v>
      </c>
      <c r="B71" s="6" t="s">
        <v>65</v>
      </c>
      <c r="C71">
        <f>VLOOKUP(B71, $V$13:$W$96, 2, FALSE)</f>
        <v>-0.05</v>
      </c>
      <c r="D71" t="s">
        <v>114</v>
      </c>
      <c r="E71">
        <v>91.100000000000506</v>
      </c>
      <c r="F71">
        <f t="shared" si="0"/>
        <v>-4.5550000000000255</v>
      </c>
      <c r="G71">
        <f>$U$6</f>
        <v>18</v>
      </c>
      <c r="H71">
        <f>F71/G71</f>
        <v>-0.25305555555555698</v>
      </c>
      <c r="I71">
        <f>IF(A71="crop",H71, 0)</f>
        <v>-0.25305555555555698</v>
      </c>
      <c r="J71">
        <f>IF(A71="crop", 0, H71)</f>
        <v>0</v>
      </c>
      <c r="N71">
        <f t="shared" si="1"/>
        <v>1</v>
      </c>
      <c r="Q71">
        <f t="shared" si="2"/>
        <v>-1.630400793650803E-3</v>
      </c>
      <c r="R71">
        <f t="shared" si="3"/>
        <v>-1.0498190476190535E-3</v>
      </c>
      <c r="V71" s="6" t="s">
        <v>63</v>
      </c>
      <c r="W71" s="6">
        <v>-0.33</v>
      </c>
    </row>
    <row r="72" spans="1:23" x14ac:dyDescent="0.2">
      <c r="A72" t="s">
        <v>101</v>
      </c>
      <c r="B72" s="6" t="s">
        <v>66</v>
      </c>
      <c r="C72">
        <f>VLOOKUP(B72, $V$13:$W$96, 2, FALSE)</f>
        <v>-0.26</v>
      </c>
      <c r="D72" t="s">
        <v>114</v>
      </c>
      <c r="E72">
        <v>91.2000000000005</v>
      </c>
      <c r="F72">
        <f t="shared" si="0"/>
        <v>-23.712000000000131</v>
      </c>
      <c r="G72">
        <f>$U$6</f>
        <v>18</v>
      </c>
      <c r="H72">
        <f>F72/G72</f>
        <v>-1.3173333333333406</v>
      </c>
      <c r="I72">
        <f>IF(A72="crop",H72, 0)</f>
        <v>-1.3173333333333406</v>
      </c>
      <c r="J72">
        <f>IF(A72="crop", 0, H72)</f>
        <v>0</v>
      </c>
      <c r="N72">
        <f t="shared" si="1"/>
        <v>1</v>
      </c>
      <c r="Q72">
        <f t="shared" si="2"/>
        <v>-8.4873904761905237E-3</v>
      </c>
      <c r="R72">
        <f t="shared" si="3"/>
        <v>-5.4650514285714573E-3</v>
      </c>
      <c r="V72" s="6" t="s">
        <v>64</v>
      </c>
      <c r="W72" s="6">
        <v>0</v>
      </c>
    </row>
    <row r="73" spans="1:23" x14ac:dyDescent="0.2">
      <c r="A73" t="s">
        <v>101</v>
      </c>
      <c r="B73" s="6" t="s">
        <v>67</v>
      </c>
      <c r="C73">
        <f>VLOOKUP(B73, $V$13:$W$96, 2, FALSE)</f>
        <v>-0.26</v>
      </c>
      <c r="D73" t="s">
        <v>114</v>
      </c>
      <c r="E73">
        <v>91.300000000000495</v>
      </c>
      <c r="F73">
        <f t="shared" si="0"/>
        <v>-23.738000000000131</v>
      </c>
      <c r="G73">
        <f>$U$6</f>
        <v>18</v>
      </c>
      <c r="H73">
        <f>F73/G73</f>
        <v>-1.3187777777777852</v>
      </c>
      <c r="I73">
        <f>IF(A73="crop",H73, 0)</f>
        <v>-1.3187777777777852</v>
      </c>
      <c r="J73">
        <f>IF(A73="crop", 0, H73)</f>
        <v>0</v>
      </c>
      <c r="N73">
        <f t="shared" si="1"/>
        <v>1</v>
      </c>
      <c r="Q73">
        <f t="shared" si="2"/>
        <v>-8.4966968253968739E-3</v>
      </c>
      <c r="R73">
        <f t="shared" si="3"/>
        <v>-5.4710438095238395E-3</v>
      </c>
      <c r="V73" s="6" t="s">
        <v>65</v>
      </c>
      <c r="W73" s="6">
        <v>-0.05</v>
      </c>
    </row>
    <row r="74" spans="1:23" x14ac:dyDescent="0.2">
      <c r="A74" t="s">
        <v>101</v>
      </c>
      <c r="B74" s="6" t="s">
        <v>68</v>
      </c>
      <c r="C74">
        <f>VLOOKUP(B74, $V$13:$W$96, 2, FALSE)</f>
        <v>-0.03</v>
      </c>
      <c r="D74" t="s">
        <v>114</v>
      </c>
      <c r="E74">
        <v>91.400000000000503</v>
      </c>
      <c r="F74">
        <f t="shared" si="0"/>
        <v>-2.7420000000000151</v>
      </c>
      <c r="G74">
        <f>$U$6</f>
        <v>18</v>
      </c>
      <c r="H74">
        <f>F74/G74</f>
        <v>-0.15233333333333418</v>
      </c>
      <c r="I74">
        <f>IF(A74="crop",H74, 0)</f>
        <v>-0.15233333333333418</v>
      </c>
      <c r="J74">
        <f>IF(A74="crop", 0, H74)</f>
        <v>0</v>
      </c>
      <c r="N74">
        <f t="shared" si="1"/>
        <v>1</v>
      </c>
      <c r="Q74">
        <f t="shared" si="2"/>
        <v>-9.8146190476191024E-4</v>
      </c>
      <c r="R74">
        <f t="shared" si="3"/>
        <v>-6.3196571428571777E-4</v>
      </c>
      <c r="V74" s="6" t="s">
        <v>66</v>
      </c>
      <c r="W74" s="6">
        <v>-0.26</v>
      </c>
    </row>
    <row r="75" spans="1:23" x14ac:dyDescent="0.2">
      <c r="A75" t="s">
        <v>101</v>
      </c>
      <c r="B75" s="6" t="s">
        <v>69</v>
      </c>
      <c r="C75">
        <f>VLOOKUP(B75, $V$13:$W$96, 2, FALSE)</f>
        <v>-0.37</v>
      </c>
      <c r="D75" t="s">
        <v>114</v>
      </c>
      <c r="E75">
        <v>91.500000000000497</v>
      </c>
      <c r="F75">
        <f t="shared" si="0"/>
        <v>-33.855000000000182</v>
      </c>
      <c r="G75">
        <f>$U$6</f>
        <v>18</v>
      </c>
      <c r="H75">
        <f>F75/G75</f>
        <v>-1.8808333333333433</v>
      </c>
      <c r="I75">
        <f>IF(A75="crop",H75, 0)</f>
        <v>-1.8808333333333433</v>
      </c>
      <c r="J75">
        <f>IF(A75="crop", 0, H75)</f>
        <v>0</v>
      </c>
      <c r="N75">
        <f t="shared" si="1"/>
        <v>1</v>
      </c>
      <c r="Q75">
        <f t="shared" si="2"/>
        <v>-1.2117940476190541E-2</v>
      </c>
      <c r="R75">
        <f t="shared" si="3"/>
        <v>-7.8027714285714691E-3</v>
      </c>
      <c r="V75" s="6" t="s">
        <v>67</v>
      </c>
      <c r="W75" s="6">
        <v>-0.26</v>
      </c>
    </row>
    <row r="76" spans="1:23" x14ac:dyDescent="0.2">
      <c r="A76" t="s">
        <v>101</v>
      </c>
      <c r="B76" s="6" t="s">
        <v>70</v>
      </c>
      <c r="C76">
        <f>VLOOKUP(B76, $V$13:$W$96, 2, FALSE)</f>
        <v>-0.01</v>
      </c>
      <c r="D76" t="s">
        <v>114</v>
      </c>
      <c r="E76">
        <v>91.600000000000506</v>
      </c>
      <c r="F76">
        <f t="shared" ref="F76:F94" si="4">C76*E76</f>
        <v>-0.91600000000000503</v>
      </c>
      <c r="G76">
        <f>$U$6</f>
        <v>18</v>
      </c>
      <c r="H76">
        <f>F76/G76</f>
        <v>-5.0888888888889171E-2</v>
      </c>
      <c r="I76">
        <f>IF(A76="crop",H76, 0)</f>
        <v>-5.0888888888889171E-2</v>
      </c>
      <c r="J76">
        <f>IF(A76="crop", 0, H76)</f>
        <v>0</v>
      </c>
      <c r="N76">
        <f t="shared" ref="N76:N139" si="5">IF(D76="yes",1,0)</f>
        <v>1</v>
      </c>
      <c r="Q76">
        <f t="shared" ref="Q76:Q83" si="6">(I76*$K$11+J76*$L$11)*$M$11</f>
        <v>-3.2786984126984312E-4</v>
      </c>
      <c r="R76">
        <f t="shared" ref="R76:R139" si="7">H76*N76*O$11*P$11*M$11</f>
        <v>-2.1111619047619164E-4</v>
      </c>
      <c r="V76" s="6" t="s">
        <v>68</v>
      </c>
      <c r="W76" s="6">
        <v>-0.03</v>
      </c>
    </row>
    <row r="77" spans="1:23" x14ac:dyDescent="0.2">
      <c r="A77" t="s">
        <v>101</v>
      </c>
      <c r="B77" s="6" t="s">
        <v>71</v>
      </c>
      <c r="C77">
        <f>VLOOKUP(B77, $V$13:$W$96, 2, FALSE)</f>
        <v>-0.03</v>
      </c>
      <c r="D77" t="s">
        <v>114</v>
      </c>
      <c r="E77">
        <v>91.7000000000006</v>
      </c>
      <c r="F77">
        <f t="shared" si="4"/>
        <v>-2.7510000000000181</v>
      </c>
      <c r="G77">
        <f>$U$6</f>
        <v>18</v>
      </c>
      <c r="H77">
        <f>F77/G77</f>
        <v>-0.15283333333333435</v>
      </c>
      <c r="I77">
        <f>IF(A77="crop",H77, 0)</f>
        <v>-0.15283333333333435</v>
      </c>
      <c r="J77">
        <f>IF(A77="crop", 0, H77)</f>
        <v>0</v>
      </c>
      <c r="N77">
        <f t="shared" si="5"/>
        <v>1</v>
      </c>
      <c r="Q77">
        <f t="shared" si="6"/>
        <v>-9.8468333333333997E-4</v>
      </c>
      <c r="R77">
        <f t="shared" si="7"/>
        <v>-6.3404000000000411E-4</v>
      </c>
      <c r="V77" s="6" t="s">
        <v>69</v>
      </c>
      <c r="W77" s="6">
        <v>-0.37</v>
      </c>
    </row>
    <row r="78" spans="1:23" x14ac:dyDescent="0.2">
      <c r="A78" t="s">
        <v>101</v>
      </c>
      <c r="B78" s="6" t="s">
        <v>72</v>
      </c>
      <c r="C78">
        <f>VLOOKUP(B78, $V$13:$W$96, 2, FALSE)</f>
        <v>-0.1</v>
      </c>
      <c r="D78" t="s">
        <v>114</v>
      </c>
      <c r="E78">
        <v>91.800000000000594</v>
      </c>
      <c r="F78">
        <f t="shared" si="4"/>
        <v>-9.1800000000000601</v>
      </c>
      <c r="G78">
        <f>$U$6</f>
        <v>18</v>
      </c>
      <c r="H78">
        <f>F78/G78</f>
        <v>-0.51000000000000334</v>
      </c>
      <c r="I78">
        <f>IF(A78="crop",H78, 0)</f>
        <v>-0.51000000000000334</v>
      </c>
      <c r="J78">
        <f>IF(A78="crop", 0, H78)</f>
        <v>0</v>
      </c>
      <c r="N78">
        <f t="shared" si="5"/>
        <v>1</v>
      </c>
      <c r="Q78">
        <f t="shared" si="6"/>
        <v>-3.2858571428571646E-3</v>
      </c>
      <c r="R78">
        <f t="shared" si="7"/>
        <v>-2.115771428571442E-3</v>
      </c>
      <c r="V78" s="6" t="s">
        <v>70</v>
      </c>
      <c r="W78" s="6">
        <v>-0.01</v>
      </c>
    </row>
    <row r="79" spans="1:23" x14ac:dyDescent="0.2">
      <c r="A79" t="s">
        <v>101</v>
      </c>
      <c r="B79" s="6" t="s">
        <v>73</v>
      </c>
      <c r="C79">
        <f>VLOOKUP(B79, $V$13:$W$96, 2, FALSE)</f>
        <v>-0.25</v>
      </c>
      <c r="D79" t="s">
        <v>116</v>
      </c>
      <c r="E79">
        <v>91.900000000000603</v>
      </c>
      <c r="F79">
        <f t="shared" si="4"/>
        <v>-22.975000000000151</v>
      </c>
      <c r="G79">
        <f>$U$6</f>
        <v>18</v>
      </c>
      <c r="H79">
        <f>F79/G79</f>
        <v>-1.2763888888888972</v>
      </c>
      <c r="I79">
        <f>IF(A79="crop",H79, 0)</f>
        <v>-1.2763888888888972</v>
      </c>
      <c r="J79">
        <f>IF(A79="crop", 0, H79)</f>
        <v>0</v>
      </c>
      <c r="N79">
        <f t="shared" si="5"/>
        <v>0</v>
      </c>
      <c r="Q79">
        <f t="shared" si="6"/>
        <v>-8.2235912698413252E-3</v>
      </c>
      <c r="R79">
        <f t="shared" si="7"/>
        <v>0</v>
      </c>
      <c r="V79" s="6" t="s">
        <v>71</v>
      </c>
      <c r="W79" s="6">
        <v>-0.03</v>
      </c>
    </row>
    <row r="80" spans="1:23" x14ac:dyDescent="0.2">
      <c r="A80" t="s">
        <v>101</v>
      </c>
      <c r="B80" s="6" t="s">
        <v>74</v>
      </c>
      <c r="C80">
        <f>VLOOKUP(B80, $V$13:$W$96, 2, FALSE)</f>
        <v>-0.27</v>
      </c>
      <c r="D80" t="s">
        <v>116</v>
      </c>
      <c r="E80">
        <v>92.000000000000597</v>
      </c>
      <c r="F80">
        <f t="shared" si="4"/>
        <v>-24.840000000000163</v>
      </c>
      <c r="G80">
        <f>$U$6</f>
        <v>18</v>
      </c>
      <c r="H80">
        <f>F80/G80</f>
        <v>-1.380000000000009</v>
      </c>
      <c r="I80">
        <f>IF(A80="crop",H80, 0)</f>
        <v>-1.380000000000009</v>
      </c>
      <c r="J80">
        <f>IF(A80="crop", 0, H80)</f>
        <v>0</v>
      </c>
      <c r="N80">
        <f t="shared" si="5"/>
        <v>0</v>
      </c>
      <c r="Q80">
        <f t="shared" si="6"/>
        <v>-8.8911428571429151E-3</v>
      </c>
      <c r="R80">
        <f t="shared" si="7"/>
        <v>0</v>
      </c>
      <c r="V80" s="6" t="s">
        <v>72</v>
      </c>
      <c r="W80" s="6">
        <v>-0.1</v>
      </c>
    </row>
    <row r="81" spans="1:23" x14ac:dyDescent="0.2">
      <c r="A81" t="s">
        <v>101</v>
      </c>
      <c r="B81" s="6" t="s">
        <v>75</v>
      </c>
      <c r="C81">
        <f>VLOOKUP(B81, $V$13:$W$96, 2, FALSE)</f>
        <v>-0.18</v>
      </c>
      <c r="D81" t="s">
        <v>116</v>
      </c>
      <c r="E81">
        <v>92.100000000000605</v>
      </c>
      <c r="F81">
        <f t="shared" si="4"/>
        <v>-16.57800000000011</v>
      </c>
      <c r="G81">
        <f>$U$6</f>
        <v>18</v>
      </c>
      <c r="H81">
        <f>F81/G81</f>
        <v>-0.92100000000000604</v>
      </c>
      <c r="I81">
        <f>IF(A81="crop",H81, 0)</f>
        <v>-0.92100000000000604</v>
      </c>
      <c r="J81">
        <f>IF(A81="crop", 0, H81)</f>
        <v>0</v>
      </c>
      <c r="N81">
        <f t="shared" si="5"/>
        <v>0</v>
      </c>
      <c r="Q81">
        <f t="shared" si="6"/>
        <v>-5.9338714285714685E-3</v>
      </c>
      <c r="R81">
        <f t="shared" si="7"/>
        <v>0</v>
      </c>
      <c r="V81" s="6" t="s">
        <v>73</v>
      </c>
      <c r="W81" s="6">
        <v>-0.25</v>
      </c>
    </row>
    <row r="82" spans="1:23" x14ac:dyDescent="0.2">
      <c r="A82" t="s">
        <v>101</v>
      </c>
      <c r="B82" s="6" t="s">
        <v>76</v>
      </c>
      <c r="C82">
        <f>VLOOKUP(B82, $V$13:$W$96, 2, FALSE)</f>
        <v>-0.12</v>
      </c>
      <c r="D82" t="s">
        <v>116</v>
      </c>
      <c r="E82">
        <v>92.2000000000006</v>
      </c>
      <c r="F82">
        <f t="shared" si="4"/>
        <v>-11.064000000000071</v>
      </c>
      <c r="G82">
        <f>$U$6</f>
        <v>18</v>
      </c>
      <c r="H82">
        <f>F82/G82</f>
        <v>-0.61466666666667058</v>
      </c>
      <c r="I82">
        <f>IF(A82="crop",H82, 0)</f>
        <v>-0.61466666666667058</v>
      </c>
      <c r="J82">
        <f>IF(A82="crop", 0, H82)</f>
        <v>0</v>
      </c>
      <c r="N82">
        <f t="shared" si="5"/>
        <v>0</v>
      </c>
      <c r="Q82">
        <f t="shared" si="6"/>
        <v>-3.9602095238095488E-3</v>
      </c>
      <c r="R82">
        <f t="shared" si="7"/>
        <v>0</v>
      </c>
      <c r="V82" s="6" t="s">
        <v>74</v>
      </c>
      <c r="W82" s="6">
        <v>-0.27</v>
      </c>
    </row>
    <row r="83" spans="1:23" x14ac:dyDescent="0.2">
      <c r="A83" t="s">
        <v>101</v>
      </c>
      <c r="B83" s="6" t="s">
        <v>77</v>
      </c>
      <c r="C83">
        <f>VLOOKUP(B83, $V$13:$W$96, 2, FALSE)</f>
        <v>-0.22</v>
      </c>
      <c r="D83" t="s">
        <v>116</v>
      </c>
      <c r="E83">
        <v>92.300000000000594</v>
      </c>
      <c r="F83">
        <f t="shared" si="4"/>
        <v>-20.306000000000132</v>
      </c>
      <c r="G83">
        <f>$U$6</f>
        <v>18</v>
      </c>
      <c r="H83">
        <f>F83/G83</f>
        <v>-1.1281111111111184</v>
      </c>
      <c r="I83">
        <f>IF(A83="crop",H83, 0)</f>
        <v>-1.1281111111111184</v>
      </c>
      <c r="J83">
        <f>IF(A83="crop", 0, H83)</f>
        <v>0</v>
      </c>
      <c r="N83">
        <f t="shared" si="5"/>
        <v>0</v>
      </c>
      <c r="Q83">
        <f t="shared" si="6"/>
        <v>-7.2682587301587777E-3</v>
      </c>
      <c r="R83">
        <f t="shared" si="7"/>
        <v>0</v>
      </c>
      <c r="V83" s="6" t="s">
        <v>75</v>
      </c>
      <c r="W83" s="6">
        <v>-0.18</v>
      </c>
    </row>
    <row r="84" spans="1:23" x14ac:dyDescent="0.2">
      <c r="A84" t="s">
        <v>101</v>
      </c>
      <c r="B84" s="6" t="s">
        <v>78</v>
      </c>
      <c r="C84">
        <f>VLOOKUP(B84, $V$13:$W$96, 2, FALSE)</f>
        <v>-0.2</v>
      </c>
      <c r="D84" t="s">
        <v>116</v>
      </c>
      <c r="E84">
        <v>92.400000000000603</v>
      </c>
      <c r="F84">
        <f t="shared" si="4"/>
        <v>-18.480000000000121</v>
      </c>
      <c r="G84">
        <f>$U$6</f>
        <v>18</v>
      </c>
      <c r="H84">
        <f>F84/G84</f>
        <v>-1.0266666666666735</v>
      </c>
      <c r="I84">
        <f>IF(A84="crop",H84, 0)</f>
        <v>-1.0266666666666735</v>
      </c>
      <c r="J84">
        <f>IF(A84="crop", 0, H84)</f>
        <v>0</v>
      </c>
      <c r="N84">
        <f t="shared" si="5"/>
        <v>0</v>
      </c>
      <c r="Q84">
        <f>(I84*$K$11+J84*$L$11)*$M$11</f>
        <v>-6.6146666666667114E-3</v>
      </c>
      <c r="R84">
        <f t="shared" si="7"/>
        <v>0</v>
      </c>
      <c r="V84" s="6" t="s">
        <v>76</v>
      </c>
      <c r="W84" s="6">
        <v>-0.12</v>
      </c>
    </row>
    <row r="85" spans="1:23" x14ac:dyDescent="0.2">
      <c r="A85" t="s">
        <v>101</v>
      </c>
      <c r="B85" s="6" t="s">
        <v>79</v>
      </c>
      <c r="C85">
        <f>VLOOKUP(B85, $V$13:$W$96, 2, FALSE)</f>
        <v>-0.18</v>
      </c>
      <c r="D85" t="s">
        <v>116</v>
      </c>
      <c r="E85">
        <v>92.500000000000597</v>
      </c>
      <c r="F85">
        <f t="shared" si="4"/>
        <v>-16.650000000000105</v>
      </c>
      <c r="G85">
        <f>$U$6</f>
        <v>18</v>
      </c>
      <c r="H85">
        <f>F85/G85</f>
        <v>-0.92500000000000582</v>
      </c>
      <c r="I85">
        <f>IF(A85="crop",H85, 0)</f>
        <v>-0.92500000000000582</v>
      </c>
      <c r="J85">
        <f>IF(A85="crop", 0, H85)</f>
        <v>0</v>
      </c>
      <c r="N85">
        <f t="shared" si="5"/>
        <v>0</v>
      </c>
      <c r="Q85">
        <f t="shared" ref="Q85:Q128" si="8">(I85*$K$11+J85*$L$11)*$M$11</f>
        <v>-5.9596428571428951E-3</v>
      </c>
      <c r="R85">
        <f t="shared" si="7"/>
        <v>0</v>
      </c>
      <c r="V85" s="6" t="s">
        <v>77</v>
      </c>
      <c r="W85" s="6">
        <v>-0.22</v>
      </c>
    </row>
    <row r="86" spans="1:23" x14ac:dyDescent="0.2">
      <c r="A86" t="s">
        <v>101</v>
      </c>
      <c r="B86" s="6" t="s">
        <v>80</v>
      </c>
      <c r="C86">
        <f>VLOOKUP(B86, $V$13:$W$96, 2, FALSE)</f>
        <v>-0.4</v>
      </c>
      <c r="D86" t="s">
        <v>116</v>
      </c>
      <c r="E86">
        <v>92.600000000000605</v>
      </c>
      <c r="F86">
        <f t="shared" si="4"/>
        <v>-37.040000000000241</v>
      </c>
      <c r="G86">
        <f>$U$6</f>
        <v>18</v>
      </c>
      <c r="H86">
        <f>F86/G86</f>
        <v>-2.0577777777777913</v>
      </c>
      <c r="I86">
        <f>IF(A86="crop",H86, 0)</f>
        <v>-2.0577777777777913</v>
      </c>
      <c r="J86">
        <f>IF(A86="crop", 0, H86)</f>
        <v>0</v>
      </c>
      <c r="N86">
        <f t="shared" si="5"/>
        <v>0</v>
      </c>
      <c r="Q86">
        <f t="shared" si="8"/>
        <v>-1.3257968253968341E-2</v>
      </c>
      <c r="R86">
        <f t="shared" si="7"/>
        <v>0</v>
      </c>
      <c r="V86" s="6" t="s">
        <v>78</v>
      </c>
      <c r="W86" s="6">
        <v>-0.2</v>
      </c>
    </row>
    <row r="87" spans="1:23" x14ac:dyDescent="0.2">
      <c r="A87" t="s">
        <v>101</v>
      </c>
      <c r="B87" s="6" t="s">
        <v>81</v>
      </c>
      <c r="C87">
        <f>VLOOKUP(B87, $V$13:$W$96, 2, FALSE)</f>
        <v>-0.21</v>
      </c>
      <c r="D87" t="s">
        <v>116</v>
      </c>
      <c r="E87">
        <v>92.7000000000006</v>
      </c>
      <c r="F87">
        <f t="shared" si="4"/>
        <v>-19.467000000000127</v>
      </c>
      <c r="G87">
        <f>$U$6</f>
        <v>18</v>
      </c>
      <c r="H87">
        <f>F87/G87</f>
        <v>-1.081500000000007</v>
      </c>
      <c r="I87">
        <f>IF(A87="crop",H87, 0)</f>
        <v>-1.081500000000007</v>
      </c>
      <c r="J87">
        <f>IF(A87="crop", 0, H87)</f>
        <v>0</v>
      </c>
      <c r="N87">
        <f t="shared" si="5"/>
        <v>0</v>
      </c>
      <c r="Q87">
        <f t="shared" si="8"/>
        <v>-6.9679500000000456E-3</v>
      </c>
      <c r="R87">
        <f t="shared" si="7"/>
        <v>0</v>
      </c>
      <c r="V87" s="6" t="s">
        <v>79</v>
      </c>
      <c r="W87" s="6">
        <v>-0.18</v>
      </c>
    </row>
    <row r="88" spans="1:23" x14ac:dyDescent="0.2">
      <c r="A88" t="s">
        <v>101</v>
      </c>
      <c r="B88" s="6" t="s">
        <v>82</v>
      </c>
      <c r="C88">
        <f>VLOOKUP(B88, $V$13:$W$96, 2, FALSE)</f>
        <v>-0.39</v>
      </c>
      <c r="D88" t="s">
        <v>116</v>
      </c>
      <c r="E88">
        <v>92.800000000000693</v>
      </c>
      <c r="F88">
        <f t="shared" si="4"/>
        <v>-36.19200000000027</v>
      </c>
      <c r="G88">
        <f>$U$6</f>
        <v>18</v>
      </c>
      <c r="H88">
        <f>F88/G88</f>
        <v>-2.0106666666666815</v>
      </c>
      <c r="I88">
        <f>IF(A88="crop",H88, 0)</f>
        <v>-2.0106666666666815</v>
      </c>
      <c r="J88">
        <f>IF(A88="crop", 0, H88)</f>
        <v>0</v>
      </c>
      <c r="N88">
        <f t="shared" si="5"/>
        <v>0</v>
      </c>
      <c r="Q88">
        <f t="shared" si="8"/>
        <v>-1.2954438095238193E-2</v>
      </c>
      <c r="R88">
        <f t="shared" si="7"/>
        <v>0</v>
      </c>
      <c r="V88" s="6" t="s">
        <v>80</v>
      </c>
      <c r="W88" s="6">
        <v>-0.4</v>
      </c>
    </row>
    <row r="89" spans="1:23" x14ac:dyDescent="0.2">
      <c r="A89" t="s">
        <v>101</v>
      </c>
      <c r="B89" s="6" t="s">
        <v>83</v>
      </c>
      <c r="C89">
        <f>VLOOKUP(B89, $V$13:$W$96, 2, FALSE)</f>
        <v>-0.69</v>
      </c>
      <c r="D89" t="s">
        <v>116</v>
      </c>
      <c r="E89">
        <v>92.900000000000702</v>
      </c>
      <c r="F89">
        <f t="shared" si="4"/>
        <v>-64.101000000000482</v>
      </c>
      <c r="G89">
        <f>$U$6</f>
        <v>18</v>
      </c>
      <c r="H89">
        <f>F89/G89</f>
        <v>-3.5611666666666935</v>
      </c>
      <c r="I89">
        <f>IF(A89="crop",H89, 0)</f>
        <v>-3.5611666666666935</v>
      </c>
      <c r="J89">
        <f>IF(A89="crop", 0, H89)</f>
        <v>0</v>
      </c>
      <c r="N89">
        <f t="shared" si="5"/>
        <v>0</v>
      </c>
      <c r="Q89">
        <f t="shared" si="8"/>
        <v>-2.294408809523827E-2</v>
      </c>
      <c r="R89">
        <f t="shared" si="7"/>
        <v>0</v>
      </c>
      <c r="V89" s="6" t="s">
        <v>81</v>
      </c>
      <c r="W89" s="6">
        <v>-0.21</v>
      </c>
    </row>
    <row r="90" spans="1:23" x14ac:dyDescent="0.2">
      <c r="A90" t="s">
        <v>101</v>
      </c>
      <c r="B90" s="6" t="s">
        <v>84</v>
      </c>
      <c r="C90">
        <f>VLOOKUP(B90, $V$13:$W$96, 2, FALSE)</f>
        <v>0</v>
      </c>
      <c r="D90" t="s">
        <v>116</v>
      </c>
      <c r="E90">
        <v>93.000000000000696</v>
      </c>
      <c r="F90">
        <f t="shared" si="4"/>
        <v>0</v>
      </c>
      <c r="G90">
        <f>$U$6</f>
        <v>18</v>
      </c>
      <c r="H90">
        <f>F90/G90</f>
        <v>0</v>
      </c>
      <c r="I90">
        <f>IF(A90="crop",H90, 0)</f>
        <v>0</v>
      </c>
      <c r="J90">
        <f>IF(A90="crop", 0, H90)</f>
        <v>0</v>
      </c>
      <c r="N90">
        <f t="shared" si="5"/>
        <v>0</v>
      </c>
      <c r="Q90">
        <f t="shared" si="8"/>
        <v>0</v>
      </c>
      <c r="R90">
        <f t="shared" si="7"/>
        <v>0</v>
      </c>
      <c r="V90" s="6" t="s">
        <v>82</v>
      </c>
      <c r="W90" s="6">
        <v>-0.39</v>
      </c>
    </row>
    <row r="91" spans="1:23" x14ac:dyDescent="0.2">
      <c r="A91" t="s">
        <v>101</v>
      </c>
      <c r="B91" s="6" t="s">
        <v>85</v>
      </c>
      <c r="C91">
        <f>VLOOKUP(B91, $V$13:$W$96, 2, FALSE)</f>
        <v>-7.0000000000000007E-2</v>
      </c>
      <c r="D91" t="s">
        <v>116</v>
      </c>
      <c r="E91">
        <v>93.100000000000705</v>
      </c>
      <c r="F91">
        <f t="shared" si="4"/>
        <v>-6.5170000000000501</v>
      </c>
      <c r="G91">
        <f>$U$6</f>
        <v>18</v>
      </c>
      <c r="H91">
        <f>F91/G91</f>
        <v>-0.36205555555555835</v>
      </c>
      <c r="I91">
        <f>IF(A91="crop",H91, 0)</f>
        <v>-0.36205555555555835</v>
      </c>
      <c r="J91">
        <f>IF(A91="crop", 0, H91)</f>
        <v>0</v>
      </c>
      <c r="N91">
        <f t="shared" si="5"/>
        <v>0</v>
      </c>
      <c r="Q91">
        <f t="shared" si="8"/>
        <v>-2.3326722222222407E-3</v>
      </c>
      <c r="R91">
        <f t="shared" si="7"/>
        <v>0</v>
      </c>
      <c r="V91" s="6" t="s">
        <v>83</v>
      </c>
      <c r="W91" s="6">
        <v>-0.69</v>
      </c>
    </row>
    <row r="92" spans="1:23" x14ac:dyDescent="0.2">
      <c r="A92" t="s">
        <v>101</v>
      </c>
      <c r="B92" s="6" t="s">
        <v>86</v>
      </c>
      <c r="C92">
        <f>VLOOKUP(B92, $V$13:$W$96, 2, FALSE)</f>
        <v>-0.56999999999999995</v>
      </c>
      <c r="D92" t="s">
        <v>116</v>
      </c>
      <c r="E92">
        <v>93.200000000000699</v>
      </c>
      <c r="F92">
        <f t="shared" si="4"/>
        <v>-53.124000000000393</v>
      </c>
      <c r="G92">
        <f>$U$6</f>
        <v>18</v>
      </c>
      <c r="H92">
        <f>F92/G92</f>
        <v>-2.9513333333333551</v>
      </c>
      <c r="I92">
        <f>IF(A92="crop",H92, 0)</f>
        <v>-2.9513333333333551</v>
      </c>
      <c r="J92">
        <f>IF(A92="crop", 0, H92)</f>
        <v>0</v>
      </c>
      <c r="N92">
        <f t="shared" si="5"/>
        <v>0</v>
      </c>
      <c r="Q92">
        <f t="shared" si="8"/>
        <v>-1.9015019047619191E-2</v>
      </c>
      <c r="R92">
        <f t="shared" si="7"/>
        <v>0</v>
      </c>
      <c r="V92" s="6" t="s">
        <v>84</v>
      </c>
      <c r="W92" s="6">
        <v>0</v>
      </c>
    </row>
    <row r="93" spans="1:23" x14ac:dyDescent="0.2">
      <c r="A93" t="s">
        <v>101</v>
      </c>
      <c r="B93" s="6" t="s">
        <v>87</v>
      </c>
      <c r="C93">
        <f>VLOOKUP(B93, $V$13:$W$96, 2, FALSE)</f>
        <v>-0.67</v>
      </c>
      <c r="D93" t="s">
        <v>116</v>
      </c>
      <c r="E93">
        <v>93.300000000000693</v>
      </c>
      <c r="F93">
        <f t="shared" si="4"/>
        <v>-62.511000000000472</v>
      </c>
      <c r="G93">
        <f>$U$6</f>
        <v>18</v>
      </c>
      <c r="H93">
        <f>F93/G93</f>
        <v>-3.4728333333333596</v>
      </c>
      <c r="I93">
        <f>IF(A93="crop",H93, 0)</f>
        <v>-3.4728333333333596</v>
      </c>
      <c r="J93">
        <f>IF(A93="crop", 0, H93)</f>
        <v>0</v>
      </c>
      <c r="N93">
        <f t="shared" si="5"/>
        <v>0</v>
      </c>
      <c r="Q93">
        <f t="shared" si="8"/>
        <v>-2.2374969047619219E-2</v>
      </c>
      <c r="R93">
        <f t="shared" si="7"/>
        <v>0</v>
      </c>
      <c r="V93" s="6" t="s">
        <v>85</v>
      </c>
      <c r="W93" s="6">
        <v>-7.0000000000000007E-2</v>
      </c>
    </row>
    <row r="94" spans="1:23" x14ac:dyDescent="0.2">
      <c r="A94" t="s">
        <v>101</v>
      </c>
      <c r="B94" s="6" t="s">
        <v>88</v>
      </c>
      <c r="C94">
        <f>VLOOKUP(B94, $V$13:$W$96, 2, FALSE)</f>
        <v>-0.05</v>
      </c>
      <c r="D94" t="s">
        <v>116</v>
      </c>
      <c r="E94">
        <v>93.400000000000702</v>
      </c>
      <c r="F94">
        <f t="shared" si="4"/>
        <v>-4.6700000000000355</v>
      </c>
      <c r="G94">
        <f>$U$6</f>
        <v>18</v>
      </c>
      <c r="H94">
        <f>F94/G94</f>
        <v>-0.25944444444444642</v>
      </c>
      <c r="I94">
        <f>IF(A94="crop",H94, 0)</f>
        <v>-0.25944444444444642</v>
      </c>
      <c r="J94">
        <f>IF(A94="crop", 0, H94)</f>
        <v>0</v>
      </c>
      <c r="N94">
        <f t="shared" si="5"/>
        <v>0</v>
      </c>
      <c r="Q94">
        <f t="shared" si="8"/>
        <v>-1.671563492063505E-3</v>
      </c>
      <c r="R94">
        <f t="shared" si="7"/>
        <v>0</v>
      </c>
      <c r="V94" s="6" t="s">
        <v>86</v>
      </c>
      <c r="W94" s="6">
        <v>-0.56999999999999995</v>
      </c>
    </row>
    <row r="95" spans="1:23" x14ac:dyDescent="0.2">
      <c r="A95" t="s">
        <v>102</v>
      </c>
      <c r="B95" s="6" t="s">
        <v>5</v>
      </c>
      <c r="C95">
        <f>VLOOKUP(B95, $V$13:$W$96, 2, FALSE)</f>
        <v>-0.12</v>
      </c>
      <c r="D95" t="s">
        <v>116</v>
      </c>
      <c r="E95">
        <v>93.500000000000696</v>
      </c>
      <c r="F95">
        <f t="shared" ref="F95:F158" si="9">C95*E95</f>
        <v>-11.220000000000082</v>
      </c>
      <c r="G95">
        <f>$U$6</f>
        <v>18</v>
      </c>
      <c r="H95">
        <f>F95/G95</f>
        <v>-0.62333333333333796</v>
      </c>
      <c r="I95">
        <f>IF(A95="crop",H95, 0)</f>
        <v>0</v>
      </c>
      <c r="J95">
        <f>IF(A95="crop", 0, H95)</f>
        <v>-0.62333333333333796</v>
      </c>
      <c r="N95">
        <f t="shared" si="5"/>
        <v>0</v>
      </c>
      <c r="Q95">
        <f t="shared" si="8"/>
        <v>-1.76314285714287E-3</v>
      </c>
      <c r="R95">
        <f t="shared" si="7"/>
        <v>0</v>
      </c>
      <c r="V95" s="6" t="s">
        <v>87</v>
      </c>
      <c r="W95" s="6">
        <v>-0.67</v>
      </c>
    </row>
    <row r="96" spans="1:23" x14ac:dyDescent="0.2">
      <c r="A96" t="s">
        <v>102</v>
      </c>
      <c r="B96" s="6" t="s">
        <v>6</v>
      </c>
      <c r="C96">
        <f>VLOOKUP(B96, $V$13:$W$96, 2, FALSE)</f>
        <v>-0.39</v>
      </c>
      <c r="D96" t="s">
        <v>116</v>
      </c>
      <c r="E96">
        <v>93.600000000000705</v>
      </c>
      <c r="F96">
        <f t="shared" si="9"/>
        <v>-36.504000000000275</v>
      </c>
      <c r="G96">
        <f>$U$6</f>
        <v>18</v>
      </c>
      <c r="H96">
        <f>F96/G96</f>
        <v>-2.0280000000000151</v>
      </c>
      <c r="I96">
        <f>IF(A96="crop",H96, 0)</f>
        <v>0</v>
      </c>
      <c r="J96">
        <f>IF(A96="crop", 0, H96)</f>
        <v>-2.0280000000000151</v>
      </c>
      <c r="N96">
        <f t="shared" si="5"/>
        <v>0</v>
      </c>
      <c r="Q96">
        <f t="shared" si="8"/>
        <v>-5.7363428571428994E-3</v>
      </c>
      <c r="R96">
        <f t="shared" si="7"/>
        <v>0</v>
      </c>
      <c r="V96" s="6" t="s">
        <v>88</v>
      </c>
      <c r="W96" s="6">
        <v>-0.05</v>
      </c>
    </row>
    <row r="97" spans="1:18" x14ac:dyDescent="0.2">
      <c r="A97" t="s">
        <v>102</v>
      </c>
      <c r="B97" s="6" t="s">
        <v>7</v>
      </c>
      <c r="C97">
        <f>VLOOKUP(B97, $V$13:$W$96, 2, FALSE)</f>
        <v>-0.09</v>
      </c>
      <c r="D97" t="s">
        <v>116</v>
      </c>
      <c r="E97">
        <v>93.700000000000699</v>
      </c>
      <c r="F97">
        <f t="shared" si="9"/>
        <v>-8.433000000000062</v>
      </c>
      <c r="G97">
        <f>$U$6</f>
        <v>18</v>
      </c>
      <c r="H97">
        <f>F97/G97</f>
        <v>-0.46850000000000347</v>
      </c>
      <c r="I97">
        <f>IF(A97="crop",H97, 0)</f>
        <v>0</v>
      </c>
      <c r="J97">
        <f>IF(A97="crop", 0, H97)</f>
        <v>-0.46850000000000347</v>
      </c>
      <c r="N97">
        <f t="shared" si="5"/>
        <v>0</v>
      </c>
      <c r="Q97">
        <f t="shared" si="8"/>
        <v>-1.3251857142857241E-3</v>
      </c>
      <c r="R97">
        <f t="shared" si="7"/>
        <v>0</v>
      </c>
    </row>
    <row r="98" spans="1:18" x14ac:dyDescent="0.2">
      <c r="A98" t="s">
        <v>102</v>
      </c>
      <c r="B98" s="6" t="s">
        <v>8</v>
      </c>
      <c r="C98">
        <f>VLOOKUP(B98, $V$13:$W$96, 2, FALSE)</f>
        <v>-0.09</v>
      </c>
      <c r="D98" t="s">
        <v>116</v>
      </c>
      <c r="E98">
        <v>93.800000000000693</v>
      </c>
      <c r="F98">
        <f t="shared" si="9"/>
        <v>-8.4420000000000623</v>
      </c>
      <c r="G98">
        <f>$U$6</f>
        <v>18</v>
      </c>
      <c r="H98">
        <f>F98/G98</f>
        <v>-0.46900000000000347</v>
      </c>
      <c r="I98">
        <f>IF(A98="crop",H98, 0)</f>
        <v>0</v>
      </c>
      <c r="J98">
        <f>IF(A98="crop", 0, H98)</f>
        <v>-0.46900000000000347</v>
      </c>
      <c r="N98">
        <f t="shared" si="5"/>
        <v>0</v>
      </c>
      <c r="Q98">
        <f t="shared" si="8"/>
        <v>-1.3266000000000098E-3</v>
      </c>
      <c r="R98">
        <f t="shared" si="7"/>
        <v>0</v>
      </c>
    </row>
    <row r="99" spans="1:18" x14ac:dyDescent="0.2">
      <c r="A99" t="s">
        <v>102</v>
      </c>
      <c r="B99" s="6" t="s">
        <v>9</v>
      </c>
      <c r="C99">
        <f>VLOOKUP(B99, $V$13:$W$96, 2, FALSE)</f>
        <v>-0.13</v>
      </c>
      <c r="D99" t="s">
        <v>114</v>
      </c>
      <c r="E99">
        <v>93.900000000000702</v>
      </c>
      <c r="F99">
        <f t="shared" si="9"/>
        <v>-12.207000000000091</v>
      </c>
      <c r="G99">
        <f>$U$6</f>
        <v>18</v>
      </c>
      <c r="H99">
        <f>F99/G99</f>
        <v>-0.67816666666667169</v>
      </c>
      <c r="I99">
        <f>IF(A99="crop",H99, 0)</f>
        <v>0</v>
      </c>
      <c r="J99">
        <f>IF(A99="crop", 0, H99)</f>
        <v>-0.67816666666667169</v>
      </c>
      <c r="N99">
        <f t="shared" si="5"/>
        <v>1</v>
      </c>
      <c r="Q99">
        <f t="shared" si="8"/>
        <v>-1.9182428571428713E-3</v>
      </c>
      <c r="R99">
        <f t="shared" si="7"/>
        <v>-2.8134228571428778E-3</v>
      </c>
    </row>
    <row r="100" spans="1:18" x14ac:dyDescent="0.2">
      <c r="A100" t="s">
        <v>102</v>
      </c>
      <c r="B100" s="6" t="s">
        <v>10</v>
      </c>
      <c r="C100">
        <f>VLOOKUP(B100, $V$13:$W$96, 2, FALSE)</f>
        <v>-0.13</v>
      </c>
      <c r="D100" t="s">
        <v>114</v>
      </c>
      <c r="E100">
        <v>94.000000000000796</v>
      </c>
      <c r="F100">
        <f t="shared" si="9"/>
        <v>-12.220000000000104</v>
      </c>
      <c r="G100">
        <f>$U$6</f>
        <v>18</v>
      </c>
      <c r="H100">
        <f>F100/G100</f>
        <v>-0.67888888888889465</v>
      </c>
      <c r="I100">
        <f>IF(A100="crop",H100, 0)</f>
        <v>0</v>
      </c>
      <c r="J100">
        <f>IF(A100="crop", 0, H100)</f>
        <v>-0.67888888888889465</v>
      </c>
      <c r="N100">
        <f t="shared" si="5"/>
        <v>1</v>
      </c>
      <c r="Q100">
        <f t="shared" si="8"/>
        <v>-1.9202857142857307E-3</v>
      </c>
      <c r="R100">
        <f t="shared" si="7"/>
        <v>-2.8164190476190711E-3</v>
      </c>
    </row>
    <row r="101" spans="1:18" x14ac:dyDescent="0.2">
      <c r="A101" t="s">
        <v>102</v>
      </c>
      <c r="B101" s="6" t="s">
        <v>11</v>
      </c>
      <c r="C101">
        <f>VLOOKUP(B101, $V$13:$W$96, 2, FALSE)</f>
        <v>-0.55000000000000004</v>
      </c>
      <c r="D101" t="s">
        <v>114</v>
      </c>
      <c r="E101">
        <v>94.100000000000804</v>
      </c>
      <c r="F101">
        <f t="shared" si="9"/>
        <v>-51.755000000000443</v>
      </c>
      <c r="G101">
        <f>$U$6</f>
        <v>18</v>
      </c>
      <c r="H101">
        <f>F101/G101</f>
        <v>-2.8752777777778022</v>
      </c>
      <c r="I101">
        <f>IF(A101="crop",H101, 0)</f>
        <v>0</v>
      </c>
      <c r="J101">
        <f>IF(A101="crop", 0, H101)</f>
        <v>-2.8752777777778022</v>
      </c>
      <c r="N101">
        <f t="shared" si="5"/>
        <v>1</v>
      </c>
      <c r="Q101">
        <f t="shared" si="8"/>
        <v>-8.1329285714286399E-3</v>
      </c>
      <c r="R101">
        <f t="shared" si="7"/>
        <v>-1.1928295238095339E-2</v>
      </c>
    </row>
    <row r="102" spans="1:18" x14ac:dyDescent="0.2">
      <c r="A102" t="s">
        <v>102</v>
      </c>
      <c r="B102" s="6" t="s">
        <v>12</v>
      </c>
      <c r="C102">
        <f>VLOOKUP(B102, $V$13:$W$96, 2, FALSE)</f>
        <v>-0.01</v>
      </c>
      <c r="D102" t="s">
        <v>114</v>
      </c>
      <c r="E102">
        <v>94.200000000000799</v>
      </c>
      <c r="F102">
        <f t="shared" si="9"/>
        <v>-0.94200000000000805</v>
      </c>
      <c r="G102">
        <f>$U$6</f>
        <v>18</v>
      </c>
      <c r="H102">
        <f>F102/G102</f>
        <v>-5.233333333333378E-2</v>
      </c>
      <c r="I102">
        <f>IF(A102="crop",H102, 0)</f>
        <v>0</v>
      </c>
      <c r="J102">
        <f>IF(A102="crop", 0, H102)</f>
        <v>-5.233333333333378E-2</v>
      </c>
      <c r="N102">
        <f t="shared" si="5"/>
        <v>1</v>
      </c>
      <c r="Q102">
        <f t="shared" si="8"/>
        <v>-1.4802857142857267E-4</v>
      </c>
      <c r="R102">
        <f t="shared" si="7"/>
        <v>-2.1710857142857328E-4</v>
      </c>
    </row>
    <row r="103" spans="1:18" x14ac:dyDescent="0.2">
      <c r="A103" t="s">
        <v>102</v>
      </c>
      <c r="B103" s="6" t="s">
        <v>13</v>
      </c>
      <c r="C103">
        <f>VLOOKUP(B103, $V$13:$W$96, 2, FALSE)</f>
        <v>-7.0000000000000007E-2</v>
      </c>
      <c r="D103" t="s">
        <v>114</v>
      </c>
      <c r="E103">
        <v>94.300000000000793</v>
      </c>
      <c r="F103">
        <f t="shared" si="9"/>
        <v>-6.6010000000000559</v>
      </c>
      <c r="G103">
        <f>$U$6</f>
        <v>18</v>
      </c>
      <c r="H103">
        <f>F103/G103</f>
        <v>-0.36672222222222534</v>
      </c>
      <c r="I103">
        <f>IF(A103="crop",H103, 0)</f>
        <v>0</v>
      </c>
      <c r="J103">
        <f>IF(A103="crop", 0, H103)</f>
        <v>-0.36672222222222534</v>
      </c>
      <c r="N103">
        <f t="shared" si="5"/>
        <v>1</v>
      </c>
      <c r="Q103">
        <f t="shared" si="8"/>
        <v>-1.0373000000000088E-3</v>
      </c>
      <c r="R103">
        <f t="shared" si="7"/>
        <v>-1.5213733333333461E-3</v>
      </c>
    </row>
    <row r="104" spans="1:18" x14ac:dyDescent="0.2">
      <c r="A104" t="s">
        <v>102</v>
      </c>
      <c r="B104" s="6" t="s">
        <v>14</v>
      </c>
      <c r="C104">
        <f>VLOOKUP(B104, $V$13:$W$96, 2, FALSE)</f>
        <v>-0.06</v>
      </c>
      <c r="D104" t="s">
        <v>114</v>
      </c>
      <c r="E104">
        <v>94.400000000000801</v>
      </c>
      <c r="F104">
        <f t="shared" si="9"/>
        <v>-5.6640000000000477</v>
      </c>
      <c r="G104">
        <f>$U$6</f>
        <v>18</v>
      </c>
      <c r="H104">
        <f>F104/G104</f>
        <v>-0.31466666666666931</v>
      </c>
      <c r="I104">
        <f>IF(A104="crop",H104, 0)</f>
        <v>0</v>
      </c>
      <c r="J104">
        <f>IF(A104="crop", 0, H104)</f>
        <v>-0.31466666666666931</v>
      </c>
      <c r="N104">
        <f t="shared" si="5"/>
        <v>1</v>
      </c>
      <c r="Q104">
        <f t="shared" si="8"/>
        <v>-8.9005714285715035E-4</v>
      </c>
      <c r="R104">
        <f t="shared" si="7"/>
        <v>-1.3054171428571537E-3</v>
      </c>
    </row>
    <row r="105" spans="1:18" x14ac:dyDescent="0.2">
      <c r="A105" t="s">
        <v>102</v>
      </c>
      <c r="B105" s="6" t="s">
        <v>15</v>
      </c>
      <c r="C105">
        <f>VLOOKUP(B105, $V$13:$W$96, 2, FALSE)</f>
        <v>-0.09</v>
      </c>
      <c r="D105" t="s">
        <v>114</v>
      </c>
      <c r="E105">
        <v>94.500000000000796</v>
      </c>
      <c r="F105">
        <f t="shared" si="9"/>
        <v>-8.5050000000000718</v>
      </c>
      <c r="G105">
        <f>$U$6</f>
        <v>18</v>
      </c>
      <c r="H105">
        <f>F105/G105</f>
        <v>-0.47250000000000397</v>
      </c>
      <c r="I105">
        <f>IF(A105="crop",H105, 0)</f>
        <v>0</v>
      </c>
      <c r="J105">
        <f>IF(A105="crop", 0, H105)</f>
        <v>-0.47250000000000397</v>
      </c>
      <c r="N105">
        <f t="shared" si="5"/>
        <v>1</v>
      </c>
      <c r="Q105">
        <f t="shared" si="8"/>
        <v>-1.3365000000000113E-3</v>
      </c>
      <c r="R105">
        <f t="shared" si="7"/>
        <v>-1.9602000000000161E-3</v>
      </c>
    </row>
    <row r="106" spans="1:18" x14ac:dyDescent="0.2">
      <c r="A106" t="s">
        <v>102</v>
      </c>
      <c r="B106" s="6" t="s">
        <v>16</v>
      </c>
      <c r="C106">
        <f>VLOOKUP(B106, $V$13:$W$96, 2, FALSE)</f>
        <v>-0.19</v>
      </c>
      <c r="D106" t="s">
        <v>114</v>
      </c>
      <c r="E106">
        <v>94.600000000000804</v>
      </c>
      <c r="F106">
        <f t="shared" si="9"/>
        <v>-17.974000000000153</v>
      </c>
      <c r="G106">
        <f>$U$6</f>
        <v>18</v>
      </c>
      <c r="H106">
        <f>F106/G106</f>
        <v>-0.99855555555556408</v>
      </c>
      <c r="I106">
        <f>IF(A106="crop",H106, 0)</f>
        <v>0</v>
      </c>
      <c r="J106">
        <f>IF(A106="crop", 0, H106)</f>
        <v>-0.99855555555556408</v>
      </c>
      <c r="N106">
        <f t="shared" si="5"/>
        <v>1</v>
      </c>
      <c r="Q106">
        <f t="shared" si="8"/>
        <v>-2.8244857142857385E-3</v>
      </c>
      <c r="R106">
        <f t="shared" si="7"/>
        <v>-4.1425790476190827E-3</v>
      </c>
    </row>
    <row r="107" spans="1:18" x14ac:dyDescent="0.2">
      <c r="A107" t="s">
        <v>102</v>
      </c>
      <c r="B107" s="6" t="s">
        <v>17</v>
      </c>
      <c r="C107">
        <f>VLOOKUP(B107, $V$13:$W$96, 2, FALSE)</f>
        <v>-0.13</v>
      </c>
      <c r="D107" t="s">
        <v>114</v>
      </c>
      <c r="E107">
        <v>94.700000000000799</v>
      </c>
      <c r="F107">
        <f t="shared" si="9"/>
        <v>-12.311000000000105</v>
      </c>
      <c r="G107">
        <f>$U$6</f>
        <v>18</v>
      </c>
      <c r="H107">
        <f>F107/G107</f>
        <v>-0.68394444444445024</v>
      </c>
      <c r="I107">
        <f>IF(A107="crop",H107, 0)</f>
        <v>0</v>
      </c>
      <c r="J107">
        <f>IF(A107="crop", 0, H107)</f>
        <v>-0.68394444444445024</v>
      </c>
      <c r="N107">
        <f t="shared" si="5"/>
        <v>1</v>
      </c>
      <c r="Q107">
        <f t="shared" si="8"/>
        <v>-1.9345857142857306E-3</v>
      </c>
      <c r="R107">
        <f t="shared" si="7"/>
        <v>-2.8373923809524048E-3</v>
      </c>
    </row>
    <row r="108" spans="1:18" x14ac:dyDescent="0.2">
      <c r="A108" t="s">
        <v>102</v>
      </c>
      <c r="B108" s="6" t="s">
        <v>18</v>
      </c>
      <c r="C108">
        <f>VLOOKUP(B108, $V$13:$W$96, 2, FALSE)</f>
        <v>-0.04</v>
      </c>
      <c r="D108" t="s">
        <v>114</v>
      </c>
      <c r="E108">
        <v>94.800000000000793</v>
      </c>
      <c r="F108">
        <f t="shared" si="9"/>
        <v>-3.7920000000000318</v>
      </c>
      <c r="G108">
        <f>$U$6</f>
        <v>18</v>
      </c>
      <c r="H108">
        <f>F108/G108</f>
        <v>-0.21066666666666845</v>
      </c>
      <c r="I108">
        <f>IF(A108="crop",H108, 0)</f>
        <v>0</v>
      </c>
      <c r="J108">
        <f>IF(A108="crop", 0, H108)</f>
        <v>-0.21066666666666845</v>
      </c>
      <c r="N108">
        <f t="shared" si="5"/>
        <v>1</v>
      </c>
      <c r="Q108">
        <f t="shared" si="8"/>
        <v>-5.9588571428571932E-4</v>
      </c>
      <c r="R108">
        <f t="shared" si="7"/>
        <v>-8.7396571428572159E-4</v>
      </c>
    </row>
    <row r="109" spans="1:18" x14ac:dyDescent="0.2">
      <c r="A109" t="s">
        <v>102</v>
      </c>
      <c r="B109" s="6" t="s">
        <v>19</v>
      </c>
      <c r="C109">
        <f>VLOOKUP(B109, $V$13:$W$96, 2, FALSE)</f>
        <v>-0.4</v>
      </c>
      <c r="D109" t="s">
        <v>114</v>
      </c>
      <c r="E109">
        <v>94.900000000000801</v>
      </c>
      <c r="F109">
        <f t="shared" si="9"/>
        <v>-37.960000000000321</v>
      </c>
      <c r="G109">
        <f>$U$6</f>
        <v>18</v>
      </c>
      <c r="H109">
        <f>F109/G109</f>
        <v>-2.1088888888889068</v>
      </c>
      <c r="I109">
        <f>IF(A109="crop",H109, 0)</f>
        <v>0</v>
      </c>
      <c r="J109">
        <f>IF(A109="crop", 0, H109)</f>
        <v>-2.1088888888889068</v>
      </c>
      <c r="N109">
        <f t="shared" si="5"/>
        <v>1</v>
      </c>
      <c r="Q109">
        <f t="shared" si="8"/>
        <v>-5.9651428571429075E-3</v>
      </c>
      <c r="R109">
        <f t="shared" si="7"/>
        <v>-8.7488761904762642E-3</v>
      </c>
    </row>
    <row r="110" spans="1:18" x14ac:dyDescent="0.2">
      <c r="A110" t="s">
        <v>102</v>
      </c>
      <c r="B110" s="6" t="s">
        <v>20</v>
      </c>
      <c r="C110">
        <f>VLOOKUP(B110, $V$13:$W$96, 2, FALSE)</f>
        <v>-0.09</v>
      </c>
      <c r="D110" t="s">
        <v>114</v>
      </c>
      <c r="E110">
        <v>95.000000000000796</v>
      </c>
      <c r="F110">
        <f t="shared" si="9"/>
        <v>-8.5500000000000718</v>
      </c>
      <c r="G110">
        <f>$U$6</f>
        <v>18</v>
      </c>
      <c r="H110">
        <f>F110/G110</f>
        <v>-0.47500000000000397</v>
      </c>
      <c r="I110">
        <f>IF(A110="crop",H110, 0)</f>
        <v>0</v>
      </c>
      <c r="J110">
        <f>IF(A110="crop", 0, H110)</f>
        <v>-0.47500000000000397</v>
      </c>
      <c r="N110">
        <f t="shared" si="5"/>
        <v>1</v>
      </c>
      <c r="Q110">
        <f t="shared" si="8"/>
        <v>-1.3435714285714398E-3</v>
      </c>
      <c r="R110">
        <f t="shared" si="7"/>
        <v>-1.9705714285714448E-3</v>
      </c>
    </row>
    <row r="111" spans="1:18" x14ac:dyDescent="0.2">
      <c r="A111" t="s">
        <v>102</v>
      </c>
      <c r="B111" s="6" t="s">
        <v>21</v>
      </c>
      <c r="C111">
        <f>VLOOKUP(B111, $V$13:$W$96, 2, FALSE)</f>
        <v>0</v>
      </c>
      <c r="D111" t="s">
        <v>114</v>
      </c>
      <c r="E111">
        <v>95.100000000000904</v>
      </c>
      <c r="F111">
        <f t="shared" si="9"/>
        <v>0</v>
      </c>
      <c r="G111">
        <f>$U$6</f>
        <v>18</v>
      </c>
      <c r="H111">
        <f>F111/G111</f>
        <v>0</v>
      </c>
      <c r="I111">
        <f>IF(A111="crop",H111, 0)</f>
        <v>0</v>
      </c>
      <c r="J111">
        <f>IF(A111="crop", 0, H111)</f>
        <v>0</v>
      </c>
      <c r="N111">
        <f t="shared" si="5"/>
        <v>1</v>
      </c>
      <c r="Q111">
        <f t="shared" si="8"/>
        <v>0</v>
      </c>
      <c r="R111">
        <f t="shared" si="7"/>
        <v>0</v>
      </c>
    </row>
    <row r="112" spans="1:18" x14ac:dyDescent="0.2">
      <c r="A112" t="s">
        <v>102</v>
      </c>
      <c r="B112" s="6" t="s">
        <v>22</v>
      </c>
      <c r="C112">
        <f>VLOOKUP(B112, $V$13:$W$96, 2, FALSE)</f>
        <v>-0.44</v>
      </c>
      <c r="D112" t="s">
        <v>114</v>
      </c>
      <c r="E112">
        <v>95.200000000000898</v>
      </c>
      <c r="F112">
        <f t="shared" si="9"/>
        <v>-41.888000000000396</v>
      </c>
      <c r="G112">
        <f>$U$6</f>
        <v>18</v>
      </c>
      <c r="H112">
        <f>F112/G112</f>
        <v>-2.3271111111111331</v>
      </c>
      <c r="I112">
        <f>IF(A112="crop",H112, 0)</f>
        <v>0</v>
      </c>
      <c r="J112">
        <f>IF(A112="crop", 0, H112)</f>
        <v>-2.3271111111111331</v>
      </c>
      <c r="N112">
        <f t="shared" si="5"/>
        <v>1</v>
      </c>
      <c r="Q112">
        <f t="shared" si="8"/>
        <v>-6.582400000000062E-3</v>
      </c>
      <c r="R112">
        <f t="shared" si="7"/>
        <v>-9.6541866666667569E-3</v>
      </c>
    </row>
    <row r="113" spans="1:18" x14ac:dyDescent="0.2">
      <c r="A113" t="s">
        <v>102</v>
      </c>
      <c r="B113" s="6" t="s">
        <v>23</v>
      </c>
      <c r="C113">
        <f>VLOOKUP(B113, $V$13:$W$96, 2, FALSE)</f>
        <v>-0.21</v>
      </c>
      <c r="D113" t="s">
        <v>114</v>
      </c>
      <c r="E113">
        <v>95.300000000000907</v>
      </c>
      <c r="F113">
        <f t="shared" si="9"/>
        <v>-20.01300000000019</v>
      </c>
      <c r="G113">
        <f>$U$6</f>
        <v>18</v>
      </c>
      <c r="H113">
        <f>F113/G113</f>
        <v>-1.1118333333333439</v>
      </c>
      <c r="I113">
        <f>IF(A113="crop",H113, 0)</f>
        <v>0</v>
      </c>
      <c r="J113">
        <f>IF(A113="crop", 0, H113)</f>
        <v>-1.1118333333333439</v>
      </c>
      <c r="N113">
        <f t="shared" si="5"/>
        <v>1</v>
      </c>
      <c r="Q113">
        <f t="shared" si="8"/>
        <v>-3.1449000000000294E-3</v>
      </c>
      <c r="R113">
        <f t="shared" si="7"/>
        <v>-4.6125200000000435E-3</v>
      </c>
    </row>
    <row r="114" spans="1:18" x14ac:dyDescent="0.2">
      <c r="A114" t="s">
        <v>102</v>
      </c>
      <c r="B114" s="6" t="s">
        <v>24</v>
      </c>
      <c r="C114">
        <f>VLOOKUP(B114, $V$13:$W$96, 2, FALSE)</f>
        <v>-0.21</v>
      </c>
      <c r="D114" t="s">
        <v>114</v>
      </c>
      <c r="E114">
        <v>95.400000000000901</v>
      </c>
      <c r="F114">
        <f t="shared" si="9"/>
        <v>-20.034000000000187</v>
      </c>
      <c r="G114">
        <f>$U$6</f>
        <v>18</v>
      </c>
      <c r="H114">
        <f>F114/G114</f>
        <v>-1.1130000000000104</v>
      </c>
      <c r="I114">
        <f>IF(A114="crop",H114, 0)</f>
        <v>0</v>
      </c>
      <c r="J114">
        <f>IF(A114="crop", 0, H114)</f>
        <v>-1.1130000000000104</v>
      </c>
      <c r="N114">
        <f t="shared" si="5"/>
        <v>1</v>
      </c>
      <c r="Q114">
        <f t="shared" si="8"/>
        <v>-3.1482000000000298E-3</v>
      </c>
      <c r="R114">
        <f t="shared" si="7"/>
        <v>-4.6173600000000417E-3</v>
      </c>
    </row>
    <row r="115" spans="1:18" x14ac:dyDescent="0.2">
      <c r="A115" t="s">
        <v>102</v>
      </c>
      <c r="B115" s="6" t="s">
        <v>25</v>
      </c>
      <c r="C115">
        <f>VLOOKUP(B115, $V$13:$W$96, 2, FALSE)</f>
        <v>0</v>
      </c>
      <c r="D115" t="s">
        <v>114</v>
      </c>
      <c r="E115">
        <v>95.500000000000895</v>
      </c>
      <c r="F115">
        <f t="shared" si="9"/>
        <v>0</v>
      </c>
      <c r="G115">
        <f>$U$6</f>
        <v>18</v>
      </c>
      <c r="H115">
        <f>F115/G115</f>
        <v>0</v>
      </c>
      <c r="I115">
        <f>IF(A115="crop",H115, 0)</f>
        <v>0</v>
      </c>
      <c r="J115">
        <f>IF(A115="crop", 0, H115)</f>
        <v>0</v>
      </c>
      <c r="N115">
        <f t="shared" si="5"/>
        <v>1</v>
      </c>
      <c r="Q115">
        <f t="shared" si="8"/>
        <v>0</v>
      </c>
      <c r="R115">
        <f t="shared" si="7"/>
        <v>0</v>
      </c>
    </row>
    <row r="116" spans="1:18" x14ac:dyDescent="0.2">
      <c r="A116" t="s">
        <v>102</v>
      </c>
      <c r="B116" s="6" t="s">
        <v>26</v>
      </c>
      <c r="C116">
        <f>VLOOKUP(B116, $V$13:$W$96, 2, FALSE)</f>
        <v>-0.04</v>
      </c>
      <c r="D116" t="s">
        <v>114</v>
      </c>
      <c r="E116">
        <v>95.600000000000904</v>
      </c>
      <c r="F116">
        <f t="shared" si="9"/>
        <v>-3.8240000000000363</v>
      </c>
      <c r="G116">
        <f>$U$6</f>
        <v>18</v>
      </c>
      <c r="H116">
        <f>F116/G116</f>
        <v>-0.21244444444444646</v>
      </c>
      <c r="I116">
        <f>IF(A116="crop",H116, 0)</f>
        <v>0</v>
      </c>
      <c r="J116">
        <f>IF(A116="crop", 0, H116)</f>
        <v>-0.21244444444444646</v>
      </c>
      <c r="N116">
        <f t="shared" si="5"/>
        <v>1</v>
      </c>
      <c r="Q116">
        <f t="shared" si="8"/>
        <v>-6.0091428571429134E-4</v>
      </c>
      <c r="R116">
        <f t="shared" si="7"/>
        <v>-8.8134095238096065E-4</v>
      </c>
    </row>
    <row r="117" spans="1:18" x14ac:dyDescent="0.2">
      <c r="A117" t="s">
        <v>102</v>
      </c>
      <c r="B117" s="6" t="s">
        <v>27</v>
      </c>
      <c r="C117">
        <f>VLOOKUP(B117, $V$13:$W$96, 2, FALSE)</f>
        <v>-7.0000000000000007E-2</v>
      </c>
      <c r="D117" t="s">
        <v>114</v>
      </c>
      <c r="E117">
        <v>95.700000000000898</v>
      </c>
      <c r="F117">
        <f t="shared" si="9"/>
        <v>-6.6990000000000638</v>
      </c>
      <c r="G117">
        <f>$U$6</f>
        <v>18</v>
      </c>
      <c r="H117">
        <f>F117/G117</f>
        <v>-0.3721666666666702</v>
      </c>
      <c r="I117">
        <f>IF(A117="crop",H117, 0)</f>
        <v>0</v>
      </c>
      <c r="J117">
        <f>IF(A117="crop", 0, H117)</f>
        <v>-0.3721666666666702</v>
      </c>
      <c r="N117">
        <f t="shared" si="5"/>
        <v>1</v>
      </c>
      <c r="Q117">
        <f t="shared" si="8"/>
        <v>-1.0527000000000099E-3</v>
      </c>
      <c r="R117">
        <f t="shared" si="7"/>
        <v>-1.5439600000000146E-3</v>
      </c>
    </row>
    <row r="118" spans="1:18" x14ac:dyDescent="0.2">
      <c r="A118" t="s">
        <v>102</v>
      </c>
      <c r="B118" s="6" t="s">
        <v>28</v>
      </c>
      <c r="C118">
        <f>VLOOKUP(B118, $V$13:$W$96, 2, FALSE)</f>
        <v>-0.04</v>
      </c>
      <c r="D118" t="s">
        <v>114</v>
      </c>
      <c r="E118">
        <v>95.800000000000907</v>
      </c>
      <c r="F118">
        <f t="shared" si="9"/>
        <v>-3.8320000000000363</v>
      </c>
      <c r="G118">
        <f>$U$6</f>
        <v>18</v>
      </c>
      <c r="H118">
        <f>F118/G118</f>
        <v>-0.2128888888888909</v>
      </c>
      <c r="I118">
        <f>IF(A118="crop",H118, 0)</f>
        <v>0</v>
      </c>
      <c r="J118">
        <f>IF(A118="crop", 0, H118)</f>
        <v>-0.2128888888888909</v>
      </c>
      <c r="N118">
        <f t="shared" si="5"/>
        <v>1</v>
      </c>
      <c r="Q118">
        <f t="shared" si="8"/>
        <v>-6.0217142857143429E-4</v>
      </c>
      <c r="R118">
        <f t="shared" si="7"/>
        <v>-8.8318476190477014E-4</v>
      </c>
    </row>
    <row r="119" spans="1:18" x14ac:dyDescent="0.2">
      <c r="A119" t="s">
        <v>102</v>
      </c>
      <c r="B119" s="6" t="s">
        <v>29</v>
      </c>
      <c r="C119">
        <f>VLOOKUP(B119, $V$13:$W$96, 2, FALSE)</f>
        <v>-0.24</v>
      </c>
      <c r="D119" t="s">
        <v>114</v>
      </c>
      <c r="E119">
        <v>95.900000000000901</v>
      </c>
      <c r="F119">
        <f t="shared" si="9"/>
        <v>-23.016000000000215</v>
      </c>
      <c r="G119">
        <f>$U$6</f>
        <v>18</v>
      </c>
      <c r="H119">
        <f>F119/G119</f>
        <v>-1.2786666666666786</v>
      </c>
      <c r="I119">
        <f>IF(A119="crop",H119, 0)</f>
        <v>0</v>
      </c>
      <c r="J119">
        <f>IF(A119="crop", 0, H119)</f>
        <v>-1.2786666666666786</v>
      </c>
      <c r="N119">
        <f t="shared" si="5"/>
        <v>1</v>
      </c>
      <c r="Q119">
        <f t="shared" si="8"/>
        <v>-3.6168000000000333E-3</v>
      </c>
      <c r="R119">
        <f t="shared" si="7"/>
        <v>-5.3046400000000497E-3</v>
      </c>
    </row>
    <row r="120" spans="1:18" x14ac:dyDescent="0.2">
      <c r="A120" t="s">
        <v>102</v>
      </c>
      <c r="B120" s="6" t="s">
        <v>30</v>
      </c>
      <c r="C120">
        <f>VLOOKUP(B120, $V$13:$W$96, 2, FALSE)</f>
        <v>-0.17</v>
      </c>
      <c r="D120" t="s">
        <v>114</v>
      </c>
      <c r="E120">
        <v>96.000000000000895</v>
      </c>
      <c r="F120">
        <f t="shared" si="9"/>
        <v>-16.320000000000153</v>
      </c>
      <c r="G120">
        <f>$U$6</f>
        <v>18</v>
      </c>
      <c r="H120">
        <f>F120/G120</f>
        <v>-0.90666666666667517</v>
      </c>
      <c r="I120">
        <f>IF(A120="crop",H120, 0)</f>
        <v>0</v>
      </c>
      <c r="J120">
        <f>IF(A120="crop", 0, H120)</f>
        <v>-0.90666666666667517</v>
      </c>
      <c r="N120">
        <f t="shared" si="5"/>
        <v>1</v>
      </c>
      <c r="Q120">
        <f t="shared" si="8"/>
        <v>-2.5645714285714525E-3</v>
      </c>
      <c r="R120">
        <f t="shared" si="7"/>
        <v>-3.7613714285714634E-3</v>
      </c>
    </row>
    <row r="121" spans="1:18" x14ac:dyDescent="0.2">
      <c r="A121" t="s">
        <v>102</v>
      </c>
      <c r="B121" s="6" t="s">
        <v>31</v>
      </c>
      <c r="C121">
        <f>VLOOKUP(B121, $V$13:$W$96, 2, FALSE)</f>
        <v>-0.03</v>
      </c>
      <c r="D121" t="s">
        <v>114</v>
      </c>
      <c r="E121">
        <v>96.100000000000904</v>
      </c>
      <c r="F121">
        <f t="shared" si="9"/>
        <v>-2.8830000000000271</v>
      </c>
      <c r="G121">
        <f>$U$6</f>
        <v>18</v>
      </c>
      <c r="H121">
        <f>F121/G121</f>
        <v>-0.16016666666666818</v>
      </c>
      <c r="I121">
        <f>IF(A121="crop",H121, 0)</f>
        <v>0</v>
      </c>
      <c r="J121">
        <f>IF(A121="crop", 0, H121)</f>
        <v>-0.16016666666666818</v>
      </c>
      <c r="N121">
        <f t="shared" si="5"/>
        <v>1</v>
      </c>
      <c r="Q121">
        <f t="shared" si="8"/>
        <v>-4.5304285714286143E-4</v>
      </c>
      <c r="R121">
        <f t="shared" si="7"/>
        <v>-6.6446285714286341E-4</v>
      </c>
    </row>
    <row r="122" spans="1:18" x14ac:dyDescent="0.2">
      <c r="A122" t="s">
        <v>102</v>
      </c>
      <c r="B122" s="6" t="s">
        <v>32</v>
      </c>
      <c r="C122">
        <f>VLOOKUP(B122, $V$13:$W$96, 2, FALSE)</f>
        <v>-0.02</v>
      </c>
      <c r="D122" t="s">
        <v>114</v>
      </c>
      <c r="E122">
        <v>96.200000000000898</v>
      </c>
      <c r="F122">
        <f t="shared" si="9"/>
        <v>-1.9240000000000179</v>
      </c>
      <c r="G122">
        <f>$U$6</f>
        <v>18</v>
      </c>
      <c r="H122">
        <f>F122/G122</f>
        <v>-0.10688888888888988</v>
      </c>
      <c r="I122">
        <f>IF(A122="crop",H122, 0)</f>
        <v>0</v>
      </c>
      <c r="J122">
        <f>IF(A122="crop", 0, H122)</f>
        <v>-0.10688888888888988</v>
      </c>
      <c r="N122">
        <f t="shared" si="5"/>
        <v>1</v>
      </c>
      <c r="Q122">
        <f t="shared" si="8"/>
        <v>-3.0234285714285993E-4</v>
      </c>
      <c r="R122">
        <f t="shared" si="7"/>
        <v>-4.4343619047619456E-4</v>
      </c>
    </row>
    <row r="123" spans="1:18" x14ac:dyDescent="0.2">
      <c r="A123" t="s">
        <v>102</v>
      </c>
      <c r="B123" s="6" t="s">
        <v>33</v>
      </c>
      <c r="C123">
        <f>VLOOKUP(B123, $V$13:$W$96, 2, FALSE)</f>
        <v>-0.43</v>
      </c>
      <c r="D123" t="s">
        <v>116</v>
      </c>
      <c r="E123">
        <v>96.300000000001006</v>
      </c>
      <c r="F123">
        <f t="shared" si="9"/>
        <v>-41.409000000000432</v>
      </c>
      <c r="G123">
        <f>$U$6</f>
        <v>18</v>
      </c>
      <c r="H123">
        <f>F123/G123</f>
        <v>-2.300500000000024</v>
      </c>
      <c r="I123">
        <f>IF(A123="crop",H123, 0)</f>
        <v>0</v>
      </c>
      <c r="J123">
        <f>IF(A123="crop", 0, H123)</f>
        <v>-2.300500000000024</v>
      </c>
      <c r="N123">
        <f t="shared" si="5"/>
        <v>0</v>
      </c>
      <c r="Q123">
        <f t="shared" si="8"/>
        <v>-6.5071285714286388E-3</v>
      </c>
      <c r="R123">
        <f t="shared" si="7"/>
        <v>0</v>
      </c>
    </row>
    <row r="124" spans="1:18" x14ac:dyDescent="0.2">
      <c r="A124" t="s">
        <v>102</v>
      </c>
      <c r="B124" s="6" t="s">
        <v>34</v>
      </c>
      <c r="C124">
        <f>VLOOKUP(B124, $V$13:$W$96, 2, FALSE)</f>
        <v>-0.14000000000000001</v>
      </c>
      <c r="D124" t="s">
        <v>116</v>
      </c>
      <c r="E124">
        <v>96.400000000001</v>
      </c>
      <c r="F124">
        <f t="shared" si="9"/>
        <v>-13.496000000000141</v>
      </c>
      <c r="G124">
        <f>$U$6</f>
        <v>18</v>
      </c>
      <c r="H124">
        <f>F124/G124</f>
        <v>-0.74977777777778565</v>
      </c>
      <c r="I124">
        <f>IF(A124="crop",H124, 0)</f>
        <v>0</v>
      </c>
      <c r="J124">
        <f>IF(A124="crop", 0, H124)</f>
        <v>-0.74977777777778565</v>
      </c>
      <c r="N124">
        <f t="shared" si="5"/>
        <v>0</v>
      </c>
      <c r="Q124">
        <f t="shared" si="8"/>
        <v>-2.1208000000000221E-3</v>
      </c>
      <c r="R124">
        <f t="shared" si="7"/>
        <v>0</v>
      </c>
    </row>
    <row r="125" spans="1:18" x14ac:dyDescent="0.2">
      <c r="A125" t="s">
        <v>102</v>
      </c>
      <c r="B125" s="6" t="s">
        <v>35</v>
      </c>
      <c r="C125">
        <f>VLOOKUP(B125, $V$13:$W$96, 2, FALSE)</f>
        <v>0</v>
      </c>
      <c r="D125" t="s">
        <v>116</v>
      </c>
      <c r="E125">
        <v>96.500000000000995</v>
      </c>
      <c r="F125">
        <f t="shared" si="9"/>
        <v>0</v>
      </c>
      <c r="G125">
        <f>$U$6</f>
        <v>18</v>
      </c>
      <c r="H125">
        <f>F125/G125</f>
        <v>0</v>
      </c>
      <c r="I125">
        <f>IF(A125="crop",H125, 0)</f>
        <v>0</v>
      </c>
      <c r="J125">
        <f>IF(A125="crop", 0, H125)</f>
        <v>0</v>
      </c>
      <c r="N125">
        <f t="shared" si="5"/>
        <v>0</v>
      </c>
      <c r="Q125">
        <f t="shared" si="8"/>
        <v>0</v>
      </c>
      <c r="R125">
        <f t="shared" si="7"/>
        <v>0</v>
      </c>
    </row>
    <row r="126" spans="1:18" x14ac:dyDescent="0.2">
      <c r="A126" t="s">
        <v>102</v>
      </c>
      <c r="B126" s="6" t="s">
        <v>36</v>
      </c>
      <c r="C126">
        <f>VLOOKUP(B126, $V$13:$W$96, 2, FALSE)</f>
        <v>-0.12</v>
      </c>
      <c r="D126" t="s">
        <v>116</v>
      </c>
      <c r="E126">
        <v>96.600000000001003</v>
      </c>
      <c r="F126">
        <f t="shared" si="9"/>
        <v>-11.59200000000012</v>
      </c>
      <c r="G126">
        <f>$U$6</f>
        <v>18</v>
      </c>
      <c r="H126">
        <f>F126/G126</f>
        <v>-0.64400000000000668</v>
      </c>
      <c r="I126">
        <f>IF(A126="crop",H126, 0)</f>
        <v>0</v>
      </c>
      <c r="J126">
        <f>IF(A126="crop", 0, H126)</f>
        <v>-0.64400000000000668</v>
      </c>
      <c r="N126">
        <f t="shared" si="5"/>
        <v>0</v>
      </c>
      <c r="Q126">
        <f t="shared" si="8"/>
        <v>-1.8216000000000187E-3</v>
      </c>
      <c r="R126">
        <f t="shared" si="7"/>
        <v>0</v>
      </c>
    </row>
    <row r="127" spans="1:18" x14ac:dyDescent="0.2">
      <c r="A127" t="s">
        <v>102</v>
      </c>
      <c r="B127" s="6" t="s">
        <v>37</v>
      </c>
      <c r="C127">
        <f>VLOOKUP(B127, $V$13:$W$96, 2, FALSE)</f>
        <v>-0.13</v>
      </c>
      <c r="D127" t="s">
        <v>116</v>
      </c>
      <c r="E127">
        <v>96.700000000000998</v>
      </c>
      <c r="F127">
        <f t="shared" si="9"/>
        <v>-12.571000000000129</v>
      </c>
      <c r="G127">
        <f>$U$6</f>
        <v>18</v>
      </c>
      <c r="H127">
        <f>F127/G127</f>
        <v>-0.69838888888889605</v>
      </c>
      <c r="I127">
        <f>IF(A127="crop",H127, 0)</f>
        <v>0</v>
      </c>
      <c r="J127">
        <f>IF(A127="crop", 0, H127)</f>
        <v>-0.69838888888889605</v>
      </c>
      <c r="N127">
        <f t="shared" si="5"/>
        <v>0</v>
      </c>
      <c r="Q127">
        <f t="shared" si="8"/>
        <v>-1.9754428571428775E-3</v>
      </c>
      <c r="R127">
        <f t="shared" si="7"/>
        <v>0</v>
      </c>
    </row>
    <row r="128" spans="1:18" x14ac:dyDescent="0.2">
      <c r="A128" t="s">
        <v>102</v>
      </c>
      <c r="B128" s="6" t="s">
        <v>38</v>
      </c>
      <c r="C128">
        <f>VLOOKUP(B128, $V$13:$W$96, 2, FALSE)</f>
        <v>-0.16</v>
      </c>
      <c r="D128" t="s">
        <v>116</v>
      </c>
      <c r="E128">
        <v>96.800000000001006</v>
      </c>
      <c r="F128">
        <f t="shared" si="9"/>
        <v>-15.488000000000161</v>
      </c>
      <c r="G128">
        <f>$U$6</f>
        <v>18</v>
      </c>
      <c r="H128">
        <f>F128/G128</f>
        <v>-0.86044444444445345</v>
      </c>
      <c r="I128">
        <f>IF(A128="crop",H128, 0)</f>
        <v>0</v>
      </c>
      <c r="J128">
        <f>IF(A128="crop", 0, H128)</f>
        <v>-0.86044444444445345</v>
      </c>
      <c r="N128">
        <f t="shared" si="5"/>
        <v>0</v>
      </c>
      <c r="Q128">
        <f t="shared" si="8"/>
        <v>-2.433828571428597E-3</v>
      </c>
      <c r="R128">
        <f t="shared" si="7"/>
        <v>0</v>
      </c>
    </row>
    <row r="129" spans="1:18" x14ac:dyDescent="0.2">
      <c r="A129" t="s">
        <v>102</v>
      </c>
      <c r="B129" s="6" t="s">
        <v>39</v>
      </c>
      <c r="C129">
        <f>VLOOKUP(B129, $V$13:$W$96, 2, FALSE)</f>
        <v>-0.09</v>
      </c>
      <c r="D129" t="s">
        <v>116</v>
      </c>
      <c r="E129">
        <v>96.900000000001</v>
      </c>
      <c r="F129">
        <f t="shared" si="9"/>
        <v>-8.7210000000000889</v>
      </c>
      <c r="G129">
        <f>$U$6</f>
        <v>18</v>
      </c>
      <c r="H129">
        <f>F129/G129</f>
        <v>-0.48450000000000493</v>
      </c>
      <c r="I129">
        <f>IF(A129="crop",H129, 0)</f>
        <v>0</v>
      </c>
      <c r="J129">
        <f>IF(A129="crop", 0, H129)</f>
        <v>-0.48450000000000493</v>
      </c>
      <c r="N129">
        <f t="shared" si="5"/>
        <v>0</v>
      </c>
      <c r="Q129">
        <f>(I129*$K$11+J129*$L$11)*$M$11</f>
        <v>-1.3704428571428711E-3</v>
      </c>
      <c r="R129">
        <f t="shared" si="7"/>
        <v>0</v>
      </c>
    </row>
    <row r="130" spans="1:18" x14ac:dyDescent="0.2">
      <c r="A130" t="s">
        <v>102</v>
      </c>
      <c r="B130" s="6" t="s">
        <v>40</v>
      </c>
      <c r="C130">
        <f>VLOOKUP(B130, $V$13:$W$96, 2, FALSE)</f>
        <v>0</v>
      </c>
      <c r="D130" t="s">
        <v>116</v>
      </c>
      <c r="E130">
        <v>97.000000000000995</v>
      </c>
      <c r="F130">
        <f t="shared" si="9"/>
        <v>0</v>
      </c>
      <c r="G130">
        <f>$U$6</f>
        <v>18</v>
      </c>
      <c r="H130">
        <f>F130/G130</f>
        <v>0</v>
      </c>
      <c r="I130">
        <f>IF(A130="crop",H130, 0)</f>
        <v>0</v>
      </c>
      <c r="J130">
        <f>IF(A130="crop", 0, H130)</f>
        <v>0</v>
      </c>
      <c r="N130">
        <f t="shared" si="5"/>
        <v>0</v>
      </c>
      <c r="Q130">
        <f t="shared" ref="Q130:Q158" si="10">(I130*$K$11+J130*$L$11)*$M$11</f>
        <v>0</v>
      </c>
      <c r="R130">
        <f t="shared" si="7"/>
        <v>0</v>
      </c>
    </row>
    <row r="131" spans="1:18" x14ac:dyDescent="0.2">
      <c r="A131" t="s">
        <v>102</v>
      </c>
      <c r="B131" s="6" t="s">
        <v>41</v>
      </c>
      <c r="C131">
        <f>VLOOKUP(B131, $V$13:$W$96, 2, FALSE)</f>
        <v>-0.04</v>
      </c>
      <c r="D131" t="s">
        <v>116</v>
      </c>
      <c r="E131">
        <v>97.100000000001003</v>
      </c>
      <c r="F131">
        <f t="shared" si="9"/>
        <v>-3.8840000000000403</v>
      </c>
      <c r="G131">
        <f>$U$6</f>
        <v>18</v>
      </c>
      <c r="H131">
        <f>F131/G131</f>
        <v>-0.21577777777778001</v>
      </c>
      <c r="I131">
        <f>IF(A131="crop",H131, 0)</f>
        <v>0</v>
      </c>
      <c r="J131">
        <f>IF(A131="crop", 0, H131)</f>
        <v>-0.21577777777778001</v>
      </c>
      <c r="N131">
        <f t="shared" si="5"/>
        <v>0</v>
      </c>
      <c r="Q131">
        <f t="shared" si="10"/>
        <v>-6.1034285714286346E-4</v>
      </c>
      <c r="R131">
        <f t="shared" si="7"/>
        <v>0</v>
      </c>
    </row>
    <row r="132" spans="1:18" x14ac:dyDescent="0.2">
      <c r="A132" t="s">
        <v>102</v>
      </c>
      <c r="B132" s="6" t="s">
        <v>42</v>
      </c>
      <c r="C132">
        <f>VLOOKUP(B132, $V$13:$W$96, 2, FALSE)</f>
        <v>-0.03</v>
      </c>
      <c r="D132" t="s">
        <v>116</v>
      </c>
      <c r="E132">
        <v>97.200000000000998</v>
      </c>
      <c r="F132">
        <f t="shared" si="9"/>
        <v>-2.9160000000000297</v>
      </c>
      <c r="G132">
        <f>$U$6</f>
        <v>18</v>
      </c>
      <c r="H132">
        <f>F132/G132</f>
        <v>-0.16200000000000164</v>
      </c>
      <c r="I132">
        <f>IF(A132="crop",H132, 0)</f>
        <v>0</v>
      </c>
      <c r="J132">
        <f>IF(A132="crop", 0, H132)</f>
        <v>-0.16200000000000164</v>
      </c>
      <c r="N132">
        <f t="shared" si="5"/>
        <v>0</v>
      </c>
      <c r="Q132">
        <f t="shared" si="10"/>
        <v>-4.5822857142857609E-4</v>
      </c>
      <c r="R132">
        <f t="shared" si="7"/>
        <v>0</v>
      </c>
    </row>
    <row r="133" spans="1:18" x14ac:dyDescent="0.2">
      <c r="A133" t="s">
        <v>103</v>
      </c>
      <c r="B133" s="6" t="s">
        <v>43</v>
      </c>
      <c r="C133">
        <f>VLOOKUP(B133, $V$13:$W$96, 2, FALSE)</f>
        <v>-0.14000000000000001</v>
      </c>
      <c r="D133" t="s">
        <v>116</v>
      </c>
      <c r="E133">
        <v>97.300000000001006</v>
      </c>
      <c r="F133">
        <f t="shared" si="9"/>
        <v>-13.622000000000142</v>
      </c>
      <c r="G133">
        <f>$U$6</f>
        <v>18</v>
      </c>
      <c r="H133">
        <f>F133/G133</f>
        <v>-0.75677777777778565</v>
      </c>
      <c r="I133">
        <f>IF(A133="crop",H133, 0)</f>
        <v>0</v>
      </c>
      <c r="J133">
        <f>IF(A133="crop", 0, H133)</f>
        <v>-0.75677777777778565</v>
      </c>
      <c r="N133">
        <f t="shared" si="5"/>
        <v>0</v>
      </c>
      <c r="Q133">
        <f t="shared" si="10"/>
        <v>-2.140600000000022E-3</v>
      </c>
      <c r="R133">
        <f t="shared" si="7"/>
        <v>0</v>
      </c>
    </row>
    <row r="134" spans="1:18" x14ac:dyDescent="0.2">
      <c r="A134" t="s">
        <v>103</v>
      </c>
      <c r="B134" s="6" t="s">
        <v>44</v>
      </c>
      <c r="C134">
        <f>VLOOKUP(B134, $V$13:$W$96, 2, FALSE)</f>
        <v>-0.31</v>
      </c>
      <c r="D134" t="s">
        <v>116</v>
      </c>
      <c r="E134">
        <v>97.400000000001</v>
      </c>
      <c r="F134">
        <f t="shared" si="9"/>
        <v>-30.194000000000308</v>
      </c>
      <c r="G134">
        <f>$U$6</f>
        <v>18</v>
      </c>
      <c r="H134">
        <f>F134/G134</f>
        <v>-1.6774444444444616</v>
      </c>
      <c r="I134">
        <f>IF(A134="crop",H134, 0)</f>
        <v>0</v>
      </c>
      <c r="J134">
        <f>IF(A134="crop", 0, H134)</f>
        <v>-1.6774444444444616</v>
      </c>
      <c r="N134">
        <f t="shared" si="5"/>
        <v>0</v>
      </c>
      <c r="Q134">
        <f t="shared" si="10"/>
        <v>-4.744771428571477E-3</v>
      </c>
      <c r="R134">
        <f t="shared" si="7"/>
        <v>0</v>
      </c>
    </row>
    <row r="135" spans="1:18" x14ac:dyDescent="0.2">
      <c r="A135" t="s">
        <v>103</v>
      </c>
      <c r="B135" s="6" t="s">
        <v>45</v>
      </c>
      <c r="C135">
        <f>VLOOKUP(B135, $V$13:$W$96, 2, FALSE)</f>
        <v>-0.23</v>
      </c>
      <c r="D135" t="s">
        <v>116</v>
      </c>
      <c r="E135">
        <v>97.500000000001094</v>
      </c>
      <c r="F135">
        <f t="shared" si="9"/>
        <v>-22.425000000000253</v>
      </c>
      <c r="G135">
        <f>$U$6</f>
        <v>18</v>
      </c>
      <c r="H135">
        <f>F135/G135</f>
        <v>-1.2458333333333473</v>
      </c>
      <c r="I135">
        <f>IF(A135="crop",H135, 0)</f>
        <v>0</v>
      </c>
      <c r="J135">
        <f>IF(A135="crop", 0, H135)</f>
        <v>-1.2458333333333473</v>
      </c>
      <c r="N135">
        <f t="shared" si="5"/>
        <v>0</v>
      </c>
      <c r="Q135">
        <f t="shared" si="10"/>
        <v>-3.523928571428611E-3</v>
      </c>
      <c r="R135">
        <f t="shared" si="7"/>
        <v>0</v>
      </c>
    </row>
    <row r="136" spans="1:18" x14ac:dyDescent="0.2">
      <c r="A136" t="s">
        <v>103</v>
      </c>
      <c r="B136" s="6" t="s">
        <v>46</v>
      </c>
      <c r="C136">
        <f>VLOOKUP(B136, $V$13:$W$96, 2, FALSE)</f>
        <v>-0.17</v>
      </c>
      <c r="D136" t="s">
        <v>116</v>
      </c>
      <c r="E136">
        <v>97.600000000001103</v>
      </c>
      <c r="F136">
        <f t="shared" si="9"/>
        <v>-16.592000000000187</v>
      </c>
      <c r="G136">
        <f>$U$6</f>
        <v>18</v>
      </c>
      <c r="H136">
        <f>F136/G136</f>
        <v>-0.92177777777778813</v>
      </c>
      <c r="I136">
        <f>IF(A136="crop",H136, 0)</f>
        <v>0</v>
      </c>
      <c r="J136">
        <f>IF(A136="crop", 0, H136)</f>
        <v>-0.92177777777778813</v>
      </c>
      <c r="N136">
        <f t="shared" si="5"/>
        <v>0</v>
      </c>
      <c r="Q136">
        <f t="shared" si="10"/>
        <v>-2.607314285714315E-3</v>
      </c>
      <c r="R136">
        <f t="shared" si="7"/>
        <v>0</v>
      </c>
    </row>
    <row r="137" spans="1:18" x14ac:dyDescent="0.2">
      <c r="A137" t="s">
        <v>103</v>
      </c>
      <c r="B137" s="6" t="s">
        <v>47</v>
      </c>
      <c r="C137">
        <f>VLOOKUP(B137, $V$13:$W$96, 2, FALSE)</f>
        <v>-0.17</v>
      </c>
      <c r="D137" t="s">
        <v>116</v>
      </c>
      <c r="E137">
        <v>97.700000000001097</v>
      </c>
      <c r="F137">
        <f t="shared" si="9"/>
        <v>-16.609000000000187</v>
      </c>
      <c r="G137">
        <f>$U$6</f>
        <v>18</v>
      </c>
      <c r="H137">
        <f>F137/G137</f>
        <v>-0.92272222222223255</v>
      </c>
      <c r="I137">
        <f>IF(A137="crop",H137, 0)</f>
        <v>0</v>
      </c>
      <c r="J137">
        <f>IF(A137="crop", 0, H137)</f>
        <v>-0.92272222222223255</v>
      </c>
      <c r="N137">
        <f t="shared" si="5"/>
        <v>0</v>
      </c>
      <c r="Q137">
        <f t="shared" si="10"/>
        <v>-2.6099857142857434E-3</v>
      </c>
      <c r="R137">
        <f t="shared" si="7"/>
        <v>0</v>
      </c>
    </row>
    <row r="138" spans="1:18" x14ac:dyDescent="0.2">
      <c r="A138" t="s">
        <v>103</v>
      </c>
      <c r="B138" s="6" t="s">
        <v>48</v>
      </c>
      <c r="C138">
        <f>VLOOKUP(B138, $V$13:$W$96, 2, FALSE)</f>
        <v>-0.08</v>
      </c>
      <c r="D138" t="s">
        <v>116</v>
      </c>
      <c r="E138">
        <v>97.800000000001106</v>
      </c>
      <c r="F138">
        <f t="shared" si="9"/>
        <v>-7.8240000000000887</v>
      </c>
      <c r="G138">
        <f>$U$6</f>
        <v>18</v>
      </c>
      <c r="H138">
        <f>F138/G138</f>
        <v>-0.43466666666667159</v>
      </c>
      <c r="I138">
        <f>IF(A138="crop",H138, 0)</f>
        <v>0</v>
      </c>
      <c r="J138">
        <f>IF(A138="crop", 0, H138)</f>
        <v>-0.43466666666667159</v>
      </c>
      <c r="N138">
        <f t="shared" si="5"/>
        <v>0</v>
      </c>
      <c r="Q138">
        <f t="shared" si="10"/>
        <v>-1.2294857142857282E-3</v>
      </c>
      <c r="R138">
        <f t="shared" si="7"/>
        <v>0</v>
      </c>
    </row>
    <row r="139" spans="1:18" x14ac:dyDescent="0.2">
      <c r="A139" t="s">
        <v>103</v>
      </c>
      <c r="B139" s="6" t="s">
        <v>49</v>
      </c>
      <c r="C139">
        <f>VLOOKUP(B139, $V$13:$W$96, 2, FALSE)</f>
        <v>-0.11</v>
      </c>
      <c r="D139" t="s">
        <v>116</v>
      </c>
      <c r="E139">
        <v>97.9000000000011</v>
      </c>
      <c r="F139">
        <f t="shared" si="9"/>
        <v>-10.769000000000121</v>
      </c>
      <c r="G139">
        <f>$U$6</f>
        <v>18</v>
      </c>
      <c r="H139">
        <f>F139/G139</f>
        <v>-0.59827777777778446</v>
      </c>
      <c r="I139">
        <f>IF(A139="crop",H139, 0)</f>
        <v>0</v>
      </c>
      <c r="J139">
        <f>IF(A139="crop", 0, H139)</f>
        <v>-0.59827777777778446</v>
      </c>
      <c r="N139">
        <f t="shared" si="5"/>
        <v>0</v>
      </c>
      <c r="Q139">
        <f t="shared" si="10"/>
        <v>-1.6922714285714472E-3</v>
      </c>
      <c r="R139">
        <f t="shared" si="7"/>
        <v>0</v>
      </c>
    </row>
    <row r="140" spans="1:18" x14ac:dyDescent="0.2">
      <c r="A140" t="s">
        <v>103</v>
      </c>
      <c r="B140" s="6" t="s">
        <v>50</v>
      </c>
      <c r="C140">
        <f>VLOOKUP(B140, $V$13:$W$96, 2, FALSE)</f>
        <v>0</v>
      </c>
      <c r="D140" t="s">
        <v>116</v>
      </c>
      <c r="E140">
        <v>98.000000000001094</v>
      </c>
      <c r="F140">
        <f t="shared" si="9"/>
        <v>0</v>
      </c>
      <c r="G140">
        <f>$U$6</f>
        <v>18</v>
      </c>
      <c r="H140">
        <f>F140/G140</f>
        <v>0</v>
      </c>
      <c r="I140">
        <f>IF(A140="crop",H140, 0)</f>
        <v>0</v>
      </c>
      <c r="J140">
        <f>IF(A140="crop", 0, H140)</f>
        <v>0</v>
      </c>
      <c r="N140">
        <f t="shared" ref="N140:N178" si="11">IF(D140="yes",1,0)</f>
        <v>0</v>
      </c>
      <c r="Q140">
        <f t="shared" si="10"/>
        <v>0</v>
      </c>
      <c r="R140">
        <f t="shared" ref="R140:R178" si="12">H140*N140*O$11*P$11*M$11</f>
        <v>0</v>
      </c>
    </row>
    <row r="141" spans="1:18" x14ac:dyDescent="0.2">
      <c r="A141" t="s">
        <v>103</v>
      </c>
      <c r="B141" s="6" t="s">
        <v>51</v>
      </c>
      <c r="C141">
        <f>VLOOKUP(B141, $V$13:$W$96, 2, FALSE)</f>
        <v>-0.02</v>
      </c>
      <c r="D141" t="s">
        <v>116</v>
      </c>
      <c r="E141">
        <v>98.100000000001103</v>
      </c>
      <c r="F141">
        <f t="shared" si="9"/>
        <v>-1.9620000000000222</v>
      </c>
      <c r="G141">
        <f>$U$6</f>
        <v>18</v>
      </c>
      <c r="H141">
        <f>F141/G141</f>
        <v>-0.10900000000000123</v>
      </c>
      <c r="I141">
        <f>IF(A141="crop",H141, 0)</f>
        <v>0</v>
      </c>
      <c r="J141">
        <f>IF(A141="crop", 0, H141)</f>
        <v>-0.10900000000000123</v>
      </c>
      <c r="N141">
        <f t="shared" si="11"/>
        <v>0</v>
      </c>
      <c r="Q141">
        <f t="shared" si="10"/>
        <v>-3.0831428571428921E-4</v>
      </c>
      <c r="R141">
        <f t="shared" si="12"/>
        <v>0</v>
      </c>
    </row>
    <row r="142" spans="1:18" x14ac:dyDescent="0.2">
      <c r="A142" t="s">
        <v>103</v>
      </c>
      <c r="B142" s="6" t="s">
        <v>52</v>
      </c>
      <c r="C142">
        <f>VLOOKUP(B142, $V$13:$W$96, 2, FALSE)</f>
        <v>-0.08</v>
      </c>
      <c r="D142" t="s">
        <v>116</v>
      </c>
      <c r="E142">
        <v>98.200000000001097</v>
      </c>
      <c r="F142">
        <f t="shared" si="9"/>
        <v>-7.8560000000000878</v>
      </c>
      <c r="G142">
        <f>$U$6</f>
        <v>18</v>
      </c>
      <c r="H142">
        <f>F142/G142</f>
        <v>-0.4364444444444493</v>
      </c>
      <c r="I142">
        <f>IF(A142="crop",H142, 0)</f>
        <v>0</v>
      </c>
      <c r="J142">
        <f>IF(A142="crop", 0, H142)</f>
        <v>-0.4364444444444493</v>
      </c>
      <c r="N142">
        <f t="shared" si="11"/>
        <v>0</v>
      </c>
      <c r="Q142">
        <f t="shared" si="10"/>
        <v>-1.2345142857142994E-3</v>
      </c>
      <c r="R142">
        <f t="shared" si="12"/>
        <v>0</v>
      </c>
    </row>
    <row r="143" spans="1:18" x14ac:dyDescent="0.2">
      <c r="A143" t="s">
        <v>103</v>
      </c>
      <c r="B143" s="6" t="s">
        <v>53</v>
      </c>
      <c r="C143">
        <f>VLOOKUP(B143, $V$13:$W$96, 2, FALSE)</f>
        <v>-0.06</v>
      </c>
      <c r="D143" t="s">
        <v>114</v>
      </c>
      <c r="E143">
        <v>98.300000000001106</v>
      </c>
      <c r="F143">
        <f t="shared" si="9"/>
        <v>-5.8980000000000663</v>
      </c>
      <c r="G143">
        <f>$U$6</f>
        <v>18</v>
      </c>
      <c r="H143">
        <f>F143/G143</f>
        <v>-0.32766666666667033</v>
      </c>
      <c r="I143">
        <f>IF(A143="crop",H143, 0)</f>
        <v>0</v>
      </c>
      <c r="J143">
        <f>IF(A143="crop", 0, H143)</f>
        <v>-0.32766666666667033</v>
      </c>
      <c r="N143">
        <f t="shared" si="11"/>
        <v>1</v>
      </c>
      <c r="Q143">
        <f t="shared" si="10"/>
        <v>-9.2682857142858163E-4</v>
      </c>
      <c r="R143">
        <f t="shared" si="12"/>
        <v>-1.3593485714285865E-3</v>
      </c>
    </row>
    <row r="144" spans="1:18" x14ac:dyDescent="0.2">
      <c r="A144" t="s">
        <v>103</v>
      </c>
      <c r="B144" s="6" t="s">
        <v>54</v>
      </c>
      <c r="C144">
        <f>VLOOKUP(B144, $V$13:$W$96, 2, FALSE)</f>
        <v>-0.12</v>
      </c>
      <c r="D144" t="s">
        <v>114</v>
      </c>
      <c r="E144">
        <v>98.4000000000011</v>
      </c>
      <c r="F144">
        <f t="shared" si="9"/>
        <v>-11.808000000000131</v>
      </c>
      <c r="G144">
        <f>$U$6</f>
        <v>18</v>
      </c>
      <c r="H144">
        <f>F144/G144</f>
        <v>-0.65600000000000724</v>
      </c>
      <c r="I144">
        <f>IF(A144="crop",H144, 0)</f>
        <v>0</v>
      </c>
      <c r="J144">
        <f>IF(A144="crop", 0, H144)</f>
        <v>-0.65600000000000724</v>
      </c>
      <c r="N144">
        <f t="shared" si="11"/>
        <v>1</v>
      </c>
      <c r="Q144">
        <f t="shared" si="10"/>
        <v>-1.8555428571428777E-3</v>
      </c>
      <c r="R144">
        <f t="shared" si="12"/>
        <v>-2.7214628571428871E-3</v>
      </c>
    </row>
    <row r="145" spans="1:18" x14ac:dyDescent="0.2">
      <c r="A145" t="s">
        <v>103</v>
      </c>
      <c r="B145" s="6" t="s">
        <v>55</v>
      </c>
      <c r="C145">
        <f>VLOOKUP(B145, $V$13:$W$96, 2, FALSE)</f>
        <v>-7.0000000000000007E-2</v>
      </c>
      <c r="D145" t="s">
        <v>114</v>
      </c>
      <c r="E145">
        <v>98.500000000001094</v>
      </c>
      <c r="F145">
        <f t="shared" si="9"/>
        <v>-6.8950000000000768</v>
      </c>
      <c r="G145">
        <f>$U$6</f>
        <v>18</v>
      </c>
      <c r="H145">
        <f>F145/G145</f>
        <v>-0.38305555555555981</v>
      </c>
      <c r="I145">
        <f>IF(A145="crop",H145, 0)</f>
        <v>0</v>
      </c>
      <c r="J145">
        <f>IF(A145="crop", 0, H145)</f>
        <v>-0.38305555555555981</v>
      </c>
      <c r="N145">
        <f t="shared" si="11"/>
        <v>1</v>
      </c>
      <c r="Q145">
        <f t="shared" si="10"/>
        <v>-1.083500000000012E-3</v>
      </c>
      <c r="R145">
        <f t="shared" si="12"/>
        <v>-1.5891333333333509E-3</v>
      </c>
    </row>
    <row r="146" spans="1:18" x14ac:dyDescent="0.2">
      <c r="A146" t="s">
        <v>103</v>
      </c>
      <c r="B146" s="6" t="s">
        <v>56</v>
      </c>
      <c r="C146">
        <f>VLOOKUP(B146, $V$13:$W$96, 2, FALSE)</f>
        <v>-0.13</v>
      </c>
      <c r="D146" t="s">
        <v>114</v>
      </c>
      <c r="E146">
        <v>98.600000000001202</v>
      </c>
      <c r="F146">
        <f t="shared" si="9"/>
        <v>-12.818000000000156</v>
      </c>
      <c r="G146">
        <f>$U$6</f>
        <v>18</v>
      </c>
      <c r="H146">
        <f>F146/G146</f>
        <v>-0.7121111111111198</v>
      </c>
      <c r="I146">
        <f>IF(A146="crop",H146, 0)</f>
        <v>0</v>
      </c>
      <c r="J146">
        <f>IF(A146="crop", 0, H146)</f>
        <v>-0.7121111111111198</v>
      </c>
      <c r="N146">
        <f t="shared" si="11"/>
        <v>1</v>
      </c>
      <c r="Q146">
        <f t="shared" si="10"/>
        <v>-2.0142571428571673E-3</v>
      </c>
      <c r="R146">
        <f t="shared" si="12"/>
        <v>-2.9542438095238452E-3</v>
      </c>
    </row>
    <row r="147" spans="1:18" x14ac:dyDescent="0.2">
      <c r="A147" t="s">
        <v>103</v>
      </c>
      <c r="B147" s="6" t="s">
        <v>57</v>
      </c>
      <c r="C147">
        <f>VLOOKUP(B147, $V$13:$W$96, 2, FALSE)</f>
        <v>0</v>
      </c>
      <c r="D147" t="s">
        <v>114</v>
      </c>
      <c r="E147">
        <v>98.700000000001197</v>
      </c>
      <c r="F147">
        <f t="shared" si="9"/>
        <v>0</v>
      </c>
      <c r="G147">
        <f>$U$6</f>
        <v>18</v>
      </c>
      <c r="H147">
        <f>F147/G147</f>
        <v>0</v>
      </c>
      <c r="I147">
        <f>IF(A147="crop",H147, 0)</f>
        <v>0</v>
      </c>
      <c r="J147">
        <f>IF(A147="crop", 0, H147)</f>
        <v>0</v>
      </c>
      <c r="N147">
        <f t="shared" si="11"/>
        <v>1</v>
      </c>
      <c r="Q147">
        <f t="shared" si="10"/>
        <v>0</v>
      </c>
      <c r="R147">
        <f t="shared" si="12"/>
        <v>0</v>
      </c>
    </row>
    <row r="148" spans="1:18" x14ac:dyDescent="0.2">
      <c r="A148" t="s">
        <v>103</v>
      </c>
      <c r="B148" s="6" t="s">
        <v>58</v>
      </c>
      <c r="C148">
        <f>VLOOKUP(B148, $V$13:$W$96, 2, FALSE)</f>
        <v>-0.24</v>
      </c>
      <c r="D148" t="s">
        <v>114</v>
      </c>
      <c r="E148">
        <v>98.800000000001205</v>
      </c>
      <c r="F148">
        <f t="shared" si="9"/>
        <v>-23.712000000000288</v>
      </c>
      <c r="G148">
        <f>$U$6</f>
        <v>18</v>
      </c>
      <c r="H148">
        <f>F148/G148</f>
        <v>-1.3173333333333492</v>
      </c>
      <c r="I148">
        <f>IF(A148="crop",H148, 0)</f>
        <v>0</v>
      </c>
      <c r="J148">
        <f>IF(A148="crop", 0, H148)</f>
        <v>-1.3173333333333492</v>
      </c>
      <c r="N148">
        <f t="shared" si="11"/>
        <v>1</v>
      </c>
      <c r="Q148">
        <f t="shared" si="10"/>
        <v>-3.7261714285714734E-3</v>
      </c>
      <c r="R148">
        <f t="shared" si="12"/>
        <v>-5.4650514285714945E-3</v>
      </c>
    </row>
    <row r="149" spans="1:18" x14ac:dyDescent="0.2">
      <c r="A149" t="s">
        <v>103</v>
      </c>
      <c r="B149" s="6" t="s">
        <v>59</v>
      </c>
      <c r="C149">
        <f>VLOOKUP(B149, $V$13:$W$96, 2, FALSE)</f>
        <v>-0.32</v>
      </c>
      <c r="D149" t="s">
        <v>114</v>
      </c>
      <c r="E149">
        <v>98.900000000001199</v>
      </c>
      <c r="F149">
        <f t="shared" si="9"/>
        <v>-31.648000000000383</v>
      </c>
      <c r="G149">
        <f>$U$6</f>
        <v>18</v>
      </c>
      <c r="H149">
        <f>F149/G149</f>
        <v>-1.7582222222222434</v>
      </c>
      <c r="I149">
        <f>IF(A149="crop",H149, 0)</f>
        <v>0</v>
      </c>
      <c r="J149">
        <f>IF(A149="crop", 0, H149)</f>
        <v>-1.7582222222222434</v>
      </c>
      <c r="N149">
        <f t="shared" si="11"/>
        <v>1</v>
      </c>
      <c r="Q149">
        <f t="shared" si="10"/>
        <v>-4.9732571428572027E-3</v>
      </c>
      <c r="R149">
        <f t="shared" si="12"/>
        <v>-7.2941104761905639E-3</v>
      </c>
    </row>
    <row r="150" spans="1:18" x14ac:dyDescent="0.2">
      <c r="A150" t="s">
        <v>103</v>
      </c>
      <c r="B150" s="6" t="s">
        <v>60</v>
      </c>
      <c r="C150">
        <f>VLOOKUP(B150, $V$13:$W$96, 2, FALSE)</f>
        <v>0</v>
      </c>
      <c r="D150" t="s">
        <v>114</v>
      </c>
      <c r="E150">
        <v>99.000000000001194</v>
      </c>
      <c r="F150">
        <f t="shared" si="9"/>
        <v>0</v>
      </c>
      <c r="G150">
        <f>$U$6</f>
        <v>18</v>
      </c>
      <c r="H150">
        <f>F150/G150</f>
        <v>0</v>
      </c>
      <c r="I150">
        <f>IF(A150="crop",H150, 0)</f>
        <v>0</v>
      </c>
      <c r="J150">
        <f>IF(A150="crop", 0, H150)</f>
        <v>0</v>
      </c>
      <c r="N150">
        <f t="shared" si="11"/>
        <v>1</v>
      </c>
      <c r="Q150">
        <f t="shared" si="10"/>
        <v>0</v>
      </c>
      <c r="R150">
        <f t="shared" si="12"/>
        <v>0</v>
      </c>
    </row>
    <row r="151" spans="1:18" x14ac:dyDescent="0.2">
      <c r="A151" t="s">
        <v>103</v>
      </c>
      <c r="B151" s="6" t="s">
        <v>61</v>
      </c>
      <c r="C151">
        <f>VLOOKUP(B151, $V$13:$W$96, 2, FALSE)</f>
        <v>0</v>
      </c>
      <c r="D151" t="s">
        <v>114</v>
      </c>
      <c r="E151">
        <v>99.100000000001202</v>
      </c>
      <c r="F151">
        <f t="shared" si="9"/>
        <v>0</v>
      </c>
      <c r="G151">
        <f>$U$6</f>
        <v>18</v>
      </c>
      <c r="H151">
        <f>F151/G151</f>
        <v>0</v>
      </c>
      <c r="I151">
        <f>IF(A151="crop",H151, 0)</f>
        <v>0</v>
      </c>
      <c r="J151">
        <f>IF(A151="crop", 0, H151)</f>
        <v>0</v>
      </c>
      <c r="N151">
        <f t="shared" si="11"/>
        <v>1</v>
      </c>
      <c r="Q151">
        <f t="shared" si="10"/>
        <v>0</v>
      </c>
      <c r="R151">
        <f t="shared" si="12"/>
        <v>0</v>
      </c>
    </row>
    <row r="152" spans="1:18" x14ac:dyDescent="0.2">
      <c r="A152" t="s">
        <v>103</v>
      </c>
      <c r="B152" s="6" t="s">
        <v>62</v>
      </c>
      <c r="C152">
        <f>VLOOKUP(B152, $V$13:$W$96, 2, FALSE)</f>
        <v>-0.1</v>
      </c>
      <c r="D152" t="s">
        <v>114</v>
      </c>
      <c r="E152">
        <v>99.200000000001197</v>
      </c>
      <c r="F152">
        <f t="shared" si="9"/>
        <v>-9.9200000000001207</v>
      </c>
      <c r="G152">
        <f>$U$6</f>
        <v>18</v>
      </c>
      <c r="H152">
        <f>F152/G152</f>
        <v>-0.55111111111111777</v>
      </c>
      <c r="I152">
        <f>IF(A152="crop",H152, 0)</f>
        <v>0</v>
      </c>
      <c r="J152">
        <f>IF(A152="crop", 0, H152)</f>
        <v>-0.55111111111111777</v>
      </c>
      <c r="N152">
        <f t="shared" si="11"/>
        <v>1</v>
      </c>
      <c r="Q152">
        <f t="shared" si="10"/>
        <v>-1.5588571428571617E-3</v>
      </c>
      <c r="R152">
        <f t="shared" si="12"/>
        <v>-2.2863238095238367E-3</v>
      </c>
    </row>
    <row r="153" spans="1:18" x14ac:dyDescent="0.2">
      <c r="A153" t="s">
        <v>103</v>
      </c>
      <c r="B153" s="6" t="s">
        <v>63</v>
      </c>
      <c r="C153">
        <f>VLOOKUP(B153, $V$13:$W$96, 2, FALSE)</f>
        <v>-0.33</v>
      </c>
      <c r="D153" t="s">
        <v>114</v>
      </c>
      <c r="E153">
        <v>99.300000000001205</v>
      </c>
      <c r="F153">
        <f t="shared" si="9"/>
        <v>-32.769000000000396</v>
      </c>
      <c r="G153">
        <f>$U$6</f>
        <v>18</v>
      </c>
      <c r="H153">
        <f>F153/G153</f>
        <v>-1.820500000000022</v>
      </c>
      <c r="I153">
        <f>IF(A153="crop",H153, 0)</f>
        <v>0</v>
      </c>
      <c r="J153">
        <f>IF(A153="crop", 0, H153)</f>
        <v>-1.820500000000022</v>
      </c>
      <c r="N153">
        <f t="shared" si="11"/>
        <v>1</v>
      </c>
      <c r="Q153">
        <f t="shared" si="10"/>
        <v>-5.1494142857143477E-3</v>
      </c>
      <c r="R153">
        <f t="shared" si="12"/>
        <v>-7.5524742857143766E-3</v>
      </c>
    </row>
    <row r="154" spans="1:18" x14ac:dyDescent="0.2">
      <c r="A154" t="s">
        <v>103</v>
      </c>
      <c r="B154" s="6" t="s">
        <v>64</v>
      </c>
      <c r="C154">
        <f>VLOOKUP(B154, $V$13:$W$96, 2, FALSE)</f>
        <v>0</v>
      </c>
      <c r="D154" t="s">
        <v>114</v>
      </c>
      <c r="E154">
        <v>99.400000000001199</v>
      </c>
      <c r="F154">
        <f t="shared" si="9"/>
        <v>0</v>
      </c>
      <c r="G154">
        <f>$U$6</f>
        <v>18</v>
      </c>
      <c r="H154">
        <f>F154/G154</f>
        <v>0</v>
      </c>
      <c r="I154">
        <f>IF(A154="crop",H154, 0)</f>
        <v>0</v>
      </c>
      <c r="J154">
        <f>IF(A154="crop", 0, H154)</f>
        <v>0</v>
      </c>
      <c r="N154">
        <f t="shared" si="11"/>
        <v>1</v>
      </c>
      <c r="Q154">
        <f t="shared" si="10"/>
        <v>0</v>
      </c>
      <c r="R154">
        <f t="shared" si="12"/>
        <v>0</v>
      </c>
    </row>
    <row r="155" spans="1:18" x14ac:dyDescent="0.2">
      <c r="A155" t="s">
        <v>103</v>
      </c>
      <c r="B155" s="6" t="s">
        <v>65</v>
      </c>
      <c r="C155">
        <f>VLOOKUP(B155, $V$13:$W$96, 2, FALSE)</f>
        <v>-0.05</v>
      </c>
      <c r="D155" t="s">
        <v>114</v>
      </c>
      <c r="E155">
        <v>99.500000000001194</v>
      </c>
      <c r="F155">
        <f t="shared" si="9"/>
        <v>-4.97500000000006</v>
      </c>
      <c r="G155">
        <f>$U$6</f>
        <v>18</v>
      </c>
      <c r="H155">
        <f>F155/G155</f>
        <v>-0.27638888888889224</v>
      </c>
      <c r="I155">
        <f>IF(A155="crop",H155, 0)</f>
        <v>0</v>
      </c>
      <c r="J155">
        <f>IF(A155="crop", 0, H155)</f>
        <v>-0.27638888888889224</v>
      </c>
      <c r="N155">
        <f t="shared" si="11"/>
        <v>1</v>
      </c>
      <c r="Q155">
        <f t="shared" si="10"/>
        <v>-7.8178571428572368E-4</v>
      </c>
      <c r="R155">
        <f t="shared" si="12"/>
        <v>-1.1466190476190615E-3</v>
      </c>
    </row>
    <row r="156" spans="1:18" x14ac:dyDescent="0.2">
      <c r="A156" t="s">
        <v>103</v>
      </c>
      <c r="B156" s="6" t="s">
        <v>66</v>
      </c>
      <c r="C156">
        <f>VLOOKUP(B156, $V$13:$W$96, 2, FALSE)</f>
        <v>-0.26</v>
      </c>
      <c r="D156" t="s">
        <v>114</v>
      </c>
      <c r="E156">
        <v>99.600000000001202</v>
      </c>
      <c r="F156">
        <f t="shared" si="9"/>
        <v>-25.896000000000313</v>
      </c>
      <c r="G156">
        <f>$U$6</f>
        <v>18</v>
      </c>
      <c r="H156">
        <f>F156/G156</f>
        <v>-1.4386666666666841</v>
      </c>
      <c r="I156">
        <f>IF(A156="crop",H156, 0)</f>
        <v>0</v>
      </c>
      <c r="J156">
        <f>IF(A156="crop", 0, H156)</f>
        <v>-1.4386666666666841</v>
      </c>
      <c r="N156">
        <f t="shared" si="11"/>
        <v>1</v>
      </c>
      <c r="Q156">
        <f t="shared" si="10"/>
        <v>-4.0693714285714774E-3</v>
      </c>
      <c r="R156">
        <f t="shared" si="12"/>
        <v>-5.9684114285714993E-3</v>
      </c>
    </row>
    <row r="157" spans="1:18" x14ac:dyDescent="0.2">
      <c r="A157" t="s">
        <v>103</v>
      </c>
      <c r="B157" s="6" t="s">
        <v>67</v>
      </c>
      <c r="C157">
        <f>VLOOKUP(B157, $V$13:$W$96, 2, FALSE)</f>
        <v>-0.26</v>
      </c>
      <c r="D157" t="s">
        <v>114</v>
      </c>
      <c r="E157">
        <v>99.700000000001197</v>
      </c>
      <c r="F157">
        <f t="shared" si="9"/>
        <v>-25.922000000000313</v>
      </c>
      <c r="G157">
        <f>$U$6</f>
        <v>18</v>
      </c>
      <c r="H157">
        <f>F157/G157</f>
        <v>-1.4401111111111284</v>
      </c>
      <c r="I157">
        <f>IF(A157="crop",H157, 0)</f>
        <v>0</v>
      </c>
      <c r="J157">
        <f>IF(A157="crop", 0, H157)</f>
        <v>-1.4401111111111284</v>
      </c>
      <c r="N157">
        <f t="shared" si="11"/>
        <v>1</v>
      </c>
      <c r="Q157">
        <f t="shared" si="10"/>
        <v>-4.0734571428571913E-3</v>
      </c>
      <c r="R157">
        <f t="shared" si="12"/>
        <v>-5.9744038095238807E-3</v>
      </c>
    </row>
    <row r="158" spans="1:18" x14ac:dyDescent="0.2">
      <c r="A158" t="s">
        <v>103</v>
      </c>
      <c r="B158" s="6" t="s">
        <v>68</v>
      </c>
      <c r="C158">
        <f>VLOOKUP(B158, $V$13:$W$96, 2, FALSE)</f>
        <v>-0.03</v>
      </c>
      <c r="D158" t="s">
        <v>114</v>
      </c>
      <c r="E158">
        <v>99.800000000001305</v>
      </c>
      <c r="F158">
        <f t="shared" si="9"/>
        <v>-2.9940000000000389</v>
      </c>
      <c r="G158">
        <f>$U$6</f>
        <v>18</v>
      </c>
      <c r="H158">
        <f>F158/G158</f>
        <v>-0.1663333333333355</v>
      </c>
      <c r="I158">
        <f>IF(A158="crop",H158, 0)</f>
        <v>0</v>
      </c>
      <c r="J158">
        <f>IF(A158="crop", 0, H158)</f>
        <v>-0.1663333333333355</v>
      </c>
      <c r="N158">
        <f t="shared" si="11"/>
        <v>1</v>
      </c>
      <c r="Q158">
        <f t="shared" si="10"/>
        <v>-4.7048571428572034E-4</v>
      </c>
      <c r="R158">
        <f t="shared" si="12"/>
        <v>-6.9004571428572315E-4</v>
      </c>
    </row>
    <row r="159" spans="1:18" x14ac:dyDescent="0.2">
      <c r="A159" t="s">
        <v>103</v>
      </c>
      <c r="B159" s="6" t="s">
        <v>69</v>
      </c>
      <c r="C159">
        <f>VLOOKUP(B159, $V$13:$W$96, 2, FALSE)</f>
        <v>-0.37</v>
      </c>
      <c r="D159" t="s">
        <v>114</v>
      </c>
      <c r="E159">
        <v>99.900000000001299</v>
      </c>
      <c r="F159">
        <f t="shared" ref="F159:F178" si="13">C159*E159</f>
        <v>-36.963000000000477</v>
      </c>
      <c r="G159">
        <f>$U$6</f>
        <v>18</v>
      </c>
      <c r="H159">
        <f>F159/G159</f>
        <v>-2.0535000000000263</v>
      </c>
      <c r="I159">
        <f>IF(A159="crop",H159, 0)</f>
        <v>0</v>
      </c>
      <c r="J159">
        <f>IF(A159="crop", 0, H159)</f>
        <v>-2.0535000000000263</v>
      </c>
      <c r="N159">
        <f t="shared" si="11"/>
        <v>1</v>
      </c>
      <c r="Q159">
        <f>(I159*$K$11+J159*$L$11)*$M$11</f>
        <v>-5.8084714285715029E-3</v>
      </c>
      <c r="R159">
        <f t="shared" si="12"/>
        <v>-8.5190914285715354E-3</v>
      </c>
    </row>
    <row r="160" spans="1:18" x14ac:dyDescent="0.2">
      <c r="A160" t="s">
        <v>103</v>
      </c>
      <c r="B160" s="6" t="s">
        <v>70</v>
      </c>
      <c r="C160">
        <f>VLOOKUP(B160, $V$13:$W$96, 2, FALSE)</f>
        <v>-0.01</v>
      </c>
      <c r="D160" t="s">
        <v>114</v>
      </c>
      <c r="E160">
        <v>100.00000000000099</v>
      </c>
      <c r="F160">
        <f t="shared" si="13"/>
        <v>-1.00000000000001</v>
      </c>
      <c r="G160">
        <f>$U$6</f>
        <v>18</v>
      </c>
      <c r="H160">
        <f>F160/G160</f>
        <v>-5.5555555555556108E-2</v>
      </c>
      <c r="I160">
        <f>IF(A160="crop",H160, 0)</f>
        <v>0</v>
      </c>
      <c r="J160">
        <f>IF(A160="crop", 0, H160)</f>
        <v>-5.5555555555556108E-2</v>
      </c>
      <c r="N160">
        <f t="shared" si="11"/>
        <v>1</v>
      </c>
      <c r="Q160">
        <f t="shared" ref="Q160:Q178" si="14">(I160*$K$11+J160*$L$11)*$M$11</f>
        <v>-1.5714285714285871E-4</v>
      </c>
      <c r="R160">
        <f t="shared" si="12"/>
        <v>-2.3047619047619275E-4</v>
      </c>
    </row>
    <row r="161" spans="1:18" x14ac:dyDescent="0.2">
      <c r="A161" t="s">
        <v>103</v>
      </c>
      <c r="B161" s="6" t="s">
        <v>71</v>
      </c>
      <c r="C161">
        <f>VLOOKUP(B161, $V$13:$W$96, 2, FALSE)</f>
        <v>-0.03</v>
      </c>
      <c r="D161" t="s">
        <v>114</v>
      </c>
      <c r="E161">
        <v>100.100000000001</v>
      </c>
      <c r="F161">
        <f t="shared" si="13"/>
        <v>-3.0030000000000299</v>
      </c>
      <c r="G161">
        <f>$U$6</f>
        <v>18</v>
      </c>
      <c r="H161">
        <f>F161/G161</f>
        <v>-0.166833333333335</v>
      </c>
      <c r="I161">
        <f>IF(A161="crop",H161, 0)</f>
        <v>0</v>
      </c>
      <c r="J161">
        <f>IF(A161="crop", 0, H161)</f>
        <v>-0.166833333333335</v>
      </c>
      <c r="N161">
        <f t="shared" si="11"/>
        <v>1</v>
      </c>
      <c r="Q161">
        <f t="shared" si="14"/>
        <v>-4.7190000000000464E-4</v>
      </c>
      <c r="R161">
        <f t="shared" si="12"/>
        <v>-6.9212000000000689E-4</v>
      </c>
    </row>
    <row r="162" spans="1:18" x14ac:dyDescent="0.2">
      <c r="A162" t="s">
        <v>103</v>
      </c>
      <c r="B162" s="6" t="s">
        <v>72</v>
      </c>
      <c r="C162">
        <f>VLOOKUP(B162, $V$13:$W$96, 2, FALSE)</f>
        <v>-0.1</v>
      </c>
      <c r="D162" t="s">
        <v>114</v>
      </c>
      <c r="E162">
        <v>100.200000000001</v>
      </c>
      <c r="F162">
        <f t="shared" si="13"/>
        <v>-10.020000000000101</v>
      </c>
      <c r="G162">
        <f>$U$6</f>
        <v>18</v>
      </c>
      <c r="H162">
        <f>F162/G162</f>
        <v>-0.55666666666667231</v>
      </c>
      <c r="I162">
        <f>IF(A162="crop",H162, 0)</f>
        <v>0</v>
      </c>
      <c r="J162">
        <f>IF(A162="crop", 0, H162)</f>
        <v>-0.55666666666667231</v>
      </c>
      <c r="N162">
        <f t="shared" si="11"/>
        <v>1</v>
      </c>
      <c r="Q162">
        <f t="shared" si="14"/>
        <v>-1.5745714285714443E-3</v>
      </c>
      <c r="R162">
        <f t="shared" si="12"/>
        <v>-2.3093714285714519E-3</v>
      </c>
    </row>
    <row r="163" spans="1:18" x14ac:dyDescent="0.2">
      <c r="A163" t="s">
        <v>103</v>
      </c>
      <c r="B163" s="6" t="s">
        <v>73</v>
      </c>
      <c r="C163">
        <f>VLOOKUP(B163, $V$13:$W$96, 2, FALSE)</f>
        <v>-0.25</v>
      </c>
      <c r="D163" t="s">
        <v>114</v>
      </c>
      <c r="E163">
        <v>100.30000000000101</v>
      </c>
      <c r="F163">
        <f t="shared" si="13"/>
        <v>-25.075000000000252</v>
      </c>
      <c r="G163">
        <f>$U$6</f>
        <v>18</v>
      </c>
      <c r="H163">
        <f>F163/G163</f>
        <v>-1.3930555555555695</v>
      </c>
      <c r="I163">
        <f>IF(A163="crop",H163, 0)</f>
        <v>0</v>
      </c>
      <c r="J163">
        <f>IF(A163="crop", 0, H163)</f>
        <v>-1.3930555555555695</v>
      </c>
      <c r="N163">
        <f t="shared" si="11"/>
        <v>1</v>
      </c>
      <c r="Q163">
        <f t="shared" si="14"/>
        <v>-3.940357142857182E-3</v>
      </c>
      <c r="R163">
        <f t="shared" si="12"/>
        <v>-5.7791904761905332E-3</v>
      </c>
    </row>
    <row r="164" spans="1:18" x14ac:dyDescent="0.2">
      <c r="A164" t="s">
        <v>103</v>
      </c>
      <c r="B164" s="6" t="s">
        <v>74</v>
      </c>
      <c r="C164">
        <f>VLOOKUP(B164, $V$13:$W$96, 2, FALSE)</f>
        <v>-0.27</v>
      </c>
      <c r="D164" t="s">
        <v>114</v>
      </c>
      <c r="E164">
        <v>100.400000000001</v>
      </c>
      <c r="F164">
        <f t="shared" si="13"/>
        <v>-27.108000000000271</v>
      </c>
      <c r="G164">
        <f>$U$6</f>
        <v>18</v>
      </c>
      <c r="H164">
        <f>F164/G164</f>
        <v>-1.5060000000000151</v>
      </c>
      <c r="I164">
        <f>IF(A164="crop",H164, 0)</f>
        <v>0</v>
      </c>
      <c r="J164">
        <f>IF(A164="crop", 0, H164)</f>
        <v>-1.5060000000000151</v>
      </c>
      <c r="N164">
        <f t="shared" si="11"/>
        <v>1</v>
      </c>
      <c r="Q164">
        <f t="shared" si="14"/>
        <v>-4.2598285714286139E-3</v>
      </c>
      <c r="R164">
        <f t="shared" si="12"/>
        <v>-6.2477485714286336E-3</v>
      </c>
    </row>
    <row r="165" spans="1:18" x14ac:dyDescent="0.2">
      <c r="A165" t="s">
        <v>103</v>
      </c>
      <c r="B165" s="6" t="s">
        <v>75</v>
      </c>
      <c r="C165">
        <f>VLOOKUP(B165, $V$13:$W$96, 2, FALSE)</f>
        <v>-0.18</v>
      </c>
      <c r="D165" t="s">
        <v>114</v>
      </c>
      <c r="E165">
        <v>100.50000000000099</v>
      </c>
      <c r="F165">
        <f t="shared" si="13"/>
        <v>-18.090000000000177</v>
      </c>
      <c r="G165">
        <f>$U$6</f>
        <v>18</v>
      </c>
      <c r="H165">
        <f>F165/G165</f>
        <v>-1.0050000000000099</v>
      </c>
      <c r="I165">
        <f>IF(A165="crop",H165, 0)</f>
        <v>0</v>
      </c>
      <c r="J165">
        <f>IF(A165="crop", 0, H165)</f>
        <v>-1.0050000000000099</v>
      </c>
      <c r="N165">
        <f t="shared" si="11"/>
        <v>1</v>
      </c>
      <c r="Q165">
        <f t="shared" si="14"/>
        <v>-2.8427142857143138E-3</v>
      </c>
      <c r="R165">
        <f t="shared" si="12"/>
        <v>-4.1693142857143258E-3</v>
      </c>
    </row>
    <row r="166" spans="1:18" x14ac:dyDescent="0.2">
      <c r="A166" t="s">
        <v>103</v>
      </c>
      <c r="B166" s="6" t="s">
        <v>76</v>
      </c>
      <c r="C166">
        <f>VLOOKUP(B166, $V$13:$W$96, 2, FALSE)</f>
        <v>-0.12</v>
      </c>
      <c r="D166" t="s">
        <v>114</v>
      </c>
      <c r="E166">
        <v>100.600000000001</v>
      </c>
      <c r="F166">
        <f t="shared" si="13"/>
        <v>-12.07200000000012</v>
      </c>
      <c r="G166">
        <f>$U$6</f>
        <v>18</v>
      </c>
      <c r="H166">
        <f>F166/G166</f>
        <v>-0.67066666666667329</v>
      </c>
      <c r="I166">
        <f>IF(A166="crop",H166, 0)</f>
        <v>0</v>
      </c>
      <c r="J166">
        <f>IF(A166="crop", 0, H166)</f>
        <v>-0.67066666666667329</v>
      </c>
      <c r="N166">
        <f t="shared" si="11"/>
        <v>1</v>
      </c>
      <c r="Q166">
        <f t="shared" si="14"/>
        <v>-1.8970285714285902E-3</v>
      </c>
      <c r="R166">
        <f t="shared" si="12"/>
        <v>-2.7823085714285983E-3</v>
      </c>
    </row>
    <row r="167" spans="1:18" x14ac:dyDescent="0.2">
      <c r="A167" t="s">
        <v>103</v>
      </c>
      <c r="B167" s="6" t="s">
        <v>77</v>
      </c>
      <c r="C167">
        <f>VLOOKUP(B167, $V$13:$W$96, 2, FALSE)</f>
        <v>-0.22</v>
      </c>
      <c r="D167" t="s">
        <v>116</v>
      </c>
      <c r="E167">
        <v>100.700000000001</v>
      </c>
      <c r="F167">
        <f t="shared" si="13"/>
        <v>-22.15400000000022</v>
      </c>
      <c r="G167">
        <f>$U$6</f>
        <v>18</v>
      </c>
      <c r="H167">
        <f>F167/G167</f>
        <v>-1.23077777777779</v>
      </c>
      <c r="I167">
        <f>IF(A167="crop",H167, 0)</f>
        <v>0</v>
      </c>
      <c r="J167">
        <f>IF(A167="crop", 0, H167)</f>
        <v>-1.23077777777779</v>
      </c>
      <c r="N167">
        <f t="shared" si="11"/>
        <v>0</v>
      </c>
      <c r="Q167">
        <f t="shared" si="14"/>
        <v>-3.4813428571428915E-3</v>
      </c>
      <c r="R167">
        <f t="shared" si="12"/>
        <v>0</v>
      </c>
    </row>
    <row r="168" spans="1:18" x14ac:dyDescent="0.2">
      <c r="A168" t="s">
        <v>103</v>
      </c>
      <c r="B168" s="6" t="s">
        <v>78</v>
      </c>
      <c r="C168">
        <f>VLOOKUP(B168, $V$13:$W$96, 2, FALSE)</f>
        <v>-0.2</v>
      </c>
      <c r="D168" t="s">
        <v>116</v>
      </c>
      <c r="E168">
        <v>100.80000000000101</v>
      </c>
      <c r="F168">
        <f t="shared" si="13"/>
        <v>-20.160000000000203</v>
      </c>
      <c r="G168">
        <f>$U$6</f>
        <v>18</v>
      </c>
      <c r="H168">
        <f>F168/G168</f>
        <v>-1.1200000000000112</v>
      </c>
      <c r="I168">
        <f>IF(A168="crop",H168, 0)</f>
        <v>0</v>
      </c>
      <c r="J168">
        <f>IF(A168="crop", 0, H168)</f>
        <v>-1.1200000000000112</v>
      </c>
      <c r="N168">
        <f t="shared" si="11"/>
        <v>0</v>
      </c>
      <c r="Q168">
        <f t="shared" si="14"/>
        <v>-3.1680000000000315E-3</v>
      </c>
      <c r="R168">
        <f t="shared" si="12"/>
        <v>0</v>
      </c>
    </row>
    <row r="169" spans="1:18" x14ac:dyDescent="0.2">
      <c r="A169" t="s">
        <v>103</v>
      </c>
      <c r="B169" s="6" t="s">
        <v>79</v>
      </c>
      <c r="C169">
        <f>VLOOKUP(B169, $V$13:$W$96, 2, FALSE)</f>
        <v>-0.18</v>
      </c>
      <c r="D169" t="s">
        <v>116</v>
      </c>
      <c r="E169">
        <v>100.900000000001</v>
      </c>
      <c r="F169">
        <f t="shared" si="13"/>
        <v>-18.16200000000018</v>
      </c>
      <c r="G169">
        <f>$U$6</f>
        <v>18</v>
      </c>
      <c r="H169">
        <f>F169/G169</f>
        <v>-1.0090000000000101</v>
      </c>
      <c r="I169">
        <f>IF(A169="crop",H169, 0)</f>
        <v>0</v>
      </c>
      <c r="J169">
        <f>IF(A169="crop", 0, H169)</f>
        <v>-1.0090000000000101</v>
      </c>
      <c r="N169">
        <f t="shared" si="11"/>
        <v>0</v>
      </c>
      <c r="Q169">
        <f t="shared" si="14"/>
        <v>-2.8540285714286E-3</v>
      </c>
      <c r="R169">
        <f t="shared" si="12"/>
        <v>0</v>
      </c>
    </row>
    <row r="170" spans="1:18" x14ac:dyDescent="0.2">
      <c r="A170" t="s">
        <v>103</v>
      </c>
      <c r="B170" s="6" t="s">
        <v>80</v>
      </c>
      <c r="C170">
        <f>VLOOKUP(B170, $V$13:$W$96, 2, FALSE)</f>
        <v>-0.4</v>
      </c>
      <c r="D170" t="s">
        <v>116</v>
      </c>
      <c r="E170">
        <v>101.00000000000099</v>
      </c>
      <c r="F170">
        <f t="shared" si="13"/>
        <v>-40.400000000000404</v>
      </c>
      <c r="G170">
        <f>$U$6</f>
        <v>18</v>
      </c>
      <c r="H170">
        <f>F170/G170</f>
        <v>-2.2444444444444667</v>
      </c>
      <c r="I170">
        <f>IF(A170="crop",H170, 0)</f>
        <v>0</v>
      </c>
      <c r="J170">
        <f>IF(A170="crop", 0, H170)</f>
        <v>-2.2444444444444667</v>
      </c>
      <c r="N170">
        <f t="shared" si="11"/>
        <v>0</v>
      </c>
      <c r="Q170">
        <f t="shared" si="14"/>
        <v>-6.3485714285714916E-3</v>
      </c>
      <c r="R170">
        <f t="shared" si="12"/>
        <v>0</v>
      </c>
    </row>
    <row r="171" spans="1:18" x14ac:dyDescent="0.2">
      <c r="A171" t="s">
        <v>103</v>
      </c>
      <c r="B171" s="6" t="s">
        <v>81</v>
      </c>
      <c r="C171">
        <f>VLOOKUP(B171, $V$13:$W$96, 2, FALSE)</f>
        <v>-0.21</v>
      </c>
      <c r="D171" t="s">
        <v>116</v>
      </c>
      <c r="E171">
        <v>101.100000000001</v>
      </c>
      <c r="F171">
        <f t="shared" si="13"/>
        <v>-21.231000000000211</v>
      </c>
      <c r="G171">
        <f>$U$6</f>
        <v>18</v>
      </c>
      <c r="H171">
        <f>F171/G171</f>
        <v>-1.1795000000000118</v>
      </c>
      <c r="I171">
        <f>IF(A171="crop",H171, 0)</f>
        <v>0</v>
      </c>
      <c r="J171">
        <f>IF(A171="crop", 0, H171)</f>
        <v>-1.1795000000000118</v>
      </c>
      <c r="N171">
        <f t="shared" si="11"/>
        <v>0</v>
      </c>
      <c r="Q171">
        <f t="shared" si="14"/>
        <v>-3.3363000000000329E-3</v>
      </c>
      <c r="R171">
        <f t="shared" si="12"/>
        <v>0</v>
      </c>
    </row>
    <row r="172" spans="1:18" x14ac:dyDescent="0.2">
      <c r="A172" t="s">
        <v>103</v>
      </c>
      <c r="B172" s="6" t="s">
        <v>82</v>
      </c>
      <c r="C172">
        <f>VLOOKUP(B172, $V$13:$W$96, 2, FALSE)</f>
        <v>-0.39</v>
      </c>
      <c r="D172" t="s">
        <v>116</v>
      </c>
      <c r="E172">
        <v>101.200000000001</v>
      </c>
      <c r="F172">
        <f t="shared" si="13"/>
        <v>-39.468000000000387</v>
      </c>
      <c r="G172">
        <f>$U$6</f>
        <v>18</v>
      </c>
      <c r="H172">
        <f>F172/G172</f>
        <v>-2.1926666666666881</v>
      </c>
      <c r="I172">
        <f>IF(A172="crop",H172, 0)</f>
        <v>0</v>
      </c>
      <c r="J172">
        <f>IF(A172="crop", 0, H172)</f>
        <v>-2.1926666666666881</v>
      </c>
      <c r="N172">
        <f t="shared" si="11"/>
        <v>0</v>
      </c>
      <c r="Q172">
        <f t="shared" si="14"/>
        <v>-6.2021142857143462E-3</v>
      </c>
      <c r="R172">
        <f t="shared" si="12"/>
        <v>0</v>
      </c>
    </row>
    <row r="173" spans="1:18" x14ac:dyDescent="0.2">
      <c r="A173" t="s">
        <v>103</v>
      </c>
      <c r="B173" s="6" t="s">
        <v>83</v>
      </c>
      <c r="C173">
        <f>VLOOKUP(B173, $V$13:$W$96, 2, FALSE)</f>
        <v>-0.69</v>
      </c>
      <c r="D173" t="s">
        <v>116</v>
      </c>
      <c r="E173">
        <v>101.30000000000101</v>
      </c>
      <c r="F173">
        <f t="shared" si="13"/>
        <v>-69.897000000000688</v>
      </c>
      <c r="G173">
        <f>$U$6</f>
        <v>18</v>
      </c>
      <c r="H173">
        <f>F173/G173</f>
        <v>-3.8831666666667051</v>
      </c>
      <c r="I173">
        <f>IF(A173="crop",H173, 0)</f>
        <v>0</v>
      </c>
      <c r="J173">
        <f>IF(A173="crop", 0, H173)</f>
        <v>-3.8831666666667051</v>
      </c>
      <c r="N173">
        <f t="shared" si="11"/>
        <v>0</v>
      </c>
      <c r="Q173">
        <f t="shared" si="14"/>
        <v>-1.0983814285714395E-2</v>
      </c>
      <c r="R173">
        <f t="shared" si="12"/>
        <v>0</v>
      </c>
    </row>
    <row r="174" spans="1:18" x14ac:dyDescent="0.2">
      <c r="A174" t="s">
        <v>103</v>
      </c>
      <c r="B174" s="6" t="s">
        <v>84</v>
      </c>
      <c r="C174">
        <f>VLOOKUP(B174, $V$13:$W$96, 2, FALSE)</f>
        <v>0</v>
      </c>
      <c r="D174" t="s">
        <v>116</v>
      </c>
      <c r="E174">
        <v>101.400000000001</v>
      </c>
      <c r="F174">
        <f t="shared" si="13"/>
        <v>0</v>
      </c>
      <c r="G174">
        <f>$U$6</f>
        <v>18</v>
      </c>
      <c r="H174">
        <f>F174/G174</f>
        <v>0</v>
      </c>
      <c r="I174">
        <f>IF(A174="crop",H174, 0)</f>
        <v>0</v>
      </c>
      <c r="J174">
        <f>IF(A174="crop", 0, H174)</f>
        <v>0</v>
      </c>
      <c r="N174">
        <f t="shared" si="11"/>
        <v>0</v>
      </c>
      <c r="Q174">
        <f t="shared" si="14"/>
        <v>0</v>
      </c>
      <c r="R174">
        <f t="shared" si="12"/>
        <v>0</v>
      </c>
    </row>
    <row r="175" spans="1:18" x14ac:dyDescent="0.2">
      <c r="A175" t="s">
        <v>103</v>
      </c>
      <c r="B175" s="6" t="s">
        <v>85</v>
      </c>
      <c r="C175">
        <f>VLOOKUP(B175, $V$13:$W$96, 2, FALSE)</f>
        <v>-7.0000000000000007E-2</v>
      </c>
      <c r="D175" t="s">
        <v>116</v>
      </c>
      <c r="E175">
        <v>101.50000000000099</v>
      </c>
      <c r="F175">
        <f t="shared" si="13"/>
        <v>-7.1050000000000706</v>
      </c>
      <c r="G175">
        <f>$U$6</f>
        <v>18</v>
      </c>
      <c r="H175">
        <f>F175/G175</f>
        <v>-0.39472222222222614</v>
      </c>
      <c r="I175">
        <f>IF(A175="crop",H175, 0)</f>
        <v>0</v>
      </c>
      <c r="J175">
        <f>IF(A175="crop", 0, H175)</f>
        <v>-0.39472222222222614</v>
      </c>
      <c r="N175">
        <f t="shared" si="11"/>
        <v>0</v>
      </c>
      <c r="Q175">
        <f t="shared" si="14"/>
        <v>-1.1165000000000109E-3</v>
      </c>
      <c r="R175">
        <f t="shared" si="12"/>
        <v>0</v>
      </c>
    </row>
    <row r="176" spans="1:18" x14ac:dyDescent="0.2">
      <c r="A176" t="s">
        <v>103</v>
      </c>
      <c r="B176" s="6" t="s">
        <v>86</v>
      </c>
      <c r="C176">
        <f>VLOOKUP(B176, $V$13:$W$96, 2, FALSE)</f>
        <v>-0.56999999999999995</v>
      </c>
      <c r="D176" t="s">
        <v>116</v>
      </c>
      <c r="E176">
        <v>101.600000000001</v>
      </c>
      <c r="F176">
        <f t="shared" si="13"/>
        <v>-57.912000000000567</v>
      </c>
      <c r="G176">
        <f>$U$6</f>
        <v>18</v>
      </c>
      <c r="H176">
        <f>F176/G176</f>
        <v>-3.2173333333333649</v>
      </c>
      <c r="I176">
        <f>IF(A176="crop",H176, 0)</f>
        <v>0</v>
      </c>
      <c r="J176">
        <f>IF(A176="crop", 0, H176)</f>
        <v>-3.2173333333333649</v>
      </c>
      <c r="N176">
        <f t="shared" si="11"/>
        <v>0</v>
      </c>
      <c r="Q176">
        <f t="shared" si="14"/>
        <v>-9.1004571428572323E-3</v>
      </c>
      <c r="R176">
        <f t="shared" si="12"/>
        <v>0</v>
      </c>
    </row>
    <row r="177" spans="1:18" x14ac:dyDescent="0.2">
      <c r="A177" t="s">
        <v>103</v>
      </c>
      <c r="B177" s="6" t="s">
        <v>87</v>
      </c>
      <c r="C177">
        <f>VLOOKUP(B177, $V$13:$W$96, 2, FALSE)</f>
        <v>-0.67</v>
      </c>
      <c r="D177" t="s">
        <v>116</v>
      </c>
      <c r="E177">
        <v>101.700000000001</v>
      </c>
      <c r="F177">
        <f t="shared" si="13"/>
        <v>-68.139000000000678</v>
      </c>
      <c r="G177">
        <f>$U$6</f>
        <v>18</v>
      </c>
      <c r="H177">
        <f>F177/G177</f>
        <v>-3.7855000000000376</v>
      </c>
      <c r="I177">
        <f>IF(A177="crop",H177, 0)</f>
        <v>0</v>
      </c>
      <c r="J177">
        <f>IF(A177="crop", 0, H177)</f>
        <v>-3.7855000000000376</v>
      </c>
      <c r="N177">
        <f t="shared" si="11"/>
        <v>0</v>
      </c>
      <c r="Q177">
        <f t="shared" si="14"/>
        <v>-1.0707557142857248E-2</v>
      </c>
      <c r="R177">
        <f t="shared" si="12"/>
        <v>0</v>
      </c>
    </row>
    <row r="178" spans="1:18" x14ac:dyDescent="0.2">
      <c r="A178" t="s">
        <v>103</v>
      </c>
      <c r="B178" s="6" t="s">
        <v>88</v>
      </c>
      <c r="C178">
        <f>VLOOKUP(B178, $V$13:$W$96, 2, FALSE)</f>
        <v>-0.05</v>
      </c>
      <c r="D178" t="s">
        <v>116</v>
      </c>
      <c r="E178">
        <v>101.80000000000101</v>
      </c>
      <c r="F178">
        <f t="shared" si="13"/>
        <v>-5.0900000000000505</v>
      </c>
      <c r="G178">
        <f>$U$6</f>
        <v>18</v>
      </c>
      <c r="H178">
        <f>F178/G178</f>
        <v>-0.28277777777778057</v>
      </c>
      <c r="I178">
        <f>IF(A178="crop",H178, 0)</f>
        <v>0</v>
      </c>
      <c r="J178">
        <f>IF(A178="crop", 0, H178)</f>
        <v>-0.28277777777778057</v>
      </c>
      <c r="N178">
        <f t="shared" si="11"/>
        <v>0</v>
      </c>
      <c r="Q178">
        <f t="shared" si="14"/>
        <v>-7.9985714285715065E-4</v>
      </c>
      <c r="R178">
        <f t="shared" si="1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2026-04-17T00:39:32Z</dcterms:modified>
</cp:coreProperties>
</file>