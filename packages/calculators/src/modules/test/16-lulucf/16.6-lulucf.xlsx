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xr:revisionPtr revIDLastSave="0" documentId="13_ncr:1_{7666A530-DCE6-A14A-A9DF-7F632E58B074}" xr6:coauthVersionLast="47" xr6:coauthVersionMax="47" xr10:uidLastSave="{00000000-0000-0000-0000-000000000000}"/>
  <bookViews>
    <workbookView xWindow="0" yWindow="660" windowWidth="30240" windowHeight="18980" xr2:uid="{A7819E6E-1EF8-024D-B571-91DD1BC0E0B7}"/>
  </bookViews>
  <sheets>
    <sheet name="16.6.1.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" i="1" l="1"/>
  <c r="O61" i="1" s="1"/>
  <c r="K63" i="1"/>
  <c r="D63" i="1" s="1"/>
  <c r="K62" i="1"/>
  <c r="D62" i="1" s="1"/>
  <c r="M61" i="1"/>
  <c r="K61" i="1"/>
  <c r="D61" i="1" s="1"/>
  <c r="E61" i="1" s="1"/>
  <c r="G61" i="1"/>
  <c r="N86" i="1"/>
  <c r="N76" i="1"/>
  <c r="K88" i="1"/>
  <c r="D88" i="1" s="1"/>
  <c r="K87" i="1"/>
  <c r="D87" i="1" s="1"/>
  <c r="M86" i="1"/>
  <c r="K86" i="1"/>
  <c r="D86" i="1" s="1"/>
  <c r="H86" i="1"/>
  <c r="K83" i="1"/>
  <c r="D83" i="1" s="1"/>
  <c r="K82" i="1"/>
  <c r="D82" i="1" s="1"/>
  <c r="M81" i="1"/>
  <c r="K81" i="1"/>
  <c r="D81" i="1" s="1"/>
  <c r="H81" i="1"/>
  <c r="G81" i="1"/>
  <c r="M76" i="1"/>
  <c r="M71" i="1"/>
  <c r="M16" i="1"/>
  <c r="M21" i="1"/>
  <c r="M26" i="1"/>
  <c r="M31" i="1"/>
  <c r="M36" i="1"/>
  <c r="M41" i="1"/>
  <c r="M46" i="1"/>
  <c r="M51" i="1"/>
  <c r="M56" i="1"/>
  <c r="K16" i="1"/>
  <c r="D16" i="1" s="1"/>
  <c r="K17" i="1"/>
  <c r="D17" i="1" s="1"/>
  <c r="K18" i="1"/>
  <c r="D18" i="1" s="1"/>
  <c r="K21" i="1"/>
  <c r="D21" i="1" s="1"/>
  <c r="K22" i="1"/>
  <c r="D22" i="1" s="1"/>
  <c r="K23" i="1"/>
  <c r="D23" i="1" s="1"/>
  <c r="K26" i="1"/>
  <c r="D26" i="1" s="1"/>
  <c r="K27" i="1"/>
  <c r="D27" i="1" s="1"/>
  <c r="K28" i="1"/>
  <c r="D28" i="1" s="1"/>
  <c r="K31" i="1"/>
  <c r="D31" i="1" s="1"/>
  <c r="K32" i="1"/>
  <c r="D32" i="1" s="1"/>
  <c r="K33" i="1"/>
  <c r="D33" i="1" s="1"/>
  <c r="K36" i="1"/>
  <c r="D36" i="1" s="1"/>
  <c r="K37" i="1"/>
  <c r="D37" i="1" s="1"/>
  <c r="K38" i="1"/>
  <c r="D38" i="1" s="1"/>
  <c r="K41" i="1"/>
  <c r="D41" i="1" s="1"/>
  <c r="K42" i="1"/>
  <c r="D42" i="1" s="1"/>
  <c r="K43" i="1"/>
  <c r="D43" i="1" s="1"/>
  <c r="K46" i="1"/>
  <c r="D46" i="1" s="1"/>
  <c r="K47" i="1"/>
  <c r="D47" i="1" s="1"/>
  <c r="K48" i="1"/>
  <c r="D48" i="1" s="1"/>
  <c r="K51" i="1"/>
  <c r="D51" i="1" s="1"/>
  <c r="K52" i="1"/>
  <c r="D52" i="1" s="1"/>
  <c r="K53" i="1"/>
  <c r="D53" i="1" s="1"/>
  <c r="K56" i="1"/>
  <c r="D56" i="1" s="1"/>
  <c r="K57" i="1"/>
  <c r="D57" i="1" s="1"/>
  <c r="K58" i="1"/>
  <c r="D58" i="1" s="1"/>
  <c r="G21" i="1"/>
  <c r="G26" i="1"/>
  <c r="G31" i="1"/>
  <c r="G36" i="1"/>
  <c r="G41" i="1"/>
  <c r="G46" i="1"/>
  <c r="G51" i="1"/>
  <c r="G56" i="1"/>
  <c r="G16" i="1"/>
  <c r="Q61" i="1" l="1"/>
  <c r="P61" i="1"/>
  <c r="J81" i="1"/>
  <c r="N81" i="1" s="1"/>
  <c r="E36" i="1"/>
  <c r="E16" i="1"/>
  <c r="E56" i="1"/>
  <c r="E86" i="1"/>
  <c r="G86" i="1"/>
  <c r="E81" i="1"/>
  <c r="E51" i="1"/>
  <c r="E46" i="1"/>
  <c r="E31" i="1"/>
  <c r="E26" i="1"/>
  <c r="E41" i="1"/>
  <c r="E21" i="1"/>
  <c r="K78" i="1"/>
  <c r="D78" i="1" s="1"/>
  <c r="K77" i="1"/>
  <c r="D77" i="1" s="1"/>
  <c r="K76" i="1"/>
  <c r="D76" i="1" s="1"/>
  <c r="H76" i="1"/>
  <c r="H71" i="1"/>
  <c r="K11" i="1"/>
  <c r="D11" i="1" s="1"/>
  <c r="M11" i="1"/>
  <c r="K73" i="1"/>
  <c r="D73" i="1" s="1"/>
  <c r="K72" i="1"/>
  <c r="D72" i="1" s="1"/>
  <c r="K71" i="1"/>
  <c r="D71" i="1" s="1"/>
  <c r="G71" i="1"/>
  <c r="G11" i="1"/>
  <c r="K12" i="1"/>
  <c r="D12" i="1" s="1"/>
  <c r="K13" i="1"/>
  <c r="D13" i="1" s="1"/>
  <c r="O71" i="1"/>
  <c r="O86" i="1" l="1"/>
  <c r="Q86" i="1" s="1"/>
  <c r="O81" i="1"/>
  <c r="P86" i="1"/>
  <c r="O76" i="1"/>
  <c r="Q76" i="1" s="1"/>
  <c r="O11" i="1"/>
  <c r="Q11" i="1" s="1"/>
  <c r="O41" i="1"/>
  <c r="O31" i="1"/>
  <c r="O46" i="1"/>
  <c r="O16" i="1"/>
  <c r="O51" i="1"/>
  <c r="O56" i="1"/>
  <c r="O21" i="1"/>
  <c r="O26" i="1"/>
  <c r="O36" i="1"/>
  <c r="J71" i="1"/>
  <c r="N71" i="1" s="1"/>
  <c r="Q71" i="1" s="1"/>
  <c r="E76" i="1"/>
  <c r="G76" i="1"/>
  <c r="P76" i="1" s="1"/>
  <c r="E71" i="1"/>
  <c r="P71" i="1" s="1"/>
  <c r="E11" i="1"/>
  <c r="P11" i="1" s="1"/>
  <c r="P81" i="1" l="1"/>
  <c r="Q81" i="1"/>
  <c r="P21" i="1"/>
  <c r="Q21" i="1"/>
  <c r="P56" i="1"/>
  <c r="Q56" i="1"/>
  <c r="P46" i="1"/>
  <c r="Q46" i="1"/>
  <c r="P51" i="1"/>
  <c r="Q51" i="1"/>
  <c r="P16" i="1"/>
  <c r="Q16" i="1"/>
  <c r="P41" i="1"/>
  <c r="Q41" i="1"/>
  <c r="P31" i="1"/>
  <c r="Q31" i="1"/>
  <c r="P36" i="1"/>
  <c r="Q36" i="1"/>
  <c r="P26" i="1"/>
  <c r="Q26" i="1"/>
</calcChain>
</file>

<file path=xl/sharedStrings.xml><?xml version="1.0" encoding="utf-8"?>
<sst xmlns="http://schemas.openxmlformats.org/spreadsheetml/2006/main" count="112" uniqueCount="42">
  <si>
    <t>Act</t>
  </si>
  <si>
    <t>Area planted t years ago</t>
  </si>
  <si>
    <t>Area of crop cleared</t>
  </si>
  <si>
    <t>ACc</t>
  </si>
  <si>
    <t>ha</t>
  </si>
  <si>
    <t>input</t>
  </si>
  <si>
    <t>BARc</t>
  </si>
  <si>
    <t>Biomass accumulation rate</t>
  </si>
  <si>
    <t>constant</t>
  </si>
  <si>
    <t>mc</t>
  </si>
  <si>
    <t>years to maturity for crop</t>
  </si>
  <si>
    <t>BAMc</t>
  </si>
  <si>
    <t>t / ha</t>
  </si>
  <si>
    <t>years</t>
  </si>
  <si>
    <t>t C / ha / year</t>
  </si>
  <si>
    <t>t</t>
  </si>
  <si>
    <t>Biomass stock at maturity</t>
  </si>
  <si>
    <t>CgCO2</t>
  </si>
  <si>
    <t>RLUc</t>
  </si>
  <si>
    <t>Crop type</t>
  </si>
  <si>
    <t>Oranges</t>
  </si>
  <si>
    <t>Macadamias</t>
  </si>
  <si>
    <t>Almonds</t>
  </si>
  <si>
    <t>Apples</t>
  </si>
  <si>
    <t>Peaches</t>
  </si>
  <si>
    <t>Grapes</t>
  </si>
  <si>
    <t>N/A</t>
  </si>
  <si>
    <t>Kiwifruits</t>
  </si>
  <si>
    <t>Olives</t>
  </si>
  <si>
    <t>Avocados</t>
  </si>
  <si>
    <t>Mangoes</t>
  </si>
  <si>
    <t>stem density</t>
  </si>
  <si>
    <t>trees / ha</t>
  </si>
  <si>
    <t>tC / ha / yr</t>
  </si>
  <si>
    <t>Years since planting</t>
  </si>
  <si>
    <t>Default stem density</t>
  </si>
  <si>
    <t>Custom BARc</t>
  </si>
  <si>
    <t>Actual stem density</t>
  </si>
  <si>
    <t>Custom BAMc</t>
  </si>
  <si>
    <t>Hectares removing carbon</t>
  </si>
  <si>
    <t>ELUc</t>
  </si>
  <si>
    <t>BAMc for 16.5.1.4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</si>
</sst>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constants/common.xlsx" TargetMode="External"/><Relationship Id="rId1" Type="http://schemas.openxmlformats.org/officeDocument/2006/relationships/externalLinkPath" Target="../constants/comm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common"/>
    </sheetNames>
    <definedNames>
      <definedName name="common_cco2" refersTo="='common'!$B$2"/>
    </definedNames>
    <sheetDataSet>
      <sheetData sheetId="0">
        <row r="2">
          <cell r="B2">
            <v>3.67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E4C56-4465-6144-908F-761ED9C1F4A0}">
  <dimension ref="A4:W91"/>
  <sheetViews>
    <sheetView tabSelected="1" topLeftCell="K3" workbookViewId="0">
      <selection activeCell="T13" sqref="T13"/>
    </sheetView>
  </sheetViews>
  <sheetFormatPr baseColWidth="10" defaultRowHeight="16" x14ac:dyDescent="0.2"/>
  <cols>
    <col min="2" max="3" width="14.6640625" customWidth="1"/>
    <col min="4" max="5" width="18.1640625" customWidth="1"/>
    <col min="6" max="6" width="16.33203125" customWidth="1"/>
    <col min="7" max="10" width="17" customWidth="1"/>
    <col min="11" max="12" width="16.5" customWidth="1"/>
    <col min="13" max="14" width="17" customWidth="1"/>
  </cols>
  <sheetData>
    <row r="4" spans="1:23" x14ac:dyDescent="0.2">
      <c r="B4" t="s">
        <v>5</v>
      </c>
      <c r="F4" t="s">
        <v>5</v>
      </c>
      <c r="G4" t="s">
        <v>8</v>
      </c>
      <c r="K4" t="s">
        <v>8</v>
      </c>
      <c r="M4" t="s">
        <v>8</v>
      </c>
    </row>
    <row r="5" spans="1:23" x14ac:dyDescent="0.2">
      <c r="G5" t="s">
        <v>5</v>
      </c>
      <c r="M5" t="s">
        <v>5</v>
      </c>
      <c r="S5" t="s">
        <v>17</v>
      </c>
      <c r="T5">
        <f>[1]!common_cco2</f>
        <v>3.67</v>
      </c>
    </row>
    <row r="7" spans="1:23" x14ac:dyDescent="0.2">
      <c r="B7" t="s">
        <v>4</v>
      </c>
      <c r="F7" t="s">
        <v>4</v>
      </c>
      <c r="G7" t="s">
        <v>14</v>
      </c>
      <c r="K7" t="s">
        <v>13</v>
      </c>
      <c r="M7" t="s">
        <v>12</v>
      </c>
    </row>
    <row r="9" spans="1:23" s="4" customFormat="1" ht="34" x14ac:dyDescent="0.2">
      <c r="B9" s="3" t="s">
        <v>1</v>
      </c>
      <c r="C9" s="3" t="s">
        <v>34</v>
      </c>
      <c r="D9" s="4" t="s">
        <v>39</v>
      </c>
      <c r="F9" s="3" t="s">
        <v>2</v>
      </c>
      <c r="G9" s="4" t="s">
        <v>7</v>
      </c>
      <c r="H9" s="4" t="s">
        <v>35</v>
      </c>
      <c r="J9" s="4" t="s">
        <v>36</v>
      </c>
      <c r="K9" s="4" t="s">
        <v>10</v>
      </c>
      <c r="M9" s="3" t="s">
        <v>16</v>
      </c>
      <c r="N9" s="3"/>
    </row>
    <row r="10" spans="1:23" ht="17" x14ac:dyDescent="0.2">
      <c r="A10" s="4" t="s">
        <v>19</v>
      </c>
      <c r="B10" s="2" t="s">
        <v>0</v>
      </c>
      <c r="C10" s="2" t="s">
        <v>15</v>
      </c>
      <c r="F10" s="2" t="s">
        <v>3</v>
      </c>
      <c r="G10" t="s">
        <v>6</v>
      </c>
      <c r="K10" t="s">
        <v>9</v>
      </c>
      <c r="M10" s="2" t="s">
        <v>11</v>
      </c>
      <c r="N10" s="2"/>
      <c r="O10" t="s">
        <v>17</v>
      </c>
      <c r="P10" s="1" t="s">
        <v>18</v>
      </c>
      <c r="Q10" s="1" t="s">
        <v>40</v>
      </c>
      <c r="T10" t="s">
        <v>11</v>
      </c>
      <c r="U10" t="s">
        <v>9</v>
      </c>
      <c r="V10" t="s">
        <v>6</v>
      </c>
      <c r="W10" t="s">
        <v>31</v>
      </c>
    </row>
    <row r="11" spans="1:23" x14ac:dyDescent="0.2">
      <c r="A11" t="s">
        <v>20</v>
      </c>
      <c r="B11">
        <v>3</v>
      </c>
      <c r="C11">
        <v>1</v>
      </c>
      <c r="D11">
        <f>IF(C11&lt;=K11, B11,0)</f>
        <v>3</v>
      </c>
      <c r="E11">
        <f>SUM(D11:D13)</f>
        <v>6</v>
      </c>
      <c r="F11">
        <v>1</v>
      </c>
      <c r="G11">
        <f>VLOOKUP(A11, $S$12:$W$21, 4, FALSE)</f>
        <v>0.5</v>
      </c>
      <c r="K11">
        <f>VLOOKUP(A11, $S$12:$W$21, 3, FALSE)</f>
        <v>10</v>
      </c>
      <c r="M11">
        <f>VLOOKUP(A11, $S$12:$W$21, 2, FALSE)</f>
        <v>5</v>
      </c>
      <c r="O11">
        <f>$T$5</f>
        <v>3.67</v>
      </c>
      <c r="P11">
        <f>O11*G11*E11</f>
        <v>11.01</v>
      </c>
      <c r="Q11">
        <f>O11*M11*F11</f>
        <v>18.350000000000001</v>
      </c>
      <c r="T11" t="s">
        <v>33</v>
      </c>
      <c r="U11" t="s">
        <v>13</v>
      </c>
      <c r="V11" t="s">
        <v>33</v>
      </c>
      <c r="W11" t="s">
        <v>32</v>
      </c>
    </row>
    <row r="12" spans="1:23" x14ac:dyDescent="0.2">
      <c r="A12" t="s">
        <v>20</v>
      </c>
      <c r="B12">
        <v>3</v>
      </c>
      <c r="C12">
        <v>10</v>
      </c>
      <c r="D12">
        <f t="shared" ref="D12:D13" si="0">IF(C12&lt;=K12, B12,0)</f>
        <v>3</v>
      </c>
      <c r="K12">
        <f>VLOOKUP(A12, $S$12:$W$21, 3, FALSE)</f>
        <v>10</v>
      </c>
      <c r="S12" t="s">
        <v>20</v>
      </c>
      <c r="T12">
        <v>5</v>
      </c>
      <c r="U12">
        <v>10</v>
      </c>
      <c r="V12">
        <v>0.5</v>
      </c>
      <c r="W12">
        <v>417</v>
      </c>
    </row>
    <row r="13" spans="1:23" x14ac:dyDescent="0.2">
      <c r="A13" t="s">
        <v>20</v>
      </c>
      <c r="B13">
        <v>4</v>
      </c>
      <c r="C13">
        <v>12</v>
      </c>
      <c r="D13">
        <f t="shared" si="0"/>
        <v>0</v>
      </c>
      <c r="K13">
        <f>VLOOKUP(A13, $S$12:$W$21, 3, FALSE)</f>
        <v>10</v>
      </c>
      <c r="S13" t="s">
        <v>21</v>
      </c>
      <c r="T13">
        <v>12.3</v>
      </c>
      <c r="U13">
        <v>15</v>
      </c>
      <c r="V13">
        <v>0.82</v>
      </c>
      <c r="W13">
        <v>312</v>
      </c>
    </row>
    <row r="14" spans="1:23" x14ac:dyDescent="0.2">
      <c r="S14" t="s">
        <v>22</v>
      </c>
      <c r="T14">
        <v>9.6</v>
      </c>
      <c r="U14">
        <v>8</v>
      </c>
      <c r="V14">
        <v>1.2</v>
      </c>
      <c r="W14">
        <v>222</v>
      </c>
    </row>
    <row r="15" spans="1:23" x14ac:dyDescent="0.2">
      <c r="S15" t="s">
        <v>23</v>
      </c>
      <c r="T15">
        <v>4.9000000000000004</v>
      </c>
      <c r="U15">
        <v>7</v>
      </c>
      <c r="V15">
        <v>0.7</v>
      </c>
      <c r="W15">
        <v>1500</v>
      </c>
    </row>
    <row r="16" spans="1:23" x14ac:dyDescent="0.2">
      <c r="A16" t="s">
        <v>21</v>
      </c>
      <c r="B16">
        <v>1</v>
      </c>
      <c r="C16">
        <v>1</v>
      </c>
      <c r="D16">
        <f t="shared" ref="D16:D58" si="1">IF(C16&lt;=K16, B16,0)</f>
        <v>1</v>
      </c>
      <c r="E16">
        <f t="shared" ref="E16" si="2">SUM(D16:D18)</f>
        <v>6</v>
      </c>
      <c r="F16">
        <v>0</v>
      </c>
      <c r="G16">
        <f>VLOOKUP(A16, $S$12:$W$21, 4, FALSE)</f>
        <v>0.82</v>
      </c>
      <c r="K16">
        <f>VLOOKUP(A16, $S$12:$W$21, 3, FALSE)</f>
        <v>15</v>
      </c>
      <c r="M16">
        <f>VLOOKUP(A16, $S$12:$W$21, 2, FALSE)</f>
        <v>12.3</v>
      </c>
      <c r="O16">
        <f t="shared" ref="O16" si="3">$T$5</f>
        <v>3.67</v>
      </c>
      <c r="P16">
        <f>O16*G16*E16</f>
        <v>18.0564</v>
      </c>
      <c r="Q16">
        <f>O16*M16*F16</f>
        <v>0</v>
      </c>
      <c r="S16" t="s">
        <v>24</v>
      </c>
      <c r="T16">
        <v>5.2</v>
      </c>
      <c r="U16">
        <v>4</v>
      </c>
      <c r="V16">
        <v>1.3</v>
      </c>
      <c r="W16">
        <v>740</v>
      </c>
    </row>
    <row r="17" spans="1:23" x14ac:dyDescent="0.2">
      <c r="A17" t="s">
        <v>21</v>
      </c>
      <c r="B17">
        <v>2</v>
      </c>
      <c r="C17">
        <v>1</v>
      </c>
      <c r="D17">
        <f t="shared" si="1"/>
        <v>2</v>
      </c>
      <c r="K17">
        <f>VLOOKUP(A17, $S$12:$W$21, 3, FALSE)</f>
        <v>15</v>
      </c>
      <c r="S17" t="s">
        <v>25</v>
      </c>
      <c r="T17">
        <v>1.2</v>
      </c>
      <c r="U17">
        <v>4</v>
      </c>
      <c r="V17">
        <v>0.3</v>
      </c>
      <c r="W17" t="s">
        <v>26</v>
      </c>
    </row>
    <row r="18" spans="1:23" x14ac:dyDescent="0.2">
      <c r="A18" t="s">
        <v>21</v>
      </c>
      <c r="B18">
        <v>3</v>
      </c>
      <c r="C18">
        <v>1</v>
      </c>
      <c r="D18">
        <f t="shared" si="1"/>
        <v>3</v>
      </c>
      <c r="K18">
        <f>VLOOKUP(A18, $S$12:$W$21, 3, FALSE)</f>
        <v>15</v>
      </c>
      <c r="S18" t="s">
        <v>27</v>
      </c>
      <c r="T18">
        <v>1.5</v>
      </c>
      <c r="U18">
        <v>5</v>
      </c>
      <c r="V18">
        <v>0.3</v>
      </c>
      <c r="W18" t="s">
        <v>26</v>
      </c>
    </row>
    <row r="19" spans="1:23" x14ac:dyDescent="0.2">
      <c r="S19" t="s">
        <v>28</v>
      </c>
      <c r="T19">
        <v>6.7</v>
      </c>
      <c r="U19">
        <v>10</v>
      </c>
      <c r="V19">
        <v>0.67</v>
      </c>
      <c r="W19">
        <v>250</v>
      </c>
    </row>
    <row r="20" spans="1:23" x14ac:dyDescent="0.2">
      <c r="S20" t="s">
        <v>29</v>
      </c>
      <c r="T20">
        <v>6</v>
      </c>
      <c r="U20">
        <v>10</v>
      </c>
      <c r="V20">
        <v>0.6</v>
      </c>
      <c r="W20">
        <v>210</v>
      </c>
    </row>
    <row r="21" spans="1:23" x14ac:dyDescent="0.2">
      <c r="A21" t="s">
        <v>22</v>
      </c>
      <c r="B21">
        <v>4</v>
      </c>
      <c r="C21">
        <v>7</v>
      </c>
      <c r="D21">
        <f t="shared" ref="D21" si="4">IF(C21&lt;=K21, B21,0)</f>
        <v>4</v>
      </c>
      <c r="E21">
        <f t="shared" ref="E21" si="5">SUM(D21:D23)</f>
        <v>15</v>
      </c>
      <c r="F21">
        <v>2.5</v>
      </c>
      <c r="G21">
        <f>VLOOKUP(A21, $S$12:$W$21, 4, FALSE)</f>
        <v>1.2</v>
      </c>
      <c r="K21">
        <f>VLOOKUP(A21, $S$12:$W$21, 3, FALSE)</f>
        <v>8</v>
      </c>
      <c r="M21">
        <f>VLOOKUP(A21, $S$12:$W$21, 2, FALSE)</f>
        <v>9.6</v>
      </c>
      <c r="O21">
        <f t="shared" ref="O21" si="6">$T$5</f>
        <v>3.67</v>
      </c>
      <c r="P21">
        <f>O21*G21*E21</f>
        <v>66.06</v>
      </c>
      <c r="Q21">
        <f>O21*M21*F21</f>
        <v>88.08</v>
      </c>
      <c r="S21" t="s">
        <v>30</v>
      </c>
      <c r="T21">
        <v>13</v>
      </c>
      <c r="U21">
        <v>10</v>
      </c>
      <c r="V21">
        <v>1.3</v>
      </c>
      <c r="W21">
        <v>185</v>
      </c>
    </row>
    <row r="22" spans="1:23" x14ac:dyDescent="0.2">
      <c r="A22" t="s">
        <v>22</v>
      </c>
      <c r="B22">
        <v>5</v>
      </c>
      <c r="C22">
        <v>7</v>
      </c>
      <c r="D22">
        <f t="shared" si="1"/>
        <v>5</v>
      </c>
      <c r="K22">
        <f>VLOOKUP(A22, $S$12:$W$21, 3, FALSE)</f>
        <v>8</v>
      </c>
    </row>
    <row r="23" spans="1:23" x14ac:dyDescent="0.2">
      <c r="A23" t="s">
        <v>22</v>
      </c>
      <c r="B23">
        <v>6</v>
      </c>
      <c r="C23">
        <v>7</v>
      </c>
      <c r="D23">
        <f t="shared" si="1"/>
        <v>6</v>
      </c>
      <c r="K23">
        <f>VLOOKUP(A23, $S$12:$W$21, 3, FALSE)</f>
        <v>8</v>
      </c>
    </row>
    <row r="26" spans="1:23" x14ac:dyDescent="0.2">
      <c r="A26" t="s">
        <v>23</v>
      </c>
      <c r="B26">
        <v>7</v>
      </c>
      <c r="C26">
        <v>8</v>
      </c>
      <c r="D26">
        <f t="shared" ref="D26" si="7">IF(C26&lt;=K26, B26,0)</f>
        <v>0</v>
      </c>
      <c r="E26">
        <f t="shared" ref="E26" si="8">SUM(D26:D28)</f>
        <v>0</v>
      </c>
      <c r="F26">
        <v>5</v>
      </c>
      <c r="G26">
        <f>VLOOKUP(A26, $S$12:$W$21, 4, FALSE)</f>
        <v>0.7</v>
      </c>
      <c r="K26">
        <f>VLOOKUP(A26, $S$12:$W$21, 3, FALSE)</f>
        <v>7</v>
      </c>
      <c r="M26">
        <f>VLOOKUP(A26, $S$12:$W$21, 2, FALSE)</f>
        <v>4.9000000000000004</v>
      </c>
      <c r="O26">
        <f t="shared" ref="O26" si="9">$T$5</f>
        <v>3.67</v>
      </c>
      <c r="P26">
        <f>O26*G26*E26</f>
        <v>0</v>
      </c>
      <c r="Q26">
        <f>O26*M26*F26</f>
        <v>89.915000000000006</v>
      </c>
    </row>
    <row r="27" spans="1:23" x14ac:dyDescent="0.2">
      <c r="A27" t="s">
        <v>23</v>
      </c>
      <c r="B27">
        <v>8</v>
      </c>
      <c r="C27">
        <v>9</v>
      </c>
      <c r="D27">
        <f t="shared" si="1"/>
        <v>0</v>
      </c>
      <c r="K27">
        <f>VLOOKUP(A27, $S$12:$W$21, 3, FALSE)</f>
        <v>7</v>
      </c>
    </row>
    <row r="28" spans="1:23" x14ac:dyDescent="0.2">
      <c r="A28" t="s">
        <v>23</v>
      </c>
      <c r="B28">
        <v>9</v>
      </c>
      <c r="C28">
        <v>10</v>
      </c>
      <c r="D28">
        <f t="shared" si="1"/>
        <v>0</v>
      </c>
      <c r="K28">
        <f>VLOOKUP(A28, $S$12:$W$21, 3, FALSE)</f>
        <v>7</v>
      </c>
    </row>
    <row r="31" spans="1:23" x14ac:dyDescent="0.2">
      <c r="A31" t="s">
        <v>24</v>
      </c>
      <c r="B31">
        <v>10</v>
      </c>
      <c r="C31">
        <v>3</v>
      </c>
      <c r="D31">
        <f t="shared" ref="D31" si="10">IF(C31&lt;=K31, B31,0)</f>
        <v>10</v>
      </c>
      <c r="E31">
        <f t="shared" ref="E31" si="11">SUM(D31:D33)</f>
        <v>21</v>
      </c>
      <c r="F31">
        <v>20</v>
      </c>
      <c r="G31">
        <f>VLOOKUP(A31, $S$12:$W$21, 4, FALSE)</f>
        <v>1.3</v>
      </c>
      <c r="K31">
        <f>VLOOKUP(A31, $S$12:$W$21, 3, FALSE)</f>
        <v>4</v>
      </c>
      <c r="M31">
        <f>VLOOKUP(A31, $S$12:$W$21, 2, FALSE)</f>
        <v>5.2</v>
      </c>
      <c r="O31">
        <f t="shared" ref="O31" si="12">$T$5</f>
        <v>3.67</v>
      </c>
      <c r="P31">
        <f>O31*G31*E31</f>
        <v>100.191</v>
      </c>
      <c r="Q31">
        <f>O31*M31*F31</f>
        <v>381.68</v>
      </c>
    </row>
    <row r="32" spans="1:23" x14ac:dyDescent="0.2">
      <c r="A32" t="s">
        <v>24</v>
      </c>
      <c r="B32">
        <v>11</v>
      </c>
      <c r="C32">
        <v>4</v>
      </c>
      <c r="D32">
        <f t="shared" si="1"/>
        <v>11</v>
      </c>
      <c r="K32">
        <f>VLOOKUP(A32, $S$12:$W$21, 3, FALSE)</f>
        <v>4</v>
      </c>
    </row>
    <row r="33" spans="1:17" x14ac:dyDescent="0.2">
      <c r="A33" t="s">
        <v>24</v>
      </c>
      <c r="B33">
        <v>12</v>
      </c>
      <c r="C33">
        <v>5</v>
      </c>
      <c r="D33">
        <f t="shared" si="1"/>
        <v>0</v>
      </c>
      <c r="K33">
        <f>VLOOKUP(A33, $S$12:$W$21, 3, FALSE)</f>
        <v>4</v>
      </c>
    </row>
    <row r="36" spans="1:17" x14ac:dyDescent="0.2">
      <c r="A36" t="s">
        <v>25</v>
      </c>
      <c r="B36">
        <v>13</v>
      </c>
      <c r="C36">
        <v>1</v>
      </c>
      <c r="D36">
        <f t="shared" ref="D36" si="13">IF(C36&lt;=K36, B36,0)</f>
        <v>13</v>
      </c>
      <c r="E36">
        <f t="shared" ref="E36" si="14">SUM(D36:D38)</f>
        <v>42</v>
      </c>
      <c r="F36">
        <v>0.3</v>
      </c>
      <c r="G36">
        <f>VLOOKUP(A36, $S$12:$W$21, 4, FALSE)</f>
        <v>0.3</v>
      </c>
      <c r="K36">
        <f>VLOOKUP(A36, $S$12:$W$21, 3, FALSE)</f>
        <v>4</v>
      </c>
      <c r="M36">
        <f>VLOOKUP(A36, $S$12:$W$21, 2, FALSE)</f>
        <v>1.2</v>
      </c>
      <c r="O36">
        <f t="shared" ref="O36" si="15">$T$5</f>
        <v>3.67</v>
      </c>
      <c r="P36">
        <f>O36*G36*E36</f>
        <v>46.241999999999997</v>
      </c>
      <c r="Q36">
        <f>O36*M36*F36</f>
        <v>1.3211999999999999</v>
      </c>
    </row>
    <row r="37" spans="1:17" x14ac:dyDescent="0.2">
      <c r="A37" t="s">
        <v>25</v>
      </c>
      <c r="B37">
        <v>14</v>
      </c>
      <c r="C37">
        <v>2</v>
      </c>
      <c r="D37">
        <f t="shared" si="1"/>
        <v>14</v>
      </c>
      <c r="K37">
        <f>VLOOKUP(A37, $S$12:$W$21, 3, FALSE)</f>
        <v>4</v>
      </c>
    </row>
    <row r="38" spans="1:17" x14ac:dyDescent="0.2">
      <c r="A38" t="s">
        <v>25</v>
      </c>
      <c r="B38">
        <v>15</v>
      </c>
      <c r="C38">
        <v>3</v>
      </c>
      <c r="D38">
        <f t="shared" si="1"/>
        <v>15</v>
      </c>
      <c r="K38">
        <f>VLOOKUP(A38, $S$12:$W$21, 3, FALSE)</f>
        <v>4</v>
      </c>
    </row>
    <row r="41" spans="1:17" x14ac:dyDescent="0.2">
      <c r="A41" t="s">
        <v>27</v>
      </c>
      <c r="B41">
        <v>16</v>
      </c>
      <c r="C41">
        <v>5</v>
      </c>
      <c r="D41">
        <f t="shared" ref="D41" si="16">IF(C41&lt;=K41, B41,0)</f>
        <v>16</v>
      </c>
      <c r="E41">
        <f t="shared" ref="E41" si="17">SUM(D41:D43)</f>
        <v>51</v>
      </c>
      <c r="F41">
        <v>1</v>
      </c>
      <c r="G41">
        <f>VLOOKUP(A41, $S$12:$W$21, 4, FALSE)</f>
        <v>0.3</v>
      </c>
      <c r="K41">
        <f>VLOOKUP(A41, $S$12:$W$21, 3, FALSE)</f>
        <v>5</v>
      </c>
      <c r="M41">
        <f>VLOOKUP(A41, $S$12:$W$21, 2, FALSE)</f>
        <v>1.5</v>
      </c>
      <c r="O41">
        <f t="shared" ref="O41" si="18">$T$5</f>
        <v>3.67</v>
      </c>
      <c r="P41">
        <f>O41*G41*E41</f>
        <v>56.150999999999996</v>
      </c>
      <c r="Q41">
        <f>O41*M41*F41</f>
        <v>5.5049999999999999</v>
      </c>
    </row>
    <row r="42" spans="1:17" x14ac:dyDescent="0.2">
      <c r="A42" t="s">
        <v>27</v>
      </c>
      <c r="B42">
        <v>17</v>
      </c>
      <c r="C42">
        <v>5</v>
      </c>
      <c r="D42">
        <f t="shared" si="1"/>
        <v>17</v>
      </c>
      <c r="K42">
        <f>VLOOKUP(A42, $S$12:$W$21, 3, FALSE)</f>
        <v>5</v>
      </c>
    </row>
    <row r="43" spans="1:17" x14ac:dyDescent="0.2">
      <c r="A43" t="s">
        <v>27</v>
      </c>
      <c r="B43">
        <v>18</v>
      </c>
      <c r="C43">
        <v>5</v>
      </c>
      <c r="D43">
        <f t="shared" si="1"/>
        <v>18</v>
      </c>
      <c r="K43">
        <f>VLOOKUP(A43, $S$12:$W$21, 3, FALSE)</f>
        <v>5</v>
      </c>
    </row>
    <row r="46" spans="1:17" x14ac:dyDescent="0.2">
      <c r="A46" t="s">
        <v>28</v>
      </c>
      <c r="B46">
        <v>1</v>
      </c>
      <c r="C46">
        <v>1</v>
      </c>
      <c r="D46">
        <f t="shared" ref="D46" si="19">IF(C46&lt;=K46, B46,0)</f>
        <v>1</v>
      </c>
      <c r="E46">
        <f t="shared" ref="E46" si="20">SUM(D46:D48)</f>
        <v>1</v>
      </c>
      <c r="F46">
        <v>4</v>
      </c>
      <c r="G46">
        <f>VLOOKUP(A46, $S$12:$W$21, 4, FALSE)</f>
        <v>0.67</v>
      </c>
      <c r="K46">
        <f>VLOOKUP(A46, $S$12:$W$21, 3, FALSE)</f>
        <v>10</v>
      </c>
      <c r="M46">
        <f>VLOOKUP(A46, $S$12:$W$21, 2, FALSE)</f>
        <v>6.7</v>
      </c>
      <c r="O46">
        <f t="shared" ref="O46" si="21">$T$5</f>
        <v>3.67</v>
      </c>
      <c r="P46">
        <f>O46*G46*E46</f>
        <v>2.4589000000000003</v>
      </c>
      <c r="Q46">
        <f>O46*M46*F46</f>
        <v>98.355999999999995</v>
      </c>
    </row>
    <row r="47" spans="1:17" x14ac:dyDescent="0.2">
      <c r="A47" t="s">
        <v>28</v>
      </c>
      <c r="B47">
        <v>1</v>
      </c>
      <c r="C47">
        <v>12</v>
      </c>
      <c r="D47">
        <f t="shared" si="1"/>
        <v>0</v>
      </c>
      <c r="K47">
        <f>VLOOKUP(A47, $S$12:$W$21, 3, FALSE)</f>
        <v>10</v>
      </c>
    </row>
    <row r="48" spans="1:17" x14ac:dyDescent="0.2">
      <c r="A48" t="s">
        <v>28</v>
      </c>
      <c r="B48">
        <v>1</v>
      </c>
      <c r="C48">
        <v>14</v>
      </c>
      <c r="D48">
        <f t="shared" si="1"/>
        <v>0</v>
      </c>
      <c r="K48">
        <f>VLOOKUP(A48, $S$12:$W$21, 3, FALSE)</f>
        <v>10</v>
      </c>
    </row>
    <row r="51" spans="1:17" x14ac:dyDescent="0.2">
      <c r="A51" t="s">
        <v>29</v>
      </c>
      <c r="B51">
        <v>1.5</v>
      </c>
      <c r="C51">
        <v>2</v>
      </c>
      <c r="D51">
        <f t="shared" ref="D51" si="22">IF(C51&lt;=K51, B51,0)</f>
        <v>1.5</v>
      </c>
      <c r="E51">
        <f t="shared" ref="E51" si="23">SUM(D51:D53)</f>
        <v>7.1999999999999993</v>
      </c>
      <c r="F51">
        <v>2</v>
      </c>
      <c r="G51">
        <f>VLOOKUP(A51, $S$12:$W$21, 4, FALSE)</f>
        <v>0.6</v>
      </c>
      <c r="K51">
        <f>VLOOKUP(A51, $S$12:$W$21, 3, FALSE)</f>
        <v>10</v>
      </c>
      <c r="M51">
        <f>VLOOKUP(A51, $S$12:$W$21, 2, FALSE)</f>
        <v>6</v>
      </c>
      <c r="O51">
        <f t="shared" ref="O51" si="24">$T$5</f>
        <v>3.67</v>
      </c>
      <c r="P51">
        <f>O51*G51*E51</f>
        <v>15.854399999999998</v>
      </c>
      <c r="Q51">
        <f>O51*M51*F51</f>
        <v>44.04</v>
      </c>
    </row>
    <row r="52" spans="1:17" x14ac:dyDescent="0.2">
      <c r="A52" t="s">
        <v>29</v>
      </c>
      <c r="B52">
        <v>2.4</v>
      </c>
      <c r="C52">
        <v>4</v>
      </c>
      <c r="D52">
        <f t="shared" si="1"/>
        <v>2.4</v>
      </c>
      <c r="K52">
        <f>VLOOKUP(A52, $S$12:$W$21, 3, FALSE)</f>
        <v>10</v>
      </c>
    </row>
    <row r="53" spans="1:17" x14ac:dyDescent="0.2">
      <c r="A53" t="s">
        <v>29</v>
      </c>
      <c r="B53">
        <v>3.3</v>
      </c>
      <c r="C53">
        <v>6</v>
      </c>
      <c r="D53">
        <f t="shared" si="1"/>
        <v>3.3</v>
      </c>
      <c r="K53">
        <f>VLOOKUP(A53, $S$12:$W$21, 3, FALSE)</f>
        <v>10</v>
      </c>
    </row>
    <row r="56" spans="1:17" x14ac:dyDescent="0.2">
      <c r="A56" t="s">
        <v>30</v>
      </c>
      <c r="B56">
        <v>7</v>
      </c>
      <c r="C56">
        <v>8</v>
      </c>
      <c r="D56">
        <f t="shared" ref="D56" si="25">IF(C56&lt;=K56, B56,0)</f>
        <v>7</v>
      </c>
      <c r="E56">
        <f t="shared" ref="E56" si="26">SUM(D56:D58)</f>
        <v>14</v>
      </c>
      <c r="F56">
        <v>6</v>
      </c>
      <c r="G56">
        <f>VLOOKUP(A56, $S$12:$W$21, 4, FALSE)</f>
        <v>1.3</v>
      </c>
      <c r="K56">
        <f>VLOOKUP(A56, $S$12:$W$21, 3, FALSE)</f>
        <v>10</v>
      </c>
      <c r="M56">
        <f>VLOOKUP(A56, $S$12:$W$21, 2, FALSE)</f>
        <v>13</v>
      </c>
      <c r="O56">
        <f t="shared" ref="O56" si="27">$T$5</f>
        <v>3.67</v>
      </c>
      <c r="P56">
        <f>O56*G56*E56</f>
        <v>66.793999999999997</v>
      </c>
      <c r="Q56">
        <f>O56*M56*F56</f>
        <v>286.26</v>
      </c>
    </row>
    <row r="57" spans="1:17" x14ac:dyDescent="0.2">
      <c r="A57" t="s">
        <v>30</v>
      </c>
      <c r="B57">
        <v>7</v>
      </c>
      <c r="C57">
        <v>10</v>
      </c>
      <c r="D57">
        <f t="shared" si="1"/>
        <v>7</v>
      </c>
      <c r="K57">
        <f>VLOOKUP(A57, $S$12:$W$21, 3, FALSE)</f>
        <v>10</v>
      </c>
    </row>
    <row r="58" spans="1:17" x14ac:dyDescent="0.2">
      <c r="A58" t="s">
        <v>30</v>
      </c>
      <c r="B58">
        <v>7</v>
      </c>
      <c r="C58">
        <v>12</v>
      </c>
      <c r="D58">
        <f t="shared" si="1"/>
        <v>0</v>
      </c>
      <c r="K58">
        <f>VLOOKUP(A58, $S$12:$W$21, 3, FALSE)</f>
        <v>10</v>
      </c>
    </row>
    <row r="61" spans="1:17" x14ac:dyDescent="0.2">
      <c r="A61" t="s">
        <v>21</v>
      </c>
      <c r="B61">
        <v>1</v>
      </c>
      <c r="C61">
        <v>1</v>
      </c>
      <c r="D61">
        <f t="shared" ref="D61:D63" si="28">IF(C61&lt;=K61, B61,0)</f>
        <v>1</v>
      </c>
      <c r="E61">
        <f t="shared" ref="E61" si="29">SUM(D61:D63)</f>
        <v>6</v>
      </c>
      <c r="F61">
        <v>0.5</v>
      </c>
      <c r="G61">
        <f>VLOOKUP(A61, $S$12:$W$21, 4, FALSE)</f>
        <v>0.82</v>
      </c>
      <c r="K61">
        <f>VLOOKUP(A61, $S$12:$W$21, 3, FALSE)</f>
        <v>15</v>
      </c>
      <c r="M61">
        <f>VLOOKUP(A61, $S$12:$W$21, 2, FALSE)</f>
        <v>12.3</v>
      </c>
      <c r="O61">
        <f t="shared" ref="O61" si="30">$T$5</f>
        <v>3.67</v>
      </c>
      <c r="P61">
        <f>O61*G61*E61</f>
        <v>18.0564</v>
      </c>
      <c r="Q61">
        <f>O61*M61*F61</f>
        <v>22.570499999999999</v>
      </c>
    </row>
    <row r="62" spans="1:17" x14ac:dyDescent="0.2">
      <c r="A62" t="s">
        <v>21</v>
      </c>
      <c r="B62">
        <v>2</v>
      </c>
      <c r="C62">
        <v>1</v>
      </c>
      <c r="D62">
        <f t="shared" si="28"/>
        <v>2</v>
      </c>
      <c r="K62">
        <f>VLOOKUP(A62, $S$12:$W$21, 3, FALSE)</f>
        <v>15</v>
      </c>
    </row>
    <row r="63" spans="1:17" x14ac:dyDescent="0.2">
      <c r="A63" t="s">
        <v>21</v>
      </c>
      <c r="B63">
        <v>3</v>
      </c>
      <c r="C63">
        <v>1</v>
      </c>
      <c r="D63">
        <f t="shared" si="28"/>
        <v>3</v>
      </c>
      <c r="K63">
        <f>VLOOKUP(A63, $S$12:$W$21, 3, FALSE)</f>
        <v>15</v>
      </c>
    </row>
    <row r="70" spans="1:17" ht="34" x14ac:dyDescent="0.2">
      <c r="A70" s="4" t="s">
        <v>19</v>
      </c>
      <c r="B70" s="2" t="s">
        <v>0</v>
      </c>
      <c r="C70" s="2" t="s">
        <v>15</v>
      </c>
      <c r="F70" s="2" t="s">
        <v>3</v>
      </c>
      <c r="G70" t="s">
        <v>6</v>
      </c>
      <c r="H70" s="4" t="s">
        <v>35</v>
      </c>
      <c r="I70" s="3" t="s">
        <v>37</v>
      </c>
      <c r="J70" s="4" t="s">
        <v>36</v>
      </c>
      <c r="K70" t="s">
        <v>9</v>
      </c>
      <c r="L70" s="2" t="s">
        <v>38</v>
      </c>
      <c r="M70" t="s">
        <v>11</v>
      </c>
      <c r="N70" t="s">
        <v>41</v>
      </c>
      <c r="O70" t="s">
        <v>17</v>
      </c>
      <c r="P70" s="1" t="s">
        <v>18</v>
      </c>
      <c r="Q70" s="1" t="s">
        <v>40</v>
      </c>
    </row>
    <row r="71" spans="1:17" x14ac:dyDescent="0.2">
      <c r="A71" t="s">
        <v>20</v>
      </c>
      <c r="B71">
        <v>3</v>
      </c>
      <c r="C71">
        <v>1</v>
      </c>
      <c r="D71">
        <f>IF(C71&lt;=K71, B71,0)</f>
        <v>3</v>
      </c>
      <c r="E71">
        <f>SUM(D71:D73)</f>
        <v>6</v>
      </c>
      <c r="F71">
        <v>1</v>
      </c>
      <c r="G71">
        <f>VLOOKUP(A71, $S$12:$W$21, 4, FALSE)</f>
        <v>0.5</v>
      </c>
      <c r="H71">
        <f>VLOOKUP(A71, $S$12:$W$21, 5, FALSE)</f>
        <v>417</v>
      </c>
      <c r="I71" s="2">
        <v>422</v>
      </c>
      <c r="J71">
        <f>G71*(I71/H71)</f>
        <v>0.50599520383693042</v>
      </c>
      <c r="K71">
        <f>VLOOKUP(A71, $S$12:$W$21, 3, FALSE)</f>
        <v>10</v>
      </c>
      <c r="M71">
        <f>IF(ISBLANK(L71),VLOOKUP(A71, $S$12:$W$21, 2, FALSE),L71)</f>
        <v>5</v>
      </c>
      <c r="N71">
        <f>IF(ISBLANK(L71), J71*C71, L71)</f>
        <v>0.50599520383693042</v>
      </c>
      <c r="O71">
        <f>$T$5</f>
        <v>3.67</v>
      </c>
      <c r="P71">
        <f>O71*J71*E71</f>
        <v>11.142014388489208</v>
      </c>
      <c r="Q71">
        <f>O71*N71*F71</f>
        <v>1.8570023980815347</v>
      </c>
    </row>
    <row r="72" spans="1:17" x14ac:dyDescent="0.2">
      <c r="A72" t="s">
        <v>20</v>
      </c>
      <c r="B72">
        <v>3</v>
      </c>
      <c r="C72">
        <v>10</v>
      </c>
      <c r="D72">
        <f t="shared" ref="D72:D73" si="31">IF(C72&lt;=K72, B72,0)</f>
        <v>3</v>
      </c>
      <c r="K72">
        <f>VLOOKUP(A72, $S$12:$W$21, 3, FALSE)</f>
        <v>10</v>
      </c>
    </row>
    <row r="73" spans="1:17" x14ac:dyDescent="0.2">
      <c r="A73" t="s">
        <v>20</v>
      </c>
      <c r="B73">
        <v>4</v>
      </c>
      <c r="C73">
        <v>12</v>
      </c>
      <c r="D73">
        <f t="shared" si="31"/>
        <v>0</v>
      </c>
      <c r="K73">
        <f>VLOOKUP(A73, $S$12:$W$21, 3, FALSE)</f>
        <v>10</v>
      </c>
    </row>
    <row r="76" spans="1:17" x14ac:dyDescent="0.2">
      <c r="A76" t="s">
        <v>20</v>
      </c>
      <c r="B76">
        <v>3</v>
      </c>
      <c r="C76">
        <v>1</v>
      </c>
      <c r="D76">
        <f>IF(C76&lt;=K76, B76,0)</f>
        <v>3</v>
      </c>
      <c r="E76">
        <f>SUM(D76:D78)</f>
        <v>6</v>
      </c>
      <c r="F76">
        <v>1</v>
      </c>
      <c r="G76">
        <f>M76/K76</f>
        <v>0.55000000000000004</v>
      </c>
      <c r="H76">
        <f>VLOOKUP(A76, $S$12:$W$21, 5, FALSE)</f>
        <v>417</v>
      </c>
      <c r="K76">
        <f>VLOOKUP(A76, $S$12:$W$21, 3, FALSE)</f>
        <v>10</v>
      </c>
      <c r="L76" s="2">
        <v>5.5</v>
      </c>
      <c r="M76">
        <f>IF(ISBLANK(L76),VLOOKUP(A76, $S$12:$W$21, 2, FALSE),L76)</f>
        <v>5.5</v>
      </c>
      <c r="N76">
        <f>IF(ISBLANK(L76), J76*C76, L76)</f>
        <v>5.5</v>
      </c>
      <c r="O76">
        <f>$T$5</f>
        <v>3.67</v>
      </c>
      <c r="P76">
        <f>O76*G76*E76</f>
        <v>12.111000000000001</v>
      </c>
      <c r="Q76">
        <f>O76*N76*F76</f>
        <v>20.184999999999999</v>
      </c>
    </row>
    <row r="77" spans="1:17" x14ac:dyDescent="0.2">
      <c r="A77" t="s">
        <v>20</v>
      </c>
      <c r="B77">
        <v>3</v>
      </c>
      <c r="C77">
        <v>10</v>
      </c>
      <c r="D77">
        <f t="shared" ref="D77:D78" si="32">IF(C77&lt;=K77, B77,0)</f>
        <v>3</v>
      </c>
      <c r="K77">
        <f>VLOOKUP(A77, $S$12:$W$21, 3, FALSE)</f>
        <v>10</v>
      </c>
    </row>
    <row r="78" spans="1:17" x14ac:dyDescent="0.2">
      <c r="A78" t="s">
        <v>20</v>
      </c>
      <c r="B78">
        <v>4</v>
      </c>
      <c r="C78">
        <v>12</v>
      </c>
      <c r="D78">
        <f t="shared" si="32"/>
        <v>0</v>
      </c>
      <c r="K78">
        <f>VLOOKUP(A78, $S$12:$W$21, 3, FALSE)</f>
        <v>10</v>
      </c>
    </row>
    <row r="81" spans="1:17" x14ac:dyDescent="0.2">
      <c r="A81" t="s">
        <v>30</v>
      </c>
      <c r="B81">
        <v>3</v>
      </c>
      <c r="C81">
        <v>1</v>
      </c>
      <c r="D81">
        <f>IF(C81&lt;=K81, B81,0)</f>
        <v>3</v>
      </c>
      <c r="E81">
        <f>SUM(D81:D83)</f>
        <v>6</v>
      </c>
      <c r="F81">
        <v>1</v>
      </c>
      <c r="G81">
        <f>VLOOKUP(A81, $S$12:$W$21, 4, FALSE)</f>
        <v>1.3</v>
      </c>
      <c r="H81">
        <f>VLOOKUP(A81, $S$12:$W$21, 5, FALSE)</f>
        <v>185</v>
      </c>
      <c r="I81" s="2">
        <v>410</v>
      </c>
      <c r="J81">
        <f>G81*(I81/H81)</f>
        <v>2.8810810810810814</v>
      </c>
      <c r="K81">
        <f>VLOOKUP(A81, $S$12:$W$21, 3, FALSE)</f>
        <v>10</v>
      </c>
      <c r="M81">
        <f>IF(ISBLANK(L81),VLOOKUP(A81, $S$12:$W$21, 2, FALSE),L81)</f>
        <v>13</v>
      </c>
      <c r="N81">
        <f>IF(ISBLANK(L81), J81*C81, L81)</f>
        <v>2.8810810810810814</v>
      </c>
      <c r="O81">
        <f>$T$5</f>
        <v>3.67</v>
      </c>
      <c r="P81">
        <f>O81*J81*E81</f>
        <v>63.441405405405412</v>
      </c>
      <c r="Q81">
        <f>O81*N81*F81</f>
        <v>10.573567567567569</v>
      </c>
    </row>
    <row r="82" spans="1:17" x14ac:dyDescent="0.2">
      <c r="A82" t="s">
        <v>30</v>
      </c>
      <c r="B82">
        <v>3</v>
      </c>
      <c r="C82">
        <v>10</v>
      </c>
      <c r="D82">
        <f t="shared" ref="D82:D83" si="33">IF(C82&lt;=K82, B82,0)</f>
        <v>3</v>
      </c>
      <c r="K82">
        <f>VLOOKUP(A82, $S$12:$W$21, 3, FALSE)</f>
        <v>10</v>
      </c>
    </row>
    <row r="83" spans="1:17" x14ac:dyDescent="0.2">
      <c r="A83" t="s">
        <v>30</v>
      </c>
      <c r="B83">
        <v>4</v>
      </c>
      <c r="C83">
        <v>12</v>
      </c>
      <c r="D83">
        <f t="shared" si="33"/>
        <v>0</v>
      </c>
      <c r="K83">
        <f>VLOOKUP(A83, $S$12:$W$21, 3, FALSE)</f>
        <v>10</v>
      </c>
    </row>
    <row r="86" spans="1:17" x14ac:dyDescent="0.2">
      <c r="A86" t="s">
        <v>23</v>
      </c>
      <c r="B86">
        <v>3</v>
      </c>
      <c r="C86">
        <v>1</v>
      </c>
      <c r="D86">
        <f>IF(C86&lt;=K86, B86,0)</f>
        <v>3</v>
      </c>
      <c r="E86">
        <f>SUM(D86:D88)</f>
        <v>3</v>
      </c>
      <c r="F86">
        <v>1</v>
      </c>
      <c r="G86">
        <f>M86/K86</f>
        <v>0.6428571428571429</v>
      </c>
      <c r="H86">
        <f>VLOOKUP(A86, $S$12:$W$21, 5, FALSE)</f>
        <v>1500</v>
      </c>
      <c r="K86">
        <f>VLOOKUP(A86, $S$12:$W$21, 3, FALSE)</f>
        <v>7</v>
      </c>
      <c r="L86" s="2">
        <v>4.5</v>
      </c>
      <c r="M86">
        <f>IF(ISBLANK(L86),VLOOKUP(A86, $S$12:$W$21, 2, FALSE),L86)</f>
        <v>4.5</v>
      </c>
      <c r="N86">
        <f>IF(ISBLANK(L86), J86*C86, L86)</f>
        <v>4.5</v>
      </c>
      <c r="O86">
        <f>$T$5</f>
        <v>3.67</v>
      </c>
      <c r="P86">
        <f>O86*G86*E86</f>
        <v>7.0778571428571428</v>
      </c>
      <c r="Q86">
        <f>O86*N86*F86</f>
        <v>16.515000000000001</v>
      </c>
    </row>
    <row r="87" spans="1:17" x14ac:dyDescent="0.2">
      <c r="A87" t="s">
        <v>23</v>
      </c>
      <c r="B87">
        <v>3</v>
      </c>
      <c r="C87">
        <v>10</v>
      </c>
      <c r="D87">
        <f t="shared" ref="D87:D88" si="34">IF(C87&lt;=K87, B87,0)</f>
        <v>0</v>
      </c>
      <c r="K87">
        <f>VLOOKUP(A87, $S$12:$W$21, 3, FALSE)</f>
        <v>7</v>
      </c>
    </row>
    <row r="88" spans="1:17" x14ac:dyDescent="0.2">
      <c r="A88" t="s">
        <v>23</v>
      </c>
      <c r="B88">
        <v>4</v>
      </c>
      <c r="C88">
        <v>12</v>
      </c>
      <c r="D88">
        <f t="shared" si="34"/>
        <v>0</v>
      </c>
      <c r="K88">
        <f>VLOOKUP(A88, $S$12:$W$21, 3, FALSE)</f>
        <v>7</v>
      </c>
    </row>
    <row r="91" spans="1:17" x14ac:dyDescent="0.2">
      <c r="I9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16.6.1.1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Sholl</dc:creator>
  <cp:lastModifiedBy>Eddie Sholl</cp:lastModifiedBy>
  <dcterms:created xsi:type="dcterms:W3CDTF">2026-04-17T05:21:56Z</dcterms:created>
  <dcterms:modified xsi:type="dcterms:W3CDTF">2026-10-22T06:06:36Z</dcterms:modified>
</cp:coreProperties>
</file>