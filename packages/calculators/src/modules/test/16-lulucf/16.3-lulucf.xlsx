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4EDDE813-82A6-C24D-8B3D-191DAA241F81}" xr6:coauthVersionLast="47" xr6:coauthVersionMax="47" xr10:uidLastSave="{00000000-0000-0000-0000-000000000000}"/>
  <bookViews>
    <workbookView xWindow="0" yWindow="660" windowWidth="30240" windowHeight="18980" xr2:uid="{CC0FEAF9-C40F-694B-BCB9-117AFB86C05D}"/>
  </bookViews>
  <sheets>
    <sheet name="16.3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95" i="1"/>
  <c r="C178" i="1"/>
  <c r="C94" i="1"/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1" i="1"/>
  <c r="O12" i="1" l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Q11" i="1"/>
  <c r="P11" i="1"/>
  <c r="O11" i="1"/>
  <c r="N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11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1" i="1"/>
  <c r="C95" i="1"/>
  <c r="G95" i="1" s="1"/>
  <c r="C96" i="1"/>
  <c r="G96" i="1" s="1"/>
  <c r="C97" i="1"/>
  <c r="G97" i="1" s="1"/>
  <c r="C98" i="1"/>
  <c r="G98" i="1" s="1"/>
  <c r="C99" i="1"/>
  <c r="G99" i="1" s="1"/>
  <c r="C100" i="1"/>
  <c r="G100" i="1" s="1"/>
  <c r="C101" i="1"/>
  <c r="G101" i="1" s="1"/>
  <c r="C102" i="1"/>
  <c r="G102" i="1" s="1"/>
  <c r="C103" i="1"/>
  <c r="G103" i="1" s="1"/>
  <c r="C104" i="1"/>
  <c r="G104" i="1" s="1"/>
  <c r="C105" i="1"/>
  <c r="G105" i="1" s="1"/>
  <c r="C106" i="1"/>
  <c r="G106" i="1" s="1"/>
  <c r="C107" i="1"/>
  <c r="G107" i="1" s="1"/>
  <c r="C108" i="1"/>
  <c r="G108" i="1" s="1"/>
  <c r="C109" i="1"/>
  <c r="G109" i="1" s="1"/>
  <c r="C110" i="1"/>
  <c r="G110" i="1" s="1"/>
  <c r="C111" i="1"/>
  <c r="G111" i="1" s="1"/>
  <c r="C112" i="1"/>
  <c r="G112" i="1" s="1"/>
  <c r="C113" i="1"/>
  <c r="G113" i="1" s="1"/>
  <c r="C114" i="1"/>
  <c r="G114" i="1" s="1"/>
  <c r="C115" i="1"/>
  <c r="G115" i="1" s="1"/>
  <c r="C116" i="1"/>
  <c r="G116" i="1" s="1"/>
  <c r="C117" i="1"/>
  <c r="G117" i="1" s="1"/>
  <c r="C118" i="1"/>
  <c r="G118" i="1" s="1"/>
  <c r="C119" i="1"/>
  <c r="G119" i="1" s="1"/>
  <c r="C120" i="1"/>
  <c r="G120" i="1" s="1"/>
  <c r="C121" i="1"/>
  <c r="G121" i="1" s="1"/>
  <c r="C122" i="1"/>
  <c r="G122" i="1" s="1"/>
  <c r="C123" i="1"/>
  <c r="G123" i="1" s="1"/>
  <c r="C124" i="1"/>
  <c r="G124" i="1" s="1"/>
  <c r="C125" i="1"/>
  <c r="G125" i="1" s="1"/>
  <c r="C126" i="1"/>
  <c r="G126" i="1" s="1"/>
  <c r="C127" i="1"/>
  <c r="G127" i="1" s="1"/>
  <c r="C128" i="1"/>
  <c r="G128" i="1" s="1"/>
  <c r="C129" i="1"/>
  <c r="G129" i="1" s="1"/>
  <c r="C130" i="1"/>
  <c r="G130" i="1" s="1"/>
  <c r="C131" i="1"/>
  <c r="G131" i="1" s="1"/>
  <c r="C132" i="1"/>
  <c r="G132" i="1" s="1"/>
  <c r="C133" i="1"/>
  <c r="G133" i="1" s="1"/>
  <c r="C134" i="1"/>
  <c r="G134" i="1" s="1"/>
  <c r="C135" i="1"/>
  <c r="G135" i="1" s="1"/>
  <c r="C136" i="1"/>
  <c r="G136" i="1" s="1"/>
  <c r="C137" i="1"/>
  <c r="G137" i="1" s="1"/>
  <c r="C138" i="1"/>
  <c r="G138" i="1" s="1"/>
  <c r="C139" i="1"/>
  <c r="G139" i="1" s="1"/>
  <c r="C140" i="1"/>
  <c r="G140" i="1" s="1"/>
  <c r="C141" i="1"/>
  <c r="G141" i="1" s="1"/>
  <c r="C142" i="1"/>
  <c r="G142" i="1" s="1"/>
  <c r="C143" i="1"/>
  <c r="G143" i="1" s="1"/>
  <c r="C144" i="1"/>
  <c r="G144" i="1" s="1"/>
  <c r="C145" i="1"/>
  <c r="G145" i="1" s="1"/>
  <c r="C146" i="1"/>
  <c r="G146" i="1" s="1"/>
  <c r="C147" i="1"/>
  <c r="G147" i="1" s="1"/>
  <c r="C148" i="1"/>
  <c r="G148" i="1" s="1"/>
  <c r="C149" i="1"/>
  <c r="G149" i="1" s="1"/>
  <c r="C150" i="1"/>
  <c r="G150" i="1" s="1"/>
  <c r="C151" i="1"/>
  <c r="G151" i="1" s="1"/>
  <c r="C152" i="1"/>
  <c r="G152" i="1" s="1"/>
  <c r="C153" i="1"/>
  <c r="G153" i="1" s="1"/>
  <c r="C154" i="1"/>
  <c r="G154" i="1" s="1"/>
  <c r="C155" i="1"/>
  <c r="G155" i="1" s="1"/>
  <c r="C156" i="1"/>
  <c r="G156" i="1" s="1"/>
  <c r="C157" i="1"/>
  <c r="G157" i="1" s="1"/>
  <c r="C158" i="1"/>
  <c r="G158" i="1" s="1"/>
  <c r="C159" i="1"/>
  <c r="G159" i="1" s="1"/>
  <c r="C160" i="1"/>
  <c r="G160" i="1" s="1"/>
  <c r="C161" i="1"/>
  <c r="G161" i="1" s="1"/>
  <c r="C162" i="1"/>
  <c r="G162" i="1" s="1"/>
  <c r="C163" i="1"/>
  <c r="G163" i="1" s="1"/>
  <c r="C164" i="1"/>
  <c r="G164" i="1" s="1"/>
  <c r="C165" i="1"/>
  <c r="G165" i="1" s="1"/>
  <c r="C166" i="1"/>
  <c r="G166" i="1" s="1"/>
  <c r="C167" i="1"/>
  <c r="G167" i="1" s="1"/>
  <c r="C168" i="1"/>
  <c r="G168" i="1" s="1"/>
  <c r="C169" i="1"/>
  <c r="G169" i="1" s="1"/>
  <c r="C170" i="1"/>
  <c r="G170" i="1" s="1"/>
  <c r="C171" i="1"/>
  <c r="G171" i="1" s="1"/>
  <c r="C172" i="1"/>
  <c r="G172" i="1" s="1"/>
  <c r="C173" i="1"/>
  <c r="G173" i="1" s="1"/>
  <c r="C174" i="1"/>
  <c r="G174" i="1" s="1"/>
  <c r="C175" i="1"/>
  <c r="G175" i="1" s="1"/>
  <c r="C176" i="1"/>
  <c r="G176" i="1" s="1"/>
  <c r="C177" i="1"/>
  <c r="G177" i="1" s="1"/>
  <c r="G178" i="1"/>
  <c r="C12" i="1"/>
  <c r="G12" i="1" s="1"/>
  <c r="C13" i="1"/>
  <c r="G13" i="1" s="1"/>
  <c r="C14" i="1"/>
  <c r="G14" i="1" s="1"/>
  <c r="C15" i="1"/>
  <c r="G15" i="1" s="1"/>
  <c r="C16" i="1"/>
  <c r="G16" i="1" s="1"/>
  <c r="C17" i="1"/>
  <c r="G17" i="1" s="1"/>
  <c r="C18" i="1"/>
  <c r="G18" i="1" s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G25" i="1" s="1"/>
  <c r="C26" i="1"/>
  <c r="G26" i="1" s="1"/>
  <c r="C27" i="1"/>
  <c r="G27" i="1" s="1"/>
  <c r="C28" i="1"/>
  <c r="G28" i="1" s="1"/>
  <c r="C29" i="1"/>
  <c r="G29" i="1" s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G52" i="1" s="1"/>
  <c r="C53" i="1"/>
  <c r="G53" i="1" s="1"/>
  <c r="C54" i="1"/>
  <c r="G54" i="1" s="1"/>
  <c r="C55" i="1"/>
  <c r="G55" i="1" s="1"/>
  <c r="C56" i="1"/>
  <c r="G56" i="1" s="1"/>
  <c r="C57" i="1"/>
  <c r="G57" i="1" s="1"/>
  <c r="C58" i="1"/>
  <c r="G58" i="1" s="1"/>
  <c r="C59" i="1"/>
  <c r="G59" i="1" s="1"/>
  <c r="C60" i="1"/>
  <c r="G60" i="1" s="1"/>
  <c r="C61" i="1"/>
  <c r="G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G68" i="1" s="1"/>
  <c r="C69" i="1"/>
  <c r="G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G76" i="1" s="1"/>
  <c r="C77" i="1"/>
  <c r="G77" i="1" s="1"/>
  <c r="C78" i="1"/>
  <c r="G78" i="1" s="1"/>
  <c r="C79" i="1"/>
  <c r="G79" i="1" s="1"/>
  <c r="C80" i="1"/>
  <c r="G80" i="1" s="1"/>
  <c r="C81" i="1"/>
  <c r="G81" i="1" s="1"/>
  <c r="C82" i="1"/>
  <c r="G82" i="1" s="1"/>
  <c r="C83" i="1"/>
  <c r="G83" i="1" s="1"/>
  <c r="C84" i="1"/>
  <c r="G84" i="1" s="1"/>
  <c r="C85" i="1"/>
  <c r="G85" i="1" s="1"/>
  <c r="C86" i="1"/>
  <c r="G86" i="1" s="1"/>
  <c r="C87" i="1"/>
  <c r="G87" i="1" s="1"/>
  <c r="C88" i="1"/>
  <c r="G88" i="1" s="1"/>
  <c r="C89" i="1"/>
  <c r="G89" i="1" s="1"/>
  <c r="I89" i="1" s="1"/>
  <c r="C90" i="1"/>
  <c r="G90" i="1" s="1"/>
  <c r="C91" i="1"/>
  <c r="G91" i="1" s="1"/>
  <c r="C92" i="1"/>
  <c r="G92" i="1" s="1"/>
  <c r="C93" i="1"/>
  <c r="G93" i="1" s="1"/>
  <c r="G94" i="1"/>
  <c r="C11" i="1"/>
  <c r="G11" i="1" s="1"/>
  <c r="R124" i="1" l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85" i="1"/>
  <c r="R87" i="1"/>
  <c r="R89" i="1"/>
  <c r="R95" i="1"/>
  <c r="R98" i="1"/>
  <c r="R101" i="1"/>
  <c r="R116" i="1"/>
  <c r="R120" i="1"/>
  <c r="R126" i="1"/>
  <c r="R135" i="1"/>
  <c r="R139" i="1"/>
  <c r="R142" i="1"/>
  <c r="R146" i="1"/>
  <c r="R36" i="1"/>
  <c r="R84" i="1"/>
  <c r="R91" i="1"/>
  <c r="R97" i="1"/>
  <c r="R103" i="1"/>
  <c r="R118" i="1"/>
  <c r="R12" i="1"/>
  <c r="R131" i="1"/>
  <c r="R137" i="1"/>
  <c r="R144" i="1"/>
  <c r="R149" i="1"/>
  <c r="R156" i="1"/>
  <c r="R164" i="1"/>
  <c r="R170" i="1"/>
  <c r="R177" i="1"/>
  <c r="R57" i="1"/>
  <c r="R79" i="1"/>
  <c r="R93" i="1"/>
  <c r="R99" i="1"/>
  <c r="R115" i="1"/>
  <c r="R123" i="1"/>
  <c r="R132" i="1"/>
  <c r="R138" i="1"/>
  <c r="R145" i="1"/>
  <c r="R151" i="1"/>
  <c r="R158" i="1"/>
  <c r="R163" i="1"/>
  <c r="R169" i="1"/>
  <c r="R175" i="1"/>
  <c r="R80" i="1"/>
  <c r="R81" i="1"/>
  <c r="R82" i="1"/>
  <c r="R83" i="1"/>
  <c r="R86" i="1"/>
  <c r="R88" i="1"/>
  <c r="R90" i="1"/>
  <c r="R92" i="1"/>
  <c r="R94" i="1"/>
  <c r="R96" i="1"/>
  <c r="R100" i="1"/>
  <c r="R102" i="1"/>
  <c r="R117" i="1"/>
  <c r="R121" i="1"/>
  <c r="R125" i="1"/>
  <c r="R128" i="1"/>
  <c r="R130" i="1"/>
  <c r="R133" i="1"/>
  <c r="R136" i="1"/>
  <c r="R141" i="1"/>
  <c r="R148" i="1"/>
  <c r="R152" i="1"/>
  <c r="R155" i="1"/>
  <c r="R159" i="1"/>
  <c r="R161" i="1"/>
  <c r="R165" i="1"/>
  <c r="R167" i="1"/>
  <c r="R172" i="1"/>
  <c r="R174" i="1"/>
  <c r="R11" i="1"/>
  <c r="R104" i="1"/>
  <c r="R105" i="1"/>
  <c r="R106" i="1"/>
  <c r="R107" i="1"/>
  <c r="R108" i="1"/>
  <c r="R109" i="1"/>
  <c r="R110" i="1"/>
  <c r="R111" i="1"/>
  <c r="R112" i="1"/>
  <c r="R113" i="1"/>
  <c r="R114" i="1"/>
  <c r="R119" i="1"/>
  <c r="R122" i="1"/>
  <c r="R127" i="1"/>
  <c r="R129" i="1"/>
  <c r="R134" i="1"/>
  <c r="R140" i="1"/>
  <c r="R143" i="1"/>
  <c r="R147" i="1"/>
  <c r="R150" i="1"/>
  <c r="R153" i="1"/>
  <c r="R154" i="1"/>
  <c r="R157" i="1"/>
  <c r="R160" i="1"/>
  <c r="R162" i="1"/>
  <c r="R166" i="1"/>
  <c r="R168" i="1"/>
  <c r="R171" i="1"/>
  <c r="R173" i="1"/>
  <c r="R176" i="1"/>
  <c r="R178" i="1"/>
  <c r="J89" i="1"/>
  <c r="S89" i="1"/>
  <c r="I161" i="1"/>
  <c r="I101" i="1"/>
  <c r="I87" i="1"/>
  <c r="I75" i="1"/>
  <c r="I63" i="1"/>
  <c r="I51" i="1"/>
  <c r="I39" i="1"/>
  <c r="I27" i="1"/>
  <c r="I15" i="1"/>
  <c r="I93" i="1"/>
  <c r="I81" i="1"/>
  <c r="I69" i="1"/>
  <c r="I57" i="1"/>
  <c r="I45" i="1"/>
  <c r="I33" i="1"/>
  <c r="I21" i="1"/>
  <c r="I176" i="1"/>
  <c r="I164" i="1"/>
  <c r="I152" i="1"/>
  <c r="I92" i="1"/>
  <c r="I80" i="1"/>
  <c r="I68" i="1"/>
  <c r="I175" i="1"/>
  <c r="I163" i="1"/>
  <c r="I127" i="1"/>
  <c r="I115" i="1"/>
  <c r="I103" i="1"/>
  <c r="I171" i="1"/>
  <c r="I147" i="1"/>
  <c r="I135" i="1"/>
  <c r="I123" i="1"/>
  <c r="I99" i="1"/>
  <c r="I145" i="1"/>
  <c r="I85" i="1"/>
  <c r="I73" i="1"/>
  <c r="I61" i="1"/>
  <c r="I49" i="1"/>
  <c r="I37" i="1"/>
  <c r="I11" i="1"/>
  <c r="I117" i="1"/>
  <c r="I94" i="1"/>
  <c r="I46" i="1"/>
  <c r="I178" i="1"/>
  <c r="I177" i="1"/>
  <c r="I165" i="1"/>
  <c r="I153" i="1"/>
  <c r="I142" i="1"/>
  <c r="I141" i="1"/>
  <c r="I129" i="1"/>
  <c r="I90" i="1"/>
  <c r="I78" i="1"/>
  <c r="I66" i="1"/>
  <c r="I54" i="1"/>
  <c r="I42" i="1"/>
  <c r="I30" i="1"/>
  <c r="I18" i="1"/>
  <c r="I100" i="1"/>
  <c r="I144" i="1"/>
  <c r="I56" i="1"/>
  <c r="I44" i="1"/>
  <c r="I32" i="1"/>
  <c r="I20" i="1"/>
  <c r="I128" i="1"/>
  <c r="I160" i="1"/>
  <c r="I88" i="1"/>
  <c r="I76" i="1"/>
  <c r="I64" i="1"/>
  <c r="I52" i="1"/>
  <c r="I40" i="1"/>
  <c r="I28" i="1"/>
  <c r="I16" i="1"/>
  <c r="I105" i="1"/>
  <c r="I137" i="1"/>
  <c r="I172" i="1"/>
  <c r="I136" i="1"/>
  <c r="I125" i="1"/>
  <c r="I82" i="1"/>
  <c r="I70" i="1"/>
  <c r="I58" i="1"/>
  <c r="I34" i="1"/>
  <c r="I22" i="1"/>
  <c r="I156" i="1"/>
  <c r="I106" i="1"/>
  <c r="I96" i="1"/>
  <c r="I154" i="1"/>
  <c r="I124" i="1"/>
  <c r="I132" i="1"/>
  <c r="I166" i="1"/>
  <c r="I151" i="1"/>
  <c r="I111" i="1"/>
  <c r="I14" i="1"/>
  <c r="I130" i="1"/>
  <c r="I120" i="1"/>
  <c r="I110" i="1"/>
  <c r="I113" i="1"/>
  <c r="I25" i="1"/>
  <c r="I13" i="1"/>
  <c r="I169" i="1"/>
  <c r="I159" i="1"/>
  <c r="I140" i="1"/>
  <c r="I109" i="1"/>
  <c r="I84" i="1"/>
  <c r="I72" i="1"/>
  <c r="I60" i="1"/>
  <c r="I48" i="1"/>
  <c r="I36" i="1"/>
  <c r="I24" i="1"/>
  <c r="I12" i="1"/>
  <c r="I168" i="1"/>
  <c r="I148" i="1"/>
  <c r="I139" i="1"/>
  <c r="I108" i="1"/>
  <c r="I98" i="1"/>
  <c r="I170" i="1"/>
  <c r="I86" i="1"/>
  <c r="I53" i="1"/>
  <c r="I29" i="1"/>
  <c r="I134" i="1"/>
  <c r="I77" i="1"/>
  <c r="I65" i="1"/>
  <c r="I41" i="1"/>
  <c r="I17" i="1"/>
  <c r="I133" i="1"/>
  <c r="I116" i="1"/>
  <c r="I162" i="1"/>
  <c r="I150" i="1"/>
  <c r="I50" i="1"/>
  <c r="I158" i="1"/>
  <c r="I149" i="1"/>
  <c r="I97" i="1"/>
  <c r="I62" i="1"/>
  <c r="I126" i="1"/>
  <c r="I157" i="1"/>
  <c r="I114" i="1"/>
  <c r="I122" i="1"/>
  <c r="I104" i="1"/>
  <c r="I118" i="1"/>
  <c r="I38" i="1"/>
  <c r="I174" i="1"/>
  <c r="I146" i="1"/>
  <c r="I121" i="1"/>
  <c r="I167" i="1"/>
  <c r="I155" i="1"/>
  <c r="I143" i="1"/>
  <c r="I131" i="1"/>
  <c r="I119" i="1"/>
  <c r="I107" i="1"/>
  <c r="I95" i="1"/>
  <c r="I91" i="1"/>
  <c r="I83" i="1"/>
  <c r="I79" i="1"/>
  <c r="I71" i="1"/>
  <c r="I67" i="1"/>
  <c r="I59" i="1"/>
  <c r="I55" i="1"/>
  <c r="I47" i="1"/>
  <c r="I43" i="1"/>
  <c r="I35" i="1"/>
  <c r="I31" i="1"/>
  <c r="I23" i="1"/>
  <c r="I19" i="1"/>
  <c r="I74" i="1"/>
  <c r="I26" i="1"/>
  <c r="I173" i="1"/>
  <c r="I138" i="1"/>
  <c r="I112" i="1"/>
  <c r="I102" i="1"/>
  <c r="K158" i="1" l="1"/>
  <c r="S158" i="1"/>
  <c r="K130" i="1"/>
  <c r="S130" i="1"/>
  <c r="J86" i="1"/>
  <c r="S86" i="1"/>
  <c r="J64" i="1"/>
  <c r="S64" i="1"/>
  <c r="K152" i="1"/>
  <c r="S152" i="1"/>
  <c r="J83" i="1"/>
  <c r="S83" i="1"/>
  <c r="J84" i="1"/>
  <c r="S84" i="1"/>
  <c r="J70" i="1"/>
  <c r="S70" i="1"/>
  <c r="K135" i="1"/>
  <c r="S135" i="1"/>
  <c r="K118" i="1"/>
  <c r="S118" i="1"/>
  <c r="K109" i="1"/>
  <c r="S109" i="1"/>
  <c r="J82" i="1"/>
  <c r="S82" i="1"/>
  <c r="J94" i="1"/>
  <c r="S94" i="1"/>
  <c r="K108" i="1"/>
  <c r="S108" i="1"/>
  <c r="K125" i="1"/>
  <c r="S125" i="1"/>
  <c r="J51" i="1"/>
  <c r="S51" i="1"/>
  <c r="K107" i="1"/>
  <c r="S107" i="1"/>
  <c r="K133" i="1"/>
  <c r="S133" i="1"/>
  <c r="K159" i="1"/>
  <c r="S159" i="1"/>
  <c r="J78" i="1"/>
  <c r="S78" i="1"/>
  <c r="K103" i="1"/>
  <c r="S103" i="1"/>
  <c r="K114" i="1"/>
  <c r="S114" i="1"/>
  <c r="K169" i="1"/>
  <c r="S169" i="1"/>
  <c r="J90" i="1"/>
  <c r="S90" i="1"/>
  <c r="J75" i="1"/>
  <c r="S75" i="1"/>
  <c r="K157" i="1"/>
  <c r="S157" i="1"/>
  <c r="K137" i="1"/>
  <c r="S137" i="1"/>
  <c r="J49" i="1"/>
  <c r="S49" i="1"/>
  <c r="K127" i="1"/>
  <c r="S127" i="1"/>
  <c r="J47" i="1"/>
  <c r="S47" i="1"/>
  <c r="K126" i="1"/>
  <c r="S126" i="1"/>
  <c r="J44" i="1"/>
  <c r="S44" i="1"/>
  <c r="J69" i="1"/>
  <c r="S69" i="1"/>
  <c r="J55" i="1"/>
  <c r="S55" i="1"/>
  <c r="K155" i="1"/>
  <c r="S155" i="1"/>
  <c r="J62" i="1"/>
  <c r="S62" i="1"/>
  <c r="J77" i="1"/>
  <c r="S77" i="1"/>
  <c r="K113" i="1"/>
  <c r="S113" i="1"/>
  <c r="K106" i="1"/>
  <c r="S106" i="1"/>
  <c r="J56" i="1"/>
  <c r="S56" i="1"/>
  <c r="K142" i="1"/>
  <c r="S142" i="1"/>
  <c r="J73" i="1"/>
  <c r="S73" i="1"/>
  <c r="K175" i="1"/>
  <c r="S175" i="1"/>
  <c r="J81" i="1"/>
  <c r="S81" i="1"/>
  <c r="K161" i="1"/>
  <c r="S161" i="1"/>
  <c r="K173" i="1"/>
  <c r="S173" i="1"/>
  <c r="K146" i="1"/>
  <c r="S146" i="1"/>
  <c r="J60" i="1"/>
  <c r="S60" i="1"/>
  <c r="J52" i="1"/>
  <c r="S52" i="1"/>
  <c r="K177" i="1"/>
  <c r="S177" i="1"/>
  <c r="K99" i="1"/>
  <c r="S99" i="1"/>
  <c r="J92" i="1"/>
  <c r="S92" i="1"/>
  <c r="K174" i="1"/>
  <c r="S174" i="1"/>
  <c r="J72" i="1"/>
  <c r="S72" i="1"/>
  <c r="K178" i="1"/>
  <c r="S178" i="1"/>
  <c r="K150" i="1"/>
  <c r="S150" i="1"/>
  <c r="K111" i="1"/>
  <c r="S111" i="1"/>
  <c r="J42" i="1"/>
  <c r="S42" i="1"/>
  <c r="J46" i="1"/>
  <c r="S46" i="1"/>
  <c r="K98" i="1"/>
  <c r="S98" i="1"/>
  <c r="J88" i="1"/>
  <c r="S88" i="1"/>
  <c r="K176" i="1"/>
  <c r="S176" i="1"/>
  <c r="K104" i="1"/>
  <c r="S104" i="1"/>
  <c r="K140" i="1"/>
  <c r="S140" i="1"/>
  <c r="J66" i="1"/>
  <c r="S66" i="1"/>
  <c r="K117" i="1"/>
  <c r="S117" i="1"/>
  <c r="K139" i="1"/>
  <c r="S139" i="1"/>
  <c r="K132" i="1"/>
  <c r="S132" i="1"/>
  <c r="K128" i="1"/>
  <c r="S128" i="1"/>
  <c r="K119" i="1"/>
  <c r="S119" i="1"/>
  <c r="K172" i="1"/>
  <c r="S172" i="1"/>
  <c r="J45" i="1"/>
  <c r="S45" i="1"/>
  <c r="J41" i="1"/>
  <c r="S41" i="1"/>
  <c r="K154" i="1"/>
  <c r="S154" i="1"/>
  <c r="K129" i="1"/>
  <c r="S129" i="1"/>
  <c r="J57" i="1"/>
  <c r="S57" i="1"/>
  <c r="J65" i="1"/>
  <c r="S65" i="1"/>
  <c r="K96" i="1"/>
  <c r="S96" i="1"/>
  <c r="K141" i="1"/>
  <c r="S141" i="1"/>
  <c r="K101" i="1"/>
  <c r="S101" i="1"/>
  <c r="K102" i="1"/>
  <c r="S102" i="1"/>
  <c r="K112" i="1"/>
  <c r="S112" i="1"/>
  <c r="J59" i="1"/>
  <c r="S59" i="1"/>
  <c r="K167" i="1"/>
  <c r="S167" i="1"/>
  <c r="K97" i="1"/>
  <c r="S97" i="1"/>
  <c r="K134" i="1"/>
  <c r="S134" i="1"/>
  <c r="K110" i="1"/>
  <c r="S110" i="1"/>
  <c r="K156" i="1"/>
  <c r="S156" i="1"/>
  <c r="K144" i="1"/>
  <c r="S144" i="1"/>
  <c r="K153" i="1"/>
  <c r="S153" i="1"/>
  <c r="J85" i="1"/>
  <c r="S85" i="1"/>
  <c r="J68" i="1"/>
  <c r="S68" i="1"/>
  <c r="J93" i="1"/>
  <c r="S93" i="1"/>
  <c r="J71" i="1"/>
  <c r="S71" i="1"/>
  <c r="J53" i="1"/>
  <c r="S53" i="1"/>
  <c r="J79" i="1"/>
  <c r="S79" i="1"/>
  <c r="J50" i="1"/>
  <c r="S50" i="1"/>
  <c r="J58" i="1"/>
  <c r="S58" i="1"/>
  <c r="K123" i="1"/>
  <c r="S123" i="1"/>
  <c r="J74" i="1"/>
  <c r="S74" i="1"/>
  <c r="K170" i="1"/>
  <c r="S170" i="1"/>
  <c r="J76" i="1"/>
  <c r="S76" i="1"/>
  <c r="K164" i="1"/>
  <c r="S164" i="1"/>
  <c r="J91" i="1"/>
  <c r="S91" i="1"/>
  <c r="K162" i="1"/>
  <c r="S162" i="1"/>
  <c r="K151" i="1"/>
  <c r="S151" i="1"/>
  <c r="J54" i="1"/>
  <c r="S54" i="1"/>
  <c r="K147" i="1"/>
  <c r="S147" i="1"/>
  <c r="K95" i="1"/>
  <c r="S95" i="1"/>
  <c r="K116" i="1"/>
  <c r="S116" i="1"/>
  <c r="K166" i="1"/>
  <c r="S166" i="1"/>
  <c r="K160" i="1"/>
  <c r="S160" i="1"/>
  <c r="K171" i="1"/>
  <c r="S171" i="1"/>
  <c r="K122" i="1"/>
  <c r="S122" i="1"/>
  <c r="K136" i="1"/>
  <c r="S136" i="1"/>
  <c r="J63" i="1"/>
  <c r="S63" i="1"/>
  <c r="K148" i="1"/>
  <c r="S148" i="1"/>
  <c r="K124" i="1"/>
  <c r="S124" i="1"/>
  <c r="K115" i="1"/>
  <c r="S115" i="1"/>
  <c r="J43" i="1"/>
  <c r="S43" i="1"/>
  <c r="K131" i="1"/>
  <c r="S131" i="1"/>
  <c r="K168" i="1"/>
  <c r="S168" i="1"/>
  <c r="J87" i="1"/>
  <c r="S87" i="1"/>
  <c r="K143" i="1"/>
  <c r="S143" i="1"/>
  <c r="K105" i="1"/>
  <c r="S105" i="1"/>
  <c r="J61" i="1"/>
  <c r="S61" i="1"/>
  <c r="K163" i="1"/>
  <c r="S163" i="1"/>
  <c r="K138" i="1"/>
  <c r="S138" i="1"/>
  <c r="J67" i="1"/>
  <c r="S67" i="1"/>
  <c r="K121" i="1"/>
  <c r="S121" i="1"/>
  <c r="K149" i="1"/>
  <c r="S149" i="1"/>
  <c r="J48" i="1"/>
  <c r="S48" i="1"/>
  <c r="K120" i="1"/>
  <c r="S120" i="1"/>
  <c r="J40" i="1"/>
  <c r="S40" i="1"/>
  <c r="K100" i="1"/>
  <c r="S100" i="1"/>
  <c r="K165" i="1"/>
  <c r="S165" i="1"/>
  <c r="K145" i="1"/>
  <c r="S145" i="1"/>
  <c r="J80" i="1"/>
  <c r="S80" i="1"/>
  <c r="J29" i="1"/>
  <c r="S29" i="1"/>
  <c r="J14" i="1"/>
  <c r="S14" i="1"/>
  <c r="J28" i="1"/>
  <c r="S28" i="1"/>
  <c r="J26" i="1"/>
  <c r="S26" i="1"/>
  <c r="J30" i="1"/>
  <c r="S30" i="1"/>
  <c r="J38" i="1"/>
  <c r="S38" i="1"/>
  <c r="J27" i="1"/>
  <c r="S27" i="1"/>
  <c r="J39" i="1"/>
  <c r="S39" i="1"/>
  <c r="J21" i="1"/>
  <c r="S21" i="1"/>
  <c r="J31" i="1"/>
  <c r="S31" i="1"/>
  <c r="J17" i="1"/>
  <c r="S17" i="1"/>
  <c r="J20" i="1"/>
  <c r="S20" i="1"/>
  <c r="J32" i="1"/>
  <c r="S32" i="1"/>
  <c r="J25" i="1"/>
  <c r="S25" i="1"/>
  <c r="J36" i="1"/>
  <c r="S36" i="1"/>
  <c r="J22" i="1"/>
  <c r="S22" i="1"/>
  <c r="J34" i="1"/>
  <c r="S34" i="1"/>
  <c r="J18" i="1"/>
  <c r="S18" i="1"/>
  <c r="J15" i="1"/>
  <c r="S15" i="1"/>
  <c r="J19" i="1"/>
  <c r="S19" i="1"/>
  <c r="J23" i="1"/>
  <c r="S23" i="1"/>
  <c r="J33" i="1"/>
  <c r="S33" i="1"/>
  <c r="J35" i="1"/>
  <c r="S35" i="1"/>
  <c r="J37" i="1"/>
  <c r="S37" i="1"/>
  <c r="J24" i="1"/>
  <c r="S24" i="1"/>
  <c r="J16" i="1"/>
  <c r="S16" i="1"/>
  <c r="J13" i="1"/>
  <c r="S13" i="1"/>
  <c r="J12" i="1"/>
  <c r="S12" i="1"/>
  <c r="J11" i="1"/>
  <c r="S11" i="1"/>
</calcChain>
</file>

<file path=xl/sharedStrings.xml><?xml version="1.0" encoding="utf-8"?>
<sst xmlns="http://schemas.openxmlformats.org/spreadsheetml/2006/main" count="804" uniqueCount="125">
  <si>
    <t>input</t>
  </si>
  <si>
    <t>expression</t>
  </si>
  <si>
    <r>
      <t>∆𝑆</t>
    </r>
    <r>
      <rPr>
        <sz val="9"/>
        <color rgb="FF000000"/>
        <rFont val="Helvetica"/>
        <family val="2"/>
      </rPr>
      <t>𝑖,𝑗=1−3,𝑦</t>
    </r>
  </si>
  <si>
    <t>Or</t>
  </si>
  <si>
    <t>Region</t>
  </si>
  <si>
    <t>Arnhem Coast</t>
  </si>
  <si>
    <t>Arnhem Plateau</t>
  </si>
  <si>
    <t>Australian Alps</t>
  </si>
  <si>
    <t>Avon Wheatbelt</t>
  </si>
  <si>
    <t>Brigalow Belt North</t>
  </si>
  <si>
    <t>Brigalow Belt South</t>
  </si>
  <si>
    <t>Ben Lomond</t>
  </si>
  <si>
    <t>Broken Hill Complex</t>
  </si>
  <si>
    <t>Burt Plain</t>
  </si>
  <si>
    <t>Carnarvon</t>
  </si>
  <si>
    <t>Central Arnhem</t>
  </si>
  <si>
    <t>Central Kimberley</t>
  </si>
  <si>
    <t>Central Ranges</t>
  </si>
  <si>
    <t>Channel Country</t>
  </si>
  <si>
    <t>Central Mackay Coast</t>
  </si>
  <si>
    <t>Coolgardie</t>
  </si>
  <si>
    <t>Cobar Peneplain</t>
  </si>
  <si>
    <t>Cape York Peninsula</t>
  </si>
  <si>
    <t>Daly Basin</t>
  </si>
  <si>
    <t>Darwin Coastal</t>
  </si>
  <si>
    <t>Dampierland</t>
  </si>
  <si>
    <t>Desert Uplands</t>
  </si>
  <si>
    <t>Davenport Murchison Ranges</t>
  </si>
  <si>
    <t>Darling Riverine Plains</t>
  </si>
  <si>
    <t>Einasleigh Uplands</t>
  </si>
  <si>
    <t>Esperance Plains</t>
  </si>
  <si>
    <t>Eyre Yorke Block</t>
  </si>
  <si>
    <t>Flinders Lofty Block</t>
  </si>
  <si>
    <t>Furneaux</t>
  </si>
  <si>
    <t>Gascoyne</t>
  </si>
  <si>
    <t>Gawler</t>
  </si>
  <si>
    <t>Geraldton Sandplains</t>
  </si>
  <si>
    <t>Gulf Fall and Uplands</t>
  </si>
  <si>
    <t>Gibson Desert</t>
  </si>
  <si>
    <t>Great Sandy Desert</t>
  </si>
  <si>
    <t>Gulf Coastal</t>
  </si>
  <si>
    <t>Gulf Plains</t>
  </si>
  <si>
    <t>Great Victoria Desert</t>
  </si>
  <si>
    <t>Hampton</t>
  </si>
  <si>
    <t>Jarrah Forest</t>
  </si>
  <si>
    <t>Kanmantoo</t>
  </si>
  <si>
    <t>King</t>
  </si>
  <si>
    <t>Little Sandy Desert</t>
  </si>
  <si>
    <t>MacDonnell Ranges</t>
  </si>
  <si>
    <t>Mallee</t>
  </si>
  <si>
    <t>Murray Darling Depression</t>
  </si>
  <si>
    <t>Mitchell Grass Downs</t>
  </si>
  <si>
    <t>Mount Isa Inlier</t>
  </si>
  <si>
    <t>Mulga Lands</t>
  </si>
  <si>
    <t>Murchison</t>
  </si>
  <si>
    <t>Nandewar</t>
  </si>
  <si>
    <t>Naracoorte Coastal Plain</t>
  </si>
  <si>
    <t>New England Tablelands</t>
  </si>
  <si>
    <t>NSW North Coast</t>
  </si>
  <si>
    <t>Northern Kimberley</t>
  </si>
  <si>
    <t>NSW South Western Slopes</t>
  </si>
  <si>
    <t>Nullarbor</t>
  </si>
  <si>
    <t>Ord Victoria Plain</t>
  </si>
  <si>
    <t>Pine Creek</t>
  </si>
  <si>
    <t>Pilbara</t>
  </si>
  <si>
    <t>Riverina</t>
  </si>
  <si>
    <t>South East Coastal Plain</t>
  </si>
  <si>
    <t>South East Corner</t>
  </si>
  <si>
    <t>South Eastern Highlands</t>
  </si>
  <si>
    <t>South Eastern Queensland</t>
  </si>
  <si>
    <t>Simpson Strzelecki Dunefields</t>
  </si>
  <si>
    <t>Stony Plains</t>
  </si>
  <si>
    <t>Sturt Plateau</t>
  </si>
  <si>
    <t>Southern Volcanic Plain</t>
  </si>
  <si>
    <t>Swan Coastal Plain</t>
  </si>
  <si>
    <t>Sydney Basin</t>
  </si>
  <si>
    <t>Tanami</t>
  </si>
  <si>
    <t>Tasmanian Central Highlands</t>
  </si>
  <si>
    <t>Tiwi Cobourg</t>
  </si>
  <si>
    <t>Tasmanian Northern Midlands</t>
  </si>
  <si>
    <t>Tasmanian Northern Slopes</t>
  </si>
  <si>
    <t>Tasmanian South East</t>
  </si>
  <si>
    <t>Tasmanian Southern Ranges</t>
  </si>
  <si>
    <t>Tasmanian West</t>
  </si>
  <si>
    <t>Victoria Bonaparte</t>
  </si>
  <si>
    <t>Victorian Midlands</t>
  </si>
  <si>
    <t>Warren</t>
  </si>
  <si>
    <t>Wet Tropics</t>
  </si>
  <si>
    <t>Yalgoo</t>
  </si>
  <si>
    <t>EFcrop</t>
  </si>
  <si>
    <t>EFpasture</t>
  </si>
  <si>
    <t>R</t>
  </si>
  <si>
    <t>CgN2O</t>
  </si>
  <si>
    <r>
      <t>𝑁</t>
    </r>
    <r>
      <rPr>
        <sz val="9"/>
        <color rgb="FF000000"/>
        <rFont val="Helvetica"/>
        <family val="2"/>
      </rPr>
      <t>𝑖,𝑗=1−3,𝑦</t>
    </r>
  </si>
  <si>
    <t>constant</t>
  </si>
  <si>
    <t>t soil carbon / ha</t>
  </si>
  <si>
    <t>t N2O / t N</t>
  </si>
  <si>
    <t>t N / year</t>
  </si>
  <si>
    <r>
      <t>𝐸</t>
    </r>
    <r>
      <rPr>
        <sz val="9"/>
        <color rgb="FF000000"/>
        <rFont val="Helvetica"/>
        <family val="2"/>
      </rPr>
      <t>𝐿𝑈𝐶,𝑖,𝑗=1−3,𝑦</t>
    </r>
  </si>
  <si>
    <r>
      <t>𝑎</t>
    </r>
    <r>
      <rPr>
        <sz val="9"/>
        <color rgb="FF000000"/>
        <rFont val="Helvetica"/>
        <family val="2"/>
      </rPr>
      <t>𝑖,𝑗=1−3,𝑦</t>
    </r>
  </si>
  <si>
    <t>Clearing</t>
  </si>
  <si>
    <t>crop</t>
  </si>
  <si>
    <t>grassland</t>
  </si>
  <si>
    <t>settlements</t>
  </si>
  <si>
    <r>
      <t>𝑁</t>
    </r>
    <r>
      <rPr>
        <sz val="9"/>
        <color rgb="FF000000"/>
        <rFont val="Helvetica"/>
        <family val="2"/>
      </rPr>
      <t>𝑖,𝑗=1,𝑦</t>
    </r>
  </si>
  <si>
    <r>
      <t>𝑁</t>
    </r>
    <r>
      <rPr>
        <sz val="9"/>
        <color rgb="FF000000"/>
        <rFont val="Helvetica"/>
        <family val="2"/>
      </rPr>
      <t>𝑖,𝑗=2−3,𝑦</t>
    </r>
  </si>
  <si>
    <t>hectares</t>
  </si>
  <si>
    <t>EFleach</t>
  </si>
  <si>
    <t>FracLEACH</t>
  </si>
  <si>
    <t>FracWET</t>
  </si>
  <si>
    <t>𝐸𝐿𝑈𝐶,𝑖,𝑗=1−3,𝑦</t>
  </si>
  <si>
    <t>16.3.1.1</t>
  </si>
  <si>
    <t>leaching zone</t>
  </si>
  <si>
    <t>yes</t>
  </si>
  <si>
    <r>
      <t> 𝑁</t>
    </r>
    <r>
      <rPr>
        <sz val="9"/>
        <color rgb="FF000000"/>
        <rFont val="Helvetica"/>
        <family val="2"/>
      </rPr>
      <t xml:space="preserve">𝑖,𝑗=1−3,𝑦 </t>
    </r>
    <r>
      <rPr>
        <sz val="12"/>
        <color rgb="FF000000"/>
        <rFont val="Helvetica"/>
        <family val="2"/>
      </rPr>
      <t>× 𝐹𝑟𝑎𝑐</t>
    </r>
    <r>
      <rPr>
        <sz val="9"/>
        <color rgb="FF000000"/>
        <rFont val="Helvetica"/>
        <family val="2"/>
      </rPr>
      <t xml:space="preserve">𝑊𝐸𝑇 </t>
    </r>
    <r>
      <rPr>
        <sz val="12"/>
        <color rgb="FF000000"/>
        <rFont val="Helvetica"/>
        <family val="2"/>
      </rPr>
      <t>× 𝐹𝑟𝑎𝑐</t>
    </r>
    <r>
      <rPr>
        <sz val="9"/>
        <color rgb="FF000000"/>
        <rFont val="Helvetica"/>
        <family val="2"/>
      </rPr>
      <t xml:space="preserve">𝐿𝐸𝐴𝐶𝐻 </t>
    </r>
    <r>
      <rPr>
        <sz val="12"/>
        <color rgb="FF000000"/>
        <rFont val="Helvetica"/>
        <family val="2"/>
      </rPr>
      <t xml:space="preserve">× 𝐸𝐹 </t>
    </r>
    <r>
      <rPr>
        <sz val="9"/>
        <color rgb="FF000000"/>
        <rFont val="Helvetica"/>
        <family val="2"/>
      </rPr>
      <t xml:space="preserve">𝑙𝑒𝑎𝑐ℎ </t>
    </r>
    <r>
      <rPr>
        <sz val="12"/>
        <color rgb="FF000000"/>
        <rFont val="Helvetica"/>
        <family val="2"/>
      </rPr>
      <t>× 𝐶</t>
    </r>
    <r>
      <rPr>
        <sz val="9"/>
        <color rgb="FF000000"/>
        <rFont val="Helvetica"/>
        <family val="2"/>
      </rPr>
      <t>𝑔,𝑁2𝑂</t>
    </r>
  </si>
  <si>
    <t>no</t>
  </si>
  <si>
    <t>EFn2o</t>
  </si>
  <si>
    <t>Irrigated crop</t>
  </si>
  <si>
    <t>Non-irrigated crop (low rainfall)</t>
  </si>
  <si>
    <t>Non-irrigated crop (high rainfall)</t>
  </si>
  <si>
    <t>Irrigated pasture</t>
  </si>
  <si>
    <t>Non-irrigated pasture</t>
  </si>
  <si>
    <t>Production system</t>
  </si>
  <si>
    <t>16.4.1.1</t>
  </si>
  <si>
    <t>Finke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</si>
</sst>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539-AA2F-F544-8DB9-706C333F2267}">
  <dimension ref="A3:AB178"/>
  <sheetViews>
    <sheetView tabSelected="1" topLeftCell="C1" workbookViewId="0">
      <selection activeCell="R11" sqref="R11:R178"/>
    </sheetView>
  </sheetViews>
  <sheetFormatPr baseColWidth="10" defaultRowHeight="16" x14ac:dyDescent="0.2"/>
  <cols>
    <col min="1" max="1" width="10.83203125" bestFit="1" customWidth="1"/>
    <col min="2" max="2" width="18.6640625" customWidth="1"/>
    <col min="3" max="3" width="5.83203125" bestFit="1" customWidth="1"/>
    <col min="4" max="4" width="16.33203125" customWidth="1"/>
    <col min="5" max="5" width="20.33203125" customWidth="1"/>
    <col min="6" max="6" width="13.1640625" customWidth="1"/>
    <col min="7" max="7" width="15.6640625" customWidth="1"/>
    <col min="8" max="8" width="18" customWidth="1"/>
    <col min="9" max="9" width="17.6640625" customWidth="1"/>
    <col min="10" max="13" width="14.6640625" customWidth="1"/>
    <col min="14" max="14" width="11.83203125" bestFit="1" customWidth="1"/>
    <col min="15" max="17" width="11.83203125" customWidth="1"/>
    <col min="18" max="19" width="19.6640625" customWidth="1"/>
    <col min="23" max="23" width="17.5" customWidth="1"/>
    <col min="24" max="24" width="16" customWidth="1"/>
    <col min="26" max="26" width="36.5" bestFit="1" customWidth="1"/>
  </cols>
  <sheetData>
    <row r="3" spans="1:28" x14ac:dyDescent="0.2">
      <c r="S3" s="2" t="s">
        <v>114</v>
      </c>
    </row>
    <row r="4" spans="1:28" x14ac:dyDescent="0.2">
      <c r="U4" t="s">
        <v>89</v>
      </c>
      <c r="V4">
        <v>4.1000000000000003E-3</v>
      </c>
      <c r="AA4" t="s">
        <v>116</v>
      </c>
    </row>
    <row r="5" spans="1:28" x14ac:dyDescent="0.2">
      <c r="U5" t="s">
        <v>90</v>
      </c>
      <c r="V5">
        <v>1.8E-3</v>
      </c>
      <c r="Z5" s="6" t="s">
        <v>117</v>
      </c>
      <c r="AA5">
        <v>7.0000000000000001E-3</v>
      </c>
    </row>
    <row r="6" spans="1:28" x14ac:dyDescent="0.2">
      <c r="B6" t="s">
        <v>0</v>
      </c>
      <c r="F6" t="s">
        <v>0</v>
      </c>
      <c r="G6" t="s">
        <v>1</v>
      </c>
      <c r="H6" t="s">
        <v>94</v>
      </c>
      <c r="I6" t="s">
        <v>1</v>
      </c>
      <c r="L6" t="s">
        <v>94</v>
      </c>
      <c r="M6" t="s">
        <v>94</v>
      </c>
      <c r="N6" t="s">
        <v>94</v>
      </c>
      <c r="U6" t="s">
        <v>91</v>
      </c>
      <c r="V6">
        <v>18</v>
      </c>
      <c r="Z6" s="6" t="s">
        <v>118</v>
      </c>
      <c r="AA6">
        <v>2.8999999999999998E-3</v>
      </c>
    </row>
    <row r="7" spans="1:28" x14ac:dyDescent="0.2">
      <c r="U7" t="s">
        <v>92</v>
      </c>
      <c r="V7">
        <f>[1]!common_cn2o</f>
        <v>1.57</v>
      </c>
      <c r="Z7" s="6" t="s">
        <v>119</v>
      </c>
      <c r="AA7">
        <v>8.0000000000000002E-3</v>
      </c>
    </row>
    <row r="8" spans="1:28" x14ac:dyDescent="0.2">
      <c r="F8" t="s">
        <v>106</v>
      </c>
      <c r="G8" t="s">
        <v>95</v>
      </c>
      <c r="I8" t="s">
        <v>97</v>
      </c>
      <c r="L8" t="s">
        <v>96</v>
      </c>
      <c r="M8" t="s">
        <v>96</v>
      </c>
      <c r="U8" t="s">
        <v>107</v>
      </c>
      <c r="V8">
        <v>1.0999999999999999E-2</v>
      </c>
      <c r="Z8" s="6" t="s">
        <v>120</v>
      </c>
      <c r="AA8">
        <v>5.8999999999999999E-3</v>
      </c>
    </row>
    <row r="9" spans="1:28" s="1" customFormat="1" ht="17" x14ac:dyDescent="0.2">
      <c r="R9" s="1" t="s">
        <v>111</v>
      </c>
      <c r="S9" s="1" t="s">
        <v>123</v>
      </c>
      <c r="U9" s="1" t="s">
        <v>108</v>
      </c>
      <c r="V9" s="1">
        <v>0.24</v>
      </c>
      <c r="Z9" s="6" t="s">
        <v>121</v>
      </c>
      <c r="AA9">
        <v>1.8E-3</v>
      </c>
      <c r="AB9"/>
    </row>
    <row r="10" spans="1:28" x14ac:dyDescent="0.2">
      <c r="A10" s="3" t="s">
        <v>100</v>
      </c>
      <c r="B10" s="3" t="s">
        <v>4</v>
      </c>
      <c r="C10" s="2" t="s">
        <v>3</v>
      </c>
      <c r="D10" s="4" t="s">
        <v>112</v>
      </c>
      <c r="E10" s="4" t="s">
        <v>122</v>
      </c>
      <c r="F10" s="4" t="s">
        <v>99</v>
      </c>
      <c r="G10" s="2" t="s">
        <v>2</v>
      </c>
      <c r="H10" s="2" t="s">
        <v>91</v>
      </c>
      <c r="I10" s="2" t="s">
        <v>93</v>
      </c>
      <c r="J10" s="2" t="s">
        <v>104</v>
      </c>
      <c r="K10" s="2" t="s">
        <v>105</v>
      </c>
      <c r="L10" s="2" t="s">
        <v>89</v>
      </c>
      <c r="M10" s="2" t="s">
        <v>90</v>
      </c>
      <c r="N10" s="2" t="s">
        <v>92</v>
      </c>
      <c r="O10" s="2" t="s">
        <v>109</v>
      </c>
      <c r="P10" s="2" t="s">
        <v>108</v>
      </c>
      <c r="Q10" s="2" t="s">
        <v>107</v>
      </c>
      <c r="R10" s="5" t="s">
        <v>98</v>
      </c>
      <c r="S10" s="5" t="s">
        <v>110</v>
      </c>
      <c r="Z10" s="6"/>
      <c r="AA10" s="1"/>
      <c r="AB10" s="1"/>
    </row>
    <row r="11" spans="1:28" x14ac:dyDescent="0.2">
      <c r="A11" t="s">
        <v>101</v>
      </c>
      <c r="B11" s="6" t="s">
        <v>5</v>
      </c>
      <c r="C11">
        <f t="shared" ref="C11:C42" si="0">VLOOKUP(B11, $W$13:$X$96, 2, FALSE)</f>
        <v>-0.12</v>
      </c>
      <c r="D11" t="s">
        <v>113</v>
      </c>
      <c r="E11" s="6" t="s">
        <v>117</v>
      </c>
      <c r="F11">
        <v>85.1</v>
      </c>
      <c r="G11">
        <f>C11*F11</f>
        <v>-10.212</v>
      </c>
      <c r="H11">
        <f t="shared" ref="H11:H42" si="1">$V$6</f>
        <v>18</v>
      </c>
      <c r="I11">
        <f t="shared" ref="I11:I42" si="2">G11/H11</f>
        <v>-0.56733333333333336</v>
      </c>
      <c r="J11">
        <f t="shared" ref="J11:J42" si="3">IF(A11="crop",I11, 0)</f>
        <v>-0.56733333333333336</v>
      </c>
      <c r="K11">
        <f t="shared" ref="K11:K42" si="4">IF(A11="crop", 0, I11)</f>
        <v>0</v>
      </c>
      <c r="L11">
        <f>_xlfn.XLOOKUP(E11,$Z$5:$Z$9,$AA$5:$AA$9)</f>
        <v>7.0000000000000001E-3</v>
      </c>
      <c r="M11">
        <v>0</v>
      </c>
      <c r="N11">
        <f>$V$7</f>
        <v>1.57</v>
      </c>
      <c r="O11">
        <f>IF(D11="yes",1,0)</f>
        <v>1</v>
      </c>
      <c r="P11">
        <f>$V$9</f>
        <v>0.24</v>
      </c>
      <c r="Q11">
        <f>$V$8</f>
        <v>1.0999999999999999E-2</v>
      </c>
      <c r="R11">
        <f>(J11*L11+K11*M11)*$N$11</f>
        <v>-6.2349933333333343E-3</v>
      </c>
      <c r="S11">
        <f>I11*O11*P$11*Q$11*N$11</f>
        <v>-2.3514831999999998E-3</v>
      </c>
      <c r="Z11" s="6"/>
    </row>
    <row r="12" spans="1:28" x14ac:dyDescent="0.2">
      <c r="A12" t="s">
        <v>101</v>
      </c>
      <c r="B12" s="6" t="s">
        <v>6</v>
      </c>
      <c r="C12">
        <f t="shared" si="0"/>
        <v>-0.43</v>
      </c>
      <c r="D12" t="s">
        <v>113</v>
      </c>
      <c r="E12" s="6" t="s">
        <v>118</v>
      </c>
      <c r="F12">
        <v>85.2</v>
      </c>
      <c r="G12">
        <f t="shared" ref="G12:G75" si="5">C12*F12</f>
        <v>-36.636000000000003</v>
      </c>
      <c r="H12">
        <f t="shared" si="1"/>
        <v>18</v>
      </c>
      <c r="I12">
        <f t="shared" si="2"/>
        <v>-2.0353333333333334</v>
      </c>
      <c r="J12">
        <f t="shared" si="3"/>
        <v>-2.0353333333333334</v>
      </c>
      <c r="K12">
        <f t="shared" si="4"/>
        <v>0</v>
      </c>
      <c r="L12">
        <f t="shared" ref="L12:L75" si="6">_xlfn.XLOOKUP(E12,$Z$5:$Z$9,$AA$5:$AA$9)</f>
        <v>2.8999999999999998E-3</v>
      </c>
      <c r="M12">
        <v>0</v>
      </c>
      <c r="O12">
        <f t="shared" ref="O12:O75" si="7">IF(D12="yes",1,0)</f>
        <v>1</v>
      </c>
      <c r="R12">
        <f t="shared" ref="R12:R75" si="8">(J12*L12+K12*M12)*$N$11</f>
        <v>-9.266872666666667E-3</v>
      </c>
      <c r="S12">
        <f t="shared" ref="S12:S75" si="9">I12*O12*P$11*Q$11*N$11</f>
        <v>-8.4360496000000004E-3</v>
      </c>
    </row>
    <row r="13" spans="1:28" x14ac:dyDescent="0.2">
      <c r="A13" t="s">
        <v>101</v>
      </c>
      <c r="B13" s="6" t="s">
        <v>7</v>
      </c>
      <c r="C13">
        <f t="shared" si="0"/>
        <v>-0.09</v>
      </c>
      <c r="D13" t="s">
        <v>113</v>
      </c>
      <c r="E13" s="6" t="s">
        <v>119</v>
      </c>
      <c r="F13">
        <v>85.3</v>
      </c>
      <c r="G13">
        <f t="shared" si="5"/>
        <v>-7.6769999999999996</v>
      </c>
      <c r="H13">
        <f t="shared" si="1"/>
        <v>18</v>
      </c>
      <c r="I13">
        <f t="shared" si="2"/>
        <v>-0.42649999999999999</v>
      </c>
      <c r="J13">
        <f t="shared" si="3"/>
        <v>-0.42649999999999999</v>
      </c>
      <c r="K13">
        <f t="shared" si="4"/>
        <v>0</v>
      </c>
      <c r="L13">
        <f t="shared" si="6"/>
        <v>8.0000000000000002E-3</v>
      </c>
      <c r="M13">
        <v>0</v>
      </c>
      <c r="O13">
        <f t="shared" si="7"/>
        <v>1</v>
      </c>
      <c r="R13">
        <f t="shared" si="8"/>
        <v>-5.3568400000000007E-3</v>
      </c>
      <c r="S13">
        <f t="shared" si="9"/>
        <v>-1.7677571999999999E-3</v>
      </c>
      <c r="W13" t="s">
        <v>5</v>
      </c>
      <c r="X13">
        <v>-0.12</v>
      </c>
    </row>
    <row r="14" spans="1:28" x14ac:dyDescent="0.2">
      <c r="A14" t="s">
        <v>101</v>
      </c>
      <c r="B14" s="6" t="s">
        <v>8</v>
      </c>
      <c r="C14">
        <f t="shared" si="0"/>
        <v>-0.09</v>
      </c>
      <c r="D14" t="s">
        <v>113</v>
      </c>
      <c r="E14" s="6" t="s">
        <v>117</v>
      </c>
      <c r="F14">
        <v>85.4</v>
      </c>
      <c r="G14">
        <f t="shared" si="5"/>
        <v>-7.6859999999999999</v>
      </c>
      <c r="H14">
        <f t="shared" si="1"/>
        <v>18</v>
      </c>
      <c r="I14">
        <f t="shared" si="2"/>
        <v>-0.42699999999999999</v>
      </c>
      <c r="J14">
        <f t="shared" si="3"/>
        <v>-0.42699999999999999</v>
      </c>
      <c r="K14">
        <f t="shared" si="4"/>
        <v>0</v>
      </c>
      <c r="L14">
        <f t="shared" si="6"/>
        <v>7.0000000000000001E-3</v>
      </c>
      <c r="M14">
        <v>0</v>
      </c>
      <c r="O14">
        <f t="shared" si="7"/>
        <v>1</v>
      </c>
      <c r="R14">
        <f t="shared" si="8"/>
        <v>-4.69273E-3</v>
      </c>
      <c r="S14">
        <f t="shared" si="9"/>
        <v>-1.7698295999999999E-3</v>
      </c>
      <c r="W14" t="s">
        <v>6</v>
      </c>
      <c r="X14">
        <v>-0.43</v>
      </c>
    </row>
    <row r="15" spans="1:28" x14ac:dyDescent="0.2">
      <c r="A15" t="s">
        <v>101</v>
      </c>
      <c r="B15" s="6" t="s">
        <v>9</v>
      </c>
      <c r="C15">
        <f t="shared" si="0"/>
        <v>-0.14000000000000001</v>
      </c>
      <c r="D15" t="s">
        <v>113</v>
      </c>
      <c r="E15" s="6" t="s">
        <v>117</v>
      </c>
      <c r="F15">
        <v>85.5</v>
      </c>
      <c r="G15">
        <f t="shared" si="5"/>
        <v>-11.97</v>
      </c>
      <c r="H15">
        <f t="shared" si="1"/>
        <v>18</v>
      </c>
      <c r="I15">
        <f t="shared" si="2"/>
        <v>-0.66500000000000004</v>
      </c>
      <c r="J15">
        <f t="shared" si="3"/>
        <v>-0.66500000000000004</v>
      </c>
      <c r="K15">
        <f t="shared" si="4"/>
        <v>0</v>
      </c>
      <c r="L15">
        <f t="shared" si="6"/>
        <v>7.0000000000000001E-3</v>
      </c>
      <c r="M15">
        <v>0</v>
      </c>
      <c r="O15">
        <f t="shared" si="7"/>
        <v>1</v>
      </c>
      <c r="R15">
        <f t="shared" si="8"/>
        <v>-7.3083500000000008E-3</v>
      </c>
      <c r="S15">
        <f t="shared" si="9"/>
        <v>-2.7562919999999996E-3</v>
      </c>
      <c r="W15" t="s">
        <v>7</v>
      </c>
      <c r="X15">
        <v>-0.09</v>
      </c>
    </row>
    <row r="16" spans="1:28" x14ac:dyDescent="0.2">
      <c r="A16" t="s">
        <v>101</v>
      </c>
      <c r="B16" s="6" t="s">
        <v>10</v>
      </c>
      <c r="C16">
        <f t="shared" si="0"/>
        <v>-0.13</v>
      </c>
      <c r="D16" t="s">
        <v>113</v>
      </c>
      <c r="E16" s="6" t="s">
        <v>117</v>
      </c>
      <c r="F16">
        <v>85.6</v>
      </c>
      <c r="G16">
        <f t="shared" si="5"/>
        <v>-11.128</v>
      </c>
      <c r="H16">
        <f t="shared" si="1"/>
        <v>18</v>
      </c>
      <c r="I16">
        <f t="shared" si="2"/>
        <v>-0.61822222222222223</v>
      </c>
      <c r="J16">
        <f t="shared" si="3"/>
        <v>-0.61822222222222223</v>
      </c>
      <c r="K16">
        <f t="shared" si="4"/>
        <v>0</v>
      </c>
      <c r="L16">
        <f t="shared" si="6"/>
        <v>7.0000000000000001E-3</v>
      </c>
      <c r="M16">
        <v>0</v>
      </c>
      <c r="O16">
        <f t="shared" si="7"/>
        <v>1</v>
      </c>
      <c r="R16">
        <f t="shared" si="8"/>
        <v>-6.794262222222223E-3</v>
      </c>
      <c r="S16">
        <f t="shared" si="9"/>
        <v>-2.5624074666666663E-3</v>
      </c>
      <c r="W16" t="s">
        <v>8</v>
      </c>
      <c r="X16">
        <v>-0.09</v>
      </c>
    </row>
    <row r="17" spans="1:24" x14ac:dyDescent="0.2">
      <c r="A17" t="s">
        <v>101</v>
      </c>
      <c r="B17" s="6" t="s">
        <v>11</v>
      </c>
      <c r="C17">
        <f t="shared" si="0"/>
        <v>-0.31</v>
      </c>
      <c r="D17" t="s">
        <v>113</v>
      </c>
      <c r="E17" s="6" t="s">
        <v>117</v>
      </c>
      <c r="F17">
        <v>85.7</v>
      </c>
      <c r="G17">
        <f t="shared" si="5"/>
        <v>-26.567</v>
      </c>
      <c r="H17">
        <f t="shared" si="1"/>
        <v>18</v>
      </c>
      <c r="I17">
        <f t="shared" si="2"/>
        <v>-1.4759444444444445</v>
      </c>
      <c r="J17">
        <f t="shared" si="3"/>
        <v>-1.4759444444444445</v>
      </c>
      <c r="K17">
        <f t="shared" si="4"/>
        <v>0</v>
      </c>
      <c r="L17">
        <f t="shared" si="6"/>
        <v>7.0000000000000001E-3</v>
      </c>
      <c r="M17">
        <v>0</v>
      </c>
      <c r="O17">
        <f t="shared" si="7"/>
        <v>1</v>
      </c>
      <c r="R17">
        <f t="shared" si="8"/>
        <v>-1.6220629444444447E-2</v>
      </c>
      <c r="S17">
        <f t="shared" si="9"/>
        <v>-6.1174945333333335E-3</v>
      </c>
      <c r="W17" t="s">
        <v>9</v>
      </c>
      <c r="X17">
        <v>-0.14000000000000001</v>
      </c>
    </row>
    <row r="18" spans="1:24" x14ac:dyDescent="0.2">
      <c r="A18" t="s">
        <v>101</v>
      </c>
      <c r="B18" s="6" t="s">
        <v>12</v>
      </c>
      <c r="C18">
        <f t="shared" si="0"/>
        <v>-0.01</v>
      </c>
      <c r="D18" t="s">
        <v>113</v>
      </c>
      <c r="E18" s="6" t="s">
        <v>117</v>
      </c>
      <c r="F18">
        <v>85.800000000000097</v>
      </c>
      <c r="G18">
        <f t="shared" si="5"/>
        <v>-0.85800000000000098</v>
      </c>
      <c r="H18">
        <f t="shared" si="1"/>
        <v>18</v>
      </c>
      <c r="I18">
        <f t="shared" si="2"/>
        <v>-4.7666666666666718E-2</v>
      </c>
      <c r="J18">
        <f t="shared" si="3"/>
        <v>-4.7666666666666718E-2</v>
      </c>
      <c r="K18">
        <f t="shared" si="4"/>
        <v>0</v>
      </c>
      <c r="L18">
        <f t="shared" si="6"/>
        <v>7.0000000000000001E-3</v>
      </c>
      <c r="M18">
        <v>0</v>
      </c>
      <c r="O18">
        <f t="shared" si="7"/>
        <v>1</v>
      </c>
      <c r="R18">
        <f t="shared" si="8"/>
        <v>-5.2385666666666735E-4</v>
      </c>
      <c r="S18">
        <f t="shared" si="9"/>
        <v>-1.9756880000000024E-4</v>
      </c>
      <c r="W18" t="s">
        <v>10</v>
      </c>
      <c r="X18">
        <v>-0.13</v>
      </c>
    </row>
    <row r="19" spans="1:24" x14ac:dyDescent="0.2">
      <c r="A19" t="s">
        <v>101</v>
      </c>
      <c r="B19" s="6" t="s">
        <v>13</v>
      </c>
      <c r="C19">
        <f t="shared" si="0"/>
        <v>-7.0000000000000007E-2</v>
      </c>
      <c r="D19" t="s">
        <v>113</v>
      </c>
      <c r="E19" s="6" t="s">
        <v>117</v>
      </c>
      <c r="F19">
        <v>85.900000000000105</v>
      </c>
      <c r="G19">
        <f t="shared" si="5"/>
        <v>-6.0130000000000079</v>
      </c>
      <c r="H19">
        <f t="shared" si="1"/>
        <v>18</v>
      </c>
      <c r="I19">
        <f t="shared" si="2"/>
        <v>-0.33405555555555599</v>
      </c>
      <c r="J19">
        <f t="shared" si="3"/>
        <v>-0.33405555555555599</v>
      </c>
      <c r="K19">
        <f t="shared" si="4"/>
        <v>0</v>
      </c>
      <c r="L19">
        <f t="shared" si="6"/>
        <v>7.0000000000000001E-3</v>
      </c>
      <c r="M19">
        <v>0</v>
      </c>
      <c r="O19">
        <f t="shared" si="7"/>
        <v>1</v>
      </c>
      <c r="R19">
        <f t="shared" si="8"/>
        <v>-3.6712705555555607E-3</v>
      </c>
      <c r="S19">
        <f t="shared" si="9"/>
        <v>-1.3845934666666681E-3</v>
      </c>
      <c r="W19" t="s">
        <v>11</v>
      </c>
      <c r="X19">
        <v>-0.31</v>
      </c>
    </row>
    <row r="20" spans="1:24" x14ac:dyDescent="0.2">
      <c r="A20" t="s">
        <v>101</v>
      </c>
      <c r="B20" s="6" t="s">
        <v>14</v>
      </c>
      <c r="C20">
        <f t="shared" si="0"/>
        <v>-0.06</v>
      </c>
      <c r="D20" t="s">
        <v>113</v>
      </c>
      <c r="E20" s="6" t="s">
        <v>117</v>
      </c>
      <c r="F20">
        <v>86.000000000000099</v>
      </c>
      <c r="G20">
        <f t="shared" si="5"/>
        <v>-5.1600000000000055</v>
      </c>
      <c r="H20">
        <f t="shared" si="1"/>
        <v>18</v>
      </c>
      <c r="I20">
        <f t="shared" si="2"/>
        <v>-0.28666666666666696</v>
      </c>
      <c r="J20">
        <f t="shared" si="3"/>
        <v>-0.28666666666666696</v>
      </c>
      <c r="K20">
        <f t="shared" si="4"/>
        <v>0</v>
      </c>
      <c r="L20">
        <f t="shared" si="6"/>
        <v>7.0000000000000001E-3</v>
      </c>
      <c r="M20">
        <v>0</v>
      </c>
      <c r="O20">
        <f t="shared" si="7"/>
        <v>1</v>
      </c>
      <c r="R20">
        <f t="shared" si="8"/>
        <v>-3.15046666666667E-3</v>
      </c>
      <c r="S20">
        <f t="shared" si="9"/>
        <v>-1.1881760000000013E-3</v>
      </c>
      <c r="W20" t="s">
        <v>12</v>
      </c>
      <c r="X20">
        <v>-0.01</v>
      </c>
    </row>
    <row r="21" spans="1:24" x14ac:dyDescent="0.2">
      <c r="A21" t="s">
        <v>101</v>
      </c>
      <c r="B21" s="6" t="s">
        <v>15</v>
      </c>
      <c r="C21">
        <f t="shared" si="0"/>
        <v>-0.09</v>
      </c>
      <c r="D21" t="s">
        <v>113</v>
      </c>
      <c r="E21" s="6" t="s">
        <v>117</v>
      </c>
      <c r="F21">
        <v>86.100000000000094</v>
      </c>
      <c r="G21">
        <f t="shared" si="5"/>
        <v>-7.7490000000000085</v>
      </c>
      <c r="H21">
        <f t="shared" si="1"/>
        <v>18</v>
      </c>
      <c r="I21">
        <f t="shared" si="2"/>
        <v>-0.43050000000000049</v>
      </c>
      <c r="J21">
        <f t="shared" si="3"/>
        <v>-0.43050000000000049</v>
      </c>
      <c r="K21">
        <f t="shared" si="4"/>
        <v>0</v>
      </c>
      <c r="L21">
        <f t="shared" si="6"/>
        <v>7.0000000000000001E-3</v>
      </c>
      <c r="M21">
        <v>0</v>
      </c>
      <c r="O21">
        <f t="shared" si="7"/>
        <v>1</v>
      </c>
      <c r="R21">
        <f t="shared" si="8"/>
        <v>-4.7311950000000057E-3</v>
      </c>
      <c r="S21">
        <f t="shared" si="9"/>
        <v>-1.7843364000000022E-3</v>
      </c>
      <c r="W21" t="s">
        <v>13</v>
      </c>
      <c r="X21">
        <v>-7.0000000000000007E-2</v>
      </c>
    </row>
    <row r="22" spans="1:24" x14ac:dyDescent="0.2">
      <c r="A22" t="s">
        <v>101</v>
      </c>
      <c r="B22" s="6" t="s">
        <v>16</v>
      </c>
      <c r="C22">
        <f t="shared" si="0"/>
        <v>-0.19</v>
      </c>
      <c r="D22" t="s">
        <v>113</v>
      </c>
      <c r="E22" s="6" t="s">
        <v>117</v>
      </c>
      <c r="F22">
        <v>86.200000000000102</v>
      </c>
      <c r="G22">
        <f t="shared" si="5"/>
        <v>-16.378000000000018</v>
      </c>
      <c r="H22">
        <f t="shared" si="1"/>
        <v>18</v>
      </c>
      <c r="I22">
        <f t="shared" si="2"/>
        <v>-0.90988888888888986</v>
      </c>
      <c r="J22">
        <f t="shared" si="3"/>
        <v>-0.90988888888888986</v>
      </c>
      <c r="K22">
        <f t="shared" si="4"/>
        <v>0</v>
      </c>
      <c r="L22">
        <f t="shared" si="6"/>
        <v>7.0000000000000001E-3</v>
      </c>
      <c r="M22">
        <v>0</v>
      </c>
      <c r="O22">
        <f t="shared" si="7"/>
        <v>1</v>
      </c>
      <c r="R22">
        <f t="shared" si="8"/>
        <v>-9.9996788888888997E-3</v>
      </c>
      <c r="S22">
        <f t="shared" si="9"/>
        <v>-3.7713074666666708E-3</v>
      </c>
      <c r="W22" t="s">
        <v>14</v>
      </c>
      <c r="X22">
        <v>-0.06</v>
      </c>
    </row>
    <row r="23" spans="1:24" x14ac:dyDescent="0.2">
      <c r="A23" t="s">
        <v>101</v>
      </c>
      <c r="B23" s="6" t="s">
        <v>17</v>
      </c>
      <c r="C23">
        <f t="shared" si="0"/>
        <v>-0.13</v>
      </c>
      <c r="D23" t="s">
        <v>113</v>
      </c>
      <c r="E23" s="6" t="s">
        <v>117</v>
      </c>
      <c r="F23">
        <v>86.300000000000097</v>
      </c>
      <c r="G23">
        <f t="shared" si="5"/>
        <v>-11.219000000000014</v>
      </c>
      <c r="H23">
        <f t="shared" si="1"/>
        <v>18</v>
      </c>
      <c r="I23">
        <f t="shared" si="2"/>
        <v>-0.62327777777777849</v>
      </c>
      <c r="J23">
        <f t="shared" si="3"/>
        <v>-0.62327777777777849</v>
      </c>
      <c r="K23">
        <f t="shared" si="4"/>
        <v>0</v>
      </c>
      <c r="L23">
        <f t="shared" si="6"/>
        <v>7.0000000000000001E-3</v>
      </c>
      <c r="M23">
        <v>0</v>
      </c>
      <c r="O23">
        <f t="shared" si="7"/>
        <v>1</v>
      </c>
      <c r="R23">
        <f t="shared" si="8"/>
        <v>-6.849822777777786E-3</v>
      </c>
      <c r="S23">
        <f t="shared" si="9"/>
        <v>-2.5833617333333365E-3</v>
      </c>
      <c r="W23" t="s">
        <v>15</v>
      </c>
      <c r="X23">
        <v>-0.09</v>
      </c>
    </row>
    <row r="24" spans="1:24" x14ac:dyDescent="0.2">
      <c r="A24" t="s">
        <v>101</v>
      </c>
      <c r="B24" s="6" t="s">
        <v>18</v>
      </c>
      <c r="C24">
        <f t="shared" si="0"/>
        <v>-0.04</v>
      </c>
      <c r="D24" t="s">
        <v>113</v>
      </c>
      <c r="E24" s="6" t="s">
        <v>117</v>
      </c>
      <c r="F24">
        <v>86.400000000000105</v>
      </c>
      <c r="G24">
        <f t="shared" si="5"/>
        <v>-3.4560000000000044</v>
      </c>
      <c r="H24">
        <f t="shared" si="1"/>
        <v>18</v>
      </c>
      <c r="I24">
        <f t="shared" si="2"/>
        <v>-0.19200000000000025</v>
      </c>
      <c r="J24">
        <f t="shared" si="3"/>
        <v>-0.19200000000000025</v>
      </c>
      <c r="K24">
        <f t="shared" si="4"/>
        <v>0</v>
      </c>
      <c r="L24">
        <f t="shared" si="6"/>
        <v>7.0000000000000001E-3</v>
      </c>
      <c r="M24">
        <v>0</v>
      </c>
      <c r="O24">
        <f t="shared" si="7"/>
        <v>1</v>
      </c>
      <c r="R24">
        <f t="shared" si="8"/>
        <v>-2.1100800000000029E-3</v>
      </c>
      <c r="S24">
        <f t="shared" si="9"/>
        <v>-7.9580160000000092E-4</v>
      </c>
      <c r="W24" t="s">
        <v>16</v>
      </c>
      <c r="X24">
        <v>-0.19</v>
      </c>
    </row>
    <row r="25" spans="1:24" x14ac:dyDescent="0.2">
      <c r="A25" t="s">
        <v>101</v>
      </c>
      <c r="B25" s="6" t="s">
        <v>19</v>
      </c>
      <c r="C25">
        <f t="shared" si="0"/>
        <v>-0.4</v>
      </c>
      <c r="D25" t="s">
        <v>113</v>
      </c>
      <c r="E25" s="6" t="s">
        <v>117</v>
      </c>
      <c r="F25">
        <v>86.500000000000099</v>
      </c>
      <c r="G25">
        <f t="shared" si="5"/>
        <v>-34.600000000000044</v>
      </c>
      <c r="H25">
        <f t="shared" si="1"/>
        <v>18</v>
      </c>
      <c r="I25">
        <f t="shared" si="2"/>
        <v>-1.9222222222222247</v>
      </c>
      <c r="J25">
        <f t="shared" si="3"/>
        <v>-1.9222222222222247</v>
      </c>
      <c r="K25">
        <f t="shared" si="4"/>
        <v>0</v>
      </c>
      <c r="L25">
        <f t="shared" si="6"/>
        <v>7.0000000000000001E-3</v>
      </c>
      <c r="M25">
        <v>0</v>
      </c>
      <c r="O25">
        <f t="shared" si="7"/>
        <v>1</v>
      </c>
      <c r="R25">
        <f t="shared" si="8"/>
        <v>-2.112522222222225E-2</v>
      </c>
      <c r="S25">
        <f t="shared" si="9"/>
        <v>-7.9672266666666759E-3</v>
      </c>
      <c r="W25" t="s">
        <v>17</v>
      </c>
      <c r="X25">
        <v>-0.13</v>
      </c>
    </row>
    <row r="26" spans="1:24" x14ac:dyDescent="0.2">
      <c r="A26" t="s">
        <v>101</v>
      </c>
      <c r="B26" s="6" t="s">
        <v>20</v>
      </c>
      <c r="C26">
        <f t="shared" si="0"/>
        <v>-0.09</v>
      </c>
      <c r="D26" t="s">
        <v>113</v>
      </c>
      <c r="E26" s="6" t="s">
        <v>117</v>
      </c>
      <c r="F26">
        <v>86.600000000000094</v>
      </c>
      <c r="G26">
        <f t="shared" si="5"/>
        <v>-7.7940000000000085</v>
      </c>
      <c r="H26">
        <f t="shared" si="1"/>
        <v>18</v>
      </c>
      <c r="I26">
        <f t="shared" si="2"/>
        <v>-0.4330000000000005</v>
      </c>
      <c r="J26">
        <f t="shared" si="3"/>
        <v>-0.4330000000000005</v>
      </c>
      <c r="K26">
        <f t="shared" si="4"/>
        <v>0</v>
      </c>
      <c r="L26">
        <f t="shared" si="6"/>
        <v>7.0000000000000001E-3</v>
      </c>
      <c r="M26">
        <v>0</v>
      </c>
      <c r="O26">
        <f t="shared" si="7"/>
        <v>1</v>
      </c>
      <c r="R26">
        <f t="shared" si="8"/>
        <v>-4.7586700000000056E-3</v>
      </c>
      <c r="S26">
        <f t="shared" si="9"/>
        <v>-1.7946984000000018E-3</v>
      </c>
      <c r="W26" t="s">
        <v>18</v>
      </c>
      <c r="X26">
        <v>-0.04</v>
      </c>
    </row>
    <row r="27" spans="1:24" x14ac:dyDescent="0.2">
      <c r="A27" t="s">
        <v>101</v>
      </c>
      <c r="B27" s="6" t="s">
        <v>21</v>
      </c>
      <c r="C27">
        <f t="shared" si="0"/>
        <v>-0.04</v>
      </c>
      <c r="D27" t="s">
        <v>113</v>
      </c>
      <c r="E27" s="6" t="s">
        <v>117</v>
      </c>
      <c r="F27">
        <v>86.700000000000102</v>
      </c>
      <c r="G27">
        <f t="shared" si="5"/>
        <v>-3.468000000000004</v>
      </c>
      <c r="H27">
        <f t="shared" si="1"/>
        <v>18</v>
      </c>
      <c r="I27">
        <f t="shared" si="2"/>
        <v>-0.19266666666666687</v>
      </c>
      <c r="J27">
        <f t="shared" si="3"/>
        <v>-0.19266666666666687</v>
      </c>
      <c r="K27">
        <f t="shared" si="4"/>
        <v>0</v>
      </c>
      <c r="L27">
        <f t="shared" si="6"/>
        <v>7.0000000000000001E-3</v>
      </c>
      <c r="M27">
        <v>0</v>
      </c>
      <c r="O27">
        <f t="shared" si="7"/>
        <v>1</v>
      </c>
      <c r="R27">
        <f t="shared" si="8"/>
        <v>-2.117406666666669E-3</v>
      </c>
      <c r="S27">
        <f t="shared" si="9"/>
        <v>-7.9856480000000069E-4</v>
      </c>
      <c r="W27" t="s">
        <v>19</v>
      </c>
      <c r="X27">
        <v>-0.4</v>
      </c>
    </row>
    <row r="28" spans="1:24" x14ac:dyDescent="0.2">
      <c r="A28" t="s">
        <v>101</v>
      </c>
      <c r="B28" s="6" t="s">
        <v>22</v>
      </c>
      <c r="C28">
        <f t="shared" si="0"/>
        <v>-0.44</v>
      </c>
      <c r="D28" t="s">
        <v>113</v>
      </c>
      <c r="E28" s="6" t="s">
        <v>117</v>
      </c>
      <c r="F28">
        <v>86.800000000000097</v>
      </c>
      <c r="G28">
        <f t="shared" si="5"/>
        <v>-38.192000000000043</v>
      </c>
      <c r="H28">
        <f t="shared" si="1"/>
        <v>18</v>
      </c>
      <c r="I28">
        <f t="shared" si="2"/>
        <v>-2.1217777777777802</v>
      </c>
      <c r="J28">
        <f t="shared" si="3"/>
        <v>-2.1217777777777802</v>
      </c>
      <c r="K28">
        <f t="shared" si="4"/>
        <v>0</v>
      </c>
      <c r="L28">
        <f t="shared" si="6"/>
        <v>7.0000000000000001E-3</v>
      </c>
      <c r="M28">
        <v>0</v>
      </c>
      <c r="O28">
        <f t="shared" si="7"/>
        <v>1</v>
      </c>
      <c r="R28">
        <f t="shared" si="8"/>
        <v>-2.3318337777777805E-2</v>
      </c>
      <c r="S28">
        <f t="shared" si="9"/>
        <v>-8.7943445333333436E-3</v>
      </c>
      <c r="W28" t="s">
        <v>20</v>
      </c>
      <c r="X28">
        <v>-0.09</v>
      </c>
    </row>
    <row r="29" spans="1:24" x14ac:dyDescent="0.2">
      <c r="A29" t="s">
        <v>101</v>
      </c>
      <c r="B29" s="6" t="s">
        <v>23</v>
      </c>
      <c r="C29">
        <f t="shared" si="0"/>
        <v>-0.21</v>
      </c>
      <c r="D29" t="s">
        <v>113</v>
      </c>
      <c r="E29" s="6" t="s">
        <v>117</v>
      </c>
      <c r="F29">
        <v>86.900000000000105</v>
      </c>
      <c r="G29">
        <f t="shared" si="5"/>
        <v>-18.24900000000002</v>
      </c>
      <c r="H29">
        <f t="shared" si="1"/>
        <v>18</v>
      </c>
      <c r="I29">
        <f t="shared" si="2"/>
        <v>-1.0138333333333345</v>
      </c>
      <c r="J29">
        <f t="shared" si="3"/>
        <v>-1.0138333333333345</v>
      </c>
      <c r="K29">
        <f t="shared" si="4"/>
        <v>0</v>
      </c>
      <c r="L29">
        <f t="shared" si="6"/>
        <v>7.0000000000000001E-3</v>
      </c>
      <c r="M29">
        <v>0</v>
      </c>
      <c r="O29">
        <f t="shared" si="7"/>
        <v>1</v>
      </c>
      <c r="R29">
        <f t="shared" si="8"/>
        <v>-1.1142028333333347E-2</v>
      </c>
      <c r="S29">
        <f t="shared" si="9"/>
        <v>-4.202136400000004E-3</v>
      </c>
      <c r="W29" t="s">
        <v>21</v>
      </c>
      <c r="X29">
        <v>-0.04</v>
      </c>
    </row>
    <row r="30" spans="1:24" x14ac:dyDescent="0.2">
      <c r="A30" t="s">
        <v>101</v>
      </c>
      <c r="B30" s="6" t="s">
        <v>24</v>
      </c>
      <c r="C30">
        <f t="shared" si="0"/>
        <v>-0.21</v>
      </c>
      <c r="D30" t="s">
        <v>113</v>
      </c>
      <c r="E30" s="6" t="s">
        <v>117</v>
      </c>
      <c r="F30">
        <v>87.000000000000199</v>
      </c>
      <c r="G30">
        <f t="shared" si="5"/>
        <v>-18.270000000000042</v>
      </c>
      <c r="H30">
        <f t="shared" si="1"/>
        <v>18</v>
      </c>
      <c r="I30">
        <f t="shared" si="2"/>
        <v>-1.0150000000000023</v>
      </c>
      <c r="J30">
        <f t="shared" si="3"/>
        <v>-1.0150000000000023</v>
      </c>
      <c r="K30">
        <f t="shared" si="4"/>
        <v>0</v>
      </c>
      <c r="L30">
        <f t="shared" si="6"/>
        <v>7.0000000000000001E-3</v>
      </c>
      <c r="M30">
        <v>0</v>
      </c>
      <c r="O30">
        <f t="shared" si="7"/>
        <v>1</v>
      </c>
      <c r="R30">
        <f t="shared" si="8"/>
        <v>-1.1154850000000027E-2</v>
      </c>
      <c r="S30">
        <f t="shared" si="9"/>
        <v>-4.2069720000000093E-3</v>
      </c>
      <c r="W30" t="s">
        <v>22</v>
      </c>
      <c r="X30">
        <v>-0.44</v>
      </c>
    </row>
    <row r="31" spans="1:24" x14ac:dyDescent="0.2">
      <c r="A31" t="s">
        <v>101</v>
      </c>
      <c r="B31" s="6" t="s">
        <v>25</v>
      </c>
      <c r="C31">
        <f t="shared" si="0"/>
        <v>-0.19</v>
      </c>
      <c r="D31" t="s">
        <v>113</v>
      </c>
      <c r="E31" s="6" t="s">
        <v>117</v>
      </c>
      <c r="F31">
        <v>87.100000000000193</v>
      </c>
      <c r="G31">
        <f t="shared" si="5"/>
        <v>-16.549000000000039</v>
      </c>
      <c r="H31">
        <f t="shared" si="1"/>
        <v>18</v>
      </c>
      <c r="I31">
        <f t="shared" si="2"/>
        <v>-0.91938888888889103</v>
      </c>
      <c r="J31">
        <f t="shared" si="3"/>
        <v>-0.91938888888889103</v>
      </c>
      <c r="K31">
        <f t="shared" si="4"/>
        <v>0</v>
      </c>
      <c r="L31">
        <f t="shared" si="6"/>
        <v>7.0000000000000001E-3</v>
      </c>
      <c r="M31">
        <v>0</v>
      </c>
      <c r="O31">
        <f t="shared" si="7"/>
        <v>1</v>
      </c>
      <c r="R31">
        <f t="shared" si="8"/>
        <v>-1.0104083888888914E-2</v>
      </c>
      <c r="S31">
        <f t="shared" si="9"/>
        <v>-3.8106830666666753E-3</v>
      </c>
      <c r="W31" t="s">
        <v>23</v>
      </c>
      <c r="X31">
        <v>-0.21</v>
      </c>
    </row>
    <row r="32" spans="1:24" x14ac:dyDescent="0.2">
      <c r="A32" t="s">
        <v>101</v>
      </c>
      <c r="B32" s="6" t="s">
        <v>26</v>
      </c>
      <c r="C32">
        <f t="shared" si="0"/>
        <v>-0.04</v>
      </c>
      <c r="D32" t="s">
        <v>113</v>
      </c>
      <c r="E32" s="6" t="s">
        <v>118</v>
      </c>
      <c r="F32">
        <v>87.200000000000202</v>
      </c>
      <c r="G32">
        <f t="shared" si="5"/>
        <v>-3.488000000000008</v>
      </c>
      <c r="H32">
        <f t="shared" si="1"/>
        <v>18</v>
      </c>
      <c r="I32">
        <f t="shared" si="2"/>
        <v>-0.19377777777777822</v>
      </c>
      <c r="J32">
        <f t="shared" si="3"/>
        <v>-0.19377777777777822</v>
      </c>
      <c r="K32">
        <f t="shared" si="4"/>
        <v>0</v>
      </c>
      <c r="L32">
        <f t="shared" si="6"/>
        <v>2.8999999999999998E-3</v>
      </c>
      <c r="M32">
        <v>0</v>
      </c>
      <c r="O32">
        <f t="shared" si="7"/>
        <v>1</v>
      </c>
      <c r="R32">
        <f t="shared" si="8"/>
        <v>-8.8227022222222423E-4</v>
      </c>
      <c r="S32">
        <f t="shared" si="9"/>
        <v>-8.0317013333333512E-4</v>
      </c>
      <c r="W32" t="s">
        <v>24</v>
      </c>
      <c r="X32">
        <v>-0.21</v>
      </c>
    </row>
    <row r="33" spans="1:24" x14ac:dyDescent="0.2">
      <c r="A33" t="s">
        <v>101</v>
      </c>
      <c r="B33" s="6" t="s">
        <v>27</v>
      </c>
      <c r="C33">
        <f t="shared" si="0"/>
        <v>-7.0000000000000007E-2</v>
      </c>
      <c r="D33" t="s">
        <v>113</v>
      </c>
      <c r="E33" s="6" t="s">
        <v>118</v>
      </c>
      <c r="F33">
        <v>87.300000000000196</v>
      </c>
      <c r="G33">
        <f t="shared" si="5"/>
        <v>-6.111000000000014</v>
      </c>
      <c r="H33">
        <f t="shared" si="1"/>
        <v>18</v>
      </c>
      <c r="I33">
        <f t="shared" si="2"/>
        <v>-0.3395000000000008</v>
      </c>
      <c r="J33">
        <f t="shared" si="3"/>
        <v>-0.3395000000000008</v>
      </c>
      <c r="K33">
        <f t="shared" si="4"/>
        <v>0</v>
      </c>
      <c r="L33">
        <f t="shared" si="6"/>
        <v>2.8999999999999998E-3</v>
      </c>
      <c r="M33">
        <v>0</v>
      </c>
      <c r="O33">
        <f t="shared" si="7"/>
        <v>1</v>
      </c>
      <c r="R33">
        <f t="shared" si="8"/>
        <v>-1.5457435000000035E-3</v>
      </c>
      <c r="S33">
        <f t="shared" si="9"/>
        <v>-1.4071596000000033E-3</v>
      </c>
      <c r="W33" t="s">
        <v>25</v>
      </c>
      <c r="X33">
        <v>-0.19</v>
      </c>
    </row>
    <row r="34" spans="1:24" x14ac:dyDescent="0.2">
      <c r="A34" t="s">
        <v>101</v>
      </c>
      <c r="B34" s="6" t="s">
        <v>28</v>
      </c>
      <c r="C34">
        <f t="shared" si="0"/>
        <v>-0.04</v>
      </c>
      <c r="D34" t="s">
        <v>113</v>
      </c>
      <c r="E34" s="6" t="s">
        <v>118</v>
      </c>
      <c r="F34">
        <v>87.400000000000205</v>
      </c>
      <c r="G34">
        <f t="shared" si="5"/>
        <v>-3.4960000000000084</v>
      </c>
      <c r="H34">
        <f t="shared" si="1"/>
        <v>18</v>
      </c>
      <c r="I34">
        <f t="shared" si="2"/>
        <v>-0.19422222222222268</v>
      </c>
      <c r="J34">
        <f t="shared" si="3"/>
        <v>-0.19422222222222268</v>
      </c>
      <c r="K34">
        <f t="shared" si="4"/>
        <v>0</v>
      </c>
      <c r="L34">
        <f t="shared" si="6"/>
        <v>2.8999999999999998E-3</v>
      </c>
      <c r="M34">
        <v>0</v>
      </c>
      <c r="O34">
        <f t="shared" si="7"/>
        <v>1</v>
      </c>
      <c r="R34">
        <f t="shared" si="8"/>
        <v>-8.8429377777777987E-4</v>
      </c>
      <c r="S34">
        <f t="shared" si="9"/>
        <v>-8.0501226666666859E-4</v>
      </c>
      <c r="W34" t="s">
        <v>26</v>
      </c>
      <c r="X34">
        <v>-0.04</v>
      </c>
    </row>
    <row r="35" spans="1:24" x14ac:dyDescent="0.2">
      <c r="A35" t="s">
        <v>101</v>
      </c>
      <c r="B35" s="6" t="s">
        <v>29</v>
      </c>
      <c r="C35">
        <f t="shared" si="0"/>
        <v>-0.25</v>
      </c>
      <c r="D35" t="s">
        <v>115</v>
      </c>
      <c r="E35" s="6" t="s">
        <v>118</v>
      </c>
      <c r="F35">
        <v>87.500000000000199</v>
      </c>
      <c r="G35">
        <f t="shared" si="5"/>
        <v>-21.87500000000005</v>
      </c>
      <c r="H35">
        <f t="shared" si="1"/>
        <v>18</v>
      </c>
      <c r="I35">
        <f t="shared" si="2"/>
        <v>-1.2152777777777806</v>
      </c>
      <c r="J35">
        <f t="shared" si="3"/>
        <v>-1.2152777777777806</v>
      </c>
      <c r="K35">
        <f t="shared" si="4"/>
        <v>0</v>
      </c>
      <c r="L35">
        <f t="shared" si="6"/>
        <v>2.8999999999999998E-3</v>
      </c>
      <c r="M35">
        <v>0</v>
      </c>
      <c r="O35">
        <f t="shared" si="7"/>
        <v>0</v>
      </c>
      <c r="R35">
        <f t="shared" si="8"/>
        <v>-5.5331597222222353E-3</v>
      </c>
      <c r="S35">
        <f t="shared" si="9"/>
        <v>0</v>
      </c>
      <c r="W35" t="s">
        <v>27</v>
      </c>
      <c r="X35">
        <v>-7.0000000000000007E-2</v>
      </c>
    </row>
    <row r="36" spans="1:24" x14ac:dyDescent="0.2">
      <c r="A36" t="s">
        <v>101</v>
      </c>
      <c r="B36" s="6" t="s">
        <v>30</v>
      </c>
      <c r="C36">
        <f t="shared" si="0"/>
        <v>-0.17</v>
      </c>
      <c r="D36" t="s">
        <v>115</v>
      </c>
      <c r="E36" s="6" t="s">
        <v>118</v>
      </c>
      <c r="F36">
        <v>87.600000000000193</v>
      </c>
      <c r="G36">
        <f t="shared" si="5"/>
        <v>-14.892000000000033</v>
      </c>
      <c r="H36">
        <f t="shared" si="1"/>
        <v>18</v>
      </c>
      <c r="I36">
        <f t="shared" si="2"/>
        <v>-0.82733333333333514</v>
      </c>
      <c r="J36">
        <f t="shared" si="3"/>
        <v>-0.82733333333333514</v>
      </c>
      <c r="K36">
        <f t="shared" si="4"/>
        <v>0</v>
      </c>
      <c r="L36">
        <f t="shared" si="6"/>
        <v>2.8999999999999998E-3</v>
      </c>
      <c r="M36">
        <v>0</v>
      </c>
      <c r="O36">
        <f t="shared" si="7"/>
        <v>0</v>
      </c>
      <c r="R36">
        <f t="shared" si="8"/>
        <v>-3.7668486666666747E-3</v>
      </c>
      <c r="S36">
        <f t="shared" si="9"/>
        <v>0</v>
      </c>
      <c r="W36" t="s">
        <v>28</v>
      </c>
      <c r="X36">
        <v>-0.04</v>
      </c>
    </row>
    <row r="37" spans="1:24" x14ac:dyDescent="0.2">
      <c r="A37" t="s">
        <v>101</v>
      </c>
      <c r="B37" s="6" t="s">
        <v>31</v>
      </c>
      <c r="C37">
        <f t="shared" si="0"/>
        <v>-0.03</v>
      </c>
      <c r="D37" t="s">
        <v>115</v>
      </c>
      <c r="E37" s="6" t="s">
        <v>118</v>
      </c>
      <c r="F37">
        <v>87.700000000000202</v>
      </c>
      <c r="G37">
        <f t="shared" si="5"/>
        <v>-2.631000000000006</v>
      </c>
      <c r="H37">
        <f t="shared" si="1"/>
        <v>18</v>
      </c>
      <c r="I37">
        <f t="shared" si="2"/>
        <v>-0.146166666666667</v>
      </c>
      <c r="J37">
        <f t="shared" si="3"/>
        <v>-0.146166666666667</v>
      </c>
      <c r="K37">
        <f t="shared" si="4"/>
        <v>0</v>
      </c>
      <c r="L37">
        <f t="shared" si="6"/>
        <v>2.8999999999999998E-3</v>
      </c>
      <c r="M37">
        <v>0</v>
      </c>
      <c r="O37">
        <f t="shared" si="7"/>
        <v>0</v>
      </c>
      <c r="R37">
        <f t="shared" si="8"/>
        <v>-6.6549683333333475E-4</v>
      </c>
      <c r="S37">
        <f t="shared" si="9"/>
        <v>0</v>
      </c>
      <c r="W37" t="s">
        <v>29</v>
      </c>
      <c r="X37">
        <v>-0.25</v>
      </c>
    </row>
    <row r="38" spans="1:24" x14ac:dyDescent="0.2">
      <c r="A38" t="s">
        <v>101</v>
      </c>
      <c r="B38" s="6" t="s">
        <v>32</v>
      </c>
      <c r="C38">
        <f t="shared" si="0"/>
        <v>-0.02</v>
      </c>
      <c r="D38" t="s">
        <v>115</v>
      </c>
      <c r="E38" s="6" t="s">
        <v>118</v>
      </c>
      <c r="F38">
        <v>87.800000000000196</v>
      </c>
      <c r="G38">
        <f t="shared" si="5"/>
        <v>-1.756000000000004</v>
      </c>
      <c r="H38">
        <f t="shared" si="1"/>
        <v>18</v>
      </c>
      <c r="I38">
        <f t="shared" si="2"/>
        <v>-9.7555555555555784E-2</v>
      </c>
      <c r="J38">
        <f t="shared" si="3"/>
        <v>-9.7555555555555784E-2</v>
      </c>
      <c r="K38">
        <f t="shared" si="4"/>
        <v>0</v>
      </c>
      <c r="L38">
        <f t="shared" si="6"/>
        <v>2.8999999999999998E-3</v>
      </c>
      <c r="M38">
        <v>0</v>
      </c>
      <c r="O38">
        <f t="shared" si="7"/>
        <v>0</v>
      </c>
      <c r="R38">
        <f t="shared" si="8"/>
        <v>-4.4417044444444546E-4</v>
      </c>
      <c r="S38">
        <f t="shared" si="9"/>
        <v>0</v>
      </c>
      <c r="W38" t="s">
        <v>30</v>
      </c>
      <c r="X38">
        <v>-0.17</v>
      </c>
    </row>
    <row r="39" spans="1:24" x14ac:dyDescent="0.2">
      <c r="A39" t="s">
        <v>101</v>
      </c>
      <c r="B39" s="6" t="s">
        <v>33</v>
      </c>
      <c r="C39">
        <f t="shared" si="0"/>
        <v>-0.43</v>
      </c>
      <c r="D39" t="s">
        <v>115</v>
      </c>
      <c r="E39" s="6" t="s">
        <v>118</v>
      </c>
      <c r="F39">
        <v>87.900000000000205</v>
      </c>
      <c r="G39">
        <f t="shared" si="5"/>
        <v>-37.797000000000089</v>
      </c>
      <c r="H39">
        <f t="shared" si="1"/>
        <v>18</v>
      </c>
      <c r="I39">
        <f t="shared" si="2"/>
        <v>-2.0998333333333381</v>
      </c>
      <c r="J39">
        <f t="shared" si="3"/>
        <v>-2.0998333333333381</v>
      </c>
      <c r="K39">
        <f t="shared" si="4"/>
        <v>0</v>
      </c>
      <c r="L39">
        <f t="shared" si="6"/>
        <v>2.8999999999999998E-3</v>
      </c>
      <c r="M39">
        <v>0</v>
      </c>
      <c r="O39">
        <f t="shared" si="7"/>
        <v>0</v>
      </c>
      <c r="R39">
        <f t="shared" si="8"/>
        <v>-9.5605411666666879E-3</v>
      </c>
      <c r="S39">
        <f t="shared" si="9"/>
        <v>0</v>
      </c>
      <c r="W39" t="s">
        <v>31</v>
      </c>
      <c r="X39">
        <v>-0.03</v>
      </c>
    </row>
    <row r="40" spans="1:24" x14ac:dyDescent="0.2">
      <c r="A40" t="s">
        <v>101</v>
      </c>
      <c r="B40" s="6" t="s">
        <v>34</v>
      </c>
      <c r="C40">
        <f t="shared" si="0"/>
        <v>-0.14000000000000001</v>
      </c>
      <c r="D40" t="s">
        <v>115</v>
      </c>
      <c r="E40" s="6" t="s">
        <v>118</v>
      </c>
      <c r="F40">
        <v>88.000000000000199</v>
      </c>
      <c r="G40">
        <f t="shared" si="5"/>
        <v>-12.320000000000029</v>
      </c>
      <c r="H40">
        <f t="shared" si="1"/>
        <v>18</v>
      </c>
      <c r="I40">
        <f t="shared" si="2"/>
        <v>-0.68444444444444608</v>
      </c>
      <c r="J40">
        <f t="shared" si="3"/>
        <v>-0.68444444444444608</v>
      </c>
      <c r="K40">
        <f t="shared" si="4"/>
        <v>0</v>
      </c>
      <c r="L40">
        <f t="shared" si="6"/>
        <v>2.8999999999999998E-3</v>
      </c>
      <c r="M40">
        <v>0</v>
      </c>
      <c r="O40">
        <f t="shared" si="7"/>
        <v>0</v>
      </c>
      <c r="R40">
        <f t="shared" si="8"/>
        <v>-3.1162755555555633E-3</v>
      </c>
      <c r="S40">
        <f t="shared" si="9"/>
        <v>0</v>
      </c>
      <c r="W40" t="s">
        <v>124</v>
      </c>
      <c r="X40">
        <v>-0.06</v>
      </c>
    </row>
    <row r="41" spans="1:24" x14ac:dyDescent="0.2">
      <c r="A41" t="s">
        <v>101</v>
      </c>
      <c r="B41" s="6" t="s">
        <v>35</v>
      </c>
      <c r="C41">
        <f t="shared" si="0"/>
        <v>-0.03</v>
      </c>
      <c r="D41" t="s">
        <v>115</v>
      </c>
      <c r="E41" s="6" t="s">
        <v>118</v>
      </c>
      <c r="F41">
        <v>88.100000000000307</v>
      </c>
      <c r="G41">
        <f t="shared" si="5"/>
        <v>-2.6430000000000091</v>
      </c>
      <c r="H41">
        <f t="shared" si="1"/>
        <v>18</v>
      </c>
      <c r="I41">
        <f t="shared" si="2"/>
        <v>-0.14683333333333384</v>
      </c>
      <c r="J41">
        <f t="shared" si="3"/>
        <v>-0.14683333333333384</v>
      </c>
      <c r="K41">
        <f t="shared" si="4"/>
        <v>0</v>
      </c>
      <c r="L41">
        <f t="shared" si="6"/>
        <v>2.8999999999999998E-3</v>
      </c>
      <c r="M41">
        <v>0</v>
      </c>
      <c r="O41">
        <f t="shared" si="7"/>
        <v>0</v>
      </c>
      <c r="R41">
        <f t="shared" si="8"/>
        <v>-6.6853216666666897E-4</v>
      </c>
      <c r="S41">
        <f t="shared" si="9"/>
        <v>0</v>
      </c>
      <c r="W41" t="s">
        <v>32</v>
      </c>
      <c r="X41">
        <v>-0.02</v>
      </c>
    </row>
    <row r="42" spans="1:24" x14ac:dyDescent="0.2">
      <c r="A42" t="s">
        <v>101</v>
      </c>
      <c r="B42" s="6" t="s">
        <v>36</v>
      </c>
      <c r="C42">
        <f t="shared" si="0"/>
        <v>-0.12</v>
      </c>
      <c r="D42" t="s">
        <v>115</v>
      </c>
      <c r="E42" s="6" t="s">
        <v>118</v>
      </c>
      <c r="F42">
        <v>88.200000000000301</v>
      </c>
      <c r="G42">
        <f t="shared" si="5"/>
        <v>-10.584000000000035</v>
      </c>
      <c r="H42">
        <f t="shared" si="1"/>
        <v>18</v>
      </c>
      <c r="I42">
        <f t="shared" si="2"/>
        <v>-0.58800000000000197</v>
      </c>
      <c r="J42">
        <f t="shared" si="3"/>
        <v>-0.58800000000000197</v>
      </c>
      <c r="K42">
        <f t="shared" si="4"/>
        <v>0</v>
      </c>
      <c r="L42">
        <f t="shared" si="6"/>
        <v>2.8999999999999998E-3</v>
      </c>
      <c r="M42">
        <v>0</v>
      </c>
      <c r="O42">
        <f t="shared" si="7"/>
        <v>0</v>
      </c>
      <c r="R42">
        <f t="shared" si="8"/>
        <v>-2.6771640000000092E-3</v>
      </c>
      <c r="S42">
        <f t="shared" si="9"/>
        <v>0</v>
      </c>
      <c r="W42" t="s">
        <v>33</v>
      </c>
      <c r="X42">
        <v>-0.43</v>
      </c>
    </row>
    <row r="43" spans="1:24" x14ac:dyDescent="0.2">
      <c r="A43" t="s">
        <v>101</v>
      </c>
      <c r="B43" s="6" t="s">
        <v>37</v>
      </c>
      <c r="C43">
        <f t="shared" ref="C43:C74" si="10">VLOOKUP(B43, $W$13:$X$96, 2, FALSE)</f>
        <v>-0.13</v>
      </c>
      <c r="D43" t="s">
        <v>115</v>
      </c>
      <c r="E43" s="6" t="s">
        <v>118</v>
      </c>
      <c r="F43">
        <v>88.300000000000296</v>
      </c>
      <c r="G43">
        <f t="shared" si="5"/>
        <v>-11.479000000000038</v>
      </c>
      <c r="H43">
        <f t="shared" ref="H43:H74" si="11">$V$6</f>
        <v>18</v>
      </c>
      <c r="I43">
        <f t="shared" ref="I43:I74" si="12">G43/H43</f>
        <v>-0.6377222222222243</v>
      </c>
      <c r="J43">
        <f t="shared" ref="J43:J74" si="13">IF(A43="crop",I43, 0)</f>
        <v>-0.6377222222222243</v>
      </c>
      <c r="K43">
        <f t="shared" ref="K43:K74" si="14">IF(A43="crop", 0, I43)</f>
        <v>0</v>
      </c>
      <c r="L43">
        <f t="shared" si="6"/>
        <v>2.8999999999999998E-3</v>
      </c>
      <c r="M43">
        <v>0</v>
      </c>
      <c r="O43">
        <f t="shared" si="7"/>
        <v>0</v>
      </c>
      <c r="R43">
        <f t="shared" si="8"/>
        <v>-2.9035492777777869E-3</v>
      </c>
      <c r="S43">
        <f t="shared" si="9"/>
        <v>0</v>
      </c>
      <c r="W43" t="s">
        <v>34</v>
      </c>
      <c r="X43">
        <v>-0.14000000000000001</v>
      </c>
    </row>
    <row r="44" spans="1:24" x14ac:dyDescent="0.2">
      <c r="A44" t="s">
        <v>101</v>
      </c>
      <c r="B44" s="6" t="s">
        <v>38</v>
      </c>
      <c r="C44">
        <f t="shared" si="10"/>
        <v>-0.16</v>
      </c>
      <c r="D44" t="s">
        <v>115</v>
      </c>
      <c r="E44" s="6" t="s">
        <v>118</v>
      </c>
      <c r="F44">
        <v>88.400000000000304</v>
      </c>
      <c r="G44">
        <f t="shared" si="5"/>
        <v>-14.144000000000048</v>
      </c>
      <c r="H44">
        <f t="shared" si="11"/>
        <v>18</v>
      </c>
      <c r="I44">
        <f t="shared" si="12"/>
        <v>-0.78577777777778046</v>
      </c>
      <c r="J44">
        <f t="shared" si="13"/>
        <v>-0.78577777777778046</v>
      </c>
      <c r="K44">
        <f t="shared" si="14"/>
        <v>0</v>
      </c>
      <c r="L44">
        <f t="shared" si="6"/>
        <v>2.8999999999999998E-3</v>
      </c>
      <c r="M44">
        <v>0</v>
      </c>
      <c r="O44">
        <f t="shared" si="7"/>
        <v>0</v>
      </c>
      <c r="R44">
        <f t="shared" si="8"/>
        <v>-3.5776462222222344E-3</v>
      </c>
      <c r="S44">
        <f t="shared" si="9"/>
        <v>0</v>
      </c>
      <c r="W44" t="s">
        <v>35</v>
      </c>
      <c r="X44">
        <v>-0.03</v>
      </c>
    </row>
    <row r="45" spans="1:24" x14ac:dyDescent="0.2">
      <c r="A45" t="s">
        <v>101</v>
      </c>
      <c r="B45" s="6" t="s">
        <v>39</v>
      </c>
      <c r="C45">
        <f t="shared" si="10"/>
        <v>-0.09</v>
      </c>
      <c r="D45" t="s">
        <v>115</v>
      </c>
      <c r="E45" s="6" t="s">
        <v>118</v>
      </c>
      <c r="F45">
        <v>88.500000000000298</v>
      </c>
      <c r="G45">
        <f t="shared" si="5"/>
        <v>-7.9650000000000265</v>
      </c>
      <c r="H45">
        <f t="shared" si="11"/>
        <v>18</v>
      </c>
      <c r="I45">
        <f t="shared" si="12"/>
        <v>-0.44250000000000145</v>
      </c>
      <c r="J45">
        <f t="shared" si="13"/>
        <v>-0.44250000000000145</v>
      </c>
      <c r="K45">
        <f t="shared" si="14"/>
        <v>0</v>
      </c>
      <c r="L45">
        <f t="shared" si="6"/>
        <v>2.8999999999999998E-3</v>
      </c>
      <c r="M45">
        <v>0</v>
      </c>
      <c r="O45">
        <f t="shared" si="7"/>
        <v>0</v>
      </c>
      <c r="R45">
        <f t="shared" si="8"/>
        <v>-2.0147025000000064E-3</v>
      </c>
      <c r="S45">
        <f t="shared" si="9"/>
        <v>0</v>
      </c>
      <c r="W45" t="s">
        <v>36</v>
      </c>
      <c r="X45">
        <v>-0.12</v>
      </c>
    </row>
    <row r="46" spans="1:24" x14ac:dyDescent="0.2">
      <c r="A46" t="s">
        <v>101</v>
      </c>
      <c r="B46" s="6" t="s">
        <v>40</v>
      </c>
      <c r="C46">
        <f t="shared" si="10"/>
        <v>-0.09</v>
      </c>
      <c r="D46" t="s">
        <v>115</v>
      </c>
      <c r="E46" s="6" t="s">
        <v>118</v>
      </c>
      <c r="F46">
        <v>88.600000000000307</v>
      </c>
      <c r="G46">
        <f t="shared" si="5"/>
        <v>-7.9740000000000277</v>
      </c>
      <c r="H46">
        <f t="shared" si="11"/>
        <v>18</v>
      </c>
      <c r="I46">
        <f t="shared" si="12"/>
        <v>-0.44300000000000156</v>
      </c>
      <c r="J46">
        <f t="shared" si="13"/>
        <v>-0.44300000000000156</v>
      </c>
      <c r="K46">
        <f t="shared" si="14"/>
        <v>0</v>
      </c>
      <c r="L46">
        <f t="shared" si="6"/>
        <v>2.8999999999999998E-3</v>
      </c>
      <c r="M46">
        <v>0</v>
      </c>
      <c r="O46">
        <f t="shared" si="7"/>
        <v>0</v>
      </c>
      <c r="R46">
        <f t="shared" si="8"/>
        <v>-2.0169790000000073E-3</v>
      </c>
      <c r="S46">
        <f t="shared" si="9"/>
        <v>0</v>
      </c>
      <c r="W46" t="s">
        <v>37</v>
      </c>
      <c r="X46">
        <v>-0.13</v>
      </c>
    </row>
    <row r="47" spans="1:24" x14ac:dyDescent="0.2">
      <c r="A47" t="s">
        <v>101</v>
      </c>
      <c r="B47" s="6" t="s">
        <v>41</v>
      </c>
      <c r="C47">
        <f t="shared" si="10"/>
        <v>-0.04</v>
      </c>
      <c r="D47" t="s">
        <v>115</v>
      </c>
      <c r="E47" s="6" t="s">
        <v>118</v>
      </c>
      <c r="F47">
        <v>88.700000000000301</v>
      </c>
      <c r="G47">
        <f t="shared" si="5"/>
        <v>-3.548000000000012</v>
      </c>
      <c r="H47">
        <f t="shared" si="11"/>
        <v>18</v>
      </c>
      <c r="I47">
        <f t="shared" si="12"/>
        <v>-0.19711111111111179</v>
      </c>
      <c r="J47">
        <f t="shared" si="13"/>
        <v>-0.19711111111111179</v>
      </c>
      <c r="K47">
        <f t="shared" si="14"/>
        <v>0</v>
      </c>
      <c r="L47">
        <f t="shared" si="6"/>
        <v>2.8999999999999998E-3</v>
      </c>
      <c r="M47">
        <v>0</v>
      </c>
      <c r="O47">
        <f t="shared" si="7"/>
        <v>0</v>
      </c>
      <c r="R47">
        <f t="shared" si="8"/>
        <v>-8.9744688888889195E-4</v>
      </c>
      <c r="S47">
        <f t="shared" si="9"/>
        <v>0</v>
      </c>
      <c r="W47" t="s">
        <v>38</v>
      </c>
      <c r="X47">
        <v>-0.16</v>
      </c>
    </row>
    <row r="48" spans="1:24" x14ac:dyDescent="0.2">
      <c r="A48" t="s">
        <v>101</v>
      </c>
      <c r="B48" s="6" t="s">
        <v>42</v>
      </c>
      <c r="C48">
        <f t="shared" si="10"/>
        <v>-0.03</v>
      </c>
      <c r="D48" t="s">
        <v>115</v>
      </c>
      <c r="E48" s="6" t="s">
        <v>118</v>
      </c>
      <c r="F48">
        <v>88.800000000000296</v>
      </c>
      <c r="G48">
        <f t="shared" si="5"/>
        <v>-2.6640000000000086</v>
      </c>
      <c r="H48">
        <f t="shared" si="11"/>
        <v>18</v>
      </c>
      <c r="I48">
        <f t="shared" si="12"/>
        <v>-0.14800000000000046</v>
      </c>
      <c r="J48">
        <f t="shared" si="13"/>
        <v>-0.14800000000000046</v>
      </c>
      <c r="K48">
        <f t="shared" si="14"/>
        <v>0</v>
      </c>
      <c r="L48">
        <f t="shared" si="6"/>
        <v>2.8999999999999998E-3</v>
      </c>
      <c r="M48">
        <v>0</v>
      </c>
      <c r="O48">
        <f t="shared" si="7"/>
        <v>0</v>
      </c>
      <c r="R48">
        <f t="shared" si="8"/>
        <v>-6.7384400000000211E-4</v>
      </c>
      <c r="S48">
        <f t="shared" si="9"/>
        <v>0</v>
      </c>
      <c r="W48" t="s">
        <v>39</v>
      </c>
      <c r="X48">
        <v>-0.09</v>
      </c>
    </row>
    <row r="49" spans="1:24" x14ac:dyDescent="0.2">
      <c r="A49" t="s">
        <v>101</v>
      </c>
      <c r="B49" s="6" t="s">
        <v>43</v>
      </c>
      <c r="C49">
        <f t="shared" si="10"/>
        <v>-0.14000000000000001</v>
      </c>
      <c r="D49" t="s">
        <v>115</v>
      </c>
      <c r="E49" s="6" t="s">
        <v>118</v>
      </c>
      <c r="F49">
        <v>88.900000000000304</v>
      </c>
      <c r="G49">
        <f t="shared" si="5"/>
        <v>-12.446000000000044</v>
      </c>
      <c r="H49">
        <f t="shared" si="11"/>
        <v>18</v>
      </c>
      <c r="I49">
        <f t="shared" si="12"/>
        <v>-0.69144444444444686</v>
      </c>
      <c r="J49">
        <f t="shared" si="13"/>
        <v>-0.69144444444444686</v>
      </c>
      <c r="K49">
        <f t="shared" si="14"/>
        <v>0</v>
      </c>
      <c r="L49">
        <f t="shared" si="6"/>
        <v>2.8999999999999998E-3</v>
      </c>
      <c r="M49">
        <v>0</v>
      </c>
      <c r="O49">
        <f t="shared" si="7"/>
        <v>0</v>
      </c>
      <c r="R49">
        <f t="shared" si="8"/>
        <v>-3.1481465555555665E-3</v>
      </c>
      <c r="S49">
        <f t="shared" si="9"/>
        <v>0</v>
      </c>
      <c r="W49" t="s">
        <v>40</v>
      </c>
      <c r="X49">
        <v>-0.09</v>
      </c>
    </row>
    <row r="50" spans="1:24" x14ac:dyDescent="0.2">
      <c r="A50" t="s">
        <v>101</v>
      </c>
      <c r="B50" s="6" t="s">
        <v>44</v>
      </c>
      <c r="C50">
        <f t="shared" si="10"/>
        <v>-0.31</v>
      </c>
      <c r="D50" t="s">
        <v>115</v>
      </c>
      <c r="E50" s="6" t="s">
        <v>118</v>
      </c>
      <c r="F50">
        <v>89.000000000000298</v>
      </c>
      <c r="G50">
        <f t="shared" si="5"/>
        <v>-27.590000000000092</v>
      </c>
      <c r="H50">
        <f t="shared" si="11"/>
        <v>18</v>
      </c>
      <c r="I50">
        <f t="shared" si="12"/>
        <v>-1.5327777777777829</v>
      </c>
      <c r="J50">
        <f t="shared" si="13"/>
        <v>-1.5327777777777829</v>
      </c>
      <c r="K50">
        <f t="shared" si="14"/>
        <v>0</v>
      </c>
      <c r="L50">
        <f t="shared" si="6"/>
        <v>2.8999999999999998E-3</v>
      </c>
      <c r="M50">
        <v>0</v>
      </c>
      <c r="O50">
        <f t="shared" si="7"/>
        <v>0</v>
      </c>
      <c r="R50">
        <f t="shared" si="8"/>
        <v>-6.9787372222222454E-3</v>
      </c>
      <c r="S50">
        <f t="shared" si="9"/>
        <v>0</v>
      </c>
      <c r="W50" t="s">
        <v>41</v>
      </c>
      <c r="X50">
        <v>-0.04</v>
      </c>
    </row>
    <row r="51" spans="1:24" x14ac:dyDescent="0.2">
      <c r="A51" t="s">
        <v>101</v>
      </c>
      <c r="B51" s="6" t="s">
        <v>45</v>
      </c>
      <c r="C51">
        <f t="shared" si="10"/>
        <v>-0.23</v>
      </c>
      <c r="D51" t="s">
        <v>115</v>
      </c>
      <c r="E51" s="6" t="s">
        <v>118</v>
      </c>
      <c r="F51">
        <v>89.100000000000307</v>
      </c>
      <c r="G51">
        <f t="shared" si="5"/>
        <v>-20.493000000000073</v>
      </c>
      <c r="H51">
        <f t="shared" si="11"/>
        <v>18</v>
      </c>
      <c r="I51">
        <f t="shared" si="12"/>
        <v>-1.1385000000000041</v>
      </c>
      <c r="J51">
        <f t="shared" si="13"/>
        <v>-1.1385000000000041</v>
      </c>
      <c r="K51">
        <f t="shared" si="14"/>
        <v>0</v>
      </c>
      <c r="L51">
        <f t="shared" si="6"/>
        <v>2.8999999999999998E-3</v>
      </c>
      <c r="M51">
        <v>0</v>
      </c>
      <c r="O51">
        <f t="shared" si="7"/>
        <v>0</v>
      </c>
      <c r="R51">
        <f t="shared" si="8"/>
        <v>-5.183590500000018E-3</v>
      </c>
      <c r="S51">
        <f t="shared" si="9"/>
        <v>0</v>
      </c>
      <c r="W51" t="s">
        <v>42</v>
      </c>
      <c r="X51">
        <v>-0.03</v>
      </c>
    </row>
    <row r="52" spans="1:24" x14ac:dyDescent="0.2">
      <c r="A52" t="s">
        <v>101</v>
      </c>
      <c r="B52" s="6" t="s">
        <v>46</v>
      </c>
      <c r="C52">
        <f t="shared" si="10"/>
        <v>-0.17</v>
      </c>
      <c r="D52" t="s">
        <v>115</v>
      </c>
      <c r="E52" s="6" t="s">
        <v>118</v>
      </c>
      <c r="F52">
        <v>89.200000000000301</v>
      </c>
      <c r="G52">
        <f t="shared" si="5"/>
        <v>-15.164000000000053</v>
      </c>
      <c r="H52">
        <f t="shared" si="11"/>
        <v>18</v>
      </c>
      <c r="I52">
        <f t="shared" si="12"/>
        <v>-0.84244444444444744</v>
      </c>
      <c r="J52">
        <f t="shared" si="13"/>
        <v>-0.84244444444444744</v>
      </c>
      <c r="K52">
        <f t="shared" si="14"/>
        <v>0</v>
      </c>
      <c r="L52">
        <f t="shared" si="6"/>
        <v>2.8999999999999998E-3</v>
      </c>
      <c r="M52">
        <v>0</v>
      </c>
      <c r="O52">
        <f t="shared" si="7"/>
        <v>0</v>
      </c>
      <c r="R52">
        <f t="shared" si="8"/>
        <v>-3.835649555555569E-3</v>
      </c>
      <c r="S52">
        <f t="shared" si="9"/>
        <v>0</v>
      </c>
      <c r="W52" t="s">
        <v>43</v>
      </c>
      <c r="X52">
        <v>-0.14000000000000001</v>
      </c>
    </row>
    <row r="53" spans="1:24" x14ac:dyDescent="0.2">
      <c r="A53" t="s">
        <v>101</v>
      </c>
      <c r="B53" s="6" t="s">
        <v>47</v>
      </c>
      <c r="C53">
        <f t="shared" si="10"/>
        <v>-0.11</v>
      </c>
      <c r="D53" t="s">
        <v>115</v>
      </c>
      <c r="E53" s="6" t="s">
        <v>118</v>
      </c>
      <c r="F53">
        <v>89.300000000000395</v>
      </c>
      <c r="G53">
        <f t="shared" si="5"/>
        <v>-9.823000000000043</v>
      </c>
      <c r="H53">
        <f t="shared" si="11"/>
        <v>18</v>
      </c>
      <c r="I53">
        <f t="shared" si="12"/>
        <v>-0.54572222222222466</v>
      </c>
      <c r="J53">
        <f t="shared" si="13"/>
        <v>-0.54572222222222466</v>
      </c>
      <c r="K53">
        <f t="shared" si="14"/>
        <v>0</v>
      </c>
      <c r="L53">
        <f t="shared" si="6"/>
        <v>2.8999999999999998E-3</v>
      </c>
      <c r="M53">
        <v>0</v>
      </c>
      <c r="O53">
        <f t="shared" si="7"/>
        <v>0</v>
      </c>
      <c r="R53">
        <f t="shared" si="8"/>
        <v>-2.4846732777777888E-3</v>
      </c>
      <c r="S53">
        <f t="shared" si="9"/>
        <v>0</v>
      </c>
      <c r="W53" t="s">
        <v>44</v>
      </c>
      <c r="X53">
        <v>-0.31</v>
      </c>
    </row>
    <row r="54" spans="1:24" x14ac:dyDescent="0.2">
      <c r="A54" t="s">
        <v>101</v>
      </c>
      <c r="B54" s="6" t="s">
        <v>48</v>
      </c>
      <c r="C54">
        <f t="shared" si="10"/>
        <v>-0.06</v>
      </c>
      <c r="D54" t="s">
        <v>115</v>
      </c>
      <c r="E54" s="6" t="s">
        <v>118</v>
      </c>
      <c r="F54">
        <v>89.400000000000404</v>
      </c>
      <c r="G54">
        <f t="shared" si="5"/>
        <v>-5.3640000000000239</v>
      </c>
      <c r="H54">
        <f t="shared" si="11"/>
        <v>18</v>
      </c>
      <c r="I54">
        <f t="shared" si="12"/>
        <v>-0.29800000000000132</v>
      </c>
      <c r="J54">
        <f t="shared" si="13"/>
        <v>-0.29800000000000132</v>
      </c>
      <c r="K54">
        <f t="shared" si="14"/>
        <v>0</v>
      </c>
      <c r="L54">
        <f t="shared" si="6"/>
        <v>2.8999999999999998E-3</v>
      </c>
      <c r="M54">
        <v>0</v>
      </c>
      <c r="O54">
        <f t="shared" si="7"/>
        <v>0</v>
      </c>
      <c r="R54">
        <f t="shared" si="8"/>
        <v>-1.356794000000006E-3</v>
      </c>
      <c r="S54">
        <f t="shared" si="9"/>
        <v>0</v>
      </c>
      <c r="W54" t="s">
        <v>45</v>
      </c>
      <c r="X54">
        <v>-0.23</v>
      </c>
    </row>
    <row r="55" spans="1:24" x14ac:dyDescent="0.2">
      <c r="A55" t="s">
        <v>101</v>
      </c>
      <c r="B55" s="6" t="s">
        <v>49</v>
      </c>
      <c r="C55">
        <f t="shared" si="10"/>
        <v>-0.11</v>
      </c>
      <c r="D55" t="s">
        <v>113</v>
      </c>
      <c r="E55" s="6" t="s">
        <v>118</v>
      </c>
      <c r="F55">
        <v>89.500000000000398</v>
      </c>
      <c r="G55">
        <f t="shared" si="5"/>
        <v>-9.8450000000000433</v>
      </c>
      <c r="H55">
        <f t="shared" si="11"/>
        <v>18</v>
      </c>
      <c r="I55">
        <f t="shared" si="12"/>
        <v>-0.5469444444444469</v>
      </c>
      <c r="J55">
        <f t="shared" si="13"/>
        <v>-0.5469444444444469</v>
      </c>
      <c r="K55">
        <f t="shared" si="14"/>
        <v>0</v>
      </c>
      <c r="L55">
        <f t="shared" si="6"/>
        <v>2.8999999999999998E-3</v>
      </c>
      <c r="M55">
        <v>0</v>
      </c>
      <c r="O55">
        <f t="shared" si="7"/>
        <v>1</v>
      </c>
      <c r="R55">
        <f t="shared" si="8"/>
        <v>-2.4902380555555667E-3</v>
      </c>
      <c r="S55">
        <f t="shared" si="9"/>
        <v>-2.2669753333333436E-3</v>
      </c>
      <c r="W55" t="s">
        <v>46</v>
      </c>
      <c r="X55">
        <v>-0.17</v>
      </c>
    </row>
    <row r="56" spans="1:24" x14ac:dyDescent="0.2">
      <c r="A56" t="s">
        <v>101</v>
      </c>
      <c r="B56" s="6" t="s">
        <v>50</v>
      </c>
      <c r="C56">
        <f t="shared" si="10"/>
        <v>-0.08</v>
      </c>
      <c r="D56" t="s">
        <v>113</v>
      </c>
      <c r="E56" s="6" t="s">
        <v>118</v>
      </c>
      <c r="F56">
        <v>89.600000000000406</v>
      </c>
      <c r="G56">
        <f t="shared" si="5"/>
        <v>-7.168000000000033</v>
      </c>
      <c r="H56">
        <f t="shared" si="11"/>
        <v>18</v>
      </c>
      <c r="I56">
        <f t="shared" si="12"/>
        <v>-0.39822222222222403</v>
      </c>
      <c r="J56">
        <f t="shared" si="13"/>
        <v>-0.39822222222222403</v>
      </c>
      <c r="K56">
        <f t="shared" si="14"/>
        <v>0</v>
      </c>
      <c r="L56">
        <f t="shared" si="6"/>
        <v>2.8999999999999998E-3</v>
      </c>
      <c r="M56">
        <v>0</v>
      </c>
      <c r="O56">
        <f t="shared" si="7"/>
        <v>1</v>
      </c>
      <c r="R56">
        <f t="shared" si="8"/>
        <v>-1.8131057777777862E-3</v>
      </c>
      <c r="S56">
        <f t="shared" si="9"/>
        <v>-1.6505514666666739E-3</v>
      </c>
      <c r="W56" t="s">
        <v>47</v>
      </c>
      <c r="X56">
        <v>-0.11</v>
      </c>
    </row>
    <row r="57" spans="1:24" x14ac:dyDescent="0.2">
      <c r="A57" t="s">
        <v>101</v>
      </c>
      <c r="B57" s="6" t="s">
        <v>51</v>
      </c>
      <c r="C57">
        <f t="shared" si="10"/>
        <v>-0.02</v>
      </c>
      <c r="D57" t="s">
        <v>113</v>
      </c>
      <c r="E57" s="6" t="s">
        <v>118</v>
      </c>
      <c r="F57">
        <v>89.700000000000401</v>
      </c>
      <c r="G57">
        <f t="shared" si="5"/>
        <v>-1.794000000000008</v>
      </c>
      <c r="H57">
        <f t="shared" si="11"/>
        <v>18</v>
      </c>
      <c r="I57">
        <f t="shared" si="12"/>
        <v>-9.9666666666667111E-2</v>
      </c>
      <c r="J57">
        <f t="shared" si="13"/>
        <v>-9.9666666666667111E-2</v>
      </c>
      <c r="K57">
        <f t="shared" si="14"/>
        <v>0</v>
      </c>
      <c r="L57">
        <f t="shared" si="6"/>
        <v>2.8999999999999998E-3</v>
      </c>
      <c r="M57">
        <v>0</v>
      </c>
      <c r="O57">
        <f t="shared" si="7"/>
        <v>1</v>
      </c>
      <c r="R57">
        <f t="shared" si="8"/>
        <v>-4.5378233333333529E-4</v>
      </c>
      <c r="S57">
        <f t="shared" si="9"/>
        <v>-4.130984000000018E-4</v>
      </c>
      <c r="W57" t="s">
        <v>48</v>
      </c>
      <c r="X57">
        <v>-0.06</v>
      </c>
    </row>
    <row r="58" spans="1:24" x14ac:dyDescent="0.2">
      <c r="A58" t="s">
        <v>101</v>
      </c>
      <c r="B58" s="6" t="s">
        <v>52</v>
      </c>
      <c r="C58">
        <f t="shared" si="10"/>
        <v>-0.08</v>
      </c>
      <c r="D58" t="s">
        <v>113</v>
      </c>
      <c r="E58" s="6" t="s">
        <v>118</v>
      </c>
      <c r="F58">
        <v>89.800000000000395</v>
      </c>
      <c r="G58">
        <f t="shared" si="5"/>
        <v>-7.1840000000000321</v>
      </c>
      <c r="H58">
        <f t="shared" si="11"/>
        <v>18</v>
      </c>
      <c r="I58">
        <f t="shared" si="12"/>
        <v>-0.39911111111111292</v>
      </c>
      <c r="J58">
        <f t="shared" si="13"/>
        <v>-0.39911111111111292</v>
      </c>
      <c r="K58">
        <f t="shared" si="14"/>
        <v>0</v>
      </c>
      <c r="L58">
        <f t="shared" si="6"/>
        <v>2.8999999999999998E-3</v>
      </c>
      <c r="M58">
        <v>0</v>
      </c>
      <c r="O58">
        <f t="shared" si="7"/>
        <v>1</v>
      </c>
      <c r="R58">
        <f t="shared" si="8"/>
        <v>-1.817152888888897E-3</v>
      </c>
      <c r="S58">
        <f t="shared" si="9"/>
        <v>-1.6542357333333407E-3</v>
      </c>
      <c r="W58" t="s">
        <v>49</v>
      </c>
      <c r="X58">
        <v>-0.11</v>
      </c>
    </row>
    <row r="59" spans="1:24" x14ac:dyDescent="0.2">
      <c r="A59" t="s">
        <v>101</v>
      </c>
      <c r="B59" s="6" t="s">
        <v>53</v>
      </c>
      <c r="C59">
        <f t="shared" si="10"/>
        <v>-0.06</v>
      </c>
      <c r="D59" t="s">
        <v>113</v>
      </c>
      <c r="E59" s="6" t="s">
        <v>118</v>
      </c>
      <c r="F59">
        <v>89.900000000000404</v>
      </c>
      <c r="G59">
        <f t="shared" si="5"/>
        <v>-5.3940000000000241</v>
      </c>
      <c r="H59">
        <f t="shared" si="11"/>
        <v>18</v>
      </c>
      <c r="I59">
        <f t="shared" si="12"/>
        <v>-0.29966666666666802</v>
      </c>
      <c r="J59">
        <f t="shared" si="13"/>
        <v>-0.29966666666666802</v>
      </c>
      <c r="K59">
        <f t="shared" si="14"/>
        <v>0</v>
      </c>
      <c r="L59">
        <f t="shared" si="6"/>
        <v>2.8999999999999998E-3</v>
      </c>
      <c r="M59">
        <v>0</v>
      </c>
      <c r="O59">
        <f t="shared" si="7"/>
        <v>1</v>
      </c>
      <c r="R59">
        <f t="shared" si="8"/>
        <v>-1.3643823333333396E-3</v>
      </c>
      <c r="S59">
        <f t="shared" si="9"/>
        <v>-1.2420584000000054E-3</v>
      </c>
      <c r="W59" t="s">
        <v>50</v>
      </c>
      <c r="X59">
        <v>-0.08</v>
      </c>
    </row>
    <row r="60" spans="1:24" x14ac:dyDescent="0.2">
      <c r="A60" t="s">
        <v>101</v>
      </c>
      <c r="B60" s="6" t="s">
        <v>54</v>
      </c>
      <c r="C60">
        <f t="shared" si="10"/>
        <v>-0.12</v>
      </c>
      <c r="D60" t="s">
        <v>113</v>
      </c>
      <c r="E60" s="6" t="s">
        <v>118</v>
      </c>
      <c r="F60">
        <v>90.000000000000398</v>
      </c>
      <c r="G60">
        <f t="shared" si="5"/>
        <v>-10.800000000000047</v>
      </c>
      <c r="H60">
        <f t="shared" si="11"/>
        <v>18</v>
      </c>
      <c r="I60">
        <f t="shared" si="12"/>
        <v>-0.60000000000000264</v>
      </c>
      <c r="J60">
        <f t="shared" si="13"/>
        <v>-0.60000000000000264</v>
      </c>
      <c r="K60">
        <f t="shared" si="14"/>
        <v>0</v>
      </c>
      <c r="L60">
        <f t="shared" si="6"/>
        <v>2.8999999999999998E-3</v>
      </c>
      <c r="M60">
        <v>0</v>
      </c>
      <c r="O60">
        <f t="shared" si="7"/>
        <v>1</v>
      </c>
      <c r="R60">
        <f t="shared" si="8"/>
        <v>-2.7318000000000121E-3</v>
      </c>
      <c r="S60">
        <f t="shared" si="9"/>
        <v>-2.4868800000000107E-3</v>
      </c>
      <c r="W60" t="s">
        <v>51</v>
      </c>
      <c r="X60">
        <v>-0.02</v>
      </c>
    </row>
    <row r="61" spans="1:24" x14ac:dyDescent="0.2">
      <c r="A61" t="s">
        <v>101</v>
      </c>
      <c r="B61" s="6" t="s">
        <v>55</v>
      </c>
      <c r="C61">
        <f t="shared" si="10"/>
        <v>-7.0000000000000007E-2</v>
      </c>
      <c r="D61" t="s">
        <v>113</v>
      </c>
      <c r="E61" s="6" t="s">
        <v>118</v>
      </c>
      <c r="F61">
        <v>90.100000000000406</v>
      </c>
      <c r="G61">
        <f t="shared" si="5"/>
        <v>-6.3070000000000288</v>
      </c>
      <c r="H61">
        <f t="shared" si="11"/>
        <v>18</v>
      </c>
      <c r="I61">
        <f t="shared" si="12"/>
        <v>-0.35038888888889047</v>
      </c>
      <c r="J61">
        <f t="shared" si="13"/>
        <v>-0.35038888888889047</v>
      </c>
      <c r="K61">
        <f t="shared" si="14"/>
        <v>0</v>
      </c>
      <c r="L61">
        <f t="shared" si="6"/>
        <v>2.8999999999999998E-3</v>
      </c>
      <c r="M61">
        <v>0</v>
      </c>
      <c r="O61">
        <f t="shared" si="7"/>
        <v>1</v>
      </c>
      <c r="R61">
        <f t="shared" si="8"/>
        <v>-1.5953206111111182E-3</v>
      </c>
      <c r="S61">
        <f t="shared" si="9"/>
        <v>-1.4522918666666732E-3</v>
      </c>
      <c r="W61" t="s">
        <v>52</v>
      </c>
      <c r="X61">
        <v>-0.08</v>
      </c>
    </row>
    <row r="62" spans="1:24" x14ac:dyDescent="0.2">
      <c r="A62" t="s">
        <v>101</v>
      </c>
      <c r="B62" s="6" t="s">
        <v>56</v>
      </c>
      <c r="C62">
        <f t="shared" si="10"/>
        <v>-0.13</v>
      </c>
      <c r="D62" t="s">
        <v>113</v>
      </c>
      <c r="E62" s="6" t="s">
        <v>118</v>
      </c>
      <c r="F62">
        <v>90.200000000000401</v>
      </c>
      <c r="G62">
        <f t="shared" si="5"/>
        <v>-11.726000000000052</v>
      </c>
      <c r="H62">
        <f t="shared" si="11"/>
        <v>18</v>
      </c>
      <c r="I62">
        <f t="shared" si="12"/>
        <v>-0.65144444444444738</v>
      </c>
      <c r="J62">
        <f t="shared" si="13"/>
        <v>-0.65144444444444738</v>
      </c>
      <c r="K62">
        <f t="shared" si="14"/>
        <v>0</v>
      </c>
      <c r="L62">
        <f t="shared" si="6"/>
        <v>2.8999999999999998E-3</v>
      </c>
      <c r="M62">
        <v>0</v>
      </c>
      <c r="O62">
        <f t="shared" si="7"/>
        <v>1</v>
      </c>
      <c r="R62">
        <f t="shared" si="8"/>
        <v>-2.9660265555555691E-3</v>
      </c>
      <c r="S62">
        <f t="shared" si="9"/>
        <v>-2.7001069333333454E-3</v>
      </c>
      <c r="W62" t="s">
        <v>53</v>
      </c>
      <c r="X62">
        <v>-0.06</v>
      </c>
    </row>
    <row r="63" spans="1:24" x14ac:dyDescent="0.2">
      <c r="A63" t="s">
        <v>101</v>
      </c>
      <c r="B63" s="6" t="s">
        <v>57</v>
      </c>
      <c r="C63">
        <f t="shared" si="10"/>
        <v>-0.15</v>
      </c>
      <c r="D63" t="s">
        <v>113</v>
      </c>
      <c r="E63" s="6" t="s">
        <v>118</v>
      </c>
      <c r="F63">
        <v>90.300000000000395</v>
      </c>
      <c r="G63">
        <f t="shared" si="5"/>
        <v>-13.545000000000059</v>
      </c>
      <c r="H63">
        <f t="shared" si="11"/>
        <v>18</v>
      </c>
      <c r="I63">
        <f t="shared" si="12"/>
        <v>-0.75250000000000328</v>
      </c>
      <c r="J63">
        <f t="shared" si="13"/>
        <v>-0.75250000000000328</v>
      </c>
      <c r="K63">
        <f t="shared" si="14"/>
        <v>0</v>
      </c>
      <c r="L63">
        <f t="shared" si="6"/>
        <v>2.8999999999999998E-3</v>
      </c>
      <c r="M63">
        <v>0</v>
      </c>
      <c r="O63">
        <f t="shared" si="7"/>
        <v>1</v>
      </c>
      <c r="R63">
        <f t="shared" si="8"/>
        <v>-3.4261325000000146E-3</v>
      </c>
      <c r="S63">
        <f t="shared" si="9"/>
        <v>-3.1189620000000133E-3</v>
      </c>
      <c r="W63" t="s">
        <v>54</v>
      </c>
      <c r="X63">
        <v>-0.12</v>
      </c>
    </row>
    <row r="64" spans="1:24" x14ac:dyDescent="0.2">
      <c r="A64" t="s">
        <v>101</v>
      </c>
      <c r="B64" s="6" t="s">
        <v>58</v>
      </c>
      <c r="C64">
        <f t="shared" si="10"/>
        <v>-0.24</v>
      </c>
      <c r="D64" t="s">
        <v>113</v>
      </c>
      <c r="E64" s="6" t="s">
        <v>119</v>
      </c>
      <c r="F64">
        <v>90.400000000000404</v>
      </c>
      <c r="G64">
        <f t="shared" si="5"/>
        <v>-21.696000000000097</v>
      </c>
      <c r="H64">
        <f t="shared" si="11"/>
        <v>18</v>
      </c>
      <c r="I64">
        <f t="shared" si="12"/>
        <v>-1.2053333333333387</v>
      </c>
      <c r="J64">
        <f t="shared" si="13"/>
        <v>-1.2053333333333387</v>
      </c>
      <c r="K64">
        <f t="shared" si="14"/>
        <v>0</v>
      </c>
      <c r="L64">
        <f t="shared" si="6"/>
        <v>8.0000000000000002E-3</v>
      </c>
      <c r="M64">
        <v>0</v>
      </c>
      <c r="O64">
        <f t="shared" si="7"/>
        <v>1</v>
      </c>
      <c r="R64">
        <f t="shared" si="8"/>
        <v>-1.5138986666666734E-2</v>
      </c>
      <c r="S64">
        <f t="shared" si="9"/>
        <v>-4.9958656000000214E-3</v>
      </c>
      <c r="W64" t="s">
        <v>55</v>
      </c>
      <c r="X64">
        <v>-7.0000000000000007E-2</v>
      </c>
    </row>
    <row r="65" spans="1:24" x14ac:dyDescent="0.2">
      <c r="A65" t="s">
        <v>101</v>
      </c>
      <c r="B65" s="6" t="s">
        <v>59</v>
      </c>
      <c r="C65">
        <f t="shared" si="10"/>
        <v>-0.32</v>
      </c>
      <c r="D65" t="s">
        <v>113</v>
      </c>
      <c r="E65" s="6" t="s">
        <v>119</v>
      </c>
      <c r="F65">
        <v>90.500000000000497</v>
      </c>
      <c r="G65">
        <f t="shared" si="5"/>
        <v>-28.960000000000161</v>
      </c>
      <c r="H65">
        <f t="shared" si="11"/>
        <v>18</v>
      </c>
      <c r="I65">
        <f t="shared" si="12"/>
        <v>-1.6088888888888979</v>
      </c>
      <c r="J65">
        <f t="shared" si="13"/>
        <v>-1.6088888888888979</v>
      </c>
      <c r="K65">
        <f t="shared" si="14"/>
        <v>0</v>
      </c>
      <c r="L65">
        <f t="shared" si="6"/>
        <v>8.0000000000000002E-3</v>
      </c>
      <c r="M65">
        <v>0</v>
      </c>
      <c r="O65">
        <f t="shared" si="7"/>
        <v>1</v>
      </c>
      <c r="R65">
        <f t="shared" si="8"/>
        <v>-2.0207644444444558E-2</v>
      </c>
      <c r="S65">
        <f t="shared" si="9"/>
        <v>-6.6685226666667033E-3</v>
      </c>
      <c r="W65" t="s">
        <v>56</v>
      </c>
      <c r="X65">
        <v>-0.13</v>
      </c>
    </row>
    <row r="66" spans="1:24" x14ac:dyDescent="0.2">
      <c r="A66" t="s">
        <v>101</v>
      </c>
      <c r="B66" s="6" t="s">
        <v>60</v>
      </c>
      <c r="C66">
        <f t="shared" si="10"/>
        <v>-0.08</v>
      </c>
      <c r="D66" t="s">
        <v>113</v>
      </c>
      <c r="E66" s="6" t="s">
        <v>119</v>
      </c>
      <c r="F66">
        <v>90.600000000000506</v>
      </c>
      <c r="G66">
        <f t="shared" si="5"/>
        <v>-7.2480000000000402</v>
      </c>
      <c r="H66">
        <f t="shared" si="11"/>
        <v>18</v>
      </c>
      <c r="I66">
        <f t="shared" si="12"/>
        <v>-0.40266666666666889</v>
      </c>
      <c r="J66">
        <f t="shared" si="13"/>
        <v>-0.40266666666666889</v>
      </c>
      <c r="K66">
        <f t="shared" si="14"/>
        <v>0</v>
      </c>
      <c r="L66">
        <f t="shared" si="6"/>
        <v>8.0000000000000002E-3</v>
      </c>
      <c r="M66">
        <v>0</v>
      </c>
      <c r="O66">
        <f t="shared" si="7"/>
        <v>1</v>
      </c>
      <c r="R66">
        <f t="shared" si="8"/>
        <v>-5.0574933333333615E-3</v>
      </c>
      <c r="S66">
        <f t="shared" si="9"/>
        <v>-1.6689728000000091E-3</v>
      </c>
      <c r="W66" t="s">
        <v>57</v>
      </c>
      <c r="X66">
        <v>-0.15</v>
      </c>
    </row>
    <row r="67" spans="1:24" x14ac:dyDescent="0.2">
      <c r="A67" t="s">
        <v>101</v>
      </c>
      <c r="B67" s="6" t="s">
        <v>61</v>
      </c>
      <c r="C67">
        <f t="shared" si="10"/>
        <v>0</v>
      </c>
      <c r="D67" t="s">
        <v>113</v>
      </c>
      <c r="E67" s="6" t="s">
        <v>119</v>
      </c>
      <c r="F67">
        <v>90.7000000000005</v>
      </c>
      <c r="G67">
        <f t="shared" si="5"/>
        <v>0</v>
      </c>
      <c r="H67">
        <f t="shared" si="11"/>
        <v>18</v>
      </c>
      <c r="I67">
        <f t="shared" si="12"/>
        <v>0</v>
      </c>
      <c r="J67">
        <f t="shared" si="13"/>
        <v>0</v>
      </c>
      <c r="K67">
        <f t="shared" si="14"/>
        <v>0</v>
      </c>
      <c r="L67">
        <f t="shared" si="6"/>
        <v>8.0000000000000002E-3</v>
      </c>
      <c r="M67">
        <v>0</v>
      </c>
      <c r="O67">
        <f t="shared" si="7"/>
        <v>1</v>
      </c>
      <c r="R67">
        <f t="shared" si="8"/>
        <v>0</v>
      </c>
      <c r="S67">
        <f t="shared" si="9"/>
        <v>0</v>
      </c>
      <c r="W67" t="s">
        <v>58</v>
      </c>
      <c r="X67">
        <v>-0.24</v>
      </c>
    </row>
    <row r="68" spans="1:24" x14ac:dyDescent="0.2">
      <c r="A68" t="s">
        <v>101</v>
      </c>
      <c r="B68" s="6" t="s">
        <v>62</v>
      </c>
      <c r="C68">
        <f t="shared" si="10"/>
        <v>-0.16</v>
      </c>
      <c r="D68" t="s">
        <v>113</v>
      </c>
      <c r="E68" s="6" t="s">
        <v>119</v>
      </c>
      <c r="F68">
        <v>90.800000000000495</v>
      </c>
      <c r="G68">
        <f t="shared" si="5"/>
        <v>-14.528000000000079</v>
      </c>
      <c r="H68">
        <f t="shared" si="11"/>
        <v>18</v>
      </c>
      <c r="I68">
        <f t="shared" si="12"/>
        <v>-0.80711111111111544</v>
      </c>
      <c r="J68">
        <f t="shared" si="13"/>
        <v>-0.80711111111111544</v>
      </c>
      <c r="K68">
        <f t="shared" si="14"/>
        <v>0</v>
      </c>
      <c r="L68">
        <f t="shared" si="6"/>
        <v>8.0000000000000002E-3</v>
      </c>
      <c r="M68">
        <v>0</v>
      </c>
      <c r="O68">
        <f t="shared" si="7"/>
        <v>1</v>
      </c>
      <c r="R68">
        <f t="shared" si="8"/>
        <v>-1.0137315555555609E-2</v>
      </c>
      <c r="S68">
        <f t="shared" si="9"/>
        <v>-3.3453141333333507E-3</v>
      </c>
      <c r="W68" t="s">
        <v>59</v>
      </c>
      <c r="X68">
        <v>-0.32</v>
      </c>
    </row>
    <row r="69" spans="1:24" x14ac:dyDescent="0.2">
      <c r="A69" t="s">
        <v>101</v>
      </c>
      <c r="B69" s="6" t="s">
        <v>63</v>
      </c>
      <c r="C69">
        <f t="shared" si="10"/>
        <v>-0.33</v>
      </c>
      <c r="D69" t="s">
        <v>113</v>
      </c>
      <c r="E69" s="6" t="s">
        <v>119</v>
      </c>
      <c r="F69">
        <v>90.900000000000503</v>
      </c>
      <c r="G69">
        <f t="shared" si="5"/>
        <v>-29.997000000000167</v>
      </c>
      <c r="H69">
        <f t="shared" si="11"/>
        <v>18</v>
      </c>
      <c r="I69">
        <f t="shared" si="12"/>
        <v>-1.6665000000000092</v>
      </c>
      <c r="J69">
        <f t="shared" si="13"/>
        <v>-1.6665000000000092</v>
      </c>
      <c r="K69">
        <f t="shared" si="14"/>
        <v>0</v>
      </c>
      <c r="L69">
        <f t="shared" si="6"/>
        <v>8.0000000000000002E-3</v>
      </c>
      <c r="M69">
        <v>0</v>
      </c>
      <c r="O69">
        <f t="shared" si="7"/>
        <v>1</v>
      </c>
      <c r="R69">
        <f t="shared" si="8"/>
        <v>-2.0931240000000118E-2</v>
      </c>
      <c r="S69">
        <f t="shared" si="9"/>
        <v>-6.9073092000000377E-3</v>
      </c>
      <c r="W69" t="s">
        <v>60</v>
      </c>
      <c r="X69">
        <v>-0.08</v>
      </c>
    </row>
    <row r="70" spans="1:24" x14ac:dyDescent="0.2">
      <c r="A70" t="s">
        <v>101</v>
      </c>
      <c r="B70" s="6" t="s">
        <v>64</v>
      </c>
      <c r="C70">
        <f t="shared" si="10"/>
        <v>-0.1</v>
      </c>
      <c r="D70" t="s">
        <v>113</v>
      </c>
      <c r="E70" s="6" t="s">
        <v>119</v>
      </c>
      <c r="F70">
        <v>91.000000000000497</v>
      </c>
      <c r="G70">
        <f t="shared" si="5"/>
        <v>-9.1000000000000494</v>
      </c>
      <c r="H70">
        <f t="shared" si="11"/>
        <v>18</v>
      </c>
      <c r="I70">
        <f t="shared" si="12"/>
        <v>-0.50555555555555831</v>
      </c>
      <c r="J70">
        <f t="shared" si="13"/>
        <v>-0.50555555555555831</v>
      </c>
      <c r="K70">
        <f t="shared" si="14"/>
        <v>0</v>
      </c>
      <c r="L70">
        <f t="shared" si="6"/>
        <v>8.0000000000000002E-3</v>
      </c>
      <c r="M70">
        <v>0</v>
      </c>
      <c r="O70">
        <f t="shared" si="7"/>
        <v>1</v>
      </c>
      <c r="R70">
        <f t="shared" si="8"/>
        <v>-6.3497777777778135E-3</v>
      </c>
      <c r="S70">
        <f t="shared" si="9"/>
        <v>-2.0954266666666781E-3</v>
      </c>
      <c r="W70" t="s">
        <v>61</v>
      </c>
      <c r="X70">
        <v>0</v>
      </c>
    </row>
    <row r="71" spans="1:24" x14ac:dyDescent="0.2">
      <c r="A71" t="s">
        <v>101</v>
      </c>
      <c r="B71" s="6" t="s">
        <v>65</v>
      </c>
      <c r="C71">
        <f t="shared" si="10"/>
        <v>-0.05</v>
      </c>
      <c r="D71" t="s">
        <v>113</v>
      </c>
      <c r="E71" s="6" t="s">
        <v>119</v>
      </c>
      <c r="F71">
        <v>91.100000000000506</v>
      </c>
      <c r="G71">
        <f t="shared" si="5"/>
        <v>-4.5550000000000255</v>
      </c>
      <c r="H71">
        <f t="shared" si="11"/>
        <v>18</v>
      </c>
      <c r="I71">
        <f t="shared" si="12"/>
        <v>-0.25305555555555698</v>
      </c>
      <c r="J71">
        <f t="shared" si="13"/>
        <v>-0.25305555555555698</v>
      </c>
      <c r="K71">
        <f t="shared" si="14"/>
        <v>0</v>
      </c>
      <c r="L71">
        <f t="shared" si="6"/>
        <v>8.0000000000000002E-3</v>
      </c>
      <c r="M71">
        <v>0</v>
      </c>
      <c r="O71">
        <f t="shared" si="7"/>
        <v>1</v>
      </c>
      <c r="R71">
        <f t="shared" si="8"/>
        <v>-3.1783777777777958E-3</v>
      </c>
      <c r="S71">
        <f t="shared" si="9"/>
        <v>-1.0488646666666724E-3</v>
      </c>
      <c r="W71" t="s">
        <v>62</v>
      </c>
      <c r="X71">
        <v>-0.16</v>
      </c>
    </row>
    <row r="72" spans="1:24" x14ac:dyDescent="0.2">
      <c r="A72" t="s">
        <v>101</v>
      </c>
      <c r="B72" s="6" t="s">
        <v>66</v>
      </c>
      <c r="C72">
        <f t="shared" si="10"/>
        <v>-0.26</v>
      </c>
      <c r="D72" t="s">
        <v>113</v>
      </c>
      <c r="E72" s="6" t="s">
        <v>119</v>
      </c>
      <c r="F72">
        <v>91.2000000000005</v>
      </c>
      <c r="G72">
        <f t="shared" si="5"/>
        <v>-23.712000000000131</v>
      </c>
      <c r="H72">
        <f t="shared" si="11"/>
        <v>18</v>
      </c>
      <c r="I72">
        <f t="shared" si="12"/>
        <v>-1.3173333333333406</v>
      </c>
      <c r="J72">
        <f t="shared" si="13"/>
        <v>-1.3173333333333406</v>
      </c>
      <c r="K72">
        <f t="shared" si="14"/>
        <v>0</v>
      </c>
      <c r="L72">
        <f t="shared" si="6"/>
        <v>8.0000000000000002E-3</v>
      </c>
      <c r="M72">
        <v>0</v>
      </c>
      <c r="O72">
        <f t="shared" si="7"/>
        <v>1</v>
      </c>
      <c r="R72">
        <f t="shared" si="8"/>
        <v>-1.654570666666676E-2</v>
      </c>
      <c r="S72">
        <f t="shared" si="9"/>
        <v>-5.4600832000000297E-3</v>
      </c>
      <c r="W72" t="s">
        <v>63</v>
      </c>
      <c r="X72">
        <v>-0.33</v>
      </c>
    </row>
    <row r="73" spans="1:24" x14ac:dyDescent="0.2">
      <c r="A73" t="s">
        <v>101</v>
      </c>
      <c r="B73" s="6" t="s">
        <v>67</v>
      </c>
      <c r="C73">
        <f t="shared" si="10"/>
        <v>-0.26</v>
      </c>
      <c r="D73" t="s">
        <v>113</v>
      </c>
      <c r="E73" s="6" t="s">
        <v>119</v>
      </c>
      <c r="F73">
        <v>91.300000000000495</v>
      </c>
      <c r="G73">
        <f t="shared" si="5"/>
        <v>-23.738000000000131</v>
      </c>
      <c r="H73">
        <f t="shared" si="11"/>
        <v>18</v>
      </c>
      <c r="I73">
        <f t="shared" si="12"/>
        <v>-1.3187777777777852</v>
      </c>
      <c r="J73">
        <f t="shared" si="13"/>
        <v>-1.3187777777777852</v>
      </c>
      <c r="K73">
        <f t="shared" si="14"/>
        <v>0</v>
      </c>
      <c r="L73">
        <f t="shared" si="6"/>
        <v>8.0000000000000002E-3</v>
      </c>
      <c r="M73">
        <v>0</v>
      </c>
      <c r="O73">
        <f t="shared" si="7"/>
        <v>1</v>
      </c>
      <c r="R73">
        <f t="shared" si="8"/>
        <v>-1.6563848888888982E-2</v>
      </c>
      <c r="S73">
        <f t="shared" si="9"/>
        <v>-5.4660701333333643E-3</v>
      </c>
      <c r="W73" t="s">
        <v>64</v>
      </c>
      <c r="X73">
        <v>-0.1</v>
      </c>
    </row>
    <row r="74" spans="1:24" x14ac:dyDescent="0.2">
      <c r="A74" t="s">
        <v>101</v>
      </c>
      <c r="B74" s="6" t="s">
        <v>68</v>
      </c>
      <c r="C74">
        <f t="shared" si="10"/>
        <v>-0.03</v>
      </c>
      <c r="D74" t="s">
        <v>113</v>
      </c>
      <c r="E74" s="6" t="s">
        <v>119</v>
      </c>
      <c r="F74">
        <v>91.400000000000503</v>
      </c>
      <c r="G74">
        <f t="shared" si="5"/>
        <v>-2.7420000000000151</v>
      </c>
      <c r="H74">
        <f t="shared" si="11"/>
        <v>18</v>
      </c>
      <c r="I74">
        <f t="shared" si="12"/>
        <v>-0.15233333333333418</v>
      </c>
      <c r="J74">
        <f t="shared" si="13"/>
        <v>-0.15233333333333418</v>
      </c>
      <c r="K74">
        <f t="shared" si="14"/>
        <v>0</v>
      </c>
      <c r="L74">
        <f t="shared" si="6"/>
        <v>8.0000000000000002E-3</v>
      </c>
      <c r="M74">
        <v>0</v>
      </c>
      <c r="O74">
        <f t="shared" si="7"/>
        <v>1</v>
      </c>
      <c r="R74">
        <f t="shared" si="8"/>
        <v>-1.9133066666666774E-3</v>
      </c>
      <c r="S74">
        <f t="shared" si="9"/>
        <v>-6.3139120000000346E-4</v>
      </c>
      <c r="W74" t="s">
        <v>65</v>
      </c>
      <c r="X74">
        <v>-0.05</v>
      </c>
    </row>
    <row r="75" spans="1:24" x14ac:dyDescent="0.2">
      <c r="A75" t="s">
        <v>101</v>
      </c>
      <c r="B75" s="6" t="s">
        <v>69</v>
      </c>
      <c r="C75">
        <f t="shared" ref="C75:C106" si="15">VLOOKUP(B75, $W$13:$X$96, 2, FALSE)</f>
        <v>-0.37</v>
      </c>
      <c r="D75" t="s">
        <v>113</v>
      </c>
      <c r="E75" s="6" t="s">
        <v>119</v>
      </c>
      <c r="F75">
        <v>91.500000000000497</v>
      </c>
      <c r="G75">
        <f t="shared" si="5"/>
        <v>-33.855000000000182</v>
      </c>
      <c r="H75">
        <f t="shared" ref="H75:H106" si="16">$V$6</f>
        <v>18</v>
      </c>
      <c r="I75">
        <f t="shared" ref="I75:I106" si="17">G75/H75</f>
        <v>-1.8808333333333433</v>
      </c>
      <c r="J75">
        <f t="shared" ref="J75:J106" si="18">IF(A75="crop",I75, 0)</f>
        <v>-1.8808333333333433</v>
      </c>
      <c r="K75">
        <f t="shared" ref="K75:K106" si="19">IF(A75="crop", 0, I75)</f>
        <v>0</v>
      </c>
      <c r="L75">
        <f t="shared" si="6"/>
        <v>8.0000000000000002E-3</v>
      </c>
      <c r="M75">
        <v>0</v>
      </c>
      <c r="O75">
        <f t="shared" si="7"/>
        <v>1</v>
      </c>
      <c r="R75">
        <f t="shared" si="8"/>
        <v>-2.3623266666666792E-2</v>
      </c>
      <c r="S75">
        <f t="shared" si="9"/>
        <v>-7.7956780000000411E-3</v>
      </c>
      <c r="W75" t="s">
        <v>66</v>
      </c>
      <c r="X75">
        <v>-0.26</v>
      </c>
    </row>
    <row r="76" spans="1:24" x14ac:dyDescent="0.2">
      <c r="A76" t="s">
        <v>101</v>
      </c>
      <c r="B76" s="6" t="s">
        <v>70</v>
      </c>
      <c r="C76">
        <f t="shared" si="15"/>
        <v>-0.03</v>
      </c>
      <c r="D76" t="s">
        <v>113</v>
      </c>
      <c r="E76" s="6" t="s">
        <v>119</v>
      </c>
      <c r="F76">
        <v>91.600000000000506</v>
      </c>
      <c r="G76">
        <f t="shared" ref="G76:G94" si="20">C76*F76</f>
        <v>-2.7480000000000149</v>
      </c>
      <c r="H76">
        <f t="shared" si="16"/>
        <v>18</v>
      </c>
      <c r="I76">
        <f t="shared" si="17"/>
        <v>-0.15266666666666751</v>
      </c>
      <c r="J76">
        <f t="shared" si="18"/>
        <v>-0.15266666666666751</v>
      </c>
      <c r="K76">
        <f t="shared" si="19"/>
        <v>0</v>
      </c>
      <c r="L76">
        <f t="shared" ref="L76:L139" si="21">_xlfn.XLOOKUP(E76,$Z$5:$Z$9,$AA$5:$AA$9)</f>
        <v>8.0000000000000002E-3</v>
      </c>
      <c r="M76">
        <v>0</v>
      </c>
      <c r="O76">
        <f t="shared" ref="O76:O139" si="22">IF(D76="yes",1,0)</f>
        <v>1</v>
      </c>
      <c r="R76">
        <f t="shared" ref="R76:R139" si="23">(J76*L76+K76*M76)*$N$11</f>
        <v>-1.9174933333333441E-3</v>
      </c>
      <c r="S76">
        <f t="shared" ref="S76:S139" si="24">I76*O76*P$11*Q$11*N$11</f>
        <v>-6.327728000000035E-4</v>
      </c>
      <c r="W76" t="s">
        <v>67</v>
      </c>
      <c r="X76">
        <v>-0.26</v>
      </c>
    </row>
    <row r="77" spans="1:24" x14ac:dyDescent="0.2">
      <c r="A77" t="s">
        <v>101</v>
      </c>
      <c r="B77" s="6" t="s">
        <v>71</v>
      </c>
      <c r="C77">
        <f t="shared" si="15"/>
        <v>-0.03</v>
      </c>
      <c r="D77" t="s">
        <v>113</v>
      </c>
      <c r="E77" s="6" t="s">
        <v>119</v>
      </c>
      <c r="F77">
        <v>91.7000000000006</v>
      </c>
      <c r="G77">
        <f t="shared" si="20"/>
        <v>-2.7510000000000181</v>
      </c>
      <c r="H77">
        <f t="shared" si="16"/>
        <v>18</v>
      </c>
      <c r="I77">
        <f t="shared" si="17"/>
        <v>-0.15283333333333435</v>
      </c>
      <c r="J77">
        <f t="shared" si="18"/>
        <v>-0.15283333333333435</v>
      </c>
      <c r="K77">
        <f t="shared" si="19"/>
        <v>0</v>
      </c>
      <c r="L77">
        <f t="shared" si="21"/>
        <v>8.0000000000000002E-3</v>
      </c>
      <c r="M77">
        <v>0</v>
      </c>
      <c r="O77">
        <f t="shared" si="22"/>
        <v>1</v>
      </c>
      <c r="R77">
        <f t="shared" si="23"/>
        <v>-1.9195866666666796E-3</v>
      </c>
      <c r="S77">
        <f t="shared" si="24"/>
        <v>-6.3346360000000412E-4</v>
      </c>
      <c r="W77" t="s">
        <v>68</v>
      </c>
      <c r="X77">
        <v>-0.03</v>
      </c>
    </row>
    <row r="78" spans="1:24" x14ac:dyDescent="0.2">
      <c r="A78" t="s">
        <v>101</v>
      </c>
      <c r="B78" s="6" t="s">
        <v>72</v>
      </c>
      <c r="C78">
        <f t="shared" si="15"/>
        <v>-0.1</v>
      </c>
      <c r="D78" t="s">
        <v>113</v>
      </c>
      <c r="E78" s="6" t="s">
        <v>119</v>
      </c>
      <c r="F78">
        <v>91.800000000000594</v>
      </c>
      <c r="G78">
        <f t="shared" si="20"/>
        <v>-9.1800000000000601</v>
      </c>
      <c r="H78">
        <f t="shared" si="16"/>
        <v>18</v>
      </c>
      <c r="I78">
        <f t="shared" si="17"/>
        <v>-0.51000000000000334</v>
      </c>
      <c r="J78">
        <f t="shared" si="18"/>
        <v>-0.51000000000000334</v>
      </c>
      <c r="K78">
        <f t="shared" si="19"/>
        <v>0</v>
      </c>
      <c r="L78">
        <f t="shared" si="21"/>
        <v>8.0000000000000002E-3</v>
      </c>
      <c r="M78">
        <v>0</v>
      </c>
      <c r="O78">
        <f t="shared" si="22"/>
        <v>1</v>
      </c>
      <c r="R78">
        <f t="shared" si="23"/>
        <v>-6.4056000000000425E-3</v>
      </c>
      <c r="S78">
        <f t="shared" si="24"/>
        <v>-2.1138480000000136E-3</v>
      </c>
      <c r="W78" t="s">
        <v>69</v>
      </c>
      <c r="X78">
        <v>-0.37</v>
      </c>
    </row>
    <row r="79" spans="1:24" x14ac:dyDescent="0.2">
      <c r="A79" t="s">
        <v>101</v>
      </c>
      <c r="B79" s="6" t="s">
        <v>73</v>
      </c>
      <c r="C79">
        <f t="shared" si="15"/>
        <v>-0.25</v>
      </c>
      <c r="D79" t="s">
        <v>115</v>
      </c>
      <c r="E79" s="6" t="s">
        <v>119</v>
      </c>
      <c r="F79">
        <v>91.900000000000603</v>
      </c>
      <c r="G79">
        <f t="shared" si="20"/>
        <v>-22.975000000000151</v>
      </c>
      <c r="H79">
        <f t="shared" si="16"/>
        <v>18</v>
      </c>
      <c r="I79">
        <f t="shared" si="17"/>
        <v>-1.2763888888888972</v>
      </c>
      <c r="J79">
        <f t="shared" si="18"/>
        <v>-1.2763888888888972</v>
      </c>
      <c r="K79">
        <f t="shared" si="19"/>
        <v>0</v>
      </c>
      <c r="L79">
        <f t="shared" si="21"/>
        <v>8.0000000000000002E-3</v>
      </c>
      <c r="M79">
        <v>0</v>
      </c>
      <c r="O79">
        <f t="shared" si="22"/>
        <v>0</v>
      </c>
      <c r="R79">
        <f t="shared" si="23"/>
        <v>-1.6031444444444549E-2</v>
      </c>
      <c r="S79">
        <f t="shared" si="24"/>
        <v>0</v>
      </c>
      <c r="W79" t="s">
        <v>70</v>
      </c>
      <c r="X79">
        <v>-0.03</v>
      </c>
    </row>
    <row r="80" spans="1:24" x14ac:dyDescent="0.2">
      <c r="A80" t="s">
        <v>101</v>
      </c>
      <c r="B80" s="6" t="s">
        <v>74</v>
      </c>
      <c r="C80">
        <f t="shared" si="15"/>
        <v>-0.27</v>
      </c>
      <c r="D80" t="s">
        <v>115</v>
      </c>
      <c r="E80" s="6" t="s">
        <v>119</v>
      </c>
      <c r="F80">
        <v>92.000000000000597</v>
      </c>
      <c r="G80">
        <f t="shared" si="20"/>
        <v>-24.840000000000163</v>
      </c>
      <c r="H80">
        <f t="shared" si="16"/>
        <v>18</v>
      </c>
      <c r="I80">
        <f t="shared" si="17"/>
        <v>-1.380000000000009</v>
      </c>
      <c r="J80">
        <f t="shared" si="18"/>
        <v>-1.380000000000009</v>
      </c>
      <c r="K80">
        <f t="shared" si="19"/>
        <v>0</v>
      </c>
      <c r="L80">
        <f t="shared" si="21"/>
        <v>8.0000000000000002E-3</v>
      </c>
      <c r="M80">
        <v>0</v>
      </c>
      <c r="O80">
        <f t="shared" si="22"/>
        <v>0</v>
      </c>
      <c r="R80">
        <f t="shared" si="23"/>
        <v>-1.7332800000000113E-2</v>
      </c>
      <c r="S80">
        <f t="shared" si="24"/>
        <v>0</v>
      </c>
      <c r="W80" t="s">
        <v>71</v>
      </c>
      <c r="X80">
        <v>-0.03</v>
      </c>
    </row>
    <row r="81" spans="1:24" x14ac:dyDescent="0.2">
      <c r="A81" t="s">
        <v>101</v>
      </c>
      <c r="B81" s="6" t="s">
        <v>75</v>
      </c>
      <c r="C81">
        <f t="shared" si="15"/>
        <v>-0.18</v>
      </c>
      <c r="D81" t="s">
        <v>115</v>
      </c>
      <c r="E81" s="6" t="s">
        <v>119</v>
      </c>
      <c r="F81">
        <v>92.100000000000605</v>
      </c>
      <c r="G81">
        <f t="shared" si="20"/>
        <v>-16.57800000000011</v>
      </c>
      <c r="H81">
        <f t="shared" si="16"/>
        <v>18</v>
      </c>
      <c r="I81">
        <f t="shared" si="17"/>
        <v>-0.92100000000000604</v>
      </c>
      <c r="J81">
        <f t="shared" si="18"/>
        <v>-0.92100000000000604</v>
      </c>
      <c r="K81">
        <f t="shared" si="19"/>
        <v>0</v>
      </c>
      <c r="L81">
        <f t="shared" si="21"/>
        <v>8.0000000000000002E-3</v>
      </c>
      <c r="M81">
        <v>0</v>
      </c>
      <c r="O81">
        <f t="shared" si="22"/>
        <v>0</v>
      </c>
      <c r="R81">
        <f t="shared" si="23"/>
        <v>-1.1567760000000076E-2</v>
      </c>
      <c r="S81">
        <f t="shared" si="24"/>
        <v>0</v>
      </c>
      <c r="W81" t="s">
        <v>72</v>
      </c>
      <c r="X81">
        <v>-0.1</v>
      </c>
    </row>
    <row r="82" spans="1:24" x14ac:dyDescent="0.2">
      <c r="A82" t="s">
        <v>101</v>
      </c>
      <c r="B82" s="6" t="s">
        <v>76</v>
      </c>
      <c r="C82">
        <f t="shared" si="15"/>
        <v>-0.12</v>
      </c>
      <c r="D82" t="s">
        <v>115</v>
      </c>
      <c r="E82" s="6" t="s">
        <v>119</v>
      </c>
      <c r="F82">
        <v>92.2000000000006</v>
      </c>
      <c r="G82">
        <f t="shared" si="20"/>
        <v>-11.064000000000071</v>
      </c>
      <c r="H82">
        <f t="shared" si="16"/>
        <v>18</v>
      </c>
      <c r="I82">
        <f t="shared" si="17"/>
        <v>-0.61466666666667058</v>
      </c>
      <c r="J82">
        <f t="shared" si="18"/>
        <v>-0.61466666666667058</v>
      </c>
      <c r="K82">
        <f t="shared" si="19"/>
        <v>0</v>
      </c>
      <c r="L82">
        <f t="shared" si="21"/>
        <v>8.0000000000000002E-3</v>
      </c>
      <c r="M82">
        <v>0</v>
      </c>
      <c r="O82">
        <f t="shared" si="22"/>
        <v>0</v>
      </c>
      <c r="R82">
        <f t="shared" si="23"/>
        <v>-7.7202133333333827E-3</v>
      </c>
      <c r="S82">
        <f t="shared" si="24"/>
        <v>0</v>
      </c>
      <c r="W82" t="s">
        <v>73</v>
      </c>
      <c r="X82">
        <v>-0.25</v>
      </c>
    </row>
    <row r="83" spans="1:24" x14ac:dyDescent="0.2">
      <c r="A83" t="s">
        <v>101</v>
      </c>
      <c r="B83" s="6" t="s">
        <v>77</v>
      </c>
      <c r="C83">
        <f t="shared" si="15"/>
        <v>-0.32</v>
      </c>
      <c r="D83" t="s">
        <v>115</v>
      </c>
      <c r="E83" s="6" t="s">
        <v>119</v>
      </c>
      <c r="F83">
        <v>92.300000000000594</v>
      </c>
      <c r="G83">
        <f t="shared" si="20"/>
        <v>-29.53600000000019</v>
      </c>
      <c r="H83">
        <f t="shared" si="16"/>
        <v>18</v>
      </c>
      <c r="I83">
        <f t="shared" si="17"/>
        <v>-1.6408888888888995</v>
      </c>
      <c r="J83">
        <f t="shared" si="18"/>
        <v>-1.6408888888888995</v>
      </c>
      <c r="K83">
        <f t="shared" si="19"/>
        <v>0</v>
      </c>
      <c r="L83">
        <f t="shared" si="21"/>
        <v>8.0000000000000002E-3</v>
      </c>
      <c r="M83">
        <v>0</v>
      </c>
      <c r="O83">
        <f t="shared" si="22"/>
        <v>0</v>
      </c>
      <c r="R83">
        <f t="shared" si="23"/>
        <v>-2.0609564444444579E-2</v>
      </c>
      <c r="S83">
        <f t="shared" si="24"/>
        <v>0</v>
      </c>
      <c r="W83" t="s">
        <v>74</v>
      </c>
      <c r="X83">
        <v>-0.27</v>
      </c>
    </row>
    <row r="84" spans="1:24" x14ac:dyDescent="0.2">
      <c r="A84" t="s">
        <v>101</v>
      </c>
      <c r="B84" s="6" t="s">
        <v>78</v>
      </c>
      <c r="C84">
        <f t="shared" si="15"/>
        <v>-0.2</v>
      </c>
      <c r="D84" t="s">
        <v>115</v>
      </c>
      <c r="E84" s="6" t="s">
        <v>119</v>
      </c>
      <c r="F84">
        <v>92.400000000000603</v>
      </c>
      <c r="G84">
        <f t="shared" si="20"/>
        <v>-18.480000000000121</v>
      </c>
      <c r="H84">
        <f t="shared" si="16"/>
        <v>18</v>
      </c>
      <c r="I84">
        <f t="shared" si="17"/>
        <v>-1.0266666666666735</v>
      </c>
      <c r="J84">
        <f t="shared" si="18"/>
        <v>-1.0266666666666735</v>
      </c>
      <c r="K84">
        <f t="shared" si="19"/>
        <v>0</v>
      </c>
      <c r="L84">
        <f t="shared" si="21"/>
        <v>8.0000000000000002E-3</v>
      </c>
      <c r="M84">
        <v>0</v>
      </c>
      <c r="O84">
        <f t="shared" si="22"/>
        <v>0</v>
      </c>
      <c r="R84">
        <f t="shared" si="23"/>
        <v>-1.2894933333333421E-2</v>
      </c>
      <c r="S84">
        <f t="shared" si="24"/>
        <v>0</v>
      </c>
      <c r="W84" t="s">
        <v>75</v>
      </c>
      <c r="X84">
        <v>-0.18</v>
      </c>
    </row>
    <row r="85" spans="1:24" x14ac:dyDescent="0.2">
      <c r="A85" t="s">
        <v>101</v>
      </c>
      <c r="B85" s="6" t="s">
        <v>79</v>
      </c>
      <c r="C85">
        <f t="shared" si="15"/>
        <v>-0.18</v>
      </c>
      <c r="D85" t="s">
        <v>115</v>
      </c>
      <c r="E85" s="6" t="s">
        <v>119</v>
      </c>
      <c r="F85">
        <v>92.500000000000597</v>
      </c>
      <c r="G85">
        <f t="shared" si="20"/>
        <v>-16.650000000000105</v>
      </c>
      <c r="H85">
        <f t="shared" si="16"/>
        <v>18</v>
      </c>
      <c r="I85">
        <f t="shared" si="17"/>
        <v>-0.92500000000000582</v>
      </c>
      <c r="J85">
        <f t="shared" si="18"/>
        <v>-0.92500000000000582</v>
      </c>
      <c r="K85">
        <f t="shared" si="19"/>
        <v>0</v>
      </c>
      <c r="L85">
        <f t="shared" si="21"/>
        <v>8.0000000000000002E-3</v>
      </c>
      <c r="M85">
        <v>0</v>
      </c>
      <c r="O85">
        <f t="shared" si="22"/>
        <v>0</v>
      </c>
      <c r="R85">
        <f t="shared" si="23"/>
        <v>-1.1618000000000073E-2</v>
      </c>
      <c r="S85">
        <f t="shared" si="24"/>
        <v>0</v>
      </c>
      <c r="W85" t="s">
        <v>76</v>
      </c>
      <c r="X85">
        <v>-0.12</v>
      </c>
    </row>
    <row r="86" spans="1:24" x14ac:dyDescent="0.2">
      <c r="A86" t="s">
        <v>101</v>
      </c>
      <c r="B86" s="6" t="s">
        <v>80</v>
      </c>
      <c r="C86">
        <f t="shared" si="15"/>
        <v>-0.4</v>
      </c>
      <c r="D86" t="s">
        <v>115</v>
      </c>
      <c r="E86" s="6" t="s">
        <v>119</v>
      </c>
      <c r="F86">
        <v>92.600000000000605</v>
      </c>
      <c r="G86">
        <f t="shared" si="20"/>
        <v>-37.040000000000241</v>
      </c>
      <c r="H86">
        <f t="shared" si="16"/>
        <v>18</v>
      </c>
      <c r="I86">
        <f t="shared" si="17"/>
        <v>-2.0577777777777913</v>
      </c>
      <c r="J86">
        <f t="shared" si="18"/>
        <v>-2.0577777777777913</v>
      </c>
      <c r="K86">
        <f t="shared" si="19"/>
        <v>0</v>
      </c>
      <c r="L86">
        <f t="shared" si="21"/>
        <v>8.0000000000000002E-3</v>
      </c>
      <c r="M86">
        <v>0</v>
      </c>
      <c r="O86">
        <f t="shared" si="22"/>
        <v>0</v>
      </c>
      <c r="R86">
        <f t="shared" si="23"/>
        <v>-2.5845688888889058E-2</v>
      </c>
      <c r="S86">
        <f t="shared" si="24"/>
        <v>0</v>
      </c>
      <c r="W86" t="s">
        <v>77</v>
      </c>
      <c r="X86">
        <v>-0.32</v>
      </c>
    </row>
    <row r="87" spans="1:24" x14ac:dyDescent="0.2">
      <c r="A87" t="s">
        <v>101</v>
      </c>
      <c r="B87" s="6" t="s">
        <v>81</v>
      </c>
      <c r="C87">
        <f t="shared" si="15"/>
        <v>-0.21</v>
      </c>
      <c r="D87" t="s">
        <v>115</v>
      </c>
      <c r="E87" s="6" t="s">
        <v>119</v>
      </c>
      <c r="F87">
        <v>92.7000000000006</v>
      </c>
      <c r="G87">
        <f t="shared" si="20"/>
        <v>-19.467000000000127</v>
      </c>
      <c r="H87">
        <f t="shared" si="16"/>
        <v>18</v>
      </c>
      <c r="I87">
        <f t="shared" si="17"/>
        <v>-1.081500000000007</v>
      </c>
      <c r="J87">
        <f t="shared" si="18"/>
        <v>-1.081500000000007</v>
      </c>
      <c r="K87">
        <f t="shared" si="19"/>
        <v>0</v>
      </c>
      <c r="L87">
        <f t="shared" si="21"/>
        <v>8.0000000000000002E-3</v>
      </c>
      <c r="M87">
        <v>0</v>
      </c>
      <c r="O87">
        <f t="shared" si="22"/>
        <v>0</v>
      </c>
      <c r="R87">
        <f t="shared" si="23"/>
        <v>-1.3583640000000088E-2</v>
      </c>
      <c r="S87">
        <f t="shared" si="24"/>
        <v>0</v>
      </c>
      <c r="W87" t="s">
        <v>78</v>
      </c>
      <c r="X87">
        <v>-0.2</v>
      </c>
    </row>
    <row r="88" spans="1:24" x14ac:dyDescent="0.2">
      <c r="A88" t="s">
        <v>101</v>
      </c>
      <c r="B88" s="6" t="s">
        <v>82</v>
      </c>
      <c r="C88">
        <f t="shared" si="15"/>
        <v>-0.42</v>
      </c>
      <c r="D88" t="s">
        <v>115</v>
      </c>
      <c r="E88" s="6" t="s">
        <v>119</v>
      </c>
      <c r="F88">
        <v>92.800000000000693</v>
      </c>
      <c r="G88">
        <f t="shared" si="20"/>
        <v>-38.97600000000029</v>
      </c>
      <c r="H88">
        <f t="shared" si="16"/>
        <v>18</v>
      </c>
      <c r="I88">
        <f t="shared" si="17"/>
        <v>-2.1653333333333493</v>
      </c>
      <c r="J88">
        <f t="shared" si="18"/>
        <v>-2.1653333333333493</v>
      </c>
      <c r="K88">
        <f t="shared" si="19"/>
        <v>0</v>
      </c>
      <c r="L88">
        <f t="shared" si="21"/>
        <v>8.0000000000000002E-3</v>
      </c>
      <c r="M88">
        <v>0</v>
      </c>
      <c r="O88">
        <f t="shared" si="22"/>
        <v>0</v>
      </c>
      <c r="R88">
        <f t="shared" si="23"/>
        <v>-2.7196586666666869E-2</v>
      </c>
      <c r="S88">
        <f t="shared" si="24"/>
        <v>0</v>
      </c>
      <c r="W88" t="s">
        <v>79</v>
      </c>
      <c r="X88">
        <v>-0.18</v>
      </c>
    </row>
    <row r="89" spans="1:24" x14ac:dyDescent="0.2">
      <c r="A89" t="s">
        <v>101</v>
      </c>
      <c r="B89" s="6" t="s">
        <v>83</v>
      </c>
      <c r="C89">
        <f t="shared" si="15"/>
        <v>-0.33</v>
      </c>
      <c r="D89" t="s">
        <v>115</v>
      </c>
      <c r="E89" s="6" t="s">
        <v>119</v>
      </c>
      <c r="F89">
        <v>92.900000000000702</v>
      </c>
      <c r="G89">
        <f t="shared" si="20"/>
        <v>-30.657000000000235</v>
      </c>
      <c r="H89">
        <f t="shared" si="16"/>
        <v>18</v>
      </c>
      <c r="I89">
        <f t="shared" si="17"/>
        <v>-1.7031666666666796</v>
      </c>
      <c r="J89">
        <f t="shared" si="18"/>
        <v>-1.7031666666666796</v>
      </c>
      <c r="K89">
        <f t="shared" si="19"/>
        <v>0</v>
      </c>
      <c r="L89">
        <f t="shared" si="21"/>
        <v>8.0000000000000002E-3</v>
      </c>
      <c r="M89">
        <v>0</v>
      </c>
      <c r="O89">
        <f t="shared" si="22"/>
        <v>0</v>
      </c>
      <c r="R89">
        <f t="shared" si="23"/>
        <v>-2.1391773333333496E-2</v>
      </c>
      <c r="S89">
        <f t="shared" si="24"/>
        <v>0</v>
      </c>
      <c r="W89" t="s">
        <v>80</v>
      </c>
      <c r="X89">
        <v>-0.4</v>
      </c>
    </row>
    <row r="90" spans="1:24" x14ac:dyDescent="0.2">
      <c r="A90" t="s">
        <v>101</v>
      </c>
      <c r="B90" s="6" t="s">
        <v>84</v>
      </c>
      <c r="C90">
        <f t="shared" si="15"/>
        <v>-0.22</v>
      </c>
      <c r="D90" t="s">
        <v>115</v>
      </c>
      <c r="E90" s="6" t="s">
        <v>119</v>
      </c>
      <c r="F90">
        <v>93.000000000000696</v>
      </c>
      <c r="G90">
        <f t="shared" si="20"/>
        <v>-20.460000000000154</v>
      </c>
      <c r="H90">
        <f t="shared" si="16"/>
        <v>18</v>
      </c>
      <c r="I90">
        <f t="shared" si="17"/>
        <v>-1.1366666666666752</v>
      </c>
      <c r="J90">
        <f t="shared" si="18"/>
        <v>-1.1366666666666752</v>
      </c>
      <c r="K90">
        <f t="shared" si="19"/>
        <v>0</v>
      </c>
      <c r="L90">
        <f t="shared" si="21"/>
        <v>8.0000000000000002E-3</v>
      </c>
      <c r="M90">
        <v>0</v>
      </c>
      <c r="O90">
        <f t="shared" si="22"/>
        <v>0</v>
      </c>
      <c r="R90">
        <f t="shared" si="23"/>
        <v>-1.427653333333344E-2</v>
      </c>
      <c r="S90">
        <f t="shared" si="24"/>
        <v>0</v>
      </c>
      <c r="W90" t="s">
        <v>81</v>
      </c>
      <c r="X90">
        <v>-0.21</v>
      </c>
    </row>
    <row r="91" spans="1:24" x14ac:dyDescent="0.2">
      <c r="A91" t="s">
        <v>101</v>
      </c>
      <c r="B91" s="6" t="s">
        <v>85</v>
      </c>
      <c r="C91">
        <f t="shared" si="15"/>
        <v>-7.0000000000000007E-2</v>
      </c>
      <c r="D91" t="s">
        <v>115</v>
      </c>
      <c r="E91" s="6" t="s">
        <v>119</v>
      </c>
      <c r="F91">
        <v>93.100000000000705</v>
      </c>
      <c r="G91">
        <f t="shared" si="20"/>
        <v>-6.5170000000000501</v>
      </c>
      <c r="H91">
        <f t="shared" si="16"/>
        <v>18</v>
      </c>
      <c r="I91">
        <f t="shared" si="17"/>
        <v>-0.36205555555555835</v>
      </c>
      <c r="J91">
        <f t="shared" si="18"/>
        <v>-0.36205555555555835</v>
      </c>
      <c r="K91">
        <f t="shared" si="19"/>
        <v>0</v>
      </c>
      <c r="L91">
        <f t="shared" si="21"/>
        <v>8.0000000000000002E-3</v>
      </c>
      <c r="M91">
        <v>0</v>
      </c>
      <c r="O91">
        <f t="shared" si="22"/>
        <v>0</v>
      </c>
      <c r="R91">
        <f t="shared" si="23"/>
        <v>-4.5474177777778124E-3</v>
      </c>
      <c r="S91">
        <f t="shared" si="24"/>
        <v>0</v>
      </c>
      <c r="W91" t="s">
        <v>82</v>
      </c>
      <c r="X91">
        <v>-0.42</v>
      </c>
    </row>
    <row r="92" spans="1:24" x14ac:dyDescent="0.2">
      <c r="A92" t="s">
        <v>101</v>
      </c>
      <c r="B92" s="6" t="s">
        <v>86</v>
      </c>
      <c r="C92">
        <f t="shared" si="15"/>
        <v>-0.31</v>
      </c>
      <c r="D92" t="s">
        <v>115</v>
      </c>
      <c r="E92" s="6" t="s">
        <v>119</v>
      </c>
      <c r="F92">
        <v>93.200000000000699</v>
      </c>
      <c r="G92">
        <f t="shared" si="20"/>
        <v>-28.892000000000216</v>
      </c>
      <c r="H92">
        <f t="shared" si="16"/>
        <v>18</v>
      </c>
      <c r="I92">
        <f t="shared" si="17"/>
        <v>-1.6051111111111231</v>
      </c>
      <c r="J92">
        <f t="shared" si="18"/>
        <v>-1.6051111111111231</v>
      </c>
      <c r="K92">
        <f t="shared" si="19"/>
        <v>0</v>
      </c>
      <c r="L92">
        <f t="shared" si="21"/>
        <v>8.0000000000000002E-3</v>
      </c>
      <c r="M92">
        <v>0</v>
      </c>
      <c r="O92">
        <f t="shared" si="22"/>
        <v>0</v>
      </c>
      <c r="R92">
        <f t="shared" si="23"/>
        <v>-2.0160195555555708E-2</v>
      </c>
      <c r="S92">
        <f t="shared" si="24"/>
        <v>0</v>
      </c>
      <c r="W92" t="s">
        <v>83</v>
      </c>
      <c r="X92">
        <v>-0.33</v>
      </c>
    </row>
    <row r="93" spans="1:24" x14ac:dyDescent="0.2">
      <c r="A93" t="s">
        <v>101</v>
      </c>
      <c r="B93" s="6" t="s">
        <v>87</v>
      </c>
      <c r="C93">
        <f t="shared" si="15"/>
        <v>-0.27</v>
      </c>
      <c r="D93" t="s">
        <v>115</v>
      </c>
      <c r="E93" s="6" t="s">
        <v>119</v>
      </c>
      <c r="F93">
        <v>93.300000000000693</v>
      </c>
      <c r="G93">
        <f t="shared" si="20"/>
        <v>-25.191000000000187</v>
      </c>
      <c r="H93">
        <f t="shared" si="16"/>
        <v>18</v>
      </c>
      <c r="I93">
        <f t="shared" si="17"/>
        <v>-1.3995000000000104</v>
      </c>
      <c r="J93">
        <f t="shared" si="18"/>
        <v>-1.3995000000000104</v>
      </c>
      <c r="K93">
        <f t="shared" si="19"/>
        <v>0</v>
      </c>
      <c r="L93">
        <f t="shared" si="21"/>
        <v>8.0000000000000002E-3</v>
      </c>
      <c r="M93">
        <v>0</v>
      </c>
      <c r="O93">
        <f t="shared" si="22"/>
        <v>0</v>
      </c>
      <c r="R93">
        <f t="shared" si="23"/>
        <v>-1.757772000000013E-2</v>
      </c>
      <c r="S93">
        <f t="shared" si="24"/>
        <v>0</v>
      </c>
      <c r="W93" t="s">
        <v>84</v>
      </c>
      <c r="X93">
        <v>-0.22</v>
      </c>
    </row>
    <row r="94" spans="1:24" x14ac:dyDescent="0.2">
      <c r="A94" t="s">
        <v>101</v>
      </c>
      <c r="B94" s="6" t="s">
        <v>88</v>
      </c>
      <c r="C94">
        <f>VLOOKUP(B94, $W$13:$X$97, 2, FALSE)</f>
        <v>-0.05</v>
      </c>
      <c r="D94" t="s">
        <v>115</v>
      </c>
      <c r="E94" s="6" t="s">
        <v>119</v>
      </c>
      <c r="F94">
        <v>93.400000000000702</v>
      </c>
      <c r="G94">
        <f t="shared" si="20"/>
        <v>-4.6700000000000355</v>
      </c>
      <c r="H94">
        <f t="shared" si="16"/>
        <v>18</v>
      </c>
      <c r="I94">
        <f t="shared" si="17"/>
        <v>-0.25944444444444642</v>
      </c>
      <c r="J94">
        <f t="shared" si="18"/>
        <v>-0.25944444444444642</v>
      </c>
      <c r="K94">
        <f t="shared" si="19"/>
        <v>0</v>
      </c>
      <c r="L94">
        <f t="shared" si="21"/>
        <v>8.0000000000000002E-3</v>
      </c>
      <c r="M94">
        <v>0</v>
      </c>
      <c r="O94">
        <f t="shared" si="22"/>
        <v>0</v>
      </c>
      <c r="R94">
        <f t="shared" si="23"/>
        <v>-3.2586222222222472E-3</v>
      </c>
      <c r="S94">
        <f t="shared" si="24"/>
        <v>0</v>
      </c>
      <c r="W94" t="s">
        <v>85</v>
      </c>
      <c r="X94">
        <v>-7.0000000000000007E-2</v>
      </c>
    </row>
    <row r="95" spans="1:24" x14ac:dyDescent="0.2">
      <c r="A95" t="s">
        <v>102</v>
      </c>
      <c r="B95" s="6" t="s">
        <v>5</v>
      </c>
      <c r="C95">
        <f t="shared" si="15"/>
        <v>-0.12</v>
      </c>
      <c r="D95" t="s">
        <v>115</v>
      </c>
      <c r="E95" s="6" t="s">
        <v>120</v>
      </c>
      <c r="F95">
        <v>93.500000000000696</v>
      </c>
      <c r="G95">
        <f t="shared" ref="G95:G158" si="25">C95*F95</f>
        <v>-11.220000000000082</v>
      </c>
      <c r="H95">
        <f t="shared" si="16"/>
        <v>18</v>
      </c>
      <c r="I95">
        <f t="shared" si="17"/>
        <v>-0.62333333333333796</v>
      </c>
      <c r="J95">
        <f t="shared" si="18"/>
        <v>0</v>
      </c>
      <c r="K95">
        <f t="shared" si="19"/>
        <v>-0.62333333333333796</v>
      </c>
      <c r="L95">
        <f t="shared" si="21"/>
        <v>5.8999999999999999E-3</v>
      </c>
      <c r="M95">
        <f>_xlfn.XLOOKUP(E95,$Z$5:$Z$9,$AA$5:$AA$9)</f>
        <v>5.8999999999999999E-3</v>
      </c>
      <c r="O95">
        <f t="shared" si="22"/>
        <v>0</v>
      </c>
      <c r="R95">
        <f t="shared" si="23"/>
        <v>-5.77393666666671E-3</v>
      </c>
      <c r="S95">
        <f t="shared" si="24"/>
        <v>0</v>
      </c>
      <c r="W95" t="s">
        <v>86</v>
      </c>
      <c r="X95">
        <v>-0.31</v>
      </c>
    </row>
    <row r="96" spans="1:24" x14ac:dyDescent="0.2">
      <c r="A96" t="s">
        <v>102</v>
      </c>
      <c r="B96" s="6" t="s">
        <v>6</v>
      </c>
      <c r="C96">
        <f t="shared" si="15"/>
        <v>-0.43</v>
      </c>
      <c r="D96" t="s">
        <v>115</v>
      </c>
      <c r="E96" s="6" t="s">
        <v>121</v>
      </c>
      <c r="F96">
        <v>93.600000000000705</v>
      </c>
      <c r="G96">
        <f t="shared" si="25"/>
        <v>-40.248000000000303</v>
      </c>
      <c r="H96">
        <f t="shared" si="16"/>
        <v>18</v>
      </c>
      <c r="I96">
        <f t="shared" si="17"/>
        <v>-2.2360000000000166</v>
      </c>
      <c r="J96">
        <f t="shared" si="18"/>
        <v>0</v>
      </c>
      <c r="K96">
        <f t="shared" si="19"/>
        <v>-2.2360000000000166</v>
      </c>
      <c r="L96">
        <f t="shared" si="21"/>
        <v>1.8E-3</v>
      </c>
      <c r="M96">
        <f t="shared" ref="M96:M159" si="26">_xlfn.XLOOKUP(E96,$Z$5:$Z$9,$AA$5:$AA$9)</f>
        <v>1.8E-3</v>
      </c>
      <c r="O96">
        <f t="shared" si="22"/>
        <v>0</v>
      </c>
      <c r="R96">
        <f t="shared" si="23"/>
        <v>-6.3189360000000467E-3</v>
      </c>
      <c r="S96">
        <f t="shared" si="24"/>
        <v>0</v>
      </c>
      <c r="W96" t="s">
        <v>87</v>
      </c>
      <c r="X96">
        <v>-0.27</v>
      </c>
    </row>
    <row r="97" spans="1:24" x14ac:dyDescent="0.2">
      <c r="A97" t="s">
        <v>102</v>
      </c>
      <c r="B97" s="6" t="s">
        <v>7</v>
      </c>
      <c r="C97">
        <f t="shared" si="15"/>
        <v>-0.09</v>
      </c>
      <c r="D97" t="s">
        <v>115</v>
      </c>
      <c r="E97" s="6" t="s">
        <v>121</v>
      </c>
      <c r="F97">
        <v>93.700000000000699</v>
      </c>
      <c r="G97">
        <f t="shared" si="25"/>
        <v>-8.433000000000062</v>
      </c>
      <c r="H97">
        <f t="shared" si="16"/>
        <v>18</v>
      </c>
      <c r="I97">
        <f t="shared" si="17"/>
        <v>-0.46850000000000347</v>
      </c>
      <c r="J97">
        <f t="shared" si="18"/>
        <v>0</v>
      </c>
      <c r="K97">
        <f t="shared" si="19"/>
        <v>-0.46850000000000347</v>
      </c>
      <c r="L97">
        <f t="shared" si="21"/>
        <v>1.8E-3</v>
      </c>
      <c r="M97">
        <f t="shared" si="26"/>
        <v>1.8E-3</v>
      </c>
      <c r="O97">
        <f t="shared" si="22"/>
        <v>0</v>
      </c>
      <c r="R97">
        <f t="shared" si="23"/>
        <v>-1.3239810000000099E-3</v>
      </c>
      <c r="S97">
        <f t="shared" si="24"/>
        <v>0</v>
      </c>
      <c r="W97" t="s">
        <v>88</v>
      </c>
      <c r="X97">
        <v>-0.05</v>
      </c>
    </row>
    <row r="98" spans="1:24" x14ac:dyDescent="0.2">
      <c r="A98" t="s">
        <v>102</v>
      </c>
      <c r="B98" s="6" t="s">
        <v>8</v>
      </c>
      <c r="C98">
        <f t="shared" si="15"/>
        <v>-0.09</v>
      </c>
      <c r="D98" t="s">
        <v>115</v>
      </c>
      <c r="E98" s="6" t="s">
        <v>121</v>
      </c>
      <c r="F98">
        <v>93.800000000000693</v>
      </c>
      <c r="G98">
        <f t="shared" si="25"/>
        <v>-8.4420000000000623</v>
      </c>
      <c r="H98">
        <f t="shared" si="16"/>
        <v>18</v>
      </c>
      <c r="I98">
        <f t="shared" si="17"/>
        <v>-0.46900000000000347</v>
      </c>
      <c r="J98">
        <f t="shared" si="18"/>
        <v>0</v>
      </c>
      <c r="K98">
        <f t="shared" si="19"/>
        <v>-0.46900000000000347</v>
      </c>
      <c r="L98">
        <f t="shared" si="21"/>
        <v>1.8E-3</v>
      </c>
      <c r="M98">
        <f t="shared" si="26"/>
        <v>1.8E-3</v>
      </c>
      <c r="O98">
        <f t="shared" si="22"/>
        <v>0</v>
      </c>
      <c r="R98">
        <f t="shared" si="23"/>
        <v>-1.3253940000000099E-3</v>
      </c>
      <c r="S98">
        <f t="shared" si="24"/>
        <v>0</v>
      </c>
    </row>
    <row r="99" spans="1:24" x14ac:dyDescent="0.2">
      <c r="A99" t="s">
        <v>102</v>
      </c>
      <c r="B99" s="6" t="s">
        <v>9</v>
      </c>
      <c r="C99">
        <f t="shared" si="15"/>
        <v>-0.14000000000000001</v>
      </c>
      <c r="D99" t="s">
        <v>113</v>
      </c>
      <c r="E99" s="6" t="s">
        <v>121</v>
      </c>
      <c r="F99">
        <v>93.900000000000702</v>
      </c>
      <c r="G99">
        <f t="shared" si="25"/>
        <v>-13.1460000000001</v>
      </c>
      <c r="H99">
        <f t="shared" si="16"/>
        <v>18</v>
      </c>
      <c r="I99">
        <f t="shared" si="17"/>
        <v>-0.73033333333333894</v>
      </c>
      <c r="J99">
        <f t="shared" si="18"/>
        <v>0</v>
      </c>
      <c r="K99">
        <f t="shared" si="19"/>
        <v>-0.73033333333333894</v>
      </c>
      <c r="L99">
        <f t="shared" si="21"/>
        <v>1.8E-3</v>
      </c>
      <c r="M99">
        <f t="shared" si="26"/>
        <v>1.8E-3</v>
      </c>
      <c r="O99">
        <f t="shared" si="22"/>
        <v>1</v>
      </c>
      <c r="R99">
        <f t="shared" si="23"/>
        <v>-2.0639220000000162E-3</v>
      </c>
      <c r="S99">
        <f t="shared" si="24"/>
        <v>-3.0270856000000233E-3</v>
      </c>
    </row>
    <row r="100" spans="1:24" x14ac:dyDescent="0.2">
      <c r="A100" t="s">
        <v>102</v>
      </c>
      <c r="B100" s="6" t="s">
        <v>10</v>
      </c>
      <c r="C100">
        <f t="shared" si="15"/>
        <v>-0.13</v>
      </c>
      <c r="D100" t="s">
        <v>113</v>
      </c>
      <c r="E100" s="6" t="s">
        <v>121</v>
      </c>
      <c r="F100">
        <v>94.000000000000796</v>
      </c>
      <c r="G100">
        <f t="shared" si="25"/>
        <v>-12.220000000000104</v>
      </c>
      <c r="H100">
        <f t="shared" si="16"/>
        <v>18</v>
      </c>
      <c r="I100">
        <f t="shared" si="17"/>
        <v>-0.67888888888889465</v>
      </c>
      <c r="J100">
        <f t="shared" si="18"/>
        <v>0</v>
      </c>
      <c r="K100">
        <f t="shared" si="19"/>
        <v>-0.67888888888889465</v>
      </c>
      <c r="L100">
        <f t="shared" si="21"/>
        <v>1.8E-3</v>
      </c>
      <c r="M100">
        <f t="shared" si="26"/>
        <v>1.8E-3</v>
      </c>
      <c r="O100">
        <f t="shared" si="22"/>
        <v>1</v>
      </c>
      <c r="R100">
        <f t="shared" si="23"/>
        <v>-1.9185400000000163E-3</v>
      </c>
      <c r="S100">
        <f t="shared" si="24"/>
        <v>-2.8138586666666904E-3</v>
      </c>
    </row>
    <row r="101" spans="1:24" x14ac:dyDescent="0.2">
      <c r="A101" t="s">
        <v>102</v>
      </c>
      <c r="B101" s="6" t="s">
        <v>11</v>
      </c>
      <c r="C101">
        <f t="shared" si="15"/>
        <v>-0.31</v>
      </c>
      <c r="D101" t="s">
        <v>113</v>
      </c>
      <c r="E101" s="6" t="s">
        <v>121</v>
      </c>
      <c r="F101">
        <v>94.100000000000804</v>
      </c>
      <c r="G101">
        <f t="shared" si="25"/>
        <v>-29.171000000000248</v>
      </c>
      <c r="H101">
        <f t="shared" si="16"/>
        <v>18</v>
      </c>
      <c r="I101">
        <f t="shared" si="17"/>
        <v>-1.620611111111125</v>
      </c>
      <c r="J101">
        <f t="shared" si="18"/>
        <v>0</v>
      </c>
      <c r="K101">
        <f t="shared" si="19"/>
        <v>-1.620611111111125</v>
      </c>
      <c r="L101">
        <f t="shared" si="21"/>
        <v>1.8E-3</v>
      </c>
      <c r="M101">
        <f t="shared" si="26"/>
        <v>1.8E-3</v>
      </c>
      <c r="O101">
        <f t="shared" si="22"/>
        <v>1</v>
      </c>
      <c r="R101">
        <f t="shared" si="23"/>
        <v>-4.5798470000000396E-3</v>
      </c>
      <c r="S101">
        <f t="shared" si="24"/>
        <v>-6.7171089333333909E-3</v>
      </c>
    </row>
    <row r="102" spans="1:24" x14ac:dyDescent="0.2">
      <c r="A102" t="s">
        <v>102</v>
      </c>
      <c r="B102" s="6" t="s">
        <v>12</v>
      </c>
      <c r="C102">
        <f t="shared" si="15"/>
        <v>-0.01</v>
      </c>
      <c r="D102" t="s">
        <v>113</v>
      </c>
      <c r="E102" s="6" t="s">
        <v>121</v>
      </c>
      <c r="F102">
        <v>94.200000000000799</v>
      </c>
      <c r="G102">
        <f t="shared" si="25"/>
        <v>-0.94200000000000805</v>
      </c>
      <c r="H102">
        <f t="shared" si="16"/>
        <v>18</v>
      </c>
      <c r="I102">
        <f t="shared" si="17"/>
        <v>-5.233333333333378E-2</v>
      </c>
      <c r="J102">
        <f t="shared" si="18"/>
        <v>0</v>
      </c>
      <c r="K102">
        <f t="shared" si="19"/>
        <v>-5.233333333333378E-2</v>
      </c>
      <c r="L102">
        <f t="shared" si="21"/>
        <v>1.8E-3</v>
      </c>
      <c r="M102">
        <f t="shared" si="26"/>
        <v>1.8E-3</v>
      </c>
      <c r="O102">
        <f t="shared" si="22"/>
        <v>1</v>
      </c>
      <c r="R102">
        <f t="shared" si="23"/>
        <v>-1.4789400000000125E-4</v>
      </c>
      <c r="S102">
        <f t="shared" si="24"/>
        <v>-2.1691120000000188E-4</v>
      </c>
    </row>
    <row r="103" spans="1:24" x14ac:dyDescent="0.2">
      <c r="A103" t="s">
        <v>102</v>
      </c>
      <c r="B103" s="6" t="s">
        <v>13</v>
      </c>
      <c r="C103">
        <f t="shared" si="15"/>
        <v>-7.0000000000000007E-2</v>
      </c>
      <c r="D103" t="s">
        <v>113</v>
      </c>
      <c r="E103" s="6" t="s">
        <v>121</v>
      </c>
      <c r="F103">
        <v>94.300000000000793</v>
      </c>
      <c r="G103">
        <f t="shared" si="25"/>
        <v>-6.6010000000000559</v>
      </c>
      <c r="H103">
        <f t="shared" si="16"/>
        <v>18</v>
      </c>
      <c r="I103">
        <f t="shared" si="17"/>
        <v>-0.36672222222222534</v>
      </c>
      <c r="J103">
        <f t="shared" si="18"/>
        <v>0</v>
      </c>
      <c r="K103">
        <f t="shared" si="19"/>
        <v>-0.36672222222222534</v>
      </c>
      <c r="L103">
        <f t="shared" si="21"/>
        <v>1.8E-3</v>
      </c>
      <c r="M103">
        <f t="shared" si="26"/>
        <v>1.8E-3</v>
      </c>
      <c r="O103">
        <f t="shared" si="22"/>
        <v>1</v>
      </c>
      <c r="R103">
        <f t="shared" si="23"/>
        <v>-1.0363570000000088E-3</v>
      </c>
      <c r="S103">
        <f t="shared" si="24"/>
        <v>-1.5199902666666795E-3</v>
      </c>
    </row>
    <row r="104" spans="1:24" x14ac:dyDescent="0.2">
      <c r="A104" t="s">
        <v>102</v>
      </c>
      <c r="B104" s="6" t="s">
        <v>14</v>
      </c>
      <c r="C104">
        <f t="shared" si="15"/>
        <v>-0.06</v>
      </c>
      <c r="D104" t="s">
        <v>113</v>
      </c>
      <c r="E104" s="6" t="s">
        <v>121</v>
      </c>
      <c r="F104">
        <v>94.400000000000801</v>
      </c>
      <c r="G104">
        <f t="shared" si="25"/>
        <v>-5.6640000000000477</v>
      </c>
      <c r="H104">
        <f t="shared" si="16"/>
        <v>18</v>
      </c>
      <c r="I104">
        <f t="shared" si="17"/>
        <v>-0.31466666666666931</v>
      </c>
      <c r="J104">
        <f t="shared" si="18"/>
        <v>0</v>
      </c>
      <c r="K104">
        <f t="shared" si="19"/>
        <v>-0.31466666666666931</v>
      </c>
      <c r="L104">
        <f t="shared" si="21"/>
        <v>1.8E-3</v>
      </c>
      <c r="M104">
        <f t="shared" si="26"/>
        <v>1.8E-3</v>
      </c>
      <c r="O104">
        <f t="shared" si="22"/>
        <v>1</v>
      </c>
      <c r="R104">
        <f t="shared" si="23"/>
        <v>-8.8924800000000752E-4</v>
      </c>
      <c r="S104">
        <f t="shared" si="24"/>
        <v>-1.304230400000011E-3</v>
      </c>
    </row>
    <row r="105" spans="1:24" x14ac:dyDescent="0.2">
      <c r="A105" t="s">
        <v>102</v>
      </c>
      <c r="B105" s="6" t="s">
        <v>15</v>
      </c>
      <c r="C105">
        <f t="shared" si="15"/>
        <v>-0.09</v>
      </c>
      <c r="D105" t="s">
        <v>113</v>
      </c>
      <c r="E105" s="6" t="s">
        <v>121</v>
      </c>
      <c r="F105">
        <v>94.500000000000796</v>
      </c>
      <c r="G105">
        <f t="shared" si="25"/>
        <v>-8.5050000000000718</v>
      </c>
      <c r="H105">
        <f t="shared" si="16"/>
        <v>18</v>
      </c>
      <c r="I105">
        <f t="shared" si="17"/>
        <v>-0.47250000000000397</v>
      </c>
      <c r="J105">
        <f t="shared" si="18"/>
        <v>0</v>
      </c>
      <c r="K105">
        <f t="shared" si="19"/>
        <v>-0.47250000000000397</v>
      </c>
      <c r="L105">
        <f t="shared" si="21"/>
        <v>1.8E-3</v>
      </c>
      <c r="M105">
        <f t="shared" si="26"/>
        <v>1.8E-3</v>
      </c>
      <c r="O105">
        <f t="shared" si="22"/>
        <v>1</v>
      </c>
      <c r="R105">
        <f t="shared" si="23"/>
        <v>-1.3352850000000113E-3</v>
      </c>
      <c r="S105">
        <f t="shared" si="24"/>
        <v>-1.958418000000016E-3</v>
      </c>
    </row>
    <row r="106" spans="1:24" x14ac:dyDescent="0.2">
      <c r="A106" t="s">
        <v>102</v>
      </c>
      <c r="B106" s="6" t="s">
        <v>16</v>
      </c>
      <c r="C106">
        <f t="shared" si="15"/>
        <v>-0.19</v>
      </c>
      <c r="D106" t="s">
        <v>113</v>
      </c>
      <c r="E106" s="6" t="s">
        <v>121</v>
      </c>
      <c r="F106">
        <v>94.600000000000804</v>
      </c>
      <c r="G106">
        <f t="shared" si="25"/>
        <v>-17.974000000000153</v>
      </c>
      <c r="H106">
        <f t="shared" si="16"/>
        <v>18</v>
      </c>
      <c r="I106">
        <f t="shared" si="17"/>
        <v>-0.99855555555556408</v>
      </c>
      <c r="J106">
        <f t="shared" si="18"/>
        <v>0</v>
      </c>
      <c r="K106">
        <f t="shared" si="19"/>
        <v>-0.99855555555556408</v>
      </c>
      <c r="L106">
        <f t="shared" si="21"/>
        <v>1.8E-3</v>
      </c>
      <c r="M106">
        <f t="shared" si="26"/>
        <v>1.8E-3</v>
      </c>
      <c r="O106">
        <f t="shared" si="22"/>
        <v>1</v>
      </c>
      <c r="R106">
        <f t="shared" si="23"/>
        <v>-2.8219180000000244E-3</v>
      </c>
      <c r="S106">
        <f t="shared" si="24"/>
        <v>-4.1388130666667015E-3</v>
      </c>
    </row>
    <row r="107" spans="1:24" x14ac:dyDescent="0.2">
      <c r="A107" t="s">
        <v>102</v>
      </c>
      <c r="B107" s="6" t="s">
        <v>17</v>
      </c>
      <c r="C107">
        <f t="shared" ref="C107:C138" si="27">VLOOKUP(B107, $W$13:$X$96, 2, FALSE)</f>
        <v>-0.13</v>
      </c>
      <c r="D107" t="s">
        <v>113</v>
      </c>
      <c r="E107" s="6" t="s">
        <v>121</v>
      </c>
      <c r="F107">
        <v>94.700000000000799</v>
      </c>
      <c r="G107">
        <f t="shared" si="25"/>
        <v>-12.311000000000105</v>
      </c>
      <c r="H107">
        <f t="shared" ref="H107:H138" si="28">$V$6</f>
        <v>18</v>
      </c>
      <c r="I107">
        <f t="shared" ref="I107:I138" si="29">G107/H107</f>
        <v>-0.68394444444445024</v>
      </c>
      <c r="J107">
        <f t="shared" ref="J107:J138" si="30">IF(A107="crop",I107, 0)</f>
        <v>0</v>
      </c>
      <c r="K107">
        <f t="shared" ref="K107:K138" si="31">IF(A107="crop", 0, I107)</f>
        <v>-0.68394444444445024</v>
      </c>
      <c r="L107">
        <f t="shared" si="21"/>
        <v>1.8E-3</v>
      </c>
      <c r="M107">
        <f t="shared" si="26"/>
        <v>1.8E-3</v>
      </c>
      <c r="O107">
        <f t="shared" si="22"/>
        <v>1</v>
      </c>
      <c r="R107">
        <f t="shared" si="23"/>
        <v>-1.9328270000000163E-3</v>
      </c>
      <c r="S107">
        <f t="shared" si="24"/>
        <v>-2.8348129333333571E-3</v>
      </c>
    </row>
    <row r="108" spans="1:24" x14ac:dyDescent="0.2">
      <c r="A108" t="s">
        <v>102</v>
      </c>
      <c r="B108" s="6" t="s">
        <v>18</v>
      </c>
      <c r="C108">
        <f t="shared" si="27"/>
        <v>-0.04</v>
      </c>
      <c r="D108" t="s">
        <v>113</v>
      </c>
      <c r="E108" s="6" t="s">
        <v>121</v>
      </c>
      <c r="F108">
        <v>94.800000000000793</v>
      </c>
      <c r="G108">
        <f t="shared" si="25"/>
        <v>-3.7920000000000318</v>
      </c>
      <c r="H108">
        <f t="shared" si="28"/>
        <v>18</v>
      </c>
      <c r="I108">
        <f t="shared" si="29"/>
        <v>-0.21066666666666845</v>
      </c>
      <c r="J108">
        <f t="shared" si="30"/>
        <v>0</v>
      </c>
      <c r="K108">
        <f t="shared" si="31"/>
        <v>-0.21066666666666845</v>
      </c>
      <c r="L108">
        <f t="shared" si="21"/>
        <v>1.8E-3</v>
      </c>
      <c r="M108">
        <f t="shared" si="26"/>
        <v>1.8E-3</v>
      </c>
      <c r="O108">
        <f t="shared" si="22"/>
        <v>1</v>
      </c>
      <c r="R108">
        <f t="shared" si="23"/>
        <v>-5.9534400000000503E-4</v>
      </c>
      <c r="S108">
        <f t="shared" si="24"/>
        <v>-8.7317120000000728E-4</v>
      </c>
    </row>
    <row r="109" spans="1:24" x14ac:dyDescent="0.2">
      <c r="A109" t="s">
        <v>102</v>
      </c>
      <c r="B109" s="6" t="s">
        <v>19</v>
      </c>
      <c r="C109">
        <f t="shared" si="27"/>
        <v>-0.4</v>
      </c>
      <c r="D109" t="s">
        <v>113</v>
      </c>
      <c r="E109" s="6" t="s">
        <v>121</v>
      </c>
      <c r="F109">
        <v>94.900000000000801</v>
      </c>
      <c r="G109">
        <f t="shared" si="25"/>
        <v>-37.960000000000321</v>
      </c>
      <c r="H109">
        <f t="shared" si="28"/>
        <v>18</v>
      </c>
      <c r="I109">
        <f t="shared" si="29"/>
        <v>-2.1088888888889068</v>
      </c>
      <c r="J109">
        <f t="shared" si="30"/>
        <v>0</v>
      </c>
      <c r="K109">
        <f t="shared" si="31"/>
        <v>-2.1088888888889068</v>
      </c>
      <c r="L109">
        <f t="shared" si="21"/>
        <v>1.8E-3</v>
      </c>
      <c r="M109">
        <f t="shared" si="26"/>
        <v>1.8E-3</v>
      </c>
      <c r="O109">
        <f t="shared" si="22"/>
        <v>1</v>
      </c>
      <c r="R109">
        <f t="shared" si="23"/>
        <v>-5.9597200000000503E-3</v>
      </c>
      <c r="S109">
        <f t="shared" si="24"/>
        <v>-8.7409226666667408E-3</v>
      </c>
    </row>
    <row r="110" spans="1:24" x14ac:dyDescent="0.2">
      <c r="A110" t="s">
        <v>102</v>
      </c>
      <c r="B110" s="6" t="s">
        <v>20</v>
      </c>
      <c r="C110">
        <f t="shared" si="27"/>
        <v>-0.09</v>
      </c>
      <c r="D110" t="s">
        <v>113</v>
      </c>
      <c r="E110" s="6" t="s">
        <v>121</v>
      </c>
      <c r="F110">
        <v>95.000000000000796</v>
      </c>
      <c r="G110">
        <f t="shared" si="25"/>
        <v>-8.5500000000000718</v>
      </c>
      <c r="H110">
        <f t="shared" si="28"/>
        <v>18</v>
      </c>
      <c r="I110">
        <f t="shared" si="29"/>
        <v>-0.47500000000000397</v>
      </c>
      <c r="J110">
        <f t="shared" si="30"/>
        <v>0</v>
      </c>
      <c r="K110">
        <f t="shared" si="31"/>
        <v>-0.47500000000000397</v>
      </c>
      <c r="L110">
        <f t="shared" si="21"/>
        <v>1.8E-3</v>
      </c>
      <c r="M110">
        <f t="shared" si="26"/>
        <v>1.8E-3</v>
      </c>
      <c r="O110">
        <f t="shared" si="22"/>
        <v>1</v>
      </c>
      <c r="R110">
        <f t="shared" si="23"/>
        <v>-1.3423500000000112E-3</v>
      </c>
      <c r="S110">
        <f t="shared" si="24"/>
        <v>-1.9687800000000163E-3</v>
      </c>
    </row>
    <row r="111" spans="1:24" x14ac:dyDescent="0.2">
      <c r="A111" t="s">
        <v>102</v>
      </c>
      <c r="B111" s="6" t="s">
        <v>21</v>
      </c>
      <c r="C111">
        <f t="shared" si="27"/>
        <v>-0.04</v>
      </c>
      <c r="D111" t="s">
        <v>113</v>
      </c>
      <c r="E111" s="6" t="s">
        <v>121</v>
      </c>
      <c r="F111">
        <v>95.100000000000904</v>
      </c>
      <c r="G111">
        <f t="shared" si="25"/>
        <v>-3.8040000000000362</v>
      </c>
      <c r="H111">
        <f t="shared" si="28"/>
        <v>18</v>
      </c>
      <c r="I111">
        <f t="shared" si="29"/>
        <v>-0.21133333333333534</v>
      </c>
      <c r="J111">
        <f t="shared" si="30"/>
        <v>0</v>
      </c>
      <c r="K111">
        <f t="shared" si="31"/>
        <v>-0.21133333333333534</v>
      </c>
      <c r="L111">
        <f t="shared" si="21"/>
        <v>1.8E-3</v>
      </c>
      <c r="M111">
        <f t="shared" si="26"/>
        <v>1.8E-3</v>
      </c>
      <c r="O111">
        <f t="shared" si="22"/>
        <v>1</v>
      </c>
      <c r="R111">
        <f t="shared" si="23"/>
        <v>-5.9722800000000574E-4</v>
      </c>
      <c r="S111">
        <f t="shared" si="24"/>
        <v>-8.7593440000000825E-4</v>
      </c>
    </row>
    <row r="112" spans="1:24" x14ac:dyDescent="0.2">
      <c r="A112" t="s">
        <v>102</v>
      </c>
      <c r="B112" s="6" t="s">
        <v>22</v>
      </c>
      <c r="C112">
        <f t="shared" si="27"/>
        <v>-0.44</v>
      </c>
      <c r="D112" t="s">
        <v>113</v>
      </c>
      <c r="E112" s="6" t="s">
        <v>120</v>
      </c>
      <c r="F112">
        <v>95.200000000000898</v>
      </c>
      <c r="G112">
        <f t="shared" si="25"/>
        <v>-41.888000000000396</v>
      </c>
      <c r="H112">
        <f t="shared" si="28"/>
        <v>18</v>
      </c>
      <c r="I112">
        <f t="shared" si="29"/>
        <v>-2.3271111111111331</v>
      </c>
      <c r="J112">
        <f t="shared" si="30"/>
        <v>0</v>
      </c>
      <c r="K112">
        <f t="shared" si="31"/>
        <v>-2.3271111111111331</v>
      </c>
      <c r="L112">
        <f t="shared" si="21"/>
        <v>5.8999999999999999E-3</v>
      </c>
      <c r="M112">
        <f t="shared" si="26"/>
        <v>5.8999999999999999E-3</v>
      </c>
      <c r="O112">
        <f t="shared" si="22"/>
        <v>1</v>
      </c>
      <c r="R112">
        <f t="shared" si="23"/>
        <v>-2.1556030222222425E-2</v>
      </c>
      <c r="S112">
        <f t="shared" si="24"/>
        <v>-9.6454101333334243E-3</v>
      </c>
    </row>
    <row r="113" spans="1:19" x14ac:dyDescent="0.2">
      <c r="A113" t="s">
        <v>102</v>
      </c>
      <c r="B113" s="6" t="s">
        <v>23</v>
      </c>
      <c r="C113">
        <f t="shared" si="27"/>
        <v>-0.21</v>
      </c>
      <c r="D113" t="s">
        <v>113</v>
      </c>
      <c r="E113" s="6" t="s">
        <v>120</v>
      </c>
      <c r="F113">
        <v>95.300000000000907</v>
      </c>
      <c r="G113">
        <f t="shared" si="25"/>
        <v>-20.01300000000019</v>
      </c>
      <c r="H113">
        <f t="shared" si="28"/>
        <v>18</v>
      </c>
      <c r="I113">
        <f t="shared" si="29"/>
        <v>-1.1118333333333439</v>
      </c>
      <c r="J113">
        <f t="shared" si="30"/>
        <v>0</v>
      </c>
      <c r="K113">
        <f t="shared" si="31"/>
        <v>-1.1118333333333439</v>
      </c>
      <c r="L113">
        <f t="shared" si="21"/>
        <v>5.8999999999999999E-3</v>
      </c>
      <c r="M113">
        <f t="shared" si="26"/>
        <v>5.8999999999999999E-3</v>
      </c>
      <c r="O113">
        <f t="shared" si="22"/>
        <v>1</v>
      </c>
      <c r="R113">
        <f t="shared" si="23"/>
        <v>-1.0298912166666766E-2</v>
      </c>
      <c r="S113">
        <f t="shared" si="24"/>
        <v>-4.6083268000000439E-3</v>
      </c>
    </row>
    <row r="114" spans="1:19" x14ac:dyDescent="0.2">
      <c r="A114" t="s">
        <v>102</v>
      </c>
      <c r="B114" s="6" t="s">
        <v>24</v>
      </c>
      <c r="C114">
        <f t="shared" si="27"/>
        <v>-0.21</v>
      </c>
      <c r="D114" t="s">
        <v>113</v>
      </c>
      <c r="E114" s="6" t="s">
        <v>120</v>
      </c>
      <c r="F114">
        <v>95.400000000000901</v>
      </c>
      <c r="G114">
        <f t="shared" si="25"/>
        <v>-20.034000000000187</v>
      </c>
      <c r="H114">
        <f t="shared" si="28"/>
        <v>18</v>
      </c>
      <c r="I114">
        <f t="shared" si="29"/>
        <v>-1.1130000000000104</v>
      </c>
      <c r="J114">
        <f t="shared" si="30"/>
        <v>0</v>
      </c>
      <c r="K114">
        <f t="shared" si="31"/>
        <v>-1.1130000000000104</v>
      </c>
      <c r="L114">
        <f t="shared" si="21"/>
        <v>5.8999999999999999E-3</v>
      </c>
      <c r="M114">
        <f t="shared" si="26"/>
        <v>5.8999999999999999E-3</v>
      </c>
      <c r="O114">
        <f t="shared" si="22"/>
        <v>1</v>
      </c>
      <c r="R114">
        <f t="shared" si="23"/>
        <v>-1.0309719000000097E-2</v>
      </c>
      <c r="S114">
        <f t="shared" si="24"/>
        <v>-4.6131624000000423E-3</v>
      </c>
    </row>
    <row r="115" spans="1:19" x14ac:dyDescent="0.2">
      <c r="A115" t="s">
        <v>102</v>
      </c>
      <c r="B115" s="6" t="s">
        <v>25</v>
      </c>
      <c r="C115">
        <f t="shared" si="27"/>
        <v>-0.19</v>
      </c>
      <c r="D115" t="s">
        <v>113</v>
      </c>
      <c r="E115" s="6" t="s">
        <v>120</v>
      </c>
      <c r="F115">
        <v>95.500000000000895</v>
      </c>
      <c r="G115">
        <f t="shared" si="25"/>
        <v>-18.14500000000017</v>
      </c>
      <c r="H115">
        <f t="shared" si="28"/>
        <v>18</v>
      </c>
      <c r="I115">
        <f t="shared" si="29"/>
        <v>-1.008055555555565</v>
      </c>
      <c r="J115">
        <f t="shared" si="30"/>
        <v>0</v>
      </c>
      <c r="K115">
        <f t="shared" si="31"/>
        <v>-1.008055555555565</v>
      </c>
      <c r="L115">
        <f t="shared" si="21"/>
        <v>5.8999999999999999E-3</v>
      </c>
      <c r="M115">
        <f t="shared" si="26"/>
        <v>5.8999999999999999E-3</v>
      </c>
      <c r="O115">
        <f t="shared" si="22"/>
        <v>1</v>
      </c>
      <c r="R115">
        <f t="shared" si="23"/>
        <v>-9.3376186111111988E-3</v>
      </c>
      <c r="S115">
        <f t="shared" si="24"/>
        <v>-4.1781886666667064E-3</v>
      </c>
    </row>
    <row r="116" spans="1:19" x14ac:dyDescent="0.2">
      <c r="A116" t="s">
        <v>102</v>
      </c>
      <c r="B116" s="6" t="s">
        <v>26</v>
      </c>
      <c r="C116">
        <f t="shared" si="27"/>
        <v>-0.04</v>
      </c>
      <c r="D116" t="s">
        <v>113</v>
      </c>
      <c r="E116" s="6" t="s">
        <v>120</v>
      </c>
      <c r="F116">
        <v>95.600000000000904</v>
      </c>
      <c r="G116">
        <f t="shared" si="25"/>
        <v>-3.8240000000000363</v>
      </c>
      <c r="H116">
        <f t="shared" si="28"/>
        <v>18</v>
      </c>
      <c r="I116">
        <f t="shared" si="29"/>
        <v>-0.21244444444444646</v>
      </c>
      <c r="J116">
        <f t="shared" si="30"/>
        <v>0</v>
      </c>
      <c r="K116">
        <f t="shared" si="31"/>
        <v>-0.21244444444444646</v>
      </c>
      <c r="L116">
        <f t="shared" si="21"/>
        <v>5.8999999999999999E-3</v>
      </c>
      <c r="M116">
        <f t="shared" si="26"/>
        <v>5.8999999999999999E-3</v>
      </c>
      <c r="O116">
        <f t="shared" si="22"/>
        <v>1</v>
      </c>
      <c r="R116">
        <f t="shared" si="23"/>
        <v>-1.9678728888889076E-3</v>
      </c>
      <c r="S116">
        <f t="shared" si="24"/>
        <v>-8.805397333333417E-4</v>
      </c>
    </row>
    <row r="117" spans="1:19" x14ac:dyDescent="0.2">
      <c r="A117" t="s">
        <v>102</v>
      </c>
      <c r="B117" s="6" t="s">
        <v>27</v>
      </c>
      <c r="C117">
        <f t="shared" si="27"/>
        <v>-7.0000000000000007E-2</v>
      </c>
      <c r="D117" t="s">
        <v>113</v>
      </c>
      <c r="E117" s="6" t="s">
        <v>120</v>
      </c>
      <c r="F117">
        <v>95.700000000000898</v>
      </c>
      <c r="G117">
        <f t="shared" si="25"/>
        <v>-6.6990000000000638</v>
      </c>
      <c r="H117">
        <f t="shared" si="28"/>
        <v>18</v>
      </c>
      <c r="I117">
        <f t="shared" si="29"/>
        <v>-0.3721666666666702</v>
      </c>
      <c r="J117">
        <f t="shared" si="30"/>
        <v>0</v>
      </c>
      <c r="K117">
        <f t="shared" si="31"/>
        <v>-0.3721666666666702</v>
      </c>
      <c r="L117">
        <f t="shared" si="21"/>
        <v>5.8999999999999999E-3</v>
      </c>
      <c r="M117">
        <f t="shared" si="26"/>
        <v>5.8999999999999999E-3</v>
      </c>
      <c r="O117">
        <f t="shared" si="22"/>
        <v>1</v>
      </c>
      <c r="R117">
        <f t="shared" si="23"/>
        <v>-3.4473798333333663E-3</v>
      </c>
      <c r="S117">
        <f t="shared" si="24"/>
        <v>-1.5425564000000147E-3</v>
      </c>
    </row>
    <row r="118" spans="1:19" x14ac:dyDescent="0.2">
      <c r="A118" t="s">
        <v>102</v>
      </c>
      <c r="B118" s="6" t="s">
        <v>28</v>
      </c>
      <c r="C118">
        <f t="shared" si="27"/>
        <v>-0.04</v>
      </c>
      <c r="D118" t="s">
        <v>113</v>
      </c>
      <c r="E118" s="6" t="s">
        <v>120</v>
      </c>
      <c r="F118">
        <v>95.800000000000907</v>
      </c>
      <c r="G118">
        <f t="shared" si="25"/>
        <v>-3.8320000000000363</v>
      </c>
      <c r="H118">
        <f t="shared" si="28"/>
        <v>18</v>
      </c>
      <c r="I118">
        <f t="shared" si="29"/>
        <v>-0.2128888888888909</v>
      </c>
      <c r="J118">
        <f t="shared" si="30"/>
        <v>0</v>
      </c>
      <c r="K118">
        <f t="shared" si="31"/>
        <v>-0.2128888888888909</v>
      </c>
      <c r="L118">
        <f t="shared" si="21"/>
        <v>5.8999999999999999E-3</v>
      </c>
      <c r="M118">
        <f t="shared" si="26"/>
        <v>5.8999999999999999E-3</v>
      </c>
      <c r="O118">
        <f t="shared" si="22"/>
        <v>1</v>
      </c>
      <c r="R118">
        <f t="shared" si="23"/>
        <v>-1.9719897777777965E-3</v>
      </c>
      <c r="S118">
        <f t="shared" si="24"/>
        <v>-8.8238186666667496E-4</v>
      </c>
    </row>
    <row r="119" spans="1:19" x14ac:dyDescent="0.2">
      <c r="A119" t="s">
        <v>102</v>
      </c>
      <c r="B119" s="6" t="s">
        <v>29</v>
      </c>
      <c r="C119">
        <f t="shared" si="27"/>
        <v>-0.25</v>
      </c>
      <c r="D119" t="s">
        <v>113</v>
      </c>
      <c r="E119" s="6" t="s">
        <v>120</v>
      </c>
      <c r="F119">
        <v>95.900000000000901</v>
      </c>
      <c r="G119">
        <f t="shared" si="25"/>
        <v>-23.975000000000225</v>
      </c>
      <c r="H119">
        <f t="shared" si="28"/>
        <v>18</v>
      </c>
      <c r="I119">
        <f t="shared" si="29"/>
        <v>-1.331944444444457</v>
      </c>
      <c r="J119">
        <f t="shared" si="30"/>
        <v>0</v>
      </c>
      <c r="K119">
        <f t="shared" si="31"/>
        <v>-1.331944444444457</v>
      </c>
      <c r="L119">
        <f t="shared" si="21"/>
        <v>5.8999999999999999E-3</v>
      </c>
      <c r="M119">
        <f t="shared" si="26"/>
        <v>5.8999999999999999E-3</v>
      </c>
      <c r="O119">
        <f t="shared" si="22"/>
        <v>1</v>
      </c>
      <c r="R119">
        <f t="shared" si="23"/>
        <v>-1.2337801388889005E-2</v>
      </c>
      <c r="S119">
        <f t="shared" si="24"/>
        <v>-5.5206433333333848E-3</v>
      </c>
    </row>
    <row r="120" spans="1:19" x14ac:dyDescent="0.2">
      <c r="A120" t="s">
        <v>102</v>
      </c>
      <c r="B120" s="6" t="s">
        <v>30</v>
      </c>
      <c r="C120">
        <f t="shared" si="27"/>
        <v>-0.17</v>
      </c>
      <c r="D120" t="s">
        <v>113</v>
      </c>
      <c r="E120" s="6" t="s">
        <v>120</v>
      </c>
      <c r="F120">
        <v>96.000000000000895</v>
      </c>
      <c r="G120">
        <f t="shared" si="25"/>
        <v>-16.320000000000153</v>
      </c>
      <c r="H120">
        <f t="shared" si="28"/>
        <v>18</v>
      </c>
      <c r="I120">
        <f t="shared" si="29"/>
        <v>-0.90666666666667517</v>
      </c>
      <c r="J120">
        <f t="shared" si="30"/>
        <v>0</v>
      </c>
      <c r="K120">
        <f t="shared" si="31"/>
        <v>-0.90666666666667517</v>
      </c>
      <c r="L120">
        <f t="shared" si="21"/>
        <v>5.8999999999999999E-3</v>
      </c>
      <c r="M120">
        <f t="shared" si="26"/>
        <v>5.8999999999999999E-3</v>
      </c>
      <c r="O120">
        <f t="shared" si="22"/>
        <v>1</v>
      </c>
      <c r="R120">
        <f t="shared" si="23"/>
        <v>-8.3984533333334114E-3</v>
      </c>
      <c r="S120">
        <f t="shared" si="24"/>
        <v>-3.7579520000000349E-3</v>
      </c>
    </row>
    <row r="121" spans="1:19" x14ac:dyDescent="0.2">
      <c r="A121" t="s">
        <v>102</v>
      </c>
      <c r="B121" s="6" t="s">
        <v>31</v>
      </c>
      <c r="C121">
        <f t="shared" si="27"/>
        <v>-0.03</v>
      </c>
      <c r="D121" t="s">
        <v>113</v>
      </c>
      <c r="E121" s="6" t="s">
        <v>120</v>
      </c>
      <c r="F121">
        <v>96.100000000000904</v>
      </c>
      <c r="G121">
        <f t="shared" si="25"/>
        <v>-2.8830000000000271</v>
      </c>
      <c r="H121">
        <f t="shared" si="28"/>
        <v>18</v>
      </c>
      <c r="I121">
        <f t="shared" si="29"/>
        <v>-0.16016666666666818</v>
      </c>
      <c r="J121">
        <f t="shared" si="30"/>
        <v>0</v>
      </c>
      <c r="K121">
        <f t="shared" si="31"/>
        <v>-0.16016666666666818</v>
      </c>
      <c r="L121">
        <f t="shared" si="21"/>
        <v>5.8999999999999999E-3</v>
      </c>
      <c r="M121">
        <f t="shared" si="26"/>
        <v>5.8999999999999999E-3</v>
      </c>
      <c r="O121">
        <f t="shared" si="22"/>
        <v>1</v>
      </c>
      <c r="R121">
        <f t="shared" si="23"/>
        <v>-1.4836238333333473E-3</v>
      </c>
      <c r="S121">
        <f t="shared" si="24"/>
        <v>-6.6385880000000626E-4</v>
      </c>
    </row>
    <row r="122" spans="1:19" x14ac:dyDescent="0.2">
      <c r="A122" t="s">
        <v>102</v>
      </c>
      <c r="B122" s="6" t="s">
        <v>32</v>
      </c>
      <c r="C122">
        <f t="shared" si="27"/>
        <v>-0.02</v>
      </c>
      <c r="D122" t="s">
        <v>113</v>
      </c>
      <c r="E122" s="6" t="s">
        <v>120</v>
      </c>
      <c r="F122">
        <v>96.200000000000898</v>
      </c>
      <c r="G122">
        <f t="shared" si="25"/>
        <v>-1.9240000000000179</v>
      </c>
      <c r="H122">
        <f t="shared" si="28"/>
        <v>18</v>
      </c>
      <c r="I122">
        <f t="shared" si="29"/>
        <v>-0.10688888888888988</v>
      </c>
      <c r="J122">
        <f t="shared" si="30"/>
        <v>0</v>
      </c>
      <c r="K122">
        <f t="shared" si="31"/>
        <v>-0.10688888888888988</v>
      </c>
      <c r="L122">
        <f t="shared" si="21"/>
        <v>5.8999999999999999E-3</v>
      </c>
      <c r="M122">
        <f t="shared" si="26"/>
        <v>5.8999999999999999E-3</v>
      </c>
      <c r="O122">
        <f t="shared" si="22"/>
        <v>1</v>
      </c>
      <c r="R122">
        <f t="shared" si="23"/>
        <v>-9.9011177777778695E-4</v>
      </c>
      <c r="S122">
        <f t="shared" si="24"/>
        <v>-4.4303306666667079E-4</v>
      </c>
    </row>
    <row r="123" spans="1:19" x14ac:dyDescent="0.2">
      <c r="A123" t="s">
        <v>102</v>
      </c>
      <c r="B123" s="6" t="s">
        <v>33</v>
      </c>
      <c r="C123">
        <f t="shared" si="27"/>
        <v>-0.43</v>
      </c>
      <c r="D123" t="s">
        <v>115</v>
      </c>
      <c r="E123" s="6" t="s">
        <v>120</v>
      </c>
      <c r="F123">
        <v>96.300000000001006</v>
      </c>
      <c r="G123">
        <f t="shared" si="25"/>
        <v>-41.409000000000432</v>
      </c>
      <c r="H123">
        <f t="shared" si="28"/>
        <v>18</v>
      </c>
      <c r="I123">
        <f t="shared" si="29"/>
        <v>-2.300500000000024</v>
      </c>
      <c r="J123">
        <f t="shared" si="30"/>
        <v>0</v>
      </c>
      <c r="K123">
        <f t="shared" si="31"/>
        <v>-2.300500000000024</v>
      </c>
      <c r="L123">
        <f t="shared" si="21"/>
        <v>5.8999999999999999E-3</v>
      </c>
      <c r="M123">
        <f t="shared" si="26"/>
        <v>5.8999999999999999E-3</v>
      </c>
      <c r="O123">
        <f t="shared" si="22"/>
        <v>0</v>
      </c>
      <c r="R123">
        <f t="shared" si="23"/>
        <v>-2.1309531500000221E-2</v>
      </c>
      <c r="S123">
        <f t="shared" si="24"/>
        <v>0</v>
      </c>
    </row>
    <row r="124" spans="1:19" x14ac:dyDescent="0.2">
      <c r="A124" t="s">
        <v>102</v>
      </c>
      <c r="B124" s="6" t="s">
        <v>34</v>
      </c>
      <c r="C124">
        <f t="shared" si="27"/>
        <v>-0.14000000000000001</v>
      </c>
      <c r="D124" t="s">
        <v>115</v>
      </c>
      <c r="E124" s="6" t="s">
        <v>120</v>
      </c>
      <c r="F124">
        <v>96.400000000001</v>
      </c>
      <c r="G124">
        <f t="shared" si="25"/>
        <v>-13.496000000000141</v>
      </c>
      <c r="H124">
        <f t="shared" si="28"/>
        <v>18</v>
      </c>
      <c r="I124">
        <f t="shared" si="29"/>
        <v>-0.74977777777778565</v>
      </c>
      <c r="J124">
        <f t="shared" si="30"/>
        <v>0</v>
      </c>
      <c r="K124">
        <f t="shared" si="31"/>
        <v>-0.74977777777778565</v>
      </c>
      <c r="L124">
        <f t="shared" si="21"/>
        <v>5.8999999999999999E-3</v>
      </c>
      <c r="M124">
        <f t="shared" si="26"/>
        <v>5.8999999999999999E-3</v>
      </c>
      <c r="O124">
        <f t="shared" si="22"/>
        <v>0</v>
      </c>
      <c r="R124">
        <f t="shared" si="23"/>
        <v>-6.9451915555556283E-3</v>
      </c>
      <c r="S124">
        <f t="shared" si="24"/>
        <v>0</v>
      </c>
    </row>
    <row r="125" spans="1:19" x14ac:dyDescent="0.2">
      <c r="A125" t="s">
        <v>102</v>
      </c>
      <c r="B125" s="6" t="s">
        <v>35</v>
      </c>
      <c r="C125">
        <f t="shared" si="27"/>
        <v>-0.03</v>
      </c>
      <c r="D125" t="s">
        <v>115</v>
      </c>
      <c r="E125" s="6" t="s">
        <v>120</v>
      </c>
      <c r="F125">
        <v>96.500000000000995</v>
      </c>
      <c r="G125">
        <f t="shared" si="25"/>
        <v>-2.8950000000000298</v>
      </c>
      <c r="H125">
        <f t="shared" si="28"/>
        <v>18</v>
      </c>
      <c r="I125">
        <f t="shared" si="29"/>
        <v>-0.16083333333333499</v>
      </c>
      <c r="J125">
        <f t="shared" si="30"/>
        <v>0</v>
      </c>
      <c r="K125">
        <f t="shared" si="31"/>
        <v>-0.16083333333333499</v>
      </c>
      <c r="L125">
        <f t="shared" si="21"/>
        <v>5.8999999999999999E-3</v>
      </c>
      <c r="M125">
        <f t="shared" si="26"/>
        <v>5.8999999999999999E-3</v>
      </c>
      <c r="O125">
        <f t="shared" si="22"/>
        <v>0</v>
      </c>
      <c r="R125">
        <f t="shared" si="23"/>
        <v>-1.4897991666666822E-3</v>
      </c>
      <c r="S125">
        <f t="shared" si="24"/>
        <v>0</v>
      </c>
    </row>
    <row r="126" spans="1:19" x14ac:dyDescent="0.2">
      <c r="A126" t="s">
        <v>102</v>
      </c>
      <c r="B126" s="6" t="s">
        <v>36</v>
      </c>
      <c r="C126">
        <f t="shared" si="27"/>
        <v>-0.12</v>
      </c>
      <c r="D126" t="s">
        <v>115</v>
      </c>
      <c r="E126" s="6" t="s">
        <v>120</v>
      </c>
      <c r="F126">
        <v>96.600000000001003</v>
      </c>
      <c r="G126">
        <f t="shared" si="25"/>
        <v>-11.59200000000012</v>
      </c>
      <c r="H126">
        <f t="shared" si="28"/>
        <v>18</v>
      </c>
      <c r="I126">
        <f t="shared" si="29"/>
        <v>-0.64400000000000668</v>
      </c>
      <c r="J126">
        <f t="shared" si="30"/>
        <v>0</v>
      </c>
      <c r="K126">
        <f t="shared" si="31"/>
        <v>-0.64400000000000668</v>
      </c>
      <c r="L126">
        <f t="shared" si="21"/>
        <v>5.8999999999999999E-3</v>
      </c>
      <c r="M126">
        <f t="shared" si="26"/>
        <v>5.8999999999999999E-3</v>
      </c>
      <c r="O126">
        <f t="shared" si="22"/>
        <v>0</v>
      </c>
      <c r="R126">
        <f t="shared" si="23"/>
        <v>-5.9653720000000616E-3</v>
      </c>
      <c r="S126">
        <f t="shared" si="24"/>
        <v>0</v>
      </c>
    </row>
    <row r="127" spans="1:19" x14ac:dyDescent="0.2">
      <c r="A127" t="s">
        <v>102</v>
      </c>
      <c r="B127" s="6" t="s">
        <v>37</v>
      </c>
      <c r="C127">
        <f t="shared" si="27"/>
        <v>-0.13</v>
      </c>
      <c r="D127" t="s">
        <v>115</v>
      </c>
      <c r="E127" s="6" t="s">
        <v>120</v>
      </c>
      <c r="F127">
        <v>96.700000000000998</v>
      </c>
      <c r="G127">
        <f t="shared" si="25"/>
        <v>-12.571000000000129</v>
      </c>
      <c r="H127">
        <f t="shared" si="28"/>
        <v>18</v>
      </c>
      <c r="I127">
        <f t="shared" si="29"/>
        <v>-0.69838888888889605</v>
      </c>
      <c r="J127">
        <f t="shared" si="30"/>
        <v>0</v>
      </c>
      <c r="K127">
        <f t="shared" si="31"/>
        <v>-0.69838888888889605</v>
      </c>
      <c r="L127">
        <f t="shared" si="21"/>
        <v>5.8999999999999999E-3</v>
      </c>
      <c r="M127">
        <f t="shared" si="26"/>
        <v>5.8999999999999999E-3</v>
      </c>
      <c r="O127">
        <f t="shared" si="22"/>
        <v>0</v>
      </c>
      <c r="R127">
        <f t="shared" si="23"/>
        <v>-6.4691762777778451E-3</v>
      </c>
      <c r="S127">
        <f t="shared" si="24"/>
        <v>0</v>
      </c>
    </row>
    <row r="128" spans="1:19" x14ac:dyDescent="0.2">
      <c r="A128" t="s">
        <v>102</v>
      </c>
      <c r="B128" s="6" t="s">
        <v>38</v>
      </c>
      <c r="C128">
        <f t="shared" si="27"/>
        <v>-0.16</v>
      </c>
      <c r="D128" t="s">
        <v>115</v>
      </c>
      <c r="E128" s="6" t="s">
        <v>120</v>
      </c>
      <c r="F128">
        <v>96.800000000001006</v>
      </c>
      <c r="G128">
        <f t="shared" si="25"/>
        <v>-15.488000000000161</v>
      </c>
      <c r="H128">
        <f t="shared" si="28"/>
        <v>18</v>
      </c>
      <c r="I128">
        <f t="shared" si="29"/>
        <v>-0.86044444444445345</v>
      </c>
      <c r="J128">
        <f t="shared" si="30"/>
        <v>0</v>
      </c>
      <c r="K128">
        <f t="shared" si="31"/>
        <v>-0.86044444444445345</v>
      </c>
      <c r="L128">
        <f t="shared" si="21"/>
        <v>5.8999999999999999E-3</v>
      </c>
      <c r="M128">
        <f t="shared" si="26"/>
        <v>5.8999999999999999E-3</v>
      </c>
      <c r="O128">
        <f t="shared" si="22"/>
        <v>0</v>
      </c>
      <c r="R128">
        <f t="shared" si="23"/>
        <v>-7.9702968888889728E-3</v>
      </c>
      <c r="S128">
        <f t="shared" si="24"/>
        <v>0</v>
      </c>
    </row>
    <row r="129" spans="1:19" x14ac:dyDescent="0.2">
      <c r="A129" t="s">
        <v>102</v>
      </c>
      <c r="B129" s="6" t="s">
        <v>39</v>
      </c>
      <c r="C129">
        <f t="shared" si="27"/>
        <v>-0.09</v>
      </c>
      <c r="D129" t="s">
        <v>115</v>
      </c>
      <c r="E129" s="6" t="s">
        <v>120</v>
      </c>
      <c r="F129">
        <v>96.900000000001</v>
      </c>
      <c r="G129">
        <f t="shared" si="25"/>
        <v>-8.7210000000000889</v>
      </c>
      <c r="H129">
        <f t="shared" si="28"/>
        <v>18</v>
      </c>
      <c r="I129">
        <f t="shared" si="29"/>
        <v>-0.48450000000000493</v>
      </c>
      <c r="J129">
        <f t="shared" si="30"/>
        <v>0</v>
      </c>
      <c r="K129">
        <f t="shared" si="31"/>
        <v>-0.48450000000000493</v>
      </c>
      <c r="L129">
        <f t="shared" si="21"/>
        <v>5.8999999999999999E-3</v>
      </c>
      <c r="M129">
        <f>_xlfn.XLOOKUP(E129,$Z$5:$Z$9,$AA$5:$AA$9)</f>
        <v>5.8999999999999999E-3</v>
      </c>
      <c r="O129">
        <f t="shared" si="22"/>
        <v>0</v>
      </c>
      <c r="R129">
        <f t="shared" si="23"/>
        <v>-4.4879235000000461E-3</v>
      </c>
      <c r="S129">
        <f t="shared" si="24"/>
        <v>0</v>
      </c>
    </row>
    <row r="130" spans="1:19" x14ac:dyDescent="0.2">
      <c r="A130" t="s">
        <v>102</v>
      </c>
      <c r="B130" s="6" t="s">
        <v>40</v>
      </c>
      <c r="C130">
        <f t="shared" si="27"/>
        <v>-0.09</v>
      </c>
      <c r="D130" t="s">
        <v>115</v>
      </c>
      <c r="E130" s="6" t="s">
        <v>120</v>
      </c>
      <c r="F130">
        <v>97.000000000000995</v>
      </c>
      <c r="G130">
        <f t="shared" si="25"/>
        <v>-8.7300000000000892</v>
      </c>
      <c r="H130">
        <f t="shared" si="28"/>
        <v>18</v>
      </c>
      <c r="I130">
        <f t="shared" si="29"/>
        <v>-0.48500000000000498</v>
      </c>
      <c r="J130">
        <f t="shared" si="30"/>
        <v>0</v>
      </c>
      <c r="K130">
        <f t="shared" si="31"/>
        <v>-0.48500000000000498</v>
      </c>
      <c r="L130">
        <f t="shared" si="21"/>
        <v>5.8999999999999999E-3</v>
      </c>
      <c r="M130">
        <f t="shared" si="26"/>
        <v>5.8999999999999999E-3</v>
      </c>
      <c r="O130">
        <f t="shared" si="22"/>
        <v>0</v>
      </c>
      <c r="R130">
        <f t="shared" si="23"/>
        <v>-4.4925550000000465E-3</v>
      </c>
      <c r="S130">
        <f t="shared" si="24"/>
        <v>0</v>
      </c>
    </row>
    <row r="131" spans="1:19" x14ac:dyDescent="0.2">
      <c r="A131" t="s">
        <v>102</v>
      </c>
      <c r="B131" s="6" t="s">
        <v>41</v>
      </c>
      <c r="C131">
        <f t="shared" si="27"/>
        <v>-0.04</v>
      </c>
      <c r="D131" t="s">
        <v>115</v>
      </c>
      <c r="E131" s="6" t="s">
        <v>120</v>
      </c>
      <c r="F131">
        <v>97.100000000001003</v>
      </c>
      <c r="G131">
        <f t="shared" si="25"/>
        <v>-3.8840000000000403</v>
      </c>
      <c r="H131">
        <f t="shared" si="28"/>
        <v>18</v>
      </c>
      <c r="I131">
        <f t="shared" si="29"/>
        <v>-0.21577777777778001</v>
      </c>
      <c r="J131">
        <f t="shared" si="30"/>
        <v>0</v>
      </c>
      <c r="K131">
        <f t="shared" si="31"/>
        <v>-0.21577777777778001</v>
      </c>
      <c r="L131">
        <f t="shared" si="21"/>
        <v>5.8999999999999999E-3</v>
      </c>
      <c r="M131">
        <f t="shared" si="26"/>
        <v>5.8999999999999999E-3</v>
      </c>
      <c r="O131">
        <f t="shared" si="22"/>
        <v>0</v>
      </c>
      <c r="R131">
        <f t="shared" si="23"/>
        <v>-1.9987495555555761E-3</v>
      </c>
      <c r="S131">
        <f t="shared" si="24"/>
        <v>0</v>
      </c>
    </row>
    <row r="132" spans="1:19" x14ac:dyDescent="0.2">
      <c r="A132" t="s">
        <v>102</v>
      </c>
      <c r="B132" s="6" t="s">
        <v>42</v>
      </c>
      <c r="C132">
        <f t="shared" si="27"/>
        <v>-0.03</v>
      </c>
      <c r="D132" t="s">
        <v>115</v>
      </c>
      <c r="E132" s="6" t="s">
        <v>120</v>
      </c>
      <c r="F132">
        <v>97.200000000000998</v>
      </c>
      <c r="G132">
        <f t="shared" si="25"/>
        <v>-2.9160000000000297</v>
      </c>
      <c r="H132">
        <f t="shared" si="28"/>
        <v>18</v>
      </c>
      <c r="I132">
        <f t="shared" si="29"/>
        <v>-0.16200000000000164</v>
      </c>
      <c r="J132">
        <f t="shared" si="30"/>
        <v>0</v>
      </c>
      <c r="K132">
        <f t="shared" si="31"/>
        <v>-0.16200000000000164</v>
      </c>
      <c r="L132">
        <f t="shared" si="21"/>
        <v>5.8999999999999999E-3</v>
      </c>
      <c r="M132">
        <f t="shared" si="26"/>
        <v>5.8999999999999999E-3</v>
      </c>
      <c r="O132">
        <f t="shared" si="22"/>
        <v>0</v>
      </c>
      <c r="R132">
        <f t="shared" si="23"/>
        <v>-1.5006060000000152E-3</v>
      </c>
      <c r="S132">
        <f t="shared" si="24"/>
        <v>0</v>
      </c>
    </row>
    <row r="133" spans="1:19" x14ac:dyDescent="0.2">
      <c r="A133" t="s">
        <v>103</v>
      </c>
      <c r="B133" s="6" t="s">
        <v>43</v>
      </c>
      <c r="C133">
        <f t="shared" si="27"/>
        <v>-0.14000000000000001</v>
      </c>
      <c r="D133" t="s">
        <v>115</v>
      </c>
      <c r="E133" s="6" t="s">
        <v>121</v>
      </c>
      <c r="F133">
        <v>97.300000000001006</v>
      </c>
      <c r="G133">
        <f t="shared" si="25"/>
        <v>-13.622000000000142</v>
      </c>
      <c r="H133">
        <f t="shared" si="28"/>
        <v>18</v>
      </c>
      <c r="I133">
        <f t="shared" si="29"/>
        <v>-0.75677777777778565</v>
      </c>
      <c r="J133">
        <f t="shared" si="30"/>
        <v>0</v>
      </c>
      <c r="K133">
        <f t="shared" si="31"/>
        <v>-0.75677777777778565</v>
      </c>
      <c r="L133">
        <f t="shared" si="21"/>
        <v>1.8E-3</v>
      </c>
      <c r="M133">
        <f t="shared" si="26"/>
        <v>1.8E-3</v>
      </c>
      <c r="O133">
        <f t="shared" si="22"/>
        <v>0</v>
      </c>
      <c r="R133">
        <f t="shared" si="23"/>
        <v>-2.1386540000000224E-3</v>
      </c>
      <c r="S133">
        <f t="shared" si="24"/>
        <v>0</v>
      </c>
    </row>
    <row r="134" spans="1:19" x14ac:dyDescent="0.2">
      <c r="A134" t="s">
        <v>103</v>
      </c>
      <c r="B134" s="6" t="s">
        <v>44</v>
      </c>
      <c r="C134">
        <f t="shared" si="27"/>
        <v>-0.31</v>
      </c>
      <c r="D134" t="s">
        <v>115</v>
      </c>
      <c r="E134" s="6" t="s">
        <v>121</v>
      </c>
      <c r="F134">
        <v>97.400000000001</v>
      </c>
      <c r="G134">
        <f t="shared" si="25"/>
        <v>-30.194000000000308</v>
      </c>
      <c r="H134">
        <f t="shared" si="28"/>
        <v>18</v>
      </c>
      <c r="I134">
        <f t="shared" si="29"/>
        <v>-1.6774444444444616</v>
      </c>
      <c r="J134">
        <f t="shared" si="30"/>
        <v>0</v>
      </c>
      <c r="K134">
        <f t="shared" si="31"/>
        <v>-1.6774444444444616</v>
      </c>
      <c r="L134">
        <f t="shared" si="21"/>
        <v>1.8E-3</v>
      </c>
      <c r="M134">
        <f t="shared" si="26"/>
        <v>1.8E-3</v>
      </c>
      <c r="O134">
        <f t="shared" si="22"/>
        <v>0</v>
      </c>
      <c r="R134">
        <f t="shared" si="23"/>
        <v>-4.7404580000000489E-3</v>
      </c>
      <c r="S134">
        <f t="shared" si="24"/>
        <v>0</v>
      </c>
    </row>
    <row r="135" spans="1:19" x14ac:dyDescent="0.2">
      <c r="A135" t="s">
        <v>103</v>
      </c>
      <c r="B135" s="6" t="s">
        <v>45</v>
      </c>
      <c r="C135">
        <f t="shared" si="27"/>
        <v>-0.23</v>
      </c>
      <c r="D135" t="s">
        <v>115</v>
      </c>
      <c r="E135" s="6" t="s">
        <v>121</v>
      </c>
      <c r="F135">
        <v>97.500000000001094</v>
      </c>
      <c r="G135">
        <f t="shared" si="25"/>
        <v>-22.425000000000253</v>
      </c>
      <c r="H135">
        <f t="shared" si="28"/>
        <v>18</v>
      </c>
      <c r="I135">
        <f t="shared" si="29"/>
        <v>-1.2458333333333473</v>
      </c>
      <c r="J135">
        <f t="shared" si="30"/>
        <v>0</v>
      </c>
      <c r="K135">
        <f t="shared" si="31"/>
        <v>-1.2458333333333473</v>
      </c>
      <c r="L135">
        <f t="shared" si="21"/>
        <v>1.8E-3</v>
      </c>
      <c r="M135">
        <f t="shared" si="26"/>
        <v>1.8E-3</v>
      </c>
      <c r="O135">
        <f t="shared" si="22"/>
        <v>0</v>
      </c>
      <c r="R135">
        <f t="shared" si="23"/>
        <v>-3.5207250000000401E-3</v>
      </c>
      <c r="S135">
        <f t="shared" si="24"/>
        <v>0</v>
      </c>
    </row>
    <row r="136" spans="1:19" x14ac:dyDescent="0.2">
      <c r="A136" t="s">
        <v>103</v>
      </c>
      <c r="B136" s="6" t="s">
        <v>46</v>
      </c>
      <c r="C136">
        <f t="shared" si="27"/>
        <v>-0.17</v>
      </c>
      <c r="D136" t="s">
        <v>115</v>
      </c>
      <c r="E136" s="6" t="s">
        <v>121</v>
      </c>
      <c r="F136">
        <v>97.600000000001103</v>
      </c>
      <c r="G136">
        <f t="shared" si="25"/>
        <v>-16.592000000000187</v>
      </c>
      <c r="H136">
        <f t="shared" si="28"/>
        <v>18</v>
      </c>
      <c r="I136">
        <f t="shared" si="29"/>
        <v>-0.92177777777778813</v>
      </c>
      <c r="J136">
        <f t="shared" si="30"/>
        <v>0</v>
      </c>
      <c r="K136">
        <f t="shared" si="31"/>
        <v>-0.92177777777778813</v>
      </c>
      <c r="L136">
        <f t="shared" si="21"/>
        <v>1.8E-3</v>
      </c>
      <c r="M136">
        <f t="shared" si="26"/>
        <v>1.8E-3</v>
      </c>
      <c r="O136">
        <f t="shared" si="22"/>
        <v>0</v>
      </c>
      <c r="R136">
        <f t="shared" si="23"/>
        <v>-2.6049440000000296E-3</v>
      </c>
      <c r="S136">
        <f t="shared" si="24"/>
        <v>0</v>
      </c>
    </row>
    <row r="137" spans="1:19" x14ac:dyDescent="0.2">
      <c r="A137" t="s">
        <v>103</v>
      </c>
      <c r="B137" s="6" t="s">
        <v>47</v>
      </c>
      <c r="C137">
        <f t="shared" si="27"/>
        <v>-0.11</v>
      </c>
      <c r="D137" t="s">
        <v>115</v>
      </c>
      <c r="E137" s="6" t="s">
        <v>121</v>
      </c>
      <c r="F137">
        <v>97.700000000001097</v>
      </c>
      <c r="G137">
        <f t="shared" si="25"/>
        <v>-10.747000000000121</v>
      </c>
      <c r="H137">
        <f t="shared" si="28"/>
        <v>18</v>
      </c>
      <c r="I137">
        <f t="shared" si="29"/>
        <v>-0.59705555555556222</v>
      </c>
      <c r="J137">
        <f t="shared" si="30"/>
        <v>0</v>
      </c>
      <c r="K137">
        <f t="shared" si="31"/>
        <v>-0.59705555555556222</v>
      </c>
      <c r="L137">
        <f t="shared" si="21"/>
        <v>1.8E-3</v>
      </c>
      <c r="M137">
        <f t="shared" si="26"/>
        <v>1.8E-3</v>
      </c>
      <c r="O137">
        <f t="shared" si="22"/>
        <v>0</v>
      </c>
      <c r="R137">
        <f t="shared" si="23"/>
        <v>-1.6872790000000189E-3</v>
      </c>
      <c r="S137">
        <f t="shared" si="24"/>
        <v>0</v>
      </c>
    </row>
    <row r="138" spans="1:19" x14ac:dyDescent="0.2">
      <c r="A138" t="s">
        <v>103</v>
      </c>
      <c r="B138" s="6" t="s">
        <v>48</v>
      </c>
      <c r="C138">
        <f t="shared" si="27"/>
        <v>-0.06</v>
      </c>
      <c r="D138" t="s">
        <v>115</v>
      </c>
      <c r="E138" s="6" t="s">
        <v>121</v>
      </c>
      <c r="F138">
        <v>97.800000000001106</v>
      </c>
      <c r="G138">
        <f t="shared" si="25"/>
        <v>-5.8680000000000661</v>
      </c>
      <c r="H138">
        <f t="shared" si="28"/>
        <v>18</v>
      </c>
      <c r="I138">
        <f t="shared" si="29"/>
        <v>-0.32600000000000368</v>
      </c>
      <c r="J138">
        <f t="shared" si="30"/>
        <v>0</v>
      </c>
      <c r="K138">
        <f t="shared" si="31"/>
        <v>-0.32600000000000368</v>
      </c>
      <c r="L138">
        <f t="shared" si="21"/>
        <v>1.8E-3</v>
      </c>
      <c r="M138">
        <f t="shared" si="26"/>
        <v>1.8E-3</v>
      </c>
      <c r="O138">
        <f t="shared" si="22"/>
        <v>0</v>
      </c>
      <c r="R138">
        <f t="shared" si="23"/>
        <v>-9.2127600000001036E-4</v>
      </c>
      <c r="S138">
        <f t="shared" si="24"/>
        <v>0</v>
      </c>
    </row>
    <row r="139" spans="1:19" x14ac:dyDescent="0.2">
      <c r="A139" t="s">
        <v>103</v>
      </c>
      <c r="B139" s="6" t="s">
        <v>49</v>
      </c>
      <c r="C139">
        <f t="shared" ref="C139:C170" si="32">VLOOKUP(B139, $W$13:$X$96, 2, FALSE)</f>
        <v>-0.11</v>
      </c>
      <c r="D139" t="s">
        <v>115</v>
      </c>
      <c r="E139" s="6" t="s">
        <v>121</v>
      </c>
      <c r="F139">
        <v>97.9000000000011</v>
      </c>
      <c r="G139">
        <f t="shared" si="25"/>
        <v>-10.769000000000121</v>
      </c>
      <c r="H139">
        <f t="shared" ref="H139:H170" si="33">$V$6</f>
        <v>18</v>
      </c>
      <c r="I139">
        <f t="shared" ref="I139:I170" si="34">G139/H139</f>
        <v>-0.59827777777778446</v>
      </c>
      <c r="J139">
        <f t="shared" ref="J139:J170" si="35">IF(A139="crop",I139, 0)</f>
        <v>0</v>
      </c>
      <c r="K139">
        <f t="shared" ref="K139:K170" si="36">IF(A139="crop", 0, I139)</f>
        <v>-0.59827777777778446</v>
      </c>
      <c r="L139">
        <f t="shared" si="21"/>
        <v>1.8E-3</v>
      </c>
      <c r="M139">
        <f t="shared" si="26"/>
        <v>1.8E-3</v>
      </c>
      <c r="O139">
        <f t="shared" si="22"/>
        <v>0</v>
      </c>
      <c r="R139">
        <f t="shared" si="23"/>
        <v>-1.6907330000000187E-3</v>
      </c>
      <c r="S139">
        <f t="shared" si="24"/>
        <v>0</v>
      </c>
    </row>
    <row r="140" spans="1:19" x14ac:dyDescent="0.2">
      <c r="A140" t="s">
        <v>103</v>
      </c>
      <c r="B140" s="6" t="s">
        <v>50</v>
      </c>
      <c r="C140">
        <f t="shared" si="32"/>
        <v>-0.08</v>
      </c>
      <c r="D140" t="s">
        <v>115</v>
      </c>
      <c r="E140" s="6" t="s">
        <v>121</v>
      </c>
      <c r="F140">
        <v>98.000000000001094</v>
      </c>
      <c r="G140">
        <f t="shared" si="25"/>
        <v>-7.8400000000000878</v>
      </c>
      <c r="H140">
        <f t="shared" si="33"/>
        <v>18</v>
      </c>
      <c r="I140">
        <f t="shared" si="34"/>
        <v>-0.43555555555556041</v>
      </c>
      <c r="J140">
        <f t="shared" si="35"/>
        <v>0</v>
      </c>
      <c r="K140">
        <f t="shared" si="36"/>
        <v>-0.43555555555556041</v>
      </c>
      <c r="L140">
        <f t="shared" ref="L140:L178" si="37">_xlfn.XLOOKUP(E140,$Z$5:$Z$9,$AA$5:$AA$9)</f>
        <v>1.8E-3</v>
      </c>
      <c r="M140">
        <f t="shared" si="26"/>
        <v>1.8E-3</v>
      </c>
      <c r="O140">
        <f t="shared" ref="O140:O178" si="38">IF(D140="yes",1,0)</f>
        <v>0</v>
      </c>
      <c r="R140">
        <f t="shared" ref="R140:R178" si="39">(J140*L140+K140*M140)*$N$11</f>
        <v>-1.2308800000000138E-3</v>
      </c>
      <c r="S140">
        <f t="shared" ref="S140:S178" si="40">I140*O140*P$11*Q$11*N$11</f>
        <v>0</v>
      </c>
    </row>
    <row r="141" spans="1:19" x14ac:dyDescent="0.2">
      <c r="A141" t="s">
        <v>103</v>
      </c>
      <c r="B141" s="6" t="s">
        <v>51</v>
      </c>
      <c r="C141">
        <f t="shared" si="32"/>
        <v>-0.02</v>
      </c>
      <c r="D141" t="s">
        <v>115</v>
      </c>
      <c r="E141" s="6" t="s">
        <v>121</v>
      </c>
      <c r="F141">
        <v>98.100000000001103</v>
      </c>
      <c r="G141">
        <f t="shared" si="25"/>
        <v>-1.9620000000000222</v>
      </c>
      <c r="H141">
        <f t="shared" si="33"/>
        <v>18</v>
      </c>
      <c r="I141">
        <f t="shared" si="34"/>
        <v>-0.10900000000000123</v>
      </c>
      <c r="J141">
        <f t="shared" si="35"/>
        <v>0</v>
      </c>
      <c r="K141">
        <f t="shared" si="36"/>
        <v>-0.10900000000000123</v>
      </c>
      <c r="L141">
        <f t="shared" si="37"/>
        <v>1.8E-3</v>
      </c>
      <c r="M141">
        <f t="shared" si="26"/>
        <v>1.8E-3</v>
      </c>
      <c r="O141">
        <f t="shared" si="38"/>
        <v>0</v>
      </c>
      <c r="R141">
        <f t="shared" si="39"/>
        <v>-3.0803400000000352E-4</v>
      </c>
      <c r="S141">
        <f t="shared" si="40"/>
        <v>0</v>
      </c>
    </row>
    <row r="142" spans="1:19" x14ac:dyDescent="0.2">
      <c r="A142" t="s">
        <v>103</v>
      </c>
      <c r="B142" s="6" t="s">
        <v>52</v>
      </c>
      <c r="C142">
        <f t="shared" si="32"/>
        <v>-0.08</v>
      </c>
      <c r="D142" t="s">
        <v>115</v>
      </c>
      <c r="E142" s="6" t="s">
        <v>121</v>
      </c>
      <c r="F142">
        <v>98.200000000001097</v>
      </c>
      <c r="G142">
        <f t="shared" si="25"/>
        <v>-7.8560000000000878</v>
      </c>
      <c r="H142">
        <f t="shared" si="33"/>
        <v>18</v>
      </c>
      <c r="I142">
        <f t="shared" si="34"/>
        <v>-0.4364444444444493</v>
      </c>
      <c r="J142">
        <f t="shared" si="35"/>
        <v>0</v>
      </c>
      <c r="K142">
        <f t="shared" si="36"/>
        <v>-0.4364444444444493</v>
      </c>
      <c r="L142">
        <f t="shared" si="37"/>
        <v>1.8E-3</v>
      </c>
      <c r="M142">
        <f t="shared" si="26"/>
        <v>1.8E-3</v>
      </c>
      <c r="O142">
        <f t="shared" si="38"/>
        <v>0</v>
      </c>
      <c r="R142">
        <f t="shared" si="39"/>
        <v>-1.2333920000000137E-3</v>
      </c>
      <c r="S142">
        <f t="shared" si="40"/>
        <v>0</v>
      </c>
    </row>
    <row r="143" spans="1:19" x14ac:dyDescent="0.2">
      <c r="A143" t="s">
        <v>103</v>
      </c>
      <c r="B143" s="6" t="s">
        <v>53</v>
      </c>
      <c r="C143">
        <f t="shared" si="32"/>
        <v>-0.06</v>
      </c>
      <c r="D143" t="s">
        <v>113</v>
      </c>
      <c r="E143" s="6" t="s">
        <v>121</v>
      </c>
      <c r="F143">
        <v>98.300000000001106</v>
      </c>
      <c r="G143">
        <f t="shared" si="25"/>
        <v>-5.8980000000000663</v>
      </c>
      <c r="H143">
        <f t="shared" si="33"/>
        <v>18</v>
      </c>
      <c r="I143">
        <f t="shared" si="34"/>
        <v>-0.32766666666667033</v>
      </c>
      <c r="J143">
        <f t="shared" si="35"/>
        <v>0</v>
      </c>
      <c r="K143">
        <f t="shared" si="36"/>
        <v>-0.32766666666667033</v>
      </c>
      <c r="L143">
        <f t="shared" si="37"/>
        <v>1.8E-3</v>
      </c>
      <c r="M143">
        <f t="shared" si="26"/>
        <v>1.8E-3</v>
      </c>
      <c r="O143">
        <f t="shared" si="38"/>
        <v>1</v>
      </c>
      <c r="R143">
        <f t="shared" si="39"/>
        <v>-9.2598600000001025E-4</v>
      </c>
      <c r="S143">
        <f t="shared" si="40"/>
        <v>-1.3581128000000151E-3</v>
      </c>
    </row>
    <row r="144" spans="1:19" x14ac:dyDescent="0.2">
      <c r="A144" t="s">
        <v>103</v>
      </c>
      <c r="B144" s="6" t="s">
        <v>54</v>
      </c>
      <c r="C144">
        <f t="shared" si="32"/>
        <v>-0.12</v>
      </c>
      <c r="D144" t="s">
        <v>113</v>
      </c>
      <c r="E144" s="6" t="s">
        <v>121</v>
      </c>
      <c r="F144">
        <v>98.4000000000011</v>
      </c>
      <c r="G144">
        <f t="shared" si="25"/>
        <v>-11.808000000000131</v>
      </c>
      <c r="H144">
        <f t="shared" si="33"/>
        <v>18</v>
      </c>
      <c r="I144">
        <f t="shared" si="34"/>
        <v>-0.65600000000000724</v>
      </c>
      <c r="J144">
        <f t="shared" si="35"/>
        <v>0</v>
      </c>
      <c r="K144">
        <f t="shared" si="36"/>
        <v>-0.65600000000000724</v>
      </c>
      <c r="L144">
        <f t="shared" si="37"/>
        <v>1.8E-3</v>
      </c>
      <c r="M144">
        <f t="shared" si="26"/>
        <v>1.8E-3</v>
      </c>
      <c r="O144">
        <f t="shared" si="38"/>
        <v>1</v>
      </c>
      <c r="R144">
        <f t="shared" si="39"/>
        <v>-1.8538560000000207E-3</v>
      </c>
      <c r="S144">
        <f t="shared" si="40"/>
        <v>-2.7189888000000301E-3</v>
      </c>
    </row>
    <row r="145" spans="1:19" x14ac:dyDescent="0.2">
      <c r="A145" t="s">
        <v>103</v>
      </c>
      <c r="B145" s="6" t="s">
        <v>55</v>
      </c>
      <c r="C145">
        <f t="shared" si="32"/>
        <v>-7.0000000000000007E-2</v>
      </c>
      <c r="D145" t="s">
        <v>113</v>
      </c>
      <c r="E145" s="6" t="s">
        <v>121</v>
      </c>
      <c r="F145">
        <v>98.500000000001094</v>
      </c>
      <c r="G145">
        <f t="shared" si="25"/>
        <v>-6.8950000000000768</v>
      </c>
      <c r="H145">
        <f t="shared" si="33"/>
        <v>18</v>
      </c>
      <c r="I145">
        <f t="shared" si="34"/>
        <v>-0.38305555555555981</v>
      </c>
      <c r="J145">
        <f t="shared" si="35"/>
        <v>0</v>
      </c>
      <c r="K145">
        <f t="shared" si="36"/>
        <v>-0.38305555555555981</v>
      </c>
      <c r="L145">
        <f t="shared" si="37"/>
        <v>1.8E-3</v>
      </c>
      <c r="M145">
        <f t="shared" si="26"/>
        <v>1.8E-3</v>
      </c>
      <c r="O145">
        <f t="shared" si="38"/>
        <v>1</v>
      </c>
      <c r="R145">
        <f t="shared" si="39"/>
        <v>-1.082515000000012E-3</v>
      </c>
      <c r="S145">
        <f t="shared" si="40"/>
        <v>-1.5876886666666842E-3</v>
      </c>
    </row>
    <row r="146" spans="1:19" x14ac:dyDescent="0.2">
      <c r="A146" t="s">
        <v>103</v>
      </c>
      <c r="B146" s="6" t="s">
        <v>56</v>
      </c>
      <c r="C146">
        <f t="shared" si="32"/>
        <v>-0.13</v>
      </c>
      <c r="D146" t="s">
        <v>113</v>
      </c>
      <c r="E146" s="6" t="s">
        <v>121</v>
      </c>
      <c r="F146">
        <v>98.600000000001202</v>
      </c>
      <c r="G146">
        <f t="shared" si="25"/>
        <v>-12.818000000000156</v>
      </c>
      <c r="H146">
        <f t="shared" si="33"/>
        <v>18</v>
      </c>
      <c r="I146">
        <f t="shared" si="34"/>
        <v>-0.7121111111111198</v>
      </c>
      <c r="J146">
        <f t="shared" si="35"/>
        <v>0</v>
      </c>
      <c r="K146">
        <f t="shared" si="36"/>
        <v>-0.7121111111111198</v>
      </c>
      <c r="L146">
        <f t="shared" si="37"/>
        <v>1.8E-3</v>
      </c>
      <c r="M146">
        <f t="shared" si="26"/>
        <v>1.8E-3</v>
      </c>
      <c r="O146">
        <f t="shared" si="38"/>
        <v>1</v>
      </c>
      <c r="R146">
        <f t="shared" si="39"/>
        <v>-2.0124260000000246E-3</v>
      </c>
      <c r="S146">
        <f t="shared" si="40"/>
        <v>-2.951558133333369E-3</v>
      </c>
    </row>
    <row r="147" spans="1:19" x14ac:dyDescent="0.2">
      <c r="A147" t="s">
        <v>103</v>
      </c>
      <c r="B147" s="6" t="s">
        <v>57</v>
      </c>
      <c r="C147">
        <f t="shared" si="32"/>
        <v>-0.15</v>
      </c>
      <c r="D147" t="s">
        <v>113</v>
      </c>
      <c r="E147" s="6" t="s">
        <v>121</v>
      </c>
      <c r="F147">
        <v>98.700000000001197</v>
      </c>
      <c r="G147">
        <f t="shared" si="25"/>
        <v>-14.805000000000179</v>
      </c>
      <c r="H147">
        <f t="shared" si="33"/>
        <v>18</v>
      </c>
      <c r="I147">
        <f t="shared" si="34"/>
        <v>-0.82250000000001</v>
      </c>
      <c r="J147">
        <f t="shared" si="35"/>
        <v>0</v>
      </c>
      <c r="K147">
        <f t="shared" si="36"/>
        <v>-0.82250000000001</v>
      </c>
      <c r="L147">
        <f t="shared" si="37"/>
        <v>1.8E-3</v>
      </c>
      <c r="M147">
        <f t="shared" si="26"/>
        <v>1.8E-3</v>
      </c>
      <c r="O147">
        <f t="shared" si="38"/>
        <v>1</v>
      </c>
      <c r="R147">
        <f t="shared" si="39"/>
        <v>-2.3243850000000286E-3</v>
      </c>
      <c r="S147">
        <f t="shared" si="40"/>
        <v>-3.4090980000000409E-3</v>
      </c>
    </row>
    <row r="148" spans="1:19" x14ac:dyDescent="0.2">
      <c r="A148" t="s">
        <v>103</v>
      </c>
      <c r="B148" s="6" t="s">
        <v>58</v>
      </c>
      <c r="C148">
        <f t="shared" si="32"/>
        <v>-0.24</v>
      </c>
      <c r="D148" t="s">
        <v>113</v>
      </c>
      <c r="E148" s="6" t="s">
        <v>121</v>
      </c>
      <c r="F148">
        <v>98.800000000001205</v>
      </c>
      <c r="G148">
        <f t="shared" si="25"/>
        <v>-23.712000000000288</v>
      </c>
      <c r="H148">
        <f t="shared" si="33"/>
        <v>18</v>
      </c>
      <c r="I148">
        <f t="shared" si="34"/>
        <v>-1.3173333333333492</v>
      </c>
      <c r="J148">
        <f t="shared" si="35"/>
        <v>0</v>
      </c>
      <c r="K148">
        <f t="shared" si="36"/>
        <v>-1.3173333333333492</v>
      </c>
      <c r="L148">
        <f t="shared" si="37"/>
        <v>1.8E-3</v>
      </c>
      <c r="M148">
        <f t="shared" si="26"/>
        <v>1.8E-3</v>
      </c>
      <c r="O148">
        <f t="shared" si="38"/>
        <v>1</v>
      </c>
      <c r="R148">
        <f t="shared" si="39"/>
        <v>-3.7227840000000449E-3</v>
      </c>
      <c r="S148">
        <f t="shared" si="40"/>
        <v>-5.4600832000000661E-3</v>
      </c>
    </row>
    <row r="149" spans="1:19" x14ac:dyDescent="0.2">
      <c r="A149" t="s">
        <v>103</v>
      </c>
      <c r="B149" s="6" t="s">
        <v>59</v>
      </c>
      <c r="C149">
        <f t="shared" si="32"/>
        <v>-0.32</v>
      </c>
      <c r="D149" t="s">
        <v>113</v>
      </c>
      <c r="E149" s="6" t="s">
        <v>121</v>
      </c>
      <c r="F149">
        <v>98.900000000001199</v>
      </c>
      <c r="G149">
        <f t="shared" si="25"/>
        <v>-31.648000000000383</v>
      </c>
      <c r="H149">
        <f t="shared" si="33"/>
        <v>18</v>
      </c>
      <c r="I149">
        <f t="shared" si="34"/>
        <v>-1.7582222222222434</v>
      </c>
      <c r="J149">
        <f t="shared" si="35"/>
        <v>0</v>
      </c>
      <c r="K149">
        <f t="shared" si="36"/>
        <v>-1.7582222222222434</v>
      </c>
      <c r="L149">
        <f t="shared" si="37"/>
        <v>1.8E-3</v>
      </c>
      <c r="M149">
        <f t="shared" si="26"/>
        <v>1.8E-3</v>
      </c>
      <c r="O149">
        <f t="shared" si="38"/>
        <v>1</v>
      </c>
      <c r="R149">
        <f t="shared" si="39"/>
        <v>-4.9687360000000604E-3</v>
      </c>
      <c r="S149">
        <f t="shared" si="40"/>
        <v>-7.2874794666667542E-3</v>
      </c>
    </row>
    <row r="150" spans="1:19" x14ac:dyDescent="0.2">
      <c r="A150" t="s">
        <v>103</v>
      </c>
      <c r="B150" s="6" t="s">
        <v>60</v>
      </c>
      <c r="C150">
        <f t="shared" si="32"/>
        <v>-0.08</v>
      </c>
      <c r="D150" t="s">
        <v>113</v>
      </c>
      <c r="E150" s="6" t="s">
        <v>121</v>
      </c>
      <c r="F150">
        <v>99.000000000001194</v>
      </c>
      <c r="G150">
        <f t="shared" si="25"/>
        <v>-7.9200000000000959</v>
      </c>
      <c r="H150">
        <f t="shared" si="33"/>
        <v>18</v>
      </c>
      <c r="I150">
        <f t="shared" si="34"/>
        <v>-0.44000000000000533</v>
      </c>
      <c r="J150">
        <f t="shared" si="35"/>
        <v>0</v>
      </c>
      <c r="K150">
        <f t="shared" si="36"/>
        <v>-0.44000000000000533</v>
      </c>
      <c r="L150">
        <f t="shared" si="37"/>
        <v>1.8E-3</v>
      </c>
      <c r="M150">
        <f t="shared" si="26"/>
        <v>1.8E-3</v>
      </c>
      <c r="O150">
        <f t="shared" si="38"/>
        <v>1</v>
      </c>
      <c r="R150">
        <f t="shared" si="39"/>
        <v>-1.2434400000000151E-3</v>
      </c>
      <c r="S150">
        <f t="shared" si="40"/>
        <v>-1.823712000000022E-3</v>
      </c>
    </row>
    <row r="151" spans="1:19" x14ac:dyDescent="0.2">
      <c r="A151" t="s">
        <v>103</v>
      </c>
      <c r="B151" s="6" t="s">
        <v>61</v>
      </c>
      <c r="C151">
        <f t="shared" si="32"/>
        <v>0</v>
      </c>
      <c r="D151" t="s">
        <v>113</v>
      </c>
      <c r="E151" s="6" t="s">
        <v>121</v>
      </c>
      <c r="F151">
        <v>99.100000000001202</v>
      </c>
      <c r="G151">
        <f t="shared" si="25"/>
        <v>0</v>
      </c>
      <c r="H151">
        <f t="shared" si="33"/>
        <v>18</v>
      </c>
      <c r="I151">
        <f t="shared" si="34"/>
        <v>0</v>
      </c>
      <c r="J151">
        <f t="shared" si="35"/>
        <v>0</v>
      </c>
      <c r="K151">
        <f t="shared" si="36"/>
        <v>0</v>
      </c>
      <c r="L151">
        <f t="shared" si="37"/>
        <v>1.8E-3</v>
      </c>
      <c r="M151">
        <f t="shared" si="26"/>
        <v>1.8E-3</v>
      </c>
      <c r="O151">
        <f t="shared" si="38"/>
        <v>1</v>
      </c>
      <c r="R151">
        <f t="shared" si="39"/>
        <v>0</v>
      </c>
      <c r="S151">
        <f t="shared" si="40"/>
        <v>0</v>
      </c>
    </row>
    <row r="152" spans="1:19" x14ac:dyDescent="0.2">
      <c r="A152" t="s">
        <v>103</v>
      </c>
      <c r="B152" s="6" t="s">
        <v>62</v>
      </c>
      <c r="C152">
        <f t="shared" si="32"/>
        <v>-0.16</v>
      </c>
      <c r="D152" t="s">
        <v>113</v>
      </c>
      <c r="E152" s="6" t="s">
        <v>121</v>
      </c>
      <c r="F152">
        <v>99.200000000001197</v>
      </c>
      <c r="G152">
        <f t="shared" si="25"/>
        <v>-15.872000000000192</v>
      </c>
      <c r="H152">
        <f t="shared" si="33"/>
        <v>18</v>
      </c>
      <c r="I152">
        <f t="shared" si="34"/>
        <v>-0.88177777777778843</v>
      </c>
      <c r="J152">
        <f t="shared" si="35"/>
        <v>0</v>
      </c>
      <c r="K152">
        <f t="shared" si="36"/>
        <v>-0.88177777777778843</v>
      </c>
      <c r="L152">
        <f t="shared" si="37"/>
        <v>1.8E-3</v>
      </c>
      <c r="M152">
        <f t="shared" si="26"/>
        <v>1.8E-3</v>
      </c>
      <c r="O152">
        <f t="shared" si="38"/>
        <v>1</v>
      </c>
      <c r="R152">
        <f t="shared" si="39"/>
        <v>-2.49190400000003E-3</v>
      </c>
      <c r="S152">
        <f t="shared" si="40"/>
        <v>-3.6547925333333771E-3</v>
      </c>
    </row>
    <row r="153" spans="1:19" x14ac:dyDescent="0.2">
      <c r="A153" t="s">
        <v>103</v>
      </c>
      <c r="B153" s="6" t="s">
        <v>63</v>
      </c>
      <c r="C153">
        <f t="shared" si="32"/>
        <v>-0.33</v>
      </c>
      <c r="D153" t="s">
        <v>113</v>
      </c>
      <c r="E153" s="6" t="s">
        <v>121</v>
      </c>
      <c r="F153">
        <v>99.300000000001205</v>
      </c>
      <c r="G153">
        <f t="shared" si="25"/>
        <v>-32.769000000000396</v>
      </c>
      <c r="H153">
        <f t="shared" si="33"/>
        <v>18</v>
      </c>
      <c r="I153">
        <f t="shared" si="34"/>
        <v>-1.820500000000022</v>
      </c>
      <c r="J153">
        <f t="shared" si="35"/>
        <v>0</v>
      </c>
      <c r="K153">
        <f t="shared" si="36"/>
        <v>-1.820500000000022</v>
      </c>
      <c r="L153">
        <f t="shared" si="37"/>
        <v>1.8E-3</v>
      </c>
      <c r="M153">
        <f t="shared" si="26"/>
        <v>1.8E-3</v>
      </c>
      <c r="O153">
        <f t="shared" si="38"/>
        <v>1</v>
      </c>
      <c r="R153">
        <f t="shared" si="39"/>
        <v>-5.1447330000000627E-3</v>
      </c>
      <c r="S153">
        <f t="shared" si="40"/>
        <v>-7.5456084000000909E-3</v>
      </c>
    </row>
    <row r="154" spans="1:19" x14ac:dyDescent="0.2">
      <c r="A154" t="s">
        <v>103</v>
      </c>
      <c r="B154" s="6" t="s">
        <v>64</v>
      </c>
      <c r="C154">
        <f t="shared" si="32"/>
        <v>-0.1</v>
      </c>
      <c r="D154" t="s">
        <v>113</v>
      </c>
      <c r="E154" s="6" t="s">
        <v>121</v>
      </c>
      <c r="F154">
        <v>99.400000000001199</v>
      </c>
      <c r="G154">
        <f t="shared" si="25"/>
        <v>-9.9400000000001203</v>
      </c>
      <c r="H154">
        <f t="shared" si="33"/>
        <v>18</v>
      </c>
      <c r="I154">
        <f t="shared" si="34"/>
        <v>-0.55222222222222894</v>
      </c>
      <c r="J154">
        <f t="shared" si="35"/>
        <v>0</v>
      </c>
      <c r="K154">
        <f t="shared" si="36"/>
        <v>-0.55222222222222894</v>
      </c>
      <c r="L154">
        <f t="shared" si="37"/>
        <v>1.8E-3</v>
      </c>
      <c r="M154">
        <f t="shared" si="26"/>
        <v>1.8E-3</v>
      </c>
      <c r="O154">
        <f t="shared" si="38"/>
        <v>1</v>
      </c>
      <c r="R154">
        <f t="shared" si="39"/>
        <v>-1.5605800000000189E-3</v>
      </c>
      <c r="S154">
        <f t="shared" si="40"/>
        <v>-2.2888506666666943E-3</v>
      </c>
    </row>
    <row r="155" spans="1:19" x14ac:dyDescent="0.2">
      <c r="A155" t="s">
        <v>103</v>
      </c>
      <c r="B155" s="6" t="s">
        <v>65</v>
      </c>
      <c r="C155">
        <f t="shared" si="32"/>
        <v>-0.05</v>
      </c>
      <c r="D155" t="s">
        <v>113</v>
      </c>
      <c r="E155" s="6" t="s">
        <v>121</v>
      </c>
      <c r="F155">
        <v>99.500000000001194</v>
      </c>
      <c r="G155">
        <f t="shared" si="25"/>
        <v>-4.97500000000006</v>
      </c>
      <c r="H155">
        <f t="shared" si="33"/>
        <v>18</v>
      </c>
      <c r="I155">
        <f t="shared" si="34"/>
        <v>-0.27638888888889224</v>
      </c>
      <c r="J155">
        <f t="shared" si="35"/>
        <v>0</v>
      </c>
      <c r="K155">
        <f t="shared" si="36"/>
        <v>-0.27638888888889224</v>
      </c>
      <c r="L155">
        <f t="shared" si="37"/>
        <v>1.8E-3</v>
      </c>
      <c r="M155">
        <f>_xlfn.XLOOKUP(E155,$Z$5:$Z$9,$AA$5:$AA$9)</f>
        <v>1.8E-3</v>
      </c>
      <c r="O155">
        <f t="shared" si="38"/>
        <v>1</v>
      </c>
      <c r="R155">
        <f t="shared" si="39"/>
        <v>-7.8107500000000943E-4</v>
      </c>
      <c r="S155">
        <f t="shared" si="40"/>
        <v>-1.1455766666666806E-3</v>
      </c>
    </row>
    <row r="156" spans="1:19" x14ac:dyDescent="0.2">
      <c r="A156" t="s">
        <v>103</v>
      </c>
      <c r="B156" s="6" t="s">
        <v>66</v>
      </c>
      <c r="C156">
        <f t="shared" si="32"/>
        <v>-0.26</v>
      </c>
      <c r="D156" t="s">
        <v>113</v>
      </c>
      <c r="E156" s="6" t="s">
        <v>121</v>
      </c>
      <c r="F156">
        <v>99.600000000001202</v>
      </c>
      <c r="G156">
        <f t="shared" si="25"/>
        <v>-25.896000000000313</v>
      </c>
      <c r="H156">
        <f t="shared" si="33"/>
        <v>18</v>
      </c>
      <c r="I156">
        <f t="shared" si="34"/>
        <v>-1.4386666666666841</v>
      </c>
      <c r="J156">
        <f t="shared" si="35"/>
        <v>0</v>
      </c>
      <c r="K156">
        <f t="shared" si="36"/>
        <v>-1.4386666666666841</v>
      </c>
      <c r="L156">
        <f t="shared" si="37"/>
        <v>1.8E-3</v>
      </c>
      <c r="M156">
        <f t="shared" si="26"/>
        <v>1.8E-3</v>
      </c>
      <c r="O156">
        <f t="shared" si="38"/>
        <v>1</v>
      </c>
      <c r="R156">
        <f t="shared" si="39"/>
        <v>-4.0656720000000496E-3</v>
      </c>
      <c r="S156">
        <f t="shared" si="40"/>
        <v>-5.962985600000071E-3</v>
      </c>
    </row>
    <row r="157" spans="1:19" x14ac:dyDescent="0.2">
      <c r="A157" t="s">
        <v>103</v>
      </c>
      <c r="B157" s="6" t="s">
        <v>67</v>
      </c>
      <c r="C157">
        <f t="shared" si="32"/>
        <v>-0.26</v>
      </c>
      <c r="D157" t="s">
        <v>113</v>
      </c>
      <c r="E157" s="6" t="s">
        <v>121</v>
      </c>
      <c r="F157">
        <v>99.700000000001197</v>
      </c>
      <c r="G157">
        <f t="shared" si="25"/>
        <v>-25.922000000000313</v>
      </c>
      <c r="H157">
        <f t="shared" si="33"/>
        <v>18</v>
      </c>
      <c r="I157">
        <f t="shared" si="34"/>
        <v>-1.4401111111111284</v>
      </c>
      <c r="J157">
        <f t="shared" si="35"/>
        <v>0</v>
      </c>
      <c r="K157">
        <f t="shared" si="36"/>
        <v>-1.4401111111111284</v>
      </c>
      <c r="L157">
        <f t="shared" si="37"/>
        <v>1.8E-3</v>
      </c>
      <c r="M157">
        <f t="shared" si="26"/>
        <v>1.8E-3</v>
      </c>
      <c r="O157">
        <f t="shared" si="38"/>
        <v>1</v>
      </c>
      <c r="R157">
        <f t="shared" si="39"/>
        <v>-4.0697540000000487E-3</v>
      </c>
      <c r="S157">
        <f t="shared" si="40"/>
        <v>-5.9689725333334047E-3</v>
      </c>
    </row>
    <row r="158" spans="1:19" x14ac:dyDescent="0.2">
      <c r="A158" t="s">
        <v>103</v>
      </c>
      <c r="B158" s="6" t="s">
        <v>68</v>
      </c>
      <c r="C158">
        <f t="shared" si="32"/>
        <v>-0.03</v>
      </c>
      <c r="D158" t="s">
        <v>113</v>
      </c>
      <c r="E158" s="6" t="s">
        <v>121</v>
      </c>
      <c r="F158">
        <v>99.800000000001305</v>
      </c>
      <c r="G158">
        <f t="shared" si="25"/>
        <v>-2.9940000000000389</v>
      </c>
      <c r="H158">
        <f t="shared" si="33"/>
        <v>18</v>
      </c>
      <c r="I158">
        <f t="shared" si="34"/>
        <v>-0.1663333333333355</v>
      </c>
      <c r="J158">
        <f t="shared" si="35"/>
        <v>0</v>
      </c>
      <c r="K158">
        <f t="shared" si="36"/>
        <v>-0.1663333333333355</v>
      </c>
      <c r="L158">
        <f t="shared" si="37"/>
        <v>1.8E-3</v>
      </c>
      <c r="M158">
        <f t="shared" si="26"/>
        <v>1.8E-3</v>
      </c>
      <c r="O158">
        <f t="shared" si="38"/>
        <v>1</v>
      </c>
      <c r="R158">
        <f t="shared" si="39"/>
        <v>-4.700580000000061E-4</v>
      </c>
      <c r="S158">
        <f t="shared" si="40"/>
        <v>-6.8941840000000894E-4</v>
      </c>
    </row>
    <row r="159" spans="1:19" x14ac:dyDescent="0.2">
      <c r="A159" t="s">
        <v>103</v>
      </c>
      <c r="B159" s="6" t="s">
        <v>69</v>
      </c>
      <c r="C159">
        <f t="shared" si="32"/>
        <v>-0.37</v>
      </c>
      <c r="D159" t="s">
        <v>113</v>
      </c>
      <c r="E159" s="6" t="s">
        <v>121</v>
      </c>
      <c r="F159">
        <v>99.900000000001299</v>
      </c>
      <c r="G159">
        <f t="shared" ref="G159:G178" si="41">C159*F159</f>
        <v>-36.963000000000477</v>
      </c>
      <c r="H159">
        <f t="shared" si="33"/>
        <v>18</v>
      </c>
      <c r="I159">
        <f t="shared" si="34"/>
        <v>-2.0535000000000263</v>
      </c>
      <c r="J159">
        <f t="shared" si="35"/>
        <v>0</v>
      </c>
      <c r="K159">
        <f t="shared" si="36"/>
        <v>-2.0535000000000263</v>
      </c>
      <c r="L159">
        <f t="shared" si="37"/>
        <v>1.8E-3</v>
      </c>
      <c r="M159">
        <f t="shared" si="26"/>
        <v>1.8E-3</v>
      </c>
      <c r="O159">
        <f t="shared" si="38"/>
        <v>1</v>
      </c>
      <c r="R159">
        <f t="shared" si="39"/>
        <v>-5.8031910000000747E-3</v>
      </c>
      <c r="S159">
        <f t="shared" si="40"/>
        <v>-8.5113468000001073E-3</v>
      </c>
    </row>
    <row r="160" spans="1:19" x14ac:dyDescent="0.2">
      <c r="A160" t="s">
        <v>103</v>
      </c>
      <c r="B160" s="6" t="s">
        <v>70</v>
      </c>
      <c r="C160">
        <f t="shared" si="32"/>
        <v>-0.03</v>
      </c>
      <c r="D160" t="s">
        <v>113</v>
      </c>
      <c r="E160" s="6" t="s">
        <v>121</v>
      </c>
      <c r="F160">
        <v>100.00000000000099</v>
      </c>
      <c r="G160">
        <f t="shared" si="41"/>
        <v>-3.0000000000000298</v>
      </c>
      <c r="H160">
        <f t="shared" si="33"/>
        <v>18</v>
      </c>
      <c r="I160">
        <f t="shared" si="34"/>
        <v>-0.16666666666666832</v>
      </c>
      <c r="J160">
        <f t="shared" si="35"/>
        <v>0</v>
      </c>
      <c r="K160">
        <f t="shared" si="36"/>
        <v>-0.16666666666666832</v>
      </c>
      <c r="L160">
        <f t="shared" si="37"/>
        <v>1.8E-3</v>
      </c>
      <c r="M160">
        <f t="shared" ref="M160:M178" si="42">_xlfn.XLOOKUP(E160,$Z$5:$Z$9,$AA$5:$AA$9)</f>
        <v>1.8E-3</v>
      </c>
      <c r="O160">
        <f t="shared" si="38"/>
        <v>1</v>
      </c>
      <c r="R160">
        <f t="shared" si="39"/>
        <v>-4.7100000000000467E-4</v>
      </c>
      <c r="S160">
        <f t="shared" si="40"/>
        <v>-6.9080000000000682E-4</v>
      </c>
    </row>
    <row r="161" spans="1:19" x14ac:dyDescent="0.2">
      <c r="A161" t="s">
        <v>103</v>
      </c>
      <c r="B161" s="6" t="s">
        <v>71</v>
      </c>
      <c r="C161">
        <f t="shared" si="32"/>
        <v>-0.03</v>
      </c>
      <c r="D161" t="s">
        <v>113</v>
      </c>
      <c r="E161" s="6" t="s">
        <v>121</v>
      </c>
      <c r="F161">
        <v>100.100000000001</v>
      </c>
      <c r="G161">
        <f t="shared" si="41"/>
        <v>-3.0030000000000299</v>
      </c>
      <c r="H161">
        <f t="shared" si="33"/>
        <v>18</v>
      </c>
      <c r="I161">
        <f t="shared" si="34"/>
        <v>-0.166833333333335</v>
      </c>
      <c r="J161">
        <f t="shared" si="35"/>
        <v>0</v>
      </c>
      <c r="K161">
        <f t="shared" si="36"/>
        <v>-0.166833333333335</v>
      </c>
      <c r="L161">
        <f t="shared" si="37"/>
        <v>1.8E-3</v>
      </c>
      <c r="M161">
        <f t="shared" si="42"/>
        <v>1.8E-3</v>
      </c>
      <c r="O161">
        <f t="shared" si="38"/>
        <v>1</v>
      </c>
      <c r="R161">
        <f t="shared" si="39"/>
        <v>-4.7147100000000466E-4</v>
      </c>
      <c r="S161">
        <f t="shared" si="40"/>
        <v>-6.9149080000000689E-4</v>
      </c>
    </row>
    <row r="162" spans="1:19" x14ac:dyDescent="0.2">
      <c r="A162" t="s">
        <v>103</v>
      </c>
      <c r="B162" s="6" t="s">
        <v>72</v>
      </c>
      <c r="C162">
        <f t="shared" si="32"/>
        <v>-0.1</v>
      </c>
      <c r="D162" t="s">
        <v>113</v>
      </c>
      <c r="E162" s="6" t="s">
        <v>121</v>
      </c>
      <c r="F162">
        <v>100.200000000001</v>
      </c>
      <c r="G162">
        <f t="shared" si="41"/>
        <v>-10.020000000000101</v>
      </c>
      <c r="H162">
        <f t="shared" si="33"/>
        <v>18</v>
      </c>
      <c r="I162">
        <f t="shared" si="34"/>
        <v>-0.55666666666667231</v>
      </c>
      <c r="J162">
        <f t="shared" si="35"/>
        <v>0</v>
      </c>
      <c r="K162">
        <f t="shared" si="36"/>
        <v>-0.55666666666667231</v>
      </c>
      <c r="L162">
        <f t="shared" si="37"/>
        <v>1.8E-3</v>
      </c>
      <c r="M162">
        <f t="shared" si="42"/>
        <v>1.8E-3</v>
      </c>
      <c r="O162">
        <f t="shared" si="38"/>
        <v>1</v>
      </c>
      <c r="R162">
        <f t="shared" si="39"/>
        <v>-1.5731400000000158E-3</v>
      </c>
      <c r="S162">
        <f t="shared" si="40"/>
        <v>-2.3072720000000234E-3</v>
      </c>
    </row>
    <row r="163" spans="1:19" x14ac:dyDescent="0.2">
      <c r="A163" t="s">
        <v>103</v>
      </c>
      <c r="B163" s="6" t="s">
        <v>73</v>
      </c>
      <c r="C163">
        <f t="shared" si="32"/>
        <v>-0.25</v>
      </c>
      <c r="D163" t="s">
        <v>113</v>
      </c>
      <c r="E163" s="6" t="s">
        <v>121</v>
      </c>
      <c r="F163">
        <v>100.30000000000101</v>
      </c>
      <c r="G163">
        <f t="shared" si="41"/>
        <v>-25.075000000000252</v>
      </c>
      <c r="H163">
        <f t="shared" si="33"/>
        <v>18</v>
      </c>
      <c r="I163">
        <f t="shared" si="34"/>
        <v>-1.3930555555555695</v>
      </c>
      <c r="J163">
        <f t="shared" si="35"/>
        <v>0</v>
      </c>
      <c r="K163">
        <f t="shared" si="36"/>
        <v>-1.3930555555555695</v>
      </c>
      <c r="L163">
        <f t="shared" si="37"/>
        <v>1.8E-3</v>
      </c>
      <c r="M163">
        <f t="shared" si="42"/>
        <v>1.8E-3</v>
      </c>
      <c r="O163">
        <f t="shared" si="38"/>
        <v>1</v>
      </c>
      <c r="R163">
        <f t="shared" si="39"/>
        <v>-3.936775000000039E-3</v>
      </c>
      <c r="S163">
        <f t="shared" si="40"/>
        <v>-5.7739366666667239E-3</v>
      </c>
    </row>
    <row r="164" spans="1:19" x14ac:dyDescent="0.2">
      <c r="A164" t="s">
        <v>103</v>
      </c>
      <c r="B164" s="6" t="s">
        <v>74</v>
      </c>
      <c r="C164">
        <f t="shared" si="32"/>
        <v>-0.27</v>
      </c>
      <c r="D164" t="s">
        <v>113</v>
      </c>
      <c r="E164" s="6" t="s">
        <v>121</v>
      </c>
      <c r="F164">
        <v>100.400000000001</v>
      </c>
      <c r="G164">
        <f t="shared" si="41"/>
        <v>-27.108000000000271</v>
      </c>
      <c r="H164">
        <f t="shared" si="33"/>
        <v>18</v>
      </c>
      <c r="I164">
        <f t="shared" si="34"/>
        <v>-1.5060000000000151</v>
      </c>
      <c r="J164">
        <f t="shared" si="35"/>
        <v>0</v>
      </c>
      <c r="K164">
        <f t="shared" si="36"/>
        <v>-1.5060000000000151</v>
      </c>
      <c r="L164">
        <f t="shared" si="37"/>
        <v>1.8E-3</v>
      </c>
      <c r="M164">
        <f t="shared" si="42"/>
        <v>1.8E-3</v>
      </c>
      <c r="O164">
        <f t="shared" si="38"/>
        <v>1</v>
      </c>
      <c r="R164">
        <f t="shared" si="39"/>
        <v>-4.2559560000000425E-3</v>
      </c>
      <c r="S164">
        <f t="shared" si="40"/>
        <v>-6.2420688000000626E-3</v>
      </c>
    </row>
    <row r="165" spans="1:19" x14ac:dyDescent="0.2">
      <c r="A165" t="s">
        <v>103</v>
      </c>
      <c r="B165" s="6" t="s">
        <v>75</v>
      </c>
      <c r="C165">
        <f t="shared" si="32"/>
        <v>-0.18</v>
      </c>
      <c r="D165" t="s">
        <v>113</v>
      </c>
      <c r="E165" s="6" t="s">
        <v>121</v>
      </c>
      <c r="F165">
        <v>100.50000000000099</v>
      </c>
      <c r="G165">
        <f t="shared" si="41"/>
        <v>-18.090000000000177</v>
      </c>
      <c r="H165">
        <f t="shared" si="33"/>
        <v>18</v>
      </c>
      <c r="I165">
        <f t="shared" si="34"/>
        <v>-1.0050000000000099</v>
      </c>
      <c r="J165">
        <f t="shared" si="35"/>
        <v>0</v>
      </c>
      <c r="K165">
        <f t="shared" si="36"/>
        <v>-1.0050000000000099</v>
      </c>
      <c r="L165">
        <f t="shared" si="37"/>
        <v>1.8E-3</v>
      </c>
      <c r="M165">
        <f t="shared" si="42"/>
        <v>1.8E-3</v>
      </c>
      <c r="O165">
        <f t="shared" si="38"/>
        <v>1</v>
      </c>
      <c r="R165">
        <f t="shared" si="39"/>
        <v>-2.8401300000000279E-3</v>
      </c>
      <c r="S165">
        <f t="shared" si="40"/>
        <v>-4.1655240000000402E-3</v>
      </c>
    </row>
    <row r="166" spans="1:19" x14ac:dyDescent="0.2">
      <c r="A166" t="s">
        <v>103</v>
      </c>
      <c r="B166" s="6" t="s">
        <v>76</v>
      </c>
      <c r="C166">
        <f t="shared" si="32"/>
        <v>-0.12</v>
      </c>
      <c r="D166" t="s">
        <v>113</v>
      </c>
      <c r="E166" s="6" t="s">
        <v>121</v>
      </c>
      <c r="F166">
        <v>100.600000000001</v>
      </c>
      <c r="G166">
        <f t="shared" si="41"/>
        <v>-12.07200000000012</v>
      </c>
      <c r="H166">
        <f t="shared" si="33"/>
        <v>18</v>
      </c>
      <c r="I166">
        <f t="shared" si="34"/>
        <v>-0.67066666666667329</v>
      </c>
      <c r="J166">
        <f t="shared" si="35"/>
        <v>0</v>
      </c>
      <c r="K166">
        <f t="shared" si="36"/>
        <v>-0.67066666666667329</v>
      </c>
      <c r="L166">
        <f t="shared" si="37"/>
        <v>1.8E-3</v>
      </c>
      <c r="M166">
        <f t="shared" si="42"/>
        <v>1.8E-3</v>
      </c>
      <c r="O166">
        <f t="shared" si="38"/>
        <v>1</v>
      </c>
      <c r="R166">
        <f t="shared" si="39"/>
        <v>-1.8953040000000189E-3</v>
      </c>
      <c r="S166">
        <f t="shared" si="40"/>
        <v>-2.779779200000027E-3</v>
      </c>
    </row>
    <row r="167" spans="1:19" x14ac:dyDescent="0.2">
      <c r="A167" t="s">
        <v>103</v>
      </c>
      <c r="B167" s="6" t="s">
        <v>77</v>
      </c>
      <c r="C167">
        <f t="shared" si="32"/>
        <v>-0.32</v>
      </c>
      <c r="D167" t="s">
        <v>115</v>
      </c>
      <c r="E167" s="6" t="s">
        <v>121</v>
      </c>
      <c r="F167">
        <v>100.700000000001</v>
      </c>
      <c r="G167">
        <f t="shared" si="41"/>
        <v>-32.224000000000316</v>
      </c>
      <c r="H167">
        <f t="shared" si="33"/>
        <v>18</v>
      </c>
      <c r="I167">
        <f t="shared" si="34"/>
        <v>-1.7902222222222397</v>
      </c>
      <c r="J167">
        <f t="shared" si="35"/>
        <v>0</v>
      </c>
      <c r="K167">
        <f t="shared" si="36"/>
        <v>-1.7902222222222397</v>
      </c>
      <c r="L167">
        <f t="shared" si="37"/>
        <v>1.8E-3</v>
      </c>
      <c r="M167">
        <f t="shared" si="42"/>
        <v>1.8E-3</v>
      </c>
      <c r="O167">
        <f t="shared" si="38"/>
        <v>0</v>
      </c>
      <c r="R167">
        <f t="shared" si="39"/>
        <v>-5.0591680000000496E-3</v>
      </c>
      <c r="S167">
        <f t="shared" si="40"/>
        <v>0</v>
      </c>
    </row>
    <row r="168" spans="1:19" x14ac:dyDescent="0.2">
      <c r="A168" t="s">
        <v>103</v>
      </c>
      <c r="B168" s="6" t="s">
        <v>78</v>
      </c>
      <c r="C168">
        <f t="shared" si="32"/>
        <v>-0.2</v>
      </c>
      <c r="D168" t="s">
        <v>115</v>
      </c>
      <c r="E168" s="6" t="s">
        <v>121</v>
      </c>
      <c r="F168">
        <v>100.80000000000101</v>
      </c>
      <c r="G168">
        <f t="shared" si="41"/>
        <v>-20.160000000000203</v>
      </c>
      <c r="H168">
        <f t="shared" si="33"/>
        <v>18</v>
      </c>
      <c r="I168">
        <f t="shared" si="34"/>
        <v>-1.1200000000000112</v>
      </c>
      <c r="J168">
        <f t="shared" si="35"/>
        <v>0</v>
      </c>
      <c r="K168">
        <f t="shared" si="36"/>
        <v>-1.1200000000000112</v>
      </c>
      <c r="L168">
        <f t="shared" si="37"/>
        <v>1.8E-3</v>
      </c>
      <c r="M168">
        <f t="shared" si="42"/>
        <v>1.8E-3</v>
      </c>
      <c r="O168">
        <f t="shared" si="38"/>
        <v>0</v>
      </c>
      <c r="R168">
        <f t="shared" si="39"/>
        <v>-3.1651200000000312E-3</v>
      </c>
      <c r="S168">
        <f t="shared" si="40"/>
        <v>0</v>
      </c>
    </row>
    <row r="169" spans="1:19" x14ac:dyDescent="0.2">
      <c r="A169" t="s">
        <v>103</v>
      </c>
      <c r="B169" s="6" t="s">
        <v>79</v>
      </c>
      <c r="C169">
        <f t="shared" si="32"/>
        <v>-0.18</v>
      </c>
      <c r="D169" t="s">
        <v>115</v>
      </c>
      <c r="E169" s="6" t="s">
        <v>121</v>
      </c>
      <c r="F169">
        <v>100.900000000001</v>
      </c>
      <c r="G169">
        <f t="shared" si="41"/>
        <v>-18.16200000000018</v>
      </c>
      <c r="H169">
        <f t="shared" si="33"/>
        <v>18</v>
      </c>
      <c r="I169">
        <f t="shared" si="34"/>
        <v>-1.0090000000000101</v>
      </c>
      <c r="J169">
        <f t="shared" si="35"/>
        <v>0</v>
      </c>
      <c r="K169">
        <f t="shared" si="36"/>
        <v>-1.0090000000000101</v>
      </c>
      <c r="L169">
        <f t="shared" si="37"/>
        <v>1.8E-3</v>
      </c>
      <c r="M169">
        <f t="shared" si="42"/>
        <v>1.8E-3</v>
      </c>
      <c r="O169">
        <f t="shared" si="38"/>
        <v>0</v>
      </c>
      <c r="R169">
        <f t="shared" si="39"/>
        <v>-2.8514340000000285E-3</v>
      </c>
      <c r="S169">
        <f t="shared" si="40"/>
        <v>0</v>
      </c>
    </row>
    <row r="170" spans="1:19" x14ac:dyDescent="0.2">
      <c r="A170" t="s">
        <v>103</v>
      </c>
      <c r="B170" s="6" t="s">
        <v>80</v>
      </c>
      <c r="C170">
        <f t="shared" si="32"/>
        <v>-0.4</v>
      </c>
      <c r="D170" t="s">
        <v>115</v>
      </c>
      <c r="E170" s="6" t="s">
        <v>121</v>
      </c>
      <c r="F170">
        <v>101.00000000000099</v>
      </c>
      <c r="G170">
        <f t="shared" si="41"/>
        <v>-40.400000000000404</v>
      </c>
      <c r="H170">
        <f t="shared" si="33"/>
        <v>18</v>
      </c>
      <c r="I170">
        <f t="shared" si="34"/>
        <v>-2.2444444444444667</v>
      </c>
      <c r="J170">
        <f t="shared" si="35"/>
        <v>0</v>
      </c>
      <c r="K170">
        <f t="shared" si="36"/>
        <v>-2.2444444444444667</v>
      </c>
      <c r="L170">
        <f t="shared" si="37"/>
        <v>1.8E-3</v>
      </c>
      <c r="M170">
        <f t="shared" si="42"/>
        <v>1.8E-3</v>
      </c>
      <c r="O170">
        <f t="shared" si="38"/>
        <v>0</v>
      </c>
      <c r="R170">
        <f t="shared" si="39"/>
        <v>-6.3428000000000633E-3</v>
      </c>
      <c r="S170">
        <f t="shared" si="40"/>
        <v>0</v>
      </c>
    </row>
    <row r="171" spans="1:19" x14ac:dyDescent="0.2">
      <c r="A171" t="s">
        <v>103</v>
      </c>
      <c r="B171" s="6" t="s">
        <v>81</v>
      </c>
      <c r="C171">
        <f t="shared" ref="C171:C177" si="43">VLOOKUP(B171, $W$13:$X$96, 2, FALSE)</f>
        <v>-0.21</v>
      </c>
      <c r="D171" t="s">
        <v>115</v>
      </c>
      <c r="E171" s="6" t="s">
        <v>121</v>
      </c>
      <c r="F171">
        <v>101.100000000001</v>
      </c>
      <c r="G171">
        <f t="shared" si="41"/>
        <v>-21.231000000000211</v>
      </c>
      <c r="H171">
        <f t="shared" ref="H171:H178" si="44">$V$6</f>
        <v>18</v>
      </c>
      <c r="I171">
        <f t="shared" ref="I171:I178" si="45">G171/H171</f>
        <v>-1.1795000000000118</v>
      </c>
      <c r="J171">
        <f t="shared" ref="J171:J178" si="46">IF(A171="crop",I171, 0)</f>
        <v>0</v>
      </c>
      <c r="K171">
        <f t="shared" ref="K171:K178" si="47">IF(A171="crop", 0, I171)</f>
        <v>-1.1795000000000118</v>
      </c>
      <c r="L171">
        <f t="shared" si="37"/>
        <v>1.8E-3</v>
      </c>
      <c r="M171">
        <f t="shared" si="42"/>
        <v>1.8E-3</v>
      </c>
      <c r="O171">
        <f t="shared" si="38"/>
        <v>0</v>
      </c>
      <c r="R171">
        <f t="shared" si="39"/>
        <v>-3.333267000000033E-3</v>
      </c>
      <c r="S171">
        <f t="shared" si="40"/>
        <v>0</v>
      </c>
    </row>
    <row r="172" spans="1:19" x14ac:dyDescent="0.2">
      <c r="A172" t="s">
        <v>103</v>
      </c>
      <c r="B172" s="6" t="s">
        <v>82</v>
      </c>
      <c r="C172">
        <f t="shared" si="43"/>
        <v>-0.42</v>
      </c>
      <c r="D172" t="s">
        <v>115</v>
      </c>
      <c r="E172" s="6" t="s">
        <v>121</v>
      </c>
      <c r="F172">
        <v>101.200000000001</v>
      </c>
      <c r="G172">
        <f t="shared" si="41"/>
        <v>-42.504000000000417</v>
      </c>
      <c r="H172">
        <f t="shared" si="44"/>
        <v>18</v>
      </c>
      <c r="I172">
        <f t="shared" si="45"/>
        <v>-2.3613333333333566</v>
      </c>
      <c r="J172">
        <f t="shared" si="46"/>
        <v>0</v>
      </c>
      <c r="K172">
        <f t="shared" si="47"/>
        <v>-2.3613333333333566</v>
      </c>
      <c r="L172">
        <f t="shared" si="37"/>
        <v>1.8E-3</v>
      </c>
      <c r="M172">
        <f t="shared" si="42"/>
        <v>1.8E-3</v>
      </c>
      <c r="O172">
        <f t="shared" si="38"/>
        <v>0</v>
      </c>
      <c r="R172">
        <f t="shared" si="39"/>
        <v>-6.6731280000000663E-3</v>
      </c>
      <c r="S172">
        <f t="shared" si="40"/>
        <v>0</v>
      </c>
    </row>
    <row r="173" spans="1:19" x14ac:dyDescent="0.2">
      <c r="A173" t="s">
        <v>103</v>
      </c>
      <c r="B173" s="6" t="s">
        <v>83</v>
      </c>
      <c r="C173">
        <f t="shared" si="43"/>
        <v>-0.33</v>
      </c>
      <c r="D173" t="s">
        <v>115</v>
      </c>
      <c r="E173" s="6" t="s">
        <v>121</v>
      </c>
      <c r="F173">
        <v>101.30000000000101</v>
      </c>
      <c r="G173">
        <f t="shared" si="41"/>
        <v>-33.429000000000336</v>
      </c>
      <c r="H173">
        <f t="shared" si="44"/>
        <v>18</v>
      </c>
      <c r="I173">
        <f t="shared" si="45"/>
        <v>-1.8571666666666853</v>
      </c>
      <c r="J173">
        <f t="shared" si="46"/>
        <v>0</v>
      </c>
      <c r="K173">
        <f t="shared" si="47"/>
        <v>-1.8571666666666853</v>
      </c>
      <c r="L173">
        <f t="shared" si="37"/>
        <v>1.8E-3</v>
      </c>
      <c r="M173">
        <f t="shared" si="42"/>
        <v>1.8E-3</v>
      </c>
      <c r="O173">
        <f t="shared" si="38"/>
        <v>0</v>
      </c>
      <c r="R173">
        <f t="shared" si="39"/>
        <v>-5.2483530000000528E-3</v>
      </c>
      <c r="S173">
        <f t="shared" si="40"/>
        <v>0</v>
      </c>
    </row>
    <row r="174" spans="1:19" x14ac:dyDescent="0.2">
      <c r="A174" t="s">
        <v>103</v>
      </c>
      <c r="B174" s="6" t="s">
        <v>84</v>
      </c>
      <c r="C174">
        <f t="shared" si="43"/>
        <v>-0.22</v>
      </c>
      <c r="D174" t="s">
        <v>115</v>
      </c>
      <c r="E174" s="6" t="s">
        <v>121</v>
      </c>
      <c r="F174">
        <v>101.400000000001</v>
      </c>
      <c r="G174">
        <f t="shared" si="41"/>
        <v>-22.30800000000022</v>
      </c>
      <c r="H174">
        <f t="shared" si="44"/>
        <v>18</v>
      </c>
      <c r="I174">
        <f t="shared" si="45"/>
        <v>-1.2393333333333456</v>
      </c>
      <c r="J174">
        <f t="shared" si="46"/>
        <v>0</v>
      </c>
      <c r="K174">
        <f t="shared" si="47"/>
        <v>-1.2393333333333456</v>
      </c>
      <c r="L174">
        <f t="shared" si="37"/>
        <v>1.8E-3</v>
      </c>
      <c r="M174">
        <f t="shared" si="42"/>
        <v>1.8E-3</v>
      </c>
      <c r="O174">
        <f t="shared" si="38"/>
        <v>0</v>
      </c>
      <c r="R174">
        <f t="shared" si="39"/>
        <v>-3.5023560000000346E-3</v>
      </c>
      <c r="S174">
        <f t="shared" si="40"/>
        <v>0</v>
      </c>
    </row>
    <row r="175" spans="1:19" x14ac:dyDescent="0.2">
      <c r="A175" t="s">
        <v>103</v>
      </c>
      <c r="B175" s="6" t="s">
        <v>85</v>
      </c>
      <c r="C175">
        <f t="shared" si="43"/>
        <v>-7.0000000000000007E-2</v>
      </c>
      <c r="D175" t="s">
        <v>115</v>
      </c>
      <c r="E175" s="6" t="s">
        <v>121</v>
      </c>
      <c r="F175">
        <v>101.50000000000099</v>
      </c>
      <c r="G175">
        <f t="shared" si="41"/>
        <v>-7.1050000000000706</v>
      </c>
      <c r="H175">
        <f t="shared" si="44"/>
        <v>18</v>
      </c>
      <c r="I175">
        <f t="shared" si="45"/>
        <v>-0.39472222222222614</v>
      </c>
      <c r="J175">
        <f t="shared" si="46"/>
        <v>0</v>
      </c>
      <c r="K175">
        <f t="shared" si="47"/>
        <v>-0.39472222222222614</v>
      </c>
      <c r="L175">
        <f t="shared" si="37"/>
        <v>1.8E-3</v>
      </c>
      <c r="M175">
        <f t="shared" si="42"/>
        <v>1.8E-3</v>
      </c>
      <c r="O175">
        <f t="shared" si="38"/>
        <v>0</v>
      </c>
      <c r="R175">
        <f t="shared" si="39"/>
        <v>-1.1154850000000111E-3</v>
      </c>
      <c r="S175">
        <f t="shared" si="40"/>
        <v>0</v>
      </c>
    </row>
    <row r="176" spans="1:19" x14ac:dyDescent="0.2">
      <c r="A176" t="s">
        <v>103</v>
      </c>
      <c r="B176" s="6" t="s">
        <v>86</v>
      </c>
      <c r="C176">
        <f t="shared" si="43"/>
        <v>-0.31</v>
      </c>
      <c r="D176" t="s">
        <v>115</v>
      </c>
      <c r="E176" s="6" t="s">
        <v>121</v>
      </c>
      <c r="F176">
        <v>101.600000000001</v>
      </c>
      <c r="G176">
        <f t="shared" si="41"/>
        <v>-31.496000000000311</v>
      </c>
      <c r="H176">
        <f t="shared" si="44"/>
        <v>18</v>
      </c>
      <c r="I176">
        <f t="shared" si="45"/>
        <v>-1.749777777777795</v>
      </c>
      <c r="J176">
        <f t="shared" si="46"/>
        <v>0</v>
      </c>
      <c r="K176">
        <f t="shared" si="47"/>
        <v>-1.749777777777795</v>
      </c>
      <c r="L176">
        <f t="shared" si="37"/>
        <v>1.8E-3</v>
      </c>
      <c r="M176">
        <f t="shared" si="42"/>
        <v>1.8E-3</v>
      </c>
      <c r="O176">
        <f t="shared" si="38"/>
        <v>0</v>
      </c>
      <c r="R176">
        <f t="shared" si="39"/>
        <v>-4.9448720000000489E-3</v>
      </c>
      <c r="S176">
        <f t="shared" si="40"/>
        <v>0</v>
      </c>
    </row>
    <row r="177" spans="1:19" x14ac:dyDescent="0.2">
      <c r="A177" t="s">
        <v>103</v>
      </c>
      <c r="B177" s="6" t="s">
        <v>87</v>
      </c>
      <c r="C177">
        <f t="shared" si="43"/>
        <v>-0.27</v>
      </c>
      <c r="D177" t="s">
        <v>115</v>
      </c>
      <c r="E177" s="6" t="s">
        <v>121</v>
      </c>
      <c r="F177">
        <v>101.700000000001</v>
      </c>
      <c r="G177">
        <f t="shared" si="41"/>
        <v>-27.45900000000027</v>
      </c>
      <c r="H177">
        <f t="shared" si="44"/>
        <v>18</v>
      </c>
      <c r="I177">
        <f t="shared" si="45"/>
        <v>-1.525500000000015</v>
      </c>
      <c r="J177">
        <f t="shared" si="46"/>
        <v>0</v>
      </c>
      <c r="K177">
        <f t="shared" si="47"/>
        <v>-1.525500000000015</v>
      </c>
      <c r="L177">
        <f t="shared" si="37"/>
        <v>1.8E-3</v>
      </c>
      <c r="M177">
        <f t="shared" si="42"/>
        <v>1.8E-3</v>
      </c>
      <c r="O177">
        <f t="shared" si="38"/>
        <v>0</v>
      </c>
      <c r="R177">
        <f t="shared" si="39"/>
        <v>-4.311063000000042E-3</v>
      </c>
      <c r="S177">
        <f t="shared" si="40"/>
        <v>0</v>
      </c>
    </row>
    <row r="178" spans="1:19" x14ac:dyDescent="0.2">
      <c r="A178" t="s">
        <v>103</v>
      </c>
      <c r="B178" s="6" t="s">
        <v>88</v>
      </c>
      <c r="C178">
        <f>VLOOKUP(B178, $W$13:$X$97, 2, FALSE)</f>
        <v>-0.05</v>
      </c>
      <c r="D178" t="s">
        <v>115</v>
      </c>
      <c r="E178" s="6" t="s">
        <v>121</v>
      </c>
      <c r="F178">
        <v>101.80000000000101</v>
      </c>
      <c r="G178">
        <f t="shared" si="41"/>
        <v>-5.0900000000000505</v>
      </c>
      <c r="H178">
        <f t="shared" si="44"/>
        <v>18</v>
      </c>
      <c r="I178">
        <f t="shared" si="45"/>
        <v>-0.28277777777778057</v>
      </c>
      <c r="J178">
        <f t="shared" si="46"/>
        <v>0</v>
      </c>
      <c r="K178">
        <f t="shared" si="47"/>
        <v>-0.28277777777778057</v>
      </c>
      <c r="L178">
        <f t="shared" si="37"/>
        <v>1.8E-3</v>
      </c>
      <c r="M178">
        <f t="shared" si="42"/>
        <v>1.8E-3</v>
      </c>
      <c r="O178">
        <f t="shared" si="38"/>
        <v>0</v>
      </c>
      <c r="R178">
        <f t="shared" si="39"/>
        <v>-7.9913000000000792E-4</v>
      </c>
      <c r="S178">
        <f t="shared" si="4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2026-10-22T06:06:35Z</dcterms:modified>
</cp:coreProperties>
</file>