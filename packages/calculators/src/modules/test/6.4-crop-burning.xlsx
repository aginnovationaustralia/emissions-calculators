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878BA584-F001-1D47-9BC5-3F8D0D685864}" xr6:coauthVersionLast="47" xr6:coauthVersionMax="47" xr10:uidLastSave="{00000000-0000-0000-0000-000000000000}"/>
  <bookViews>
    <workbookView xWindow="20" yWindow="660" windowWidth="28800" windowHeight="15940" xr2:uid="{5678E890-3691-CF46-80E7-00FB1F103661}"/>
  </bookViews>
  <sheets>
    <sheet name="6.4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5" i="3"/>
  <c r="I5" i="3"/>
  <c r="H5" i="3"/>
  <c r="G5" i="3"/>
  <c r="E5" i="3"/>
  <c r="R8" i="3"/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E19" i="3"/>
  <c r="F19" i="3"/>
  <c r="G19" i="3"/>
  <c r="H19" i="3"/>
  <c r="K19" i="3"/>
  <c r="L19" i="3"/>
  <c r="E20" i="3"/>
  <c r="F20" i="3" s="1"/>
  <c r="G20" i="3"/>
  <c r="H20" i="3"/>
  <c r="K20" i="3"/>
  <c r="L20" i="3"/>
  <c r="E21" i="3"/>
  <c r="F21" i="3" s="1"/>
  <c r="G21" i="3"/>
  <c r="H21" i="3"/>
  <c r="K21" i="3"/>
  <c r="L21" i="3"/>
  <c r="E22" i="3"/>
  <c r="F22" i="3" s="1"/>
  <c r="G22" i="3"/>
  <c r="H22" i="3"/>
  <c r="K22" i="3"/>
  <c r="L22" i="3"/>
  <c r="E15" i="3"/>
  <c r="F15" i="3" s="1"/>
  <c r="J15" i="3" s="1"/>
  <c r="G15" i="3"/>
  <c r="H15" i="3"/>
  <c r="K15" i="3"/>
  <c r="L15" i="3"/>
  <c r="E16" i="3"/>
  <c r="F16" i="3" s="1"/>
  <c r="J16" i="3" s="1"/>
  <c r="G16" i="3"/>
  <c r="H16" i="3"/>
  <c r="K16" i="3"/>
  <c r="L16" i="3"/>
  <c r="E17" i="3"/>
  <c r="F17" i="3" s="1"/>
  <c r="G17" i="3"/>
  <c r="H17" i="3"/>
  <c r="K17" i="3"/>
  <c r="L17" i="3"/>
  <c r="E18" i="3"/>
  <c r="F18" i="3" s="1"/>
  <c r="G18" i="3"/>
  <c r="H18" i="3"/>
  <c r="K18" i="3"/>
  <c r="L18" i="3"/>
  <c r="R6" i="3"/>
  <c r="M22" i="3" s="1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F5" i="3"/>
  <c r="J5" i="3" s="1"/>
  <c r="E6" i="3"/>
  <c r="F6" i="3" s="1"/>
  <c r="G6" i="3"/>
  <c r="H6" i="3"/>
  <c r="E7" i="3"/>
  <c r="F7" i="3" s="1"/>
  <c r="J7" i="3" s="1"/>
  <c r="G7" i="3"/>
  <c r="H7" i="3"/>
  <c r="E8" i="3"/>
  <c r="F8" i="3" s="1"/>
  <c r="J8" i="3" s="1"/>
  <c r="G8" i="3"/>
  <c r="H8" i="3"/>
  <c r="E9" i="3"/>
  <c r="F9" i="3" s="1"/>
  <c r="J9" i="3" s="1"/>
  <c r="G9" i="3"/>
  <c r="H9" i="3"/>
  <c r="E10" i="3"/>
  <c r="F10" i="3" s="1"/>
  <c r="G10" i="3"/>
  <c r="H10" i="3"/>
  <c r="E11" i="3"/>
  <c r="F11" i="3" s="1"/>
  <c r="G11" i="3"/>
  <c r="H11" i="3"/>
  <c r="E12" i="3"/>
  <c r="F12" i="3" s="1"/>
  <c r="G12" i="3"/>
  <c r="H12" i="3"/>
  <c r="E13" i="3"/>
  <c r="F13" i="3" s="1"/>
  <c r="G13" i="3"/>
  <c r="H13" i="3"/>
  <c r="E14" i="3"/>
  <c r="F14" i="3" s="1"/>
  <c r="G14" i="3"/>
  <c r="H14" i="3"/>
  <c r="K5" i="3"/>
  <c r="L5" i="3"/>
  <c r="J10" i="3" l="1"/>
  <c r="J21" i="3"/>
  <c r="J6" i="3"/>
  <c r="J19" i="3"/>
  <c r="J18" i="3"/>
  <c r="J17" i="3"/>
  <c r="J20" i="3"/>
  <c r="O20" i="3" s="1"/>
  <c r="J11" i="3"/>
  <c r="O11" i="3" s="1"/>
  <c r="J22" i="3"/>
  <c r="J13" i="3"/>
  <c r="O13" i="3" s="1"/>
  <c r="J12" i="3"/>
  <c r="O12" i="3" s="1"/>
  <c r="J14" i="3"/>
  <c r="O14" i="3" s="1"/>
  <c r="M6" i="3"/>
  <c r="M5" i="3"/>
  <c r="N5" i="3" s="1"/>
  <c r="M17" i="3"/>
  <c r="M19" i="3"/>
  <c r="O15" i="3"/>
  <c r="O5" i="3"/>
  <c r="O7" i="3"/>
  <c r="O8" i="3"/>
  <c r="O9" i="3"/>
  <c r="O10" i="3"/>
  <c r="M20" i="3"/>
  <c r="M18" i="3"/>
  <c r="M15" i="3"/>
  <c r="M16" i="3"/>
  <c r="M21" i="3"/>
  <c r="O16" i="3"/>
  <c r="M13" i="3"/>
  <c r="M9" i="3"/>
  <c r="M7" i="3"/>
  <c r="M12" i="3"/>
  <c r="M8" i="3"/>
  <c r="M11" i="3"/>
  <c r="M14" i="3"/>
  <c r="M10" i="3"/>
  <c r="N12" i="3" l="1"/>
  <c r="N15" i="3"/>
  <c r="N11" i="3"/>
  <c r="N21" i="3"/>
  <c r="O21" i="3"/>
  <c r="N18" i="3"/>
  <c r="O18" i="3"/>
  <c r="N22" i="3"/>
  <c r="O22" i="3"/>
  <c r="N6" i="3"/>
  <c r="O6" i="3"/>
  <c r="N19" i="3"/>
  <c r="O19" i="3"/>
  <c r="N17" i="3"/>
  <c r="O17" i="3"/>
  <c r="N10" i="3"/>
  <c r="N13" i="3"/>
  <c r="N20" i="3"/>
  <c r="N8" i="3"/>
  <c r="N7" i="3"/>
  <c r="N9" i="3"/>
  <c r="N16" i="3"/>
  <c r="N14" i="3"/>
</calcChain>
</file>

<file path=xl/sharedStrings.xml><?xml version="1.0" encoding="utf-8"?>
<sst xmlns="http://schemas.openxmlformats.org/spreadsheetml/2006/main" count="81" uniqueCount="51">
  <si>
    <t>Method 1</t>
  </si>
  <si>
    <t>Constants</t>
  </si>
  <si>
    <t>Cn2o</t>
  </si>
  <si>
    <t>En2o</t>
  </si>
  <si>
    <t>Fraction crop burnt</t>
  </si>
  <si>
    <t>Residue crop ratio</t>
  </si>
  <si>
    <t>Crop type</t>
  </si>
  <si>
    <t>Fc</t>
  </si>
  <si>
    <t>Pc</t>
  </si>
  <si>
    <t>RAGC</t>
  </si>
  <si>
    <t>RBGC</t>
  </si>
  <si>
    <t>DMc</t>
  </si>
  <si>
    <t>Ncagc</t>
  </si>
  <si>
    <t>Sugar Cane</t>
  </si>
  <si>
    <t>Rice</t>
  </si>
  <si>
    <t>Tubers and Roots</t>
  </si>
  <si>
    <t>Cotton</t>
  </si>
  <si>
    <t>Hops and grape vines</t>
  </si>
  <si>
    <t>Forage Crops</t>
  </si>
  <si>
    <t>Pulses</t>
  </si>
  <si>
    <t>Other Annual Crops</t>
  </si>
  <si>
    <t>Table A.2.1.1</t>
  </si>
  <si>
    <t>Wheat</t>
  </si>
  <si>
    <t>Barley</t>
  </si>
  <si>
    <t>Maize</t>
  </si>
  <si>
    <t>Oats</t>
  </si>
  <si>
    <t>Sorghum</t>
  </si>
  <si>
    <t>Triticale</t>
  </si>
  <si>
    <t>Other cereals</t>
  </si>
  <si>
    <t>Tubers and roots</t>
  </si>
  <si>
    <t>Peanuts</t>
  </si>
  <si>
    <t>Sugar cane</t>
  </si>
  <si>
    <t>Oilseeds</t>
  </si>
  <si>
    <t>Forage crops</t>
  </si>
  <si>
    <t>Other perennial crops</t>
  </si>
  <si>
    <t>CCc</t>
  </si>
  <si>
    <t>NCbgc</t>
  </si>
  <si>
    <t>Sc</t>
  </si>
  <si>
    <t>Zc</t>
  </si>
  <si>
    <t>n/a</t>
  </si>
  <si>
    <t>n/a </t>
  </si>
  <si>
    <r>
      <t>𝐸</t>
    </r>
    <r>
      <rPr>
        <sz val="8"/>
        <color rgb="FF000000"/>
        <rFont val="Helvetica"/>
        <family val="2"/>
      </rPr>
      <t xml:space="preserve">𝐶𝐻4 </t>
    </r>
    <r>
      <rPr>
        <sz val="11"/>
        <color rgb="FF000000"/>
        <rFont val="Helvetica"/>
        <family val="2"/>
      </rPr>
      <t>= ∑ (𝑀</t>
    </r>
    <r>
      <rPr>
        <sz val="8"/>
        <color rgb="FF000000"/>
        <rFont val="Helvetica"/>
        <family val="2"/>
      </rPr>
      <t xml:space="preserve">𝑏𝑢𝑟𝑛,𝑐 </t>
    </r>
    <r>
      <rPr>
        <sz val="11"/>
        <color rgb="FF000000"/>
        <rFont val="Helvetica"/>
        <family val="2"/>
      </rPr>
      <t>× 𝐶𝐶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𝐶𝐻4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𝐶𝐻4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</si>
  <si>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Ech4</t>
  </si>
  <si>
    <t>Cch4</t>
  </si>
  <si>
    <t>EFch4</t>
  </si>
  <si>
    <t>MburnC</t>
  </si>
  <si>
    <r>
      <t>𝑀</t>
    </r>
    <r>
      <rPr>
        <sz val="8"/>
        <color rgb="FF000000"/>
        <rFont val="Helvetica"/>
        <family val="2"/>
      </rPr>
      <t xml:space="preserve">𝑏𝑢𝑟𝑛,𝑐 </t>
    </r>
    <r>
      <rPr>
        <sz val="11"/>
        <color rgb="FF000000"/>
        <rFont val="Helvetica"/>
        <family val="2"/>
      </rPr>
      <t xml:space="preserve">= 𝑃 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>× 𝑆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𝐷𝑀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𝑍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 xml:space="preserve">× 𝐹 </t>
    </r>
    <r>
      <rPr>
        <sz val="8"/>
        <color rgb="FF000000"/>
        <rFont val="Helvetica"/>
        <family val="2"/>
      </rPr>
      <t>𝑐</t>
    </r>
  </si>
  <si>
    <t>Other Cereals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</si>
  <si>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= ∑ (𝑀</t>
    </r>
    <r>
      <rPr>
        <sz val="8"/>
        <color rgb="FF000000"/>
        <rFont val="Helvetica"/>
        <family val="2"/>
      </rPr>
      <t xml:space="preserve">𝑏𝑢𝑟𝑛,𝑐 </t>
    </r>
    <r>
      <rPr>
        <sz val="11"/>
        <color rgb="FF000000"/>
        <rFont val="Helvetica"/>
        <family val="2"/>
      </rPr>
      <t>× 𝑁𝐶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</si>
  <si>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EFn2o</t>
  </si>
  <si>
    <t>Total production yield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</si>
</sst>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Y58"/>
  <sheetViews>
    <sheetView tabSelected="1" workbookViewId="0">
      <selection activeCell="H25" sqref="H25"/>
    </sheetView>
  </sheetViews>
  <sheetFormatPr baseColWidth="10" defaultRowHeight="16"/>
  <cols>
    <col min="2" max="2" width="9.5" bestFit="1" customWidth="1"/>
    <col min="4" max="4" width="9" bestFit="1" customWidth="1"/>
    <col min="5" max="8" width="5.6640625" bestFit="1" customWidth="1"/>
    <col min="9" max="9" width="6.83203125" customWidth="1"/>
    <col min="10" max="10" width="8.5" customWidth="1"/>
    <col min="11" max="11" width="5.1640625" bestFit="1" customWidth="1"/>
    <col min="12" max="12" width="7.1640625" bestFit="1" customWidth="1"/>
    <col min="15" max="15" width="12.1640625" bestFit="1" customWidth="1"/>
  </cols>
  <sheetData>
    <row r="1" spans="1:19" ht="17">
      <c r="A1" s="3" t="s">
        <v>0</v>
      </c>
      <c r="N1" s="1" t="s">
        <v>41</v>
      </c>
    </row>
    <row r="2" spans="1:19">
      <c r="J2" s="1"/>
      <c r="K2" s="1"/>
      <c r="L2" s="1"/>
      <c r="N2" s="1"/>
    </row>
    <row r="3" spans="1:19" ht="51">
      <c r="B3" s="7" t="s">
        <v>4</v>
      </c>
      <c r="C3" s="7" t="s">
        <v>50</v>
      </c>
      <c r="D3" s="7" t="s">
        <v>5</v>
      </c>
      <c r="E3" s="7"/>
      <c r="F3" s="7"/>
      <c r="G3" s="7"/>
      <c r="H3" s="7"/>
      <c r="I3" s="7"/>
      <c r="J3" s="1" t="s">
        <v>46</v>
      </c>
      <c r="K3" s="1"/>
      <c r="L3" s="1"/>
      <c r="N3" s="1"/>
      <c r="O3" s="1" t="s">
        <v>48</v>
      </c>
      <c r="P3" s="1"/>
    </row>
    <row r="4" spans="1:19">
      <c r="A4" s="4" t="s">
        <v>6</v>
      </c>
      <c r="B4" s="4" t="s">
        <v>7</v>
      </c>
      <c r="C4" s="4" t="s">
        <v>8</v>
      </c>
      <c r="D4" t="s">
        <v>9</v>
      </c>
      <c r="E4" t="s">
        <v>37</v>
      </c>
      <c r="G4" t="s">
        <v>11</v>
      </c>
      <c r="H4" t="s">
        <v>38</v>
      </c>
      <c r="I4" t="s">
        <v>12</v>
      </c>
      <c r="J4" t="s">
        <v>45</v>
      </c>
      <c r="K4" t="s">
        <v>35</v>
      </c>
      <c r="L4" t="s">
        <v>44</v>
      </c>
      <c r="M4" t="s">
        <v>43</v>
      </c>
      <c r="N4" s="5" t="s">
        <v>42</v>
      </c>
      <c r="O4" s="5" t="s">
        <v>3</v>
      </c>
      <c r="Q4" s="6" t="s">
        <v>1</v>
      </c>
    </row>
    <row r="5" spans="1:19">
      <c r="A5" t="s">
        <v>13</v>
      </c>
      <c r="B5" s="12">
        <v>0.2</v>
      </c>
      <c r="C5" s="12">
        <v>11000</v>
      </c>
      <c r="D5" s="12">
        <f>IF(ISBLANK(A5), "", VLOOKUP($A5, $Q$22:$Y$39, 2, FALSE))</f>
        <v>0.25</v>
      </c>
      <c r="E5" s="12">
        <f>IF(ISBLANK(#REF!), "", VLOOKUP($A5, $Q$22:$Y$39, 8, FALSE))</f>
        <v>1</v>
      </c>
      <c r="F5" s="12">
        <f>IF(E5="n/a", 0, E5)</f>
        <v>1</v>
      </c>
      <c r="G5" s="12">
        <f>IF(ISBLANK(#REF!), "", VLOOKUP($A5, $Q$22:$Y$39, 4, FALSE))</f>
        <v>0.2</v>
      </c>
      <c r="H5" s="12">
        <f>IF(ISBLANK(#REF!), "", VLOOKUP($A5, $Q$22:$Y$39, 9, FALSE))</f>
        <v>0.8</v>
      </c>
      <c r="I5" s="12">
        <f>IF(ISBLANK(#REF!), "", VLOOKUP($A5, $Q$22:$Y$39, 6, FALSE))</f>
        <v>5.0000000000000001E-3</v>
      </c>
      <c r="J5">
        <f>IF(ISBLANK(A5),"", (C5*D5*F5*G5*H5*B5))</f>
        <v>88</v>
      </c>
      <c r="K5">
        <f>IF(ISBLANK(#REF!), "", VLOOKUP(A5, $Q$22:$Y$39,5,FALSE))</f>
        <v>0.4</v>
      </c>
      <c r="L5">
        <f>IF(ISBLANK(#REF!),"",$R$7)</f>
        <v>3.5000000000000001E-3</v>
      </c>
      <c r="M5">
        <f>IF(ISBLANK(#REF!),"",$R$6)</f>
        <v>1.3333333333333333</v>
      </c>
      <c r="N5">
        <f>IF(ISBLANK(#REF!), "", J5*K5*L5*M5/1000)</f>
        <v>1.6426666666666668E-4</v>
      </c>
      <c r="O5">
        <f>J5*I5*$R$9*$R$8/1000</f>
        <v>5.2548571428571423E-6</v>
      </c>
    </row>
    <row r="6" spans="1:19">
      <c r="A6" t="s">
        <v>13</v>
      </c>
      <c r="B6">
        <v>0.4</v>
      </c>
      <c r="C6" s="12">
        <v>12000</v>
      </c>
      <c r="D6" s="12">
        <f>IF(ISBLANK(A6), "", VLOOKUP($A6, $Q$22:$Y$39, 2, FALSE))</f>
        <v>0.25</v>
      </c>
      <c r="E6" s="12">
        <f>IF(ISBLANK(#REF!), "", VLOOKUP($A6, $Q$22:$Y$39, 8, FALSE))</f>
        <v>1</v>
      </c>
      <c r="F6" s="12">
        <f t="shared" ref="F6:F22" si="0">IF(E6="n/a", 0, E6)</f>
        <v>1</v>
      </c>
      <c r="G6" s="12">
        <f>IF(ISBLANK(#REF!), "", VLOOKUP($A6, $Q$22:$Y$39, 4, FALSE))</f>
        <v>0.2</v>
      </c>
      <c r="H6" s="12">
        <f>IF(ISBLANK(#REF!), "", VLOOKUP($A6, $Q$22:$Y$39, 9, FALSE))</f>
        <v>0.8</v>
      </c>
      <c r="I6" s="12">
        <f>IF(ISBLANK(#REF!), "", VLOOKUP($A6, $Q$22:$Y$39, 6, FALSE))</f>
        <v>5.0000000000000001E-3</v>
      </c>
      <c r="J6">
        <f>IF(ISBLANK(A6),"", (C6*D6*F6*G6*H6*B6))</f>
        <v>192</v>
      </c>
      <c r="K6">
        <f>IF(ISBLANK(#REF!), "", VLOOKUP(A6, $Q$22:$Y$39,5,FALSE))</f>
        <v>0.4</v>
      </c>
      <c r="L6">
        <f>IF(ISBLANK(#REF!),"",$R$7)</f>
        <v>3.5000000000000001E-3</v>
      </c>
      <c r="M6">
        <f>IF(ISBLANK(#REF!),"",$R$6)</f>
        <v>1.3333333333333333</v>
      </c>
      <c r="N6">
        <f>IF(ISBLANK(#REF!), "", J6*K6*L6*M6/1000)</f>
        <v>3.5840000000000004E-4</v>
      </c>
      <c r="O6">
        <f t="shared" ref="O6:O22" si="1">J6*I6*$R$9*$R$8/1000</f>
        <v>1.1465142857142856E-5</v>
      </c>
      <c r="Q6" t="s">
        <v>43</v>
      </c>
      <c r="R6">
        <f>16/12</f>
        <v>1.3333333333333333</v>
      </c>
    </row>
    <row r="7" spans="1:19">
      <c r="A7" s="2" t="s">
        <v>14</v>
      </c>
      <c r="B7">
        <v>0.2</v>
      </c>
      <c r="C7" s="12">
        <v>13000</v>
      </c>
      <c r="D7" s="12">
        <f>IF(ISBLANK(A7), "", VLOOKUP($A7, $Q$22:$Y$39, 2, FALSE))</f>
        <v>1.31</v>
      </c>
      <c r="E7" s="12">
        <f>IF(ISBLANK(#REF!), "", VLOOKUP($A7, $Q$22:$Y$39, 8, FALSE))</f>
        <v>1</v>
      </c>
      <c r="F7" s="12">
        <f t="shared" si="0"/>
        <v>1</v>
      </c>
      <c r="G7" s="12">
        <f>IF(ISBLANK(#REF!), "", VLOOKUP($A7, $Q$22:$Y$39, 4, FALSE))</f>
        <v>0.8</v>
      </c>
      <c r="H7" s="12">
        <f>IF(ISBLANK(#REF!), "", VLOOKUP($A7, $Q$22:$Y$39, 9, FALSE))</f>
        <v>0.8</v>
      </c>
      <c r="I7" s="12">
        <f>IF(ISBLANK(#REF!), "", VLOOKUP($A7, $Q$22:$Y$39, 6, FALSE))</f>
        <v>7.0000000000000001E-3</v>
      </c>
      <c r="J7">
        <f>IF(ISBLANK(A7),"", (C7*D7*F7*G7*H7*B7))</f>
        <v>2179.84</v>
      </c>
      <c r="K7">
        <f>IF(ISBLANK(#REF!), "", VLOOKUP(A7, $Q$22:$Y$39,5,FALSE))</f>
        <v>0.42</v>
      </c>
      <c r="L7">
        <f>IF(ISBLANK(#REF!),"",$R$7)</f>
        <v>3.5000000000000001E-3</v>
      </c>
      <c r="M7">
        <f>IF(ISBLANK(#REF!),"",$R$6)</f>
        <v>1.3333333333333333</v>
      </c>
      <c r="N7">
        <f>IF(ISBLANK(#REF!), "", J7*K7*L7*M7/1000)</f>
        <v>4.2724864E-3</v>
      </c>
      <c r="O7">
        <f t="shared" si="1"/>
        <v>1.82234624E-4</v>
      </c>
      <c r="Q7" t="s">
        <v>44</v>
      </c>
      <c r="R7">
        <v>3.5000000000000001E-3</v>
      </c>
    </row>
    <row r="8" spans="1:19">
      <c r="A8" s="2" t="s">
        <v>14</v>
      </c>
      <c r="B8">
        <v>0.4</v>
      </c>
      <c r="C8" s="12">
        <v>14000</v>
      </c>
      <c r="D8" s="12">
        <f>IF(ISBLANK(A8), "", VLOOKUP($A8, $Q$22:$Y$39, 2, FALSE))</f>
        <v>1.31</v>
      </c>
      <c r="E8" s="12">
        <f>IF(ISBLANK(#REF!), "", VLOOKUP($A8, $Q$22:$Y$39, 8, FALSE))</f>
        <v>1</v>
      </c>
      <c r="F8" s="12">
        <f t="shared" si="0"/>
        <v>1</v>
      </c>
      <c r="G8" s="12">
        <f>IF(ISBLANK(#REF!), "", VLOOKUP($A8, $Q$22:$Y$39, 4, FALSE))</f>
        <v>0.8</v>
      </c>
      <c r="H8" s="12">
        <f>IF(ISBLANK(#REF!), "", VLOOKUP($A8, $Q$22:$Y$39, 9, FALSE))</f>
        <v>0.8</v>
      </c>
      <c r="I8" s="12">
        <f>IF(ISBLANK(#REF!), "", VLOOKUP($A8, $Q$22:$Y$39, 6, FALSE))</f>
        <v>7.0000000000000001E-3</v>
      </c>
      <c r="J8">
        <f>IF(ISBLANK(A8),"", (C8*D8*F8*G8*H8*B8))</f>
        <v>4695.04</v>
      </c>
      <c r="K8">
        <f>IF(ISBLANK(#REF!), "", VLOOKUP(A8, $Q$22:$Y$39,5,FALSE))</f>
        <v>0.42</v>
      </c>
      <c r="L8">
        <f>IF(ISBLANK(#REF!),"",$R$7)</f>
        <v>3.5000000000000001E-3</v>
      </c>
      <c r="M8">
        <f>IF(ISBLANK(#REF!),"",$R$6)</f>
        <v>1.3333333333333333</v>
      </c>
      <c r="N8">
        <f>IF(ISBLANK(#REF!), "", J8*K8*L8*M8/1000)</f>
        <v>9.2022783999999996E-3</v>
      </c>
      <c r="O8">
        <f t="shared" si="1"/>
        <v>3.92505344E-4</v>
      </c>
      <c r="Q8" s="2" t="s">
        <v>2</v>
      </c>
      <c r="R8">
        <f>44/28</f>
        <v>1.5714285714285714</v>
      </c>
    </row>
    <row r="9" spans="1:19">
      <c r="A9" s="2" t="s">
        <v>15</v>
      </c>
      <c r="B9">
        <v>0.2</v>
      </c>
      <c r="C9" s="12">
        <v>15000</v>
      </c>
      <c r="D9" s="12">
        <f>IF(ISBLANK(A9), "", VLOOKUP($A9, $Q$22:$Y$39, 2, FALSE))</f>
        <v>0.34</v>
      </c>
      <c r="E9" s="12" t="str">
        <f>IF(ISBLANK(#REF!), "", VLOOKUP($A9, $Q$22:$Y$39, 8, FALSE))</f>
        <v>n/a</v>
      </c>
      <c r="F9" s="12">
        <f t="shared" si="0"/>
        <v>0</v>
      </c>
      <c r="G9" s="12">
        <f>IF(ISBLANK(#REF!), "", VLOOKUP($A9, $Q$22:$Y$39, 4, FALSE))</f>
        <v>0.25</v>
      </c>
      <c r="H9" s="12">
        <f>IF(ISBLANK(#REF!), "", VLOOKUP($A9, $Q$22:$Y$39, 9, FALSE))</f>
        <v>0.85</v>
      </c>
      <c r="I9" s="12">
        <f>IF(ISBLANK(#REF!), "", VLOOKUP($A9, $Q$22:$Y$39, 6, FALSE))</f>
        <v>0.02</v>
      </c>
      <c r="J9">
        <f>IF(ISBLANK(A9),"", (C9*D9*F9*G9*H9*B9))</f>
        <v>0</v>
      </c>
      <c r="K9">
        <f>IF(ISBLANK(#REF!), "", VLOOKUP(A9, $Q$22:$Y$39,5,FALSE))</f>
        <v>0.4</v>
      </c>
      <c r="L9">
        <f>IF(ISBLANK(#REF!),"",$R$7)</f>
        <v>3.5000000000000001E-3</v>
      </c>
      <c r="M9">
        <f>IF(ISBLANK(#REF!),"",$R$6)</f>
        <v>1.3333333333333333</v>
      </c>
      <c r="N9">
        <f>IF(ISBLANK(#REF!), "", J9*K9*L9*M9/1000)</f>
        <v>0</v>
      </c>
      <c r="O9">
        <f t="shared" si="1"/>
        <v>0</v>
      </c>
      <c r="Q9" s="2" t="s">
        <v>49</v>
      </c>
      <c r="R9" s="2">
        <v>7.6E-3</v>
      </c>
    </row>
    <row r="10" spans="1:19">
      <c r="A10" s="2" t="s">
        <v>15</v>
      </c>
      <c r="B10">
        <v>0.1</v>
      </c>
      <c r="C10" s="12">
        <v>16000</v>
      </c>
      <c r="D10" s="12">
        <f>IF(ISBLANK(A10), "", VLOOKUP($A10, $Q$22:$Y$39, 2, FALSE))</f>
        <v>0.34</v>
      </c>
      <c r="E10" s="12" t="str">
        <f>IF(ISBLANK(#REF!), "", VLOOKUP($A10, $Q$22:$Y$39, 8, FALSE))</f>
        <v>n/a</v>
      </c>
      <c r="F10" s="12">
        <f t="shared" si="0"/>
        <v>0</v>
      </c>
      <c r="G10" s="12">
        <f>IF(ISBLANK(#REF!), "", VLOOKUP($A10, $Q$22:$Y$39, 4, FALSE))</f>
        <v>0.25</v>
      </c>
      <c r="H10" s="12">
        <f>IF(ISBLANK(#REF!), "", VLOOKUP($A10, $Q$22:$Y$39, 9, FALSE))</f>
        <v>0.85</v>
      </c>
      <c r="I10" s="12">
        <f>IF(ISBLANK(#REF!), "", VLOOKUP($A10, $Q$22:$Y$39, 6, FALSE))</f>
        <v>0.02</v>
      </c>
      <c r="J10">
        <f>IF(ISBLANK(A10),"", (C10*D10*F10*G10*H10*B10))</f>
        <v>0</v>
      </c>
      <c r="K10">
        <f>IF(ISBLANK(#REF!), "", VLOOKUP(A10, $Q$22:$Y$39,5,FALSE))</f>
        <v>0.4</v>
      </c>
      <c r="L10">
        <f>IF(ISBLANK(#REF!),"",$R$7)</f>
        <v>3.5000000000000001E-3</v>
      </c>
      <c r="M10">
        <f>IF(ISBLANK(#REF!),"",$R$6)</f>
        <v>1.3333333333333333</v>
      </c>
      <c r="N10">
        <f>IF(ISBLANK(#REF!), "", J10*K10*L10*M10/1000)</f>
        <v>0</v>
      </c>
      <c r="O10">
        <f t="shared" si="1"/>
        <v>0</v>
      </c>
    </row>
    <row r="11" spans="1:19">
      <c r="A11" s="2" t="s">
        <v>16</v>
      </c>
      <c r="B11">
        <v>0.3</v>
      </c>
      <c r="C11" s="12">
        <v>17000</v>
      </c>
      <c r="D11" s="12">
        <f>IF(ISBLANK(A11), "", VLOOKUP($A11, $Q$22:$Y$39, 2, FALSE))</f>
        <v>1.9</v>
      </c>
      <c r="E11" s="12" t="str">
        <f>IF(ISBLANK(#REF!), "", VLOOKUP($A11, $Q$22:$Y$39, 8, FALSE))</f>
        <v>n/a</v>
      </c>
      <c r="F11" s="12">
        <f t="shared" si="0"/>
        <v>0</v>
      </c>
      <c r="G11" s="12">
        <f>IF(ISBLANK(#REF!), "", VLOOKUP($A11, $Q$22:$Y$39, 4, FALSE))</f>
        <v>0.9</v>
      </c>
      <c r="H11" s="12">
        <f>IF(ISBLANK(#REF!), "", VLOOKUP($A11, $Q$22:$Y$39, 9, FALSE))</f>
        <v>0.85</v>
      </c>
      <c r="I11" s="12">
        <f>IF(ISBLANK(#REF!), "", VLOOKUP($A11, $Q$22:$Y$39, 6, FALSE))</f>
        <v>0.01</v>
      </c>
      <c r="J11">
        <f>IF(ISBLANK(A11),"", (C11*D11*F11*G11*H11*B11))</f>
        <v>0</v>
      </c>
      <c r="K11">
        <f>IF(ISBLANK(#REF!), "", VLOOKUP(A11, $Q$22:$Y$39,5,FALSE))</f>
        <v>0.4</v>
      </c>
      <c r="L11">
        <f>IF(ISBLANK(#REF!),"",$R$7)</f>
        <v>3.5000000000000001E-3</v>
      </c>
      <c r="M11">
        <f>IF(ISBLANK(#REF!),"",$R$6)</f>
        <v>1.3333333333333333</v>
      </c>
      <c r="N11">
        <f>IF(ISBLANK(#REF!), "", J11*K11*L11*M11/1000)</f>
        <v>0</v>
      </c>
      <c r="O11">
        <f t="shared" si="1"/>
        <v>0</v>
      </c>
      <c r="Q11" s="2"/>
      <c r="R11" s="2"/>
    </row>
    <row r="12" spans="1:19">
      <c r="A12" s="2" t="s">
        <v>17</v>
      </c>
      <c r="B12">
        <v>0.3</v>
      </c>
      <c r="C12" s="12">
        <v>18000</v>
      </c>
      <c r="D12" s="12">
        <f>IF(ISBLANK(A12), "", VLOOKUP($A12, $Q$22:$Y$39, 2, FALSE))</f>
        <v>1.5</v>
      </c>
      <c r="E12" s="12" t="str">
        <f>IF(ISBLANK(#REF!), "", VLOOKUP($A12, $Q$22:$Y$39, 8, FALSE))</f>
        <v>n/a</v>
      </c>
      <c r="F12" s="12">
        <f t="shared" si="0"/>
        <v>0</v>
      </c>
      <c r="G12" s="12">
        <f>IF(ISBLANK(#REF!), "", VLOOKUP($A12, $Q$22:$Y$39, 4, FALSE))</f>
        <v>0.88</v>
      </c>
      <c r="H12" s="12">
        <f>IF(ISBLANK(#REF!), "", VLOOKUP($A12, $Q$22:$Y$39, 9, FALSE))</f>
        <v>0.85</v>
      </c>
      <c r="I12" s="12">
        <f>IF(ISBLANK(#REF!), "", VLOOKUP($A12, $Q$22:$Y$39, 6, FALSE))</f>
        <v>6.0000000000000001E-3</v>
      </c>
      <c r="J12">
        <f>IF(ISBLANK(A12),"", (C12*D12*F12*G12*H12*B12))</f>
        <v>0</v>
      </c>
      <c r="K12">
        <f>IF(ISBLANK(#REF!), "", VLOOKUP(A12, $Q$22:$Y$39,5,FALSE))</f>
        <v>0.4</v>
      </c>
      <c r="L12">
        <f>IF(ISBLANK(#REF!),"",$R$7)</f>
        <v>3.5000000000000001E-3</v>
      </c>
      <c r="M12">
        <f>IF(ISBLANK(#REF!),"",$R$6)</f>
        <v>1.3333333333333333</v>
      </c>
      <c r="N12">
        <f>IF(ISBLANK(#REF!), "", J12*K12*L12*M12/1000)</f>
        <v>0</v>
      </c>
      <c r="O12">
        <f t="shared" si="1"/>
        <v>0</v>
      </c>
      <c r="Q12" s="2"/>
      <c r="R12" s="2"/>
    </row>
    <row r="13" spans="1:19">
      <c r="A13" s="2" t="s">
        <v>18</v>
      </c>
      <c r="B13">
        <v>0.3</v>
      </c>
      <c r="C13" s="12">
        <v>19000</v>
      </c>
      <c r="D13" s="12">
        <f>IF(ISBLANK(A13), "", VLOOKUP($A13, $Q$22:$Y$39, 2, FALSE))</f>
        <v>1.34</v>
      </c>
      <c r="E13" s="12" t="str">
        <f>IF(ISBLANK(#REF!), "", VLOOKUP($A13, $Q$22:$Y$39, 8, FALSE))</f>
        <v>n/a</v>
      </c>
      <c r="F13" s="12">
        <f t="shared" si="0"/>
        <v>0</v>
      </c>
      <c r="G13" s="12">
        <f>IF(ISBLANK(#REF!), "", VLOOKUP($A13, $Q$22:$Y$39, 4, FALSE))</f>
        <v>0.88</v>
      </c>
      <c r="H13" s="12">
        <f>IF(ISBLANK(#REF!), "", VLOOKUP($A13, $Q$22:$Y$39, 9, FALSE))</f>
        <v>0.85</v>
      </c>
      <c r="I13" s="12">
        <f>IF(ISBLANK(#REF!), "", VLOOKUP($A13, $Q$22:$Y$39, 6, FALSE))</f>
        <v>6.0000000000000001E-3</v>
      </c>
      <c r="J13">
        <f>IF(ISBLANK(A13),"", (C13*D13*F13*G13*H13*B13))</f>
        <v>0</v>
      </c>
      <c r="K13">
        <f>IF(ISBLANK(#REF!), "", VLOOKUP(A13, $Q$22:$Y$39,5,FALSE))</f>
        <v>0.4</v>
      </c>
      <c r="L13">
        <f>IF(ISBLANK(#REF!),"",$R$7)</f>
        <v>3.5000000000000001E-3</v>
      </c>
      <c r="M13">
        <f>IF(ISBLANK(#REF!),"",$R$6)</f>
        <v>1.3333333333333333</v>
      </c>
      <c r="N13">
        <f>IF(ISBLANK(#REF!), "", J13*K13*L13*M13/1000)</f>
        <v>0</v>
      </c>
      <c r="O13">
        <f t="shared" si="1"/>
        <v>0</v>
      </c>
    </row>
    <row r="14" spans="1:19">
      <c r="A14" s="2" t="s">
        <v>30</v>
      </c>
      <c r="B14">
        <v>0.3</v>
      </c>
      <c r="C14" s="12">
        <v>20000</v>
      </c>
      <c r="D14" s="12">
        <f>IF(ISBLANK(A14), "", VLOOKUP($A14, $Q$22:$Y$39, 2, FALSE))</f>
        <v>1.07</v>
      </c>
      <c r="E14" s="12">
        <f>IF(ISBLANK(#REF!), "", VLOOKUP($A14, $Q$22:$Y$39, 8, FALSE))</f>
        <v>0.5</v>
      </c>
      <c r="F14" s="12">
        <f t="shared" si="0"/>
        <v>0.5</v>
      </c>
      <c r="G14" s="12">
        <f>IF(ISBLANK(#REF!), "", VLOOKUP($A14, $Q$22:$Y$39, 4, FALSE))</f>
        <v>0.8</v>
      </c>
      <c r="H14" s="12">
        <f>IF(ISBLANK(#REF!), "", VLOOKUP($A14, $Q$22:$Y$39, 9, FALSE))</f>
        <v>0.85</v>
      </c>
      <c r="I14" s="12">
        <f>IF(ISBLANK(#REF!), "", VLOOKUP($A14, $Q$22:$Y$39, 6, FALSE))</f>
        <v>1.6E-2</v>
      </c>
      <c r="J14">
        <f>IF(ISBLANK(A14),"", (C14*D14*F14*G14*H14*B14))</f>
        <v>2182.7999999999997</v>
      </c>
      <c r="K14">
        <f>IF(ISBLANK(#REF!), "", VLOOKUP(A14, $Q$22:$Y$39,5,FALSE))</f>
        <v>0.42</v>
      </c>
      <c r="L14">
        <f>IF(ISBLANK(#REF!),"",$R$7)</f>
        <v>3.5000000000000001E-3</v>
      </c>
      <c r="M14">
        <f>IF(ISBLANK(#REF!),"",$R$6)</f>
        <v>1.3333333333333333</v>
      </c>
      <c r="N14">
        <f>IF(ISBLANK(#REF!), "", J14*K14*L14*M14/1000)</f>
        <v>4.278287999999999E-3</v>
      </c>
      <c r="O14">
        <f t="shared" si="1"/>
        <v>4.1710189714285704E-4</v>
      </c>
      <c r="Q14" s="2"/>
      <c r="R14" s="2"/>
      <c r="S14" s="8"/>
    </row>
    <row r="15" spans="1:19">
      <c r="A15" s="2" t="s">
        <v>32</v>
      </c>
      <c r="B15">
        <v>0.3</v>
      </c>
      <c r="C15" s="12">
        <v>21000</v>
      </c>
      <c r="D15" s="12">
        <f>IF(ISBLANK(A15), "", VLOOKUP($A15, $Q$22:$Y$39, 2, FALSE))</f>
        <v>2.08</v>
      </c>
      <c r="E15" s="12">
        <f>IF(ISBLANK(#REF!), "", VLOOKUP($A15, $Q$22:$Y$39, 8, FALSE))</f>
        <v>0.5</v>
      </c>
      <c r="F15" s="12">
        <f t="shared" si="0"/>
        <v>0.5</v>
      </c>
      <c r="G15" s="12">
        <f>IF(ISBLANK(#REF!), "", VLOOKUP($A15, $Q$22:$Y$39, 4, FALSE))</f>
        <v>0.96</v>
      </c>
      <c r="H15" s="12">
        <f>IF(ISBLANK(#REF!), "", VLOOKUP($A15, $Q$22:$Y$39, 9, FALSE))</f>
        <v>0.85</v>
      </c>
      <c r="I15" s="12">
        <f>IF(ISBLANK(#REF!), "", VLOOKUP($A15, $Q$22:$Y$39, 6, FALSE))</f>
        <v>8.9999999999999993E-3</v>
      </c>
      <c r="J15">
        <f>IF(ISBLANK(A15),"", (C15*D15*F15*G15*H15*B15))</f>
        <v>5346.4319999999998</v>
      </c>
      <c r="K15">
        <f>IF(ISBLANK(#REF!), "", VLOOKUP(A15, $Q$22:$Y$39,5,FALSE))</f>
        <v>0.4</v>
      </c>
      <c r="L15">
        <f>IF(ISBLANK(#REF!),"",$R$7)</f>
        <v>3.5000000000000001E-3</v>
      </c>
      <c r="M15">
        <f>IF(ISBLANK(#REF!),"",$R$6)</f>
        <v>1.3333333333333333</v>
      </c>
      <c r="N15">
        <f>IF(ISBLANK(#REF!), "", J15*K15*L15*M15/1000)</f>
        <v>9.980006399999998E-3</v>
      </c>
      <c r="O15">
        <f t="shared" si="1"/>
        <v>5.7466506239999991E-4</v>
      </c>
      <c r="Q15" s="2"/>
      <c r="R15" s="2"/>
      <c r="S15" s="8"/>
    </row>
    <row r="16" spans="1:19">
      <c r="A16" s="2" t="s">
        <v>23</v>
      </c>
      <c r="B16">
        <v>0.3</v>
      </c>
      <c r="C16" s="12">
        <v>22000</v>
      </c>
      <c r="D16" s="12">
        <f>IF(ISBLANK(A16), "", VLOOKUP($A16, $Q$22:$Y$39, 2, FALSE))</f>
        <v>1.24</v>
      </c>
      <c r="E16" s="12">
        <f>IF(ISBLANK(#REF!), "", VLOOKUP($A16, $Q$22:$Y$39, 8, FALSE))</f>
        <v>0.5</v>
      </c>
      <c r="F16" s="12">
        <f t="shared" si="0"/>
        <v>0.5</v>
      </c>
      <c r="G16" s="12">
        <f>IF(ISBLANK(#REF!), "", VLOOKUP($A16, $Q$22:$Y$39, 4, FALSE))</f>
        <v>0.88</v>
      </c>
      <c r="H16" s="12">
        <f>IF(ISBLANK(#REF!), "", VLOOKUP($A16, $Q$22:$Y$39, 9, FALSE))</f>
        <v>0.85</v>
      </c>
      <c r="I16" s="12">
        <f>IF(ISBLANK(#REF!), "", VLOOKUP($A16, $Q$22:$Y$39, 6, FALSE))</f>
        <v>7.0000000000000001E-3</v>
      </c>
      <c r="J16">
        <f>IF(ISBLANK(A16),"", (C16*D16*F16*G16*H16*B16))</f>
        <v>3060.8160000000003</v>
      </c>
      <c r="K16">
        <f>IF(ISBLANK(#REF!), "", VLOOKUP(A16, $Q$22:$Y$39,5,FALSE))</f>
        <v>0.4</v>
      </c>
      <c r="L16">
        <f>IF(ISBLANK(#REF!),"",$R$7)</f>
        <v>3.5000000000000001E-3</v>
      </c>
      <c r="M16">
        <f>IF(ISBLANK(#REF!),"",$R$6)</f>
        <v>1.3333333333333333</v>
      </c>
      <c r="N16">
        <f>IF(ISBLANK(#REF!), "", J16*K16*L16*M16/1000)</f>
        <v>5.7135232000000008E-3</v>
      </c>
      <c r="O16">
        <f t="shared" si="1"/>
        <v>2.5588421760000004E-4</v>
      </c>
      <c r="Q16" s="2"/>
      <c r="R16" s="2"/>
      <c r="S16" s="8"/>
    </row>
    <row r="17" spans="1:25">
      <c r="A17" s="2" t="s">
        <v>24</v>
      </c>
      <c r="B17">
        <v>0.3</v>
      </c>
      <c r="C17" s="12">
        <v>23000</v>
      </c>
      <c r="D17" s="12">
        <f>IF(ISBLANK(A17), "", VLOOKUP($A17, $Q$22:$Y$39, 2, FALSE))</f>
        <v>0.81</v>
      </c>
      <c r="E17" s="12">
        <f>IF(ISBLANK(#REF!), "", VLOOKUP($A17, $Q$22:$Y$39, 8, FALSE))</f>
        <v>1</v>
      </c>
      <c r="F17" s="12">
        <f t="shared" si="0"/>
        <v>1</v>
      </c>
      <c r="G17" s="12">
        <f>IF(ISBLANK(#REF!), "", VLOOKUP($A17, $Q$22:$Y$39, 4, FALSE))</f>
        <v>0.85</v>
      </c>
      <c r="H17" s="12">
        <f>IF(ISBLANK(#REF!), "", VLOOKUP($A17, $Q$22:$Y$39, 9, FALSE))</f>
        <v>0.8</v>
      </c>
      <c r="I17" s="12">
        <f>IF(ISBLANK(#REF!), "", VLOOKUP($A17, $Q$22:$Y$39, 6, FALSE))</f>
        <v>5.0000000000000001E-3</v>
      </c>
      <c r="J17">
        <f>IF(ISBLANK(A17),"", (C17*D17*F17*G17*H17*B17))</f>
        <v>3800.5200000000004</v>
      </c>
      <c r="K17">
        <f>IF(ISBLANK(#REF!), "", VLOOKUP(A17, $Q$22:$Y$39,5,FALSE))</f>
        <v>0.42</v>
      </c>
      <c r="L17">
        <f>IF(ISBLANK(#REF!),"",$R$7)</f>
        <v>3.5000000000000001E-3</v>
      </c>
      <c r="M17">
        <f>IF(ISBLANK(#REF!),"",$R$6)</f>
        <v>1.3333333333333333</v>
      </c>
      <c r="N17">
        <f>IF(ISBLANK(#REF!), "", J17*K17*L17*M17/1000)</f>
        <v>7.4490192000000004E-3</v>
      </c>
      <c r="O17">
        <f t="shared" si="1"/>
        <v>2.2694533714285713E-4</v>
      </c>
    </row>
    <row r="18" spans="1:25">
      <c r="A18" s="2" t="s">
        <v>25</v>
      </c>
      <c r="B18">
        <v>0.3</v>
      </c>
      <c r="C18" s="12">
        <v>24000</v>
      </c>
      <c r="D18" s="12">
        <f>IF(ISBLANK(A18), "", VLOOKUP($A18, $Q$22:$Y$39, 2, FALSE))</f>
        <v>1.42</v>
      </c>
      <c r="E18" s="12">
        <f>IF(ISBLANK(#REF!), "", VLOOKUP($A18, $Q$22:$Y$39, 8, FALSE))</f>
        <v>0.5</v>
      </c>
      <c r="F18" s="12">
        <f t="shared" si="0"/>
        <v>0.5</v>
      </c>
      <c r="G18" s="12">
        <f>IF(ISBLANK(#REF!), "", VLOOKUP($A18, $Q$22:$Y$39, 4, FALSE))</f>
        <v>0.88</v>
      </c>
      <c r="H18" s="12">
        <f>IF(ISBLANK(#REF!), "", VLOOKUP($A18, $Q$22:$Y$39, 9, FALSE))</f>
        <v>0.85</v>
      </c>
      <c r="I18" s="12">
        <f>IF(ISBLANK(#REF!), "", VLOOKUP($A18, $Q$22:$Y$39, 6, FALSE))</f>
        <v>6.0000000000000001E-3</v>
      </c>
      <c r="J18">
        <f>IF(ISBLANK(A18),"", (C18*D18*F18*G18*H18*B18))</f>
        <v>3823.7759999999998</v>
      </c>
      <c r="K18">
        <f>IF(ISBLANK(#REF!), "", VLOOKUP(A18, $Q$22:$Y$39,5,FALSE))</f>
        <v>0.4</v>
      </c>
      <c r="L18">
        <f>IF(ISBLANK(#REF!),"",$R$7)</f>
        <v>3.5000000000000001E-3</v>
      </c>
      <c r="M18">
        <f>IF(ISBLANK(#REF!),"",$R$6)</f>
        <v>1.3333333333333333</v>
      </c>
      <c r="N18">
        <f>IF(ISBLANK(#REF!), "", J18*K18*L18*M18/1000)</f>
        <v>7.1377152000000003E-3</v>
      </c>
      <c r="O18">
        <f t="shared" si="1"/>
        <v>2.7400086308571427E-4</v>
      </c>
      <c r="Q18" s="2"/>
      <c r="R18" s="2"/>
    </row>
    <row r="19" spans="1:25">
      <c r="A19" s="2" t="s">
        <v>23</v>
      </c>
      <c r="B19">
        <v>0.3</v>
      </c>
      <c r="C19" s="12">
        <v>25000</v>
      </c>
      <c r="D19" s="12">
        <f>IF(ISBLANK(A19), "", VLOOKUP($A19, $Q$22:$Y$39, 2, FALSE))</f>
        <v>1.24</v>
      </c>
      <c r="E19" s="12">
        <f>IF(ISBLANK(#REF!), "", VLOOKUP($A19, $Q$22:$Y$39, 8, FALSE))</f>
        <v>0.5</v>
      </c>
      <c r="F19" s="12">
        <f t="shared" si="0"/>
        <v>0.5</v>
      </c>
      <c r="G19" s="12">
        <f>IF(ISBLANK(#REF!), "", VLOOKUP($A19, $Q$22:$Y$39, 4, FALSE))</f>
        <v>0.88</v>
      </c>
      <c r="H19" s="12">
        <f>IF(ISBLANK(#REF!), "", VLOOKUP($A19, $Q$22:$Y$39, 9, FALSE))</f>
        <v>0.85</v>
      </c>
      <c r="I19" s="12">
        <f>IF(ISBLANK(#REF!), "", VLOOKUP($A19, $Q$22:$Y$39, 6, FALSE))</f>
        <v>7.0000000000000001E-3</v>
      </c>
      <c r="J19">
        <f>IF(ISBLANK(A19),"", (C19*D19*F19*G19*H19*B19))</f>
        <v>3478.2</v>
      </c>
      <c r="K19">
        <f>IF(ISBLANK(#REF!), "", VLOOKUP(A19, $Q$22:$Y$39,5,FALSE))</f>
        <v>0.4</v>
      </c>
      <c r="L19">
        <f>IF(ISBLANK(#REF!),"",$R$7)</f>
        <v>3.5000000000000001E-3</v>
      </c>
      <c r="M19">
        <f>IF(ISBLANK(#REF!),"",$R$6)</f>
        <v>1.3333333333333333</v>
      </c>
      <c r="N19">
        <f>IF(ISBLANK(#REF!), "", J19*K19*L19*M19/1000)</f>
        <v>6.49264E-3</v>
      </c>
      <c r="O19">
        <f t="shared" si="1"/>
        <v>2.9077752000000002E-4</v>
      </c>
      <c r="Q19" s="2"/>
      <c r="R19" s="2"/>
    </row>
    <row r="20" spans="1:25">
      <c r="A20" s="2" t="s">
        <v>26</v>
      </c>
      <c r="B20">
        <v>0.3</v>
      </c>
      <c r="C20" s="12">
        <v>26000</v>
      </c>
      <c r="D20" s="12">
        <f>IF(ISBLANK(A20), "", VLOOKUP($A20, $Q$22:$Y$39, 2, FALSE))</f>
        <v>1.5</v>
      </c>
      <c r="E20" s="12">
        <f>IF(ISBLANK(#REF!), "", VLOOKUP($A20, $Q$22:$Y$39, 8, FALSE))</f>
        <v>0.5</v>
      </c>
      <c r="F20" s="12">
        <f t="shared" si="0"/>
        <v>0.5</v>
      </c>
      <c r="G20" s="12">
        <f>IF(ISBLANK(#REF!), "", VLOOKUP($A20, $Q$22:$Y$39, 4, FALSE))</f>
        <v>0.8</v>
      </c>
      <c r="H20" s="12">
        <f>IF(ISBLANK(#REF!), "", VLOOKUP($A20, $Q$22:$Y$39, 9, FALSE))</f>
        <v>0.85</v>
      </c>
      <c r="I20" s="12">
        <f>IF(ISBLANK(#REF!), "", VLOOKUP($A20, $Q$22:$Y$39, 6, FALSE))</f>
        <v>8.0000000000000002E-3</v>
      </c>
      <c r="J20">
        <f>IF(ISBLANK(A20),"", (C20*D20*F20*G20*H20*B20))</f>
        <v>3978</v>
      </c>
      <c r="K20">
        <f>IF(ISBLANK(#REF!), "", VLOOKUP(A20, $Q$22:$Y$39,5,FALSE))</f>
        <v>0.4</v>
      </c>
      <c r="L20">
        <f>IF(ISBLANK(#REF!),"",$R$7)</f>
        <v>3.5000000000000001E-3</v>
      </c>
      <c r="M20">
        <f>IF(ISBLANK(#REF!),"",$R$6)</f>
        <v>1.3333333333333333</v>
      </c>
      <c r="N20">
        <f>IF(ISBLANK(#REF!), "", J20*K20*L20*M20/1000)</f>
        <v>7.4256000000000001E-3</v>
      </c>
      <c r="O20">
        <f t="shared" si="1"/>
        <v>3.8006948571428571E-4</v>
      </c>
      <c r="Q20" s="2" t="s">
        <v>21</v>
      </c>
      <c r="R20" s="2"/>
      <c r="U20" s="7"/>
    </row>
    <row r="21" spans="1:25" ht="17">
      <c r="A21" s="2" t="s">
        <v>27</v>
      </c>
      <c r="B21">
        <v>0.3</v>
      </c>
      <c r="C21" s="12">
        <v>27000</v>
      </c>
      <c r="D21" s="12">
        <f>IF(ISBLANK(A21), "", VLOOKUP($A21, $Q$22:$Y$39, 2, FALSE))</f>
        <v>1.5</v>
      </c>
      <c r="E21" s="12">
        <f>IF(ISBLANK(#REF!), "", VLOOKUP($A21, $Q$22:$Y$39, 8, FALSE))</f>
        <v>0.5</v>
      </c>
      <c r="F21" s="12">
        <f t="shared" si="0"/>
        <v>0.5</v>
      </c>
      <c r="G21" s="12">
        <f>IF(ISBLANK(#REF!), "", VLOOKUP($A21, $Q$22:$Y$39, 4, FALSE))</f>
        <v>0.88</v>
      </c>
      <c r="H21" s="12">
        <f>IF(ISBLANK(#REF!), "", VLOOKUP($A21, $Q$22:$Y$39, 9, FALSE))</f>
        <v>0.85</v>
      </c>
      <c r="I21" s="12">
        <f>IF(ISBLANK(#REF!), "", VLOOKUP($A21, $Q$22:$Y$39, 6, FALSE))</f>
        <v>6.0000000000000001E-3</v>
      </c>
      <c r="J21">
        <f>IF(ISBLANK(A21),"", (C21*D21*F21*G21*H21*B21))</f>
        <v>4544.0999999999995</v>
      </c>
      <c r="K21">
        <f>IF(ISBLANK(#REF!), "", VLOOKUP(A21, $Q$22:$Y$39,5,FALSE))</f>
        <v>0.4</v>
      </c>
      <c r="L21">
        <f>IF(ISBLANK(#REF!),"",$R$7)</f>
        <v>3.5000000000000001E-3</v>
      </c>
      <c r="M21">
        <f>IF(ISBLANK(#REF!),"",$R$6)</f>
        <v>1.3333333333333333</v>
      </c>
      <c r="N21">
        <f>IF(ISBLANK(#REF!), "", J21*K21*L21*M21/1000)</f>
        <v>8.4823199999999981E-3</v>
      </c>
      <c r="O21">
        <f t="shared" si="1"/>
        <v>3.2561722285714278E-4</v>
      </c>
      <c r="Q21" s="2"/>
      <c r="R21" s="2" t="s">
        <v>9</v>
      </c>
      <c r="S21" t="s">
        <v>10</v>
      </c>
      <c r="T21" t="s">
        <v>11</v>
      </c>
      <c r="U21" s="7" t="s">
        <v>35</v>
      </c>
      <c r="V21" t="s">
        <v>12</v>
      </c>
      <c r="W21" t="s">
        <v>36</v>
      </c>
      <c r="X21" t="s">
        <v>37</v>
      </c>
      <c r="Y21" t="s">
        <v>38</v>
      </c>
    </row>
    <row r="22" spans="1:25">
      <c r="A22" s="2" t="s">
        <v>47</v>
      </c>
      <c r="B22">
        <v>0.3</v>
      </c>
      <c r="C22" s="12">
        <v>28000</v>
      </c>
      <c r="D22" s="12">
        <f>IF(ISBLANK(A22), "", VLOOKUP($A22, $Q$22:$Y$39, 2, FALSE))</f>
        <v>1.46</v>
      </c>
      <c r="E22" s="12">
        <f>IF(ISBLANK(#REF!), "", VLOOKUP($A22, $Q$22:$Y$39, 8, FALSE))</f>
        <v>0.5</v>
      </c>
      <c r="F22" s="12">
        <f t="shared" si="0"/>
        <v>0.5</v>
      </c>
      <c r="G22" s="12">
        <f>IF(ISBLANK(#REF!), "", VLOOKUP($A22, $Q$22:$Y$39, 4, FALSE))</f>
        <v>0.88</v>
      </c>
      <c r="H22" s="12">
        <f>IF(ISBLANK(#REF!), "", VLOOKUP($A22, $Q$22:$Y$39, 9, FALSE))</f>
        <v>0.85</v>
      </c>
      <c r="I22" s="12">
        <f>IF(ISBLANK(#REF!), "", VLOOKUP($A22, $Q$22:$Y$39, 6, FALSE))</f>
        <v>6.0000000000000001E-3</v>
      </c>
      <c r="J22">
        <f>IF(ISBLANK(A22),"", (C22*D22*F22*G22*H22*B22))</f>
        <v>4586.7359999999999</v>
      </c>
      <c r="K22">
        <f>IF(ISBLANK(#REF!), "", VLOOKUP(A22, $Q$22:$Y$39,5,FALSE))</f>
        <v>0.4</v>
      </c>
      <c r="L22">
        <f>IF(ISBLANK(#REF!),"",$R$7)</f>
        <v>3.5000000000000001E-3</v>
      </c>
      <c r="M22">
        <f>IF(ISBLANK(#REF!),"",$R$6)</f>
        <v>1.3333333333333333</v>
      </c>
      <c r="N22">
        <f>IF(ISBLANK(#REF!), "", J22*K22*L22*M22/1000)</f>
        <v>8.5619071999999997E-3</v>
      </c>
      <c r="O22">
        <f t="shared" si="1"/>
        <v>3.2867239679999999E-4</v>
      </c>
      <c r="Q22" s="2" t="s">
        <v>22</v>
      </c>
      <c r="R22" s="11">
        <v>1.5</v>
      </c>
      <c r="S22" s="10">
        <v>0.28999999999999998</v>
      </c>
      <c r="T22" s="10">
        <v>0.88</v>
      </c>
      <c r="U22" s="10">
        <v>0.4</v>
      </c>
      <c r="V22" s="10">
        <v>6.0000000000000001E-3</v>
      </c>
      <c r="W22" s="10">
        <v>0.01</v>
      </c>
      <c r="X22" s="10">
        <v>0.5</v>
      </c>
      <c r="Y22" s="10">
        <v>0.9</v>
      </c>
    </row>
    <row r="23" spans="1:25">
      <c r="A23" s="2"/>
      <c r="Q23" s="2" t="s">
        <v>23</v>
      </c>
      <c r="R23" s="11">
        <v>1.24</v>
      </c>
      <c r="S23" s="10">
        <v>0.32</v>
      </c>
      <c r="T23" s="10">
        <v>0.88</v>
      </c>
      <c r="U23" s="10">
        <v>0.4</v>
      </c>
      <c r="V23" s="10">
        <v>7.0000000000000001E-3</v>
      </c>
      <c r="W23" s="10">
        <v>0.01</v>
      </c>
      <c r="X23" s="10">
        <v>0.5</v>
      </c>
      <c r="Y23" s="10">
        <v>0.85</v>
      </c>
    </row>
    <row r="24" spans="1:25">
      <c r="A24" s="2"/>
      <c r="Q24" s="2" t="s">
        <v>24</v>
      </c>
      <c r="R24" s="11">
        <v>0.81</v>
      </c>
      <c r="S24" s="10">
        <v>0.39</v>
      </c>
      <c r="T24" s="10">
        <v>0.85</v>
      </c>
      <c r="U24" s="10">
        <v>0.42</v>
      </c>
      <c r="V24" s="10">
        <v>5.0000000000000001E-3</v>
      </c>
      <c r="W24" s="10">
        <v>7.0000000000000001E-3</v>
      </c>
      <c r="X24" s="10">
        <v>1</v>
      </c>
      <c r="Y24" s="10">
        <v>0.8</v>
      </c>
    </row>
    <row r="25" spans="1:25">
      <c r="Q25" s="2" t="s">
        <v>25</v>
      </c>
      <c r="R25" s="11">
        <v>1.42</v>
      </c>
      <c r="S25" s="10">
        <v>0.43</v>
      </c>
      <c r="T25" s="10">
        <v>0.88</v>
      </c>
      <c r="U25" s="10">
        <v>0.4</v>
      </c>
      <c r="V25" s="10">
        <v>6.0000000000000001E-3</v>
      </c>
      <c r="W25" s="10">
        <v>0.01</v>
      </c>
      <c r="X25" s="10">
        <v>0.5</v>
      </c>
      <c r="Y25" s="10">
        <v>0.85</v>
      </c>
    </row>
    <row r="26" spans="1:25">
      <c r="Q26" s="2" t="s">
        <v>14</v>
      </c>
      <c r="R26" s="11">
        <v>1.31</v>
      </c>
      <c r="S26" s="10">
        <v>0.16</v>
      </c>
      <c r="T26" s="10">
        <v>0.8</v>
      </c>
      <c r="U26" s="10">
        <v>0.42</v>
      </c>
      <c r="V26" s="10">
        <v>7.0000000000000001E-3</v>
      </c>
      <c r="W26" s="10">
        <v>0.01</v>
      </c>
      <c r="X26" s="10">
        <v>1</v>
      </c>
      <c r="Y26" s="10">
        <v>0.8</v>
      </c>
    </row>
    <row r="27" spans="1:25">
      <c r="Q27" s="2" t="s">
        <v>26</v>
      </c>
      <c r="R27" s="11">
        <v>1.5</v>
      </c>
      <c r="S27" s="10">
        <v>0.22</v>
      </c>
      <c r="T27" s="10">
        <v>0.8</v>
      </c>
      <c r="U27" s="10">
        <v>0.4</v>
      </c>
      <c r="V27" s="10">
        <v>8.0000000000000002E-3</v>
      </c>
      <c r="W27" s="10">
        <v>7.0000000000000001E-3</v>
      </c>
      <c r="X27" s="10">
        <v>0.5</v>
      </c>
      <c r="Y27" s="10">
        <v>0.85</v>
      </c>
    </row>
    <row r="28" spans="1:25">
      <c r="Q28" s="2" t="s">
        <v>27</v>
      </c>
      <c r="R28" s="11">
        <v>1.5</v>
      </c>
      <c r="S28" s="10">
        <v>0.42</v>
      </c>
      <c r="T28" s="10">
        <v>0.88</v>
      </c>
      <c r="U28" s="10">
        <v>0.4</v>
      </c>
      <c r="V28" s="10">
        <v>6.0000000000000001E-3</v>
      </c>
      <c r="W28" s="10">
        <v>0.01</v>
      </c>
      <c r="X28" s="10">
        <v>0.5</v>
      </c>
      <c r="Y28" s="10">
        <v>0.85</v>
      </c>
    </row>
    <row r="29" spans="1:25">
      <c r="Q29" s="2" t="s">
        <v>28</v>
      </c>
      <c r="R29" s="11">
        <v>1.46</v>
      </c>
      <c r="S29" s="10">
        <v>0.36</v>
      </c>
      <c r="T29" s="10">
        <v>0.88</v>
      </c>
      <c r="U29" s="10">
        <v>0.4</v>
      </c>
      <c r="V29" s="10">
        <v>6.0000000000000001E-3</v>
      </c>
      <c r="W29" s="10">
        <v>0.01</v>
      </c>
      <c r="X29" s="10">
        <v>0.5</v>
      </c>
      <c r="Y29" s="10">
        <v>0.85</v>
      </c>
    </row>
    <row r="30" spans="1:25">
      <c r="Q30" s="2" t="s">
        <v>19</v>
      </c>
      <c r="R30" s="11">
        <v>1.37</v>
      </c>
      <c r="S30" s="10">
        <v>0.51</v>
      </c>
      <c r="T30" s="10">
        <v>0.87</v>
      </c>
      <c r="U30" s="10">
        <v>0.4</v>
      </c>
      <c r="V30" s="10">
        <v>8.9999999999999993E-3</v>
      </c>
      <c r="W30" s="10">
        <v>0.01</v>
      </c>
      <c r="X30" s="10">
        <v>0.5</v>
      </c>
      <c r="Y30" s="10">
        <v>0.85</v>
      </c>
    </row>
    <row r="31" spans="1:25">
      <c r="Q31" s="2" t="s">
        <v>29</v>
      </c>
      <c r="R31" s="11">
        <v>0.34</v>
      </c>
      <c r="S31" s="10">
        <v>0.43</v>
      </c>
      <c r="T31" s="10">
        <v>0.25</v>
      </c>
      <c r="U31" s="10">
        <v>0.4</v>
      </c>
      <c r="V31" s="10">
        <v>0.02</v>
      </c>
      <c r="W31" s="10">
        <v>0.01</v>
      </c>
      <c r="X31" s="10" t="s">
        <v>39</v>
      </c>
      <c r="Y31" s="10">
        <v>0.85</v>
      </c>
    </row>
    <row r="32" spans="1:25">
      <c r="Q32" s="2" t="s">
        <v>30</v>
      </c>
      <c r="R32" s="11">
        <v>1.07</v>
      </c>
      <c r="S32" s="10">
        <v>0.2</v>
      </c>
      <c r="T32" s="10">
        <v>0.8</v>
      </c>
      <c r="U32" s="10">
        <v>0.42</v>
      </c>
      <c r="V32" s="10">
        <v>1.6E-2</v>
      </c>
      <c r="W32" s="10">
        <v>1.4E-2</v>
      </c>
      <c r="X32" s="10">
        <v>0.5</v>
      </c>
      <c r="Y32" s="10">
        <v>0.85</v>
      </c>
    </row>
    <row r="33" spans="17:25">
      <c r="Q33" s="2" t="s">
        <v>31</v>
      </c>
      <c r="R33" s="11">
        <v>0.25</v>
      </c>
      <c r="S33" s="10">
        <v>0.45</v>
      </c>
      <c r="T33" s="10">
        <v>0.2</v>
      </c>
      <c r="U33" s="10">
        <v>0.4</v>
      </c>
      <c r="V33" s="10">
        <v>5.0000000000000001E-3</v>
      </c>
      <c r="W33" s="10">
        <v>7.0000000000000001E-3</v>
      </c>
      <c r="X33" s="10">
        <v>1</v>
      </c>
      <c r="Y33" s="10">
        <v>0.8</v>
      </c>
    </row>
    <row r="34" spans="17:25">
      <c r="Q34" s="2" t="s">
        <v>16</v>
      </c>
      <c r="R34" s="11">
        <v>1.9</v>
      </c>
      <c r="S34" s="10">
        <v>0.3</v>
      </c>
      <c r="T34" s="10">
        <v>0.9</v>
      </c>
      <c r="U34" s="10">
        <v>0.4</v>
      </c>
      <c r="V34" s="10">
        <v>0.01</v>
      </c>
      <c r="W34" s="10">
        <v>0.01</v>
      </c>
      <c r="X34" s="10" t="s">
        <v>39</v>
      </c>
      <c r="Y34" s="10">
        <v>0.85</v>
      </c>
    </row>
    <row r="35" spans="17:25">
      <c r="Q35" s="2" t="s">
        <v>17</v>
      </c>
      <c r="R35" s="11">
        <v>1.5</v>
      </c>
      <c r="S35" s="10">
        <v>0.28999999999999998</v>
      </c>
      <c r="T35" s="10">
        <v>0.88</v>
      </c>
      <c r="U35" s="10">
        <v>0.4</v>
      </c>
      <c r="V35" s="10">
        <v>6.0000000000000001E-3</v>
      </c>
      <c r="W35" s="10" t="s">
        <v>39</v>
      </c>
      <c r="X35" s="10" t="s">
        <v>39</v>
      </c>
      <c r="Y35" s="10">
        <v>0.85</v>
      </c>
    </row>
    <row r="36" spans="17:25">
      <c r="Q36" s="2" t="s">
        <v>32</v>
      </c>
      <c r="R36" s="11">
        <v>2.08</v>
      </c>
      <c r="S36" s="10">
        <v>0.33</v>
      </c>
      <c r="T36" s="10">
        <v>0.96</v>
      </c>
      <c r="U36" s="10">
        <v>0.4</v>
      </c>
      <c r="V36" s="10">
        <v>8.9999999999999993E-3</v>
      </c>
      <c r="W36" s="10">
        <v>0.01</v>
      </c>
      <c r="X36" s="10">
        <v>0.5</v>
      </c>
      <c r="Y36" s="10">
        <v>0.85</v>
      </c>
    </row>
    <row r="37" spans="17:25">
      <c r="Q37" s="2" t="s">
        <v>33</v>
      </c>
      <c r="R37" s="11">
        <v>1.34</v>
      </c>
      <c r="S37" s="10">
        <v>0.37</v>
      </c>
      <c r="T37" s="10">
        <v>0.88</v>
      </c>
      <c r="U37" s="10">
        <v>0.4</v>
      </c>
      <c r="V37" s="10">
        <v>6.0000000000000001E-3</v>
      </c>
      <c r="W37" s="10">
        <v>0.01</v>
      </c>
      <c r="X37" s="10" t="s">
        <v>39</v>
      </c>
      <c r="Y37" s="10">
        <v>0.85</v>
      </c>
    </row>
    <row r="38" spans="17:25">
      <c r="Q38" s="2" t="s">
        <v>20</v>
      </c>
      <c r="R38" s="9">
        <v>1</v>
      </c>
      <c r="S38" s="9">
        <v>0.22</v>
      </c>
      <c r="T38" s="9">
        <v>0.85</v>
      </c>
      <c r="U38" s="9">
        <v>0.4</v>
      </c>
      <c r="V38" s="9">
        <v>8.0000000000000002E-3</v>
      </c>
      <c r="W38" s="9">
        <v>8.9999999999999993E-3</v>
      </c>
      <c r="X38" s="9" t="s">
        <v>40</v>
      </c>
      <c r="Y38" s="9" t="s">
        <v>39</v>
      </c>
    </row>
    <row r="39" spans="17:25">
      <c r="Q39" s="2" t="s">
        <v>34</v>
      </c>
      <c r="R39" s="9">
        <v>1.5</v>
      </c>
      <c r="S39" s="9">
        <v>0.28999999999999998</v>
      </c>
      <c r="T39" s="9">
        <v>0.88</v>
      </c>
      <c r="U39" s="9">
        <v>0.4</v>
      </c>
      <c r="V39" s="9">
        <v>6.0000000000000001E-3</v>
      </c>
      <c r="W39" s="9" t="s">
        <v>40</v>
      </c>
      <c r="X39" s="9" t="s">
        <v>40</v>
      </c>
      <c r="Y39" s="9" t="s">
        <v>39</v>
      </c>
    </row>
    <row r="40" spans="17:25">
      <c r="Q40" s="2"/>
      <c r="R40" s="11"/>
      <c r="S40" s="10"/>
    </row>
    <row r="41" spans="17:25">
      <c r="Q41" s="2"/>
      <c r="R41" s="2"/>
    </row>
    <row r="42" spans="17:25">
      <c r="Q42" s="2"/>
      <c r="R42" s="2"/>
      <c r="S42" s="2"/>
    </row>
    <row r="43" spans="17:25">
      <c r="Q43" s="2"/>
      <c r="R43" s="2"/>
    </row>
    <row r="44" spans="17:25">
      <c r="Q44" s="2"/>
      <c r="R44" s="2"/>
    </row>
    <row r="45" spans="17:25">
      <c r="R45" s="2"/>
    </row>
    <row r="46" spans="17:25">
      <c r="Q46" s="2"/>
      <c r="R46" s="2"/>
    </row>
    <row r="47" spans="17:25">
      <c r="Q47" s="2"/>
      <c r="R47" s="2"/>
    </row>
    <row r="48" spans="17:25">
      <c r="Q48" s="2"/>
      <c r="R48" s="2"/>
    </row>
    <row r="49" spans="17:18">
      <c r="Q49" s="2"/>
      <c r="R49" s="2"/>
    </row>
    <row r="50" spans="17:18">
      <c r="Q50" s="2"/>
      <c r="R50" s="2"/>
    </row>
    <row r="51" spans="17:18">
      <c r="Q51" s="2"/>
      <c r="R51" s="2"/>
    </row>
    <row r="52" spans="17:18">
      <c r="Q52" s="2"/>
      <c r="R52" s="2"/>
    </row>
    <row r="53" spans="17:18">
      <c r="Q53" s="2"/>
      <c r="R53" s="2"/>
    </row>
    <row r="54" spans="17:18">
      <c r="Q54" s="2"/>
      <c r="R54" s="2"/>
    </row>
    <row r="55" spans="17:18">
      <c r="Q55" s="2"/>
      <c r="R55" s="2"/>
    </row>
    <row r="56" spans="17:18">
      <c r="Q56" s="2"/>
      <c r="R56" s="2"/>
    </row>
    <row r="57" spans="17:18">
      <c r="Q57" s="2"/>
      <c r="R57" s="2"/>
    </row>
    <row r="58" spans="17:18">
      <c r="Q58" s="2"/>
      <c r="R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6.4.1.1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2026-08-21T00:48:00Z</dcterms:modified>
</cp:coreProperties>
</file>