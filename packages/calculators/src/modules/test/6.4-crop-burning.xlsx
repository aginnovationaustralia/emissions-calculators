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1DDC6EBC-6195-2340-AC40-1993A59BA445}" xr6:coauthVersionLast="47" xr6:coauthVersionMax="47" xr10:uidLastSave="{00000000-0000-0000-0000-000000000000}"/>
  <bookViews>
    <workbookView xWindow="20" yWindow="600" windowWidth="28800" windowHeight="15940" xr2:uid="{5678E890-3691-CF46-80E7-00FB1F103661}"/>
  </bookViews>
  <sheets>
    <sheet name="6.4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5" i="3"/>
  <c r="K5" i="3"/>
  <c r="J5" i="3"/>
  <c r="I5" i="3"/>
  <c r="G5" i="3"/>
  <c r="T8" i="3"/>
  <c r="K6" i="3" l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G19" i="3"/>
  <c r="H19" i="3"/>
  <c r="I19" i="3"/>
  <c r="J19" i="3"/>
  <c r="M19" i="3"/>
  <c r="N19" i="3"/>
  <c r="G20" i="3"/>
  <c r="H20" i="3" s="1"/>
  <c r="I20" i="3"/>
  <c r="J20" i="3"/>
  <c r="M20" i="3"/>
  <c r="N20" i="3"/>
  <c r="G21" i="3"/>
  <c r="H21" i="3" s="1"/>
  <c r="I21" i="3"/>
  <c r="J21" i="3"/>
  <c r="M21" i="3"/>
  <c r="N21" i="3"/>
  <c r="G22" i="3"/>
  <c r="H22" i="3" s="1"/>
  <c r="I22" i="3"/>
  <c r="J22" i="3"/>
  <c r="M22" i="3"/>
  <c r="N22" i="3"/>
  <c r="G15" i="3"/>
  <c r="H15" i="3" s="1"/>
  <c r="I15" i="3"/>
  <c r="J15" i="3"/>
  <c r="M15" i="3"/>
  <c r="N15" i="3"/>
  <c r="G16" i="3"/>
  <c r="H16" i="3" s="1"/>
  <c r="I16" i="3"/>
  <c r="J16" i="3"/>
  <c r="M16" i="3"/>
  <c r="N16" i="3"/>
  <c r="G17" i="3"/>
  <c r="H17" i="3" s="1"/>
  <c r="I17" i="3"/>
  <c r="J17" i="3"/>
  <c r="M17" i="3"/>
  <c r="N17" i="3"/>
  <c r="G18" i="3"/>
  <c r="H18" i="3" s="1"/>
  <c r="I18" i="3"/>
  <c r="J18" i="3"/>
  <c r="M18" i="3"/>
  <c r="N18" i="3"/>
  <c r="T6" i="3"/>
  <c r="O22" i="3" s="1"/>
  <c r="M6" i="3"/>
  <c r="N6" i="3"/>
  <c r="M7" i="3"/>
  <c r="N7" i="3"/>
  <c r="M8" i="3"/>
  <c r="N8" i="3"/>
  <c r="M9" i="3"/>
  <c r="N9" i="3"/>
  <c r="M10" i="3"/>
  <c r="N10" i="3"/>
  <c r="M11" i="3"/>
  <c r="N11" i="3"/>
  <c r="M12" i="3"/>
  <c r="N12" i="3"/>
  <c r="M13" i="3"/>
  <c r="N13" i="3"/>
  <c r="M14" i="3"/>
  <c r="N14" i="3"/>
  <c r="H5" i="3"/>
  <c r="G6" i="3"/>
  <c r="H6" i="3" s="1"/>
  <c r="I6" i="3"/>
  <c r="J6" i="3"/>
  <c r="G7" i="3"/>
  <c r="H7" i="3" s="1"/>
  <c r="I7" i="3"/>
  <c r="J7" i="3"/>
  <c r="G8" i="3"/>
  <c r="H8" i="3" s="1"/>
  <c r="I8" i="3"/>
  <c r="J8" i="3"/>
  <c r="G9" i="3"/>
  <c r="H9" i="3" s="1"/>
  <c r="I9" i="3"/>
  <c r="J9" i="3"/>
  <c r="G10" i="3"/>
  <c r="H10" i="3" s="1"/>
  <c r="I10" i="3"/>
  <c r="J10" i="3"/>
  <c r="G11" i="3"/>
  <c r="H11" i="3" s="1"/>
  <c r="I11" i="3"/>
  <c r="J11" i="3"/>
  <c r="G12" i="3"/>
  <c r="H12" i="3" s="1"/>
  <c r="I12" i="3"/>
  <c r="J12" i="3"/>
  <c r="G13" i="3"/>
  <c r="H13" i="3" s="1"/>
  <c r="I13" i="3"/>
  <c r="J13" i="3"/>
  <c r="G14" i="3"/>
  <c r="H14" i="3" s="1"/>
  <c r="I14" i="3"/>
  <c r="J14" i="3"/>
  <c r="M5" i="3"/>
  <c r="N5" i="3"/>
  <c r="L28" i="3"/>
  <c r="L27" i="3"/>
  <c r="L26" i="3"/>
  <c r="L25" i="3"/>
  <c r="O6" i="3" l="1"/>
  <c r="O5" i="3"/>
  <c r="P5" i="3" s="1"/>
  <c r="O17" i="3"/>
  <c r="O19" i="3"/>
  <c r="Q15" i="3"/>
  <c r="Q5" i="3"/>
  <c r="Q12" i="3"/>
  <c r="Q11" i="3"/>
  <c r="Q7" i="3"/>
  <c r="Q13" i="3"/>
  <c r="Q8" i="3"/>
  <c r="Q9" i="3"/>
  <c r="Q10" i="3"/>
  <c r="O20" i="3"/>
  <c r="O18" i="3"/>
  <c r="O15" i="3"/>
  <c r="O16" i="3"/>
  <c r="O21" i="3"/>
  <c r="Q20" i="3"/>
  <c r="Q14" i="3"/>
  <c r="Q16" i="3"/>
  <c r="O13" i="3"/>
  <c r="O9" i="3"/>
  <c r="O7" i="3"/>
  <c r="O12" i="3"/>
  <c r="P12" i="3" s="1"/>
  <c r="O8" i="3"/>
  <c r="O11" i="3"/>
  <c r="O14" i="3"/>
  <c r="O10" i="3"/>
  <c r="P15" i="3" l="1"/>
  <c r="P11" i="3"/>
  <c r="P21" i="3"/>
  <c r="Q21" i="3"/>
  <c r="P18" i="3"/>
  <c r="Q18" i="3"/>
  <c r="P22" i="3"/>
  <c r="Q22" i="3"/>
  <c r="P6" i="3"/>
  <c r="Q6" i="3"/>
  <c r="P19" i="3"/>
  <c r="Q19" i="3"/>
  <c r="P17" i="3"/>
  <c r="Q17" i="3"/>
  <c r="P10" i="3"/>
  <c r="P13" i="3"/>
  <c r="P20" i="3"/>
  <c r="P8" i="3"/>
  <c r="P7" i="3"/>
  <c r="P9" i="3"/>
  <c r="P16" i="3"/>
  <c r="P14" i="3"/>
</calcChain>
</file>

<file path=xl/sharedStrings.xml><?xml version="1.0" encoding="utf-8"?>
<sst xmlns="http://schemas.openxmlformats.org/spreadsheetml/2006/main" count="83" uniqueCount="53">
  <si>
    <t>Method 1</t>
  </si>
  <si>
    <t>Constants</t>
  </si>
  <si>
    <t>Cn2o</t>
  </si>
  <si>
    <t>En2o</t>
  </si>
  <si>
    <t>Fraction crop burnt</t>
  </si>
  <si>
    <t>Residue crop ratio</t>
  </si>
  <si>
    <t>Crop type</t>
  </si>
  <si>
    <t>Area sown hectares</t>
  </si>
  <si>
    <t>Fc</t>
  </si>
  <si>
    <t>Pc</t>
  </si>
  <si>
    <t>RAGC</t>
  </si>
  <si>
    <t>RBGC</t>
  </si>
  <si>
    <t>DMc</t>
  </si>
  <si>
    <t>Ncagc</t>
  </si>
  <si>
    <t>Sugar Cane</t>
  </si>
  <si>
    <t>Rice</t>
  </si>
  <si>
    <t>Tubers and Roots</t>
  </si>
  <si>
    <t>Cotton</t>
  </si>
  <si>
    <t>Hops</t>
  </si>
  <si>
    <t>Forage Crops</t>
  </si>
  <si>
    <t>Pulses</t>
  </si>
  <si>
    <t>Other Annual Crops</t>
  </si>
  <si>
    <t>Table A.2.1.1</t>
  </si>
  <si>
    <t>Wheat</t>
  </si>
  <si>
    <t>Barley</t>
  </si>
  <si>
    <t>Maize</t>
  </si>
  <si>
    <t>Oats</t>
  </si>
  <si>
    <t>Sorghum</t>
  </si>
  <si>
    <t>Triticale</t>
  </si>
  <si>
    <t>Other cereals</t>
  </si>
  <si>
    <t>Tubers and roots</t>
  </si>
  <si>
    <t>Peanuts</t>
  </si>
  <si>
    <t>Sugar cane</t>
  </si>
  <si>
    <t>Oilseeds</t>
  </si>
  <si>
    <t>Forage crops</t>
  </si>
  <si>
    <t>Other perennial crops</t>
  </si>
  <si>
    <t>CCc</t>
  </si>
  <si>
    <t>NCbgc</t>
  </si>
  <si>
    <t>Sc</t>
  </si>
  <si>
    <t>Zc</t>
  </si>
  <si>
    <t>n/a</t>
  </si>
  <si>
    <t>n/a </t>
  </si>
  <si>
    <r>
      <t>𝐸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>× 𝐶𝐶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𝐶𝐻4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</si>
  <si>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Ech4</t>
  </si>
  <si>
    <t>Cch4</t>
  </si>
  <si>
    <t>EFch4</t>
  </si>
  <si>
    <t>MburnC</t>
  </si>
  <si>
    <r>
      <t>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 xml:space="preserve">= 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𝑆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𝑍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𝐹 </t>
    </r>
    <r>
      <rPr>
        <sz val="8"/>
        <color rgb="FF000000"/>
        <rFont val="Helvetica"/>
        <family val="2"/>
      </rPr>
      <t>𝑐</t>
    </r>
  </si>
  <si>
    <t>Other Cereals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</si>
  <si>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𝑏𝑢𝑟𝑛,𝑐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</si>
  <si>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EFn2o</t>
  </si>
  <si>
    <t>Average yield per hectare in t</t>
  </si>
  <si>
    <t>Total production yield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</si>
</sst>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AA58"/>
  <sheetViews>
    <sheetView tabSelected="1" workbookViewId="0">
      <selection activeCell="S13" sqref="S13"/>
    </sheetView>
  </sheetViews>
  <sheetFormatPr baseColWidth="10" defaultRowHeight="16"/>
  <cols>
    <col min="2" max="2" width="9.6640625" customWidth="1"/>
    <col min="4" max="4" width="9.5" bestFit="1" customWidth="1"/>
    <col min="6" max="6" width="9" bestFit="1" customWidth="1"/>
    <col min="7" max="10" width="5.6640625" bestFit="1" customWidth="1"/>
    <col min="11" max="11" width="6.83203125" customWidth="1"/>
    <col min="12" max="12" width="8.5" customWidth="1"/>
    <col min="13" max="13" width="5.1640625" bestFit="1" customWidth="1"/>
    <col min="14" max="14" width="7.1640625" bestFit="1" customWidth="1"/>
    <col min="17" max="17" width="12.1640625" bestFit="1" customWidth="1"/>
  </cols>
  <sheetData>
    <row r="1" spans="1:21" ht="17">
      <c r="A1" s="3" t="s">
        <v>0</v>
      </c>
      <c r="P1" s="1" t="s">
        <v>42</v>
      </c>
    </row>
    <row r="2" spans="1:21">
      <c r="L2" s="1"/>
      <c r="M2" s="1"/>
      <c r="N2" s="1"/>
      <c r="P2" s="1"/>
    </row>
    <row r="3" spans="1:21" ht="51">
      <c r="D3" s="7" t="s">
        <v>4</v>
      </c>
      <c r="E3" s="7" t="s">
        <v>52</v>
      </c>
      <c r="F3" s="7" t="s">
        <v>5</v>
      </c>
      <c r="G3" s="7"/>
      <c r="H3" s="7"/>
      <c r="I3" s="7"/>
      <c r="J3" s="7"/>
      <c r="K3" s="7"/>
      <c r="L3" s="1" t="s">
        <v>47</v>
      </c>
      <c r="M3" s="1"/>
      <c r="N3" s="1"/>
      <c r="P3" s="1"/>
      <c r="Q3" s="1" t="s">
        <v>49</v>
      </c>
      <c r="R3" s="1"/>
    </row>
    <row r="4" spans="1:21" ht="34">
      <c r="A4" s="4" t="s">
        <v>6</v>
      </c>
      <c r="B4" s="13" t="s">
        <v>7</v>
      </c>
      <c r="C4" s="4" t="s">
        <v>51</v>
      </c>
      <c r="D4" s="4" t="s">
        <v>8</v>
      </c>
      <c r="E4" t="s">
        <v>9</v>
      </c>
      <c r="F4" t="s">
        <v>10</v>
      </c>
      <c r="G4" t="s">
        <v>38</v>
      </c>
      <c r="I4" t="s">
        <v>12</v>
      </c>
      <c r="J4" t="s">
        <v>39</v>
      </c>
      <c r="K4" t="s">
        <v>13</v>
      </c>
      <c r="L4" t="s">
        <v>46</v>
      </c>
      <c r="M4" t="s">
        <v>36</v>
      </c>
      <c r="N4" t="s">
        <v>45</v>
      </c>
      <c r="O4" t="s">
        <v>44</v>
      </c>
      <c r="P4" s="5" t="s">
        <v>43</v>
      </c>
      <c r="Q4" s="5" t="s">
        <v>3</v>
      </c>
      <c r="S4" s="6" t="s">
        <v>1</v>
      </c>
    </row>
    <row r="5" spans="1:21">
      <c r="A5" t="s">
        <v>14</v>
      </c>
      <c r="B5">
        <v>50</v>
      </c>
      <c r="C5">
        <v>2</v>
      </c>
      <c r="D5" s="12">
        <v>0.2</v>
      </c>
      <c r="E5" s="12">
        <f>IF(ISBLANK(A5), "", B5*(C5 * 1000))</f>
        <v>100000</v>
      </c>
      <c r="F5" s="12">
        <f>IF(ISBLANK(A5), "", VLOOKUP($A5, $S$22:$AA$39, 2, FALSE))</f>
        <v>0.25</v>
      </c>
      <c r="G5" s="12">
        <f>IF(ISBLANK(#REF!), "", VLOOKUP($A5, $S$22:$AA$39, 8, FALSE))</f>
        <v>1</v>
      </c>
      <c r="H5" s="12">
        <f>IF(G5="n/a", 0, G5)</f>
        <v>1</v>
      </c>
      <c r="I5" s="12">
        <f>IF(ISBLANK(#REF!), "", VLOOKUP($A5, $S$22:$AA$39, 4, FALSE))</f>
        <v>0.2</v>
      </c>
      <c r="J5" s="12">
        <f>IF(ISBLANK(#REF!), "", VLOOKUP($A5, $S$22:$AA$39, 9, FALSE))</f>
        <v>0.8</v>
      </c>
      <c r="K5" s="12">
        <f>IF(ISBLANK(#REF!), "", VLOOKUP($A5, $S$22:$AA$39, 6, FALSE))</f>
        <v>5.0000000000000001E-3</v>
      </c>
      <c r="L5">
        <f>IF(ISBLANK(A5),"", (E5*F5*H5*I5*J5*D5))</f>
        <v>800</v>
      </c>
      <c r="M5">
        <f>IF(ISBLANK(#REF!), "", VLOOKUP(A5, $S$22:$AA$39,5,FALSE))</f>
        <v>0.4</v>
      </c>
      <c r="N5">
        <f>IF(ISBLANK(#REF!),"",$T$7)</f>
        <v>3.5000000000000001E-3</v>
      </c>
      <c r="O5">
        <f>IF(ISBLANK(#REF!),"",$T$6)</f>
        <v>1.3333333333333333</v>
      </c>
      <c r="P5">
        <f>IF(ISBLANK(#REF!), "", L5*M5*N5*O5/1000)</f>
        <v>1.4933333333333335E-3</v>
      </c>
      <c r="Q5">
        <f>L5*K5*$T$9*$T$8/1000</f>
        <v>4.777142857142857E-5</v>
      </c>
    </row>
    <row r="6" spans="1:21">
      <c r="A6" t="s">
        <v>14</v>
      </c>
      <c r="B6">
        <v>50</v>
      </c>
      <c r="C6">
        <v>2</v>
      </c>
      <c r="D6">
        <v>0.4</v>
      </c>
      <c r="E6" s="12">
        <f t="shared" ref="E6:E22" si="0">IF(ISBLANK(A6), "", B6*(C6 * 1000))</f>
        <v>100000</v>
      </c>
      <c r="F6" s="12">
        <f t="shared" ref="F6:F22" si="1">IF(ISBLANK(A6), "", VLOOKUP($A6, $S$22:$AA$39, 2, FALSE))</f>
        <v>0.25</v>
      </c>
      <c r="G6" s="12">
        <f>IF(ISBLANK(#REF!), "", VLOOKUP($A6, $S$22:$AA$39, 8, FALSE))</f>
        <v>1</v>
      </c>
      <c r="H6" s="12">
        <f t="shared" ref="H6:H22" si="2">IF(G6="n/a", 0, G6)</f>
        <v>1</v>
      </c>
      <c r="I6" s="12">
        <f>IF(ISBLANK(#REF!), "", VLOOKUP($A6, $S$22:$AA$39, 4, FALSE))</f>
        <v>0.2</v>
      </c>
      <c r="J6" s="12">
        <f>IF(ISBLANK(#REF!), "", VLOOKUP($A6, $S$22:$AA$39, 9, FALSE))</f>
        <v>0.8</v>
      </c>
      <c r="K6" s="12">
        <f>IF(ISBLANK(#REF!), "", VLOOKUP($A6, $S$22:$AA$39, 6, FALSE))</f>
        <v>5.0000000000000001E-3</v>
      </c>
      <c r="L6">
        <f t="shared" ref="L6:L22" si="3">IF(ISBLANK(A6),"", (E6*F6*H6*I6*J6*D6))</f>
        <v>1600</v>
      </c>
      <c r="M6">
        <f>IF(ISBLANK(#REF!), "", VLOOKUP(A6, $S$22:$AA$39,5,FALSE))</f>
        <v>0.4</v>
      </c>
      <c r="N6">
        <f>IF(ISBLANK(#REF!),"",$T$7)</f>
        <v>3.5000000000000001E-3</v>
      </c>
      <c r="O6">
        <f>IF(ISBLANK(#REF!),"",$T$6)</f>
        <v>1.3333333333333333</v>
      </c>
      <c r="P6">
        <f>IF(ISBLANK(#REF!), "", L6*M6*N6*O6/1000)</f>
        <v>2.986666666666667E-3</v>
      </c>
      <c r="Q6">
        <f t="shared" ref="Q6:Q22" si="4">L6*K6*$T$9*$T$8/1000</f>
        <v>9.554285714285714E-5</v>
      </c>
      <c r="S6" t="s">
        <v>44</v>
      </c>
      <c r="T6">
        <f>16/12</f>
        <v>1.3333333333333333</v>
      </c>
    </row>
    <row r="7" spans="1:21">
      <c r="A7" s="2" t="s">
        <v>15</v>
      </c>
      <c r="B7">
        <v>50</v>
      </c>
      <c r="C7">
        <v>2</v>
      </c>
      <c r="D7">
        <v>0.2</v>
      </c>
      <c r="E7" s="12">
        <f t="shared" si="0"/>
        <v>100000</v>
      </c>
      <c r="F7" s="12">
        <f t="shared" si="1"/>
        <v>1.31</v>
      </c>
      <c r="G7" s="12">
        <f>IF(ISBLANK(#REF!), "", VLOOKUP($A7, $S$22:$AA$39, 8, FALSE))</f>
        <v>1</v>
      </c>
      <c r="H7" s="12">
        <f t="shared" si="2"/>
        <v>1</v>
      </c>
      <c r="I7" s="12">
        <f>IF(ISBLANK(#REF!), "", VLOOKUP($A7, $S$22:$AA$39, 4, FALSE))</f>
        <v>0.8</v>
      </c>
      <c r="J7" s="12">
        <f>IF(ISBLANK(#REF!), "", VLOOKUP($A7, $S$22:$AA$39, 9, FALSE))</f>
        <v>0.8</v>
      </c>
      <c r="K7" s="12">
        <f>IF(ISBLANK(#REF!), "", VLOOKUP($A7, $S$22:$AA$39, 6, FALSE))</f>
        <v>7.0000000000000001E-3</v>
      </c>
      <c r="L7">
        <f t="shared" si="3"/>
        <v>16768</v>
      </c>
      <c r="M7">
        <f>IF(ISBLANK(#REF!), "", VLOOKUP(A7, $S$22:$AA$39,5,FALSE))</f>
        <v>0.42</v>
      </c>
      <c r="N7">
        <f>IF(ISBLANK(#REF!),"",$T$7)</f>
        <v>3.5000000000000001E-3</v>
      </c>
      <c r="O7">
        <f>IF(ISBLANK(#REF!),"",$T$6)</f>
        <v>1.3333333333333333</v>
      </c>
      <c r="P7">
        <f>IF(ISBLANK(#REF!), "", L7*M7*N7*O7/1000)</f>
        <v>3.2865279999999997E-2</v>
      </c>
      <c r="Q7">
        <f t="shared" si="4"/>
        <v>1.4018048E-3</v>
      </c>
      <c r="S7" t="s">
        <v>45</v>
      </c>
      <c r="T7">
        <v>3.5000000000000001E-3</v>
      </c>
    </row>
    <row r="8" spans="1:21">
      <c r="A8" s="2" t="s">
        <v>15</v>
      </c>
      <c r="B8">
        <v>50</v>
      </c>
      <c r="C8">
        <v>2</v>
      </c>
      <c r="D8">
        <v>0.4</v>
      </c>
      <c r="E8" s="12">
        <f t="shared" si="0"/>
        <v>100000</v>
      </c>
      <c r="F8" s="12">
        <f t="shared" si="1"/>
        <v>1.31</v>
      </c>
      <c r="G8" s="12">
        <f>IF(ISBLANK(#REF!), "", VLOOKUP($A8, $S$22:$AA$39, 8, FALSE))</f>
        <v>1</v>
      </c>
      <c r="H8" s="12">
        <f t="shared" si="2"/>
        <v>1</v>
      </c>
      <c r="I8" s="12">
        <f>IF(ISBLANK(#REF!), "", VLOOKUP($A8, $S$22:$AA$39, 4, FALSE))</f>
        <v>0.8</v>
      </c>
      <c r="J8" s="12">
        <f>IF(ISBLANK(#REF!), "", VLOOKUP($A8, $S$22:$AA$39, 9, FALSE))</f>
        <v>0.8</v>
      </c>
      <c r="K8" s="12">
        <f>IF(ISBLANK(#REF!), "", VLOOKUP($A8, $S$22:$AA$39, 6, FALSE))</f>
        <v>7.0000000000000001E-3</v>
      </c>
      <c r="L8">
        <f t="shared" si="3"/>
        <v>33536</v>
      </c>
      <c r="M8">
        <f>IF(ISBLANK(#REF!), "", VLOOKUP(A8, $S$22:$AA$39,5,FALSE))</f>
        <v>0.42</v>
      </c>
      <c r="N8">
        <f>IF(ISBLANK(#REF!),"",$T$7)</f>
        <v>3.5000000000000001E-3</v>
      </c>
      <c r="O8">
        <f>IF(ISBLANK(#REF!),"",$T$6)</f>
        <v>1.3333333333333333</v>
      </c>
      <c r="P8">
        <f>IF(ISBLANK(#REF!), "", L8*M8*N8*O8/1000)</f>
        <v>6.5730559999999993E-2</v>
      </c>
      <c r="Q8">
        <f t="shared" si="4"/>
        <v>2.8036096000000001E-3</v>
      </c>
      <c r="S8" s="2" t="s">
        <v>2</v>
      </c>
      <c r="T8">
        <f>44/28</f>
        <v>1.5714285714285714</v>
      </c>
    </row>
    <row r="9" spans="1:21">
      <c r="A9" s="2" t="s">
        <v>16</v>
      </c>
      <c r="B9">
        <v>50</v>
      </c>
      <c r="C9">
        <v>2</v>
      </c>
      <c r="D9">
        <v>0.2</v>
      </c>
      <c r="E9" s="12">
        <f t="shared" si="0"/>
        <v>100000</v>
      </c>
      <c r="F9" s="12">
        <f t="shared" si="1"/>
        <v>0.34</v>
      </c>
      <c r="G9" s="12" t="str">
        <f>IF(ISBLANK(#REF!), "", VLOOKUP($A9, $S$22:$AA$39, 8, FALSE))</f>
        <v>n/a</v>
      </c>
      <c r="H9" s="12">
        <f t="shared" si="2"/>
        <v>0</v>
      </c>
      <c r="I9" s="12">
        <f>IF(ISBLANK(#REF!), "", VLOOKUP($A9, $S$22:$AA$39, 4, FALSE))</f>
        <v>0.25</v>
      </c>
      <c r="J9" s="12">
        <f>IF(ISBLANK(#REF!), "", VLOOKUP($A9, $S$22:$AA$39, 9, FALSE))</f>
        <v>0.85</v>
      </c>
      <c r="K9" s="12">
        <f>IF(ISBLANK(#REF!), "", VLOOKUP($A9, $S$22:$AA$39, 6, FALSE))</f>
        <v>0.02</v>
      </c>
      <c r="L9">
        <f t="shared" si="3"/>
        <v>0</v>
      </c>
      <c r="M9">
        <f>IF(ISBLANK(#REF!), "", VLOOKUP(A9, $S$22:$AA$39,5,FALSE))</f>
        <v>0.4</v>
      </c>
      <c r="N9">
        <f>IF(ISBLANK(#REF!),"",$T$7)</f>
        <v>3.5000000000000001E-3</v>
      </c>
      <c r="O9">
        <f>IF(ISBLANK(#REF!),"",$T$6)</f>
        <v>1.3333333333333333</v>
      </c>
      <c r="P9">
        <f>IF(ISBLANK(#REF!), "", L9*M9*N9*O9/1000)</f>
        <v>0</v>
      </c>
      <c r="Q9">
        <f t="shared" si="4"/>
        <v>0</v>
      </c>
      <c r="S9" s="2" t="s">
        <v>50</v>
      </c>
      <c r="T9" s="2">
        <v>7.6E-3</v>
      </c>
    </row>
    <row r="10" spans="1:21">
      <c r="A10" s="2" t="s">
        <v>16</v>
      </c>
      <c r="B10">
        <v>50</v>
      </c>
      <c r="C10">
        <v>2</v>
      </c>
      <c r="D10">
        <v>0.1</v>
      </c>
      <c r="E10" s="12">
        <f t="shared" si="0"/>
        <v>100000</v>
      </c>
      <c r="F10" s="12">
        <f t="shared" si="1"/>
        <v>0.34</v>
      </c>
      <c r="G10" s="12" t="str">
        <f>IF(ISBLANK(#REF!), "", VLOOKUP($A10, $S$22:$AA$39, 8, FALSE))</f>
        <v>n/a</v>
      </c>
      <c r="H10" s="12">
        <f t="shared" si="2"/>
        <v>0</v>
      </c>
      <c r="I10" s="12">
        <f>IF(ISBLANK(#REF!), "", VLOOKUP($A10, $S$22:$AA$39, 4, FALSE))</f>
        <v>0.25</v>
      </c>
      <c r="J10" s="12">
        <f>IF(ISBLANK(#REF!), "", VLOOKUP($A10, $S$22:$AA$39, 9, FALSE))</f>
        <v>0.85</v>
      </c>
      <c r="K10" s="12">
        <f>IF(ISBLANK(#REF!), "", VLOOKUP($A10, $S$22:$AA$39, 6, FALSE))</f>
        <v>0.02</v>
      </c>
      <c r="L10">
        <f t="shared" si="3"/>
        <v>0</v>
      </c>
      <c r="M10">
        <f>IF(ISBLANK(#REF!), "", VLOOKUP(A10, $S$22:$AA$39,5,FALSE))</f>
        <v>0.4</v>
      </c>
      <c r="N10">
        <f>IF(ISBLANK(#REF!),"",$T$7)</f>
        <v>3.5000000000000001E-3</v>
      </c>
      <c r="O10">
        <f>IF(ISBLANK(#REF!),"",$T$6)</f>
        <v>1.3333333333333333</v>
      </c>
      <c r="P10">
        <f>IF(ISBLANK(#REF!), "", L10*M10*N10*O10/1000)</f>
        <v>0</v>
      </c>
      <c r="Q10">
        <f t="shared" si="4"/>
        <v>0</v>
      </c>
    </row>
    <row r="11" spans="1:21">
      <c r="A11" s="2" t="s">
        <v>17</v>
      </c>
      <c r="B11">
        <v>50</v>
      </c>
      <c r="C11">
        <v>2</v>
      </c>
      <c r="D11">
        <v>0.3</v>
      </c>
      <c r="E11" s="12">
        <f t="shared" si="0"/>
        <v>100000</v>
      </c>
      <c r="F11" s="12">
        <f t="shared" si="1"/>
        <v>1.9</v>
      </c>
      <c r="G11" s="12" t="str">
        <f>IF(ISBLANK(#REF!), "", VLOOKUP($A11, $S$22:$AA$39, 8, FALSE))</f>
        <v>n/a</v>
      </c>
      <c r="H11" s="12">
        <f t="shared" si="2"/>
        <v>0</v>
      </c>
      <c r="I11" s="12">
        <f>IF(ISBLANK(#REF!), "", VLOOKUP($A11, $S$22:$AA$39, 4, FALSE))</f>
        <v>0.9</v>
      </c>
      <c r="J11" s="12">
        <f>IF(ISBLANK(#REF!), "", VLOOKUP($A11, $S$22:$AA$39, 9, FALSE))</f>
        <v>0.85</v>
      </c>
      <c r="K11" s="12">
        <f>IF(ISBLANK(#REF!), "", VLOOKUP($A11, $S$22:$AA$39, 6, FALSE))</f>
        <v>0.01</v>
      </c>
      <c r="L11">
        <f t="shared" si="3"/>
        <v>0</v>
      </c>
      <c r="M11">
        <f>IF(ISBLANK(#REF!), "", VLOOKUP(A11, $S$22:$AA$39,5,FALSE))</f>
        <v>0.4</v>
      </c>
      <c r="N11">
        <f>IF(ISBLANK(#REF!),"",$T$7)</f>
        <v>3.5000000000000001E-3</v>
      </c>
      <c r="O11">
        <f>IF(ISBLANK(#REF!),"",$T$6)</f>
        <v>1.3333333333333333</v>
      </c>
      <c r="P11">
        <f>IF(ISBLANK(#REF!), "", L11*M11*N11*O11/1000)</f>
        <v>0</v>
      </c>
      <c r="Q11">
        <f t="shared" si="4"/>
        <v>0</v>
      </c>
      <c r="S11" s="2"/>
      <c r="T11" s="2"/>
    </row>
    <row r="12" spans="1:21">
      <c r="A12" s="2" t="s">
        <v>18</v>
      </c>
      <c r="B12">
        <v>50</v>
      </c>
      <c r="C12">
        <v>2</v>
      </c>
      <c r="D12">
        <v>0.3</v>
      </c>
      <c r="E12" s="12">
        <f t="shared" si="0"/>
        <v>100000</v>
      </c>
      <c r="F12" s="12">
        <f t="shared" si="1"/>
        <v>1.5</v>
      </c>
      <c r="G12" s="12" t="str">
        <f>IF(ISBLANK(#REF!), "", VLOOKUP($A12, $S$22:$AA$39, 8, FALSE))</f>
        <v>n/a</v>
      </c>
      <c r="H12" s="12">
        <f t="shared" si="2"/>
        <v>0</v>
      </c>
      <c r="I12" s="12">
        <f>IF(ISBLANK(#REF!), "", VLOOKUP($A12, $S$22:$AA$39, 4, FALSE))</f>
        <v>0.88</v>
      </c>
      <c r="J12" s="12">
        <f>IF(ISBLANK(#REF!), "", VLOOKUP($A12, $S$22:$AA$39, 9, FALSE))</f>
        <v>0.85</v>
      </c>
      <c r="K12" s="12">
        <f>IF(ISBLANK(#REF!), "", VLOOKUP($A12, $S$22:$AA$39, 6, FALSE))</f>
        <v>6.0000000000000001E-3</v>
      </c>
      <c r="L12">
        <f t="shared" si="3"/>
        <v>0</v>
      </c>
      <c r="M12">
        <f>IF(ISBLANK(#REF!), "", VLOOKUP(A12, $S$22:$AA$39,5,FALSE))</f>
        <v>0.4</v>
      </c>
      <c r="N12">
        <f>IF(ISBLANK(#REF!),"",$T$7)</f>
        <v>3.5000000000000001E-3</v>
      </c>
      <c r="O12">
        <f>IF(ISBLANK(#REF!),"",$T$6)</f>
        <v>1.3333333333333333</v>
      </c>
      <c r="P12">
        <f>IF(ISBLANK(#REF!), "", L12*M12*N12*O12/1000)</f>
        <v>0</v>
      </c>
      <c r="Q12">
        <f t="shared" si="4"/>
        <v>0</v>
      </c>
      <c r="S12" s="2"/>
      <c r="T12" s="2"/>
    </row>
    <row r="13" spans="1:21">
      <c r="A13" s="2" t="s">
        <v>19</v>
      </c>
      <c r="B13">
        <v>50</v>
      </c>
      <c r="C13">
        <v>2</v>
      </c>
      <c r="D13">
        <v>0.3</v>
      </c>
      <c r="E13" s="12">
        <f t="shared" si="0"/>
        <v>100000</v>
      </c>
      <c r="F13" s="12">
        <f t="shared" si="1"/>
        <v>1.34</v>
      </c>
      <c r="G13" s="12" t="str">
        <f>IF(ISBLANK(#REF!), "", VLOOKUP($A13, $S$22:$AA$39, 8, FALSE))</f>
        <v>n/a</v>
      </c>
      <c r="H13" s="12">
        <f t="shared" si="2"/>
        <v>0</v>
      </c>
      <c r="I13" s="12">
        <f>IF(ISBLANK(#REF!), "", VLOOKUP($A13, $S$22:$AA$39, 4, FALSE))</f>
        <v>0.88</v>
      </c>
      <c r="J13" s="12">
        <f>IF(ISBLANK(#REF!), "", VLOOKUP($A13, $S$22:$AA$39, 9, FALSE))</f>
        <v>0.85</v>
      </c>
      <c r="K13" s="12">
        <f>IF(ISBLANK(#REF!), "", VLOOKUP($A13, $S$22:$AA$39, 6, FALSE))</f>
        <v>6.0000000000000001E-3</v>
      </c>
      <c r="L13">
        <f t="shared" si="3"/>
        <v>0</v>
      </c>
      <c r="M13">
        <f>IF(ISBLANK(#REF!), "", VLOOKUP(A13, $S$22:$AA$39,5,FALSE))</f>
        <v>0.4</v>
      </c>
      <c r="N13">
        <f>IF(ISBLANK(#REF!),"",$T$7)</f>
        <v>3.5000000000000001E-3</v>
      </c>
      <c r="O13">
        <f>IF(ISBLANK(#REF!),"",$T$6)</f>
        <v>1.3333333333333333</v>
      </c>
      <c r="P13">
        <f>IF(ISBLANK(#REF!), "", L13*M13*N13*O13/1000)</f>
        <v>0</v>
      </c>
      <c r="Q13">
        <f t="shared" si="4"/>
        <v>0</v>
      </c>
    </row>
    <row r="14" spans="1:21">
      <c r="A14" s="2" t="s">
        <v>31</v>
      </c>
      <c r="B14">
        <v>50</v>
      </c>
      <c r="C14">
        <v>2</v>
      </c>
      <c r="D14">
        <v>0.3</v>
      </c>
      <c r="E14" s="12">
        <f t="shared" si="0"/>
        <v>100000</v>
      </c>
      <c r="F14" s="12">
        <f t="shared" si="1"/>
        <v>1.07</v>
      </c>
      <c r="G14" s="12">
        <f>IF(ISBLANK(#REF!), "", VLOOKUP($A14, $S$22:$AA$39, 8, FALSE))</f>
        <v>0.5</v>
      </c>
      <c r="H14" s="12">
        <f t="shared" si="2"/>
        <v>0.5</v>
      </c>
      <c r="I14" s="12">
        <f>IF(ISBLANK(#REF!), "", VLOOKUP($A14, $S$22:$AA$39, 4, FALSE))</f>
        <v>0.8</v>
      </c>
      <c r="J14" s="12">
        <f>IF(ISBLANK(#REF!), "", VLOOKUP($A14, $S$22:$AA$39, 9, FALSE))</f>
        <v>0.85</v>
      </c>
      <c r="K14" s="12">
        <f>IF(ISBLANK(#REF!), "", VLOOKUP($A14, $S$22:$AA$39, 6, FALSE))</f>
        <v>1.6E-2</v>
      </c>
      <c r="L14">
        <f t="shared" si="3"/>
        <v>10914</v>
      </c>
      <c r="M14">
        <f>IF(ISBLANK(#REF!), "", VLOOKUP(A14, $S$22:$AA$39,5,FALSE))</f>
        <v>0.42</v>
      </c>
      <c r="N14">
        <f>IF(ISBLANK(#REF!),"",$T$7)</f>
        <v>3.5000000000000001E-3</v>
      </c>
      <c r="O14">
        <f>IF(ISBLANK(#REF!),"",$T$6)</f>
        <v>1.3333333333333333</v>
      </c>
      <c r="P14">
        <f>IF(ISBLANK(#REF!), "", L14*M14*N14*O14/1000)</f>
        <v>2.1391440000000005E-2</v>
      </c>
      <c r="Q14">
        <f t="shared" si="4"/>
        <v>2.0855094857142858E-3</v>
      </c>
      <c r="S14" s="2"/>
      <c r="T14" s="2"/>
      <c r="U14" s="8"/>
    </row>
    <row r="15" spans="1:21">
      <c r="A15" s="2" t="s">
        <v>33</v>
      </c>
      <c r="B15">
        <v>50</v>
      </c>
      <c r="C15">
        <v>2</v>
      </c>
      <c r="D15">
        <v>0.3</v>
      </c>
      <c r="E15" s="12">
        <f t="shared" si="0"/>
        <v>100000</v>
      </c>
      <c r="F15" s="12">
        <f t="shared" si="1"/>
        <v>2.08</v>
      </c>
      <c r="G15" s="12">
        <f>IF(ISBLANK(#REF!), "", VLOOKUP($A15, $S$22:$AA$39, 8, FALSE))</f>
        <v>0.5</v>
      </c>
      <c r="H15" s="12">
        <f t="shared" si="2"/>
        <v>0.5</v>
      </c>
      <c r="I15" s="12">
        <f>IF(ISBLANK(#REF!), "", VLOOKUP($A15, $S$22:$AA$39, 4, FALSE))</f>
        <v>0.96</v>
      </c>
      <c r="J15" s="12">
        <f>IF(ISBLANK(#REF!), "", VLOOKUP($A15, $S$22:$AA$39, 9, FALSE))</f>
        <v>0.85</v>
      </c>
      <c r="K15" s="12">
        <f>IF(ISBLANK(#REF!), "", VLOOKUP($A15, $S$22:$AA$39, 6, FALSE))</f>
        <v>8.9999999999999993E-3</v>
      </c>
      <c r="L15">
        <f t="shared" si="3"/>
        <v>25459.200000000001</v>
      </c>
      <c r="M15">
        <f>IF(ISBLANK(#REF!), "", VLOOKUP(A15, $S$22:$AA$39,5,FALSE))</f>
        <v>0.4</v>
      </c>
      <c r="N15">
        <f>IF(ISBLANK(#REF!),"",$T$7)</f>
        <v>3.5000000000000001E-3</v>
      </c>
      <c r="O15">
        <f>IF(ISBLANK(#REF!),"",$T$6)</f>
        <v>1.3333333333333333</v>
      </c>
      <c r="P15">
        <f>IF(ISBLANK(#REF!), "", L15*M15*N15*O15/1000)</f>
        <v>4.7523840000000005E-2</v>
      </c>
      <c r="Q15">
        <f t="shared" si="4"/>
        <v>2.7365002971428574E-3</v>
      </c>
      <c r="S15" s="2"/>
      <c r="T15" s="2"/>
      <c r="U15" s="8"/>
    </row>
    <row r="16" spans="1:21">
      <c r="A16" s="2" t="s">
        <v>24</v>
      </c>
      <c r="B16">
        <v>50</v>
      </c>
      <c r="C16">
        <v>2</v>
      </c>
      <c r="D16">
        <v>0.3</v>
      </c>
      <c r="E16" s="12">
        <f t="shared" si="0"/>
        <v>100000</v>
      </c>
      <c r="F16" s="12">
        <f t="shared" si="1"/>
        <v>1.24</v>
      </c>
      <c r="G16" s="12">
        <f>IF(ISBLANK(#REF!), "", VLOOKUP($A16, $S$22:$AA$39, 8, FALSE))</f>
        <v>0.5</v>
      </c>
      <c r="H16" s="12">
        <f t="shared" si="2"/>
        <v>0.5</v>
      </c>
      <c r="I16" s="12">
        <f>IF(ISBLANK(#REF!), "", VLOOKUP($A16, $S$22:$AA$39, 4, FALSE))</f>
        <v>0.88</v>
      </c>
      <c r="J16" s="12">
        <f>IF(ISBLANK(#REF!), "", VLOOKUP($A16, $S$22:$AA$39, 9, FALSE))</f>
        <v>0.85</v>
      </c>
      <c r="K16" s="12">
        <f>IF(ISBLANK(#REF!), "", VLOOKUP($A16, $S$22:$AA$39, 6, FALSE))</f>
        <v>7.0000000000000001E-3</v>
      </c>
      <c r="L16">
        <f t="shared" si="3"/>
        <v>13912.8</v>
      </c>
      <c r="M16">
        <f>IF(ISBLANK(#REF!), "", VLOOKUP(A16, $S$22:$AA$39,5,FALSE))</f>
        <v>0.4</v>
      </c>
      <c r="N16">
        <f>IF(ISBLANK(#REF!),"",$T$7)</f>
        <v>3.5000000000000001E-3</v>
      </c>
      <c r="O16">
        <f>IF(ISBLANK(#REF!),"",$T$6)</f>
        <v>1.3333333333333333</v>
      </c>
      <c r="P16">
        <f>IF(ISBLANK(#REF!), "", L16*M16*N16*O16/1000)</f>
        <v>2.597056E-2</v>
      </c>
      <c r="Q16">
        <f t="shared" si="4"/>
        <v>1.1631100800000001E-3</v>
      </c>
      <c r="S16" s="2"/>
      <c r="T16" s="2"/>
      <c r="U16" s="8"/>
    </row>
    <row r="17" spans="1:27">
      <c r="A17" s="2" t="s">
        <v>25</v>
      </c>
      <c r="B17">
        <v>50</v>
      </c>
      <c r="C17">
        <v>2</v>
      </c>
      <c r="D17">
        <v>0.3</v>
      </c>
      <c r="E17" s="12">
        <f t="shared" si="0"/>
        <v>100000</v>
      </c>
      <c r="F17" s="12">
        <f t="shared" si="1"/>
        <v>0.81</v>
      </c>
      <c r="G17" s="12">
        <f>IF(ISBLANK(#REF!), "", VLOOKUP($A17, $S$22:$AA$39, 8, FALSE))</f>
        <v>1</v>
      </c>
      <c r="H17" s="12">
        <f t="shared" si="2"/>
        <v>1</v>
      </c>
      <c r="I17" s="12">
        <f>IF(ISBLANK(#REF!), "", VLOOKUP($A17, $S$22:$AA$39, 4, FALSE))</f>
        <v>0.85</v>
      </c>
      <c r="J17" s="12">
        <f>IF(ISBLANK(#REF!), "", VLOOKUP($A17, $S$22:$AA$39, 9, FALSE))</f>
        <v>0.8</v>
      </c>
      <c r="K17" s="12">
        <f>IF(ISBLANK(#REF!), "", VLOOKUP($A17, $S$22:$AA$39, 6, FALSE))</f>
        <v>5.0000000000000001E-3</v>
      </c>
      <c r="L17">
        <f t="shared" si="3"/>
        <v>16524</v>
      </c>
      <c r="M17">
        <f>IF(ISBLANK(#REF!), "", VLOOKUP(A17, $S$22:$AA$39,5,FALSE))</f>
        <v>0.42</v>
      </c>
      <c r="N17">
        <f>IF(ISBLANK(#REF!),"",$T$7)</f>
        <v>3.5000000000000001E-3</v>
      </c>
      <c r="O17">
        <f>IF(ISBLANK(#REF!),"",$T$6)</f>
        <v>1.3333333333333333</v>
      </c>
      <c r="P17">
        <f>IF(ISBLANK(#REF!), "", L17*M17*N17*O17/1000)</f>
        <v>3.2387039999999999E-2</v>
      </c>
      <c r="Q17">
        <f t="shared" si="4"/>
        <v>9.8671885714285705E-4</v>
      </c>
    </row>
    <row r="18" spans="1:27">
      <c r="A18" s="2" t="s">
        <v>26</v>
      </c>
      <c r="B18">
        <v>50</v>
      </c>
      <c r="C18">
        <v>2</v>
      </c>
      <c r="D18">
        <v>0.3</v>
      </c>
      <c r="E18" s="12">
        <f t="shared" si="0"/>
        <v>100000</v>
      </c>
      <c r="F18" s="12">
        <f t="shared" si="1"/>
        <v>1.42</v>
      </c>
      <c r="G18" s="12">
        <f>IF(ISBLANK(#REF!), "", VLOOKUP($A18, $S$22:$AA$39, 8, FALSE))</f>
        <v>0.5</v>
      </c>
      <c r="H18" s="12">
        <f t="shared" si="2"/>
        <v>0.5</v>
      </c>
      <c r="I18" s="12">
        <f>IF(ISBLANK(#REF!), "", VLOOKUP($A18, $S$22:$AA$39, 4, FALSE))</f>
        <v>0.88</v>
      </c>
      <c r="J18" s="12">
        <f>IF(ISBLANK(#REF!), "", VLOOKUP($A18, $S$22:$AA$39, 9, FALSE))</f>
        <v>0.85</v>
      </c>
      <c r="K18" s="12">
        <f>IF(ISBLANK(#REF!), "", VLOOKUP($A18, $S$22:$AA$39, 6, FALSE))</f>
        <v>6.0000000000000001E-3</v>
      </c>
      <c r="L18">
        <f t="shared" si="3"/>
        <v>15932.4</v>
      </c>
      <c r="M18">
        <f>IF(ISBLANK(#REF!), "", VLOOKUP(A18, $S$22:$AA$39,5,FALSE))</f>
        <v>0.4</v>
      </c>
      <c r="N18">
        <f>IF(ISBLANK(#REF!),"",$T$7)</f>
        <v>3.5000000000000001E-3</v>
      </c>
      <c r="O18">
        <f>IF(ISBLANK(#REF!),"",$T$6)</f>
        <v>1.3333333333333333</v>
      </c>
      <c r="P18">
        <f>IF(ISBLANK(#REF!), "", L18*M18*N18*O18/1000)</f>
        <v>2.974048E-2</v>
      </c>
      <c r="Q18">
        <f t="shared" si="4"/>
        <v>1.1416702628571427E-3</v>
      </c>
      <c r="S18" s="2"/>
      <c r="T18" s="2"/>
    </row>
    <row r="19" spans="1:27">
      <c r="A19" s="2" t="s">
        <v>24</v>
      </c>
      <c r="B19">
        <v>50</v>
      </c>
      <c r="C19">
        <v>2</v>
      </c>
      <c r="D19">
        <v>0.3</v>
      </c>
      <c r="E19" s="12">
        <f t="shared" si="0"/>
        <v>100000</v>
      </c>
      <c r="F19" s="12">
        <f t="shared" si="1"/>
        <v>1.24</v>
      </c>
      <c r="G19" s="12">
        <f>IF(ISBLANK(#REF!), "", VLOOKUP($A19, $S$22:$AA$39, 8, FALSE))</f>
        <v>0.5</v>
      </c>
      <c r="H19" s="12">
        <f t="shared" si="2"/>
        <v>0.5</v>
      </c>
      <c r="I19" s="12">
        <f>IF(ISBLANK(#REF!), "", VLOOKUP($A19, $S$22:$AA$39, 4, FALSE))</f>
        <v>0.88</v>
      </c>
      <c r="J19" s="12">
        <f>IF(ISBLANK(#REF!), "", VLOOKUP($A19, $S$22:$AA$39, 9, FALSE))</f>
        <v>0.85</v>
      </c>
      <c r="K19" s="12">
        <f>IF(ISBLANK(#REF!), "", VLOOKUP($A19, $S$22:$AA$39, 6, FALSE))</f>
        <v>7.0000000000000001E-3</v>
      </c>
      <c r="L19">
        <f t="shared" si="3"/>
        <v>13912.8</v>
      </c>
      <c r="M19">
        <f>IF(ISBLANK(#REF!), "", VLOOKUP(A19, $S$22:$AA$39,5,FALSE))</f>
        <v>0.4</v>
      </c>
      <c r="N19">
        <f>IF(ISBLANK(#REF!),"",$T$7)</f>
        <v>3.5000000000000001E-3</v>
      </c>
      <c r="O19">
        <f>IF(ISBLANK(#REF!),"",$T$6)</f>
        <v>1.3333333333333333</v>
      </c>
      <c r="P19">
        <f>IF(ISBLANK(#REF!), "", L19*M19*N19*O19/1000)</f>
        <v>2.597056E-2</v>
      </c>
      <c r="Q19">
        <f t="shared" si="4"/>
        <v>1.1631100800000001E-3</v>
      </c>
      <c r="S19" s="2"/>
      <c r="T19" s="2"/>
    </row>
    <row r="20" spans="1:27">
      <c r="A20" s="2" t="s">
        <v>27</v>
      </c>
      <c r="B20">
        <v>50</v>
      </c>
      <c r="C20">
        <v>2</v>
      </c>
      <c r="D20">
        <v>0.3</v>
      </c>
      <c r="E20" s="12">
        <f t="shared" si="0"/>
        <v>100000</v>
      </c>
      <c r="F20" s="12">
        <f t="shared" si="1"/>
        <v>1.5</v>
      </c>
      <c r="G20" s="12">
        <f>IF(ISBLANK(#REF!), "", VLOOKUP($A20, $S$22:$AA$39, 8, FALSE))</f>
        <v>0.5</v>
      </c>
      <c r="H20" s="12">
        <f t="shared" si="2"/>
        <v>0.5</v>
      </c>
      <c r="I20" s="12">
        <f>IF(ISBLANK(#REF!), "", VLOOKUP($A20, $S$22:$AA$39, 4, FALSE))</f>
        <v>0.8</v>
      </c>
      <c r="J20" s="12">
        <f>IF(ISBLANK(#REF!), "", VLOOKUP($A20, $S$22:$AA$39, 9, FALSE))</f>
        <v>0.85</v>
      </c>
      <c r="K20" s="12">
        <f>IF(ISBLANK(#REF!), "", VLOOKUP($A20, $S$22:$AA$39, 6, FALSE))</f>
        <v>8.0000000000000002E-3</v>
      </c>
      <c r="L20">
        <f t="shared" si="3"/>
        <v>15300</v>
      </c>
      <c r="M20">
        <f>IF(ISBLANK(#REF!), "", VLOOKUP(A20, $S$22:$AA$39,5,FALSE))</f>
        <v>0.4</v>
      </c>
      <c r="N20">
        <f>IF(ISBLANK(#REF!),"",$T$7)</f>
        <v>3.5000000000000001E-3</v>
      </c>
      <c r="O20">
        <f>IF(ISBLANK(#REF!),"",$T$6)</f>
        <v>1.3333333333333333</v>
      </c>
      <c r="P20">
        <f>IF(ISBLANK(#REF!), "", L20*M20*N20*O20/1000)</f>
        <v>2.8560000000000002E-2</v>
      </c>
      <c r="Q20">
        <f t="shared" si="4"/>
        <v>1.4618057142857144E-3</v>
      </c>
      <c r="S20" s="2" t="s">
        <v>22</v>
      </c>
      <c r="T20" s="2"/>
      <c r="W20" s="7"/>
    </row>
    <row r="21" spans="1:27" ht="17">
      <c r="A21" s="2" t="s">
        <v>28</v>
      </c>
      <c r="B21">
        <v>50</v>
      </c>
      <c r="C21">
        <v>2</v>
      </c>
      <c r="D21">
        <v>0.3</v>
      </c>
      <c r="E21" s="12">
        <f t="shared" si="0"/>
        <v>100000</v>
      </c>
      <c r="F21" s="12">
        <f t="shared" si="1"/>
        <v>1.5</v>
      </c>
      <c r="G21" s="12">
        <f>IF(ISBLANK(#REF!), "", VLOOKUP($A21, $S$22:$AA$39, 8, FALSE))</f>
        <v>0.5</v>
      </c>
      <c r="H21" s="12">
        <f t="shared" si="2"/>
        <v>0.5</v>
      </c>
      <c r="I21" s="12">
        <f>IF(ISBLANK(#REF!), "", VLOOKUP($A21, $S$22:$AA$39, 4, FALSE))</f>
        <v>0.88</v>
      </c>
      <c r="J21" s="12">
        <f>IF(ISBLANK(#REF!), "", VLOOKUP($A21, $S$22:$AA$39, 9, FALSE))</f>
        <v>0.85</v>
      </c>
      <c r="K21" s="12">
        <f>IF(ISBLANK(#REF!), "", VLOOKUP($A21, $S$22:$AA$39, 6, FALSE))</f>
        <v>6.0000000000000001E-3</v>
      </c>
      <c r="L21">
        <f t="shared" si="3"/>
        <v>16830</v>
      </c>
      <c r="M21">
        <f>IF(ISBLANK(#REF!), "", VLOOKUP(A21, $S$22:$AA$39,5,FALSE))</f>
        <v>0.4</v>
      </c>
      <c r="N21">
        <f>IF(ISBLANK(#REF!),"",$T$7)</f>
        <v>3.5000000000000001E-3</v>
      </c>
      <c r="O21">
        <f>IF(ISBLANK(#REF!),"",$T$6)</f>
        <v>1.3333333333333333</v>
      </c>
      <c r="P21">
        <f>IF(ISBLANK(#REF!), "", L21*M21*N21*O21/1000)</f>
        <v>3.1415999999999999E-2</v>
      </c>
      <c r="Q21">
        <f t="shared" si="4"/>
        <v>1.2059897142857143E-3</v>
      </c>
      <c r="S21" s="2"/>
      <c r="T21" s="2" t="s">
        <v>10</v>
      </c>
      <c r="U21" t="s">
        <v>11</v>
      </c>
      <c r="V21" t="s">
        <v>12</v>
      </c>
      <c r="W21" s="7" t="s">
        <v>36</v>
      </c>
      <c r="X21" t="s">
        <v>13</v>
      </c>
      <c r="Y21" t="s">
        <v>37</v>
      </c>
      <c r="Z21" t="s">
        <v>38</v>
      </c>
      <c r="AA21" t="s">
        <v>39</v>
      </c>
    </row>
    <row r="22" spans="1:27">
      <c r="A22" s="2" t="s">
        <v>48</v>
      </c>
      <c r="B22">
        <v>50</v>
      </c>
      <c r="C22">
        <v>2</v>
      </c>
      <c r="D22">
        <v>0.3</v>
      </c>
      <c r="E22" s="12">
        <f t="shared" si="0"/>
        <v>100000</v>
      </c>
      <c r="F22" s="12">
        <f t="shared" si="1"/>
        <v>1.46</v>
      </c>
      <c r="G22" s="12">
        <f>IF(ISBLANK(#REF!), "", VLOOKUP($A22, $S$22:$AA$39, 8, FALSE))</f>
        <v>0.5</v>
      </c>
      <c r="H22" s="12">
        <f t="shared" si="2"/>
        <v>0.5</v>
      </c>
      <c r="I22" s="12">
        <f>IF(ISBLANK(#REF!), "", VLOOKUP($A22, $S$22:$AA$39, 4, FALSE))</f>
        <v>0.88</v>
      </c>
      <c r="J22" s="12">
        <f>IF(ISBLANK(#REF!), "", VLOOKUP($A22, $S$22:$AA$39, 9, FALSE))</f>
        <v>0.85</v>
      </c>
      <c r="K22" s="12">
        <f>IF(ISBLANK(#REF!), "", VLOOKUP($A22, $S$22:$AA$39, 6, FALSE))</f>
        <v>6.0000000000000001E-3</v>
      </c>
      <c r="L22">
        <f t="shared" si="3"/>
        <v>16381.199999999999</v>
      </c>
      <c r="M22">
        <f>IF(ISBLANK(#REF!), "", VLOOKUP(A22, $S$22:$AA$39,5,FALSE))</f>
        <v>0.4</v>
      </c>
      <c r="N22">
        <f>IF(ISBLANK(#REF!),"",$T$7)</f>
        <v>3.5000000000000001E-3</v>
      </c>
      <c r="O22">
        <f>IF(ISBLANK(#REF!),"",$T$6)</f>
        <v>1.3333333333333333</v>
      </c>
      <c r="P22">
        <f>IF(ISBLANK(#REF!), "", L22*M22*N22*O22/1000)</f>
        <v>3.0578239999999996E-2</v>
      </c>
      <c r="Q22">
        <f t="shared" si="4"/>
        <v>1.1738299885714284E-3</v>
      </c>
      <c r="S22" s="2" t="s">
        <v>23</v>
      </c>
      <c r="T22" s="11">
        <v>1.5</v>
      </c>
      <c r="U22" s="10">
        <v>0.28999999999999998</v>
      </c>
      <c r="V22" s="10">
        <v>0.88</v>
      </c>
      <c r="W22" s="10">
        <v>0.4</v>
      </c>
      <c r="X22" s="10">
        <v>6.0000000000000001E-3</v>
      </c>
      <c r="Y22" s="10">
        <v>0.01</v>
      </c>
      <c r="Z22" s="10">
        <v>0.5</v>
      </c>
      <c r="AA22" s="10">
        <v>0.9</v>
      </c>
    </row>
    <row r="23" spans="1:27">
      <c r="A23" s="2"/>
      <c r="S23" s="2" t="s">
        <v>24</v>
      </c>
      <c r="T23" s="11">
        <v>1.24</v>
      </c>
      <c r="U23" s="10">
        <v>0.32</v>
      </c>
      <c r="V23" s="10">
        <v>0.88</v>
      </c>
      <c r="W23" s="10">
        <v>0.4</v>
      </c>
      <c r="X23" s="10">
        <v>7.0000000000000001E-3</v>
      </c>
      <c r="Y23" s="10">
        <v>0.01</v>
      </c>
      <c r="Z23" s="10">
        <v>0.5</v>
      </c>
      <c r="AA23" s="10">
        <v>0.85</v>
      </c>
    </row>
    <row r="24" spans="1:27">
      <c r="A24" s="2"/>
      <c r="S24" s="2" t="s">
        <v>25</v>
      </c>
      <c r="T24" s="11">
        <v>0.81</v>
      </c>
      <c r="U24" s="10">
        <v>0.39</v>
      </c>
      <c r="V24" s="10">
        <v>0.85</v>
      </c>
      <c r="W24" s="10">
        <v>0.42</v>
      </c>
      <c r="X24" s="10">
        <v>5.0000000000000001E-3</v>
      </c>
      <c r="Y24" s="10">
        <v>7.0000000000000001E-3</v>
      </c>
      <c r="Z24" s="10">
        <v>1</v>
      </c>
      <c r="AA24" s="10">
        <v>0.8</v>
      </c>
    </row>
    <row r="25" spans="1:27">
      <c r="L25" t="str">
        <f>IF(ISBLANK(B25), "", F25/B25)</f>
        <v/>
      </c>
      <c r="S25" s="2" t="s">
        <v>26</v>
      </c>
      <c r="T25" s="11">
        <v>1.42</v>
      </c>
      <c r="U25" s="10">
        <v>0.43</v>
      </c>
      <c r="V25" s="10">
        <v>0.88</v>
      </c>
      <c r="W25" s="10">
        <v>0.4</v>
      </c>
      <c r="X25" s="10">
        <v>6.0000000000000001E-3</v>
      </c>
      <c r="Y25" s="10">
        <v>0.01</v>
      </c>
      <c r="Z25" s="10">
        <v>0.5</v>
      </c>
      <c r="AA25" s="10">
        <v>0.85</v>
      </c>
    </row>
    <row r="26" spans="1:27">
      <c r="L26" t="str">
        <f>IF(ISBLANK(B26), "", F26/B26)</f>
        <v/>
      </c>
      <c r="S26" s="2" t="s">
        <v>15</v>
      </c>
      <c r="T26" s="11">
        <v>1.31</v>
      </c>
      <c r="U26" s="10">
        <v>0.16</v>
      </c>
      <c r="V26" s="10">
        <v>0.8</v>
      </c>
      <c r="W26" s="10">
        <v>0.42</v>
      </c>
      <c r="X26" s="10">
        <v>7.0000000000000001E-3</v>
      </c>
      <c r="Y26" s="10">
        <v>0.01</v>
      </c>
      <c r="Z26" s="10">
        <v>1</v>
      </c>
      <c r="AA26" s="10">
        <v>0.8</v>
      </c>
    </row>
    <row r="27" spans="1:27">
      <c r="L27" t="str">
        <f>IF(ISBLANK(B27), "", F27/B27)</f>
        <v/>
      </c>
      <c r="S27" s="2" t="s">
        <v>27</v>
      </c>
      <c r="T27" s="11">
        <v>1.5</v>
      </c>
      <c r="U27" s="10">
        <v>0.22</v>
      </c>
      <c r="V27" s="10">
        <v>0.8</v>
      </c>
      <c r="W27" s="10">
        <v>0.4</v>
      </c>
      <c r="X27" s="10">
        <v>8.0000000000000002E-3</v>
      </c>
      <c r="Y27" s="10">
        <v>7.0000000000000001E-3</v>
      </c>
      <c r="Z27" s="10">
        <v>0.5</v>
      </c>
      <c r="AA27" s="10">
        <v>0.85</v>
      </c>
    </row>
    <row r="28" spans="1:27">
      <c r="L28" t="str">
        <f>IF(ISBLANK(B28), "", F28/B28)</f>
        <v/>
      </c>
      <c r="S28" s="2" t="s">
        <v>28</v>
      </c>
      <c r="T28" s="11">
        <v>1.5</v>
      </c>
      <c r="U28" s="10">
        <v>0.42</v>
      </c>
      <c r="V28" s="10">
        <v>0.88</v>
      </c>
      <c r="W28" s="10">
        <v>0.4</v>
      </c>
      <c r="X28" s="10">
        <v>6.0000000000000001E-3</v>
      </c>
      <c r="Y28" s="10">
        <v>0.01</v>
      </c>
      <c r="Z28" s="10">
        <v>0.5</v>
      </c>
      <c r="AA28" s="10">
        <v>0.85</v>
      </c>
    </row>
    <row r="29" spans="1:27">
      <c r="S29" s="2" t="s">
        <v>29</v>
      </c>
      <c r="T29" s="11">
        <v>1.46</v>
      </c>
      <c r="U29" s="10">
        <v>0.36</v>
      </c>
      <c r="V29" s="10">
        <v>0.88</v>
      </c>
      <c r="W29" s="10">
        <v>0.4</v>
      </c>
      <c r="X29" s="10">
        <v>6.0000000000000001E-3</v>
      </c>
      <c r="Y29" s="10">
        <v>0.01</v>
      </c>
      <c r="Z29" s="10">
        <v>0.5</v>
      </c>
      <c r="AA29" s="10">
        <v>0.85</v>
      </c>
    </row>
    <row r="30" spans="1:27">
      <c r="S30" s="2" t="s">
        <v>20</v>
      </c>
      <c r="T30" s="11">
        <v>1.37</v>
      </c>
      <c r="U30" s="10">
        <v>0.51</v>
      </c>
      <c r="V30" s="10">
        <v>0.87</v>
      </c>
      <c r="W30" s="10">
        <v>0.4</v>
      </c>
      <c r="X30" s="10">
        <v>8.9999999999999993E-3</v>
      </c>
      <c r="Y30" s="10">
        <v>0.01</v>
      </c>
      <c r="Z30" s="10">
        <v>0.5</v>
      </c>
      <c r="AA30" s="10">
        <v>0.85</v>
      </c>
    </row>
    <row r="31" spans="1:27">
      <c r="S31" s="2" t="s">
        <v>30</v>
      </c>
      <c r="T31" s="11">
        <v>0.34</v>
      </c>
      <c r="U31" s="10">
        <v>0.43</v>
      </c>
      <c r="V31" s="10">
        <v>0.25</v>
      </c>
      <c r="W31" s="10">
        <v>0.4</v>
      </c>
      <c r="X31" s="10">
        <v>0.02</v>
      </c>
      <c r="Y31" s="10">
        <v>0.01</v>
      </c>
      <c r="Z31" s="10" t="s">
        <v>40</v>
      </c>
      <c r="AA31" s="10">
        <v>0.85</v>
      </c>
    </row>
    <row r="32" spans="1:27">
      <c r="S32" s="2" t="s">
        <v>31</v>
      </c>
      <c r="T32" s="11">
        <v>1.07</v>
      </c>
      <c r="U32" s="10">
        <v>0.2</v>
      </c>
      <c r="V32" s="10">
        <v>0.8</v>
      </c>
      <c r="W32" s="10">
        <v>0.42</v>
      </c>
      <c r="X32" s="10">
        <v>1.6E-2</v>
      </c>
      <c r="Y32" s="10">
        <v>1.4E-2</v>
      </c>
      <c r="Z32" s="10">
        <v>0.5</v>
      </c>
      <c r="AA32" s="10">
        <v>0.85</v>
      </c>
    </row>
    <row r="33" spans="19:27">
      <c r="S33" s="2" t="s">
        <v>32</v>
      </c>
      <c r="T33" s="11">
        <v>0.25</v>
      </c>
      <c r="U33" s="10">
        <v>0.45</v>
      </c>
      <c r="V33" s="10">
        <v>0.2</v>
      </c>
      <c r="W33" s="10">
        <v>0.4</v>
      </c>
      <c r="X33" s="10">
        <v>5.0000000000000001E-3</v>
      </c>
      <c r="Y33" s="10">
        <v>7.0000000000000001E-3</v>
      </c>
      <c r="Z33" s="10">
        <v>1</v>
      </c>
      <c r="AA33" s="10">
        <v>0.8</v>
      </c>
    </row>
    <row r="34" spans="19:27">
      <c r="S34" s="2" t="s">
        <v>17</v>
      </c>
      <c r="T34" s="11">
        <v>1.9</v>
      </c>
      <c r="U34" s="10">
        <v>0.3</v>
      </c>
      <c r="V34" s="10">
        <v>0.9</v>
      </c>
      <c r="W34" s="10">
        <v>0.4</v>
      </c>
      <c r="X34" s="10">
        <v>0.01</v>
      </c>
      <c r="Y34" s="10">
        <v>0.01</v>
      </c>
      <c r="Z34" s="10" t="s">
        <v>40</v>
      </c>
      <c r="AA34" s="10">
        <v>0.85</v>
      </c>
    </row>
    <row r="35" spans="19:27">
      <c r="S35" s="2" t="s">
        <v>18</v>
      </c>
      <c r="T35" s="11">
        <v>1.5</v>
      </c>
      <c r="U35" s="10">
        <v>0.28999999999999998</v>
      </c>
      <c r="V35" s="10">
        <v>0.88</v>
      </c>
      <c r="W35" s="10">
        <v>0.4</v>
      </c>
      <c r="X35" s="10">
        <v>6.0000000000000001E-3</v>
      </c>
      <c r="Y35" s="10" t="s">
        <v>40</v>
      </c>
      <c r="Z35" s="10" t="s">
        <v>40</v>
      </c>
      <c r="AA35" s="10">
        <v>0.85</v>
      </c>
    </row>
    <row r="36" spans="19:27">
      <c r="S36" s="2" t="s">
        <v>33</v>
      </c>
      <c r="T36" s="11">
        <v>2.08</v>
      </c>
      <c r="U36" s="10">
        <v>0.33</v>
      </c>
      <c r="V36" s="10">
        <v>0.96</v>
      </c>
      <c r="W36" s="10">
        <v>0.4</v>
      </c>
      <c r="X36" s="10">
        <v>8.9999999999999993E-3</v>
      </c>
      <c r="Y36" s="10">
        <v>0.01</v>
      </c>
      <c r="Z36" s="10">
        <v>0.5</v>
      </c>
      <c r="AA36" s="10">
        <v>0.85</v>
      </c>
    </row>
    <row r="37" spans="19:27">
      <c r="S37" s="2" t="s">
        <v>34</v>
      </c>
      <c r="T37" s="11">
        <v>1.34</v>
      </c>
      <c r="U37" s="10">
        <v>0.37</v>
      </c>
      <c r="V37" s="10">
        <v>0.88</v>
      </c>
      <c r="W37" s="10">
        <v>0.4</v>
      </c>
      <c r="X37" s="10">
        <v>6.0000000000000001E-3</v>
      </c>
      <c r="Y37" s="10">
        <v>0.01</v>
      </c>
      <c r="Z37" s="10" t="s">
        <v>40</v>
      </c>
      <c r="AA37" s="10">
        <v>0.85</v>
      </c>
    </row>
    <row r="38" spans="19:27">
      <c r="S38" s="2" t="s">
        <v>21</v>
      </c>
      <c r="T38" s="9">
        <v>1</v>
      </c>
      <c r="U38" s="9">
        <v>0.22</v>
      </c>
      <c r="V38" s="9">
        <v>0.85</v>
      </c>
      <c r="W38" s="9">
        <v>0.4</v>
      </c>
      <c r="X38" s="9">
        <v>8.0000000000000002E-3</v>
      </c>
      <c r="Y38" s="9">
        <v>8.9999999999999993E-3</v>
      </c>
      <c r="Z38" s="9" t="s">
        <v>41</v>
      </c>
      <c r="AA38" s="9" t="s">
        <v>40</v>
      </c>
    </row>
    <row r="39" spans="19:27">
      <c r="S39" s="2" t="s">
        <v>35</v>
      </c>
      <c r="T39" s="9">
        <v>1.5</v>
      </c>
      <c r="U39" s="9">
        <v>0.28999999999999998</v>
      </c>
      <c r="V39" s="9">
        <v>0.88</v>
      </c>
      <c r="W39" s="9">
        <v>0.4</v>
      </c>
      <c r="X39" s="9">
        <v>6.0000000000000001E-3</v>
      </c>
      <c r="Y39" s="9" t="s">
        <v>41</v>
      </c>
      <c r="Z39" s="9" t="s">
        <v>41</v>
      </c>
      <c r="AA39" s="9" t="s">
        <v>40</v>
      </c>
    </row>
    <row r="40" spans="19:27">
      <c r="S40" s="2"/>
      <c r="T40" s="11"/>
      <c r="U40" s="10"/>
    </row>
    <row r="41" spans="19:27">
      <c r="S41" s="2"/>
      <c r="T41" s="2"/>
    </row>
    <row r="42" spans="19:27">
      <c r="S42" s="2"/>
      <c r="T42" s="2"/>
      <c r="U42" s="2"/>
    </row>
    <row r="43" spans="19:27">
      <c r="S43" s="2"/>
      <c r="T43" s="2"/>
    </row>
    <row r="44" spans="19:27">
      <c r="S44" s="2"/>
      <c r="T44" s="2"/>
    </row>
    <row r="45" spans="19:27">
      <c r="T45" s="2"/>
    </row>
    <row r="46" spans="19:27">
      <c r="S46" s="2"/>
      <c r="T46" s="2"/>
    </row>
    <row r="47" spans="19:27">
      <c r="S47" s="2"/>
      <c r="T47" s="2"/>
    </row>
    <row r="48" spans="19:27">
      <c r="S48" s="2"/>
      <c r="T48" s="2"/>
    </row>
    <row r="49" spans="19:20">
      <c r="S49" s="2"/>
      <c r="T49" s="2"/>
    </row>
    <row r="50" spans="19:20">
      <c r="S50" s="2"/>
      <c r="T50" s="2"/>
    </row>
    <row r="51" spans="19:20">
      <c r="S51" s="2"/>
      <c r="T51" s="2"/>
    </row>
    <row r="52" spans="19:20">
      <c r="S52" s="2"/>
      <c r="T52" s="2"/>
    </row>
    <row r="53" spans="19:20">
      <c r="S53" s="2"/>
      <c r="T53" s="2"/>
    </row>
    <row r="54" spans="19:20">
      <c r="S54" s="2"/>
      <c r="T54" s="2"/>
    </row>
    <row r="55" spans="19:20">
      <c r="S55" s="2"/>
      <c r="T55" s="2"/>
    </row>
    <row r="56" spans="19:20">
      <c r="S56" s="2"/>
      <c r="T56" s="2"/>
    </row>
    <row r="57" spans="19:20">
      <c r="S57" s="2"/>
      <c r="T57" s="2"/>
    </row>
    <row r="58" spans="19:20">
      <c r="S58" s="2"/>
      <c r="T5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6.4.1.1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2026-04-16T03:18:49Z</dcterms:modified>
</cp:coreProperties>
</file>