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3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4.xml" ContentType="application/vnd.openxmlformats-officedocument.spreadsheetml.queryTable+xml"/>
  <Override PartName="/xl/tables/table11.xml" ContentType="application/vnd.openxmlformats-officedocument.spreadsheetml.table+xml"/>
  <Override PartName="/xl/queryTables/queryTable5.xml" ContentType="application/vnd.openxmlformats-officedocument.spreadsheetml.query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7.xml" ContentType="application/vnd.openxmlformats-officedocument.spreadsheetml.queryTable+xml"/>
  <Override PartName="/xl/tables/table16.xml" ContentType="application/vnd.openxmlformats-officedocument.spreadsheetml.table+xml"/>
  <Override PartName="/xl/queryTables/queryTable8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9.xml" ContentType="application/vnd.openxmlformats-officedocument.spreadsheetml.query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10.xml" ContentType="application/vnd.openxmlformats-officedocument.spreadsheetml.queryTable+xml"/>
  <Override PartName="/xl/tables/table23.xml" ContentType="application/vnd.openxmlformats-officedocument.spreadsheetml.table+xml"/>
  <Override PartName="/xl/queryTables/queryTable11.xml" ContentType="application/vnd.openxmlformats-officedocument.spreadsheetml.queryTable+xml"/>
  <Override PartName="/xl/tables/table24.xml" ContentType="application/vnd.openxmlformats-officedocument.spreadsheetml.table+xml"/>
  <Override PartName="/xl/queryTables/queryTable1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4.4-sheep-manure/"/>
    </mc:Choice>
  </mc:AlternateContent>
  <xr:revisionPtr revIDLastSave="0" documentId="13_ncr:20001_{93D3B428-4CC8-5D4A-9CE4-ECB0F8AFACE7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4.4.1.1" sheetId="11" r:id="rId1"/>
    <sheet name="Tables" sheetId="1" r:id="rId2"/>
    <sheet name="Backup" sheetId="12" r:id="rId3"/>
  </sheets>
  <definedNames>
    <definedName name="ExternalData_1" localSheetId="2" hidden="1">Backup!$BW$6:$CE$30</definedName>
    <definedName name="ExternalData_1" localSheetId="1" hidden="1">Tables!$BW$6:$CE$30</definedName>
    <definedName name="ExternalData_2" localSheetId="2" hidden="1">Backup!$BW$37:$CE$61</definedName>
    <definedName name="ExternalData_2" localSheetId="1" hidden="1">Tables!$BW$37:$CE$61</definedName>
    <definedName name="ExternalData_4" localSheetId="2" hidden="1">Backup!$BW$95:$CE$119</definedName>
    <definedName name="ExternalData_4" localSheetId="1" hidden="1">Tables!$BW$95:$CE$119</definedName>
    <definedName name="ExternalData_5" localSheetId="2" hidden="1">Backup!$BW$130:$CE$154</definedName>
    <definedName name="ExternalData_5" localSheetId="1" hidden="1">Tables!$BW$130:$CE$154</definedName>
    <definedName name="ExternalData_7" localSheetId="2" hidden="1">Backup!$BW$166:$CE$190</definedName>
    <definedName name="ExternalData_7" localSheetId="1" hidden="1">Tables!$BW$166:$CE$190</definedName>
    <definedName name="ExternalData_8" localSheetId="2" hidden="1">Backup!$BW$67:$CE$91</definedName>
    <definedName name="ExternalData_8" localSheetId="1" hidden="1">Tables!$BW$67:$CE$91</definedName>
    <definedName name="TableLWG" localSheetId="0">#REF!</definedName>
    <definedName name="TableLWG" localSheetId="2">TableLWG235[]</definedName>
    <definedName name="TableLWG">TableLWG2[]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12" i="11" l="1"/>
  <c r="O212" i="11"/>
  <c r="O206" i="11"/>
  <c r="O200" i="11"/>
  <c r="O194" i="11"/>
  <c r="P191" i="11"/>
  <c r="P214" i="11" s="1"/>
  <c r="O191" i="11"/>
  <c r="O214" i="11" s="1"/>
  <c r="N214" i="11" s="1"/>
  <c r="P183" i="11"/>
  <c r="P182" i="11"/>
  <c r="O182" i="11"/>
  <c r="O181" i="11"/>
  <c r="P180" i="11"/>
  <c r="P176" i="11"/>
  <c r="P174" i="11"/>
  <c r="P170" i="11"/>
  <c r="P168" i="11"/>
  <c r="O165" i="11"/>
  <c r="P164" i="11"/>
  <c r="P162" i="11"/>
  <c r="P161" i="11"/>
  <c r="P184" i="11" s="1"/>
  <c r="O161" i="11"/>
  <c r="O184" i="11" s="1"/>
  <c r="N184" i="11" s="1"/>
  <c r="P152" i="11"/>
  <c r="P146" i="11"/>
  <c r="P140" i="11"/>
  <c r="P134" i="11"/>
  <c r="P131" i="11"/>
  <c r="P154" i="11" s="1"/>
  <c r="O131" i="11"/>
  <c r="O154" i="11" s="1"/>
  <c r="N154" i="11" s="1"/>
  <c r="O104" i="11"/>
  <c r="P101" i="11"/>
  <c r="P124" i="11" s="1"/>
  <c r="O101" i="11"/>
  <c r="O124" i="11" s="1"/>
  <c r="N124" i="11" s="1"/>
  <c r="O93" i="11"/>
  <c r="P92" i="11"/>
  <c r="P71" i="11"/>
  <c r="P94" i="11" s="1"/>
  <c r="O71" i="11"/>
  <c r="O87" i="11" s="1"/>
  <c r="O41" i="11"/>
  <c r="O63" i="11"/>
  <c r="N63" i="11" s="1"/>
  <c r="P63" i="11"/>
  <c r="P62" i="11"/>
  <c r="P61" i="11"/>
  <c r="P60" i="11"/>
  <c r="P57" i="11"/>
  <c r="P56" i="11"/>
  <c r="P55" i="11"/>
  <c r="O55" i="11"/>
  <c r="N55" i="11" s="1"/>
  <c r="P54" i="11"/>
  <c r="P51" i="11"/>
  <c r="P50" i="11"/>
  <c r="P49" i="11"/>
  <c r="P48" i="11"/>
  <c r="P45" i="11"/>
  <c r="P44" i="11"/>
  <c r="P43" i="11"/>
  <c r="P42" i="11"/>
  <c r="P41" i="11"/>
  <c r="P64" i="11" s="1"/>
  <c r="AF214" i="11"/>
  <c r="AE214" i="11"/>
  <c r="AC214" i="11"/>
  <c r="U214" i="11"/>
  <c r="T214" i="11"/>
  <c r="R214" i="11"/>
  <c r="V214" i="11" s="1"/>
  <c r="Q214" i="11"/>
  <c r="J214" i="11"/>
  <c r="AF213" i="11"/>
  <c r="AE213" i="11"/>
  <c r="AC213" i="11"/>
  <c r="V213" i="11"/>
  <c r="U213" i="11"/>
  <c r="T213" i="11"/>
  <c r="R213" i="11"/>
  <c r="Q213" i="11"/>
  <c r="J213" i="11"/>
  <c r="AF212" i="11"/>
  <c r="AE212" i="11"/>
  <c r="AC212" i="11"/>
  <c r="U212" i="11"/>
  <c r="V212" i="11" s="1"/>
  <c r="T212" i="11"/>
  <c r="R212" i="11"/>
  <c r="Q212" i="11"/>
  <c r="J212" i="11"/>
  <c r="AF211" i="11"/>
  <c r="AE211" i="11"/>
  <c r="AC211" i="11"/>
  <c r="U211" i="11"/>
  <c r="T211" i="11"/>
  <c r="R211" i="11"/>
  <c r="V211" i="11" s="1"/>
  <c r="Q211" i="11"/>
  <c r="J211" i="11"/>
  <c r="AF210" i="11"/>
  <c r="AE210" i="11"/>
  <c r="AC210" i="11"/>
  <c r="U210" i="11"/>
  <c r="T210" i="11"/>
  <c r="R210" i="11"/>
  <c r="V210" i="11" s="1"/>
  <c r="Q210" i="11"/>
  <c r="J210" i="11"/>
  <c r="AF209" i="11"/>
  <c r="AE209" i="11"/>
  <c r="AC209" i="11"/>
  <c r="V209" i="11"/>
  <c r="U209" i="11"/>
  <c r="T209" i="11"/>
  <c r="R209" i="11"/>
  <c r="Q209" i="11"/>
  <c r="J209" i="11"/>
  <c r="AF208" i="11"/>
  <c r="AE208" i="11"/>
  <c r="AC208" i="11"/>
  <c r="Y208" i="11"/>
  <c r="U208" i="11"/>
  <c r="T208" i="11"/>
  <c r="R208" i="11"/>
  <c r="V208" i="11" s="1"/>
  <c r="Q208" i="11"/>
  <c r="J208" i="11"/>
  <c r="AF207" i="11"/>
  <c r="AE207" i="11"/>
  <c r="AC207" i="11"/>
  <c r="Y207" i="11"/>
  <c r="V207" i="11"/>
  <c r="U207" i="11"/>
  <c r="T207" i="11"/>
  <c r="R207" i="11"/>
  <c r="Q207" i="11"/>
  <c r="J207" i="11"/>
  <c r="AF206" i="11"/>
  <c r="AE206" i="11"/>
  <c r="AC206" i="11"/>
  <c r="U206" i="11"/>
  <c r="V206" i="11" s="1"/>
  <c r="T206" i="11"/>
  <c r="R206" i="11"/>
  <c r="Q206" i="11"/>
  <c r="J206" i="11"/>
  <c r="AF205" i="11"/>
  <c r="AE205" i="11"/>
  <c r="AC205" i="11"/>
  <c r="U205" i="11"/>
  <c r="T205" i="11"/>
  <c r="R205" i="11"/>
  <c r="V205" i="11" s="1"/>
  <c r="Q205" i="11"/>
  <c r="J205" i="11"/>
  <c r="AF204" i="11"/>
  <c r="AE204" i="11"/>
  <c r="AC204" i="11"/>
  <c r="U204" i="11"/>
  <c r="T204" i="11"/>
  <c r="R204" i="11"/>
  <c r="V204" i="11" s="1"/>
  <c r="Q204" i="11"/>
  <c r="J204" i="11"/>
  <c r="AF203" i="11"/>
  <c r="AE203" i="11"/>
  <c r="AC203" i="11"/>
  <c r="V203" i="11"/>
  <c r="U203" i="11"/>
  <c r="T203" i="11"/>
  <c r="R203" i="11"/>
  <c r="Q203" i="11"/>
  <c r="J203" i="11"/>
  <c r="AF202" i="11"/>
  <c r="AE202" i="11"/>
  <c r="AC202" i="11"/>
  <c r="U202" i="11"/>
  <c r="T202" i="11"/>
  <c r="R202" i="11"/>
  <c r="V202" i="11" s="1"/>
  <c r="Q202" i="11"/>
  <c r="J202" i="11"/>
  <c r="AF201" i="11"/>
  <c r="AE201" i="11"/>
  <c r="AC201" i="11"/>
  <c r="V201" i="11"/>
  <c r="U201" i="11"/>
  <c r="T201" i="11"/>
  <c r="R201" i="11"/>
  <c r="Q201" i="11"/>
  <c r="J201" i="11"/>
  <c r="AF200" i="11"/>
  <c r="AE200" i="11"/>
  <c r="AC200" i="11"/>
  <c r="U200" i="11"/>
  <c r="V200" i="11" s="1"/>
  <c r="T200" i="11"/>
  <c r="R200" i="11"/>
  <c r="Q200" i="11"/>
  <c r="J200" i="11"/>
  <c r="AF199" i="11"/>
  <c r="AE199" i="11"/>
  <c r="AC199" i="11"/>
  <c r="U199" i="11"/>
  <c r="T199" i="11"/>
  <c r="R199" i="11"/>
  <c r="V199" i="11" s="1"/>
  <c r="Q199" i="11"/>
  <c r="J199" i="11"/>
  <c r="AF198" i="11"/>
  <c r="AE198" i="11"/>
  <c r="AC198" i="11"/>
  <c r="Y198" i="11"/>
  <c r="U198" i="11"/>
  <c r="T198" i="11"/>
  <c r="R198" i="11"/>
  <c r="V198" i="11" s="1"/>
  <c r="Q198" i="11"/>
  <c r="J198" i="11"/>
  <c r="AF197" i="11"/>
  <c r="AE197" i="11"/>
  <c r="AC197" i="11"/>
  <c r="V197" i="11"/>
  <c r="U197" i="11"/>
  <c r="T197" i="11"/>
  <c r="R197" i="11"/>
  <c r="Q197" i="11"/>
  <c r="J197" i="11"/>
  <c r="AF196" i="11"/>
  <c r="AE196" i="11"/>
  <c r="AC196" i="11"/>
  <c r="Y196" i="11"/>
  <c r="U196" i="11"/>
  <c r="T196" i="11"/>
  <c r="R196" i="11"/>
  <c r="V196" i="11" s="1"/>
  <c r="Q196" i="11"/>
  <c r="J196" i="11"/>
  <c r="AF195" i="11"/>
  <c r="AE195" i="11"/>
  <c r="AC195" i="11"/>
  <c r="Y195" i="11"/>
  <c r="V195" i="11"/>
  <c r="U195" i="11"/>
  <c r="T195" i="11"/>
  <c r="R195" i="11"/>
  <c r="Q195" i="11"/>
  <c r="J195" i="11"/>
  <c r="AF194" i="11"/>
  <c r="AE194" i="11"/>
  <c r="AC194" i="11"/>
  <c r="U194" i="11"/>
  <c r="V194" i="11" s="1"/>
  <c r="T194" i="11"/>
  <c r="R194" i="11"/>
  <c r="Q194" i="11"/>
  <c r="J194" i="11"/>
  <c r="AF193" i="11"/>
  <c r="AE193" i="11"/>
  <c r="AC193" i="11"/>
  <c r="U193" i="11"/>
  <c r="T193" i="11"/>
  <c r="R193" i="11"/>
  <c r="V193" i="11" s="1"/>
  <c r="Q193" i="11"/>
  <c r="J193" i="11"/>
  <c r="AF192" i="11"/>
  <c r="AE192" i="11"/>
  <c r="AC192" i="11"/>
  <c r="U192" i="11"/>
  <c r="T192" i="11"/>
  <c r="R192" i="11"/>
  <c r="V192" i="11" s="1"/>
  <c r="Q192" i="11"/>
  <c r="J192" i="11"/>
  <c r="AF191" i="11"/>
  <c r="AE191" i="11"/>
  <c r="AC191" i="11"/>
  <c r="X191" i="11" a="1"/>
  <c r="Y209" i="11" s="1"/>
  <c r="U191" i="11"/>
  <c r="T191" i="11"/>
  <c r="R191" i="11"/>
  <c r="V191" i="11" s="1"/>
  <c r="Q191" i="11"/>
  <c r="M191" i="11" a="1"/>
  <c r="M191" i="11" s="1"/>
  <c r="L191" i="11" a="1"/>
  <c r="W214" i="11" s="1"/>
  <c r="Z214" i="11" s="1"/>
  <c r="K191" i="11" a="1"/>
  <c r="K191" i="11" s="1"/>
  <c r="J191" i="11"/>
  <c r="AF184" i="11"/>
  <c r="AE184" i="11"/>
  <c r="AC184" i="11"/>
  <c r="U184" i="11"/>
  <c r="T184" i="11"/>
  <c r="R184" i="11"/>
  <c r="V184" i="11" s="1"/>
  <c r="Q184" i="11"/>
  <c r="J184" i="11"/>
  <c r="AF183" i="11"/>
  <c r="AE183" i="11"/>
  <c r="AC183" i="11"/>
  <c r="U183" i="11"/>
  <c r="T183" i="11"/>
  <c r="R183" i="11"/>
  <c r="V183" i="11" s="1"/>
  <c r="Q183" i="11"/>
  <c r="J183" i="11"/>
  <c r="AF182" i="11"/>
  <c r="AE182" i="11"/>
  <c r="AC182" i="11"/>
  <c r="U182" i="11"/>
  <c r="V182" i="11" s="1"/>
  <c r="T182" i="11"/>
  <c r="R182" i="11"/>
  <c r="Q182" i="11"/>
  <c r="J182" i="11"/>
  <c r="AF181" i="11"/>
  <c r="AE181" i="11"/>
  <c r="AC181" i="11"/>
  <c r="U181" i="11"/>
  <c r="V181" i="11" s="1"/>
  <c r="T181" i="11"/>
  <c r="R181" i="11"/>
  <c r="Q181" i="11"/>
  <c r="J181" i="11"/>
  <c r="AF180" i="11"/>
  <c r="AE180" i="11"/>
  <c r="AC180" i="11"/>
  <c r="U180" i="11"/>
  <c r="T180" i="11"/>
  <c r="R180" i="11"/>
  <c r="V180" i="11" s="1"/>
  <c r="Q180" i="11"/>
  <c r="J180" i="11"/>
  <c r="AF179" i="11"/>
  <c r="AE179" i="11"/>
  <c r="AC179" i="11"/>
  <c r="V179" i="11"/>
  <c r="U179" i="11"/>
  <c r="T179" i="11"/>
  <c r="R179" i="11"/>
  <c r="Q179" i="11"/>
  <c r="J179" i="11"/>
  <c r="AF178" i="11"/>
  <c r="AE178" i="11"/>
  <c r="AC178" i="11"/>
  <c r="U178" i="11"/>
  <c r="T178" i="11"/>
  <c r="R178" i="11"/>
  <c r="V178" i="11" s="1"/>
  <c r="Q178" i="11"/>
  <c r="J178" i="11"/>
  <c r="AF177" i="11"/>
  <c r="AE177" i="11"/>
  <c r="AC177" i="11"/>
  <c r="U177" i="11"/>
  <c r="T177" i="11"/>
  <c r="R177" i="11"/>
  <c r="V177" i="11" s="1"/>
  <c r="Q177" i="11"/>
  <c r="J177" i="11"/>
  <c r="AF176" i="11"/>
  <c r="AE176" i="11"/>
  <c r="AC176" i="11"/>
  <c r="U176" i="11"/>
  <c r="V176" i="11" s="1"/>
  <c r="T176" i="11"/>
  <c r="R176" i="11"/>
  <c r="Q176" i="11"/>
  <c r="J176" i="11"/>
  <c r="AF175" i="11"/>
  <c r="AE175" i="11"/>
  <c r="AC175" i="11"/>
  <c r="U175" i="11"/>
  <c r="V175" i="11" s="1"/>
  <c r="T175" i="11"/>
  <c r="R175" i="11"/>
  <c r="Q175" i="11"/>
  <c r="J175" i="11"/>
  <c r="AF174" i="11"/>
  <c r="AE174" i="11"/>
  <c r="AC174" i="11"/>
  <c r="U174" i="11"/>
  <c r="T174" i="11"/>
  <c r="R174" i="11"/>
  <c r="V174" i="11" s="1"/>
  <c r="Q174" i="11"/>
  <c r="J174" i="11"/>
  <c r="AF173" i="11"/>
  <c r="AE173" i="11"/>
  <c r="AC173" i="11"/>
  <c r="U173" i="11"/>
  <c r="V173" i="11" s="1"/>
  <c r="T173" i="11"/>
  <c r="R173" i="11"/>
  <c r="Q173" i="11"/>
  <c r="J173" i="11"/>
  <c r="AF172" i="11"/>
  <c r="AE172" i="11"/>
  <c r="AC172" i="11"/>
  <c r="U172" i="11"/>
  <c r="T172" i="11"/>
  <c r="R172" i="11"/>
  <c r="V172" i="11" s="1"/>
  <c r="Q172" i="11"/>
  <c r="J172" i="11"/>
  <c r="AF171" i="11"/>
  <c r="AE171" i="11"/>
  <c r="AC171" i="11"/>
  <c r="U171" i="11"/>
  <c r="T171" i="11"/>
  <c r="R171" i="11"/>
  <c r="V171" i="11" s="1"/>
  <c r="Q171" i="11"/>
  <c r="J171" i="11"/>
  <c r="AF170" i="11"/>
  <c r="AE170" i="11"/>
  <c r="AC170" i="11"/>
  <c r="U170" i="11"/>
  <c r="V170" i="11" s="1"/>
  <c r="T170" i="11"/>
  <c r="R170" i="11"/>
  <c r="Q170" i="11"/>
  <c r="J170" i="11"/>
  <c r="AF169" i="11"/>
  <c r="AE169" i="11"/>
  <c r="AC169" i="11"/>
  <c r="U169" i="11"/>
  <c r="V169" i="11" s="1"/>
  <c r="T169" i="11"/>
  <c r="R169" i="11"/>
  <c r="Q169" i="11"/>
  <c r="J169" i="11"/>
  <c r="AF168" i="11"/>
  <c r="AE168" i="11"/>
  <c r="AC168" i="11"/>
  <c r="U168" i="11"/>
  <c r="T168" i="11"/>
  <c r="R168" i="11"/>
  <c r="V168" i="11" s="1"/>
  <c r="Q168" i="11"/>
  <c r="J168" i="11"/>
  <c r="AF167" i="11"/>
  <c r="AE167" i="11"/>
  <c r="AC167" i="11"/>
  <c r="U167" i="11"/>
  <c r="V167" i="11" s="1"/>
  <c r="T167" i="11"/>
  <c r="R167" i="11"/>
  <c r="Q167" i="11"/>
  <c r="J167" i="11"/>
  <c r="AF166" i="11"/>
  <c r="AE166" i="11"/>
  <c r="AC166" i="11"/>
  <c r="U166" i="11"/>
  <c r="T166" i="11"/>
  <c r="R166" i="11"/>
  <c r="V166" i="11" s="1"/>
  <c r="Q166" i="11"/>
  <c r="J166" i="11"/>
  <c r="AF165" i="11"/>
  <c r="AE165" i="11"/>
  <c r="AC165" i="11"/>
  <c r="U165" i="11"/>
  <c r="T165" i="11"/>
  <c r="R165" i="11"/>
  <c r="V165" i="11" s="1"/>
  <c r="Q165" i="11"/>
  <c r="J165" i="11"/>
  <c r="AF164" i="11"/>
  <c r="AE164" i="11"/>
  <c r="AC164" i="11"/>
  <c r="U164" i="11"/>
  <c r="V164" i="11" s="1"/>
  <c r="T164" i="11"/>
  <c r="R164" i="11"/>
  <c r="Q164" i="11"/>
  <c r="J164" i="11"/>
  <c r="AF163" i="11"/>
  <c r="AE163" i="11"/>
  <c r="AC163" i="11"/>
  <c r="U163" i="11"/>
  <c r="V163" i="11" s="1"/>
  <c r="T163" i="11"/>
  <c r="R163" i="11"/>
  <c r="Q163" i="11"/>
  <c r="J163" i="11"/>
  <c r="AF162" i="11"/>
  <c r="AE162" i="11"/>
  <c r="AC162" i="11"/>
  <c r="U162" i="11"/>
  <c r="T162" i="11"/>
  <c r="R162" i="11"/>
  <c r="V162" i="11" s="1"/>
  <c r="Q162" i="11"/>
  <c r="J162" i="11"/>
  <c r="AF161" i="11"/>
  <c r="AE161" i="11"/>
  <c r="AC161" i="11"/>
  <c r="X161" i="11" a="1"/>
  <c r="Y181" i="11" s="1"/>
  <c r="U161" i="11"/>
  <c r="T161" i="11"/>
  <c r="R161" i="11"/>
  <c r="V161" i="11" s="1"/>
  <c r="Q161" i="11"/>
  <c r="M161" i="11" a="1"/>
  <c r="M161" i="11" s="1"/>
  <c r="L161" i="11" a="1"/>
  <c r="W184" i="11" s="1"/>
  <c r="K161" i="11" a="1"/>
  <c r="K161" i="11" s="1"/>
  <c r="J161" i="11"/>
  <c r="AF154" i="11"/>
  <c r="AE154" i="11"/>
  <c r="AC154" i="11"/>
  <c r="U154" i="11"/>
  <c r="T154" i="11"/>
  <c r="R154" i="11"/>
  <c r="V154" i="11" s="1"/>
  <c r="Q154" i="11"/>
  <c r="J154" i="11"/>
  <c r="AF153" i="11"/>
  <c r="AE153" i="11"/>
  <c r="AC153" i="11"/>
  <c r="Y153" i="11"/>
  <c r="U153" i="11"/>
  <c r="T153" i="11"/>
  <c r="R153" i="11"/>
  <c r="V153" i="11" s="1"/>
  <c r="Q153" i="11"/>
  <c r="J153" i="11"/>
  <c r="AF152" i="11"/>
  <c r="AE152" i="11"/>
  <c r="AC152" i="11"/>
  <c r="V152" i="11"/>
  <c r="U152" i="11"/>
  <c r="T152" i="11"/>
  <c r="R152" i="11"/>
  <c r="Q152" i="11"/>
  <c r="J152" i="11"/>
  <c r="AF151" i="11"/>
  <c r="AE151" i="11"/>
  <c r="AC151" i="11"/>
  <c r="Y151" i="11"/>
  <c r="U151" i="11"/>
  <c r="T151" i="11"/>
  <c r="R151" i="11"/>
  <c r="V151" i="11" s="1"/>
  <c r="Q151" i="11"/>
  <c r="J151" i="11"/>
  <c r="AF150" i="11"/>
  <c r="AE150" i="11"/>
  <c r="AC150" i="11"/>
  <c r="V150" i="11"/>
  <c r="U150" i="11"/>
  <c r="T150" i="11"/>
  <c r="R150" i="11"/>
  <c r="Q150" i="11"/>
  <c r="J150" i="11"/>
  <c r="AF149" i="11"/>
  <c r="AE149" i="11"/>
  <c r="AC149" i="11"/>
  <c r="U149" i="11"/>
  <c r="V149" i="11" s="1"/>
  <c r="T149" i="11"/>
  <c r="R149" i="11"/>
  <c r="Q149" i="11"/>
  <c r="J149" i="11"/>
  <c r="AF148" i="11"/>
  <c r="AE148" i="11"/>
  <c r="AC148" i="11"/>
  <c r="U148" i="11"/>
  <c r="T148" i="11"/>
  <c r="R148" i="11"/>
  <c r="V148" i="11" s="1"/>
  <c r="Q148" i="11"/>
  <c r="J148" i="11"/>
  <c r="AF147" i="11"/>
  <c r="AE147" i="11"/>
  <c r="AC147" i="11"/>
  <c r="V147" i="11"/>
  <c r="U147" i="11"/>
  <c r="T147" i="11"/>
  <c r="R147" i="11"/>
  <c r="Q147" i="11"/>
  <c r="J147" i="11"/>
  <c r="AF146" i="11"/>
  <c r="AE146" i="11"/>
  <c r="AC146" i="11"/>
  <c r="V146" i="11"/>
  <c r="U146" i="11"/>
  <c r="T146" i="11"/>
  <c r="R146" i="11"/>
  <c r="Q146" i="11"/>
  <c r="J146" i="11"/>
  <c r="AF145" i="11"/>
  <c r="AE145" i="11"/>
  <c r="AC145" i="11"/>
  <c r="U145" i="11"/>
  <c r="T145" i="11"/>
  <c r="R145" i="11"/>
  <c r="V145" i="11" s="1"/>
  <c r="Q145" i="11"/>
  <c r="J145" i="11"/>
  <c r="AF144" i="11"/>
  <c r="AE144" i="11"/>
  <c r="AC144" i="11"/>
  <c r="V144" i="11"/>
  <c r="U144" i="11"/>
  <c r="T144" i="11"/>
  <c r="R144" i="11"/>
  <c r="Q144" i="11"/>
  <c r="J144" i="11"/>
  <c r="AF143" i="11"/>
  <c r="AE143" i="11"/>
  <c r="AC143" i="11"/>
  <c r="U143" i="11"/>
  <c r="V143" i="11" s="1"/>
  <c r="T143" i="11"/>
  <c r="R143" i="11"/>
  <c r="Q143" i="11"/>
  <c r="J143" i="11"/>
  <c r="AF142" i="11"/>
  <c r="AE142" i="11"/>
  <c r="AC142" i="11"/>
  <c r="U142" i="11"/>
  <c r="T142" i="11"/>
  <c r="R142" i="11"/>
  <c r="V142" i="11" s="1"/>
  <c r="Q142" i="11"/>
  <c r="J142" i="11"/>
  <c r="AF141" i="11"/>
  <c r="AE141" i="11"/>
  <c r="AC141" i="11"/>
  <c r="V141" i="11"/>
  <c r="U141" i="11"/>
  <c r="T141" i="11"/>
  <c r="R141" i="11"/>
  <c r="Q141" i="11"/>
  <c r="J141" i="11"/>
  <c r="AF140" i="11"/>
  <c r="AE140" i="11"/>
  <c r="AC140" i="11"/>
  <c r="V140" i="11"/>
  <c r="U140" i="11"/>
  <c r="T140" i="11"/>
  <c r="R140" i="11"/>
  <c r="Q140" i="11"/>
  <c r="J140" i="11"/>
  <c r="AF139" i="11"/>
  <c r="AE139" i="11"/>
  <c r="AC139" i="11"/>
  <c r="U139" i="11"/>
  <c r="T139" i="11"/>
  <c r="R139" i="11"/>
  <c r="V139" i="11" s="1"/>
  <c r="Q139" i="11"/>
  <c r="J139" i="11"/>
  <c r="AF138" i="11"/>
  <c r="AE138" i="11"/>
  <c r="AC138" i="11"/>
  <c r="V138" i="11"/>
  <c r="U138" i="11"/>
  <c r="T138" i="11"/>
  <c r="R138" i="11"/>
  <c r="Q138" i="11"/>
  <c r="J138" i="11"/>
  <c r="AF137" i="11"/>
  <c r="AE137" i="11"/>
  <c r="AC137" i="11"/>
  <c r="U137" i="11"/>
  <c r="V137" i="11" s="1"/>
  <c r="T137" i="11"/>
  <c r="R137" i="11"/>
  <c r="Q137" i="11"/>
  <c r="J137" i="11"/>
  <c r="AF136" i="11"/>
  <c r="AE136" i="11"/>
  <c r="AC136" i="11"/>
  <c r="U136" i="11"/>
  <c r="T136" i="11"/>
  <c r="R136" i="11"/>
  <c r="V136" i="11" s="1"/>
  <c r="Q136" i="11"/>
  <c r="J136" i="11"/>
  <c r="AF135" i="11"/>
  <c r="AE135" i="11"/>
  <c r="AC135" i="11"/>
  <c r="Y135" i="11"/>
  <c r="V135" i="11"/>
  <c r="U135" i="11"/>
  <c r="T135" i="11"/>
  <c r="R135" i="11"/>
  <c r="Q135" i="11"/>
  <c r="J135" i="11"/>
  <c r="AF134" i="11"/>
  <c r="AE134" i="11"/>
  <c r="AC134" i="11"/>
  <c r="V134" i="11"/>
  <c r="U134" i="11"/>
  <c r="T134" i="11"/>
  <c r="R134" i="11"/>
  <c r="Q134" i="11"/>
  <c r="J134" i="11"/>
  <c r="AF133" i="11"/>
  <c r="AE133" i="11"/>
  <c r="AC133" i="11"/>
  <c r="Y133" i="11"/>
  <c r="U133" i="11"/>
  <c r="T133" i="11"/>
  <c r="R133" i="11"/>
  <c r="V133" i="11" s="1"/>
  <c r="Q133" i="11"/>
  <c r="J133" i="11"/>
  <c r="AF132" i="11"/>
  <c r="AE132" i="11"/>
  <c r="AC132" i="11"/>
  <c r="V132" i="11"/>
  <c r="U132" i="11"/>
  <c r="T132" i="11"/>
  <c r="R132" i="11"/>
  <c r="Q132" i="11"/>
  <c r="J132" i="11"/>
  <c r="AF131" i="11"/>
  <c r="AE131" i="11"/>
  <c r="AC131" i="11"/>
  <c r="X131" i="11" a="1"/>
  <c r="Y149" i="11" s="1"/>
  <c r="U131" i="11"/>
  <c r="T131" i="11"/>
  <c r="R131" i="11"/>
  <c r="V131" i="11" s="1"/>
  <c r="Q131" i="11"/>
  <c r="M131" i="11" a="1"/>
  <c r="M131" i="11" s="1"/>
  <c r="L131" i="11" a="1"/>
  <c r="W154" i="11" s="1"/>
  <c r="Z154" i="11" s="1"/>
  <c r="K131" i="11" a="1"/>
  <c r="K131" i="11" s="1"/>
  <c r="J131" i="11"/>
  <c r="AF124" i="11"/>
  <c r="AE124" i="11"/>
  <c r="AC124" i="11"/>
  <c r="U124" i="11"/>
  <c r="T124" i="11"/>
  <c r="R124" i="11"/>
  <c r="V124" i="11" s="1"/>
  <c r="Q124" i="11"/>
  <c r="J124" i="11"/>
  <c r="AF123" i="11"/>
  <c r="AE123" i="11"/>
  <c r="AC123" i="11"/>
  <c r="V123" i="11"/>
  <c r="U123" i="11"/>
  <c r="T123" i="11"/>
  <c r="R123" i="11"/>
  <c r="Q123" i="11"/>
  <c r="J123" i="11"/>
  <c r="AF122" i="11"/>
  <c r="AE122" i="11"/>
  <c r="AC122" i="11"/>
  <c r="V122" i="11"/>
  <c r="U122" i="11"/>
  <c r="T122" i="11"/>
  <c r="R122" i="11"/>
  <c r="Q122" i="11"/>
  <c r="J122" i="11"/>
  <c r="AF121" i="11"/>
  <c r="AE121" i="11"/>
  <c r="AC121" i="11"/>
  <c r="V121" i="11"/>
  <c r="U121" i="11"/>
  <c r="T121" i="11"/>
  <c r="R121" i="11"/>
  <c r="Q121" i="11"/>
  <c r="J121" i="11"/>
  <c r="AF120" i="11"/>
  <c r="AE120" i="11"/>
  <c r="AC120" i="11"/>
  <c r="U120" i="11"/>
  <c r="T120" i="11"/>
  <c r="R120" i="11"/>
  <c r="V120" i="11" s="1"/>
  <c r="Q120" i="11"/>
  <c r="J120" i="11"/>
  <c r="AF119" i="11"/>
  <c r="AE119" i="11"/>
  <c r="AC119" i="11"/>
  <c r="U119" i="11"/>
  <c r="T119" i="11"/>
  <c r="R119" i="11"/>
  <c r="V119" i="11" s="1"/>
  <c r="Q119" i="11"/>
  <c r="J119" i="11"/>
  <c r="AF118" i="11"/>
  <c r="AE118" i="11"/>
  <c r="AC118" i="11"/>
  <c r="U118" i="11"/>
  <c r="T118" i="11"/>
  <c r="R118" i="11"/>
  <c r="V118" i="11" s="1"/>
  <c r="Q118" i="11"/>
  <c r="J118" i="11"/>
  <c r="AF117" i="11"/>
  <c r="AE117" i="11"/>
  <c r="AC117" i="11"/>
  <c r="V117" i="11"/>
  <c r="U117" i="11"/>
  <c r="T117" i="11"/>
  <c r="R117" i="11"/>
  <c r="Q117" i="11"/>
  <c r="J117" i="11"/>
  <c r="AF116" i="11"/>
  <c r="AE116" i="11"/>
  <c r="AC116" i="11"/>
  <c r="V116" i="11"/>
  <c r="U116" i="11"/>
  <c r="T116" i="11"/>
  <c r="R116" i="11"/>
  <c r="Q116" i="11"/>
  <c r="J116" i="11"/>
  <c r="AF115" i="11"/>
  <c r="AE115" i="11"/>
  <c r="AC115" i="11"/>
  <c r="V115" i="11"/>
  <c r="U115" i="11"/>
  <c r="T115" i="11"/>
  <c r="R115" i="11"/>
  <c r="Q115" i="11"/>
  <c r="J115" i="11"/>
  <c r="AF114" i="11"/>
  <c r="AE114" i="11"/>
  <c r="AC114" i="11"/>
  <c r="U114" i="11"/>
  <c r="T114" i="11"/>
  <c r="R114" i="11"/>
  <c r="V114" i="11" s="1"/>
  <c r="Q114" i="11"/>
  <c r="J114" i="11"/>
  <c r="AF113" i="11"/>
  <c r="AE113" i="11"/>
  <c r="AC113" i="11"/>
  <c r="U113" i="11"/>
  <c r="T113" i="11"/>
  <c r="R113" i="11"/>
  <c r="V113" i="11" s="1"/>
  <c r="Q113" i="11"/>
  <c r="J113" i="11"/>
  <c r="AF112" i="11"/>
  <c r="AE112" i="11"/>
  <c r="AC112" i="11"/>
  <c r="U112" i="11"/>
  <c r="T112" i="11"/>
  <c r="R112" i="11"/>
  <c r="V112" i="11" s="1"/>
  <c r="Q112" i="11"/>
  <c r="J112" i="11"/>
  <c r="AF111" i="11"/>
  <c r="AE111" i="11"/>
  <c r="AC111" i="11"/>
  <c r="V111" i="11"/>
  <c r="U111" i="11"/>
  <c r="T111" i="11"/>
  <c r="R111" i="11"/>
  <c r="Q111" i="11"/>
  <c r="J111" i="11"/>
  <c r="AF110" i="11"/>
  <c r="AE110" i="11"/>
  <c r="AC110" i="11"/>
  <c r="V110" i="11"/>
  <c r="U110" i="11"/>
  <c r="T110" i="11"/>
  <c r="R110" i="11"/>
  <c r="Q110" i="11"/>
  <c r="J110" i="11"/>
  <c r="AF109" i="11"/>
  <c r="AE109" i="11"/>
  <c r="AC109" i="11"/>
  <c r="V109" i="11"/>
  <c r="U109" i="11"/>
  <c r="T109" i="11"/>
  <c r="R109" i="11"/>
  <c r="Q109" i="11"/>
  <c r="J109" i="11"/>
  <c r="AF108" i="11"/>
  <c r="AE108" i="11"/>
  <c r="AC108" i="11"/>
  <c r="U108" i="11"/>
  <c r="T108" i="11"/>
  <c r="R108" i="11"/>
  <c r="V108" i="11" s="1"/>
  <c r="Q108" i="11"/>
  <c r="J108" i="11"/>
  <c r="AF107" i="11"/>
  <c r="AE107" i="11"/>
  <c r="AC107" i="11"/>
  <c r="U107" i="11"/>
  <c r="T107" i="11"/>
  <c r="R107" i="11"/>
  <c r="V107" i="11" s="1"/>
  <c r="Q107" i="11"/>
  <c r="J107" i="11"/>
  <c r="AF106" i="11"/>
  <c r="AE106" i="11"/>
  <c r="AC106" i="11"/>
  <c r="U106" i="11"/>
  <c r="T106" i="11"/>
  <c r="R106" i="11"/>
  <c r="V106" i="11" s="1"/>
  <c r="Q106" i="11"/>
  <c r="J106" i="11"/>
  <c r="AF105" i="11"/>
  <c r="AE105" i="11"/>
  <c r="AC105" i="11"/>
  <c r="V105" i="11"/>
  <c r="U105" i="11"/>
  <c r="T105" i="11"/>
  <c r="R105" i="11"/>
  <c r="Q105" i="11"/>
  <c r="J105" i="11"/>
  <c r="AF104" i="11"/>
  <c r="AE104" i="11"/>
  <c r="AC104" i="11"/>
  <c r="V104" i="11"/>
  <c r="U104" i="11"/>
  <c r="T104" i="11"/>
  <c r="R104" i="11"/>
  <c r="Q104" i="11"/>
  <c r="J104" i="11"/>
  <c r="AF103" i="11"/>
  <c r="AE103" i="11"/>
  <c r="AC103" i="11"/>
  <c r="V103" i="11"/>
  <c r="U103" i="11"/>
  <c r="T103" i="11"/>
  <c r="R103" i="11"/>
  <c r="Q103" i="11"/>
  <c r="J103" i="11"/>
  <c r="AF102" i="11"/>
  <c r="AE102" i="11"/>
  <c r="AC102" i="11"/>
  <c r="U102" i="11"/>
  <c r="T102" i="11"/>
  <c r="R102" i="11"/>
  <c r="V102" i="11" s="1"/>
  <c r="Q102" i="11"/>
  <c r="J102" i="11"/>
  <c r="AF101" i="11"/>
  <c r="AE101" i="11"/>
  <c r="AC101" i="11"/>
  <c r="X101" i="11" a="1"/>
  <c r="Y114" i="11" s="1"/>
  <c r="V101" i="11"/>
  <c r="U101" i="11"/>
  <c r="T101" i="11"/>
  <c r="R101" i="11"/>
  <c r="Q101" i="11"/>
  <c r="M101" i="11" a="1"/>
  <c r="M101" i="11" s="1"/>
  <c r="L101" i="11" a="1"/>
  <c r="W124" i="11" s="1"/>
  <c r="Z124" i="11" s="1"/>
  <c r="K101" i="11" a="1"/>
  <c r="K101" i="11" s="1"/>
  <c r="J101" i="11"/>
  <c r="AF94" i="11"/>
  <c r="AE94" i="11"/>
  <c r="AC94" i="11"/>
  <c r="U94" i="11"/>
  <c r="T94" i="11"/>
  <c r="R94" i="11"/>
  <c r="V94" i="11" s="1"/>
  <c r="Q94" i="11"/>
  <c r="J94" i="11"/>
  <c r="AF93" i="11"/>
  <c r="AE93" i="11"/>
  <c r="AC93" i="11"/>
  <c r="U93" i="11"/>
  <c r="T93" i="11"/>
  <c r="R93" i="11"/>
  <c r="V93" i="11" s="1"/>
  <c r="Q93" i="11"/>
  <c r="J93" i="11"/>
  <c r="AF92" i="11"/>
  <c r="AE92" i="11"/>
  <c r="AC92" i="11"/>
  <c r="U92" i="11"/>
  <c r="V92" i="11" s="1"/>
  <c r="T92" i="11"/>
  <c r="R92" i="11"/>
  <c r="Q92" i="11"/>
  <c r="J92" i="11"/>
  <c r="AF91" i="11"/>
  <c r="AE91" i="11"/>
  <c r="AC91" i="11"/>
  <c r="U91" i="11"/>
  <c r="T91" i="11"/>
  <c r="R91" i="11"/>
  <c r="V91" i="11" s="1"/>
  <c r="Q91" i="11"/>
  <c r="J91" i="11"/>
  <c r="AF90" i="11"/>
  <c r="AE90" i="11"/>
  <c r="AC90" i="11"/>
  <c r="U90" i="11"/>
  <c r="T90" i="11"/>
  <c r="R90" i="11"/>
  <c r="V90" i="11" s="1"/>
  <c r="Q90" i="11"/>
  <c r="J90" i="11"/>
  <c r="AF89" i="11"/>
  <c r="AE89" i="11"/>
  <c r="AC89" i="11"/>
  <c r="U89" i="11"/>
  <c r="T89" i="11"/>
  <c r="R89" i="11"/>
  <c r="V89" i="11" s="1"/>
  <c r="Q89" i="11"/>
  <c r="J89" i="11"/>
  <c r="AF88" i="11"/>
  <c r="AE88" i="11"/>
  <c r="AC88" i="11"/>
  <c r="U88" i="11"/>
  <c r="T88" i="11"/>
  <c r="R88" i="11"/>
  <c r="V88" i="11" s="1"/>
  <c r="Q88" i="11"/>
  <c r="J88" i="11"/>
  <c r="AF87" i="11"/>
  <c r="AE87" i="11"/>
  <c r="AC87" i="11"/>
  <c r="U87" i="11"/>
  <c r="T87" i="11"/>
  <c r="R87" i="11"/>
  <c r="V87" i="11" s="1"/>
  <c r="Q87" i="11"/>
  <c r="J87" i="11"/>
  <c r="AF86" i="11"/>
  <c r="AE86" i="11"/>
  <c r="AC86" i="11"/>
  <c r="U86" i="11"/>
  <c r="V86" i="11" s="1"/>
  <c r="T86" i="11"/>
  <c r="R86" i="11"/>
  <c r="Q86" i="11"/>
  <c r="J86" i="11"/>
  <c r="AF85" i="11"/>
  <c r="AE85" i="11"/>
  <c r="AC85" i="11"/>
  <c r="U85" i="11"/>
  <c r="T85" i="11"/>
  <c r="R85" i="11"/>
  <c r="V85" i="11" s="1"/>
  <c r="Q85" i="11"/>
  <c r="J85" i="11"/>
  <c r="AF84" i="11"/>
  <c r="AE84" i="11"/>
  <c r="AC84" i="11"/>
  <c r="U84" i="11"/>
  <c r="T84" i="11"/>
  <c r="R84" i="11"/>
  <c r="V84" i="11" s="1"/>
  <c r="Q84" i="11"/>
  <c r="J84" i="11"/>
  <c r="AF83" i="11"/>
  <c r="AE83" i="11"/>
  <c r="AC83" i="11"/>
  <c r="U83" i="11"/>
  <c r="T83" i="11"/>
  <c r="R83" i="11"/>
  <c r="V83" i="11" s="1"/>
  <c r="Q83" i="11"/>
  <c r="J83" i="11"/>
  <c r="AF82" i="11"/>
  <c r="AE82" i="11"/>
  <c r="AC82" i="11"/>
  <c r="U82" i="11"/>
  <c r="T82" i="11"/>
  <c r="R82" i="11"/>
  <c r="V82" i="11" s="1"/>
  <c r="Q82" i="11"/>
  <c r="J82" i="11"/>
  <c r="AF81" i="11"/>
  <c r="AE81" i="11"/>
  <c r="AC81" i="11"/>
  <c r="U81" i="11"/>
  <c r="T81" i="11"/>
  <c r="R81" i="11"/>
  <c r="V81" i="11" s="1"/>
  <c r="Q81" i="11"/>
  <c r="J81" i="11"/>
  <c r="AF80" i="11"/>
  <c r="AE80" i="11"/>
  <c r="AC80" i="11"/>
  <c r="U80" i="11"/>
  <c r="V80" i="11" s="1"/>
  <c r="T80" i="11"/>
  <c r="R80" i="11"/>
  <c r="Q80" i="11"/>
  <c r="J80" i="11"/>
  <c r="AF79" i="11"/>
  <c r="AE79" i="11"/>
  <c r="AC79" i="11"/>
  <c r="U79" i="11"/>
  <c r="T79" i="11"/>
  <c r="R79" i="11"/>
  <c r="V79" i="11" s="1"/>
  <c r="Q79" i="11"/>
  <c r="J79" i="11"/>
  <c r="AF78" i="11"/>
  <c r="AE78" i="11"/>
  <c r="AC78" i="11"/>
  <c r="U78" i="11"/>
  <c r="T78" i="11"/>
  <c r="R78" i="11"/>
  <c r="V78" i="11" s="1"/>
  <c r="Q78" i="11"/>
  <c r="J78" i="11"/>
  <c r="AF77" i="11"/>
  <c r="AE77" i="11"/>
  <c r="AC77" i="11"/>
  <c r="U77" i="11"/>
  <c r="T77" i="11"/>
  <c r="R77" i="11"/>
  <c r="V77" i="11" s="1"/>
  <c r="Q77" i="11"/>
  <c r="J77" i="11"/>
  <c r="AF76" i="11"/>
  <c r="AE76" i="11"/>
  <c r="AC76" i="11"/>
  <c r="U76" i="11"/>
  <c r="T76" i="11"/>
  <c r="R76" i="11"/>
  <c r="V76" i="11" s="1"/>
  <c r="Q76" i="11"/>
  <c r="J76" i="11"/>
  <c r="AF75" i="11"/>
  <c r="AE75" i="11"/>
  <c r="AC75" i="11"/>
  <c r="U75" i="11"/>
  <c r="T75" i="11"/>
  <c r="R75" i="11"/>
  <c r="V75" i="11" s="1"/>
  <c r="Q75" i="11"/>
  <c r="J75" i="11"/>
  <c r="AF74" i="11"/>
  <c r="AE74" i="11"/>
  <c r="AC74" i="11"/>
  <c r="U74" i="11"/>
  <c r="V74" i="11" s="1"/>
  <c r="T74" i="11"/>
  <c r="R74" i="11"/>
  <c r="Q74" i="11"/>
  <c r="J74" i="11"/>
  <c r="AF73" i="11"/>
  <c r="AE73" i="11"/>
  <c r="AC73" i="11"/>
  <c r="U73" i="11"/>
  <c r="T73" i="11"/>
  <c r="R73" i="11"/>
  <c r="V73" i="11" s="1"/>
  <c r="Q73" i="11"/>
  <c r="J73" i="11"/>
  <c r="AF72" i="11"/>
  <c r="AE72" i="11"/>
  <c r="AC72" i="11"/>
  <c r="U72" i="11"/>
  <c r="T72" i="11"/>
  <c r="R72" i="11"/>
  <c r="V72" i="11" s="1"/>
  <c r="Q72" i="11"/>
  <c r="J72" i="11"/>
  <c r="AF71" i="11"/>
  <c r="AE71" i="11"/>
  <c r="AC71" i="11"/>
  <c r="X71" i="11" a="1"/>
  <c r="Y89" i="11" s="1"/>
  <c r="U71" i="11"/>
  <c r="T71" i="11"/>
  <c r="R71" i="11"/>
  <c r="V71" i="11" s="1"/>
  <c r="Q71" i="11"/>
  <c r="M71" i="11" a="1"/>
  <c r="M71" i="11" s="1"/>
  <c r="L71" i="11" a="1"/>
  <c r="K71" i="11" a="1"/>
  <c r="K71" i="11" s="1"/>
  <c r="J71" i="11"/>
  <c r="AF64" i="11"/>
  <c r="AE64" i="11"/>
  <c r="AC64" i="11"/>
  <c r="U64" i="11"/>
  <c r="T64" i="11"/>
  <c r="R64" i="11"/>
  <c r="V64" i="11" s="1"/>
  <c r="Q64" i="11"/>
  <c r="J64" i="11"/>
  <c r="AF63" i="11"/>
  <c r="AE63" i="11"/>
  <c r="AC63" i="11"/>
  <c r="V63" i="11"/>
  <c r="U63" i="11"/>
  <c r="T63" i="11"/>
  <c r="R63" i="11"/>
  <c r="Q63" i="11"/>
  <c r="J63" i="11"/>
  <c r="AF62" i="11"/>
  <c r="AE62" i="11"/>
  <c r="AC62" i="11"/>
  <c r="U62" i="11"/>
  <c r="V62" i="11" s="1"/>
  <c r="T62" i="11"/>
  <c r="R62" i="11"/>
  <c r="Q62" i="11"/>
  <c r="J62" i="11"/>
  <c r="AF61" i="11"/>
  <c r="AE61" i="11"/>
  <c r="AC61" i="11"/>
  <c r="W61" i="11"/>
  <c r="Z61" i="11" s="1"/>
  <c r="U61" i="11"/>
  <c r="T61" i="11"/>
  <c r="R61" i="11"/>
  <c r="V61" i="11" s="1"/>
  <c r="Q61" i="11"/>
  <c r="J61" i="11"/>
  <c r="AF60" i="11"/>
  <c r="AE60" i="11"/>
  <c r="AC60" i="11"/>
  <c r="U60" i="11"/>
  <c r="V60" i="11" s="1"/>
  <c r="T60" i="11"/>
  <c r="R60" i="11"/>
  <c r="Q60" i="11"/>
  <c r="J60" i="11"/>
  <c r="AF59" i="11"/>
  <c r="AE59" i="11"/>
  <c r="AC59" i="11"/>
  <c r="U59" i="11"/>
  <c r="T59" i="11"/>
  <c r="R59" i="11"/>
  <c r="V59" i="11" s="1"/>
  <c r="Q59" i="11"/>
  <c r="J59" i="11"/>
  <c r="AF58" i="11"/>
  <c r="AE58" i="11"/>
  <c r="AC58" i="11"/>
  <c r="W58" i="11"/>
  <c r="Z58" i="11" s="1"/>
  <c r="U58" i="11"/>
  <c r="T58" i="11"/>
  <c r="R58" i="11"/>
  <c r="V58" i="11" s="1"/>
  <c r="Q58" i="11"/>
  <c r="J58" i="11"/>
  <c r="AF57" i="11"/>
  <c r="AE57" i="11"/>
  <c r="AC57" i="11"/>
  <c r="U57" i="11"/>
  <c r="T57" i="11"/>
  <c r="R57" i="11"/>
  <c r="V57" i="11" s="1"/>
  <c r="Q57" i="11"/>
  <c r="J57" i="11"/>
  <c r="AF56" i="11"/>
  <c r="AE56" i="11"/>
  <c r="AC56" i="11"/>
  <c r="U56" i="11"/>
  <c r="T56" i="11"/>
  <c r="R56" i="11"/>
  <c r="V56" i="11" s="1"/>
  <c r="Q56" i="11"/>
  <c r="J56" i="11"/>
  <c r="AF55" i="11"/>
  <c r="AE55" i="11"/>
  <c r="AC55" i="11"/>
  <c r="W55" i="11"/>
  <c r="Z55" i="11" s="1"/>
  <c r="U55" i="11"/>
  <c r="T55" i="11"/>
  <c r="R55" i="11"/>
  <c r="V55" i="11" s="1"/>
  <c r="Q55" i="11"/>
  <c r="J55" i="11"/>
  <c r="AF54" i="11"/>
  <c r="AE54" i="11"/>
  <c r="AC54" i="11"/>
  <c r="W54" i="11"/>
  <c r="Z54" i="11" s="1"/>
  <c r="U54" i="11"/>
  <c r="T54" i="11"/>
  <c r="R54" i="11"/>
  <c r="V54" i="11" s="1"/>
  <c r="Q54" i="11"/>
  <c r="J54" i="11"/>
  <c r="AF53" i="11"/>
  <c r="AE53" i="11"/>
  <c r="AC53" i="11"/>
  <c r="W53" i="11"/>
  <c r="Z53" i="11" s="1"/>
  <c r="U53" i="11"/>
  <c r="T53" i="11"/>
  <c r="R53" i="11"/>
  <c r="V53" i="11" s="1"/>
  <c r="Q53" i="11"/>
  <c r="J53" i="11"/>
  <c r="AF52" i="11"/>
  <c r="AE52" i="11"/>
  <c r="AC52" i="11"/>
  <c r="W52" i="11"/>
  <c r="Z52" i="11" s="1"/>
  <c r="U52" i="11"/>
  <c r="T52" i="11"/>
  <c r="R52" i="11"/>
  <c r="V52" i="11" s="1"/>
  <c r="Q52" i="11"/>
  <c r="J52" i="11"/>
  <c r="AF51" i="11"/>
  <c r="AE51" i="11"/>
  <c r="AC51" i="11"/>
  <c r="W51" i="11"/>
  <c r="Z51" i="11" s="1"/>
  <c r="U51" i="11"/>
  <c r="T51" i="11"/>
  <c r="R51" i="11"/>
  <c r="V51" i="11" s="1"/>
  <c r="Q51" i="11"/>
  <c r="J51" i="11"/>
  <c r="AF50" i="11"/>
  <c r="AE50" i="11"/>
  <c r="AC50" i="11"/>
  <c r="W50" i="11"/>
  <c r="Z50" i="11" s="1"/>
  <c r="U50" i="11"/>
  <c r="T50" i="11"/>
  <c r="R50" i="11"/>
  <c r="V50" i="11" s="1"/>
  <c r="Q50" i="11"/>
  <c r="J50" i="11"/>
  <c r="AF49" i="11"/>
  <c r="AE49" i="11"/>
  <c r="AC49" i="11"/>
  <c r="W49" i="11"/>
  <c r="Z49" i="11" s="1"/>
  <c r="U49" i="11"/>
  <c r="T49" i="11"/>
  <c r="R49" i="11"/>
  <c r="V49" i="11" s="1"/>
  <c r="Q49" i="11"/>
  <c r="J49" i="11"/>
  <c r="AF48" i="11"/>
  <c r="AE48" i="11"/>
  <c r="AC48" i="11"/>
  <c r="W48" i="11"/>
  <c r="Z48" i="11" s="1"/>
  <c r="U48" i="11"/>
  <c r="T48" i="11"/>
  <c r="R48" i="11"/>
  <c r="V48" i="11" s="1"/>
  <c r="Q48" i="11"/>
  <c r="J48" i="11"/>
  <c r="AF47" i="11"/>
  <c r="AE47" i="11"/>
  <c r="AC47" i="11"/>
  <c r="W47" i="11"/>
  <c r="Z47" i="11" s="1"/>
  <c r="U47" i="11"/>
  <c r="T47" i="11"/>
  <c r="R47" i="11"/>
  <c r="V47" i="11" s="1"/>
  <c r="Q47" i="11"/>
  <c r="J47" i="11"/>
  <c r="AF46" i="11"/>
  <c r="AE46" i="11"/>
  <c r="AC46" i="11"/>
  <c r="W46" i="11"/>
  <c r="Z46" i="11" s="1"/>
  <c r="U46" i="11"/>
  <c r="T46" i="11"/>
  <c r="R46" i="11"/>
  <c r="V46" i="11" s="1"/>
  <c r="Q46" i="11"/>
  <c r="J46" i="11"/>
  <c r="AF45" i="11"/>
  <c r="AE45" i="11"/>
  <c r="AC45" i="11"/>
  <c r="W45" i="11"/>
  <c r="Z45" i="11" s="1"/>
  <c r="U45" i="11"/>
  <c r="T45" i="11"/>
  <c r="R45" i="11"/>
  <c r="V45" i="11" s="1"/>
  <c r="Q45" i="11"/>
  <c r="J45" i="11"/>
  <c r="AF44" i="11"/>
  <c r="AE44" i="11"/>
  <c r="AC44" i="11"/>
  <c r="U44" i="11"/>
  <c r="T44" i="11"/>
  <c r="R44" i="11"/>
  <c r="V44" i="11" s="1"/>
  <c r="Q44" i="11"/>
  <c r="J44" i="11"/>
  <c r="AF43" i="11"/>
  <c r="AE43" i="11"/>
  <c r="AC43" i="11"/>
  <c r="U43" i="11"/>
  <c r="T43" i="11"/>
  <c r="R43" i="11"/>
  <c r="V43" i="11" s="1"/>
  <c r="Q43" i="11"/>
  <c r="J43" i="11"/>
  <c r="AF42" i="11"/>
  <c r="AE42" i="11"/>
  <c r="AC42" i="11"/>
  <c r="U42" i="11"/>
  <c r="T42" i="11"/>
  <c r="R42" i="11"/>
  <c r="V42" i="11" s="1"/>
  <c r="Q42" i="11"/>
  <c r="J42" i="11"/>
  <c r="AF41" i="11"/>
  <c r="AE41" i="11"/>
  <c r="AC41" i="11"/>
  <c r="X41" i="11" a="1"/>
  <c r="Y59" i="11" s="1"/>
  <c r="V41" i="11"/>
  <c r="U41" i="11"/>
  <c r="T41" i="11"/>
  <c r="R41" i="11"/>
  <c r="Q41" i="11"/>
  <c r="M41" i="11"/>
  <c r="M41" i="11" a="1"/>
  <c r="L41" i="11"/>
  <c r="W41" i="11" s="1"/>
  <c r="L41" i="11" a="1"/>
  <c r="W64" i="11" s="1"/>
  <c r="Z64" i="11" s="1"/>
  <c r="K41" i="11" a="1"/>
  <c r="K41" i="11" s="1"/>
  <c r="J41" i="11"/>
  <c r="O169" i="11" l="1"/>
  <c r="O170" i="11"/>
  <c r="O183" i="11"/>
  <c r="O171" i="11"/>
  <c r="O175" i="11"/>
  <c r="N175" i="11" s="1"/>
  <c r="O176" i="11"/>
  <c r="N176" i="11" s="1"/>
  <c r="O163" i="11"/>
  <c r="N163" i="11" s="1"/>
  <c r="O164" i="11"/>
  <c r="O177" i="11"/>
  <c r="N177" i="11" s="1"/>
  <c r="O105" i="11"/>
  <c r="O110" i="11"/>
  <c r="O111" i="11"/>
  <c r="N111" i="11" s="1"/>
  <c r="O116" i="11"/>
  <c r="O117" i="11"/>
  <c r="N117" i="11" s="1"/>
  <c r="O122" i="11"/>
  <c r="N122" i="11" s="1"/>
  <c r="O123" i="11"/>
  <c r="N123" i="11" s="1"/>
  <c r="O197" i="11"/>
  <c r="O203" i="11"/>
  <c r="O209" i="11"/>
  <c r="N209" i="11" s="1"/>
  <c r="P197" i="11"/>
  <c r="P203" i="11"/>
  <c r="P209" i="11"/>
  <c r="O192" i="11"/>
  <c r="N192" i="11" s="1"/>
  <c r="O198" i="11"/>
  <c r="N198" i="11" s="1"/>
  <c r="O204" i="11"/>
  <c r="N204" i="11" s="1"/>
  <c r="O210" i="11"/>
  <c r="N210" i="11" s="1"/>
  <c r="P192" i="11"/>
  <c r="P198" i="11"/>
  <c r="P204" i="11"/>
  <c r="P210" i="11"/>
  <c r="O193" i="11"/>
  <c r="O199" i="11"/>
  <c r="O205" i="11"/>
  <c r="O211" i="11"/>
  <c r="P193" i="11"/>
  <c r="P199" i="11"/>
  <c r="P205" i="11"/>
  <c r="P211" i="11"/>
  <c r="O195" i="11"/>
  <c r="N195" i="11" s="1"/>
  <c r="O201" i="11"/>
  <c r="N201" i="11" s="1"/>
  <c r="O207" i="11"/>
  <c r="O213" i="11"/>
  <c r="P195" i="11"/>
  <c r="P201" i="11"/>
  <c r="P207" i="11"/>
  <c r="P213" i="11"/>
  <c r="P194" i="11"/>
  <c r="P200" i="11"/>
  <c r="O196" i="11"/>
  <c r="N196" i="11" s="1"/>
  <c r="O202" i="11"/>
  <c r="N202" i="11" s="1"/>
  <c r="O208" i="11"/>
  <c r="N208" i="11" s="1"/>
  <c r="P206" i="11"/>
  <c r="P196" i="11"/>
  <c r="P202" i="11"/>
  <c r="P208" i="11"/>
  <c r="O167" i="11"/>
  <c r="O173" i="11"/>
  <c r="O179" i="11"/>
  <c r="N179" i="11" s="1"/>
  <c r="P167" i="11"/>
  <c r="P173" i="11"/>
  <c r="P179" i="11"/>
  <c r="O162" i="11"/>
  <c r="N162" i="11" s="1"/>
  <c r="O168" i="11"/>
  <c r="N168" i="11" s="1"/>
  <c r="O174" i="11"/>
  <c r="N174" i="11" s="1"/>
  <c r="O180" i="11"/>
  <c r="N180" i="11" s="1"/>
  <c r="P163" i="11"/>
  <c r="P169" i="11"/>
  <c r="P175" i="11"/>
  <c r="P181" i="11"/>
  <c r="P165" i="11"/>
  <c r="P171" i="11"/>
  <c r="P177" i="11"/>
  <c r="O166" i="11"/>
  <c r="N166" i="11" s="1"/>
  <c r="O172" i="11"/>
  <c r="N172" i="11" s="1"/>
  <c r="O178" i="11"/>
  <c r="N178" i="11" s="1"/>
  <c r="P166" i="11"/>
  <c r="P172" i="11"/>
  <c r="P178" i="11"/>
  <c r="O137" i="11"/>
  <c r="O143" i="11"/>
  <c r="O149" i="11"/>
  <c r="P137" i="11"/>
  <c r="P143" i="11"/>
  <c r="P149" i="11"/>
  <c r="O132" i="11"/>
  <c r="O138" i="11"/>
  <c r="O150" i="11"/>
  <c r="O144" i="11"/>
  <c r="P132" i="11"/>
  <c r="P138" i="11"/>
  <c r="P144" i="11"/>
  <c r="P150" i="11"/>
  <c r="O133" i="11"/>
  <c r="O139" i="11"/>
  <c r="O145" i="11"/>
  <c r="N145" i="11" s="1"/>
  <c r="O151" i="11"/>
  <c r="P133" i="11"/>
  <c r="P139" i="11"/>
  <c r="P145" i="11"/>
  <c r="P151" i="11"/>
  <c r="O134" i="11"/>
  <c r="O140" i="11"/>
  <c r="N140" i="11" s="1"/>
  <c r="O146" i="11"/>
  <c r="O152" i="11"/>
  <c r="O135" i="11"/>
  <c r="O141" i="11"/>
  <c r="O147" i="11"/>
  <c r="O153" i="11"/>
  <c r="P153" i="11"/>
  <c r="P141" i="11"/>
  <c r="O136" i="11"/>
  <c r="N136" i="11" s="1"/>
  <c r="O142" i="11"/>
  <c r="N142" i="11" s="1"/>
  <c r="O148" i="11"/>
  <c r="N148" i="11" s="1"/>
  <c r="P135" i="11"/>
  <c r="P147" i="11"/>
  <c r="P136" i="11"/>
  <c r="P142" i="11"/>
  <c r="P148" i="11"/>
  <c r="O107" i="11"/>
  <c r="O113" i="11"/>
  <c r="O119" i="11"/>
  <c r="N119" i="11" s="1"/>
  <c r="P107" i="11"/>
  <c r="P119" i="11"/>
  <c r="P113" i="11"/>
  <c r="O102" i="11"/>
  <c r="N102" i="11" s="1"/>
  <c r="O108" i="11"/>
  <c r="N108" i="11" s="1"/>
  <c r="O114" i="11"/>
  <c r="N114" i="11" s="1"/>
  <c r="O120" i="11"/>
  <c r="N120" i="11" s="1"/>
  <c r="P120" i="11"/>
  <c r="P102" i="11"/>
  <c r="P114" i="11"/>
  <c r="O103" i="11"/>
  <c r="O109" i="11"/>
  <c r="N109" i="11" s="1"/>
  <c r="O115" i="11"/>
  <c r="O121" i="11"/>
  <c r="P108" i="11"/>
  <c r="P103" i="11"/>
  <c r="P109" i="11"/>
  <c r="P115" i="11"/>
  <c r="P121" i="11"/>
  <c r="P104" i="11"/>
  <c r="P110" i="11"/>
  <c r="P116" i="11"/>
  <c r="P122" i="11"/>
  <c r="P105" i="11"/>
  <c r="P111" i="11"/>
  <c r="P117" i="11"/>
  <c r="P123" i="11"/>
  <c r="O106" i="11"/>
  <c r="N106" i="11" s="1"/>
  <c r="O112" i="11"/>
  <c r="N112" i="11" s="1"/>
  <c r="O118" i="11"/>
  <c r="N118" i="11" s="1"/>
  <c r="P106" i="11"/>
  <c r="P112" i="11"/>
  <c r="P118" i="11"/>
  <c r="P77" i="11"/>
  <c r="P72" i="11"/>
  <c r="P78" i="11"/>
  <c r="P84" i="11"/>
  <c r="P90" i="11"/>
  <c r="P89" i="11"/>
  <c r="O85" i="11"/>
  <c r="O72" i="11"/>
  <c r="N72" i="11" s="1"/>
  <c r="O78" i="11"/>
  <c r="N78" i="11" s="1"/>
  <c r="O84" i="11"/>
  <c r="N84" i="11" s="1"/>
  <c r="O90" i="11"/>
  <c r="N90" i="11" s="1"/>
  <c r="O73" i="11"/>
  <c r="N73" i="11" s="1"/>
  <c r="O79" i="11"/>
  <c r="O91" i="11"/>
  <c r="P73" i="11"/>
  <c r="P79" i="11"/>
  <c r="P85" i="11"/>
  <c r="P91" i="11"/>
  <c r="P83" i="11"/>
  <c r="O74" i="11"/>
  <c r="O80" i="11"/>
  <c r="O86" i="11"/>
  <c r="O92" i="11"/>
  <c r="N92" i="11" s="1"/>
  <c r="O83" i="11"/>
  <c r="N83" i="11" s="1"/>
  <c r="P75" i="11"/>
  <c r="P93" i="11"/>
  <c r="O89" i="11"/>
  <c r="P80" i="11"/>
  <c r="O81" i="11"/>
  <c r="P87" i="11"/>
  <c r="O76" i="11"/>
  <c r="N76" i="11" s="1"/>
  <c r="O82" i="11"/>
  <c r="N82" i="11" s="1"/>
  <c r="O88" i="11"/>
  <c r="N88" i="11" s="1"/>
  <c r="O94" i="11"/>
  <c r="N94" i="11" s="1"/>
  <c r="O77" i="11"/>
  <c r="N77" i="11" s="1"/>
  <c r="P74" i="11"/>
  <c r="P86" i="11"/>
  <c r="O75" i="11"/>
  <c r="P81" i="11"/>
  <c r="P76" i="11"/>
  <c r="P82" i="11"/>
  <c r="P88" i="11"/>
  <c r="N105" i="11"/>
  <c r="O61" i="11"/>
  <c r="N61" i="11" s="1"/>
  <c r="O43" i="11"/>
  <c r="N43" i="11" s="1"/>
  <c r="O57" i="11"/>
  <c r="N57" i="11" s="1"/>
  <c r="O45" i="11"/>
  <c r="N45" i="11" s="1"/>
  <c r="N164" i="11"/>
  <c r="N146" i="11"/>
  <c r="O47" i="11"/>
  <c r="N47" i="11" s="1"/>
  <c r="N212" i="11"/>
  <c r="O49" i="11"/>
  <c r="N49" i="11" s="1"/>
  <c r="N134" i="11"/>
  <c r="N71" i="11"/>
  <c r="N152" i="11"/>
  <c r="N206" i="11"/>
  <c r="N141" i="11"/>
  <c r="N153" i="11"/>
  <c r="N194" i="11"/>
  <c r="N191" i="11"/>
  <c r="N170" i="11"/>
  <c r="N200" i="11"/>
  <c r="N135" i="11"/>
  <c r="N147" i="11"/>
  <c r="O64" i="11"/>
  <c r="N64" i="11" s="1"/>
  <c r="N182" i="11"/>
  <c r="O51" i="11"/>
  <c r="N51" i="11" s="1"/>
  <c r="O53" i="11"/>
  <c r="N53" i="11" s="1"/>
  <c r="O59" i="11"/>
  <c r="N59" i="11" s="1"/>
  <c r="N41" i="11"/>
  <c r="P47" i="11"/>
  <c r="P53" i="11"/>
  <c r="P59" i="11"/>
  <c r="O42" i="11"/>
  <c r="N42" i="11" s="1"/>
  <c r="O48" i="11"/>
  <c r="N48" i="11" s="1"/>
  <c r="O54" i="11"/>
  <c r="N54" i="11" s="1"/>
  <c r="O60" i="11"/>
  <c r="N60" i="11" s="1"/>
  <c r="O44" i="11"/>
  <c r="N44" i="11" s="1"/>
  <c r="O50" i="11"/>
  <c r="N50" i="11" s="1"/>
  <c r="O56" i="11"/>
  <c r="N56" i="11" s="1"/>
  <c r="O62" i="11"/>
  <c r="N62" i="11" s="1"/>
  <c r="O46" i="11"/>
  <c r="N46" i="11" s="1"/>
  <c r="O52" i="11"/>
  <c r="N52" i="11" s="1"/>
  <c r="O58" i="11"/>
  <c r="N58" i="11" s="1"/>
  <c r="P46" i="11"/>
  <c r="P52" i="11"/>
  <c r="P58" i="11"/>
  <c r="N203" i="11"/>
  <c r="N197" i="11"/>
  <c r="N193" i="11"/>
  <c r="N199" i="11"/>
  <c r="N205" i="11"/>
  <c r="N211" i="11"/>
  <c r="N207" i="11"/>
  <c r="N213" i="11"/>
  <c r="N167" i="11"/>
  <c r="N173" i="11"/>
  <c r="N169" i="11"/>
  <c r="N181" i="11"/>
  <c r="N165" i="11"/>
  <c r="N171" i="11"/>
  <c r="N183" i="11"/>
  <c r="N161" i="11"/>
  <c r="N137" i="11"/>
  <c r="N143" i="11"/>
  <c r="N149" i="11"/>
  <c r="N132" i="11"/>
  <c r="N138" i="11"/>
  <c r="N144" i="11"/>
  <c r="N150" i="11"/>
  <c r="N131" i="11"/>
  <c r="N133" i="11"/>
  <c r="N139" i="11"/>
  <c r="N151" i="11"/>
  <c r="N107" i="11"/>
  <c r="N113" i="11"/>
  <c r="N101" i="11"/>
  <c r="N103" i="11"/>
  <c r="N115" i="11"/>
  <c r="N121" i="11"/>
  <c r="N104" i="11"/>
  <c r="N110" i="11"/>
  <c r="N116" i="11"/>
  <c r="N85" i="11"/>
  <c r="N74" i="11"/>
  <c r="N86" i="11"/>
  <c r="N75" i="11"/>
  <c r="N87" i="11"/>
  <c r="N89" i="11"/>
  <c r="N79" i="11"/>
  <c r="N91" i="11"/>
  <c r="N80" i="11"/>
  <c r="N81" i="11"/>
  <c r="N93" i="11"/>
  <c r="W201" i="11"/>
  <c r="Z201" i="11" s="1"/>
  <c r="AA201" i="11" s="1"/>
  <c r="Y201" i="11"/>
  <c r="Y202" i="11"/>
  <c r="W195" i="11"/>
  <c r="Z195" i="11" s="1"/>
  <c r="AA195" i="11" s="1"/>
  <c r="W213" i="11"/>
  <c r="Z213" i="11" s="1"/>
  <c r="AA213" i="11" s="1"/>
  <c r="Y213" i="11"/>
  <c r="Y214" i="11"/>
  <c r="AA214" i="11" s="1"/>
  <c r="Y192" i="11"/>
  <c r="X191" i="11"/>
  <c r="Y191" i="11" s="1"/>
  <c r="W207" i="11"/>
  <c r="Z207" i="11" s="1"/>
  <c r="AA207" i="11" s="1"/>
  <c r="AD207" i="11" s="1"/>
  <c r="Z184" i="11"/>
  <c r="Y139" i="11"/>
  <c r="Y141" i="11"/>
  <c r="Y145" i="11"/>
  <c r="Y147" i="11"/>
  <c r="AD201" i="11"/>
  <c r="AB201" i="11"/>
  <c r="AD195" i="11"/>
  <c r="AB195" i="11"/>
  <c r="AD213" i="11"/>
  <c r="AB213" i="11"/>
  <c r="W194" i="11"/>
  <c r="Z194" i="11" s="1"/>
  <c r="W200" i="11"/>
  <c r="Z200" i="11" s="1"/>
  <c r="W206" i="11"/>
  <c r="Z206" i="11" s="1"/>
  <c r="W212" i="11"/>
  <c r="Z212" i="11" s="1"/>
  <c r="Y194" i="11"/>
  <c r="Y200" i="11"/>
  <c r="Y206" i="11"/>
  <c r="Y212" i="11"/>
  <c r="W193" i="11"/>
  <c r="Z193" i="11" s="1"/>
  <c r="W199" i="11"/>
  <c r="Z199" i="11" s="1"/>
  <c r="W205" i="11"/>
  <c r="Z205" i="11" s="1"/>
  <c r="W211" i="11"/>
  <c r="Z211" i="11" s="1"/>
  <c r="Y193" i="11"/>
  <c r="Y199" i="11"/>
  <c r="Y205" i="11"/>
  <c r="Y211" i="11"/>
  <c r="L191" i="11"/>
  <c r="W191" i="11" s="1"/>
  <c r="Z191" i="11" s="1"/>
  <c r="W192" i="11"/>
  <c r="Z192" i="11" s="1"/>
  <c r="W198" i="11"/>
  <c r="Z198" i="11" s="1"/>
  <c r="AA198" i="11" s="1"/>
  <c r="W204" i="11"/>
  <c r="Z204" i="11" s="1"/>
  <c r="W210" i="11"/>
  <c r="Z210" i="11" s="1"/>
  <c r="Y204" i="11"/>
  <c r="Y210" i="11"/>
  <c r="W197" i="11"/>
  <c r="Z197" i="11" s="1"/>
  <c r="W203" i="11"/>
  <c r="Z203" i="11" s="1"/>
  <c r="W209" i="11"/>
  <c r="Z209" i="11" s="1"/>
  <c r="AA209" i="11" s="1"/>
  <c r="Y197" i="11"/>
  <c r="Y203" i="11"/>
  <c r="W196" i="11"/>
  <c r="Z196" i="11" s="1"/>
  <c r="AA196" i="11" s="1"/>
  <c r="W202" i="11"/>
  <c r="Z202" i="11" s="1"/>
  <c r="AA202" i="11" s="1"/>
  <c r="W208" i="11"/>
  <c r="Z208" i="11" s="1"/>
  <c r="AA208" i="11" s="1"/>
  <c r="W182" i="11"/>
  <c r="Z182" i="11" s="1"/>
  <c r="Y169" i="11"/>
  <c r="Y166" i="11"/>
  <c r="Y172" i="11"/>
  <c r="Y178" i="11"/>
  <c r="Y184" i="11"/>
  <c r="AA184" i="11" s="1"/>
  <c r="W165" i="11"/>
  <c r="Z165" i="11" s="1"/>
  <c r="W171" i="11"/>
  <c r="Z171" i="11" s="1"/>
  <c r="W177" i="11"/>
  <c r="Z177" i="11" s="1"/>
  <c r="W183" i="11"/>
  <c r="Z183" i="11" s="1"/>
  <c r="Y165" i="11"/>
  <c r="Y171" i="11"/>
  <c r="Y177" i="11"/>
  <c r="Y183" i="11"/>
  <c r="Y182" i="11"/>
  <c r="Y164" i="11"/>
  <c r="Y170" i="11"/>
  <c r="Y176" i="11"/>
  <c r="W163" i="11"/>
  <c r="Z163" i="11" s="1"/>
  <c r="AA163" i="11" s="1"/>
  <c r="W169" i="11"/>
  <c r="Z169" i="11" s="1"/>
  <c r="W175" i="11"/>
  <c r="Z175" i="11" s="1"/>
  <c r="AA175" i="11" s="1"/>
  <c r="W181" i="11"/>
  <c r="Z181" i="11" s="1"/>
  <c r="AA181" i="11" s="1"/>
  <c r="W162" i="11"/>
  <c r="Z162" i="11" s="1"/>
  <c r="AA162" i="11" s="1"/>
  <c r="W168" i="11"/>
  <c r="Z168" i="11" s="1"/>
  <c r="W174" i="11"/>
  <c r="Z174" i="11" s="1"/>
  <c r="W180" i="11"/>
  <c r="Z180" i="11" s="1"/>
  <c r="Y174" i="11"/>
  <c r="Y168" i="11"/>
  <c r="W167" i="11"/>
  <c r="Z167" i="11" s="1"/>
  <c r="W173" i="11"/>
  <c r="Z173" i="11" s="1"/>
  <c r="W179" i="11"/>
  <c r="Z179" i="11" s="1"/>
  <c r="X161" i="11"/>
  <c r="Y161" i="11" s="1"/>
  <c r="Y162" i="11"/>
  <c r="Y180" i="11"/>
  <c r="Y167" i="11"/>
  <c r="Y173" i="11"/>
  <c r="Y179" i="11"/>
  <c r="W164" i="11"/>
  <c r="Z164" i="11" s="1"/>
  <c r="AA164" i="11" s="1"/>
  <c r="W170" i="11"/>
  <c r="Z170" i="11" s="1"/>
  <c r="W176" i="11"/>
  <c r="Z176" i="11" s="1"/>
  <c r="Y163" i="11"/>
  <c r="Y175" i="11"/>
  <c r="L161" i="11"/>
  <c r="W161" i="11" s="1"/>
  <c r="Z161" i="11" s="1"/>
  <c r="W166" i="11"/>
  <c r="Z166" i="11" s="1"/>
  <c r="AA166" i="11" s="1"/>
  <c r="W172" i="11"/>
  <c r="Z172" i="11" s="1"/>
  <c r="AA172" i="11" s="1"/>
  <c r="W178" i="11"/>
  <c r="Z178" i="11" s="1"/>
  <c r="AA178" i="11" s="1"/>
  <c r="Y136" i="11"/>
  <c r="Y142" i="11"/>
  <c r="Y148" i="11"/>
  <c r="Y154" i="11"/>
  <c r="AA154" i="11" s="1"/>
  <c r="W135" i="11"/>
  <c r="Z135" i="11" s="1"/>
  <c r="AA135" i="11" s="1"/>
  <c r="W141" i="11"/>
  <c r="Z141" i="11" s="1"/>
  <c r="AA141" i="11" s="1"/>
  <c r="W147" i="11"/>
  <c r="Z147" i="11" s="1"/>
  <c r="W153" i="11"/>
  <c r="Z153" i="11" s="1"/>
  <c r="AA153" i="11" s="1"/>
  <c r="W152" i="11"/>
  <c r="Z152" i="11" s="1"/>
  <c r="W134" i="11"/>
  <c r="Z134" i="11" s="1"/>
  <c r="W140" i="11"/>
  <c r="Z140" i="11" s="1"/>
  <c r="W146" i="11"/>
  <c r="Z146" i="11" s="1"/>
  <c r="Y134" i="11"/>
  <c r="Y140" i="11"/>
  <c r="Y146" i="11"/>
  <c r="Y152" i="11"/>
  <c r="W133" i="11"/>
  <c r="Z133" i="11" s="1"/>
  <c r="AA133" i="11" s="1"/>
  <c r="W139" i="11"/>
  <c r="Z139" i="11" s="1"/>
  <c r="AA139" i="11" s="1"/>
  <c r="W145" i="11"/>
  <c r="Z145" i="11" s="1"/>
  <c r="AA145" i="11" s="1"/>
  <c r="W151" i="11"/>
  <c r="Z151" i="11" s="1"/>
  <c r="AA151" i="11" s="1"/>
  <c r="W132" i="11"/>
  <c r="Z132" i="11" s="1"/>
  <c r="W138" i="11"/>
  <c r="Z138" i="11" s="1"/>
  <c r="W144" i="11"/>
  <c r="Z144" i="11" s="1"/>
  <c r="W150" i="11"/>
  <c r="Z150" i="11" s="1"/>
  <c r="X131" i="11"/>
  <c r="Y131" i="11" s="1"/>
  <c r="Y132" i="11"/>
  <c r="Y138" i="11"/>
  <c r="Y144" i="11"/>
  <c r="Y150" i="11"/>
  <c r="Y137" i="11"/>
  <c r="Y143" i="11"/>
  <c r="L131" i="11"/>
  <c r="W131" i="11" s="1"/>
  <c r="Z131" i="11" s="1"/>
  <c r="W137" i="11"/>
  <c r="Z137" i="11" s="1"/>
  <c r="AA137" i="11" s="1"/>
  <c r="W143" i="11"/>
  <c r="Z143" i="11" s="1"/>
  <c r="AA143" i="11" s="1"/>
  <c r="W149" i="11"/>
  <c r="Z149" i="11" s="1"/>
  <c r="AA149" i="11" s="1"/>
  <c r="W136" i="11"/>
  <c r="Z136" i="11" s="1"/>
  <c r="W142" i="11"/>
  <c r="Z142" i="11" s="1"/>
  <c r="W148" i="11"/>
  <c r="Z148" i="11" s="1"/>
  <c r="W103" i="11"/>
  <c r="Z103" i="11" s="1"/>
  <c r="W109" i="11"/>
  <c r="Z109" i="11" s="1"/>
  <c r="W117" i="11"/>
  <c r="Z117" i="11" s="1"/>
  <c r="W104" i="11"/>
  <c r="Z104" i="11" s="1"/>
  <c r="W111" i="11"/>
  <c r="Z111" i="11" s="1"/>
  <c r="L101" i="11"/>
  <c r="W101" i="11" s="1"/>
  <c r="Z101" i="11" s="1"/>
  <c r="W105" i="11"/>
  <c r="Z105" i="11" s="1"/>
  <c r="W120" i="11"/>
  <c r="Z120" i="11" s="1"/>
  <c r="AA120" i="11" s="1"/>
  <c r="W121" i="11"/>
  <c r="Z121" i="11" s="1"/>
  <c r="W114" i="11"/>
  <c r="Z114" i="11" s="1"/>
  <c r="AA114" i="11" s="1"/>
  <c r="W115" i="11"/>
  <c r="Z115" i="11" s="1"/>
  <c r="W123" i="11"/>
  <c r="Z123" i="11" s="1"/>
  <c r="AA123" i="11" s="1"/>
  <c r="W102" i="11"/>
  <c r="Z102" i="11" s="1"/>
  <c r="W108" i="11"/>
  <c r="Z108" i="11" s="1"/>
  <c r="AA109" i="11"/>
  <c r="AA111" i="11"/>
  <c r="Y106" i="11"/>
  <c r="Y112" i="11"/>
  <c r="Y118" i="11"/>
  <c r="Y124" i="11"/>
  <c r="AA124" i="11" s="1"/>
  <c r="Y105" i="11"/>
  <c r="Y117" i="11"/>
  <c r="AA117" i="11" s="1"/>
  <c r="Y123" i="11"/>
  <c r="Y111" i="11"/>
  <c r="W110" i="11"/>
  <c r="Z110" i="11" s="1"/>
  <c r="W116" i="11"/>
  <c r="Z116" i="11" s="1"/>
  <c r="W122" i="11"/>
  <c r="Z122" i="11" s="1"/>
  <c r="Y104" i="11"/>
  <c r="AA104" i="11" s="1"/>
  <c r="Y110" i="11"/>
  <c r="Y116" i="11"/>
  <c r="Y122" i="11"/>
  <c r="Y103" i="11"/>
  <c r="AA103" i="11" s="1"/>
  <c r="Y109" i="11"/>
  <c r="Y115" i="11"/>
  <c r="Y121" i="11"/>
  <c r="X101" i="11"/>
  <c r="Y101" i="11" s="1"/>
  <c r="Y102" i="11"/>
  <c r="AA102" i="11" s="1"/>
  <c r="Y120" i="11"/>
  <c r="W107" i="11"/>
  <c r="Z107" i="11" s="1"/>
  <c r="W113" i="11"/>
  <c r="Z113" i="11" s="1"/>
  <c r="W119" i="11"/>
  <c r="Z119" i="11" s="1"/>
  <c r="Y107" i="11"/>
  <c r="Y113" i="11"/>
  <c r="Y119" i="11"/>
  <c r="Y108" i="11"/>
  <c r="AA108" i="11" s="1"/>
  <c r="W106" i="11"/>
  <c r="Z106" i="11" s="1"/>
  <c r="W112" i="11"/>
  <c r="Z112" i="11" s="1"/>
  <c r="W118" i="11"/>
  <c r="Z118" i="11" s="1"/>
  <c r="Z41" i="11"/>
  <c r="W42" i="11"/>
  <c r="Z42" i="11" s="1"/>
  <c r="W43" i="11"/>
  <c r="Z43" i="11" s="1"/>
  <c r="W44" i="11"/>
  <c r="Z44" i="11" s="1"/>
  <c r="W94" i="11"/>
  <c r="Z94" i="11" s="1"/>
  <c r="W89" i="11"/>
  <c r="Z89" i="11" s="1"/>
  <c r="L71" i="11"/>
  <c r="W71" i="11" s="1"/>
  <c r="Z71" i="11" s="1"/>
  <c r="W86" i="11"/>
  <c r="Z86" i="11" s="1"/>
  <c r="W87" i="11"/>
  <c r="Z87" i="11" s="1"/>
  <c r="W84" i="11"/>
  <c r="Z84" i="11" s="1"/>
  <c r="W83" i="11"/>
  <c r="Z83" i="11" s="1"/>
  <c r="W80" i="11"/>
  <c r="Z80" i="11" s="1"/>
  <c r="W81" i="11"/>
  <c r="Z81" i="11" s="1"/>
  <c r="W78" i="11"/>
  <c r="Z78" i="11" s="1"/>
  <c r="AA78" i="11" s="1"/>
  <c r="W77" i="11"/>
  <c r="Z77" i="11" s="1"/>
  <c r="W74" i="11"/>
  <c r="Z74" i="11" s="1"/>
  <c r="W75" i="11"/>
  <c r="Z75" i="11" s="1"/>
  <c r="W72" i="11"/>
  <c r="Z72" i="11" s="1"/>
  <c r="W92" i="11"/>
  <c r="Z92" i="11" s="1"/>
  <c r="W93" i="11"/>
  <c r="Z93" i="11" s="1"/>
  <c r="W90" i="11"/>
  <c r="Z90" i="11" s="1"/>
  <c r="AA92" i="11"/>
  <c r="AA93" i="11"/>
  <c r="AA89" i="11"/>
  <c r="Y76" i="11"/>
  <c r="Y82" i="11"/>
  <c r="Y88" i="11"/>
  <c r="Y94" i="11"/>
  <c r="AA94" i="11" s="1"/>
  <c r="Y93" i="11"/>
  <c r="Y74" i="11"/>
  <c r="Y80" i="11"/>
  <c r="Y86" i="11"/>
  <c r="AA86" i="11" s="1"/>
  <c r="Y92" i="11"/>
  <c r="W73" i="11"/>
  <c r="Z73" i="11" s="1"/>
  <c r="W79" i="11"/>
  <c r="Z79" i="11" s="1"/>
  <c r="W85" i="11"/>
  <c r="Z85" i="11" s="1"/>
  <c r="W91" i="11"/>
  <c r="Z91" i="11" s="1"/>
  <c r="AA91" i="11" s="1"/>
  <c r="Y75" i="11"/>
  <c r="AA75" i="11" s="1"/>
  <c r="Y81" i="11"/>
  <c r="Y87" i="11"/>
  <c r="AA87" i="11" s="1"/>
  <c r="Y73" i="11"/>
  <c r="Y79" i="11"/>
  <c r="Y85" i="11"/>
  <c r="Y91" i="11"/>
  <c r="X71" i="11"/>
  <c r="Y71" i="11" s="1"/>
  <c r="Y72" i="11"/>
  <c r="AA72" i="11" s="1"/>
  <c r="Y78" i="11"/>
  <c r="Y84" i="11"/>
  <c r="AA84" i="11" s="1"/>
  <c r="Y90" i="11"/>
  <c r="AA90" i="11" s="1"/>
  <c r="Y77" i="11"/>
  <c r="Y83" i="11"/>
  <c r="W76" i="11"/>
  <c r="Z76" i="11" s="1"/>
  <c r="W82" i="11"/>
  <c r="Z82" i="11" s="1"/>
  <c r="AA82" i="11" s="1"/>
  <c r="W88" i="11"/>
  <c r="Z88" i="11" s="1"/>
  <c r="AA88" i="11" s="1"/>
  <c r="AA51" i="11"/>
  <c r="AA45" i="11"/>
  <c r="AA61" i="11"/>
  <c r="Y46" i="11"/>
  <c r="AA46" i="11" s="1"/>
  <c r="Y52" i="11"/>
  <c r="AA52" i="11" s="1"/>
  <c r="Y58" i="11"/>
  <c r="AA58" i="11" s="1"/>
  <c r="Y64" i="11"/>
  <c r="AA64" i="11" s="1"/>
  <c r="W63" i="11"/>
  <c r="Z63" i="11" s="1"/>
  <c r="W57" i="11"/>
  <c r="Z57" i="11" s="1"/>
  <c r="Y45" i="11"/>
  <c r="Y51" i="11"/>
  <c r="Y57" i="11"/>
  <c r="Y63" i="11"/>
  <c r="W62" i="11"/>
  <c r="Z62" i="11" s="1"/>
  <c r="W56" i="11"/>
  <c r="Z56" i="11" s="1"/>
  <c r="Y44" i="11"/>
  <c r="AA44" i="11" s="1"/>
  <c r="Y50" i="11"/>
  <c r="AA50" i="11" s="1"/>
  <c r="Y56" i="11"/>
  <c r="Y62" i="11"/>
  <c r="Y43" i="11"/>
  <c r="AA43" i="11" s="1"/>
  <c r="Y49" i="11"/>
  <c r="AA49" i="11" s="1"/>
  <c r="Y55" i="11"/>
  <c r="AA55" i="11" s="1"/>
  <c r="Y61" i="11"/>
  <c r="W60" i="11"/>
  <c r="Z60" i="11" s="1"/>
  <c r="X41" i="11"/>
  <c r="Y41" i="11" s="1"/>
  <c r="Y42" i="11"/>
  <c r="AA42" i="11" s="1"/>
  <c r="Y48" i="11"/>
  <c r="AA48" i="11" s="1"/>
  <c r="Y54" i="11"/>
  <c r="AA54" i="11" s="1"/>
  <c r="Y60" i="11"/>
  <c r="W59" i="11"/>
  <c r="Z59" i="11" s="1"/>
  <c r="AA59" i="11" s="1"/>
  <c r="Y47" i="11"/>
  <c r="AA47" i="11" s="1"/>
  <c r="Y53" i="11"/>
  <c r="AA53" i="11" s="1"/>
  <c r="AD214" i="11" l="1"/>
  <c r="AB214" i="11"/>
  <c r="AA191" i="11"/>
  <c r="AA200" i="11"/>
  <c r="AB200" i="11" s="1"/>
  <c r="AA203" i="11"/>
  <c r="AA194" i="11"/>
  <c r="AB194" i="11" s="1"/>
  <c r="AA197" i="11"/>
  <c r="AD197" i="11" s="1"/>
  <c r="AA211" i="11"/>
  <c r="AD211" i="11" s="1"/>
  <c r="AB207" i="11"/>
  <c r="AA192" i="11"/>
  <c r="AD192" i="11" s="1"/>
  <c r="AA205" i="11"/>
  <c r="AD205" i="11" s="1"/>
  <c r="AA183" i="11"/>
  <c r="AA177" i="11"/>
  <c r="AA169" i="11"/>
  <c r="AA161" i="11"/>
  <c r="AA179" i="11"/>
  <c r="AD179" i="11" s="1"/>
  <c r="AA171" i="11"/>
  <c r="AA173" i="11"/>
  <c r="AA148" i="11"/>
  <c r="AA138" i="11"/>
  <c r="AA132" i="11"/>
  <c r="AD132" i="11" s="1"/>
  <c r="AA152" i="11"/>
  <c r="AB152" i="11" s="1"/>
  <c r="AA142" i="11"/>
  <c r="AA140" i="11"/>
  <c r="AA131" i="11"/>
  <c r="AD131" i="11" s="1"/>
  <c r="AA147" i="11"/>
  <c r="AD147" i="11" s="1"/>
  <c r="AA136" i="11"/>
  <c r="AD136" i="11" s="1"/>
  <c r="AA144" i="11"/>
  <c r="AA134" i="11"/>
  <c r="AB134" i="11" s="1"/>
  <c r="AB203" i="11"/>
  <c r="AD203" i="11"/>
  <c r="AB211" i="11"/>
  <c r="AB205" i="11"/>
  <c r="AD200" i="11"/>
  <c r="AH213" i="11"/>
  <c r="AG213" i="11"/>
  <c r="AI213" i="11" s="1"/>
  <c r="AJ213" i="11" s="1"/>
  <c r="AA204" i="11"/>
  <c r="AA193" i="11"/>
  <c r="AD208" i="11"/>
  <c r="AB208" i="11"/>
  <c r="AB198" i="11"/>
  <c r="AD198" i="11"/>
  <c r="AH195" i="11"/>
  <c r="AG195" i="11"/>
  <c r="AI195" i="11" s="1"/>
  <c r="AJ195" i="11" s="1"/>
  <c r="AD194" i="11"/>
  <c r="AA199" i="11"/>
  <c r="AD202" i="11"/>
  <c r="AB202" i="11"/>
  <c r="AA210" i="11"/>
  <c r="AD196" i="11"/>
  <c r="AB196" i="11"/>
  <c r="AB191" i="11"/>
  <c r="AD191" i="11"/>
  <c r="AH201" i="11"/>
  <c r="AG201" i="11"/>
  <c r="AH207" i="11"/>
  <c r="AG207" i="11"/>
  <c r="AI207" i="11" s="1"/>
  <c r="AJ207" i="11" s="1"/>
  <c r="AA212" i="11"/>
  <c r="AB209" i="11"/>
  <c r="AD209" i="11"/>
  <c r="AA206" i="11"/>
  <c r="AH214" i="11"/>
  <c r="AG214" i="11"/>
  <c r="AI214" i="11" s="1"/>
  <c r="AJ214" i="11" s="1"/>
  <c r="AD184" i="11"/>
  <c r="AB184" i="11"/>
  <c r="AB178" i="11"/>
  <c r="AD178" i="11"/>
  <c r="AD161" i="11"/>
  <c r="AB161" i="11"/>
  <c r="AA167" i="11"/>
  <c r="AD183" i="11"/>
  <c r="AB183" i="11"/>
  <c r="AD169" i="11"/>
  <c r="AB169" i="11"/>
  <c r="AA176" i="11"/>
  <c r="AD175" i="11"/>
  <c r="AB175" i="11"/>
  <c r="AA170" i="11"/>
  <c r="AD172" i="11"/>
  <c r="AB172" i="11"/>
  <c r="AB166" i="11"/>
  <c r="AD166" i="11"/>
  <c r="AD163" i="11"/>
  <c r="AB163" i="11"/>
  <c r="AD173" i="11"/>
  <c r="AB173" i="11"/>
  <c r="AD164" i="11"/>
  <c r="AB164" i="11"/>
  <c r="AA180" i="11"/>
  <c r="AD177" i="11"/>
  <c r="AB177" i="11"/>
  <c r="AD171" i="11"/>
  <c r="AB171" i="11"/>
  <c r="AA165" i="11"/>
  <c r="AA174" i="11"/>
  <c r="AA182" i="11"/>
  <c r="AB162" i="11"/>
  <c r="AD162" i="11"/>
  <c r="AD181" i="11"/>
  <c r="AB181" i="11"/>
  <c r="AA168" i="11"/>
  <c r="AD154" i="11"/>
  <c r="AB154" i="11"/>
  <c r="AD152" i="11"/>
  <c r="AD139" i="11"/>
  <c r="AB139" i="11"/>
  <c r="AD141" i="11"/>
  <c r="AB141" i="11"/>
  <c r="AD133" i="11"/>
  <c r="AB133" i="11"/>
  <c r="AD135" i="11"/>
  <c r="AB135" i="11"/>
  <c r="AD149" i="11"/>
  <c r="AB149" i="11"/>
  <c r="AB132" i="11"/>
  <c r="AB138" i="11"/>
  <c r="AD138" i="11"/>
  <c r="AD140" i="11"/>
  <c r="AB140" i="11"/>
  <c r="AD143" i="11"/>
  <c r="AB143" i="11"/>
  <c r="AD137" i="11"/>
  <c r="AB137" i="11"/>
  <c r="AD145" i="11"/>
  <c r="AB145" i="11"/>
  <c r="AD148" i="11"/>
  <c r="AB148" i="11"/>
  <c r="AD153" i="11"/>
  <c r="AB153" i="11"/>
  <c r="AD142" i="11"/>
  <c r="AB142" i="11"/>
  <c r="AB144" i="11"/>
  <c r="AD144" i="11"/>
  <c r="AD134" i="11"/>
  <c r="AD151" i="11"/>
  <c r="AB151" i="11"/>
  <c r="AA150" i="11"/>
  <c r="AA146" i="11"/>
  <c r="AA110" i="11"/>
  <c r="AA118" i="11"/>
  <c r="AA101" i="11"/>
  <c r="AA112" i="11"/>
  <c r="AA121" i="11"/>
  <c r="AD121" i="11" s="1"/>
  <c r="AA106" i="11"/>
  <c r="AD106" i="11" s="1"/>
  <c r="AA115" i="11"/>
  <c r="AA105" i="11"/>
  <c r="AD105" i="11" s="1"/>
  <c r="AD115" i="11"/>
  <c r="AB115" i="11"/>
  <c r="AB108" i="11"/>
  <c r="AD108" i="11"/>
  <c r="AD124" i="11"/>
  <c r="AB124" i="11"/>
  <c r="AD104" i="11"/>
  <c r="AB104" i="11"/>
  <c r="AD117" i="11"/>
  <c r="AB117" i="11"/>
  <c r="AB102" i="11"/>
  <c r="AD102" i="11"/>
  <c r="AD101" i="11"/>
  <c r="AB101" i="11"/>
  <c r="AD103" i="11"/>
  <c r="AB103" i="11"/>
  <c r="AD118" i="11"/>
  <c r="AB118" i="11"/>
  <c r="AD112" i="11"/>
  <c r="AB112" i="11"/>
  <c r="AD110" i="11"/>
  <c r="AB110" i="11"/>
  <c r="AD109" i="11"/>
  <c r="AB109" i="11"/>
  <c r="AA119" i="11"/>
  <c r="AA113" i="11"/>
  <c r="AB114" i="11"/>
  <c r="AD114" i="11"/>
  <c r="AB120" i="11"/>
  <c r="AD120" i="11"/>
  <c r="AA107" i="11"/>
  <c r="AA122" i="11"/>
  <c r="AD111" i="11"/>
  <c r="AB111" i="11"/>
  <c r="AD123" i="11"/>
  <c r="AB123" i="11"/>
  <c r="AA116" i="11"/>
  <c r="AA57" i="11"/>
  <c r="AA63" i="11"/>
  <c r="AA41" i="11"/>
  <c r="AA71" i="11"/>
  <c r="AD71" i="11" s="1"/>
  <c r="AA80" i="11"/>
  <c r="AA74" i="11"/>
  <c r="AA76" i="11"/>
  <c r="AA83" i="11"/>
  <c r="AB83" i="11" s="1"/>
  <c r="AA81" i="11"/>
  <c r="AA77" i="11"/>
  <c r="AD77" i="11" s="1"/>
  <c r="AD87" i="11"/>
  <c r="AB87" i="11"/>
  <c r="AD81" i="11"/>
  <c r="AB81" i="11"/>
  <c r="AB74" i="11"/>
  <c r="AD74" i="11"/>
  <c r="AD94" i="11"/>
  <c r="AB94" i="11"/>
  <c r="AD83" i="11"/>
  <c r="AB75" i="11"/>
  <c r="AD75" i="11"/>
  <c r="AB90" i="11"/>
  <c r="AD90" i="11"/>
  <c r="AB84" i="11"/>
  <c r="AD84" i="11"/>
  <c r="AB80" i="11"/>
  <c r="AD80" i="11"/>
  <c r="AB72" i="11"/>
  <c r="AD72" i="11"/>
  <c r="AD76" i="11"/>
  <c r="AB76" i="11"/>
  <c r="AD89" i="11"/>
  <c r="AB89" i="11"/>
  <c r="AD82" i="11"/>
  <c r="AB82" i="11"/>
  <c r="AD91" i="11"/>
  <c r="AB91" i="11"/>
  <c r="AD88" i="11"/>
  <c r="AB88" i="11"/>
  <c r="AB78" i="11"/>
  <c r="AD78" i="11"/>
  <c r="AA73" i="11"/>
  <c r="AD93" i="11"/>
  <c r="AB93" i="11"/>
  <c r="AD92" i="11"/>
  <c r="AB92" i="11"/>
  <c r="AA85" i="11"/>
  <c r="AA79" i="11"/>
  <c r="AD86" i="11"/>
  <c r="AB86" i="11"/>
  <c r="AB49" i="11"/>
  <c r="AD49" i="11"/>
  <c r="AB43" i="11"/>
  <c r="AD43" i="11"/>
  <c r="AD47" i="11"/>
  <c r="AB47" i="11"/>
  <c r="AD64" i="11"/>
  <c r="AB64" i="11"/>
  <c r="AD58" i="11"/>
  <c r="AB58" i="11"/>
  <c r="AD50" i="11"/>
  <c r="AB50" i="11"/>
  <c r="AB54" i="11"/>
  <c r="AD54" i="11"/>
  <c r="AB42" i="11"/>
  <c r="AD42" i="11"/>
  <c r="AD53" i="11"/>
  <c r="AB53" i="11"/>
  <c r="AD52" i="11"/>
  <c r="AB52" i="11"/>
  <c r="AB48" i="11"/>
  <c r="AD48" i="11"/>
  <c r="AB55" i="11"/>
  <c r="AD55" i="11"/>
  <c r="AD57" i="11"/>
  <c r="AB57" i="11"/>
  <c r="AD46" i="11"/>
  <c r="AB46" i="11"/>
  <c r="AD63" i="11"/>
  <c r="AB63" i="11"/>
  <c r="AD41" i="11"/>
  <c r="AB41" i="11"/>
  <c r="AD61" i="11"/>
  <c r="AB61" i="11"/>
  <c r="AA62" i="11"/>
  <c r="AD45" i="11"/>
  <c r="AB45" i="11"/>
  <c r="AD44" i="11"/>
  <c r="AB44" i="11"/>
  <c r="AD59" i="11"/>
  <c r="AB59" i="11"/>
  <c r="AA56" i="11"/>
  <c r="AD51" i="11"/>
  <c r="AB51" i="11"/>
  <c r="AA60" i="11"/>
  <c r="AB192" i="11" l="1"/>
  <c r="AB197" i="11"/>
  <c r="AI201" i="11"/>
  <c r="AJ201" i="11" s="1"/>
  <c r="AB179" i="11"/>
  <c r="AB147" i="11"/>
  <c r="AB136" i="11"/>
  <c r="AB131" i="11"/>
  <c r="AG194" i="11"/>
  <c r="AH194" i="11"/>
  <c r="AD199" i="11"/>
  <c r="AB199" i="11"/>
  <c r="AH197" i="11"/>
  <c r="AG197" i="11"/>
  <c r="AG205" i="11"/>
  <c r="AH205" i="11"/>
  <c r="AD206" i="11"/>
  <c r="AB206" i="11"/>
  <c r="AH198" i="11"/>
  <c r="AG198" i="11"/>
  <c r="AD193" i="11"/>
  <c r="AB193" i="11"/>
  <c r="AG200" i="11"/>
  <c r="AH200" i="11"/>
  <c r="AG211" i="11"/>
  <c r="AH211" i="11"/>
  <c r="AH202" i="11"/>
  <c r="AG202" i="11"/>
  <c r="AH191" i="11"/>
  <c r="AG191" i="11"/>
  <c r="AH196" i="11"/>
  <c r="AG196" i="11"/>
  <c r="AB210" i="11"/>
  <c r="AD210" i="11"/>
  <c r="AH203" i="11"/>
  <c r="AG203" i="11"/>
  <c r="AB204" i="11"/>
  <c r="AD204" i="11"/>
  <c r="AH209" i="11"/>
  <c r="AG209" i="11"/>
  <c r="AD212" i="11"/>
  <c r="AB212" i="11"/>
  <c r="AH192" i="11"/>
  <c r="AG192" i="11"/>
  <c r="AH208" i="11"/>
  <c r="AG208" i="11"/>
  <c r="AI208" i="11" s="1"/>
  <c r="AJ208" i="11" s="1"/>
  <c r="AG181" i="11"/>
  <c r="AH181" i="11"/>
  <c r="AB174" i="11"/>
  <c r="AD174" i="11"/>
  <c r="AH166" i="11"/>
  <c r="AG166" i="11"/>
  <c r="AI166" i="11" s="1"/>
  <c r="AJ166" i="11" s="1"/>
  <c r="AH171" i="11"/>
  <c r="AG171" i="11"/>
  <c r="AI171" i="11" s="1"/>
  <c r="AJ171" i="11" s="1"/>
  <c r="AG161" i="11"/>
  <c r="AH161" i="11"/>
  <c r="AH162" i="11"/>
  <c r="AG162" i="11"/>
  <c r="AI162" i="11" s="1"/>
  <c r="AJ162" i="11" s="1"/>
  <c r="AD182" i="11"/>
  <c r="AB182" i="11"/>
  <c r="AD167" i="11"/>
  <c r="AB167" i="11"/>
  <c r="AB168" i="11"/>
  <c r="AD168" i="11"/>
  <c r="AH172" i="11"/>
  <c r="AG172" i="11"/>
  <c r="AI172" i="11" s="1"/>
  <c r="AJ172" i="11" s="1"/>
  <c r="AH178" i="11"/>
  <c r="AG178" i="11"/>
  <c r="AI178" i="11" s="1"/>
  <c r="AJ178" i="11" s="1"/>
  <c r="AH177" i="11"/>
  <c r="AG177" i="11"/>
  <c r="AI177" i="11" s="1"/>
  <c r="AJ177" i="11" s="1"/>
  <c r="AD170" i="11"/>
  <c r="AB170" i="11"/>
  <c r="AH164" i="11"/>
  <c r="AG164" i="11"/>
  <c r="AH169" i="11"/>
  <c r="AG169" i="11"/>
  <c r="AI169" i="11" s="1"/>
  <c r="AJ169" i="11" s="1"/>
  <c r="AH183" i="11"/>
  <c r="AG183" i="11"/>
  <c r="AD165" i="11"/>
  <c r="AB165" i="11"/>
  <c r="AG179" i="11"/>
  <c r="AH179" i="11"/>
  <c r="AB180" i="11"/>
  <c r="AD180" i="11"/>
  <c r="AD176" i="11"/>
  <c r="AB176" i="11"/>
  <c r="AG173" i="11"/>
  <c r="AH173" i="11"/>
  <c r="AH163" i="11"/>
  <c r="AG163" i="11"/>
  <c r="AH175" i="11"/>
  <c r="AG175" i="11"/>
  <c r="AI175" i="11" s="1"/>
  <c r="AJ175" i="11" s="1"/>
  <c r="AH184" i="11"/>
  <c r="AG184" i="11"/>
  <c r="AI184" i="11" s="1"/>
  <c r="AJ184" i="11" s="1"/>
  <c r="AH135" i="11"/>
  <c r="AG135" i="11"/>
  <c r="AH138" i="11"/>
  <c r="AG138" i="11"/>
  <c r="AH142" i="11"/>
  <c r="AG142" i="11"/>
  <c r="AI142" i="11" s="1"/>
  <c r="AJ142" i="11" s="1"/>
  <c r="AD146" i="11"/>
  <c r="AB146" i="11"/>
  <c r="AH131" i="11"/>
  <c r="AG131" i="11"/>
  <c r="AI131" i="11" s="1"/>
  <c r="AJ131" i="11" s="1"/>
  <c r="AH151" i="11"/>
  <c r="AG151" i="11"/>
  <c r="AH139" i="11"/>
  <c r="AG139" i="11"/>
  <c r="AG143" i="11"/>
  <c r="AH143" i="11"/>
  <c r="AB150" i="11"/>
  <c r="AD150" i="11"/>
  <c r="AH132" i="11"/>
  <c r="AG132" i="11"/>
  <c r="AH147" i="11"/>
  <c r="AG147" i="11"/>
  <c r="AI147" i="11" s="1"/>
  <c r="AJ147" i="11" s="1"/>
  <c r="AH153" i="11"/>
  <c r="AG153" i="11"/>
  <c r="AH134" i="11"/>
  <c r="AG134" i="11"/>
  <c r="AH152" i="11"/>
  <c r="AG152" i="11"/>
  <c r="AH140" i="11"/>
  <c r="AG140" i="11"/>
  <c r="AI140" i="11" s="1"/>
  <c r="AJ140" i="11" s="1"/>
  <c r="AH141" i="11"/>
  <c r="AG141" i="11"/>
  <c r="AH144" i="11"/>
  <c r="AG144" i="11"/>
  <c r="AI144" i="11" s="1"/>
  <c r="AJ144" i="11" s="1"/>
  <c r="AH133" i="11"/>
  <c r="AG133" i="11"/>
  <c r="AH136" i="11"/>
  <c r="AG136" i="11"/>
  <c r="AH148" i="11"/>
  <c r="AG148" i="11"/>
  <c r="AH145" i="11"/>
  <c r="AG145" i="11"/>
  <c r="AI145" i="11" s="1"/>
  <c r="AJ145" i="11" s="1"/>
  <c r="AG137" i="11"/>
  <c r="AH137" i="11"/>
  <c r="AG149" i="11"/>
  <c r="AH149" i="11"/>
  <c r="AH154" i="11"/>
  <c r="AG154" i="11"/>
  <c r="AB105" i="11"/>
  <c r="AB106" i="11"/>
  <c r="AB121" i="11"/>
  <c r="AH120" i="11"/>
  <c r="AG120" i="11"/>
  <c r="AH114" i="11"/>
  <c r="AG114" i="11"/>
  <c r="AG112" i="11"/>
  <c r="AH112" i="11"/>
  <c r="AH105" i="11"/>
  <c r="AG105" i="11"/>
  <c r="AH117" i="11"/>
  <c r="AG117" i="11"/>
  <c r="AG106" i="11"/>
  <c r="AH106" i="11"/>
  <c r="AG118" i="11"/>
  <c r="AH118" i="11"/>
  <c r="AD113" i="11"/>
  <c r="AB113" i="11"/>
  <c r="AH108" i="11"/>
  <c r="AG108" i="11"/>
  <c r="AD119" i="11"/>
  <c r="AB119" i="11"/>
  <c r="AH104" i="11"/>
  <c r="AG104" i="11"/>
  <c r="AH123" i="11"/>
  <c r="AG123" i="11"/>
  <c r="AH121" i="11"/>
  <c r="AG121" i="11"/>
  <c r="AI121" i="11" s="1"/>
  <c r="AJ121" i="11" s="1"/>
  <c r="AH109" i="11"/>
  <c r="AG109" i="11"/>
  <c r="AD122" i="11"/>
  <c r="AB122" i="11"/>
  <c r="AH102" i="11"/>
  <c r="AG102" i="11"/>
  <c r="AD116" i="11"/>
  <c r="AB116" i="11"/>
  <c r="AH103" i="11"/>
  <c r="AG103" i="11"/>
  <c r="AH124" i="11"/>
  <c r="AG124" i="11"/>
  <c r="AI124" i="11" s="1"/>
  <c r="AJ124" i="11" s="1"/>
  <c r="AH111" i="11"/>
  <c r="AG111" i="11"/>
  <c r="AH101" i="11"/>
  <c r="AG101" i="11"/>
  <c r="AD107" i="11"/>
  <c r="AB107" i="11"/>
  <c r="AH110" i="11"/>
  <c r="AG110" i="11"/>
  <c r="AH115" i="11"/>
  <c r="AG115" i="11"/>
  <c r="AB71" i="11"/>
  <c r="AB77" i="11"/>
  <c r="AH78" i="11"/>
  <c r="AG78" i="11"/>
  <c r="AH72" i="11"/>
  <c r="AG72" i="11"/>
  <c r="AI72" i="11" s="1"/>
  <c r="AJ72" i="11" s="1"/>
  <c r="AH80" i="11"/>
  <c r="AG80" i="11"/>
  <c r="AI80" i="11" s="1"/>
  <c r="AJ80" i="11" s="1"/>
  <c r="AG86" i="11"/>
  <c r="AH86" i="11"/>
  <c r="AH91" i="11"/>
  <c r="AG91" i="11"/>
  <c r="AH94" i="11"/>
  <c r="AG94" i="11"/>
  <c r="AD85" i="11"/>
  <c r="AB85" i="11"/>
  <c r="AH84" i="11"/>
  <c r="AG84" i="11"/>
  <c r="AI84" i="11" s="1"/>
  <c r="AJ84" i="11" s="1"/>
  <c r="AH82" i="11"/>
  <c r="AG82" i="11"/>
  <c r="AI82" i="11" s="1"/>
  <c r="AJ82" i="11" s="1"/>
  <c r="AH90" i="11"/>
  <c r="AG90" i="11"/>
  <c r="AI90" i="11" s="1"/>
  <c r="AJ90" i="11" s="1"/>
  <c r="AH93" i="11"/>
  <c r="AG93" i="11"/>
  <c r="AG77" i="11"/>
  <c r="AH77" i="11"/>
  <c r="AH83" i="11"/>
  <c r="AG83" i="11"/>
  <c r="AH88" i="11"/>
  <c r="AG88" i="11"/>
  <c r="AI88" i="11" s="1"/>
  <c r="AJ88" i="11" s="1"/>
  <c r="AD79" i="11"/>
  <c r="AB79" i="11"/>
  <c r="AH71" i="11"/>
  <c r="AG71" i="11"/>
  <c r="AH74" i="11"/>
  <c r="AG74" i="11"/>
  <c r="AH92" i="11"/>
  <c r="AG92" i="11"/>
  <c r="AH89" i="11"/>
  <c r="AG89" i="11"/>
  <c r="AH81" i="11"/>
  <c r="AG81" i="11"/>
  <c r="AI81" i="11" s="1"/>
  <c r="AJ81" i="11" s="1"/>
  <c r="AH75" i="11"/>
  <c r="AG75" i="11"/>
  <c r="AD73" i="11"/>
  <c r="AB73" i="11"/>
  <c r="AH76" i="11"/>
  <c r="AG76" i="11"/>
  <c r="AH87" i="11"/>
  <c r="AG87" i="11"/>
  <c r="AH55" i="11"/>
  <c r="AG55" i="11"/>
  <c r="AH50" i="11"/>
  <c r="AG50" i="11"/>
  <c r="AH48" i="11"/>
  <c r="AG48" i="11"/>
  <c r="AH61" i="11"/>
  <c r="AG61" i="11"/>
  <c r="AG51" i="11"/>
  <c r="AH51" i="11"/>
  <c r="AH52" i="11"/>
  <c r="AG52" i="11"/>
  <c r="AD56" i="11"/>
  <c r="AB56" i="11"/>
  <c r="AH63" i="11"/>
  <c r="AG63" i="11"/>
  <c r="AH47" i="11"/>
  <c r="AG47" i="11"/>
  <c r="AH43" i="11"/>
  <c r="AG43" i="11"/>
  <c r="AH44" i="11"/>
  <c r="AG44" i="11"/>
  <c r="AH54" i="11"/>
  <c r="AG54" i="11"/>
  <c r="AH49" i="11"/>
  <c r="AG49" i="11"/>
  <c r="AG45" i="11"/>
  <c r="AH45" i="11"/>
  <c r="AD62" i="11"/>
  <c r="AB62" i="11"/>
  <c r="AB60" i="11"/>
  <c r="AD60" i="11"/>
  <c r="AH58" i="11"/>
  <c r="AG58" i="11"/>
  <c r="AH41" i="11"/>
  <c r="AG41" i="11"/>
  <c r="AH64" i="11"/>
  <c r="AG64" i="11"/>
  <c r="AH53" i="11"/>
  <c r="AG53" i="11"/>
  <c r="AH59" i="11"/>
  <c r="AG59" i="11"/>
  <c r="AI59" i="11" s="1"/>
  <c r="AJ59" i="11" s="1"/>
  <c r="AH42" i="11"/>
  <c r="AG42" i="11"/>
  <c r="AH46" i="11"/>
  <c r="AG46" i="11"/>
  <c r="AG57" i="11"/>
  <c r="AH57" i="11"/>
  <c r="O12" i="11"/>
  <c r="O13" i="11"/>
  <c r="O14" i="11"/>
  <c r="N14" i="11" s="1"/>
  <c r="O15" i="11"/>
  <c r="N15" i="11" s="1"/>
  <c r="O16" i="11"/>
  <c r="N16" i="11" s="1"/>
  <c r="O17" i="11"/>
  <c r="N17" i="11" s="1"/>
  <c r="O18" i="11"/>
  <c r="N18" i="11" s="1"/>
  <c r="O19" i="11"/>
  <c r="N19" i="11" s="1"/>
  <c r="O20" i="11"/>
  <c r="O21" i="11"/>
  <c r="N21" i="11" s="1"/>
  <c r="O22" i="11"/>
  <c r="N22" i="11" s="1"/>
  <c r="O23" i="11"/>
  <c r="O24" i="11"/>
  <c r="N24" i="11" s="1"/>
  <c r="O25" i="11"/>
  <c r="N25" i="11" s="1"/>
  <c r="O26" i="11"/>
  <c r="O27" i="11"/>
  <c r="N27" i="11" s="1"/>
  <c r="O28" i="11"/>
  <c r="N28" i="11" s="1"/>
  <c r="O29" i="11"/>
  <c r="N29" i="11" s="1"/>
  <c r="O30" i="11"/>
  <c r="N30" i="11" s="1"/>
  <c r="O31" i="11"/>
  <c r="N31" i="11" s="1"/>
  <c r="O32" i="11"/>
  <c r="O33" i="11"/>
  <c r="N33" i="11" s="1"/>
  <c r="O34" i="11"/>
  <c r="N34" i="11" s="1"/>
  <c r="O11" i="11"/>
  <c r="X11" i="11" a="1"/>
  <c r="X11" i="11" s="1"/>
  <c r="M11" i="11" a="1"/>
  <c r="M11" i="11" s="1"/>
  <c r="L11" i="11" a="1"/>
  <c r="L11" i="11" s="1"/>
  <c r="W11" i="11" s="1"/>
  <c r="K11" i="11" a="1"/>
  <c r="K11" i="11" s="1"/>
  <c r="AW176" i="12" a="1"/>
  <c r="AW176" i="12" s="1"/>
  <c r="AW174" i="12" a="1"/>
  <c r="AW174" i="12" s="1"/>
  <c r="AW173" i="12" a="1"/>
  <c r="AW173" i="12" s="1"/>
  <c r="AW172" i="12" a="1"/>
  <c r="AW172" i="12" s="1"/>
  <c r="AW156" i="12"/>
  <c r="AW156" i="12" a="1"/>
  <c r="AW130" i="12" a="1"/>
  <c r="AW130" i="12" s="1"/>
  <c r="AZ34" i="12"/>
  <c r="AY34" i="12"/>
  <c r="AW34" i="12"/>
  <c r="AP34" i="12"/>
  <c r="AO34" i="12"/>
  <c r="AM34" i="12"/>
  <c r="AJ34" i="12"/>
  <c r="AC34" i="12"/>
  <c r="AD34" i="12" s="1"/>
  <c r="AB34" i="12"/>
  <c r="AA34" i="12"/>
  <c r="Z34" i="12"/>
  <c r="Y34" i="12"/>
  <c r="X34" i="12"/>
  <c r="W34" i="12"/>
  <c r="V34" i="12"/>
  <c r="U34" i="12"/>
  <c r="T34" i="12" s="1"/>
  <c r="O34" i="12"/>
  <c r="AZ33" i="12"/>
  <c r="AY33" i="12"/>
  <c r="AW33" i="12"/>
  <c r="AO33" i="12"/>
  <c r="AP33" i="12" s="1"/>
  <c r="AM33" i="12"/>
  <c r="AJ33" i="12"/>
  <c r="AD33" i="12"/>
  <c r="AC33" i="12"/>
  <c r="AB33" i="12"/>
  <c r="AA33" i="12"/>
  <c r="Z33" i="12"/>
  <c r="Y33" i="12"/>
  <c r="X33" i="12"/>
  <c r="W33" i="12"/>
  <c r="V33" i="12"/>
  <c r="U33" i="12"/>
  <c r="T33" i="12" s="1"/>
  <c r="O33" i="12"/>
  <c r="AZ32" i="12"/>
  <c r="AY32" i="12"/>
  <c r="AW32" i="12"/>
  <c r="AO32" i="12"/>
  <c r="AN32" i="12"/>
  <c r="AM32" i="12"/>
  <c r="AJ32" i="12"/>
  <c r="AC32" i="12"/>
  <c r="AD32" i="12" s="1"/>
  <c r="AB32" i="12"/>
  <c r="AA32" i="12"/>
  <c r="Z32" i="12"/>
  <c r="Y32" i="12"/>
  <c r="X32" i="12"/>
  <c r="W32" i="12"/>
  <c r="V32" i="12"/>
  <c r="U32" i="12"/>
  <c r="T32" i="12"/>
  <c r="O32" i="12"/>
  <c r="K32" i="12"/>
  <c r="K33" i="12" s="1"/>
  <c r="K34" i="12" s="1"/>
  <c r="J32" i="12"/>
  <c r="J33" i="12" s="1"/>
  <c r="AZ31" i="12"/>
  <c r="AY31" i="12"/>
  <c r="AW31" i="12"/>
  <c r="AP31" i="12"/>
  <c r="AO31" i="12"/>
  <c r="AM31" i="12"/>
  <c r="AJ31" i="12"/>
  <c r="AE31" i="12"/>
  <c r="AC31" i="12"/>
  <c r="AD31" i="12" s="1"/>
  <c r="AB31" i="12"/>
  <c r="AA31" i="12"/>
  <c r="Z31" i="12"/>
  <c r="Y31" i="12"/>
  <c r="X31" i="12"/>
  <c r="W31" i="12"/>
  <c r="V31" i="12"/>
  <c r="U31" i="12"/>
  <c r="T31" i="12"/>
  <c r="O31" i="12"/>
  <c r="AZ30" i="12"/>
  <c r="AY30" i="12"/>
  <c r="AW30" i="12"/>
  <c r="AQ30" i="12"/>
  <c r="AP30" i="12"/>
  <c r="AO30" i="12"/>
  <c r="AM30" i="12"/>
  <c r="AJ30" i="12"/>
  <c r="AC30" i="12"/>
  <c r="AD30" i="12" s="1"/>
  <c r="AB30" i="12"/>
  <c r="AA30" i="12"/>
  <c r="Z30" i="12"/>
  <c r="Y30" i="12"/>
  <c r="X30" i="12"/>
  <c r="W30" i="12"/>
  <c r="V30" i="12"/>
  <c r="U30" i="12"/>
  <c r="T30" i="12"/>
  <c r="O30" i="12"/>
  <c r="AZ29" i="12"/>
  <c r="AY29" i="12"/>
  <c r="AW29" i="12"/>
  <c r="AQ29" i="12"/>
  <c r="AO29" i="12"/>
  <c r="AM29" i="12"/>
  <c r="AJ29" i="12"/>
  <c r="AD29" i="12"/>
  <c r="AC29" i="12"/>
  <c r="AP29" i="12" s="1"/>
  <c r="AB29" i="12"/>
  <c r="AA29" i="12"/>
  <c r="Z29" i="12"/>
  <c r="Y29" i="12"/>
  <c r="X29" i="12"/>
  <c r="W29" i="12"/>
  <c r="V29" i="12"/>
  <c r="U29" i="12"/>
  <c r="T29" i="12" s="1"/>
  <c r="O29" i="12"/>
  <c r="K29" i="12"/>
  <c r="K30" i="12" s="1"/>
  <c r="J29" i="12"/>
  <c r="J30" i="12" s="1"/>
  <c r="AE30" i="12" s="1"/>
  <c r="AZ28" i="12"/>
  <c r="AY28" i="12"/>
  <c r="AW28" i="12"/>
  <c r="AO28" i="12"/>
  <c r="AM28" i="12"/>
  <c r="AJ28" i="12"/>
  <c r="AE28" i="12"/>
  <c r="AC28" i="12"/>
  <c r="AP28" i="12" s="1"/>
  <c r="AB28" i="12"/>
  <c r="AA28" i="12"/>
  <c r="Z28" i="12"/>
  <c r="Y28" i="12"/>
  <c r="X28" i="12"/>
  <c r="W28" i="12"/>
  <c r="V28" i="12"/>
  <c r="U28" i="12"/>
  <c r="T28" i="12"/>
  <c r="O28" i="12"/>
  <c r="K28" i="12"/>
  <c r="J28" i="12"/>
  <c r="AZ27" i="12"/>
  <c r="AY27" i="12"/>
  <c r="AW27" i="12"/>
  <c r="AP27" i="12"/>
  <c r="AO27" i="12"/>
  <c r="AM27" i="12"/>
  <c r="AJ27" i="12"/>
  <c r="AE27" i="12"/>
  <c r="AC27" i="12"/>
  <c r="AD27" i="12" s="1"/>
  <c r="AB27" i="12"/>
  <c r="AA27" i="12"/>
  <c r="Z27" i="12"/>
  <c r="Y27" i="12"/>
  <c r="X27" i="12"/>
  <c r="W27" i="12"/>
  <c r="V27" i="12"/>
  <c r="U27" i="12"/>
  <c r="T27" i="12" s="1"/>
  <c r="O27" i="12"/>
  <c r="AZ26" i="12"/>
  <c r="AY26" i="12"/>
  <c r="AW26" i="12"/>
  <c r="AP26" i="12"/>
  <c r="AO26" i="12"/>
  <c r="AM26" i="12"/>
  <c r="AJ26" i="12"/>
  <c r="AC26" i="12"/>
  <c r="AD26" i="12" s="1"/>
  <c r="AB26" i="12"/>
  <c r="AA26" i="12"/>
  <c r="Z26" i="12"/>
  <c r="Y26" i="12"/>
  <c r="X26" i="12"/>
  <c r="W26" i="12"/>
  <c r="V26" i="12"/>
  <c r="U26" i="12"/>
  <c r="T26" i="12" s="1"/>
  <c r="O26" i="12"/>
  <c r="AZ25" i="12"/>
  <c r="AY25" i="12"/>
  <c r="AW25" i="12"/>
  <c r="AO25" i="12"/>
  <c r="AP25" i="12" s="1"/>
  <c r="AM25" i="12"/>
  <c r="AJ25" i="12"/>
  <c r="AD25" i="12"/>
  <c r="AC25" i="12"/>
  <c r="AB25" i="12"/>
  <c r="AA25" i="12"/>
  <c r="Z25" i="12"/>
  <c r="Y25" i="12"/>
  <c r="X25" i="12"/>
  <c r="W25" i="12"/>
  <c r="V25" i="12"/>
  <c r="U25" i="12"/>
  <c r="T25" i="12" s="1"/>
  <c r="O25" i="12"/>
  <c r="AZ24" i="12"/>
  <c r="AY24" i="12"/>
  <c r="AW24" i="12"/>
  <c r="AO24" i="12"/>
  <c r="AN24" i="12"/>
  <c r="AM24" i="12"/>
  <c r="AJ24" i="12"/>
  <c r="AC24" i="12"/>
  <c r="AD24" i="12" s="1"/>
  <c r="AB24" i="12"/>
  <c r="AA24" i="12"/>
  <c r="Z24" i="12"/>
  <c r="Y24" i="12"/>
  <c r="X24" i="12"/>
  <c r="W24" i="12"/>
  <c r="V24" i="12"/>
  <c r="U24" i="12"/>
  <c r="T24" i="12"/>
  <c r="O24" i="12"/>
  <c r="K24" i="12"/>
  <c r="K25" i="12" s="1"/>
  <c r="K26" i="12" s="1"/>
  <c r="J24" i="12"/>
  <c r="J25" i="12" s="1"/>
  <c r="AZ23" i="12"/>
  <c r="AY23" i="12"/>
  <c r="AW23" i="12"/>
  <c r="AQ23" i="12"/>
  <c r="AP23" i="12"/>
  <c r="AO23" i="12"/>
  <c r="AM23" i="12"/>
  <c r="AJ23" i="12"/>
  <c r="AE23" i="12"/>
  <c r="AC23" i="12"/>
  <c r="AD23" i="12" s="1"/>
  <c r="AB23" i="12"/>
  <c r="AA23" i="12"/>
  <c r="Z23" i="12"/>
  <c r="Y23" i="12"/>
  <c r="X23" i="12"/>
  <c r="W23" i="12"/>
  <c r="V23" i="12"/>
  <c r="U23" i="12"/>
  <c r="T23" i="12"/>
  <c r="O23" i="12"/>
  <c r="AZ22" i="12"/>
  <c r="AY22" i="12"/>
  <c r="AW22" i="12"/>
  <c r="AQ22" i="12"/>
  <c r="AP22" i="12"/>
  <c r="AO22" i="12"/>
  <c r="AM22" i="12"/>
  <c r="AJ22" i="12"/>
  <c r="AC22" i="12"/>
  <c r="AD22" i="12" s="1"/>
  <c r="AB22" i="12"/>
  <c r="AA22" i="12"/>
  <c r="Z22" i="12"/>
  <c r="Y22" i="12"/>
  <c r="X22" i="12"/>
  <c r="W22" i="12"/>
  <c r="V22" i="12"/>
  <c r="U22" i="12"/>
  <c r="T22" i="12"/>
  <c r="O22" i="12"/>
  <c r="AZ21" i="12"/>
  <c r="AY21" i="12"/>
  <c r="AW21" i="12"/>
  <c r="AO21" i="12"/>
  <c r="AM21" i="12"/>
  <c r="AJ21" i="12"/>
  <c r="AD21" i="12"/>
  <c r="AC21" i="12"/>
  <c r="AP21" i="12" s="1"/>
  <c r="AB21" i="12"/>
  <c r="AA21" i="12"/>
  <c r="Z21" i="12"/>
  <c r="Y21" i="12"/>
  <c r="X21" i="12"/>
  <c r="W21" i="12"/>
  <c r="V21" i="12"/>
  <c r="U21" i="12"/>
  <c r="T21" i="12" s="1"/>
  <c r="O21" i="12"/>
  <c r="K21" i="12"/>
  <c r="K22" i="12" s="1"/>
  <c r="J21" i="12"/>
  <c r="J22" i="12" s="1"/>
  <c r="AE22" i="12" s="1"/>
  <c r="AZ20" i="12"/>
  <c r="AY20" i="12"/>
  <c r="AW20" i="12"/>
  <c r="AQ20" i="12"/>
  <c r="AO20" i="12"/>
  <c r="AM20" i="12"/>
  <c r="AJ20" i="12"/>
  <c r="AE20" i="12"/>
  <c r="AC20" i="12"/>
  <c r="AP20" i="12" s="1"/>
  <c r="AB20" i="12"/>
  <c r="AA20" i="12"/>
  <c r="Z20" i="12"/>
  <c r="Y20" i="12"/>
  <c r="X20" i="12"/>
  <c r="W20" i="12"/>
  <c r="V20" i="12"/>
  <c r="U20" i="12"/>
  <c r="T20" i="12"/>
  <c r="O20" i="12"/>
  <c r="K20" i="12"/>
  <c r="J20" i="12"/>
  <c r="AZ19" i="12"/>
  <c r="AY19" i="12"/>
  <c r="AW19" i="12"/>
  <c r="AP19" i="12"/>
  <c r="AO19" i="12"/>
  <c r="AM19" i="12"/>
  <c r="AJ19" i="12"/>
  <c r="AE19" i="12"/>
  <c r="AC19" i="12"/>
  <c r="AD19" i="12" s="1"/>
  <c r="AB19" i="12"/>
  <c r="AA19" i="12"/>
  <c r="Z19" i="12"/>
  <c r="Y19" i="12"/>
  <c r="X19" i="12"/>
  <c r="W19" i="12"/>
  <c r="V19" i="12"/>
  <c r="U19" i="12"/>
  <c r="T19" i="12" s="1"/>
  <c r="O19" i="12"/>
  <c r="AZ18" i="12"/>
  <c r="AY18" i="12"/>
  <c r="AW18" i="12"/>
  <c r="AP18" i="12"/>
  <c r="AO18" i="12"/>
  <c r="AM18" i="12"/>
  <c r="AJ18" i="12"/>
  <c r="AC18" i="12"/>
  <c r="AD18" i="12" s="1"/>
  <c r="AB18" i="12"/>
  <c r="AA18" i="12"/>
  <c r="Z18" i="12"/>
  <c r="Y18" i="12"/>
  <c r="X18" i="12"/>
  <c r="W18" i="12"/>
  <c r="V18" i="12"/>
  <c r="U18" i="12"/>
  <c r="T18" i="12" s="1"/>
  <c r="O18" i="12"/>
  <c r="AZ17" i="12"/>
  <c r="AY17" i="12"/>
  <c r="AW17" i="12"/>
  <c r="AP17" i="12"/>
  <c r="AO17" i="12"/>
  <c r="AM17" i="12"/>
  <c r="AJ17" i="12"/>
  <c r="AD17" i="12"/>
  <c r="AC17" i="12"/>
  <c r="AB17" i="12"/>
  <c r="AA17" i="12"/>
  <c r="Z17" i="12"/>
  <c r="Y17" i="12"/>
  <c r="X17" i="12"/>
  <c r="W17" i="12"/>
  <c r="V17" i="12"/>
  <c r="U17" i="12"/>
  <c r="T17" i="12" s="1"/>
  <c r="O17" i="12"/>
  <c r="AZ16" i="12"/>
  <c r="AY16" i="12"/>
  <c r="AW16" i="12"/>
  <c r="AO16" i="12"/>
  <c r="AN16" i="12"/>
  <c r="AM16" i="12"/>
  <c r="AJ16" i="12"/>
  <c r="AD16" i="12"/>
  <c r="AC16" i="12"/>
  <c r="AP16" i="12" s="1"/>
  <c r="AB16" i="12"/>
  <c r="AA16" i="12"/>
  <c r="Z16" i="12"/>
  <c r="Y16" i="12"/>
  <c r="X16" i="12"/>
  <c r="W16" i="12"/>
  <c r="V16" i="12"/>
  <c r="U16" i="12"/>
  <c r="T16" i="12"/>
  <c r="O16" i="12"/>
  <c r="K16" i="12"/>
  <c r="K17" i="12" s="1"/>
  <c r="K18" i="12" s="1"/>
  <c r="J16" i="12"/>
  <c r="J17" i="12" s="1"/>
  <c r="AZ15" i="12"/>
  <c r="AY15" i="12"/>
  <c r="AW15" i="12"/>
  <c r="AQ15" i="12"/>
  <c r="AP15" i="12"/>
  <c r="AO15" i="12"/>
  <c r="AM15" i="12"/>
  <c r="AJ15" i="12"/>
  <c r="AE15" i="12"/>
  <c r="AC15" i="12"/>
  <c r="AD15" i="12" s="1"/>
  <c r="AB15" i="12"/>
  <c r="AA15" i="12"/>
  <c r="Z15" i="12"/>
  <c r="Y15" i="12"/>
  <c r="X15" i="12"/>
  <c r="W15" i="12"/>
  <c r="V15" i="12"/>
  <c r="U15" i="12"/>
  <c r="T15" i="12"/>
  <c r="O15" i="12"/>
  <c r="AZ14" i="12"/>
  <c r="AY14" i="12"/>
  <c r="AW14" i="12"/>
  <c r="AQ14" i="12"/>
  <c r="AP14" i="12"/>
  <c r="AO14" i="12"/>
  <c r="AM14" i="12"/>
  <c r="AJ14" i="12"/>
  <c r="AC14" i="12"/>
  <c r="AD14" i="12" s="1"/>
  <c r="AB14" i="12"/>
  <c r="AA14" i="12"/>
  <c r="Z14" i="12"/>
  <c r="Y14" i="12"/>
  <c r="X14" i="12"/>
  <c r="W14" i="12"/>
  <c r="V14" i="12"/>
  <c r="U14" i="12"/>
  <c r="T14" i="12"/>
  <c r="O14" i="12"/>
  <c r="K14" i="12"/>
  <c r="AZ13" i="12"/>
  <c r="AY13" i="12"/>
  <c r="AW13" i="12"/>
  <c r="AO13" i="12"/>
  <c r="AM13" i="12"/>
  <c r="AJ13" i="12"/>
  <c r="AD13" i="12"/>
  <c r="AC13" i="12"/>
  <c r="AP13" i="12" s="1"/>
  <c r="AB13" i="12"/>
  <c r="AA13" i="12"/>
  <c r="Z13" i="12"/>
  <c r="Y13" i="12"/>
  <c r="X13" i="12"/>
  <c r="W13" i="12"/>
  <c r="V13" i="12"/>
  <c r="U13" i="12"/>
  <c r="T13" i="12" s="1"/>
  <c r="O13" i="12"/>
  <c r="K13" i="12"/>
  <c r="J13" i="12"/>
  <c r="J14" i="12" s="1"/>
  <c r="AE14" i="12" s="1"/>
  <c r="AZ12" i="12"/>
  <c r="AY12" i="12"/>
  <c r="AW12" i="12"/>
  <c r="AO12" i="12"/>
  <c r="AM12" i="12"/>
  <c r="AJ12" i="12"/>
  <c r="AE12" i="12"/>
  <c r="AC12" i="12"/>
  <c r="AP12" i="12" s="1"/>
  <c r="AB12" i="12"/>
  <c r="AA12" i="12"/>
  <c r="Z12" i="12"/>
  <c r="Y12" i="12"/>
  <c r="X12" i="12"/>
  <c r="W12" i="12"/>
  <c r="V12" i="12"/>
  <c r="U12" i="12"/>
  <c r="T12" i="12"/>
  <c r="O12" i="12"/>
  <c r="K12" i="12"/>
  <c r="J12" i="12"/>
  <c r="AZ11" i="12"/>
  <c r="AY11" i="12"/>
  <c r="AW11" i="12"/>
  <c r="AR11" i="12" a="1"/>
  <c r="AS34" i="12" s="1"/>
  <c r="AP11" i="12"/>
  <c r="AO11" i="12"/>
  <c r="AM11" i="12"/>
  <c r="AJ11" i="12"/>
  <c r="AG11" i="12" a="1"/>
  <c r="AG11" i="12" s="1"/>
  <c r="AE11" i="12"/>
  <c r="AD11" i="12"/>
  <c r="AC11" i="12"/>
  <c r="AB11" i="12"/>
  <c r="AA11" i="12"/>
  <c r="Z11" i="12"/>
  <c r="Y11" i="12"/>
  <c r="X11" i="12"/>
  <c r="W11" i="12"/>
  <c r="V11" i="12"/>
  <c r="U11" i="12"/>
  <c r="T11" i="12" s="1"/>
  <c r="S11" i="12" a="1"/>
  <c r="R11" i="12" a="1"/>
  <c r="R11" i="12" s="1"/>
  <c r="AQ11" i="12" s="1"/>
  <c r="Q11" i="12" a="1"/>
  <c r="Q11" i="12" s="1"/>
  <c r="P11" i="12" a="1"/>
  <c r="AF33" i="12" s="1"/>
  <c r="O11" i="12"/>
  <c r="BS7" i="12"/>
  <c r="AN29" i="12" s="1"/>
  <c r="AF34" i="11"/>
  <c r="AE34" i="11"/>
  <c r="AC34" i="11"/>
  <c r="U34" i="11"/>
  <c r="T34" i="11"/>
  <c r="R34" i="11"/>
  <c r="Q34" i="11"/>
  <c r="P34" i="11"/>
  <c r="J34" i="11"/>
  <c r="AF33" i="11"/>
  <c r="AE33" i="11"/>
  <c r="AC33" i="11"/>
  <c r="U33" i="11"/>
  <c r="T33" i="11"/>
  <c r="R33" i="11"/>
  <c r="Q33" i="11"/>
  <c r="P33" i="11"/>
  <c r="J33" i="11"/>
  <c r="AF32" i="11"/>
  <c r="AE32" i="11"/>
  <c r="AC32" i="11"/>
  <c r="U32" i="11"/>
  <c r="T32" i="11"/>
  <c r="R32" i="11"/>
  <c r="Q32" i="11"/>
  <c r="P32" i="11"/>
  <c r="N32" i="11"/>
  <c r="J32" i="11"/>
  <c r="AF31" i="11"/>
  <c r="AE31" i="11"/>
  <c r="AC31" i="11"/>
  <c r="U31" i="11"/>
  <c r="T31" i="11"/>
  <c r="R31" i="11"/>
  <c r="Q31" i="11"/>
  <c r="P31" i="11"/>
  <c r="J31" i="11"/>
  <c r="AF30" i="11"/>
  <c r="AE30" i="11"/>
  <c r="AC30" i="11"/>
  <c r="U30" i="11"/>
  <c r="T30" i="11"/>
  <c r="R30" i="11"/>
  <c r="Q30" i="11"/>
  <c r="P30" i="11"/>
  <c r="J30" i="11"/>
  <c r="AF29" i="11"/>
  <c r="AE29" i="11"/>
  <c r="AC29" i="11"/>
  <c r="U29" i="11"/>
  <c r="T29" i="11"/>
  <c r="R29" i="11"/>
  <c r="Q29" i="11"/>
  <c r="P29" i="11"/>
  <c r="J29" i="11"/>
  <c r="AF28" i="11"/>
  <c r="AE28" i="11"/>
  <c r="AC28" i="11"/>
  <c r="U28" i="11"/>
  <c r="T28" i="11"/>
  <c r="R28" i="11"/>
  <c r="Q28" i="11"/>
  <c r="P28" i="11"/>
  <c r="J28" i="11"/>
  <c r="AF27" i="11"/>
  <c r="AE27" i="11"/>
  <c r="AC27" i="11"/>
  <c r="U27" i="11"/>
  <c r="T27" i="11"/>
  <c r="R27" i="11"/>
  <c r="Q27" i="11"/>
  <c r="P27" i="11"/>
  <c r="J27" i="11"/>
  <c r="AF26" i="11"/>
  <c r="AE26" i="11"/>
  <c r="AC26" i="11"/>
  <c r="U26" i="11"/>
  <c r="T26" i="11"/>
  <c r="R26" i="11"/>
  <c r="Q26" i="11"/>
  <c r="P26" i="11"/>
  <c r="N26" i="11"/>
  <c r="J26" i="11"/>
  <c r="AF25" i="11"/>
  <c r="AE25" i="11"/>
  <c r="AC25" i="11"/>
  <c r="U25" i="11"/>
  <c r="T25" i="11"/>
  <c r="R25" i="11"/>
  <c r="Q25" i="11"/>
  <c r="P25" i="11"/>
  <c r="J25" i="11"/>
  <c r="AF24" i="11"/>
  <c r="AE24" i="11"/>
  <c r="AC24" i="11"/>
  <c r="U24" i="11"/>
  <c r="T24" i="11"/>
  <c r="R24" i="11"/>
  <c r="Q24" i="11"/>
  <c r="P24" i="11"/>
  <c r="J24" i="11"/>
  <c r="AF23" i="11"/>
  <c r="AE23" i="11"/>
  <c r="AC23" i="11"/>
  <c r="U23" i="11"/>
  <c r="T23" i="11"/>
  <c r="R23" i="11"/>
  <c r="Q23" i="11"/>
  <c r="P23" i="11"/>
  <c r="N23" i="11"/>
  <c r="J23" i="11"/>
  <c r="AF22" i="11"/>
  <c r="AE22" i="11"/>
  <c r="AC22" i="11"/>
  <c r="U22" i="11"/>
  <c r="T22" i="11"/>
  <c r="R22" i="11"/>
  <c r="Q22" i="11"/>
  <c r="P22" i="11"/>
  <c r="J22" i="11"/>
  <c r="AF21" i="11"/>
  <c r="AE21" i="11"/>
  <c r="AC21" i="11"/>
  <c r="U21" i="11"/>
  <c r="T21" i="11"/>
  <c r="R21" i="11"/>
  <c r="Q21" i="11"/>
  <c r="P21" i="11"/>
  <c r="J21" i="11"/>
  <c r="AF20" i="11"/>
  <c r="AE20" i="11"/>
  <c r="AC20" i="11"/>
  <c r="U20" i="11"/>
  <c r="T20" i="11"/>
  <c r="R20" i="11"/>
  <c r="Q20" i="11"/>
  <c r="P20" i="11"/>
  <c r="N20" i="11"/>
  <c r="J20" i="11"/>
  <c r="AF19" i="11"/>
  <c r="AE19" i="11"/>
  <c r="AC19" i="11"/>
  <c r="U19" i="11"/>
  <c r="T19" i="11"/>
  <c r="R19" i="11"/>
  <c r="Q19" i="11"/>
  <c r="P19" i="11"/>
  <c r="J19" i="11"/>
  <c r="AF18" i="11"/>
  <c r="AE18" i="11"/>
  <c r="AC18" i="11"/>
  <c r="U18" i="11"/>
  <c r="T18" i="11"/>
  <c r="R18" i="11"/>
  <c r="Q18" i="11"/>
  <c r="P18" i="11"/>
  <c r="J18" i="11"/>
  <c r="AF17" i="11"/>
  <c r="AE17" i="11"/>
  <c r="AC17" i="11"/>
  <c r="U17" i="11"/>
  <c r="T17" i="11"/>
  <c r="R17" i="11"/>
  <c r="Q17" i="11"/>
  <c r="P17" i="11"/>
  <c r="J17" i="11"/>
  <c r="AF16" i="11"/>
  <c r="AE16" i="11"/>
  <c r="AC16" i="11"/>
  <c r="U16" i="11"/>
  <c r="T16" i="11"/>
  <c r="R16" i="11"/>
  <c r="Q16" i="11"/>
  <c r="P16" i="11"/>
  <c r="J16" i="11"/>
  <c r="AF15" i="11"/>
  <c r="AE15" i="11"/>
  <c r="AC15" i="11"/>
  <c r="U15" i="11"/>
  <c r="T15" i="11"/>
  <c r="R15" i="11"/>
  <c r="Q15" i="11"/>
  <c r="P15" i="11"/>
  <c r="J15" i="11"/>
  <c r="AF14" i="11"/>
  <c r="AE14" i="11"/>
  <c r="AC14" i="11"/>
  <c r="U14" i="11"/>
  <c r="T14" i="11"/>
  <c r="R14" i="11"/>
  <c r="Q14" i="11"/>
  <c r="P14" i="11"/>
  <c r="J14" i="11"/>
  <c r="AF13" i="11"/>
  <c r="AE13" i="11"/>
  <c r="AC13" i="11"/>
  <c r="U13" i="11"/>
  <c r="T13" i="11"/>
  <c r="R13" i="11"/>
  <c r="Q13" i="11"/>
  <c r="P13" i="11"/>
  <c r="N13" i="11"/>
  <c r="J13" i="11"/>
  <c r="AF12" i="11"/>
  <c r="AE12" i="11"/>
  <c r="AC12" i="11"/>
  <c r="U12" i="11"/>
  <c r="T12" i="11"/>
  <c r="R12" i="11"/>
  <c r="Q12" i="11"/>
  <c r="P12" i="11"/>
  <c r="N12" i="11"/>
  <c r="J12" i="11"/>
  <c r="AF11" i="11"/>
  <c r="AE11" i="11"/>
  <c r="AC11" i="11"/>
  <c r="U11" i="11"/>
  <c r="T11" i="11"/>
  <c r="R11" i="11"/>
  <c r="Q11" i="11"/>
  <c r="P11" i="11"/>
  <c r="N11" i="11"/>
  <c r="J11" i="11"/>
  <c r="AQ7" i="11"/>
  <c r="AG11" i="1" a="1"/>
  <c r="AG11" i="1" s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11" i="1"/>
  <c r="U12" i="1"/>
  <c r="T12" i="1" s="1"/>
  <c r="U13" i="1"/>
  <c r="T13" i="1" s="1"/>
  <c r="U14" i="1"/>
  <c r="T14" i="1" s="1"/>
  <c r="U15" i="1"/>
  <c r="T15" i="1" s="1"/>
  <c r="U16" i="1"/>
  <c r="T16" i="1" s="1"/>
  <c r="U17" i="1"/>
  <c r="T17" i="1" s="1"/>
  <c r="U18" i="1"/>
  <c r="U19" i="1"/>
  <c r="U20" i="1"/>
  <c r="U21" i="1"/>
  <c r="T21" i="1" s="1"/>
  <c r="U22" i="1"/>
  <c r="U23" i="1"/>
  <c r="T23" i="1" s="1"/>
  <c r="U24" i="1"/>
  <c r="U25" i="1"/>
  <c r="U26" i="1"/>
  <c r="U27" i="1"/>
  <c r="T27" i="1" s="1"/>
  <c r="U28" i="1"/>
  <c r="T28" i="1" s="1"/>
  <c r="U29" i="1"/>
  <c r="T29" i="1" s="1"/>
  <c r="U30" i="1"/>
  <c r="T30" i="1" s="1"/>
  <c r="U31" i="1"/>
  <c r="U32" i="1"/>
  <c r="U33" i="1"/>
  <c r="T33" i="1" s="1"/>
  <c r="U34" i="1"/>
  <c r="U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11" i="1"/>
  <c r="W12" i="1"/>
  <c r="X12" i="1"/>
  <c r="Y12" i="1"/>
  <c r="Z12" i="1"/>
  <c r="AA12" i="1"/>
  <c r="W13" i="1"/>
  <c r="X13" i="1"/>
  <c r="Y13" i="1"/>
  <c r="Z13" i="1"/>
  <c r="AA13" i="1"/>
  <c r="W14" i="1"/>
  <c r="X14" i="1"/>
  <c r="Y14" i="1"/>
  <c r="Z14" i="1"/>
  <c r="AA14" i="1"/>
  <c r="W15" i="1"/>
  <c r="X15" i="1"/>
  <c r="Y15" i="1"/>
  <c r="Z15" i="1"/>
  <c r="AA15" i="1"/>
  <c r="W16" i="1"/>
  <c r="X16" i="1"/>
  <c r="Y16" i="1"/>
  <c r="Z16" i="1"/>
  <c r="AA16" i="1"/>
  <c r="W17" i="1"/>
  <c r="X17" i="1"/>
  <c r="Y17" i="1"/>
  <c r="Z17" i="1"/>
  <c r="AA17" i="1"/>
  <c r="T18" i="1"/>
  <c r="W18" i="1"/>
  <c r="X18" i="1"/>
  <c r="Y18" i="1"/>
  <c r="Z18" i="1"/>
  <c r="AA18" i="1"/>
  <c r="W19" i="1"/>
  <c r="X19" i="1"/>
  <c r="Y19" i="1"/>
  <c r="Z19" i="1"/>
  <c r="AA19" i="1"/>
  <c r="W20" i="1"/>
  <c r="X20" i="1"/>
  <c r="Y20" i="1"/>
  <c r="Z20" i="1"/>
  <c r="AA20" i="1"/>
  <c r="W21" i="1"/>
  <c r="X21" i="1"/>
  <c r="Y21" i="1"/>
  <c r="Z21" i="1"/>
  <c r="AA21" i="1"/>
  <c r="W22" i="1"/>
  <c r="X22" i="1"/>
  <c r="Y22" i="1"/>
  <c r="Z22" i="1"/>
  <c r="AA22" i="1"/>
  <c r="W23" i="1"/>
  <c r="X23" i="1"/>
  <c r="Y23" i="1"/>
  <c r="Z23" i="1"/>
  <c r="AA23" i="1"/>
  <c r="T24" i="1"/>
  <c r="W24" i="1"/>
  <c r="X24" i="1"/>
  <c r="Y24" i="1"/>
  <c r="Z24" i="1"/>
  <c r="AA24" i="1"/>
  <c r="T25" i="1"/>
  <c r="W25" i="1"/>
  <c r="X25" i="1"/>
  <c r="Y25" i="1"/>
  <c r="Z25" i="1"/>
  <c r="AA25" i="1"/>
  <c r="T26" i="1"/>
  <c r="W26" i="1"/>
  <c r="X26" i="1"/>
  <c r="Y26" i="1"/>
  <c r="Z26" i="1"/>
  <c r="AA26" i="1"/>
  <c r="W27" i="1"/>
  <c r="X27" i="1"/>
  <c r="Y27" i="1"/>
  <c r="Z27" i="1"/>
  <c r="AA27" i="1"/>
  <c r="W28" i="1"/>
  <c r="X28" i="1"/>
  <c r="Y28" i="1"/>
  <c r="Z28" i="1"/>
  <c r="AA28" i="1"/>
  <c r="W29" i="1"/>
  <c r="X29" i="1"/>
  <c r="Y29" i="1"/>
  <c r="Z29" i="1"/>
  <c r="AA29" i="1"/>
  <c r="W30" i="1"/>
  <c r="X30" i="1"/>
  <c r="Y30" i="1"/>
  <c r="Z30" i="1"/>
  <c r="AA30" i="1"/>
  <c r="W31" i="1"/>
  <c r="X31" i="1"/>
  <c r="Y31" i="1"/>
  <c r="Z31" i="1"/>
  <c r="AA31" i="1"/>
  <c r="W32" i="1"/>
  <c r="X32" i="1"/>
  <c r="Y32" i="1"/>
  <c r="Z32" i="1"/>
  <c r="AA32" i="1"/>
  <c r="W33" i="1"/>
  <c r="X33" i="1"/>
  <c r="Y33" i="1"/>
  <c r="Z33" i="1"/>
  <c r="AA33" i="1"/>
  <c r="W34" i="1"/>
  <c r="X34" i="1"/>
  <c r="Y34" i="1"/>
  <c r="Z34" i="1"/>
  <c r="AA34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11" i="1"/>
  <c r="AR11" i="1" a="1"/>
  <c r="AR11" i="1" s="1"/>
  <c r="AS11" i="1" s="1"/>
  <c r="AI101" i="11" l="1"/>
  <c r="AJ101" i="11" s="1"/>
  <c r="AI115" i="11"/>
  <c r="AJ115" i="11" s="1"/>
  <c r="AI103" i="11"/>
  <c r="AJ103" i="11" s="1"/>
  <c r="AI123" i="11"/>
  <c r="AJ123" i="11" s="1"/>
  <c r="AI120" i="11"/>
  <c r="AJ120" i="11" s="1"/>
  <c r="AI136" i="11"/>
  <c r="AJ136" i="11" s="1"/>
  <c r="AI134" i="11"/>
  <c r="AJ134" i="11" s="1"/>
  <c r="AI139" i="11"/>
  <c r="AJ139" i="11" s="1"/>
  <c r="AI135" i="11"/>
  <c r="AJ135" i="11" s="1"/>
  <c r="AI49" i="11"/>
  <c r="AJ49" i="11" s="1"/>
  <c r="AI55" i="11"/>
  <c r="AJ55" i="11" s="1"/>
  <c r="AI89" i="11"/>
  <c r="AJ89" i="11" s="1"/>
  <c r="AI83" i="11"/>
  <c r="AJ83" i="11" s="1"/>
  <c r="AI78" i="11"/>
  <c r="AJ78" i="11" s="1"/>
  <c r="AI53" i="11"/>
  <c r="AJ53" i="11" s="1"/>
  <c r="AI63" i="11"/>
  <c r="AJ63" i="11" s="1"/>
  <c r="AI64" i="11"/>
  <c r="AJ64" i="11" s="1"/>
  <c r="AI50" i="11"/>
  <c r="AJ50" i="11" s="1"/>
  <c r="AI192" i="11"/>
  <c r="AJ192" i="11" s="1"/>
  <c r="AI196" i="11"/>
  <c r="AJ196" i="11" s="1"/>
  <c r="AI198" i="11"/>
  <c r="AJ198" i="11" s="1"/>
  <c r="AI164" i="11"/>
  <c r="AJ164" i="11" s="1"/>
  <c r="AI148" i="11"/>
  <c r="AJ148" i="11" s="1"/>
  <c r="AI152" i="11"/>
  <c r="AJ152" i="11" s="1"/>
  <c r="AI138" i="11"/>
  <c r="AJ138" i="11" s="1"/>
  <c r="AI102" i="11"/>
  <c r="AJ102" i="11" s="1"/>
  <c r="AI76" i="11"/>
  <c r="AJ76" i="11" s="1"/>
  <c r="AI74" i="11"/>
  <c r="AJ74" i="11" s="1"/>
  <c r="AI93" i="11"/>
  <c r="AJ93" i="11" s="1"/>
  <c r="AI91" i="11"/>
  <c r="AJ91" i="11" s="1"/>
  <c r="AI75" i="11"/>
  <c r="AJ75" i="11" s="1"/>
  <c r="AI47" i="11"/>
  <c r="AJ47" i="11" s="1"/>
  <c r="AI48" i="11"/>
  <c r="AJ48" i="11" s="1"/>
  <c r="AI200" i="11"/>
  <c r="AJ200" i="11" s="1"/>
  <c r="AI205" i="11"/>
  <c r="AJ205" i="11" s="1"/>
  <c r="AI197" i="11"/>
  <c r="AJ197" i="11" s="1"/>
  <c r="AI141" i="11"/>
  <c r="AJ141" i="11" s="1"/>
  <c r="AI132" i="11"/>
  <c r="AJ132" i="11" s="1"/>
  <c r="AI191" i="11"/>
  <c r="AJ191" i="11" s="1"/>
  <c r="AH212" i="11"/>
  <c r="AG212" i="11"/>
  <c r="AG206" i="11"/>
  <c r="AH206" i="11"/>
  <c r="AI209" i="11"/>
  <c r="AJ209" i="11" s="1"/>
  <c r="AI202" i="11"/>
  <c r="AJ202" i="11" s="1"/>
  <c r="AH204" i="11"/>
  <c r="AG204" i="11"/>
  <c r="AI204" i="11" s="1"/>
  <c r="AJ204" i="11" s="1"/>
  <c r="AI211" i="11"/>
  <c r="AJ211" i="11" s="1"/>
  <c r="AI203" i="11"/>
  <c r="AJ203" i="11" s="1"/>
  <c r="AG199" i="11"/>
  <c r="AH199" i="11"/>
  <c r="AH210" i="11"/>
  <c r="AG210" i="11"/>
  <c r="AI210" i="11" s="1"/>
  <c r="AJ210" i="11" s="1"/>
  <c r="AG193" i="11"/>
  <c r="AH193" i="11"/>
  <c r="AI194" i="11"/>
  <c r="AJ194" i="11" s="1"/>
  <c r="AI179" i="11"/>
  <c r="AJ179" i="11" s="1"/>
  <c r="AH165" i="11"/>
  <c r="AG165" i="11"/>
  <c r="AI165" i="11" s="1"/>
  <c r="AJ165" i="11" s="1"/>
  <c r="AI161" i="11"/>
  <c r="AJ161" i="11" s="1"/>
  <c r="AI163" i="11"/>
  <c r="AJ163" i="11" s="1"/>
  <c r="AI183" i="11"/>
  <c r="AJ183" i="11" s="1"/>
  <c r="AH168" i="11"/>
  <c r="AG168" i="11"/>
  <c r="AI173" i="11"/>
  <c r="AJ173" i="11" s="1"/>
  <c r="AH174" i="11"/>
  <c r="AG174" i="11"/>
  <c r="AI174" i="11" s="1"/>
  <c r="AJ174" i="11" s="1"/>
  <c r="AH176" i="11"/>
  <c r="AG176" i="11"/>
  <c r="AH167" i="11"/>
  <c r="AG167" i="11"/>
  <c r="AI167" i="11" s="1"/>
  <c r="AJ167" i="11" s="1"/>
  <c r="AH180" i="11"/>
  <c r="AG180" i="11"/>
  <c r="AH170" i="11"/>
  <c r="AG170" i="11"/>
  <c r="AI170" i="11" s="1"/>
  <c r="AJ170" i="11" s="1"/>
  <c r="AH182" i="11"/>
  <c r="AG182" i="11"/>
  <c r="AI182" i="11" s="1"/>
  <c r="AJ182" i="11" s="1"/>
  <c r="AI181" i="11"/>
  <c r="AJ181" i="11" s="1"/>
  <c r="AI154" i="11"/>
  <c r="AJ154" i="11" s="1"/>
  <c r="AI133" i="11"/>
  <c r="AJ133" i="11" s="1"/>
  <c r="AI153" i="11"/>
  <c r="AJ153" i="11" s="1"/>
  <c r="AI151" i="11"/>
  <c r="AJ151" i="11" s="1"/>
  <c r="AI149" i="11"/>
  <c r="AJ149" i="11" s="1"/>
  <c r="AH150" i="11"/>
  <c r="AG150" i="11"/>
  <c r="AI137" i="11"/>
  <c r="AJ137" i="11" s="1"/>
  <c r="AI143" i="11"/>
  <c r="AJ143" i="11" s="1"/>
  <c r="AH146" i="11"/>
  <c r="AG146" i="11"/>
  <c r="AI112" i="11"/>
  <c r="AJ112" i="11" s="1"/>
  <c r="AI110" i="11"/>
  <c r="AJ110" i="11" s="1"/>
  <c r="AI104" i="11"/>
  <c r="AJ104" i="11" s="1"/>
  <c r="AI117" i="11"/>
  <c r="AJ117" i="11" s="1"/>
  <c r="AI106" i="11"/>
  <c r="AJ106" i="11" s="1"/>
  <c r="AI105" i="11"/>
  <c r="AJ105" i="11" s="1"/>
  <c r="AH116" i="11"/>
  <c r="AG116" i="11"/>
  <c r="AH107" i="11"/>
  <c r="AG107" i="11"/>
  <c r="AI107" i="11" s="1"/>
  <c r="AJ107" i="11" s="1"/>
  <c r="AH119" i="11"/>
  <c r="AG119" i="11"/>
  <c r="AI119" i="11" s="1"/>
  <c r="AJ119" i="11" s="1"/>
  <c r="AI108" i="11"/>
  <c r="AJ108" i="11" s="1"/>
  <c r="AH122" i="11"/>
  <c r="AG122" i="11"/>
  <c r="AI111" i="11"/>
  <c r="AJ111" i="11" s="1"/>
  <c r="AI109" i="11"/>
  <c r="AJ109" i="11" s="1"/>
  <c r="AI114" i="11"/>
  <c r="AJ114" i="11" s="1"/>
  <c r="AH113" i="11"/>
  <c r="AG113" i="11"/>
  <c r="AI118" i="11"/>
  <c r="AJ118" i="11" s="1"/>
  <c r="AS13" i="12"/>
  <c r="AS29" i="12"/>
  <c r="AR11" i="12"/>
  <c r="AS11" i="12" s="1"/>
  <c r="Y34" i="11"/>
  <c r="AS21" i="12"/>
  <c r="AH16" i="12"/>
  <c r="AT23" i="12"/>
  <c r="AT30" i="12"/>
  <c r="AI42" i="11"/>
  <c r="AJ42" i="11" s="1"/>
  <c r="AI61" i="11"/>
  <c r="AJ61" i="11" s="1"/>
  <c r="AI71" i="11"/>
  <c r="AJ71" i="11" s="1"/>
  <c r="AT15" i="12"/>
  <c r="AT22" i="12"/>
  <c r="AT14" i="12"/>
  <c r="AT29" i="12"/>
  <c r="AU29" i="12" s="1"/>
  <c r="AX29" i="12" s="1"/>
  <c r="AI46" i="11"/>
  <c r="AJ46" i="11" s="1"/>
  <c r="AI58" i="11"/>
  <c r="AJ58" i="11" s="1"/>
  <c r="AI44" i="11"/>
  <c r="AJ44" i="11" s="1"/>
  <c r="AI43" i="11"/>
  <c r="AJ43" i="11" s="1"/>
  <c r="AQ21" i="12"/>
  <c r="AT21" i="12" s="1"/>
  <c r="AU21" i="12" s="1"/>
  <c r="AX21" i="12" s="1"/>
  <c r="AQ31" i="12"/>
  <c r="AT31" i="12" s="1"/>
  <c r="AQ24" i="12"/>
  <c r="AT24" i="12" s="1"/>
  <c r="AQ16" i="12"/>
  <c r="AT16" i="12" s="1"/>
  <c r="AQ13" i="12"/>
  <c r="AT13" i="12" s="1"/>
  <c r="AU13" i="12" s="1"/>
  <c r="AX13" i="12" s="1"/>
  <c r="AQ12" i="12"/>
  <c r="AT12" i="12" s="1"/>
  <c r="AI41" i="11"/>
  <c r="AJ41" i="11" s="1"/>
  <c r="AI54" i="11"/>
  <c r="AJ54" i="11" s="1"/>
  <c r="AI52" i="11"/>
  <c r="AJ52" i="11" s="1"/>
  <c r="AF12" i="12"/>
  <c r="AF28" i="12"/>
  <c r="AF20" i="12"/>
  <c r="AI87" i="11"/>
  <c r="AJ87" i="11" s="1"/>
  <c r="AI92" i="11"/>
  <c r="AJ92" i="11" s="1"/>
  <c r="AI94" i="11"/>
  <c r="AJ94" i="11" s="1"/>
  <c r="AI77" i="11"/>
  <c r="AJ77" i="11" s="1"/>
  <c r="AI86" i="11"/>
  <c r="AJ86" i="11" s="1"/>
  <c r="AH73" i="11"/>
  <c r="AG73" i="11"/>
  <c r="AH79" i="11"/>
  <c r="AG79" i="11"/>
  <c r="AG85" i="11"/>
  <c r="AH85" i="11"/>
  <c r="AI57" i="11"/>
  <c r="AJ57" i="11" s="1"/>
  <c r="AH62" i="11"/>
  <c r="AG62" i="11"/>
  <c r="AH60" i="11"/>
  <c r="AG60" i="11"/>
  <c r="AI45" i="11"/>
  <c r="AJ45" i="11" s="1"/>
  <c r="AI51" i="11"/>
  <c r="AJ51" i="11" s="1"/>
  <c r="AH56" i="11"/>
  <c r="AG56" i="11"/>
  <c r="J26" i="12"/>
  <c r="AE26" i="12" s="1"/>
  <c r="AE25" i="12"/>
  <c r="J34" i="12"/>
  <c r="AE34" i="12" s="1"/>
  <c r="AE33" i="12"/>
  <c r="AU14" i="12"/>
  <c r="J18" i="12"/>
  <c r="AE18" i="12" s="1"/>
  <c r="AE17" i="12"/>
  <c r="AH17" i="12"/>
  <c r="AH25" i="12"/>
  <c r="AQ28" i="12"/>
  <c r="AT28" i="12" s="1"/>
  <c r="AH33" i="12"/>
  <c r="S11" i="12"/>
  <c r="AH11" i="12" s="1"/>
  <c r="AD12" i="12"/>
  <c r="AS12" i="12"/>
  <c r="AN14" i="12"/>
  <c r="AN15" i="12"/>
  <c r="AF18" i="12"/>
  <c r="AF19" i="12"/>
  <c r="AD20" i="12"/>
  <c r="AS20" i="12"/>
  <c r="AN22" i="12"/>
  <c r="AN23" i="12"/>
  <c r="AF26" i="12"/>
  <c r="AF27" i="12"/>
  <c r="AK27" i="12" s="1"/>
  <c r="AD28" i="12"/>
  <c r="AS28" i="12"/>
  <c r="AN30" i="12"/>
  <c r="AN31" i="12"/>
  <c r="AF34" i="12"/>
  <c r="AH18" i="12"/>
  <c r="AH19" i="12"/>
  <c r="AK19" i="12" s="1"/>
  <c r="AT20" i="12"/>
  <c r="AU20" i="12" s="1"/>
  <c r="AH26" i="12"/>
  <c r="AH27" i="12"/>
  <c r="AH34" i="12"/>
  <c r="AH12" i="12"/>
  <c r="AE13" i="12"/>
  <c r="AH20" i="12"/>
  <c r="AE21" i="12"/>
  <c r="AH28" i="12"/>
  <c r="AE29" i="12"/>
  <c r="AF13" i="12"/>
  <c r="AS14" i="12"/>
  <c r="AS15" i="12"/>
  <c r="AU15" i="12" s="1"/>
  <c r="AN17" i="12"/>
  <c r="AF21" i="12"/>
  <c r="AS22" i="12"/>
  <c r="AU22" i="12" s="1"/>
  <c r="AS23" i="12"/>
  <c r="AU23" i="12" s="1"/>
  <c r="AP24" i="12"/>
  <c r="AU24" i="12" s="1"/>
  <c r="AN25" i="12"/>
  <c r="AF29" i="12"/>
  <c r="AS30" i="12"/>
  <c r="AU30" i="12" s="1"/>
  <c r="AS31" i="12"/>
  <c r="AP32" i="12"/>
  <c r="AN33" i="12"/>
  <c r="AH13" i="12"/>
  <c r="AH21" i="12"/>
  <c r="AH29" i="12"/>
  <c r="AQ32" i="12"/>
  <c r="AT32" i="12" s="1"/>
  <c r="AN19" i="12"/>
  <c r="AF23" i="12"/>
  <c r="AF30" i="12"/>
  <c r="P11" i="12"/>
  <c r="AF11" i="12" s="1"/>
  <c r="AF14" i="12"/>
  <c r="AF15" i="12"/>
  <c r="AK15" i="12" s="1"/>
  <c r="AS16" i="12"/>
  <c r="AN18" i="12"/>
  <c r="AF22" i="12"/>
  <c r="AK22" i="12" s="1"/>
  <c r="AS24" i="12"/>
  <c r="AN26" i="12"/>
  <c r="AN27" i="12"/>
  <c r="AF31" i="12"/>
  <c r="AS32" i="12"/>
  <c r="AN34" i="12"/>
  <c r="AH14" i="12"/>
  <c r="AH15" i="12"/>
  <c r="AE16" i="12"/>
  <c r="AK16" i="12" s="1"/>
  <c r="AQ17" i="12"/>
  <c r="AT17" i="12" s="1"/>
  <c r="AU17" i="12" s="1"/>
  <c r="AH22" i="12"/>
  <c r="AH23" i="12"/>
  <c r="AE24" i="12"/>
  <c r="AQ25" i="12"/>
  <c r="AT25" i="12" s="1"/>
  <c r="AH30" i="12"/>
  <c r="AH31" i="12"/>
  <c r="AE32" i="12"/>
  <c r="AQ33" i="12"/>
  <c r="AT33" i="12" s="1"/>
  <c r="AU33" i="12" s="1"/>
  <c r="AN12" i="12"/>
  <c r="AF16" i="12"/>
  <c r="AS17" i="12"/>
  <c r="AN20" i="12"/>
  <c r="AF24" i="12"/>
  <c r="AS25" i="12"/>
  <c r="AN28" i="12"/>
  <c r="AF32" i="12"/>
  <c r="AS33" i="12"/>
  <c r="AQ18" i="12"/>
  <c r="AT18" i="12" s="1"/>
  <c r="AU18" i="12" s="1"/>
  <c r="AQ19" i="12"/>
  <c r="AT19" i="12" s="1"/>
  <c r="AU19" i="12" s="1"/>
  <c r="AH24" i="12"/>
  <c r="AQ26" i="12"/>
  <c r="AT26" i="12" s="1"/>
  <c r="AU26" i="12" s="1"/>
  <c r="AQ27" i="12"/>
  <c r="AT27" i="12" s="1"/>
  <c r="AH32" i="12"/>
  <c r="AQ34" i="12"/>
  <c r="AT34" i="12" s="1"/>
  <c r="AU34" i="12" s="1"/>
  <c r="AN11" i="12"/>
  <c r="AN13" i="12"/>
  <c r="AF17" i="12"/>
  <c r="AS18" i="12"/>
  <c r="AS19" i="12"/>
  <c r="AN21" i="12"/>
  <c r="AF25" i="12"/>
  <c r="AS26" i="12"/>
  <c r="AS27" i="12"/>
  <c r="V12" i="11"/>
  <c r="V11" i="11"/>
  <c r="W33" i="11"/>
  <c r="V28" i="11"/>
  <c r="W31" i="11"/>
  <c r="Z31" i="11" s="1"/>
  <c r="W32" i="11"/>
  <c r="Z32" i="11" s="1"/>
  <c r="W30" i="11"/>
  <c r="Z30" i="11" s="1"/>
  <c r="W29" i="11"/>
  <c r="Z29" i="11" s="1"/>
  <c r="W28" i="11"/>
  <c r="Z28" i="11" s="1"/>
  <c r="W23" i="11"/>
  <c r="Z23" i="11" s="1"/>
  <c r="V19" i="11"/>
  <c r="W22" i="11"/>
  <c r="Z22" i="11" s="1"/>
  <c r="W24" i="11"/>
  <c r="Z24" i="11" s="1"/>
  <c r="W25" i="11"/>
  <c r="Z25" i="11" s="1"/>
  <c r="V26" i="11"/>
  <c r="W20" i="11"/>
  <c r="Z20" i="11" s="1"/>
  <c r="W21" i="11"/>
  <c r="Z21" i="11" s="1"/>
  <c r="Z33" i="11"/>
  <c r="V20" i="11"/>
  <c r="W12" i="11"/>
  <c r="Z12" i="11" s="1"/>
  <c r="W15" i="11"/>
  <c r="Z15" i="11" s="1"/>
  <c r="V18" i="11"/>
  <c r="W13" i="11"/>
  <c r="Z13" i="11" s="1"/>
  <c r="W14" i="11"/>
  <c r="Z14" i="11" s="1"/>
  <c r="W16" i="11"/>
  <c r="Z16" i="11" s="1"/>
  <c r="W17" i="11"/>
  <c r="Z17" i="11" s="1"/>
  <c r="Z11" i="11"/>
  <c r="Y12" i="11"/>
  <c r="V13" i="11"/>
  <c r="Y20" i="11"/>
  <c r="V21" i="11"/>
  <c r="Y28" i="11"/>
  <c r="V29" i="11"/>
  <c r="Y11" i="11"/>
  <c r="Y13" i="11"/>
  <c r="V14" i="11"/>
  <c r="V15" i="11"/>
  <c r="Y21" i="11"/>
  <c r="V22" i="11"/>
  <c r="V23" i="11"/>
  <c r="Y29" i="11"/>
  <c r="V30" i="11"/>
  <c r="V31" i="11"/>
  <c r="Y14" i="11"/>
  <c r="Y15" i="11"/>
  <c r="V16" i="11"/>
  <c r="Y22" i="11"/>
  <c r="Y23" i="11"/>
  <c r="V24" i="11"/>
  <c r="Y30" i="11"/>
  <c r="Y31" i="11"/>
  <c r="V32" i="11"/>
  <c r="Y16" i="11"/>
  <c r="V17" i="11"/>
  <c r="Y24" i="11"/>
  <c r="V25" i="11"/>
  <c r="Y32" i="11"/>
  <c r="V33" i="11"/>
  <c r="Y17" i="11"/>
  <c r="Y25" i="11"/>
  <c r="V27" i="11"/>
  <c r="Y33" i="11"/>
  <c r="V34" i="11"/>
  <c r="W18" i="11"/>
  <c r="Z18" i="11" s="1"/>
  <c r="W19" i="11"/>
  <c r="Z19" i="11" s="1"/>
  <c r="W26" i="11"/>
  <c r="Z26" i="11" s="1"/>
  <c r="W27" i="11"/>
  <c r="Z27" i="11" s="1"/>
  <c r="W34" i="11"/>
  <c r="Z34" i="11" s="1"/>
  <c r="AA34" i="11" s="1"/>
  <c r="Y18" i="11"/>
  <c r="Y19" i="11"/>
  <c r="Y26" i="11"/>
  <c r="Y27" i="11"/>
  <c r="T34" i="1"/>
  <c r="T31" i="1"/>
  <c r="T22" i="1"/>
  <c r="T19" i="1"/>
  <c r="T32" i="1"/>
  <c r="T20" i="1"/>
  <c r="AS34" i="1"/>
  <c r="AS33" i="1"/>
  <c r="AS31" i="1"/>
  <c r="AS23" i="1"/>
  <c r="AS19" i="1"/>
  <c r="AS22" i="1"/>
  <c r="AS21" i="1"/>
  <c r="AS14" i="1"/>
  <c r="AS32" i="1"/>
  <c r="AS20" i="1"/>
  <c r="AS30" i="1"/>
  <c r="AS18" i="1"/>
  <c r="AS29" i="1"/>
  <c r="AS17" i="1"/>
  <c r="AS28" i="1"/>
  <c r="AS16" i="1"/>
  <c r="AS27" i="1"/>
  <c r="AS15" i="1"/>
  <c r="AS26" i="1"/>
  <c r="AS25" i="1"/>
  <c r="AS13" i="1"/>
  <c r="AS24" i="1"/>
  <c r="AS12" i="1"/>
  <c r="AI146" i="11" l="1"/>
  <c r="AJ146" i="11" s="1"/>
  <c r="AI73" i="11"/>
  <c r="AJ73" i="11" s="1"/>
  <c r="AI113" i="11"/>
  <c r="AJ113" i="11" s="1"/>
  <c r="AI116" i="11"/>
  <c r="AJ116" i="11" s="1"/>
  <c r="AI212" i="11"/>
  <c r="AJ212" i="11" s="1"/>
  <c r="AI168" i="11"/>
  <c r="AJ168" i="11" s="1"/>
  <c r="AI79" i="11"/>
  <c r="AJ79" i="11" s="1"/>
  <c r="AI56" i="11"/>
  <c r="AJ56" i="11" s="1"/>
  <c r="AI62" i="11"/>
  <c r="AJ62" i="11" s="1"/>
  <c r="AI60" i="11"/>
  <c r="AJ60" i="11" s="1"/>
  <c r="AK41" i="11" s="1"/>
  <c r="AI193" i="11"/>
  <c r="AJ193" i="11" s="1"/>
  <c r="AK191" i="11" s="1"/>
  <c r="AI199" i="11"/>
  <c r="AJ199" i="11" s="1"/>
  <c r="AI180" i="11"/>
  <c r="AJ180" i="11" s="1"/>
  <c r="AI150" i="11"/>
  <c r="AJ150" i="11" s="1"/>
  <c r="AK131" i="11" s="1"/>
  <c r="AI206" i="11"/>
  <c r="AJ206" i="11" s="1"/>
  <c r="AI176" i="11"/>
  <c r="AJ176" i="11" s="1"/>
  <c r="AI122" i="11"/>
  <c r="AJ122" i="11" s="1"/>
  <c r="AK101" i="11"/>
  <c r="AK33" i="12"/>
  <c r="AK29" i="12"/>
  <c r="AK30" i="12"/>
  <c r="AK11" i="12"/>
  <c r="AK23" i="12"/>
  <c r="AK28" i="12"/>
  <c r="AK12" i="12"/>
  <c r="AK31" i="12"/>
  <c r="AV29" i="12"/>
  <c r="AL29" i="12" s="1"/>
  <c r="BF29" i="12" s="1"/>
  <c r="AK32" i="12"/>
  <c r="AT11" i="12"/>
  <c r="AU11" i="12" s="1"/>
  <c r="AX11" i="12" s="1"/>
  <c r="AV21" i="12"/>
  <c r="AV13" i="12"/>
  <c r="AU16" i="12"/>
  <c r="AV16" i="12" s="1"/>
  <c r="AL16" i="12" s="1"/>
  <c r="BF16" i="12" s="1"/>
  <c r="AU31" i="12"/>
  <c r="AX31" i="12" s="1"/>
  <c r="AK18" i="12"/>
  <c r="AK24" i="12"/>
  <c r="AK21" i="12"/>
  <c r="AK13" i="12"/>
  <c r="AK34" i="12"/>
  <c r="AK14" i="12"/>
  <c r="AK26" i="12"/>
  <c r="AI85" i="11"/>
  <c r="AJ85" i="11" s="1"/>
  <c r="AX15" i="12"/>
  <c r="AV15" i="12"/>
  <c r="AL15" i="12" s="1"/>
  <c r="BF15" i="12" s="1"/>
  <c r="AX23" i="12"/>
  <c r="AV23" i="12"/>
  <c r="AV24" i="12"/>
  <c r="AL24" i="12" s="1"/>
  <c r="BF24" i="12" s="1"/>
  <c r="AX24" i="12"/>
  <c r="AX26" i="12"/>
  <c r="AV26" i="12"/>
  <c r="AX14" i="12"/>
  <c r="AV14" i="12"/>
  <c r="BA13" i="12"/>
  <c r="BB13" i="12"/>
  <c r="AU32" i="12"/>
  <c r="AX30" i="12"/>
  <c r="AV30" i="12"/>
  <c r="AL30" i="12" s="1"/>
  <c r="BF30" i="12" s="1"/>
  <c r="AU25" i="12"/>
  <c r="AK25" i="12"/>
  <c r="BA21" i="12"/>
  <c r="BB21" i="12"/>
  <c r="AU28" i="12"/>
  <c r="AX18" i="12"/>
  <c r="AV18" i="12"/>
  <c r="AL18" i="12" s="1"/>
  <c r="BF18" i="12" s="1"/>
  <c r="AX20" i="12"/>
  <c r="AV20" i="12"/>
  <c r="AX34" i="12"/>
  <c r="AV34" i="12"/>
  <c r="AX17" i="12"/>
  <c r="AV17" i="12"/>
  <c r="AK20" i="12"/>
  <c r="BA29" i="12"/>
  <c r="BB29" i="12"/>
  <c r="AX33" i="12"/>
  <c r="AV33" i="12"/>
  <c r="AL33" i="12" s="1"/>
  <c r="BF33" i="12" s="1"/>
  <c r="AX19" i="12"/>
  <c r="AV19" i="12"/>
  <c r="AL19" i="12" s="1"/>
  <c r="BF19" i="12" s="1"/>
  <c r="AU12" i="12"/>
  <c r="AK17" i="12"/>
  <c r="AX22" i="12"/>
  <c r="AV22" i="12"/>
  <c r="AL22" i="12" s="1"/>
  <c r="BF22" i="12" s="1"/>
  <c r="AU27" i="12"/>
  <c r="AA16" i="11"/>
  <c r="AD16" i="11" s="1"/>
  <c r="AA11" i="11"/>
  <c r="AD11" i="11" s="1"/>
  <c r="AA17" i="11"/>
  <c r="AA13" i="11"/>
  <c r="AB13" i="11" s="1"/>
  <c r="AA25" i="11"/>
  <c r="AD25" i="11" s="1"/>
  <c r="AA21" i="11"/>
  <c r="AD21" i="11" s="1"/>
  <c r="AA33" i="11"/>
  <c r="AB33" i="11" s="1"/>
  <c r="AA31" i="11"/>
  <c r="AB31" i="11" s="1"/>
  <c r="AA30" i="11"/>
  <c r="AB30" i="11" s="1"/>
  <c r="AA32" i="11"/>
  <c r="AB32" i="11" s="1"/>
  <c r="AA15" i="11"/>
  <c r="AD15" i="11" s="1"/>
  <c r="AA23" i="11"/>
  <c r="AB23" i="11" s="1"/>
  <c r="AA22" i="11"/>
  <c r="AB22" i="11" s="1"/>
  <c r="AA14" i="11"/>
  <c r="AD14" i="11" s="1"/>
  <c r="AA29" i="11"/>
  <c r="AD29" i="11" s="1"/>
  <c r="AA20" i="11"/>
  <c r="AB20" i="11" s="1"/>
  <c r="AD17" i="11"/>
  <c r="AB17" i="11"/>
  <c r="AA26" i="11"/>
  <c r="AD34" i="11"/>
  <c r="AB34" i="11"/>
  <c r="AA12" i="11"/>
  <c r="AA19" i="11"/>
  <c r="AA18" i="11"/>
  <c r="AA28" i="11"/>
  <c r="AA27" i="11"/>
  <c r="AA24" i="11"/>
  <c r="AK161" i="11" l="1"/>
  <c r="AK71" i="11"/>
  <c r="AV31" i="12"/>
  <c r="AL17" i="12"/>
  <c r="BF17" i="12" s="1"/>
  <c r="AL14" i="12"/>
  <c r="BF14" i="12" s="1"/>
  <c r="AL23" i="12"/>
  <c r="BF23" i="12" s="1"/>
  <c r="AL13" i="12"/>
  <c r="BF13" i="12" s="1"/>
  <c r="AL31" i="12"/>
  <c r="BF31" i="12" s="1"/>
  <c r="AV11" i="12"/>
  <c r="AL11" i="12" s="1"/>
  <c r="BF11" i="12" s="1"/>
  <c r="BI11" i="12" s="1"/>
  <c r="BL11" i="12" s="1"/>
  <c r="AB16" i="11"/>
  <c r="AL21" i="12"/>
  <c r="BF21" i="12" s="1"/>
  <c r="BC21" i="12"/>
  <c r="BD21" i="12" s="1"/>
  <c r="AL34" i="12"/>
  <c r="BF34" i="12" s="1"/>
  <c r="AX16" i="12"/>
  <c r="BA16" i="12" s="1"/>
  <c r="AD13" i="11"/>
  <c r="AG13" i="11" s="1"/>
  <c r="AL26" i="12"/>
  <c r="BF26" i="12" s="1"/>
  <c r="BB30" i="12"/>
  <c r="BA30" i="12"/>
  <c r="BC30" i="12" s="1"/>
  <c r="BD30" i="12" s="1"/>
  <c r="AL20" i="12"/>
  <c r="BF20" i="12" s="1"/>
  <c r="BB23" i="12"/>
  <c r="BA23" i="12"/>
  <c r="BC23" i="12" s="1"/>
  <c r="BD23" i="12" s="1"/>
  <c r="BB22" i="12"/>
  <c r="BA22" i="12"/>
  <c r="AX12" i="12"/>
  <c r="AV12" i="12"/>
  <c r="AL12" i="12" s="1"/>
  <c r="BF12" i="12" s="1"/>
  <c r="BB19" i="12"/>
  <c r="BA19" i="12"/>
  <c r="BC19" i="12" s="1"/>
  <c r="BD19" i="12" s="1"/>
  <c r="BB11" i="12"/>
  <c r="BA11" i="12"/>
  <c r="BC11" i="12" s="1"/>
  <c r="BD11" i="12" s="1"/>
  <c r="BB15" i="12"/>
  <c r="BA15" i="12"/>
  <c r="BB26" i="12"/>
  <c r="BA26" i="12"/>
  <c r="BC26" i="12" s="1"/>
  <c r="BD26" i="12" s="1"/>
  <c r="BB34" i="12"/>
  <c r="BA34" i="12"/>
  <c r="AX27" i="12"/>
  <c r="AV27" i="12"/>
  <c r="AL27" i="12" s="1"/>
  <c r="BF27" i="12" s="1"/>
  <c r="BA24" i="12"/>
  <c r="BB24" i="12"/>
  <c r="BB33" i="12"/>
  <c r="BA33" i="12"/>
  <c r="BC33" i="12" s="1"/>
  <c r="BD33" i="12" s="1"/>
  <c r="AX28" i="12"/>
  <c r="AV28" i="12"/>
  <c r="AL28" i="12" s="1"/>
  <c r="BF28" i="12" s="1"/>
  <c r="BC13" i="12"/>
  <c r="BD13" i="12" s="1"/>
  <c r="BB31" i="12"/>
  <c r="BA31" i="12"/>
  <c r="BB17" i="12"/>
  <c r="BA17" i="12"/>
  <c r="BC17" i="12" s="1"/>
  <c r="BD17" i="12" s="1"/>
  <c r="AV32" i="12"/>
  <c r="AL32" i="12" s="1"/>
  <c r="BF32" i="12" s="1"/>
  <c r="AX32" i="12"/>
  <c r="BB20" i="12"/>
  <c r="BA20" i="12"/>
  <c r="BB18" i="12"/>
  <c r="BA18" i="12"/>
  <c r="BC29" i="12"/>
  <c r="BD29" i="12" s="1"/>
  <c r="AX25" i="12"/>
  <c r="AV25" i="12"/>
  <c r="AL25" i="12" s="1"/>
  <c r="BF25" i="12" s="1"/>
  <c r="BB14" i="12"/>
  <c r="BA14" i="12"/>
  <c r="AB11" i="11"/>
  <c r="AB21" i="11"/>
  <c r="AB25" i="11"/>
  <c r="AD33" i="11"/>
  <c r="AH33" i="11" s="1"/>
  <c r="AD32" i="11"/>
  <c r="AH32" i="11" s="1"/>
  <c r="AD31" i="11"/>
  <c r="AH31" i="11" s="1"/>
  <c r="AB29" i="11"/>
  <c r="AB14" i="11"/>
  <c r="AD30" i="11"/>
  <c r="AH30" i="11" s="1"/>
  <c r="AD20" i="11"/>
  <c r="AH20" i="11" s="1"/>
  <c r="AB15" i="11"/>
  <c r="AD23" i="11"/>
  <c r="AH23" i="11" s="1"/>
  <c r="AD22" i="11"/>
  <c r="AG22" i="11" s="1"/>
  <c r="AH25" i="11"/>
  <c r="AG25" i="11"/>
  <c r="AD12" i="11"/>
  <c r="AB12" i="11"/>
  <c r="AG29" i="11"/>
  <c r="AH29" i="11"/>
  <c r="AH14" i="11"/>
  <c r="AG14" i="11"/>
  <c r="AB24" i="11"/>
  <c r="AD24" i="11"/>
  <c r="AH17" i="11"/>
  <c r="AG17" i="11"/>
  <c r="AB19" i="11"/>
  <c r="AD19" i="11"/>
  <c r="AH11" i="11"/>
  <c r="AG11" i="11"/>
  <c r="AB26" i="11"/>
  <c r="AD26" i="11"/>
  <c r="AH16" i="11"/>
  <c r="AG16" i="11"/>
  <c r="AH13" i="11"/>
  <c r="AB27" i="11"/>
  <c r="AD27" i="11"/>
  <c r="AH15" i="11"/>
  <c r="AG15" i="11"/>
  <c r="AD28" i="11"/>
  <c r="AB28" i="11"/>
  <c r="AB18" i="11"/>
  <c r="AD18" i="11"/>
  <c r="AH34" i="11"/>
  <c r="AG34" i="11"/>
  <c r="AG21" i="11"/>
  <c r="AH21" i="11"/>
  <c r="AZ11" i="1"/>
  <c r="AY11" i="1"/>
  <c r="AW11" i="1"/>
  <c r="BS7" i="1"/>
  <c r="AI34" i="11" l="1"/>
  <c r="AJ34" i="11" s="1"/>
  <c r="BC15" i="12"/>
  <c r="BD15" i="12" s="1"/>
  <c r="BH11" i="12"/>
  <c r="BK11" i="12" s="1"/>
  <c r="BJ11" i="12"/>
  <c r="BB16" i="12"/>
  <c r="BC16" i="12" s="1"/>
  <c r="BD16" i="12" s="1"/>
  <c r="AI11" i="11"/>
  <c r="AJ11" i="11" s="1"/>
  <c r="BC18" i="12"/>
  <c r="BD18" i="12" s="1"/>
  <c r="BC31" i="12"/>
  <c r="BD31" i="12" s="1"/>
  <c r="BC20" i="12"/>
  <c r="BD20" i="12" s="1"/>
  <c r="BG11" i="12"/>
  <c r="BC34" i="12"/>
  <c r="BD34" i="12" s="1"/>
  <c r="BC22" i="12"/>
  <c r="BD22" i="12" s="1"/>
  <c r="AI15" i="11"/>
  <c r="AJ15" i="11" s="1"/>
  <c r="BB12" i="12"/>
  <c r="BA12" i="12"/>
  <c r="BC12" i="12" s="1"/>
  <c r="BD12" i="12" s="1"/>
  <c r="BB27" i="12"/>
  <c r="BA27" i="12"/>
  <c r="BB25" i="12"/>
  <c r="BA25" i="12"/>
  <c r="BB28" i="12"/>
  <c r="BA28" i="12"/>
  <c r="BC28" i="12" s="1"/>
  <c r="BD28" i="12" s="1"/>
  <c r="BA32" i="12"/>
  <c r="BB32" i="12"/>
  <c r="BC24" i="12"/>
  <c r="BD24" i="12" s="1"/>
  <c r="BC14" i="12"/>
  <c r="BD14" i="12" s="1"/>
  <c r="AG20" i="11"/>
  <c r="AI20" i="11" s="1"/>
  <c r="AJ20" i="11" s="1"/>
  <c r="AG32" i="11"/>
  <c r="AI32" i="11" s="1"/>
  <c r="AJ32" i="11" s="1"/>
  <c r="AG30" i="11"/>
  <c r="AI30" i="11" s="1"/>
  <c r="AJ30" i="11" s="1"/>
  <c r="AG31" i="11"/>
  <c r="AI31" i="11" s="1"/>
  <c r="AJ31" i="11" s="1"/>
  <c r="AG33" i="11"/>
  <c r="AI33" i="11" s="1"/>
  <c r="AJ33" i="11" s="1"/>
  <c r="AG23" i="11"/>
  <c r="AI23" i="11" s="1"/>
  <c r="AJ23" i="11" s="1"/>
  <c r="AI25" i="11"/>
  <c r="AJ25" i="11" s="1"/>
  <c r="AH22" i="11"/>
  <c r="AI22" i="11" s="1"/>
  <c r="AJ22" i="11" s="1"/>
  <c r="AI17" i="11"/>
  <c r="AJ17" i="11" s="1"/>
  <c r="AH28" i="11"/>
  <c r="AG28" i="11"/>
  <c r="AH27" i="11"/>
  <c r="AG27" i="11"/>
  <c r="AI21" i="11"/>
  <c r="AJ21" i="11" s="1"/>
  <c r="AH26" i="11"/>
  <c r="AG26" i="11"/>
  <c r="AH12" i="11"/>
  <c r="AG12" i="11"/>
  <c r="AI29" i="11"/>
  <c r="AJ29" i="11" s="1"/>
  <c r="AH24" i="11"/>
  <c r="AG24" i="11"/>
  <c r="AH19" i="11"/>
  <c r="AG19" i="11"/>
  <c r="AI13" i="11"/>
  <c r="AJ13" i="11" s="1"/>
  <c r="AH18" i="11"/>
  <c r="AG18" i="11"/>
  <c r="AI16" i="11"/>
  <c r="AJ16" i="11" s="1"/>
  <c r="AI14" i="11"/>
  <c r="AJ14" i="11" s="1"/>
  <c r="AN11" i="1"/>
  <c r="AN14" i="1"/>
  <c r="AN20" i="1"/>
  <c r="AN26" i="1"/>
  <c r="AN32" i="1"/>
  <c r="AN24" i="1"/>
  <c r="AN31" i="1"/>
  <c r="AN15" i="1"/>
  <c r="AN18" i="1"/>
  <c r="AN21" i="1"/>
  <c r="AN27" i="1"/>
  <c r="AN33" i="1"/>
  <c r="AN12" i="1"/>
  <c r="AN30" i="1"/>
  <c r="AN25" i="1"/>
  <c r="AN16" i="1"/>
  <c r="AN22" i="1"/>
  <c r="AN28" i="1"/>
  <c r="AN34" i="1"/>
  <c r="AN19" i="1"/>
  <c r="AN13" i="1"/>
  <c r="AN17" i="1"/>
  <c r="AN23" i="1"/>
  <c r="AN29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W172" i="1" a="1"/>
  <c r="AW172" i="1" s="1"/>
  <c r="AW173" i="1" a="1"/>
  <c r="AW173" i="1" s="1"/>
  <c r="AW174" i="1" a="1"/>
  <c r="AW174" i="1" s="1"/>
  <c r="AW156" i="1" a="1"/>
  <c r="AW156" i="1" s="1"/>
  <c r="AW176" i="1" a="1"/>
  <c r="AW176" i="1" s="1"/>
  <c r="AW130" i="1" a="1"/>
  <c r="AW130" i="1" s="1"/>
  <c r="J32" i="1"/>
  <c r="J33" i="1" s="1"/>
  <c r="J28" i="1"/>
  <c r="J29" i="1" s="1"/>
  <c r="J30" i="1" s="1"/>
  <c r="J24" i="1"/>
  <c r="J25" i="1" s="1"/>
  <c r="J20" i="1"/>
  <c r="J21" i="1" s="1"/>
  <c r="J22" i="1" s="1"/>
  <c r="J16" i="1"/>
  <c r="J17" i="1" s="1"/>
  <c r="J12" i="1"/>
  <c r="J13" i="1" s="1"/>
  <c r="K32" i="1"/>
  <c r="K33" i="1" s="1"/>
  <c r="K34" i="1" s="1"/>
  <c r="K28" i="1"/>
  <c r="K29" i="1" s="1"/>
  <c r="K30" i="1" s="1"/>
  <c r="K24" i="1"/>
  <c r="K25" i="1" s="1"/>
  <c r="K26" i="1" s="1"/>
  <c r="K20" i="1"/>
  <c r="K21" i="1" s="1"/>
  <c r="K22" i="1" s="1"/>
  <c r="K16" i="1"/>
  <c r="K17" i="1" s="1"/>
  <c r="K18" i="1" s="1"/>
  <c r="K14" i="1"/>
  <c r="K13" i="1"/>
  <c r="K12" i="1"/>
  <c r="AE15" i="1"/>
  <c r="AE19" i="1"/>
  <c r="AE23" i="1"/>
  <c r="AE27" i="1"/>
  <c r="AE3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11" i="1"/>
  <c r="AP11" i="1" s="1"/>
  <c r="AA11" i="1"/>
  <c r="Z11" i="1"/>
  <c r="Y11" i="1"/>
  <c r="X11" i="1"/>
  <c r="T11" i="1"/>
  <c r="W11" i="1"/>
  <c r="S11" i="1" a="1"/>
  <c r="S11" i="1" s="1"/>
  <c r="R11" i="1" a="1"/>
  <c r="Q11" i="1" a="1"/>
  <c r="Q11" i="1" s="1"/>
  <c r="P11" i="1" a="1"/>
  <c r="P11" i="1" s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11" i="1"/>
  <c r="BC25" i="12" l="1"/>
  <c r="BD25" i="12" s="1"/>
  <c r="BC27" i="12"/>
  <c r="BD27" i="12" s="1"/>
  <c r="BC32" i="12"/>
  <c r="BD32" i="12" s="1"/>
  <c r="AI28" i="11"/>
  <c r="AJ28" i="11" s="1"/>
  <c r="AI27" i="11"/>
  <c r="AJ27" i="11" s="1"/>
  <c r="AI18" i="11"/>
  <c r="AJ18" i="11" s="1"/>
  <c r="AI26" i="11"/>
  <c r="AJ26" i="11" s="1"/>
  <c r="AI12" i="11"/>
  <c r="AJ12" i="11" s="1"/>
  <c r="AI19" i="11"/>
  <c r="AJ19" i="11" s="1"/>
  <c r="AI24" i="11"/>
  <c r="AJ24" i="11" s="1"/>
  <c r="AD31" i="1"/>
  <c r="AP31" i="1"/>
  <c r="AD19" i="1"/>
  <c r="AP19" i="1"/>
  <c r="AD30" i="1"/>
  <c r="AP30" i="1"/>
  <c r="AD18" i="1"/>
  <c r="AP18" i="1"/>
  <c r="AD25" i="1"/>
  <c r="AP25" i="1"/>
  <c r="AD13" i="1"/>
  <c r="AP13" i="1"/>
  <c r="AD20" i="1"/>
  <c r="AP20" i="1"/>
  <c r="AD29" i="1"/>
  <c r="AP29" i="1"/>
  <c r="AD28" i="1"/>
  <c r="AP28" i="1"/>
  <c r="AD26" i="1"/>
  <c r="AP26" i="1"/>
  <c r="AD14" i="1"/>
  <c r="AP14" i="1"/>
  <c r="AD24" i="1"/>
  <c r="AP24" i="1"/>
  <c r="AD12" i="1"/>
  <c r="AP12" i="1"/>
  <c r="AD15" i="1"/>
  <c r="AP15" i="1"/>
  <c r="AD23" i="1"/>
  <c r="AP23" i="1"/>
  <c r="AD32" i="1"/>
  <c r="AP32" i="1"/>
  <c r="AD17" i="1"/>
  <c r="AP17" i="1"/>
  <c r="AD16" i="1"/>
  <c r="AP16" i="1"/>
  <c r="AD27" i="1"/>
  <c r="AP27" i="1"/>
  <c r="AD34" i="1"/>
  <c r="AP34" i="1"/>
  <c r="AD22" i="1"/>
  <c r="AP22" i="1"/>
  <c r="AD33" i="1"/>
  <c r="AP33" i="1"/>
  <c r="AD21" i="1"/>
  <c r="AP21" i="1"/>
  <c r="R11" i="1"/>
  <c r="AQ11" i="1" s="1"/>
  <c r="AT11" i="1" s="1"/>
  <c r="AU11" i="1" s="1"/>
  <c r="AQ12" i="1"/>
  <c r="AT12" i="1" s="1"/>
  <c r="AU12" i="1" s="1"/>
  <c r="AX12" i="1" s="1"/>
  <c r="AQ24" i="1"/>
  <c r="AT24" i="1" s="1"/>
  <c r="AQ14" i="1"/>
  <c r="AT14" i="1" s="1"/>
  <c r="AQ26" i="1"/>
  <c r="AT26" i="1" s="1"/>
  <c r="AQ15" i="1"/>
  <c r="AT15" i="1" s="1"/>
  <c r="AU15" i="1" s="1"/>
  <c r="AX15" i="1" s="1"/>
  <c r="AQ27" i="1"/>
  <c r="AT27" i="1" s="1"/>
  <c r="AU27" i="1" s="1"/>
  <c r="AX27" i="1" s="1"/>
  <c r="AQ18" i="1"/>
  <c r="AT18" i="1" s="1"/>
  <c r="AQ31" i="1"/>
  <c r="AT31" i="1" s="1"/>
  <c r="AU31" i="1" s="1"/>
  <c r="AX31" i="1" s="1"/>
  <c r="AQ20" i="1"/>
  <c r="AT20" i="1" s="1"/>
  <c r="AU20" i="1" s="1"/>
  <c r="AX20" i="1" s="1"/>
  <c r="AQ13" i="1"/>
  <c r="AT13" i="1" s="1"/>
  <c r="AQ25" i="1"/>
  <c r="AT25" i="1" s="1"/>
  <c r="AU25" i="1" s="1"/>
  <c r="AX25" i="1" s="1"/>
  <c r="AQ16" i="1"/>
  <c r="AT16" i="1" s="1"/>
  <c r="AQ28" i="1"/>
  <c r="AT28" i="1" s="1"/>
  <c r="AU28" i="1" s="1"/>
  <c r="AX28" i="1" s="1"/>
  <c r="AQ17" i="1"/>
  <c r="AT17" i="1" s="1"/>
  <c r="AQ29" i="1"/>
  <c r="AT29" i="1" s="1"/>
  <c r="AQ30" i="1"/>
  <c r="AT30" i="1" s="1"/>
  <c r="AQ32" i="1"/>
  <c r="AT32" i="1" s="1"/>
  <c r="AQ33" i="1"/>
  <c r="AT33" i="1" s="1"/>
  <c r="AQ22" i="1"/>
  <c r="AT22" i="1" s="1"/>
  <c r="AU22" i="1" s="1"/>
  <c r="AX22" i="1" s="1"/>
  <c r="AQ34" i="1"/>
  <c r="AT34" i="1" s="1"/>
  <c r="AU34" i="1" s="1"/>
  <c r="AX34" i="1" s="1"/>
  <c r="AQ23" i="1"/>
  <c r="AT23" i="1" s="1"/>
  <c r="AU23" i="1" s="1"/>
  <c r="AX23" i="1" s="1"/>
  <c r="AQ19" i="1"/>
  <c r="AT19" i="1" s="1"/>
  <c r="AU19" i="1" s="1"/>
  <c r="AX19" i="1" s="1"/>
  <c r="AQ21" i="1"/>
  <c r="AT21" i="1" s="1"/>
  <c r="AU21" i="1" s="1"/>
  <c r="AX21" i="1" s="1"/>
  <c r="AH11" i="1"/>
  <c r="AH18" i="1"/>
  <c r="AH30" i="1"/>
  <c r="AE12" i="1"/>
  <c r="AH21" i="1"/>
  <c r="AH25" i="1"/>
  <c r="AH13" i="1"/>
  <c r="AH24" i="1"/>
  <c r="AH12" i="1"/>
  <c r="AE16" i="1"/>
  <c r="AH23" i="1"/>
  <c r="AV27" i="1"/>
  <c r="AH34" i="1"/>
  <c r="AH22" i="1"/>
  <c r="AH33" i="1"/>
  <c r="AH32" i="1"/>
  <c r="AH20" i="1"/>
  <c r="AH31" i="1"/>
  <c r="AH19" i="1"/>
  <c r="AH29" i="1"/>
  <c r="AH17" i="1"/>
  <c r="AE32" i="1"/>
  <c r="AH28" i="1"/>
  <c r="AH16" i="1"/>
  <c r="AH27" i="1"/>
  <c r="AH15" i="1"/>
  <c r="AH26" i="1"/>
  <c r="AH14" i="1"/>
  <c r="J14" i="1"/>
  <c r="AE14" i="1" s="1"/>
  <c r="AE13" i="1"/>
  <c r="J18" i="1"/>
  <c r="AE18" i="1" s="1"/>
  <c r="AE17" i="1"/>
  <c r="J26" i="1"/>
  <c r="AE26" i="1" s="1"/>
  <c r="AE25" i="1"/>
  <c r="J34" i="1"/>
  <c r="AE34" i="1" s="1"/>
  <c r="AE33" i="1"/>
  <c r="AF23" i="1"/>
  <c r="AE28" i="1"/>
  <c r="AF34" i="1"/>
  <c r="AF22" i="1"/>
  <c r="AF33" i="1"/>
  <c r="AF21" i="1"/>
  <c r="AF32" i="1"/>
  <c r="AF20" i="1"/>
  <c r="AE24" i="1"/>
  <c r="AF31" i="1"/>
  <c r="AF19" i="1"/>
  <c r="AK19" i="1" s="1"/>
  <c r="AF30" i="1"/>
  <c r="AF18" i="1"/>
  <c r="AE20" i="1"/>
  <c r="AF29" i="1"/>
  <c r="AF17" i="1"/>
  <c r="AF28" i="1"/>
  <c r="AF16" i="1"/>
  <c r="AF27" i="1"/>
  <c r="AF15" i="1"/>
  <c r="AF26" i="1"/>
  <c r="AF14" i="1"/>
  <c r="AF25" i="1"/>
  <c r="AF13" i="1"/>
  <c r="AF24" i="1"/>
  <c r="AF12" i="1"/>
  <c r="AE30" i="1"/>
  <c r="AE21" i="1"/>
  <c r="AE22" i="1"/>
  <c r="AE29" i="1"/>
  <c r="BE11" i="12" l="1"/>
  <c r="AK11" i="11"/>
  <c r="BA25" i="1"/>
  <c r="BB25" i="1"/>
  <c r="BA21" i="1"/>
  <c r="BB21" i="1"/>
  <c r="BA28" i="1"/>
  <c r="BB28" i="1"/>
  <c r="BA19" i="1"/>
  <c r="BB19" i="1"/>
  <c r="BA20" i="1"/>
  <c r="BB20" i="1"/>
  <c r="BA22" i="1"/>
  <c r="BB22" i="1"/>
  <c r="BB27" i="1"/>
  <c r="BA27" i="1"/>
  <c r="BC27" i="1" s="1"/>
  <c r="BD27" i="1" s="1"/>
  <c r="BB23" i="1"/>
  <c r="BA23" i="1"/>
  <c r="BC23" i="1" s="1"/>
  <c r="BD23" i="1" s="1"/>
  <c r="BA34" i="1"/>
  <c r="BB34" i="1"/>
  <c r="BA15" i="1"/>
  <c r="BB15" i="1"/>
  <c r="BB12" i="1"/>
  <c r="BA12" i="1"/>
  <c r="BC12" i="1" s="1"/>
  <c r="BD12" i="1" s="1"/>
  <c r="BA31" i="1"/>
  <c r="BB31" i="1"/>
  <c r="AK26" i="1"/>
  <c r="AV34" i="1"/>
  <c r="AU29" i="1"/>
  <c r="AK24" i="1"/>
  <c r="AV15" i="1"/>
  <c r="AK33" i="1"/>
  <c r="AU16" i="1"/>
  <c r="AV25" i="1"/>
  <c r="AV19" i="1"/>
  <c r="AL19" i="1" s="1"/>
  <c r="BF19" i="1" s="1"/>
  <c r="AV22" i="1"/>
  <c r="AL22" i="1" s="1"/>
  <c r="BF22" i="1" s="1"/>
  <c r="AU18" i="1"/>
  <c r="AV23" i="1"/>
  <c r="AU33" i="1"/>
  <c r="AV28" i="1"/>
  <c r="AV31" i="1"/>
  <c r="AV12" i="1"/>
  <c r="AU32" i="1"/>
  <c r="AV20" i="1"/>
  <c r="AU30" i="1"/>
  <c r="AU26" i="1"/>
  <c r="AU14" i="1"/>
  <c r="AV21" i="1"/>
  <c r="AU13" i="1"/>
  <c r="AU17" i="1"/>
  <c r="AU24" i="1"/>
  <c r="AK15" i="1"/>
  <c r="AK27" i="1"/>
  <c r="AL27" i="1" s="1"/>
  <c r="BF27" i="1" s="1"/>
  <c r="AK22" i="1"/>
  <c r="AK21" i="1"/>
  <c r="AK18" i="1"/>
  <c r="AK13" i="1"/>
  <c r="AK30" i="1"/>
  <c r="AK29" i="1"/>
  <c r="AK34" i="1"/>
  <c r="AL34" i="1" s="1"/>
  <c r="BF34" i="1" s="1"/>
  <c r="AK12" i="1"/>
  <c r="AK20" i="1"/>
  <c r="AK28" i="1"/>
  <c r="AK14" i="1"/>
  <c r="AK23" i="1"/>
  <c r="AK32" i="1"/>
  <c r="AK31" i="1"/>
  <c r="AL31" i="1" s="1"/>
  <c r="BF31" i="1" s="1"/>
  <c r="AK25" i="1"/>
  <c r="AK16" i="1"/>
  <c r="AK17" i="1"/>
  <c r="AL28" i="1" l="1"/>
  <c r="BF28" i="1" s="1"/>
  <c r="BC31" i="1"/>
  <c r="BD31" i="1" s="1"/>
  <c r="BC20" i="1"/>
  <c r="BD20" i="1" s="1"/>
  <c r="BC15" i="1"/>
  <c r="BD15" i="1" s="1"/>
  <c r="BC34" i="1"/>
  <c r="BD34" i="1" s="1"/>
  <c r="BC21" i="1"/>
  <c r="BD21" i="1" s="1"/>
  <c r="BC22" i="1"/>
  <c r="BD22" i="1" s="1"/>
  <c r="BC19" i="1"/>
  <c r="BD19" i="1" s="1"/>
  <c r="BC28" i="1"/>
  <c r="BD28" i="1" s="1"/>
  <c r="BC25" i="1"/>
  <c r="BD25" i="1" s="1"/>
  <c r="AL25" i="1"/>
  <c r="BF25" i="1" s="1"/>
  <c r="AL21" i="1"/>
  <c r="BF21" i="1" s="1"/>
  <c r="AL23" i="1"/>
  <c r="BF23" i="1" s="1"/>
  <c r="AL15" i="1"/>
  <c r="BF15" i="1" s="1"/>
  <c r="AX29" i="1"/>
  <c r="AV29" i="1"/>
  <c r="AL29" i="1" s="1"/>
  <c r="BF29" i="1" s="1"/>
  <c r="AX32" i="1"/>
  <c r="AV32" i="1"/>
  <c r="AL32" i="1" s="1"/>
  <c r="BF32" i="1" s="1"/>
  <c r="AX24" i="1"/>
  <c r="AV24" i="1"/>
  <c r="AL24" i="1" s="1"/>
  <c r="BF24" i="1" s="1"/>
  <c r="AX17" i="1"/>
  <c r="AV17" i="1"/>
  <c r="AL17" i="1" s="1"/>
  <c r="BF17" i="1" s="1"/>
  <c r="AX33" i="1"/>
  <c r="AV33" i="1"/>
  <c r="AL33" i="1" s="1"/>
  <c r="BF33" i="1" s="1"/>
  <c r="AX18" i="1"/>
  <c r="AV18" i="1"/>
  <c r="AL18" i="1" s="1"/>
  <c r="BF18" i="1" s="1"/>
  <c r="AL12" i="1"/>
  <c r="BF12" i="1" s="1"/>
  <c r="AX14" i="1"/>
  <c r="AV14" i="1"/>
  <c r="AL14" i="1" s="1"/>
  <c r="BF14" i="1" s="1"/>
  <c r="AL20" i="1"/>
  <c r="BF20" i="1" s="1"/>
  <c r="AX13" i="1"/>
  <c r="AV13" i="1"/>
  <c r="AL13" i="1" s="1"/>
  <c r="BF13" i="1" s="1"/>
  <c r="AX26" i="1"/>
  <c r="AV26" i="1"/>
  <c r="AL26" i="1" s="1"/>
  <c r="BF26" i="1" s="1"/>
  <c r="AX30" i="1"/>
  <c r="AV30" i="1"/>
  <c r="AL30" i="1" s="1"/>
  <c r="BF30" i="1" s="1"/>
  <c r="AX16" i="1"/>
  <c r="AV16" i="1"/>
  <c r="AL16" i="1" s="1"/>
  <c r="BF16" i="1" s="1"/>
  <c r="AX11" i="1"/>
  <c r="AJ11" i="1"/>
  <c r="AV11" i="1" s="1"/>
  <c r="AF11" i="1"/>
  <c r="AE11" i="1"/>
  <c r="AD11" i="1"/>
  <c r="BA26" i="1" l="1"/>
  <c r="BB26" i="1"/>
  <c r="BB24" i="1"/>
  <c r="BA24" i="1"/>
  <c r="BC24" i="1" s="1"/>
  <c r="BD24" i="1" s="1"/>
  <c r="BA32" i="1"/>
  <c r="BB32" i="1"/>
  <c r="BA17" i="1"/>
  <c r="BB17" i="1"/>
  <c r="BA13" i="1"/>
  <c r="BB13" i="1"/>
  <c r="BA14" i="1"/>
  <c r="BB14" i="1"/>
  <c r="BB11" i="1"/>
  <c r="BA11" i="1"/>
  <c r="BB29" i="1"/>
  <c r="BA29" i="1"/>
  <c r="BC29" i="1" s="1"/>
  <c r="BD29" i="1" s="1"/>
  <c r="BA16" i="1"/>
  <c r="BB16" i="1"/>
  <c r="BA18" i="1"/>
  <c r="BB18" i="1"/>
  <c r="BA30" i="1"/>
  <c r="BB30" i="1"/>
  <c r="BA33" i="1"/>
  <c r="BB33" i="1"/>
  <c r="AK11" i="1"/>
  <c r="AL11" i="1" s="1"/>
  <c r="BF11" i="1" s="1"/>
  <c r="BG11" i="1" s="1"/>
  <c r="BC26" i="1" l="1"/>
  <c r="BD26" i="1" s="1"/>
  <c r="BC33" i="1"/>
  <c r="BD33" i="1" s="1"/>
  <c r="BC13" i="1"/>
  <c r="BD13" i="1" s="1"/>
  <c r="BC18" i="1"/>
  <c r="BD18" i="1" s="1"/>
  <c r="BC16" i="1"/>
  <c r="BD16" i="1" s="1"/>
  <c r="BC14" i="1"/>
  <c r="BD14" i="1" s="1"/>
  <c r="BC17" i="1"/>
  <c r="BD17" i="1" s="1"/>
  <c r="BC32" i="1"/>
  <c r="BD32" i="1" s="1"/>
  <c r="BC11" i="1"/>
  <c r="BD11" i="1" s="1"/>
  <c r="BC30" i="1"/>
  <c r="BD30" i="1" s="1"/>
  <c r="BH11" i="1"/>
  <c r="BK11" i="1" s="1"/>
  <c r="BJ11" i="1"/>
  <c r="BI11" i="1"/>
  <c r="BL11" i="1" s="1"/>
  <c r="BE11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E504BC6-502E-1145-AD31-C6E5E29489C0}" keepAlive="1" name="Query - Query" description="Connection to the 'Query' query in the workbook." type="5" refreshedVersion="8" background="1" saveData="1">
    <dbPr connection="Provider=Microsoft.Mashup.OleDb.1;Data Source=$Workbook$;Location=Query;Extended Properties=&quot;&quot;" command="SELECT * FROM [Query]"/>
  </connection>
  <connection id="2" xr16:uid="{FF4627BE-BD9C-5D4C-B100-C63B2BD36218}" keepAlive="1" name="Query - Query (2)" description="Connection to the 'Query (2)' query in the workbook." type="5" refreshedVersion="8" background="1" saveData="1">
    <dbPr connection="Provider=Microsoft.Mashup.OleDb.1;Data Source=$Workbook$;Location=&quot;Query (2)&quot;;Extended Properties=&quot;&quot;" command="SELECT * FROM [Query (2)]"/>
  </connection>
  <connection id="3" xr16:uid="{773D2F4B-ABBE-1940-B146-815D639418EE}" keepAlive="1" name="Query - Query (3)" description="Connection to the 'Query (3)' query in the workbook." type="5" refreshedVersion="8" background="1" saveData="1">
    <dbPr connection="Provider=Microsoft.Mashup.OleDb.1;Data Source=$Workbook$;Location=&quot;Query (3)&quot;;Extended Properties=&quot;&quot;" command="SELECT * FROM [Query (3)]"/>
  </connection>
  <connection id="4" xr16:uid="{1FA873FA-F7E5-4949-9674-C733383873C9}" keepAlive="1" name="Query - QueryDMA" description="Connection to the 'QueryDMA' query in the workbook." type="5" refreshedVersion="8" background="1" saveData="1">
    <dbPr connection="Provider=Microsoft.Mashup.OleDb.1;Data Source=$Workbook$;Location=QueryDMA;Extended Properties=&quot;&quot;" command="SELECT * FROM [QueryDMA]"/>
  </connection>
  <connection id="5" xr16:uid="{D28D0EF4-6DEB-434E-8A90-DBD5719367B8}" keepAlive="1" name="Query - QueryDMA (2)" description="Connection to the 'QueryDMA (2)' query in the workbook." type="5" refreshedVersion="8" background="1" saveData="1">
    <dbPr connection="Provider=Microsoft.Mashup.OleDb.1;Data Source=$Workbook$;Location=&quot;QueryDMA (2)&quot;;Extended Properties=&quot;&quot;" command="SELECT * FROM [QueryDMA (2)]"/>
  </connection>
  <connection id="6" xr16:uid="{A243715A-049A-9341-A803-56C90EF15CC5}" keepAlive="1" name="Query - QueryDMA (3)" description="Connection to the 'QueryDMA (3)' query in the workbook." type="5" refreshedVersion="8" background="1" saveData="1">
    <dbPr connection="Provider=Microsoft.Mashup.OleDb.1;Data Source=$Workbook$;Location=&quot;QueryDMA (3)&quot;;Extended Properties=&quot;&quot;" command="SELECT * FROM [QueryDMA (3)]"/>
  </connection>
  <connection id="7" xr16:uid="{41A28881-E26E-7849-A14A-D30CE43DAA24}" keepAlive="1" name="Query - QueryDMD" description="Connection to the 'QueryDMD' query in the workbook." type="5" refreshedVersion="8" background="1" saveData="1">
    <dbPr connection="Provider=Microsoft.Mashup.OleDb.1;Data Source=$Workbook$;Location=QueryDMD;Extended Properties=&quot;&quot;" command="SELECT * FROM [QueryDMD]"/>
  </connection>
  <connection id="8" xr16:uid="{9E639375-34F6-BA4E-A2E2-A65AD21E2C08}" keepAlive="1" name="Query - QueryDMD (2)" description="Connection to the 'QueryDMD (2)' query in the workbook." type="5" refreshedVersion="8" background="1" saveData="1">
    <dbPr connection="Provider=Microsoft.Mashup.OleDb.1;Data Source=$Workbook$;Location=&quot;QueryDMD (2)&quot;;Extended Properties=&quot;&quot;" command="SELECT * FROM [QueryDMD (2)]"/>
  </connection>
  <connection id="9" xr16:uid="{C9B36960-8CD3-184C-BC36-FA652FC17E51}" keepAlive="1" name="Query - QueryDMD (3)" description="Connection to the 'QueryDMD (3)' query in the workbook." type="5" refreshedVersion="8" background="1" saveData="1">
    <dbPr connection="Provider=Microsoft.Mashup.OleDb.1;Data Source=$Workbook$;Location=&quot;QueryDMD (3)&quot;;Extended Properties=&quot;&quot;" command="SELECT * FROM [QueryDMD (3)]"/>
  </connection>
  <connection id="10" xr16:uid="{E28AED8C-4724-3B46-AF3B-DFAA5BCF233F}" keepAlive="1" name="Query - QueryDMD (4)" description="Connection to the 'QueryDMD (4)' query in the workbook." type="5" refreshedVersion="8" background="1" saveData="1">
    <dbPr connection="Provider=Microsoft.Mashup.OleDb.1;Data Source=$Workbook$;Location=&quot;QueryDMD (4)&quot;;Extended Properties=&quot;&quot;" command="SELECT * FROM [QueryDMD (4)]"/>
  </connection>
  <connection id="11" xr16:uid="{C92DAC25-0CF3-0348-8162-75CC4A1EF107}" keepAlive="1" name="Query - QuerySRW" description="Connection to the 'QuerySRW' query in the workbook." type="5" refreshedVersion="8" background="1" saveData="1">
    <dbPr connection="Provider=Microsoft.Mashup.OleDb.1;Data Source=$Workbook$;Location=QuerySRW;Extended Properties=&quot;&quot;" command="SELECT * FROM [QuerySRW]"/>
  </connection>
  <connection id="12" xr16:uid="{D6F1C9C6-E113-4B4B-A909-4D767B3FBD0F}" keepAlive="1" name="Query - QuerySRW (2)" description="Connection to the 'QuerySRW (2)' query in the workbook." type="5" refreshedVersion="8" background="1" saveData="1">
    <dbPr connection="Provider=Microsoft.Mashup.OleDb.1;Data Source=$Workbook$;Location=&quot;QuerySRW (2)&quot;;Extended Properties=&quot;&quot;" command="SELECT * FROM [QuerySRW (2)]"/>
  </connection>
  <connection id="13" xr16:uid="{49927F3D-D887-9943-8AE1-55CA6F0781E2}" keepAlive="1" name="Query - QuerySRW (3)" description="Connection to the 'QuerySRW (3)' query in the workbook." type="5" refreshedVersion="8" background="1" saveData="1">
    <dbPr connection="Provider=Microsoft.Mashup.OleDb.1;Data Source=$Workbook$;Location=&quot;QuerySRW (3)&quot;;Extended Properties=&quot;&quot;" command="SELECT * FROM [QuerySRW (3)]"/>
  </connection>
  <connection id="14" xr16:uid="{D8F78118-7ECB-DE47-AE32-9B4EDCA8BB29}" keepAlive="1" name="Query - QuerySRW (4)" description="Connection to the 'QuerySRW (4)' query in the workbook." type="5" refreshedVersion="8" background="1" saveData="1">
    <dbPr connection="Provider=Microsoft.Mashup.OleDb.1;Data Source=$Workbook$;Location=&quot;QuerySRW (4)&quot;;Extended Properties=&quot;&quot;" command="SELECT * FROM [QuerySRW (4)]"/>
  </connection>
  <connection id="15" xr16:uid="{DE24792F-6614-A04A-9A5F-C712C5F3839F}" keepAlive="1" name="Query - QueryW" description="Connection to the 'QueryW' query in the workbook." type="5" refreshedVersion="8" background="1" saveData="1">
    <dbPr connection="Provider=Microsoft.Mashup.OleDb.1;Data Source=$Workbook$;Location=QueryW;Extended Properties=&quot;&quot;" command="SELECT * FROM [QueryW]"/>
  </connection>
  <connection id="16" xr16:uid="{43F4C222-C066-BB43-A96A-0B3A47425A4D}" keepAlive="1" name="Query - QueryW (2)" description="Connection to the 'QueryW (2)' query in the workbook." type="5" refreshedVersion="8" background="1" saveData="1">
    <dbPr connection="Provider=Microsoft.Mashup.OleDb.1;Data Source=$Workbook$;Location=&quot;QueryW (2)&quot;;Extended Properties=&quot;&quot;" command="SELECT * FROM [QueryW (2)]"/>
  </connection>
  <connection id="17" xr16:uid="{C32D61DF-4381-1247-9CCE-348868807927}" keepAlive="1" name="Query - QueryW (3)" description="Connection to the 'QueryW (3)' query in the workbook." type="5" refreshedVersion="8" background="1" saveData="1">
    <dbPr connection="Provider=Microsoft.Mashup.OleDb.1;Data Source=$Workbook$;Location=&quot;QueryW (3)&quot;;Extended Properties=&quot;&quot;" command="SELECT * FROM [QueryW (3)]"/>
  </connection>
  <connection id="18" xr16:uid="{F128CE2B-3CF9-B14D-BE99-4406112105C7}" keepAlive="1" name="Query - sheepPivot" description="Connection to the 'sheepPivot' query in the workbook." type="5" refreshedVersion="0" background="1">
    <dbPr connection="Provider=Microsoft.Mashup.OleDb.1;Data Source=$Workbook$;Location=sheepPivot;Extended Properties=&quot;&quot;" command="SELECT * FROM [sheepPivot]"/>
  </connection>
  <connection id="19" xr16:uid="{6B90C28E-5C71-3C49-B8D4-E29F2ADC1BB5}" keepAlive="1" name="Query - TableLWG2" description="Connection to the 'TableLWG2' query in the workbook." type="5" refreshedVersion="8" background="1" saveData="1">
    <dbPr connection="Provider=Microsoft.Mashup.OleDb.1;Data Source=$Workbook$;Location=TableLWG2;Extended Properties=&quot;&quot;" command="SELECT * FROM [TableLWG2]"/>
  </connection>
  <connection id="20" xr16:uid="{7F5EAE14-6009-EB44-8D26-3B951D02083B}" keepAlive="1" name="Query - TableLWG2 (2)" description="Connection to the 'TableLWG2 (2)' query in the workbook." type="5" refreshedVersion="8" background="1" saveData="1">
    <dbPr connection="Provider=Microsoft.Mashup.OleDb.1;Data Source=$Workbook$;Location=&quot;TableLWG2 (2)&quot;;Extended Properties=&quot;&quot;" command="SELECT * FROM [TableLWG2 (2)]"/>
  </connection>
  <connection id="21" xr16:uid="{8EBC89DB-D149-C448-876F-52A75E334150}" keepAlive="1" name="Query - TableLWG2 (3)" description="Connection to the 'TableLWG2 (3)' query in the workbook." type="5" refreshedVersion="8" background="1" saveData="1">
    <dbPr connection="Provider=Microsoft.Mashup.OleDb.1;Data Source=$Workbook$;Location=&quot;TableLWG2 (3)&quot;;Extended Properties=&quot;&quot;" command="SELECT * FROM [TableLWG2 (3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<sst xmlns="http://schemas.openxmlformats.org/spreadsheetml/2006/main" count="2761" uniqueCount="277">
  <si>
    <t>AE * FracWet * FracLEACH</t>
  </si>
  <si>
    <t>AE * FracGASMsoil</t>
  </si>
  <si>
    <t>LEjk=3,4 * 1.6</t>
  </si>
  <si>
    <t>GWk * Yk / 365</t>
  </si>
  <si>
    <t>LWGjk * 0.92</t>
  </si>
  <si>
    <t>Wjk / SRWk</t>
  </si>
  <si>
    <t>1.6 * PLjk=6</t>
  </si>
  <si>
    <t>(Ijk * CPjk) + (0.045 * MCjk=6)</t>
  </si>
  <si>
    <t>((0.045 * MPjk=3,4) + (WPk * 0.84) + (EBGjk * ((212 - 4 * ((EBGjk * 1000) / (4 * SRWk ^0.75) - 1)) - (140 - 4 * (EBGjk * 1000)) / (1 + e^-6 * (Zjk - 0.4)) * 10^-3) / 6.25</t>
  </si>
  <si>
    <t>(CPIjk ÷ 6.25 ) - NRjk</t>
  </si>
  <si>
    <t>SUM SUM (Njk * NEjk * Dj)</t>
  </si>
  <si>
    <t>(Ijk * ((1 - DMDjk) + (0.04 * Ijk))) * ( 1 - A )</t>
  </si>
  <si>
    <t>VSjk * BO * MMSm * MCFim * 𝜌</t>
  </si>
  <si>
    <t>SUM SUM SUM (Njk * Mjkm * Dj) * 10^-3</t>
  </si>
  <si>
    <t>AE * EFPRP * CN2O * 10^-3</t>
  </si>
  <si>
    <t>Mvol * EFN2O * CN2O * 10^-3</t>
  </si>
  <si>
    <t>Mleach * EFleach * CN2O * 10^-3</t>
  </si>
  <si>
    <t>1072</t>
  </si>
  <si>
    <t>1073</t>
  </si>
  <si>
    <t>1071</t>
  </si>
  <si>
    <t>1075</t>
  </si>
  <si>
    <t>1079</t>
  </si>
  <si>
    <t>1078</t>
  </si>
  <si>
    <t>1077</t>
  </si>
  <si>
    <t>1081</t>
  </si>
  <si>
    <t>1082</t>
  </si>
  <si>
    <t>1092</t>
  </si>
  <si>
    <t>1094</t>
  </si>
  <si>
    <t>1062</t>
  </si>
  <si>
    <t>1095</t>
  </si>
  <si>
    <t>1093</t>
  </si>
  <si>
    <t>1045</t>
  </si>
  <si>
    <t>1091</t>
  </si>
  <si>
    <t>1004</t>
  </si>
  <si>
    <t>1003</t>
  </si>
  <si>
    <t>1011</t>
  </si>
  <si>
    <t>1017</t>
  </si>
  <si>
    <t>1089</t>
  </si>
  <si>
    <t>1021</t>
  </si>
  <si>
    <t>990</t>
  </si>
  <si>
    <t>988</t>
  </si>
  <si>
    <t>983</t>
  </si>
  <si>
    <t>994</t>
  </si>
  <si>
    <t>978</t>
  </si>
  <si>
    <t>970</t>
  </si>
  <si>
    <t>1090</t>
  </si>
  <si>
    <t>1088</t>
  </si>
  <si>
    <t>946</t>
  </si>
  <si>
    <t>1087</t>
  </si>
  <si>
    <t>945</t>
  </si>
  <si>
    <t>1084</t>
  </si>
  <si>
    <t>1085</t>
  </si>
  <si>
    <t>1086</t>
  </si>
  <si>
    <t>930</t>
  </si>
  <si>
    <t>922</t>
  </si>
  <si>
    <t>963</t>
  </si>
  <si>
    <t>1037</t>
  </si>
  <si>
    <t>1056</t>
  </si>
  <si>
    <t>input</t>
  </si>
  <si>
    <t>constant</t>
  </si>
  <si>
    <t>expression</t>
  </si>
  <si>
    <t/>
  </si>
  <si>
    <t>kg / head</t>
  </si>
  <si>
    <t>d</t>
  </si>
  <si>
    <t>head</t>
  </si>
  <si>
    <t>days</t>
  </si>
  <si>
    <t>kg</t>
  </si>
  <si>
    <t>kg N</t>
  </si>
  <si>
    <t>kg N2O-N / kg N</t>
  </si>
  <si>
    <t>kg volatilised N/kg N</t>
  </si>
  <si>
    <t>kg N2O-N/kg N</t>
  </si>
  <si>
    <t>kg/head/day</t>
  </si>
  <si>
    <t>kg / head / day</t>
  </si>
  <si>
    <t>kg N/head/day</t>
  </si>
  <si>
    <t>kg N2O-N/kg N deposited</t>
  </si>
  <si>
    <t>kg DM/head/day</t>
  </si>
  <si>
    <t>m3 CH4/kgVS</t>
  </si>
  <si>
    <t>kg/m3</t>
  </si>
  <si>
    <t>kg CH4/head/day</t>
  </si>
  <si>
    <t>kg CH4</t>
  </si>
  <si>
    <t>t N2O</t>
  </si>
  <si>
    <t>greasy wool production per class</t>
  </si>
  <si>
    <t>average clean wool yield per class</t>
  </si>
  <si>
    <t>number of sheep in each time period and class</t>
  </si>
  <si>
    <t>number of days in each time period</t>
  </si>
  <si>
    <t>liveweight gain</t>
  </si>
  <si>
    <t>crude protein content of feed intake</t>
  </si>
  <si>
    <t>dry matter digestibility</t>
  </si>
  <si>
    <t>liveweight</t>
  </si>
  <si>
    <t>methane conversion factor for temperate zone and MMS</t>
  </si>
  <si>
    <t>fraction of N that is available for leaching and runoff</t>
  </si>
  <si>
    <t>fraction of all N that is lost through leaching and runoff</t>
  </si>
  <si>
    <t>mass of nitrogen lost ot leaching and runoff</t>
  </si>
  <si>
    <t>emissions factor for leaching and runoff</t>
  </si>
  <si>
    <t>fraction of nitrogen volatilised from urine and dung on pasture</t>
  </si>
  <si>
    <t>Mass of nitrogen volatilised</t>
  </si>
  <si>
    <t>NO2 emission factor for atmospheric deposition</t>
  </si>
  <si>
    <t>proportion of ewes lactating each season or time period</t>
  </si>
  <si>
    <t>milk production</t>
  </si>
  <si>
    <t>clean wool production</t>
  </si>
  <si>
    <t>empty body gain</t>
  </si>
  <si>
    <t>standard reference weight</t>
  </si>
  <si>
    <t>relative size</t>
  </si>
  <si>
    <t>Proportion of lambs born in the time period</t>
  </si>
  <si>
    <t>Milk intake</t>
  </si>
  <si>
    <t>crude protein intake</t>
  </si>
  <si>
    <t>amount of nitrogen retained by the body</t>
  </si>
  <si>
    <t>Nitrogen excreted in each time period</t>
  </si>
  <si>
    <t>Total mass of nitrogen excreted on PRP</t>
  </si>
  <si>
    <t>Emissions factor for nitrous oxide from urine and dung</t>
  </si>
  <si>
    <t>Factor to convert elemental mass of NO2 to molecular mass</t>
  </si>
  <si>
    <t>dry matter intake</t>
  </si>
  <si>
    <t>ash content of feed intake</t>
  </si>
  <si>
    <t>volatile solid production</t>
  </si>
  <si>
    <t>emisions potential</t>
  </si>
  <si>
    <t>fraction of waste in each MMS</t>
  </si>
  <si>
    <t>density of methane</t>
  </si>
  <si>
    <t>methane produced from manure</t>
  </si>
  <si>
    <t>annual methane production from manure</t>
  </si>
  <si>
    <t>annual direct NO2 from soils from deposition of urine and dung</t>
  </si>
  <si>
    <t>annual atmospheric deposition emissions from urine and dung on pasture</t>
  </si>
  <si>
    <t>Leaching and runoff emissions from urine and dung deposited on pasture</t>
  </si>
  <si>
    <t>GWk</t>
  </si>
  <si>
    <t>Yk</t>
  </si>
  <si>
    <t>Njk</t>
  </si>
  <si>
    <t>Dj</t>
  </si>
  <si>
    <t>LWGjk</t>
  </si>
  <si>
    <t>CPjk</t>
  </si>
  <si>
    <t>DMDjk</t>
  </si>
  <si>
    <t>Wjk</t>
  </si>
  <si>
    <t>FracWet</t>
  </si>
  <si>
    <t>FracLEACH</t>
  </si>
  <si>
    <t>Mleach</t>
  </si>
  <si>
    <t>EFleach</t>
  </si>
  <si>
    <t>FracGASMsoil</t>
  </si>
  <si>
    <t>Mvol</t>
  </si>
  <si>
    <t>EFN2O</t>
  </si>
  <si>
    <t>LEjk=3,4</t>
  </si>
  <si>
    <t>MPjk=3,4</t>
  </si>
  <si>
    <t>WPk</t>
  </si>
  <si>
    <t>EBGjk</t>
  </si>
  <si>
    <t>SRWk</t>
  </si>
  <si>
    <t>Zjk</t>
  </si>
  <si>
    <t>PLjk=6</t>
  </si>
  <si>
    <t>MCjk=6</t>
  </si>
  <si>
    <t>CPIjk</t>
  </si>
  <si>
    <t>NRjk</t>
  </si>
  <si>
    <t>NEjk</t>
  </si>
  <si>
    <t>AE</t>
  </si>
  <si>
    <t>EFPRP</t>
  </si>
  <si>
    <t>CN2O</t>
  </si>
  <si>
    <t>Ijk</t>
  </si>
  <si>
    <t>A</t>
  </si>
  <si>
    <t>VSjk</t>
  </si>
  <si>
    <t>BO</t>
  </si>
  <si>
    <t>𝜌</t>
  </si>
  <si>
    <t>ECH4</t>
  </si>
  <si>
    <t>EN2O,dir</t>
  </si>
  <si>
    <t>EN2O,ad</t>
  </si>
  <si>
    <t>ESN2O,leach</t>
  </si>
  <si>
    <t>Scenario</t>
  </si>
  <si>
    <t>Class</t>
  </si>
  <si>
    <t>Rams</t>
  </si>
  <si>
    <t>Spring</t>
  </si>
  <si>
    <t>Summer</t>
  </si>
  <si>
    <t>Autumn</t>
  </si>
  <si>
    <t>Winter</t>
  </si>
  <si>
    <t>Wethers</t>
  </si>
  <si>
    <t>Maiden ewes</t>
  </si>
  <si>
    <t>Breeding ewes</t>
  </si>
  <si>
    <t>Other ewes</t>
  </si>
  <si>
    <t>Lambs and hoggets</t>
  </si>
  <si>
    <t>A.1.4.5</t>
  </si>
  <si>
    <t>ACT/NSW</t>
  </si>
  <si>
    <t>Queensland</t>
  </si>
  <si>
    <t>South Australia</t>
  </si>
  <si>
    <t>Tasmania</t>
  </si>
  <si>
    <t>Victoria</t>
  </si>
  <si>
    <t>Western Australia</t>
  </si>
  <si>
    <t>State</t>
  </si>
  <si>
    <t>Season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</si>
  <si>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</si>
  <si>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</si>
  <si>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</si>
  <si>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</si>
  <si>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</si>
  <si>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</si>
  <si>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</si>
  <si>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</si>
  <si>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SeasonOrder</t>
  </si>
  <si>
    <t>A.1.4.4</t>
  </si>
  <si>
    <t>A.1.4.2</t>
  </si>
  <si>
    <t>A.1.4.1</t>
  </si>
  <si>
    <t>ACT</t>
  </si>
  <si>
    <t>NSW </t>
  </si>
  <si>
    <t>QLD </t>
  </si>
  <si>
    <t>SA </t>
  </si>
  <si>
    <t>TAS </t>
  </si>
  <si>
    <t>VIC </t>
  </si>
  <si>
    <t>WA </t>
  </si>
  <si>
    <t>MCF</t>
  </si>
  <si>
    <t>Lagoon</t>
  </si>
  <si>
    <t>PRP</t>
  </si>
  <si>
    <t>ACT </t>
  </si>
  <si>
    <t>99.25 </t>
  </si>
  <si>
    <t>99.55 </t>
  </si>
  <si>
    <t>99.91 </t>
  </si>
  <si>
    <t>99.74 </t>
  </si>
  <si>
    <t>99.50 </t>
  </si>
  <si>
    <t>99.17 </t>
  </si>
  <si>
    <t>99.59 </t>
  </si>
  <si>
    <t>MMS</t>
  </si>
  <si>
    <t>No unfenced water</t>
  </si>
  <si>
    <t>yes</t>
  </si>
  <si>
    <t>MMSm=14</t>
  </si>
  <si>
    <t>MMSm=1</t>
  </si>
  <si>
    <t>MCFim=14</t>
  </si>
  <si>
    <t>MCFim=1</t>
  </si>
  <si>
    <t>Leaching zone</t>
  </si>
  <si>
    <t>FracGASMSoil</t>
  </si>
  <si>
    <t>EFLeach</t>
  </si>
  <si>
    <t>Production system</t>
  </si>
  <si>
    <t>Aquaculture </t>
  </si>
  <si>
    <t>Aquaculture</t>
  </si>
  <si>
    <t>Irrigated pasture</t>
  </si>
  <si>
    <t>Irrigated crop</t>
  </si>
  <si>
    <t>Non-irrigated pasture</t>
  </si>
  <si>
    <t>Non-irrigated crop (low rainfall)</t>
  </si>
  <si>
    <t>Non-irrigated crop (high rainfall)</t>
  </si>
  <si>
    <t>Sugar</t>
  </si>
  <si>
    <t>Cotton</t>
  </si>
  <si>
    <t>Horticultural crops</t>
  </si>
  <si>
    <t>Rice (continuous flooding)</t>
  </si>
  <si>
    <t>Rice (single and multiple drainage, or alternate wetting and drying)</t>
  </si>
  <si>
    <t>Forestry</t>
  </si>
  <si>
    <t>LR</t>
  </si>
  <si>
    <t>Lambing rate</t>
  </si>
  <si>
    <t>Lamb marking rate</t>
  </si>
  <si>
    <t>3.4.1</t>
  </si>
  <si>
    <t>3.4.1 321</t>
  </si>
  <si>
    <t>LMR</t>
  </si>
  <si>
    <t>78 </t>
  </si>
  <si>
    <t>62 </t>
  </si>
  <si>
    <t>57 </t>
  </si>
  <si>
    <t>70 </t>
  </si>
  <si>
    <t>60 </t>
  </si>
  <si>
    <t>50 </t>
  </si>
  <si>
    <t>84 </t>
  </si>
  <si>
    <t>72 </t>
  </si>
  <si>
    <t>77 </t>
  </si>
  <si>
    <t>66 </t>
  </si>
  <si>
    <t>55 </t>
  </si>
  <si>
    <t>Table A.1.4.6</t>
  </si>
  <si>
    <t>Climate zone</t>
  </si>
  <si>
    <t>wet</t>
  </si>
  <si>
    <t>dry</t>
  </si>
  <si>
    <t>Ch 3.4.1</t>
  </si>
  <si>
    <t>Bo</t>
  </si>
  <si>
    <t>p</t>
  </si>
  <si>
    <t>PIjk</t>
  </si>
  <si>
    <t>RIjk</t>
  </si>
  <si>
    <t>MAjk</t>
  </si>
  <si>
    <t>DMAjk</t>
  </si>
  <si>
    <t>A.1.4.3</t>
  </si>
  <si>
    <t>qmjk</t>
  </si>
  <si>
    <t>FAk</t>
  </si>
  <si>
    <t>Mjkm=1</t>
  </si>
  <si>
    <t>Mjkm=14</t>
  </si>
  <si>
    <t>Mjk</t>
  </si>
  <si>
    <t>Baseline</t>
  </si>
  <si>
    <t>NSW</t>
  </si>
  <si>
    <t>QLD</t>
  </si>
  <si>
    <t>SA</t>
  </si>
  <si>
    <t>TAS</t>
  </si>
  <si>
    <t>VIC</t>
  </si>
  <si>
    <t>WA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</si>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</sst>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0"/>
      <name val="Helvetica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0" xfId="0" applyFill="1"/>
    <xf numFmtId="0" fontId="0" fillId="4" borderId="1" xfId="0" applyFont="1" applyFill="1" applyBorder="1"/>
    <xf numFmtId="0" fontId="0" fillId="4" borderId="2" xfId="0" applyFont="1" applyFill="1" applyBorder="1"/>
    <xf numFmtId="0" fontId="0" fillId="5" borderId="1" xfId="0" applyFont="1" applyFill="1" applyBorder="1"/>
    <xf numFmtId="0" fontId="1" fillId="3" borderId="7" xfId="0" applyFont="1" applyFill="1" applyBorder="1"/>
    <xf numFmtId="0" fontId="0" fillId="4" borderId="9" xfId="0" applyFont="1" applyFill="1" applyBorder="1"/>
    <xf numFmtId="0" fontId="0" fillId="4" borderId="4" xfId="0" applyFont="1" applyFill="1" applyBorder="1"/>
    <xf numFmtId="0" fontId="0" fillId="0" borderId="0" xfId="0" applyNumberFormat="1"/>
    <xf numFmtId="0" fontId="0" fillId="4" borderId="12" xfId="0" applyFont="1" applyFill="1" applyBorder="1"/>
    <xf numFmtId="0" fontId="0" fillId="4" borderId="13" xfId="0" applyFont="1" applyFill="1" applyBorder="1"/>
    <xf numFmtId="0" fontId="0" fillId="4" borderId="14" xfId="0" applyFont="1" applyFill="1" applyBorder="1"/>
    <xf numFmtId="0" fontId="0" fillId="6" borderId="11" xfId="0" applyNumberFormat="1" applyFont="1" applyFill="1" applyBorder="1"/>
    <xf numFmtId="0" fontId="0" fillId="0" borderId="11" xfId="0" applyNumberFormat="1" applyFont="1" applyBorder="1"/>
    <xf numFmtId="0" fontId="2" fillId="0" borderId="0" xfId="0" applyFont="1"/>
    <xf numFmtId="0" fontId="2" fillId="5" borderId="1" xfId="0" applyFont="1" applyFill="1" applyBorder="1"/>
    <xf numFmtId="0" fontId="2" fillId="5" borderId="2" xfId="0" applyFont="1" applyFill="1" applyBorder="1"/>
    <xf numFmtId="0" fontId="2" fillId="5" borderId="3" xfId="0" applyFont="1" applyFill="1" applyBorder="1"/>
    <xf numFmtId="0" fontId="2" fillId="4" borderId="4" xfId="0" applyFont="1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3" fillId="3" borderId="0" xfId="0" applyFont="1" applyFill="1" applyBorder="1"/>
    <xf numFmtId="0" fontId="3" fillId="3" borderId="7" xfId="0" applyFont="1" applyFill="1" applyBorder="1"/>
    <xf numFmtId="0" fontId="2" fillId="4" borderId="8" xfId="0" applyFont="1" applyFill="1" applyBorder="1"/>
    <xf numFmtId="0" fontId="2" fillId="4" borderId="9" xfId="0" applyFont="1" applyFill="1" applyBorder="1"/>
    <xf numFmtId="0" fontId="2" fillId="5" borderId="10" xfId="0" applyFont="1" applyFill="1" applyBorder="1"/>
    <xf numFmtId="0" fontId="2" fillId="5" borderId="6" xfId="0" applyFont="1" applyFill="1" applyBorder="1"/>
    <xf numFmtId="0" fontId="2" fillId="4" borderId="10" xfId="0" applyFont="1" applyFill="1" applyBorder="1"/>
    <xf numFmtId="0" fontId="0" fillId="7" borderId="0" xfId="0" applyFill="1"/>
  </cellXfs>
  <cellStyles count="1">
    <cellStyle name="Normal" xfId="0" builtinId="0"/>
  </cellStyles>
  <dxfs count="8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Helvetica"/>
        <family val="2"/>
        <scheme val="none"/>
      </font>
      <fill>
        <patternFill patternType="solid">
          <fgColor rgb="FF83CCEB"/>
          <bgColor rgb="FF83C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bottom style="thin">
          <color rgb="FFFFFFFF"/>
        </bottom>
      </border>
    </dxf>
    <dxf>
      <border outline="0">
        <top style="thin">
          <color rgb="FFFFFFFF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bottom style="thin">
          <color rgb="FFFFFFFF"/>
        </bottom>
      </border>
    </dxf>
    <dxf>
      <border outline="0">
        <top style="thin">
          <color rgb="FFFFFFFF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bottom style="thin">
          <color rgb="FFFFFFFF"/>
        </bottom>
      </border>
    </dxf>
    <dxf>
      <border outline="0">
        <top style="thin">
          <color rgb="FFFFFFFF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bottom style="thin">
          <color theme="0"/>
        </bottom>
      </border>
    </dxf>
    <dxf>
      <border outline="0"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bottom style="thin">
          <color theme="0"/>
        </bottom>
      </border>
    </dxf>
    <dxf>
      <border outline="0">
        <top style="thin">
          <color theme="0"/>
        </top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bottom style="thin">
          <color theme="0"/>
        </bottom>
      </border>
    </dxf>
    <dxf>
      <border outline="0">
        <top style="thin">
          <color theme="0"/>
        </top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A92BB2C-3E9A-E544-BC0A-1E6BC2584CF5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971FD34E-D35B-8942-B579-FDCC954926CE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5" xr16:uid="{B1AC03C7-3B84-7E42-8597-3EEA155215AA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4" xr16:uid="{ED796CE8-B1C9-CE42-89A9-87D0EE10DB51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" xr16:uid="{9EE96FF7-8961-3848-A5C7-E30392C9DB51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1" xr16:uid="{B09E8CB6-F0C3-4342-809A-323530CC9327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BF119AA4-D3F5-D64D-9B9A-C034DD9247A2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58163A6D-BFB1-424A-BC3C-F62FA0795074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7" xr16:uid="{11169763-CAEA-454A-B2E2-EBD8C4E4E696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6" xr16:uid="{9219E861-B1F2-0B44-9523-D34DABBC9845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475E877F-4958-0F48-AB65-276E4B9CF9F0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4" xr16:uid="{CBAD1E27-B8CA-594D-A635-3B1BC35DBA1D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533F341-1B01-7A4F-852B-C0E119D551C8}" name="TableCP" displayName="TableCP" ref="CH37:CO62" totalsRowShown="0" headerRowDxfId="76" headerRowBorderDxfId="78" tableBorderDxfId="79">
  <autoFilter ref="CH37:CO62" xr:uid="{D533F341-1B01-7A4F-852B-C0E119D551C8}"/>
  <tableColumns count="8">
    <tableColumn id="1" xr3:uid="{1FEB6CC1-207A-A743-80DB-25243339D6F4}" name="Column1" dataDxfId="77"/>
    <tableColumn id="2" xr3:uid="{E15D1580-2AD3-3143-9693-E7A3CB5463F1}" name="Column2"/>
    <tableColumn id="3" xr3:uid="{4951DB1E-4FE9-3C40-824B-23B61709C22E}" name="Column3"/>
    <tableColumn id="4" xr3:uid="{B4510FFB-6D71-8548-B8FD-FC4E79F6EFDD}" name="Column4"/>
    <tableColumn id="5" xr3:uid="{72E08A09-0734-D944-BC1C-47A4C975F960}" name="Column5"/>
    <tableColumn id="6" xr3:uid="{C018C542-64C0-DE48-9067-BAA72C8B96CD}" name="Column6"/>
    <tableColumn id="7" xr3:uid="{08ACB878-1A45-E948-A3F9-B4484DE45664}" name="Column7"/>
    <tableColumn id="8" xr3:uid="{BF56230C-A70E-F54A-860B-5E37F164DCC8}" name="Column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779FAA-4AB5-A544-BDB6-B5B2BEC9F987}" name="TableLWG2" displayName="TableLWG2" ref="CH6:CO31" totalsRowShown="0">
  <autoFilter ref="CH6:CO31" xr:uid="{2E779FAA-4AB5-A544-BDB6-B5B2BEC9F987}"/>
  <tableColumns count="8">
    <tableColumn id="1" xr3:uid="{6283A8FB-62BE-7A4F-8FC2-88D10A490E3C}" name="Column1"/>
    <tableColumn id="2" xr3:uid="{7B40FF3E-64B4-DB46-AE69-E3F13E2CF6CE}" name="Column2"/>
    <tableColumn id="3" xr3:uid="{687738D5-FE28-3648-AAFD-464670A48BB4}" name="Column3"/>
    <tableColumn id="4" xr3:uid="{F9EDDF60-0568-4E45-907E-D7B63DD86595}" name="Column4"/>
    <tableColumn id="5" xr3:uid="{CE0393F0-A995-4941-A350-7E6BACBEE202}" name="Column5"/>
    <tableColumn id="6" xr3:uid="{59042BD2-ECE0-FC42-A311-AF299D227B3C}" name="Column6"/>
    <tableColumn id="7" xr3:uid="{6B92E562-A755-7A42-BBD0-674805DD2989}" name="Column7"/>
    <tableColumn id="8" xr3:uid="{541487CA-6692-104E-9C5A-FA4F0FC80C8F}" name="Column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F42423-F03B-9D40-8EB9-B3CA7E918A75}" name="TableLWG2_1" displayName="TableLWG2_1" ref="BW6:CE30" tableType="queryTable" totalsRowShown="0">
  <autoFilter ref="BW6:CE30" xr:uid="{E7F42423-F03B-9D40-8EB9-B3CA7E918A75}"/>
  <tableColumns count="9">
    <tableColumn id="1" xr3:uid="{573085FC-6BD6-BF4E-AD12-FB8D8ED94777}" uniqueName="1" name="Season" queryTableFieldId="1" dataDxfId="75"/>
    <tableColumn id="2" xr3:uid="{09C709A8-ACEC-6646-B2ED-531B45CB8931}" uniqueName="2" name="Class" queryTableFieldId="2" dataDxfId="74"/>
    <tableColumn id="3" xr3:uid="{D7750154-72BB-984B-85F0-595144F744BF}" uniqueName="3" name="ACT/NSW" queryTableFieldId="3"/>
    <tableColumn id="4" xr3:uid="{D9406875-040A-2D46-9186-FB7DF7BC2286}" uniqueName="4" name="QLD" queryTableFieldId="4"/>
    <tableColumn id="5" xr3:uid="{7CD35FFE-EDD3-9649-B44E-BD0ACDF4D503}" uniqueName="5" name="SA" queryTableFieldId="5"/>
    <tableColumn id="6" xr3:uid="{31C3CFF4-91D9-AE42-BC98-BC256E23BFDF}" uniqueName="6" name="TAS" queryTableFieldId="6"/>
    <tableColumn id="7" xr3:uid="{8C135761-2F80-F548-9A1B-999F08AAD7F9}" uniqueName="7" name="VIC" queryTableFieldId="7"/>
    <tableColumn id="8" xr3:uid="{6DA6D816-2437-5E4D-B6F9-E93F9EA7B54D}" uniqueName="8" name="WA" queryTableFieldId="8"/>
    <tableColumn id="9" xr3:uid="{21D246AC-21AF-6849-853E-1359752AF995}" uniqueName="9" name="SeasonOrder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7536BD-0BF4-2745-B8D2-5E23C0785F7C}" name="QueryCP" displayName="QueryCP" ref="BW37:CE61" tableType="queryTable" totalsRowShown="0">
  <autoFilter ref="BW37:CE61" xr:uid="{1C7536BD-0BF4-2745-B8D2-5E23C0785F7C}"/>
  <tableColumns count="9">
    <tableColumn id="1" xr3:uid="{B85FFD78-BBAC-1C4E-A3CD-AE451EE8F094}" uniqueName="1" name="Season" queryTableFieldId="1" dataDxfId="49"/>
    <tableColumn id="2" xr3:uid="{1400D452-8FE2-1342-8398-EFA100A8DE74}" uniqueName="2" name="Class" queryTableFieldId="2" dataDxfId="48"/>
    <tableColumn id="3" xr3:uid="{EFB769F4-A1D4-0242-AB79-1240AC1A0E32}" uniqueName="3" name="ACT/NSW" queryTableFieldId="3"/>
    <tableColumn id="4" xr3:uid="{D41938A1-408C-C844-AC19-38FCCF82B36D}" uniqueName="4" name="QLD" queryTableFieldId="4"/>
    <tableColumn id="5" xr3:uid="{FB233205-08BF-6248-8E18-6E8AFAA84A94}" uniqueName="5" name="SA" queryTableFieldId="5"/>
    <tableColumn id="6" xr3:uid="{25F603F8-2D01-474A-B30D-E934C5EF46BB}" uniqueName="6" name="TAS" queryTableFieldId="6"/>
    <tableColumn id="7" xr3:uid="{A93966B1-C725-D849-9575-A7D4BD8D2284}" uniqueName="7" name="VIC" queryTableFieldId="7"/>
    <tableColumn id="8" xr3:uid="{708FC418-1620-4F4A-B012-7687E4AAC5AB}" uniqueName="8" name="WA" queryTableFieldId="8"/>
    <tableColumn id="9" xr3:uid="{82A65E61-8578-0647-BC6A-9A335D768B1E}" uniqueName="9" name="SeasonOrder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B3A928-C6CF-B742-B14D-3CDAC560FB37}" name="TableDMD" displayName="TableDMD" ref="CH66:CO91" totalsRowShown="0" headerRowDxfId="63" dataDxfId="64" headerRowBorderDxfId="72" tableBorderDxfId="73">
  <autoFilter ref="CH66:CO91" xr:uid="{97B3A928-C6CF-B742-B14D-3CDAC560FB37}"/>
  <tableColumns count="8">
    <tableColumn id="1" xr3:uid="{7BFDE0EA-91D9-3A48-8CE4-C4786F33EB9C}" name="Column1" dataDxfId="71"/>
    <tableColumn id="2" xr3:uid="{41693370-4D1A-6B48-B4CC-BFE3EBA3D81C}" name="Column2" dataDxfId="70"/>
    <tableColumn id="3" xr3:uid="{FFA57556-DA1E-7B46-A5B5-C30A515D43A1}" name="Column3" dataDxfId="69"/>
    <tableColumn id="4" xr3:uid="{911CC816-FFF8-5E4B-BEA8-879C55BFF4F3}" name="Column4" dataDxfId="68"/>
    <tableColumn id="5" xr3:uid="{6A0D6ABA-4E88-8942-BFDE-3A029BCECB39}" name="Column5" dataDxfId="67"/>
    <tableColumn id="6" xr3:uid="{E1BCB6C7-FD4C-0D45-92C5-BDB1E010306B}" name="Column6" dataDxfId="66"/>
    <tableColumn id="7" xr3:uid="{80D88B41-F39B-9F46-A91F-F342F4A4E2B3}" name="Column7" dataDxfId="65"/>
    <tableColumn id="8" xr3:uid="{06224AF6-41CD-034F-9B36-658161B0E266}" name="Column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CD284C2-2879-C346-B956-5F9441CCE343}" name="TableW" displayName="TableW" ref="CH95:CO120" totalsRowShown="0" headerRowDxfId="59" headerRowBorderDxfId="61" tableBorderDxfId="62">
  <autoFilter ref="CH95:CO120" xr:uid="{BCD284C2-2879-C346-B956-5F9441CCE343}"/>
  <tableColumns count="8">
    <tableColumn id="1" xr3:uid="{7CAD892F-5666-F44E-9B46-125A1ED25FBB}" name="Column1" dataDxfId="60"/>
    <tableColumn id="2" xr3:uid="{FA2D085C-11E9-B445-A1CC-AEAB0D4D0EBB}" name="Column2"/>
    <tableColumn id="3" xr3:uid="{7FBFD44F-2F31-FD46-B55D-83B75DFC35BD}" name="Column3"/>
    <tableColumn id="4" xr3:uid="{867DE492-200E-4545-80E9-920B64DB20E5}" name="Column4"/>
    <tableColumn id="5" xr3:uid="{E51D91E7-E5EB-A04C-BADD-C3D2842D41D9}" name="Column5"/>
    <tableColumn id="6" xr3:uid="{8470C729-17AE-E346-86A8-75430CE61899}" name="Column6"/>
    <tableColumn id="7" xr3:uid="{BDB2F171-FCDD-CD43-BF3D-883DA984EF17}" name="Column7"/>
    <tableColumn id="8" xr3:uid="{01BBA8AC-2FCC-814F-9F17-2971A223D259}" name="Column8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2E7CD12-3E31-6340-BE38-6239948A6339}" name="QueryW" displayName="QueryW" ref="BW95:CE119" tableType="queryTable" totalsRowShown="0">
  <autoFilter ref="BW95:CE119" xr:uid="{32E7CD12-3E31-6340-BE38-6239948A6339}"/>
  <tableColumns count="9">
    <tableColumn id="1" xr3:uid="{0F51F8AE-333E-9543-B440-6DA3EB5AA7C3}" uniqueName="1" name="Season" queryTableFieldId="1" dataDxfId="47"/>
    <tableColumn id="2" xr3:uid="{65863F21-4FDD-3B43-89FE-70E9A86666A9}" uniqueName="2" name="Class" queryTableFieldId="2" dataDxfId="46"/>
    <tableColumn id="3" xr3:uid="{AED4F1F8-FD31-E243-9D37-0CC1FB62FB14}" uniqueName="3" name="ACT/NSW" queryTableFieldId="3"/>
    <tableColumn id="4" xr3:uid="{100C4784-419A-D949-B5C8-37DE8AD8F2DB}" uniqueName="4" name="QLD" queryTableFieldId="4"/>
    <tableColumn id="5" xr3:uid="{CD6D7424-545D-034D-BED0-3FEA068E15A8}" uniqueName="5" name="SA" queryTableFieldId="5"/>
    <tableColumn id="6" xr3:uid="{C4B33E68-FE69-FB44-B0E6-0BD087C40277}" uniqueName="6" name="TAS" queryTableFieldId="6"/>
    <tableColumn id="7" xr3:uid="{7B67CE95-0362-F44A-86EC-5734DB3BE9BD}" uniqueName="7" name="VIC" queryTableFieldId="7"/>
    <tableColumn id="8" xr3:uid="{67E3E0FA-D862-7B44-A23F-54EA4811F5B9}" uniqueName="8" name="WA" queryTableFieldId="8"/>
    <tableColumn id="9" xr3:uid="{17234E88-1E29-6143-BB58-8AC0B9F4033B}" uniqueName="9" name="SeasonOrder" queryTableFieldId="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4BA6C27-EED2-C74B-BDAA-FB48819EAF9E}" name="TableSRW" displayName="TableSRW" ref="CH130:CO155" totalsRowShown="0" headerRowDxfId="50" dataDxfId="51">
  <autoFilter ref="CH130:CO155" xr:uid="{C4BA6C27-EED2-C74B-BDAA-FB48819EAF9E}"/>
  <tableColumns count="8">
    <tableColumn id="1" xr3:uid="{D03C8AE9-F5CC-054A-BA92-B03D057BEE50}" name="Column1" dataDxfId="58"/>
    <tableColumn id="2" xr3:uid="{26FCF033-B44B-2E4C-A7B9-A916F0225F83}" name="Column2"/>
    <tableColumn id="3" xr3:uid="{FDA23572-7395-4E4D-BFD8-9C3680ED75C3}" name="Column3" dataDxfId="57"/>
    <tableColumn id="4" xr3:uid="{FF394B01-DA56-E542-815E-7D933B1B45D6}" name="Column4" dataDxfId="56"/>
    <tableColumn id="5" xr3:uid="{EE581D06-B0C8-6747-933E-8837FA5DFC3D}" name="Column5" dataDxfId="55"/>
    <tableColumn id="6" xr3:uid="{51530F93-51A2-5A42-A85E-AF201951403B}" name="Column6" dataDxfId="54"/>
    <tableColumn id="7" xr3:uid="{89A909D1-08CA-6D4A-B279-2D4CEF292EBF}" name="Column7" dataDxfId="53"/>
    <tableColumn id="8" xr3:uid="{B9FD3358-EF93-FC4D-812C-38BFFFCF87DD}" name="Column8" dataDxfId="5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5B85E235-F527-8F48-91C8-5AB1A7B236FE}" name="TableDMA" displayName="TableDMA" ref="CH165:CO190" totalsRowShown="0">
  <autoFilter ref="CH165:CO190" xr:uid="{5B85E235-F527-8F48-91C8-5AB1A7B236FE}"/>
  <tableColumns count="8">
    <tableColumn id="1" xr3:uid="{247E798D-1A8E-554C-AB27-D5B53F706EC5}" name="Column1"/>
    <tableColumn id="2" xr3:uid="{FAEFEBF5-CA75-1248-AEA6-33933DD1B57B}" name="Column2"/>
    <tableColumn id="3" xr3:uid="{D777A62E-5E6A-7740-B471-514E19F767C0}" name="Column3"/>
    <tableColumn id="4" xr3:uid="{2B47E349-E2E5-FC47-8585-11BEADD858A4}" name="Column4"/>
    <tableColumn id="5" xr3:uid="{7AD42725-5F0D-1645-9181-5FF6B8E8082E}" name="Column5"/>
    <tableColumn id="6" xr3:uid="{93F3A223-83C3-E446-A7B1-5B9615CF6E29}" name="Column6"/>
    <tableColumn id="7" xr3:uid="{3951EF10-0CBE-9446-9D1C-B0D556E4D9EE}" name="Column7"/>
    <tableColumn id="8" xr3:uid="{28B0F4AF-A289-AE4F-A4DB-A1FA6D2B2BB5}" name="Column8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6E12A68-253C-1C47-BCA6-81ACE8329CBD}" name="QueryDMA" displayName="QueryDMA" ref="BW166:CE190" tableType="queryTable" totalsRowShown="0">
  <autoFilter ref="BW166:CE190" xr:uid="{26E12A68-253C-1C47-BCA6-81ACE8329CBD}"/>
  <tableColumns count="9">
    <tableColumn id="1" xr3:uid="{B8BF5675-3BFC-4D42-8E99-236ECC46822A}" uniqueName="1" name="Season" queryTableFieldId="1" dataDxfId="45"/>
    <tableColumn id="2" xr3:uid="{FAB2AEAB-06FA-1344-A7B9-0D5CA2B366D1}" uniqueName="2" name="Class" queryTableFieldId="2" dataDxfId="44"/>
    <tableColumn id="3" xr3:uid="{0D54DFDA-52A3-304B-83A9-408B2B008692}" uniqueName="3" name="ACT/NSW" queryTableFieldId="3"/>
    <tableColumn id="4" xr3:uid="{741E8FF0-75D6-0040-86E1-B75EFE837DA5}" uniqueName="4" name="QLD" queryTableFieldId="4"/>
    <tableColumn id="5" xr3:uid="{D7151F0F-0912-274C-AF6B-8B83B8AF554F}" uniqueName="5" name="SA" queryTableFieldId="5"/>
    <tableColumn id="6" xr3:uid="{0B706D24-7DC2-6648-89E7-F925A1900AA2}" uniqueName="6" name="TAS" queryTableFieldId="6"/>
    <tableColumn id="7" xr3:uid="{F4951BD9-8B6C-6048-90F0-6C14CCDF3C24}" uniqueName="7" name="VIC" queryTableFieldId="7"/>
    <tableColumn id="8" xr3:uid="{EB59DA3B-F511-484D-BDA2-316B4E2B2A83}" uniqueName="8" name="WA" queryTableFieldId="8"/>
    <tableColumn id="9" xr3:uid="{B23B7B94-824F-6A41-BD78-E41C38C3A3EB}" uniqueName="9" name="SeasonOrder" queryTableFieldId="9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FAA33C1-61B0-2A4D-A2C5-B73EEAAEB69E}" name="QueryDMD" displayName="QueryDMD" ref="BW67:CE91" tableType="queryTable" totalsRowShown="0">
  <autoFilter ref="BW67:CE91" xr:uid="{FFAA33C1-61B0-2A4D-A2C5-B73EEAAEB69E}"/>
  <tableColumns count="9">
    <tableColumn id="1" xr3:uid="{A69F1337-AC2B-ED46-9BE2-DDDA0CCFCA25}" uniqueName="1" name="Season" queryTableFieldId="1" dataDxfId="43"/>
    <tableColumn id="2" xr3:uid="{AA79D163-D32B-2F4C-9E4E-FCFA9F98DF7F}" uniqueName="2" name="Class" queryTableFieldId="2" dataDxfId="42"/>
    <tableColumn id="3" xr3:uid="{F06D86DF-7153-2B4B-84D5-58A5463CF34A}" uniqueName="3" name="ACT/NSW" queryTableFieldId="3"/>
    <tableColumn id="4" xr3:uid="{7F608781-C8C9-C340-89DE-679705A938CF}" uniqueName="4" name="QLD" queryTableFieldId="4"/>
    <tableColumn id="5" xr3:uid="{57AC892E-82C5-074C-B7BA-29FED55B762A}" uniqueName="5" name="SA" queryTableFieldId="5"/>
    <tableColumn id="6" xr3:uid="{A1DACD50-0897-C549-94DC-88A075CDF818}" uniqueName="6" name="TAS" queryTableFieldId="6"/>
    <tableColumn id="7" xr3:uid="{14C1BC69-5582-E541-9996-1955EBA3BD7B}" uniqueName="7" name="VIC" queryTableFieldId="7"/>
    <tableColumn id="8" xr3:uid="{F58B257C-980E-9B4D-B706-76ABB1B36556}" uniqueName="8" name="WA" queryTableFieldId="8"/>
    <tableColumn id="9" xr3:uid="{FF1FBF8B-93C3-D845-B524-C635A7493593}" uniqueName="9" name="SeasonOrder" queryTableFieldId="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D15694A-5209-2745-83BB-54B010D6B5B7}" name="QuerySRW" displayName="QuerySRW" ref="BW130:CE154" tableType="queryTable" totalsRowShown="0">
  <autoFilter ref="BW130:CE154" xr:uid="{AD15694A-5209-2745-83BB-54B010D6B5B7}"/>
  <tableColumns count="9">
    <tableColumn id="1" xr3:uid="{72449F58-6260-9449-A756-040373D19AE8}" uniqueName="1" name="Season" queryTableFieldId="1" dataDxfId="41"/>
    <tableColumn id="2" xr3:uid="{68E5B125-631A-314A-A5F8-59E28AFEC189}" uniqueName="2" name="Class" queryTableFieldId="2" dataDxfId="40"/>
    <tableColumn id="3" xr3:uid="{1E93A43A-3026-1B4D-B0B2-0F67DD92888C}" uniqueName="3" name="ACT/NSW" queryTableFieldId="3"/>
    <tableColumn id="4" xr3:uid="{E2310827-A291-044E-A1C6-8137EEE27CBE}" uniqueName="4" name="QLD" queryTableFieldId="4"/>
    <tableColumn id="5" xr3:uid="{BBB39C0F-72F3-6740-B113-A6132BBC3306}" uniqueName="5" name="SA" queryTableFieldId="5"/>
    <tableColumn id="6" xr3:uid="{B4FFB7E6-8DBC-8B42-AB7D-323BABA5E829}" uniqueName="6" name="TAS" queryTableFieldId="6"/>
    <tableColumn id="7" xr3:uid="{D524D201-D226-F545-9FD0-B17CB0F08499}" uniqueName="7" name="VIC" queryTableFieldId="7"/>
    <tableColumn id="8" xr3:uid="{18F66886-1956-9E46-8EBF-DDED33DF0B35}" uniqueName="8" name="WA" queryTableFieldId="8"/>
    <tableColumn id="9" xr3:uid="{979B45BC-171A-8C48-A188-25D46DB57DD1}" uniqueName="9" name="SeasonOrder" queryTableFieldId="9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E8C906D3-BD18-6F43-A378-CD81BB132C3F}" name="TableCP34" displayName="TableCP34" ref="CH37:CO62" totalsRowShown="0" headerRowDxfId="39" headerRowBorderDxfId="37" tableBorderDxfId="38">
  <autoFilter ref="CH37:CO62" xr:uid="{D533F341-1B01-7A4F-852B-C0E119D551C8}"/>
  <tableColumns count="8">
    <tableColumn id="1" xr3:uid="{5E53A0FC-2DD6-8D45-8694-B993552F8BA1}" name="Column1" dataDxfId="36"/>
    <tableColumn id="2" xr3:uid="{A27E3D12-A6DB-7D45-9B16-CCBA019AAA47}" name="Column2"/>
    <tableColumn id="3" xr3:uid="{189F2298-E8D1-0649-B85F-C73E4EF036E4}" name="Column3"/>
    <tableColumn id="4" xr3:uid="{7A2C12A0-9636-0840-B0D8-100C6484E164}" name="Column4"/>
    <tableColumn id="5" xr3:uid="{AA07A49B-AF9E-034B-BCA2-84659AE441F4}" name="Column5"/>
    <tableColumn id="6" xr3:uid="{F71D137E-F5B1-FA4C-9EB8-3B10189AD5E8}" name="Column6"/>
    <tableColumn id="7" xr3:uid="{9009805D-82B5-4A44-9149-1D3680643CFE}" name="Column7"/>
    <tableColumn id="8" xr3:uid="{7F9E71B1-E706-BC4F-9571-0AC5B4EB278F}" name="Column8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1A723F8D-1697-F543-ACCE-F7EF8AC61EAA}" name="TableLWG235" displayName="TableLWG235" ref="CH6:CO31" totalsRowShown="0">
  <autoFilter ref="CH6:CO31" xr:uid="{2E779FAA-4AB5-A544-BDB6-B5B2BEC9F987}"/>
  <tableColumns count="8">
    <tableColumn id="1" xr3:uid="{E9237B2F-3F4D-C544-B09F-2609233C1519}" name="Column1"/>
    <tableColumn id="2" xr3:uid="{2ACE6EFC-DF08-194B-A62E-7DD1D9964376}" name="Column2"/>
    <tableColumn id="3" xr3:uid="{8B65CDE9-3DD4-AD4F-8068-16DF4F6A008E}" name="Column3"/>
    <tableColumn id="4" xr3:uid="{A839EFA0-814E-554A-93AD-65284F3C4ED2}" name="Column4"/>
    <tableColumn id="5" xr3:uid="{A03D2D20-2192-3948-BF7F-70B985E2354C}" name="Column5"/>
    <tableColumn id="6" xr3:uid="{BDA862FF-7510-644A-9886-35C544AC4B9C}" name="Column6"/>
    <tableColumn id="7" xr3:uid="{BEA0CBC0-4B45-5A4C-83BB-99467A060D1D}" name="Column7"/>
    <tableColumn id="8" xr3:uid="{B7369857-B9E4-2843-BA9B-BCA48E67CC0D}" name="Column8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02597C4-BF38-3F47-8E44-379585AF0B23}" name="TableLWG2_136" displayName="TableLWG2_136" ref="BW6:CE30" tableType="queryTable" totalsRowShown="0">
  <autoFilter ref="BW6:CE30" xr:uid="{E7F42423-F03B-9D40-8EB9-B3CA7E918A75}"/>
  <tableColumns count="9">
    <tableColumn id="1" xr3:uid="{B47C32AC-77D6-3246-9594-29E14A172A69}" uniqueName="1" name="Season" queryTableFieldId="1" dataDxfId="35"/>
    <tableColumn id="2" xr3:uid="{03E4A2CB-6932-B447-84B3-CFDE34E23985}" uniqueName="2" name="Class" queryTableFieldId="2" dataDxfId="34"/>
    <tableColumn id="3" xr3:uid="{9454CB24-CABB-A54B-9A1D-DFF50F43A50F}" uniqueName="3" name="ACT/NSW" queryTableFieldId="3"/>
    <tableColumn id="4" xr3:uid="{7CF4A394-6F46-E94E-8EFA-B0CBDFC2FDEA}" uniqueName="4" name="Queensland" queryTableFieldId="4"/>
    <tableColumn id="5" xr3:uid="{B9AD0519-A07E-B748-A0DB-0C587970D559}" uniqueName="5" name="South Australia" queryTableFieldId="5"/>
    <tableColumn id="6" xr3:uid="{CB24E64A-793C-E648-A121-319B7F36BC91}" uniqueName="6" name="Tasmania" queryTableFieldId="6"/>
    <tableColumn id="7" xr3:uid="{78C02971-0F7A-694E-846F-40B42AC41BBA}" uniqueName="7" name="Victoria" queryTableFieldId="7"/>
    <tableColumn id="8" xr3:uid="{AD570DD9-ED72-8B4B-91BB-12D7C170B11C}" uniqueName="8" name="Western Australia" queryTableFieldId="8"/>
    <tableColumn id="9" xr3:uid="{18B9208C-28AD-F442-BAC5-B84F6001AF72}" uniqueName="9" name="SeasonOrder" queryTableFieldId="9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21475331-B8C8-0145-8549-85E9DCA9515B}" name="QueryCP37" displayName="QueryCP37" ref="BW37:CE61" tableType="queryTable" totalsRowShown="0">
  <autoFilter ref="BW37:CE61" xr:uid="{1C7536BD-0BF4-2745-B8D2-5E23C0785F7C}"/>
  <tableColumns count="9">
    <tableColumn id="1" xr3:uid="{3E44E533-8600-DA4B-B6CB-23B3C83E2FB8}" uniqueName="1" name="Season" queryTableFieldId="1" dataDxfId="33"/>
    <tableColumn id="2" xr3:uid="{D4FC331A-EA2A-3545-BC06-2530C8A7A1EA}" uniqueName="2" name="Class" queryTableFieldId="2" dataDxfId="32"/>
    <tableColumn id="3" xr3:uid="{ED34D00E-5F9D-1048-904C-6CCCC43C6984}" uniqueName="3" name="ACT/NSW" queryTableFieldId="3"/>
    <tableColumn id="4" xr3:uid="{F1CB71B9-C258-AC41-A269-9F118B67372D}" uniqueName="4" name="Queensland" queryTableFieldId="4"/>
    <tableColumn id="5" xr3:uid="{32B814A8-E8C4-6047-8A19-0E18410CB794}" uniqueName="5" name="South Australia" queryTableFieldId="5"/>
    <tableColumn id="6" xr3:uid="{742AA602-2F67-3945-93CD-11CB37AF52F2}" uniqueName="6" name="Tasmania" queryTableFieldId="6"/>
    <tableColumn id="7" xr3:uid="{8CFCF4E6-DF07-1B43-9592-449A6EF29FF9}" uniqueName="7" name="Victoria" queryTableFieldId="7"/>
    <tableColumn id="8" xr3:uid="{239DDBF8-B588-A54F-990C-4EF0E23CCC91}" uniqueName="8" name="Western Australia" queryTableFieldId="8"/>
    <tableColumn id="9" xr3:uid="{FE575B7E-030B-FB42-A30C-64641570B4C0}" uniqueName="9" name="SeasonOrder" queryTableFieldId="9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79392FC-4A0E-5743-8CB8-3271EDCDAD65}" name="TableDMD38" displayName="TableDMD38" ref="CH66:CO91" totalsRowShown="0" headerRowDxfId="31" dataDxfId="30" headerRowBorderDxfId="28" tableBorderDxfId="29">
  <autoFilter ref="CH66:CO91" xr:uid="{97B3A928-C6CF-B742-B14D-3CDAC560FB37}"/>
  <tableColumns count="8">
    <tableColumn id="1" xr3:uid="{8A4D8B21-4452-1B4D-A6B6-9C2E40C052EA}" name="Column1" dataDxfId="27"/>
    <tableColumn id="2" xr3:uid="{5E9D1F45-5BCA-6744-BE64-9F653D8FA312}" name="Column2" dataDxfId="26"/>
    <tableColumn id="3" xr3:uid="{FBD0590D-D6F8-5941-9322-B3A4F974524F}" name="Column3" dataDxfId="25"/>
    <tableColumn id="4" xr3:uid="{93D46716-5981-6446-8E34-0504EB188D72}" name="Column4" dataDxfId="24"/>
    <tableColumn id="5" xr3:uid="{C3B12503-6DA8-AD42-8B6D-5F30FB54D4A2}" name="Column5" dataDxfId="23"/>
    <tableColumn id="6" xr3:uid="{F5651F41-4D22-8B4D-82CF-6D8B5D03FAAB}" name="Column6" dataDxfId="22"/>
    <tableColumn id="7" xr3:uid="{AEE1EEA4-C0F6-664A-9C7D-D323C969250E}" name="Column7" dataDxfId="21"/>
    <tableColumn id="8" xr3:uid="{8D180AD0-B939-F44E-B6D1-0778EBDBB5D2}" name="Column8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1E197188-DA01-444E-9F99-9CC3ADEE7E7A}" name="TableW39" displayName="TableW39" ref="CH95:CO120" totalsRowShown="0" headerRowDxfId="20" headerRowBorderDxfId="18" tableBorderDxfId="19">
  <autoFilter ref="CH95:CO120" xr:uid="{BCD284C2-2879-C346-B956-5F9441CCE343}"/>
  <tableColumns count="8">
    <tableColumn id="1" xr3:uid="{6AE9C6D6-578F-DF46-B61F-5DF0B3881519}" name="Column1" dataDxfId="17"/>
    <tableColumn id="2" xr3:uid="{1C1100AC-66DE-EB47-A6EE-1A851D5311B8}" name="Column2"/>
    <tableColumn id="3" xr3:uid="{9701D29C-C161-5A40-99E0-F62FD7FCACDD}" name="Column3"/>
    <tableColumn id="4" xr3:uid="{E9AB1BE1-5DD1-594D-9126-658EB5EB08DA}" name="Column4"/>
    <tableColumn id="5" xr3:uid="{358A929B-2291-7D44-8963-88E2BA209431}" name="Column5"/>
    <tableColumn id="6" xr3:uid="{0C0DAAFE-815A-8A4F-866D-B2397E714143}" name="Column6"/>
    <tableColumn id="7" xr3:uid="{90806CBE-6CAD-CF45-82B1-5BCA8294BF81}" name="Column7"/>
    <tableColumn id="8" xr3:uid="{B9C1D7EF-994D-6443-916B-37E41A16A103}" name="Column8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04463E5-ACE1-AE46-BCD0-19C99006C634}" name="QueryW40" displayName="QueryW40" ref="BW95:CE119" tableType="queryTable" totalsRowShown="0">
  <autoFilter ref="BW95:CE119" xr:uid="{32E7CD12-3E31-6340-BE38-6239948A6339}"/>
  <tableColumns count="9">
    <tableColumn id="1" xr3:uid="{198EE0BA-A65B-5A46-8B4B-A2B5F5FB7432}" uniqueName="1" name="Season" queryTableFieldId="1" dataDxfId="16"/>
    <tableColumn id="2" xr3:uid="{02675BFE-4BFB-EA4A-B45B-19153E8F6460}" uniqueName="2" name="Class" queryTableFieldId="2" dataDxfId="15"/>
    <tableColumn id="3" xr3:uid="{9BA4988C-0A20-6346-B2F8-8FCA9F00DDF2}" uniqueName="3" name="ACT/NSW" queryTableFieldId="3"/>
    <tableColumn id="4" xr3:uid="{1223A5DF-F729-A848-882F-B9EFD2D42CB0}" uniqueName="4" name="Queensland" queryTableFieldId="4"/>
    <tableColumn id="5" xr3:uid="{EA4F23B1-9809-C043-930D-C4EE302A7305}" uniqueName="5" name="South Australia" queryTableFieldId="5"/>
    <tableColumn id="6" xr3:uid="{B175C5C0-B990-4043-8C59-D4A003445593}" uniqueName="6" name="Tasmania" queryTableFieldId="6"/>
    <tableColumn id="7" xr3:uid="{F303E070-BC51-B043-BD90-3A789DBC3784}" uniqueName="7" name="Victoria" queryTableFieldId="7"/>
    <tableColumn id="8" xr3:uid="{5EC718E6-C76C-E844-A071-6AF5B5FEB27D}" uniqueName="8" name="Western Australia" queryTableFieldId="8"/>
    <tableColumn id="9" xr3:uid="{CD0544DD-877B-D244-92BF-DA6F23789ED5}" uniqueName="9" name="SeasonOrder" queryTableFieldId="9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3D197EE3-ADBD-C643-98C7-DE299798ADD6}" name="TableSRW41" displayName="TableSRW41" ref="CH130:CO155" totalsRowShown="0" headerRowDxfId="14" dataDxfId="13">
  <autoFilter ref="CH130:CO155" xr:uid="{C4BA6C27-EED2-C74B-BDAA-FB48819EAF9E}"/>
  <tableColumns count="8">
    <tableColumn id="1" xr3:uid="{0CBAF791-C02A-9541-B90A-6229D7C61A5C}" name="Column1" dataDxfId="12"/>
    <tableColumn id="2" xr3:uid="{7ED51007-9173-D247-A490-F125306290FE}" name="Column2"/>
    <tableColumn id="3" xr3:uid="{59220955-002C-D04E-8DFC-898F160F78C3}" name="Column3" dataDxfId="11"/>
    <tableColumn id="4" xr3:uid="{B1755ABA-FFC2-5649-9DC1-B8F4758F231F}" name="Column4" dataDxfId="10"/>
    <tableColumn id="5" xr3:uid="{68744BA1-7087-CC4B-B830-E9D1BA32491B}" name="Column5" dataDxfId="9"/>
    <tableColumn id="6" xr3:uid="{4F934284-82DF-5A4F-A774-114FCDE458B6}" name="Column6" dataDxfId="8"/>
    <tableColumn id="7" xr3:uid="{06116072-4C42-2948-97D9-8B1F4A2D5A6A}" name="Column7" dataDxfId="7"/>
    <tableColumn id="8" xr3:uid="{4F3AB19D-FAAB-A844-A1D7-2B71A657CC5B}" name="Column8" dataDxfId="6"/>
  </tableColumns>
  <tableStyleInfo name="TableStyleMedium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C8655F39-2169-DA4B-8021-88175CE90DEC}" name="TableDMA42" displayName="TableDMA42" ref="CH165:CO190" totalsRowShown="0">
  <autoFilter ref="CH165:CO190" xr:uid="{5B85E235-F527-8F48-91C8-5AB1A7B236FE}"/>
  <tableColumns count="8">
    <tableColumn id="1" xr3:uid="{92E9E027-AF9B-054C-AD5D-FFEA14D45D56}" name="Column1"/>
    <tableColumn id="2" xr3:uid="{6603D6D5-6C13-7248-97FE-317BD80FEC5D}" name="Column2"/>
    <tableColumn id="3" xr3:uid="{965F00D3-2263-0A48-A040-37D6EC5C68A4}" name="Column3"/>
    <tableColumn id="4" xr3:uid="{824112E2-6E00-834B-B74A-5F9C2D71505C}" name="Column4"/>
    <tableColumn id="5" xr3:uid="{4E7715A0-AED7-4D43-AB2C-A408DA310087}" name="Column5"/>
    <tableColumn id="6" xr3:uid="{5255D628-E9B0-E94F-B196-5ABC6E498086}" name="Column6"/>
    <tableColumn id="7" xr3:uid="{0C42E49B-A4BB-0249-850D-E2AE1F48164A}" name="Column7"/>
    <tableColumn id="8" xr3:uid="{F23711CA-89B7-4346-A340-63602CCF8CCF}" name="Column8"/>
  </tableColumns>
  <tableStyleInfo name="TableStyleMedium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B02C1636-0058-A643-94F7-A0A281C3D5B6}" name="QueryDMA43" displayName="QueryDMA43" ref="BW166:CE190" tableType="queryTable" totalsRowShown="0">
  <autoFilter ref="BW166:CE190" xr:uid="{26E12A68-253C-1C47-BCA6-81ACE8329CBD}"/>
  <tableColumns count="9">
    <tableColumn id="1" xr3:uid="{33B9E3A6-F4F7-D84E-A436-F700665C2675}" uniqueName="1" name="Season" queryTableFieldId="1" dataDxfId="5"/>
    <tableColumn id="2" xr3:uid="{DF9FFD1D-4C2C-0443-88B2-250AFBF98D12}" uniqueName="2" name="Class" queryTableFieldId="2" dataDxfId="4"/>
    <tableColumn id="3" xr3:uid="{D14599B9-8CCB-9444-964E-7C723930611F}" uniqueName="3" name="ACT/NSW" queryTableFieldId="3"/>
    <tableColumn id="4" xr3:uid="{32DDAA07-E979-0641-9831-B0547F6EA122}" uniqueName="4" name="Queensland" queryTableFieldId="4"/>
    <tableColumn id="5" xr3:uid="{A7738DD5-E1DA-B242-AAE6-BC0969A84B8D}" uniqueName="5" name="South Australia" queryTableFieldId="5"/>
    <tableColumn id="6" xr3:uid="{9CCE1C54-F312-6241-9E15-AB5CD084BEBA}" uniqueName="6" name="Tasmania" queryTableFieldId="6"/>
    <tableColumn id="7" xr3:uid="{800D49A5-1D92-C74A-9101-ED0E24FE6866}" uniqueName="7" name="Victoria" queryTableFieldId="7"/>
    <tableColumn id="8" xr3:uid="{AC7F8D8A-BF7B-8349-807D-79A4487ADEE1}" uniqueName="8" name="Western Australia" queryTableFieldId="8"/>
    <tableColumn id="9" xr3:uid="{0005AD9D-7132-E043-A4A2-6504347C8409}" uniqueName="9" name="SeasonOrder" queryTableFieldId="9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66AA8015-3EE0-4148-B837-6E21D2228B93}" name="QueryDMD44" displayName="QueryDMD44" ref="BW67:CE91" tableType="queryTable" totalsRowShown="0">
  <autoFilter ref="BW67:CE91" xr:uid="{FFAA33C1-61B0-2A4D-A2C5-B73EEAAEB69E}"/>
  <tableColumns count="9">
    <tableColumn id="1" xr3:uid="{D1B06E17-4D3B-A04F-99F8-BE3BC0B9A108}" uniqueName="1" name="Season" queryTableFieldId="1" dataDxfId="3"/>
    <tableColumn id="2" xr3:uid="{80355FEA-CF8D-8548-8BC8-5851E5474E21}" uniqueName="2" name="Class" queryTableFieldId="2" dataDxfId="2"/>
    <tableColumn id="3" xr3:uid="{72E00F21-A2AB-6A4F-8E7C-59AE3C3DC292}" uniqueName="3" name="ACT/NSW" queryTableFieldId="3"/>
    <tableColumn id="4" xr3:uid="{FD9B59FC-1586-7A49-9E33-639BADF5986E}" uniqueName="4" name="Queensland" queryTableFieldId="4"/>
    <tableColumn id="5" xr3:uid="{70A5C14F-9DDC-8246-9034-E1343CFFB8C7}" uniqueName="5" name="South Australia" queryTableFieldId="5"/>
    <tableColumn id="6" xr3:uid="{50C855B4-7233-4245-B52A-C2D45FBF03E8}" uniqueName="6" name="Tasmania" queryTableFieldId="6"/>
    <tableColumn id="7" xr3:uid="{D4C05F71-F934-FB4D-90C8-2817C29F49A2}" uniqueName="7" name="Victoria" queryTableFieldId="7"/>
    <tableColumn id="8" xr3:uid="{914BF1F1-17C9-724D-BE3D-67DE611616B1}" uniqueName="8" name="Western Australia" queryTableFieldId="8"/>
    <tableColumn id="9" xr3:uid="{5B1D1519-BC27-7A4A-A2B4-D562117A5D89}" uniqueName="9" name="SeasonOrder" queryTableFieldId="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C04AADA-1FA7-FB42-B49C-7E0C8F4DADD8}" name="QuerySRW45" displayName="QuerySRW45" ref="BW130:CE154" tableType="queryTable" totalsRowShown="0">
  <autoFilter ref="BW130:CE154" xr:uid="{AD15694A-5209-2745-83BB-54B010D6B5B7}"/>
  <tableColumns count="9">
    <tableColumn id="1" xr3:uid="{96CFA5C1-9546-904B-8DAF-44745AED4A37}" uniqueName="1" name="Season" queryTableFieldId="1" dataDxfId="1"/>
    <tableColumn id="2" xr3:uid="{FD67FA71-3F86-114F-B191-F8CA112ADA7C}" uniqueName="2" name="Class" queryTableFieldId="2" dataDxfId="0"/>
    <tableColumn id="3" xr3:uid="{72D289BE-8F5D-FF4C-A888-6205F049FC33}" uniqueName="3" name="ACT/NSW" queryTableFieldId="3"/>
    <tableColumn id="4" xr3:uid="{285D28C0-8893-A64A-86CF-B9B7121CA4EF}" uniqueName="4" name="Queensland" queryTableFieldId="4"/>
    <tableColumn id="5" xr3:uid="{95B06C1A-06A1-F84E-BAB4-98D9833B9004}" uniqueName="5" name="South Australia" queryTableFieldId="5"/>
    <tableColumn id="6" xr3:uid="{1E53BB14-69CD-784E-89F3-F457049B3225}" uniqueName="6" name="Tasmania" queryTableFieldId="6"/>
    <tableColumn id="7" xr3:uid="{C2F7812E-2100-924D-A750-3A7D44AB8884}" uniqueName="7" name="Victoria" queryTableFieldId="7"/>
    <tableColumn id="8" xr3:uid="{3C3CA35F-BF9F-BB45-B492-B24C49EC2C36}" uniqueName="8" name="Western Australia" queryTableFieldId="8"/>
    <tableColumn id="9" xr3:uid="{63E2FECB-E32D-284A-8C51-9AB9DF6B2982}" uniqueName="9" name="SeasonOrder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DEE47-8AF7-AA45-98D5-0D01C5EEB59E}">
  <dimension ref="A1:BM214"/>
  <sheetViews>
    <sheetView tabSelected="1" workbookViewId="0">
      <selection activeCell="D162" sqref="D162"/>
    </sheetView>
  </sheetViews>
  <sheetFormatPr baseColWidth="10" defaultRowHeight="16" x14ac:dyDescent="0.2"/>
  <cols>
    <col min="4" max="4" width="16.83203125" customWidth="1"/>
    <col min="5" max="5" width="13.5" customWidth="1"/>
    <col min="28" max="28" width="16.83203125" customWidth="1"/>
    <col min="41" max="41" width="11" customWidth="1"/>
    <col min="42" max="42" width="35.83203125" bestFit="1" customWidth="1"/>
    <col min="43" max="46" width="11" customWidth="1"/>
    <col min="47" max="47" width="9.6640625" bestFit="1" customWidth="1"/>
    <col min="48" max="48" width="16.5" bestFit="1" customWidth="1"/>
    <col min="49" max="49" width="11.6640625" bestFit="1" customWidth="1"/>
    <col min="50" max="50" width="13.5" bestFit="1" customWidth="1"/>
    <col min="51" max="51" width="16.1640625" bestFit="1" customWidth="1"/>
    <col min="52" max="52" width="11.6640625" bestFit="1" customWidth="1"/>
    <col min="53" max="53" width="10.1640625" bestFit="1" customWidth="1"/>
    <col min="54" max="54" width="18.5" bestFit="1" customWidth="1"/>
    <col min="55" max="55" width="14.33203125" bestFit="1" customWidth="1"/>
    <col min="58" max="62" width="12" customWidth="1"/>
    <col min="63" max="65" width="11" customWidth="1"/>
  </cols>
  <sheetData>
    <row r="1" spans="1:65" x14ac:dyDescent="0.2">
      <c r="H1" t="s">
        <v>238</v>
      </c>
      <c r="I1" t="s">
        <v>238</v>
      </c>
      <c r="R1" t="s">
        <v>239</v>
      </c>
      <c r="V1" t="s">
        <v>238</v>
      </c>
      <c r="Y1" t="s">
        <v>238</v>
      </c>
      <c r="Z1" t="s">
        <v>238</v>
      </c>
      <c r="AA1" t="s">
        <v>256</v>
      </c>
      <c r="AO1">
        <v>1084</v>
      </c>
      <c r="AP1" t="s">
        <v>257</v>
      </c>
      <c r="AQ1">
        <v>0.19</v>
      </c>
      <c r="AS1" t="s">
        <v>265</v>
      </c>
      <c r="AT1">
        <v>1.3</v>
      </c>
    </row>
    <row r="2" spans="1:65" x14ac:dyDescent="0.2">
      <c r="T2" t="s">
        <v>6</v>
      </c>
      <c r="AB2" t="s">
        <v>7</v>
      </c>
      <c r="AD2" t="s">
        <v>11</v>
      </c>
      <c r="AG2" t="s">
        <v>12</v>
      </c>
      <c r="AI2" t="s">
        <v>12</v>
      </c>
      <c r="AJ2" t="s">
        <v>13</v>
      </c>
      <c r="AO2">
        <v>1087</v>
      </c>
      <c r="AP2" t="s">
        <v>152</v>
      </c>
      <c r="AQ2">
        <v>0.08</v>
      </c>
    </row>
    <row r="3" spans="1:65" x14ac:dyDescent="0.2">
      <c r="G3" t="s">
        <v>19</v>
      </c>
      <c r="H3">
        <v>342</v>
      </c>
      <c r="I3">
        <v>323</v>
      </c>
      <c r="J3" t="s">
        <v>20</v>
      </c>
      <c r="K3" t="s">
        <v>22</v>
      </c>
      <c r="L3" t="s">
        <v>23</v>
      </c>
      <c r="M3" t="s">
        <v>24</v>
      </c>
      <c r="O3" t="s">
        <v>51</v>
      </c>
      <c r="Q3" t="s">
        <v>25</v>
      </c>
      <c r="R3" t="s">
        <v>33</v>
      </c>
      <c r="S3" t="s">
        <v>39</v>
      </c>
      <c r="T3" t="s">
        <v>40</v>
      </c>
      <c r="U3">
        <v>351</v>
      </c>
      <c r="V3">
        <v>314</v>
      </c>
      <c r="W3">
        <v>302</v>
      </c>
      <c r="X3">
        <v>349</v>
      </c>
      <c r="Y3">
        <v>308</v>
      </c>
      <c r="Z3">
        <v>296</v>
      </c>
      <c r="AA3" t="s">
        <v>47</v>
      </c>
      <c r="AB3" t="s">
        <v>41</v>
      </c>
      <c r="AC3" t="s">
        <v>48</v>
      </c>
      <c r="AD3" t="s">
        <v>49</v>
      </c>
      <c r="AE3" t="s">
        <v>50</v>
      </c>
      <c r="AF3" t="s">
        <v>52</v>
      </c>
      <c r="AG3" t="s">
        <v>53</v>
      </c>
      <c r="AI3" t="s">
        <v>53</v>
      </c>
      <c r="AJ3" t="s">
        <v>54</v>
      </c>
      <c r="AP3" t="s">
        <v>125</v>
      </c>
      <c r="AQ3">
        <v>91.25</v>
      </c>
    </row>
    <row r="4" spans="1:65" x14ac:dyDescent="0.2">
      <c r="G4" t="s">
        <v>58</v>
      </c>
      <c r="J4" t="s">
        <v>59</v>
      </c>
      <c r="K4" t="s">
        <v>59</v>
      </c>
      <c r="L4" t="s">
        <v>59</v>
      </c>
      <c r="M4" t="s">
        <v>59</v>
      </c>
      <c r="O4" t="s">
        <v>59</v>
      </c>
      <c r="Q4" t="s">
        <v>59</v>
      </c>
      <c r="R4" t="s">
        <v>59</v>
      </c>
      <c r="S4" t="s">
        <v>60</v>
      </c>
      <c r="T4" t="s">
        <v>60</v>
      </c>
      <c r="U4" t="s">
        <v>59</v>
      </c>
      <c r="V4" t="s">
        <v>60</v>
      </c>
      <c r="W4" t="s">
        <v>60</v>
      </c>
      <c r="X4" t="s">
        <v>59</v>
      </c>
      <c r="Y4" t="s">
        <v>60</v>
      </c>
      <c r="Z4" t="s">
        <v>60</v>
      </c>
      <c r="AA4" t="s">
        <v>60</v>
      </c>
      <c r="AB4" t="s">
        <v>60</v>
      </c>
      <c r="AC4" t="s">
        <v>59</v>
      </c>
      <c r="AD4" t="s">
        <v>60</v>
      </c>
      <c r="AE4" t="s">
        <v>59</v>
      </c>
      <c r="AF4" t="s">
        <v>59</v>
      </c>
      <c r="AG4" t="s">
        <v>60</v>
      </c>
      <c r="AI4" t="s">
        <v>60</v>
      </c>
      <c r="AJ4" t="s">
        <v>60</v>
      </c>
      <c r="AO4">
        <v>1094</v>
      </c>
      <c r="AP4" t="s">
        <v>131</v>
      </c>
      <c r="AQ4">
        <v>0.24</v>
      </c>
    </row>
    <row r="5" spans="1:65" x14ac:dyDescent="0.2">
      <c r="G5" t="s">
        <v>61</v>
      </c>
      <c r="J5" t="s">
        <v>58</v>
      </c>
      <c r="K5" t="s">
        <v>58</v>
      </c>
      <c r="L5" t="s">
        <v>58</v>
      </c>
      <c r="M5" t="s">
        <v>58</v>
      </c>
      <c r="O5" t="s">
        <v>61</v>
      </c>
      <c r="Q5" t="s">
        <v>58</v>
      </c>
      <c r="R5" t="s">
        <v>61</v>
      </c>
      <c r="S5" t="s">
        <v>61</v>
      </c>
      <c r="T5" t="s">
        <v>61</v>
      </c>
      <c r="X5" t="s">
        <v>58</v>
      </c>
      <c r="AA5" t="s">
        <v>61</v>
      </c>
      <c r="AB5" t="s">
        <v>61</v>
      </c>
      <c r="AC5" t="s">
        <v>61</v>
      </c>
      <c r="AD5" t="s">
        <v>61</v>
      </c>
      <c r="AE5" t="s">
        <v>61</v>
      </c>
      <c r="AF5" t="s">
        <v>61</v>
      </c>
      <c r="AG5" t="s">
        <v>61</v>
      </c>
      <c r="AI5" t="s">
        <v>61</v>
      </c>
      <c r="AJ5" t="s">
        <v>61</v>
      </c>
      <c r="AO5">
        <v>1093</v>
      </c>
      <c r="AP5" t="s">
        <v>219</v>
      </c>
      <c r="AQ5">
        <v>0.21</v>
      </c>
    </row>
    <row r="6" spans="1:65" ht="17" thickBot="1" x14ac:dyDescent="0.25">
      <c r="AO6">
        <v>1095</v>
      </c>
      <c r="AP6" t="s">
        <v>220</v>
      </c>
      <c r="AQ6">
        <v>1.0999999999999999E-2</v>
      </c>
    </row>
    <row r="7" spans="1:65" ht="17" thickTop="1" x14ac:dyDescent="0.2">
      <c r="AO7">
        <v>1088</v>
      </c>
      <c r="AP7" t="s">
        <v>150</v>
      </c>
      <c r="AQ7">
        <f>44/28</f>
        <v>1.5714285714285714</v>
      </c>
      <c r="AU7" s="8"/>
      <c r="AV7" s="8"/>
      <c r="BM7" s="6"/>
    </row>
    <row r="8" spans="1:65" x14ac:dyDescent="0.2">
      <c r="G8" t="s">
        <v>64</v>
      </c>
      <c r="J8" t="s">
        <v>65</v>
      </c>
      <c r="K8" t="s">
        <v>63</v>
      </c>
      <c r="L8" t="s">
        <v>63</v>
      </c>
      <c r="M8" t="s">
        <v>66</v>
      </c>
      <c r="O8" t="s">
        <v>63</v>
      </c>
      <c r="Q8" t="s">
        <v>63</v>
      </c>
      <c r="R8" t="s">
        <v>63</v>
      </c>
      <c r="S8" t="s">
        <v>63</v>
      </c>
      <c r="T8" t="s">
        <v>72</v>
      </c>
      <c r="AA8" t="s">
        <v>75</v>
      </c>
      <c r="AB8" t="s">
        <v>71</v>
      </c>
      <c r="AC8" t="s">
        <v>63</v>
      </c>
      <c r="AD8" t="s">
        <v>71</v>
      </c>
      <c r="AE8" t="s">
        <v>76</v>
      </c>
      <c r="AF8" t="s">
        <v>77</v>
      </c>
      <c r="AG8" t="s">
        <v>78</v>
      </c>
      <c r="AI8" t="s">
        <v>78</v>
      </c>
      <c r="AJ8" t="s">
        <v>79</v>
      </c>
      <c r="AU8" s="8"/>
      <c r="AV8" s="8"/>
    </row>
    <row r="9" spans="1:65" x14ac:dyDescent="0.2">
      <c r="G9" t="s">
        <v>83</v>
      </c>
      <c r="H9" t="s">
        <v>236</v>
      </c>
      <c r="I9" t="s">
        <v>237</v>
      </c>
      <c r="J9" t="s">
        <v>84</v>
      </c>
      <c r="K9" t="s">
        <v>86</v>
      </c>
      <c r="L9" t="s">
        <v>87</v>
      </c>
      <c r="M9" t="s">
        <v>88</v>
      </c>
      <c r="O9" t="s">
        <v>115</v>
      </c>
      <c r="Q9" t="s">
        <v>89</v>
      </c>
      <c r="R9" t="s">
        <v>97</v>
      </c>
      <c r="S9" t="s">
        <v>103</v>
      </c>
      <c r="T9" t="s">
        <v>104</v>
      </c>
      <c r="AA9" t="s">
        <v>111</v>
      </c>
      <c r="AB9" t="s">
        <v>105</v>
      </c>
      <c r="AC9" t="s">
        <v>112</v>
      </c>
      <c r="AD9" t="s">
        <v>113</v>
      </c>
      <c r="AE9" t="s">
        <v>114</v>
      </c>
      <c r="AF9" t="s">
        <v>116</v>
      </c>
      <c r="AG9" t="s">
        <v>117</v>
      </c>
      <c r="AI9" t="s">
        <v>117</v>
      </c>
      <c r="AJ9" t="s">
        <v>118</v>
      </c>
      <c r="AQ9" t="s">
        <v>200</v>
      </c>
      <c r="AS9" t="s">
        <v>201</v>
      </c>
      <c r="AU9" s="8"/>
      <c r="AV9" s="8"/>
    </row>
    <row r="10" spans="1:65" ht="17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t="s">
        <v>161</v>
      </c>
      <c r="G10" s="1" t="s">
        <v>124</v>
      </c>
      <c r="H10" s="1" t="s">
        <v>235</v>
      </c>
      <c r="I10" s="1" t="s">
        <v>240</v>
      </c>
      <c r="J10" t="s">
        <v>125</v>
      </c>
      <c r="K10" t="s">
        <v>127</v>
      </c>
      <c r="L10" t="s">
        <v>128</v>
      </c>
      <c r="M10" t="s">
        <v>129</v>
      </c>
      <c r="N10" t="s">
        <v>215</v>
      </c>
      <c r="O10" t="s">
        <v>214</v>
      </c>
      <c r="P10" t="s">
        <v>217</v>
      </c>
      <c r="Q10" t="s">
        <v>216</v>
      </c>
      <c r="R10" t="s">
        <v>137</v>
      </c>
      <c r="S10" t="s">
        <v>143</v>
      </c>
      <c r="T10" t="s">
        <v>144</v>
      </c>
      <c r="U10" t="s">
        <v>265</v>
      </c>
      <c r="V10" t="s">
        <v>261</v>
      </c>
      <c r="W10" t="s">
        <v>264</v>
      </c>
      <c r="X10" t="s">
        <v>262</v>
      </c>
      <c r="Y10" t="s">
        <v>260</v>
      </c>
      <c r="Z10" t="s">
        <v>259</v>
      </c>
      <c r="AA10" t="s">
        <v>151</v>
      </c>
      <c r="AB10" t="s">
        <v>145</v>
      </c>
      <c r="AC10" t="s">
        <v>152</v>
      </c>
      <c r="AD10" t="s">
        <v>153</v>
      </c>
      <c r="AE10" t="s">
        <v>154</v>
      </c>
      <c r="AF10" t="s">
        <v>155</v>
      </c>
      <c r="AG10" t="s">
        <v>266</v>
      </c>
      <c r="AH10" t="s">
        <v>267</v>
      </c>
      <c r="AI10" t="s">
        <v>268</v>
      </c>
      <c r="AJ10" t="s">
        <v>156</v>
      </c>
      <c r="AK10" s="28" t="s">
        <v>156</v>
      </c>
      <c r="AP10" t="s">
        <v>202</v>
      </c>
      <c r="AQ10">
        <v>4.7000000000000002E-3</v>
      </c>
      <c r="AR10" s="14" t="s">
        <v>193</v>
      </c>
      <c r="AS10" s="14">
        <v>0.72</v>
      </c>
      <c r="AU10" s="8"/>
      <c r="AV10" s="8"/>
    </row>
    <row r="11" spans="1:65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s="12" t="s">
        <v>169</v>
      </c>
      <c r="F11" t="s">
        <v>163</v>
      </c>
      <c r="G11">
        <v>100</v>
      </c>
      <c r="H11">
        <v>95</v>
      </c>
      <c r="I11">
        <v>90</v>
      </c>
      <c r="J11">
        <f>$AQ$3</f>
        <v>91.25</v>
      </c>
      <c r="K11" cm="1">
        <f t="array" ref="K11:K34">_xlfn.DROP(_xlfn.XLOOKUP($C11,QueryCP[[#Headers],[ACT/NSW]:[WA]],QueryCP[[#All],[ACT/NSW]:[WA]]),1)</f>
        <v>0.2</v>
      </c>
      <c r="L11" cm="1">
        <f t="array" ref="L11:L34">_xlfn.DROP(_xlfn.XLOOKUP($C11,QueryDMD[[#Headers],[ACT/NSW]:[WA]],QueryDMD[[#All],[ACT/NSW]:[WA]]),1)</f>
        <v>0.75</v>
      </c>
      <c r="M11" cm="1">
        <f t="array" ref="M11:M34">_xlfn.DROP(_xlfn.XLOOKUP($C11,QueryW[[#Headers],[ACT/NSW]:[WA]],QueryW[[#All],[ACT/NSW]:[WA]]),1)</f>
        <v>54</v>
      </c>
      <c r="N11">
        <f>1-O11</f>
        <v>0</v>
      </c>
      <c r="O11">
        <f>IF($D$11="yes", 1, VLOOKUP($B$11, $AP$26:$AR$32, 1))</f>
        <v>1</v>
      </c>
      <c r="P11">
        <f>VLOOKUP($B$11,$AR$10:$AS$16, 2, FALSE)</f>
        <v>0.72</v>
      </c>
      <c r="Q11">
        <f>$AQ$10</f>
        <v>4.7000000000000002E-3</v>
      </c>
      <c r="R11">
        <f>(H11/100)*(MIN(I11,100)/100)</f>
        <v>0.85499999999999998</v>
      </c>
      <c r="S11">
        <v>0</v>
      </c>
      <c r="T11">
        <f>1.6 * S11</f>
        <v>0</v>
      </c>
      <c r="U11">
        <f>$AT$1</f>
        <v>1.3</v>
      </c>
      <c r="V11">
        <f>R11*U11+(1-R11)</f>
        <v>1.2565</v>
      </c>
      <c r="W11">
        <f>(0.795*L11)-0.0014</f>
        <v>0.5948500000000001</v>
      </c>
      <c r="X11" cm="1">
        <f t="array" ref="X11:X34">_xlfn.DROP(_xlfn.XLOOKUP($C11,QueryDMA[[#Headers],[ACT/NSW]:[WA]],QueryDMA[[#All],[ACT/NSW]:[WA]]),1)</f>
        <v>2.9</v>
      </c>
      <c r="Y11">
        <f>1 - EXP(-2*(X11^2))</f>
        <v>0.9999999504359468</v>
      </c>
      <c r="Z11">
        <f>(104.7*W11+0.307*M11-15)*(M11^0.75)*10^-3</f>
        <v>1.2720847291262878</v>
      </c>
      <c r="AA11">
        <f>Z11*Y11*V11</f>
        <v>1.5983743829252637</v>
      </c>
      <c r="AB11">
        <f>(AA11 * K11) + (0.045 * T11)</f>
        <v>0.31967487658505278</v>
      </c>
      <c r="AC11">
        <f>$AQ$2</f>
        <v>0.08</v>
      </c>
      <c r="AD11">
        <f>(AA11 * ((1 - L11) + (0.04 * AA11))) * ( 1 - AC11 )</f>
        <v>0.46164277265490583</v>
      </c>
      <c r="AE11">
        <f>$AQ$1</f>
        <v>0.19</v>
      </c>
      <c r="AF11">
        <f>$AR$20</f>
        <v>0.6784</v>
      </c>
      <c r="AG11">
        <f>AD11 * AE11 * N11 * P11 * AF11</f>
        <v>0</v>
      </c>
      <c r="AH11">
        <f>AD11*AE11*O11*Q11*AF11</f>
        <v>2.7966836207339569E-4</v>
      </c>
      <c r="AI11">
        <f>AG11+AH11</f>
        <v>2.7966836207339569E-4</v>
      </c>
      <c r="AJ11">
        <f>G11*AI11*J11</f>
        <v>2.5519738039197355</v>
      </c>
      <c r="AK11">
        <f>SUM(AJ11:AJ34)*10^-3</f>
        <v>5.3906996922269038E-2</v>
      </c>
      <c r="AR11" s="14" t="s">
        <v>270</v>
      </c>
      <c r="AS11" s="14">
        <v>0.75</v>
      </c>
      <c r="AU11" s="8"/>
      <c r="AV11" s="6"/>
    </row>
    <row r="12" spans="1:65" ht="18" thickTop="1" thickBot="1" x14ac:dyDescent="0.25">
      <c r="E12" s="13"/>
      <c r="F12" t="s">
        <v>164</v>
      </c>
      <c r="G12">
        <v>70</v>
      </c>
      <c r="H12">
        <v>0</v>
      </c>
      <c r="I12">
        <v>0</v>
      </c>
      <c r="J12">
        <f>$AQ$3</f>
        <v>91.25</v>
      </c>
      <c r="K12">
        <v>0.1</v>
      </c>
      <c r="L12">
        <v>0.61</v>
      </c>
      <c r="M12">
        <v>49</v>
      </c>
      <c r="N12">
        <f t="shared" ref="N12:N34" si="0">1-O12</f>
        <v>0</v>
      </c>
      <c r="O12">
        <f t="shared" ref="O12:O34" si="1">IF($D$11="yes", 1, VLOOKUP($B$11, $AP$26:$AR$32, 1))</f>
        <v>1</v>
      </c>
      <c r="P12">
        <f>VLOOKUP($B$11,$AR$10:$AS$16, 2, FALSE)</f>
        <v>0.72</v>
      </c>
      <c r="Q12">
        <f>$AQ$10</f>
        <v>4.7000000000000002E-3</v>
      </c>
      <c r="R12">
        <f>(H12/100)*(MIN(I12,100)/100)</f>
        <v>0</v>
      </c>
      <c r="S12">
        <v>0</v>
      </c>
      <c r="T12">
        <f t="shared" ref="T12:T34" si="2">1.6 * S12</f>
        <v>0</v>
      </c>
      <c r="U12">
        <f>$AT$1</f>
        <v>1.3</v>
      </c>
      <c r="V12">
        <f>R12*U12+(1-R12)</f>
        <v>1</v>
      </c>
      <c r="W12">
        <f>(0.795*L12)-0.0014</f>
        <v>0.48354999999999998</v>
      </c>
      <c r="X12">
        <v>2.5</v>
      </c>
      <c r="Y12">
        <f t="shared" ref="Y12:Y34" si="3">1 - EXP(-2*(X12^2))</f>
        <v>0.99999627334682795</v>
      </c>
      <c r="Z12">
        <f>(104.7*W12+0.307*M12-15)*(M12^0.75)*10^-3</f>
        <v>0.93843421889903578</v>
      </c>
      <c r="AA12">
        <f t="shared" ref="AA12:AA34" si="4">Z12*Y12*V12</f>
        <v>0.93843072168017716</v>
      </c>
      <c r="AB12">
        <f>(AA12 * K12) + (0.045 * T12)</f>
        <v>9.3843072168017724E-2</v>
      </c>
      <c r="AC12">
        <f>$AQ$2</f>
        <v>0.08</v>
      </c>
      <c r="AD12">
        <f>(AA12 * ((1 - L12) + (0.04 * AA12))) * ( 1 - AC12 )</f>
        <v>0.3691169446125166</v>
      </c>
      <c r="AE12">
        <f>$AQ$1</f>
        <v>0.19</v>
      </c>
      <c r="AF12">
        <f>$AR$20</f>
        <v>0.6784</v>
      </c>
      <c r="AG12">
        <f>AD12 * AE12 * N12 * P12 * AF12</f>
        <v>0</v>
      </c>
      <c r="AH12">
        <f>AD12*AE12*O12*Q12*AF12</f>
        <v>2.2361517915604222E-4</v>
      </c>
      <c r="AI12">
        <f t="shared" ref="AI12:AI34" si="5">AG12+AH12</f>
        <v>2.2361517915604222E-4</v>
      </c>
      <c r="AJ12">
        <f>G12*AI12*J12</f>
        <v>1.4283419568592195</v>
      </c>
      <c r="AR12" s="14" t="s">
        <v>271</v>
      </c>
      <c r="AS12" s="14">
        <v>0.78</v>
      </c>
      <c r="AU12" s="8"/>
      <c r="AV12" s="6"/>
    </row>
    <row r="13" spans="1:65" ht="18" thickTop="1" thickBot="1" x14ac:dyDescent="0.25">
      <c r="E13" s="12"/>
      <c r="F13" t="s">
        <v>165</v>
      </c>
      <c r="G13">
        <v>65</v>
      </c>
      <c r="H13">
        <v>0</v>
      </c>
      <c r="I13">
        <v>0</v>
      </c>
      <c r="J13">
        <f>$AQ$3</f>
        <v>91.25</v>
      </c>
      <c r="K13">
        <v>0.12</v>
      </c>
      <c r="L13">
        <v>0.64</v>
      </c>
      <c r="M13">
        <v>50</v>
      </c>
      <c r="N13">
        <f t="shared" si="0"/>
        <v>0</v>
      </c>
      <c r="O13">
        <f t="shared" si="1"/>
        <v>1</v>
      </c>
      <c r="P13">
        <f>VLOOKUP($B$11,$AR$10:$AS$16, 2, FALSE)</f>
        <v>0.72</v>
      </c>
      <c r="Q13">
        <f>$AQ$10</f>
        <v>4.7000000000000002E-3</v>
      </c>
      <c r="R13">
        <f>(H13/100)*(MIN(I13,100)/100)</f>
        <v>0</v>
      </c>
      <c r="S13">
        <v>0</v>
      </c>
      <c r="T13">
        <f t="shared" si="2"/>
        <v>0</v>
      </c>
      <c r="U13">
        <f>$AT$1</f>
        <v>1.3</v>
      </c>
      <c r="V13">
        <f>R13*U13+(1-R13)</f>
        <v>1</v>
      </c>
      <c r="W13">
        <f>(0.795*L13)-0.0014</f>
        <v>0.50740000000000007</v>
      </c>
      <c r="X13">
        <v>1.6</v>
      </c>
      <c r="Y13">
        <f t="shared" si="3"/>
        <v>0.99402397710499402</v>
      </c>
      <c r="Z13">
        <f>(104.7*W13+0.307*M13-15)*(M13^0.75)*10^-3</f>
        <v>1.0054871153505722</v>
      </c>
      <c r="AA13">
        <f t="shared" si="4"/>
        <v>0.99947830132860371</v>
      </c>
      <c r="AB13">
        <f>(AA13 * K13) + (0.045 * T13)</f>
        <v>0.11993739615943244</v>
      </c>
      <c r="AC13">
        <f>$AQ$2</f>
        <v>0.08</v>
      </c>
      <c r="AD13">
        <f>(AA13 * ((1 - L13) + (0.04 * AA13))) * ( 1 - AC13 )</f>
        <v>0.36778882639365651</v>
      </c>
      <c r="AE13">
        <f>$AQ$1</f>
        <v>0.19</v>
      </c>
      <c r="AF13">
        <f>$AR$20</f>
        <v>0.6784</v>
      </c>
      <c r="AG13">
        <f>AD13 * AE13 * N13 * P13 * AF13</f>
        <v>0</v>
      </c>
      <c r="AH13">
        <f>AD13*AE13*O13*Q13*AF13</f>
        <v>2.2281059026413275E-4</v>
      </c>
      <c r="AI13">
        <f t="shared" si="5"/>
        <v>2.2281059026413275E-4</v>
      </c>
      <c r="AJ13">
        <f>G13*AI13*J13</f>
        <v>1.3215453135041375</v>
      </c>
      <c r="AR13" s="14" t="s">
        <v>272</v>
      </c>
      <c r="AS13" s="14">
        <v>0.74</v>
      </c>
      <c r="AU13" s="8"/>
      <c r="AV13" s="6"/>
    </row>
    <row r="14" spans="1:65" ht="17" thickTop="1" x14ac:dyDescent="0.2">
      <c r="E14" s="13"/>
      <c r="F14" t="s">
        <v>166</v>
      </c>
      <c r="G14">
        <v>80</v>
      </c>
      <c r="H14">
        <v>0</v>
      </c>
      <c r="I14">
        <v>0</v>
      </c>
      <c r="J14">
        <f>$AQ$3</f>
        <v>91.25</v>
      </c>
      <c r="K14">
        <v>0.18</v>
      </c>
      <c r="L14">
        <v>0.72</v>
      </c>
      <c r="M14">
        <v>50</v>
      </c>
      <c r="N14">
        <f t="shared" si="0"/>
        <v>0</v>
      </c>
      <c r="O14">
        <f t="shared" si="1"/>
        <v>1</v>
      </c>
      <c r="P14">
        <f>VLOOKUP($B$11,$AR$10:$AS$16, 2, FALSE)</f>
        <v>0.72</v>
      </c>
      <c r="Q14">
        <f>$AQ$10</f>
        <v>4.7000000000000002E-3</v>
      </c>
      <c r="R14">
        <f>(H14/100)*(MIN(I14,100)/100)</f>
        <v>0</v>
      </c>
      <c r="S14">
        <v>0</v>
      </c>
      <c r="T14">
        <f t="shared" si="2"/>
        <v>0</v>
      </c>
      <c r="U14">
        <f>$AT$1</f>
        <v>1.3</v>
      </c>
      <c r="V14">
        <f>R14*U14+(1-R14)</f>
        <v>1</v>
      </c>
      <c r="W14">
        <f>(0.795*L14)-0.0014</f>
        <v>0.57100000000000006</v>
      </c>
      <c r="X14">
        <v>1.7</v>
      </c>
      <c r="Y14">
        <f t="shared" si="3"/>
        <v>0.99691128459176326</v>
      </c>
      <c r="Z14">
        <f>(104.7*W14+0.307*M14-15)*(M14^0.75)*10^-3</f>
        <v>1.1306948910936463</v>
      </c>
      <c r="AA14">
        <f t="shared" si="4"/>
        <v>1.1272024963615108</v>
      </c>
      <c r="AB14">
        <f>(AA14 * K14) + (0.045 * T14)</f>
        <v>0.20289644934507195</v>
      </c>
      <c r="AC14">
        <f>$AQ$2</f>
        <v>0.08</v>
      </c>
      <c r="AD14">
        <f>(AA14 * ((1 - L14) + (0.04 * AA14))) * ( 1 - AC14 )</f>
        <v>0.33712490827789848</v>
      </c>
      <c r="AE14">
        <f>$AQ$1</f>
        <v>0.19</v>
      </c>
      <c r="AF14">
        <f>$AR$20</f>
        <v>0.6784</v>
      </c>
      <c r="AG14">
        <f>AD14 * AE14 * N14 * P14 * AF14</f>
        <v>0</v>
      </c>
      <c r="AH14">
        <f>AD14*AE14*O14*Q14*AF14</f>
        <v>2.0423404523372364E-4</v>
      </c>
      <c r="AI14">
        <f t="shared" si="5"/>
        <v>2.0423404523372364E-4</v>
      </c>
      <c r="AJ14">
        <f>G14*AI14*J14</f>
        <v>1.4909085302061826</v>
      </c>
      <c r="AR14" s="14" t="s">
        <v>273</v>
      </c>
      <c r="AS14" s="14">
        <v>0.69</v>
      </c>
      <c r="AU14" s="8"/>
      <c r="AV14" s="6"/>
    </row>
    <row r="15" spans="1:65" x14ac:dyDescent="0.2">
      <c r="E15" s="12" t="s">
        <v>171</v>
      </c>
      <c r="F15" t="s">
        <v>163</v>
      </c>
      <c r="G15">
        <v>200</v>
      </c>
      <c r="H15">
        <v>0</v>
      </c>
      <c r="I15">
        <v>0</v>
      </c>
      <c r="J15">
        <f>$AQ$3</f>
        <v>91.25</v>
      </c>
      <c r="K15">
        <v>0.2</v>
      </c>
      <c r="L15">
        <v>0.75</v>
      </c>
      <c r="M15">
        <v>20</v>
      </c>
      <c r="N15">
        <f t="shared" si="0"/>
        <v>0</v>
      </c>
      <c r="O15">
        <f t="shared" si="1"/>
        <v>1</v>
      </c>
      <c r="P15">
        <f>VLOOKUP($B$11,$AR$10:$AS$16, 2, FALSE)</f>
        <v>0.72</v>
      </c>
      <c r="Q15">
        <f>$AQ$10</f>
        <v>4.7000000000000002E-3</v>
      </c>
      <c r="R15">
        <f>(H15/100)*(MIN(I15,100)/100)</f>
        <v>0</v>
      </c>
      <c r="S15">
        <v>1</v>
      </c>
      <c r="T15">
        <f t="shared" si="2"/>
        <v>1.6</v>
      </c>
      <c r="U15">
        <f>$AT$1</f>
        <v>1.3</v>
      </c>
      <c r="V15">
        <f>R15*U15+(1-R15)</f>
        <v>1</v>
      </c>
      <c r="W15">
        <f>(0.795*L15)-0.0014</f>
        <v>0.5948500000000001</v>
      </c>
      <c r="X15">
        <v>2.9</v>
      </c>
      <c r="Y15">
        <f t="shared" si="3"/>
        <v>0.9999999504359468</v>
      </c>
      <c r="Z15">
        <f>(104.7*W15+0.307*M15-15)*(M15^0.75)*10^-3</f>
        <v>0.5052226861752882</v>
      </c>
      <c r="AA15">
        <f t="shared" si="4"/>
        <v>0.50522266113440406</v>
      </c>
      <c r="AB15">
        <f>(AA15 * K15) + (0.045 * T15)</f>
        <v>0.17304453222688082</v>
      </c>
      <c r="AC15">
        <f>$AQ$2</f>
        <v>0.08</v>
      </c>
      <c r="AD15">
        <f>(AA15 * ((1 - L15) + (0.04 * AA15))) * ( 1 - AC15 )</f>
        <v>0.12559440975442615</v>
      </c>
      <c r="AE15">
        <f>$AQ$1</f>
        <v>0.19</v>
      </c>
      <c r="AF15">
        <f>$AR$20</f>
        <v>0.6784</v>
      </c>
      <c r="AG15">
        <f>AD15 * AE15 * N15 * P15 * AF15</f>
        <v>0</v>
      </c>
      <c r="AH15">
        <f>AD15*AE15*O15*Q15*AF15</f>
        <v>7.6086500086620609E-5</v>
      </c>
      <c r="AI15">
        <f t="shared" si="5"/>
        <v>7.6086500086620609E-5</v>
      </c>
      <c r="AJ15">
        <f>G15*AI15*J15</f>
        <v>1.388578626580826</v>
      </c>
      <c r="AR15" s="14" t="s">
        <v>274</v>
      </c>
      <c r="AS15" s="14">
        <v>0.73</v>
      </c>
      <c r="AU15" s="8"/>
      <c r="AV15" s="8"/>
    </row>
    <row r="16" spans="1:65" x14ac:dyDescent="0.2">
      <c r="E16" s="13"/>
      <c r="F16" t="s">
        <v>164</v>
      </c>
      <c r="G16">
        <v>210</v>
      </c>
      <c r="H16">
        <v>0</v>
      </c>
      <c r="I16">
        <v>0</v>
      </c>
      <c r="J16">
        <f>$AQ$3</f>
        <v>91.25</v>
      </c>
      <c r="K16">
        <v>0.1</v>
      </c>
      <c r="L16">
        <v>0.61</v>
      </c>
      <c r="M16">
        <v>27</v>
      </c>
      <c r="N16">
        <f t="shared" si="0"/>
        <v>0</v>
      </c>
      <c r="O16">
        <f t="shared" si="1"/>
        <v>1</v>
      </c>
      <c r="P16">
        <f>VLOOKUP($B$11,$AR$10:$AS$16, 2, FALSE)</f>
        <v>0.72</v>
      </c>
      <c r="Q16">
        <f>$AQ$10</f>
        <v>4.7000000000000002E-3</v>
      </c>
      <c r="R16">
        <f>(H16/100)*(MIN(I16,100)/100)</f>
        <v>0</v>
      </c>
      <c r="S16">
        <v>0</v>
      </c>
      <c r="T16">
        <f t="shared" si="2"/>
        <v>0</v>
      </c>
      <c r="U16">
        <f>$AT$1</f>
        <v>1.3</v>
      </c>
      <c r="V16">
        <f>R16*U16+(1-R16)</f>
        <v>1</v>
      </c>
      <c r="W16">
        <f>(0.795*L16)-0.0014</f>
        <v>0.48354999999999998</v>
      </c>
      <c r="X16">
        <v>2.5</v>
      </c>
      <c r="Y16">
        <f t="shared" si="3"/>
        <v>0.99999627334682795</v>
      </c>
      <c r="Z16">
        <f>(104.7*W16+0.307*M16-15)*(M16^0.75)*10^-3</f>
        <v>0.52017847077168489</v>
      </c>
      <c r="AA16">
        <f t="shared" si="4"/>
        <v>0.52017653224693672</v>
      </c>
      <c r="AB16">
        <f>(AA16 * K16) + (0.045 * T16)</f>
        <v>5.2017653224693677E-2</v>
      </c>
      <c r="AC16">
        <f>$AQ$2</f>
        <v>0.08</v>
      </c>
      <c r="AD16">
        <f>(AA16 * ((1 - L16) + (0.04 * AA16))) * ( 1 - AC16 )</f>
        <v>0.1965968171591774</v>
      </c>
      <c r="AE16">
        <f>$AQ$1</f>
        <v>0.19</v>
      </c>
      <c r="AF16">
        <f>$AR$20</f>
        <v>0.6784</v>
      </c>
      <c r="AG16">
        <f>AD16 * AE16 * N16 * P16 * AF16</f>
        <v>0</v>
      </c>
      <c r="AH16">
        <f>AD16*AE16*O16*Q16*AF16</f>
        <v>1.1910055371938185E-4</v>
      </c>
      <c r="AI16">
        <f t="shared" si="5"/>
        <v>1.1910055371938185E-4</v>
      </c>
      <c r="AJ16">
        <f>G16*AI16*J16</f>
        <v>2.2822643606476545</v>
      </c>
      <c r="AR16" s="14" t="s">
        <v>275</v>
      </c>
      <c r="AS16" s="14">
        <v>0.76</v>
      </c>
      <c r="AU16" s="8"/>
      <c r="AV16" s="8"/>
    </row>
    <row r="17" spans="5:48" x14ac:dyDescent="0.2">
      <c r="E17" s="12"/>
      <c r="F17" t="s">
        <v>165</v>
      </c>
      <c r="G17">
        <v>170</v>
      </c>
      <c r="H17">
        <v>0</v>
      </c>
      <c r="I17">
        <v>0</v>
      </c>
      <c r="J17">
        <f>$AQ$3</f>
        <v>91.25</v>
      </c>
      <c r="K17">
        <v>0.12</v>
      </c>
      <c r="L17">
        <v>0.64</v>
      </c>
      <c r="M17">
        <v>32</v>
      </c>
      <c r="N17">
        <f t="shared" si="0"/>
        <v>0</v>
      </c>
      <c r="O17">
        <f t="shared" si="1"/>
        <v>1</v>
      </c>
      <c r="P17">
        <f>VLOOKUP($B$11,$AR$10:$AS$16, 2, FALSE)</f>
        <v>0.72</v>
      </c>
      <c r="Q17">
        <f>$AQ$10</f>
        <v>4.7000000000000002E-3</v>
      </c>
      <c r="R17">
        <f>(H17/100)*(MIN(I17,100)/100)</f>
        <v>0</v>
      </c>
      <c r="S17">
        <v>0</v>
      </c>
      <c r="T17">
        <f t="shared" si="2"/>
        <v>0</v>
      </c>
      <c r="U17">
        <f>$AT$1</f>
        <v>1.3</v>
      </c>
      <c r="V17">
        <f>R17*U17+(1-R17)</f>
        <v>1</v>
      </c>
      <c r="W17">
        <f>(0.795*L17)-0.0014</f>
        <v>0.50740000000000007</v>
      </c>
      <c r="X17">
        <v>1.6</v>
      </c>
      <c r="Y17">
        <f t="shared" si="3"/>
        <v>0.99402397710499402</v>
      </c>
      <c r="Z17">
        <f>(104.7*W17+0.307*M17-15)*(M17^0.75)*10^-3</f>
        <v>0.64511931548462409</v>
      </c>
      <c r="AA17">
        <f t="shared" si="4"/>
        <v>0.64126406768527744</v>
      </c>
      <c r="AB17">
        <f>(AA17 * K17) + (0.045 * T17)</f>
        <v>7.6951688122233283E-2</v>
      </c>
      <c r="AC17">
        <f>$AQ$2</f>
        <v>0.08</v>
      </c>
      <c r="AD17">
        <f>(AA17 * ((1 - L17) + (0.04 * AA17))) * ( 1 - AC17 )</f>
        <v>0.22751954066312097</v>
      </c>
      <c r="AE17">
        <f>$AQ$1</f>
        <v>0.19</v>
      </c>
      <c r="AF17">
        <f>$AR$20</f>
        <v>0.6784</v>
      </c>
      <c r="AG17">
        <f>AD17 * AE17 * N17 * P17 * AF17</f>
        <v>0</v>
      </c>
      <c r="AH17">
        <f>AD17*AE17*O17*Q17*AF17</f>
        <v>1.378338859525741E-4</v>
      </c>
      <c r="AI17">
        <f t="shared" si="5"/>
        <v>1.378338859525741E-4</v>
      </c>
      <c r="AJ17">
        <f>G17*AI17*J17</f>
        <v>2.1381481558393056</v>
      </c>
      <c r="AU17" s="8"/>
      <c r="AV17" s="8"/>
    </row>
    <row r="18" spans="5:48" x14ac:dyDescent="0.2">
      <c r="E18" s="13"/>
      <c r="F18" t="s">
        <v>166</v>
      </c>
      <c r="G18">
        <v>200</v>
      </c>
      <c r="H18">
        <v>0</v>
      </c>
      <c r="I18">
        <v>0</v>
      </c>
      <c r="J18">
        <f>$AQ$3</f>
        <v>91.25</v>
      </c>
      <c r="K18">
        <v>0.18</v>
      </c>
      <c r="L18">
        <v>0.72</v>
      </c>
      <c r="M18">
        <v>34</v>
      </c>
      <c r="N18">
        <f t="shared" si="0"/>
        <v>0</v>
      </c>
      <c r="O18">
        <f t="shared" si="1"/>
        <v>1</v>
      </c>
      <c r="P18">
        <f>VLOOKUP($B$11,$AR$10:$AS$16, 2, FALSE)</f>
        <v>0.72</v>
      </c>
      <c r="Q18">
        <f>$AQ$10</f>
        <v>4.7000000000000002E-3</v>
      </c>
      <c r="R18">
        <f>(H18/100)*(MIN(I18,100)/100)</f>
        <v>0</v>
      </c>
      <c r="S18">
        <v>0</v>
      </c>
      <c r="T18">
        <f t="shared" si="2"/>
        <v>0</v>
      </c>
      <c r="U18">
        <f>$AT$1</f>
        <v>1.3</v>
      </c>
      <c r="V18">
        <f>R18*U18+(1-R18)</f>
        <v>1</v>
      </c>
      <c r="W18">
        <f>(0.795*L18)-0.0014</f>
        <v>0.57100000000000006</v>
      </c>
      <c r="X18">
        <v>1.7</v>
      </c>
      <c r="Y18">
        <f t="shared" si="3"/>
        <v>0.99691128459176326</v>
      </c>
      <c r="Z18">
        <f>(104.7*W18+0.307*M18-15)*(M18^0.75)*10^-3</f>
        <v>0.77753323213623582</v>
      </c>
      <c r="AA18">
        <f t="shared" si="4"/>
        <v>0.77513165326172051</v>
      </c>
      <c r="AB18">
        <f>(AA18 * K18) + (0.045 * T18)</f>
        <v>0.1395236975871097</v>
      </c>
      <c r="AC18">
        <f>$AQ$2</f>
        <v>0.08</v>
      </c>
      <c r="AD18">
        <f>(AA18 * ((1 - L18) + (0.04 * AA18))) * ( 1 - AC18 )</f>
        <v>0.22178442402010679</v>
      </c>
      <c r="AE18">
        <f>$AQ$1</f>
        <v>0.19</v>
      </c>
      <c r="AF18">
        <f>$AR$20</f>
        <v>0.6784</v>
      </c>
      <c r="AG18">
        <f>AD18 * AE18 * N18 * P18 * AF18</f>
        <v>0</v>
      </c>
      <c r="AH18">
        <f>AD18*AE18*O18*Q18*AF18</f>
        <v>1.3435948805692974E-4</v>
      </c>
      <c r="AI18">
        <f t="shared" si="5"/>
        <v>1.3435948805692974E-4</v>
      </c>
      <c r="AJ18">
        <f>G18*AI18*J18</f>
        <v>2.4520606570389676</v>
      </c>
      <c r="AQ18" t="s">
        <v>149</v>
      </c>
      <c r="AR18" s="14" t="s">
        <v>254</v>
      </c>
      <c r="AS18" s="14">
        <v>6.0000000000000001E-3</v>
      </c>
      <c r="AU18" s="8"/>
      <c r="AV18" s="8"/>
    </row>
    <row r="19" spans="5:48" x14ac:dyDescent="0.2">
      <c r="E19" s="12" t="s">
        <v>168</v>
      </c>
      <c r="F19" t="s">
        <v>163</v>
      </c>
      <c r="G19">
        <v>100</v>
      </c>
      <c r="H19">
        <v>95</v>
      </c>
      <c r="I19">
        <v>92</v>
      </c>
      <c r="J19">
        <f>$AQ$3</f>
        <v>91.25</v>
      </c>
      <c r="K19">
        <v>0.2</v>
      </c>
      <c r="L19">
        <v>0.75</v>
      </c>
      <c r="M19">
        <v>44</v>
      </c>
      <c r="N19">
        <f t="shared" si="0"/>
        <v>0</v>
      </c>
      <c r="O19">
        <f t="shared" si="1"/>
        <v>1</v>
      </c>
      <c r="P19">
        <f>VLOOKUP($B$11,$AR$10:$AS$16, 2, FALSE)</f>
        <v>0.72</v>
      </c>
      <c r="Q19">
        <f>$AQ$10</f>
        <v>4.7000000000000002E-3</v>
      </c>
      <c r="R19">
        <f>(H19/100)*(MIN(I19,100)/100)</f>
        <v>0.874</v>
      </c>
      <c r="S19">
        <v>0</v>
      </c>
      <c r="T19">
        <f t="shared" si="2"/>
        <v>0</v>
      </c>
      <c r="U19">
        <f>$AT$1</f>
        <v>1.3</v>
      </c>
      <c r="V19">
        <f>R19*U19+(1-R19)</f>
        <v>1.2622</v>
      </c>
      <c r="W19">
        <f>(0.795*L19)-0.0014</f>
        <v>0.5948500000000001</v>
      </c>
      <c r="X19">
        <v>2.9</v>
      </c>
      <c r="Y19">
        <f t="shared" si="3"/>
        <v>0.9999999504359468</v>
      </c>
      <c r="Z19">
        <f>(104.7*W19+0.307*M19-15)*(M19^0.75)*10^-3</f>
        <v>1.0385156413271623</v>
      </c>
      <c r="AA19">
        <f t="shared" si="4"/>
        <v>1.3108143775138676</v>
      </c>
      <c r="AB19">
        <f>(AA19 * K19) + (0.045 * T19)</f>
        <v>0.26216287550277356</v>
      </c>
      <c r="AC19">
        <f>$AQ$2</f>
        <v>0.08</v>
      </c>
      <c r="AD19">
        <f>(AA19 * ((1 - L19) + (0.04 * AA19))) * ( 1 - AC19 )</f>
        <v>0.36471833025672168</v>
      </c>
      <c r="AE19">
        <f>$AQ$1</f>
        <v>0.19</v>
      </c>
      <c r="AF19">
        <f>$AR$20</f>
        <v>0.6784</v>
      </c>
      <c r="AG19">
        <f>AD19 * AE19 * N19 * P19 * AF19</f>
        <v>0</v>
      </c>
      <c r="AH19">
        <f>AD19*AE19*O19*Q19*AF19</f>
        <v>2.2095044931482087E-4</v>
      </c>
      <c r="AI19">
        <f t="shared" si="5"/>
        <v>2.2095044931482087E-4</v>
      </c>
      <c r="AJ19">
        <f>G19*AI19*J19</f>
        <v>2.0161728499977403</v>
      </c>
      <c r="AR19" s="14" t="s">
        <v>255</v>
      </c>
      <c r="AS19" s="14">
        <v>2E-3</v>
      </c>
      <c r="AU19" s="8"/>
      <c r="AV19" s="8"/>
    </row>
    <row r="20" spans="5:48" x14ac:dyDescent="0.2">
      <c r="E20" s="13"/>
      <c r="F20" t="s">
        <v>164</v>
      </c>
      <c r="G20">
        <v>140</v>
      </c>
      <c r="H20">
        <v>0</v>
      </c>
      <c r="I20">
        <v>0</v>
      </c>
      <c r="J20">
        <f>$AQ$3</f>
        <v>91.25</v>
      </c>
      <c r="K20">
        <v>0.1</v>
      </c>
      <c r="L20">
        <v>0.61</v>
      </c>
      <c r="M20">
        <v>42</v>
      </c>
      <c r="N20">
        <f t="shared" si="0"/>
        <v>0</v>
      </c>
      <c r="O20">
        <f t="shared" si="1"/>
        <v>1</v>
      </c>
      <c r="P20">
        <f>VLOOKUP($B$11,$AR$10:$AS$16, 2, FALSE)</f>
        <v>0.72</v>
      </c>
      <c r="Q20">
        <f>$AQ$10</f>
        <v>4.7000000000000002E-3</v>
      </c>
      <c r="R20">
        <f>(H20/100)*(MIN(I20,100)/100)</f>
        <v>0</v>
      </c>
      <c r="S20">
        <v>0</v>
      </c>
      <c r="T20">
        <f t="shared" si="2"/>
        <v>0</v>
      </c>
      <c r="U20">
        <f>$AT$1</f>
        <v>1.3</v>
      </c>
      <c r="V20">
        <f>R20*U20+(1-R20)</f>
        <v>1</v>
      </c>
      <c r="W20">
        <f>(0.795*L20)-0.0014</f>
        <v>0.48354999999999998</v>
      </c>
      <c r="X20">
        <v>2.5</v>
      </c>
      <c r="Y20">
        <f t="shared" si="3"/>
        <v>0.99999627334682795</v>
      </c>
      <c r="Z20">
        <f>(104.7*W20+0.307*M20-15)*(M20^0.75)*10^-3</f>
        <v>0.80052120768394575</v>
      </c>
      <c r="AA20">
        <f t="shared" si="4"/>
        <v>0.80051822441904785</v>
      </c>
      <c r="AB20">
        <f>(AA20 * K20) + (0.045 * T20)</f>
        <v>8.0051822441904785E-2</v>
      </c>
      <c r="AC20">
        <f>$AQ$2</f>
        <v>0.08</v>
      </c>
      <c r="AD20">
        <f>(AA20 * ((1 - L20) + (0.04 * AA20))) * ( 1 - AC20 )</f>
        <v>0.31080846185822891</v>
      </c>
      <c r="AE20">
        <f>$AQ$1</f>
        <v>0.19</v>
      </c>
      <c r="AF20">
        <f>$AR$20</f>
        <v>0.6784</v>
      </c>
      <c r="AG20">
        <f>AD20 * AE20 * N20 * P20 * AF20</f>
        <v>0</v>
      </c>
      <c r="AH20">
        <f>AD20*AE20*O20*Q20*AF20</f>
        <v>1.8829124724848792E-4</v>
      </c>
      <c r="AI20">
        <f t="shared" si="5"/>
        <v>1.8829124724848792E-4</v>
      </c>
      <c r="AJ20">
        <f>G20*AI20*J20</f>
        <v>2.4054206835994334</v>
      </c>
      <c r="AQ20" t="s">
        <v>258</v>
      </c>
      <c r="AR20">
        <v>0.6784</v>
      </c>
      <c r="AU20" s="8"/>
      <c r="AV20" s="8"/>
    </row>
    <row r="21" spans="5:48" x14ac:dyDescent="0.2">
      <c r="E21" s="12"/>
      <c r="F21" t="s">
        <v>165</v>
      </c>
      <c r="G21">
        <v>135</v>
      </c>
      <c r="H21">
        <v>0</v>
      </c>
      <c r="I21">
        <v>0</v>
      </c>
      <c r="J21">
        <f>$AQ$3</f>
        <v>91.25</v>
      </c>
      <c r="K21">
        <v>0.12</v>
      </c>
      <c r="L21">
        <v>0.64</v>
      </c>
      <c r="M21">
        <v>43</v>
      </c>
      <c r="N21">
        <f t="shared" si="0"/>
        <v>0</v>
      </c>
      <c r="O21">
        <f t="shared" si="1"/>
        <v>1</v>
      </c>
      <c r="P21">
        <f>VLOOKUP($B$11,$AR$10:$AS$16, 2, FALSE)</f>
        <v>0.72</v>
      </c>
      <c r="Q21">
        <f>$AQ$10</f>
        <v>4.7000000000000002E-3</v>
      </c>
      <c r="R21">
        <f>(H21/100)*(MIN(I21,100)/100)</f>
        <v>0</v>
      </c>
      <c r="S21">
        <v>0</v>
      </c>
      <c r="T21">
        <f t="shared" si="2"/>
        <v>0</v>
      </c>
      <c r="U21">
        <f>$AT$1</f>
        <v>1.3</v>
      </c>
      <c r="V21">
        <f>R21*U21+(1-R21)</f>
        <v>1</v>
      </c>
      <c r="W21">
        <f>(0.795*L21)-0.0014</f>
        <v>0.50740000000000007</v>
      </c>
      <c r="X21">
        <v>1.6</v>
      </c>
      <c r="Y21">
        <f t="shared" si="3"/>
        <v>0.99402397710499402</v>
      </c>
      <c r="Z21">
        <f>(104.7*W21+0.307*M21-15)*(M21^0.75)*10^-3</f>
        <v>0.86186034677094148</v>
      </c>
      <c r="AA21">
        <f t="shared" si="4"/>
        <v>0.85670984960634056</v>
      </c>
      <c r="AB21">
        <f>(AA21 * K21) + (0.045 * T21)</f>
        <v>0.10280518195276087</v>
      </c>
      <c r="AC21">
        <f>$AQ$2</f>
        <v>0.08</v>
      </c>
      <c r="AD21">
        <f>(AA21 * ((1 - L21) + (0.04 * AA21))) * ( 1 - AC21 )</f>
        <v>0.31075172719360067</v>
      </c>
      <c r="AE21">
        <f>$AQ$1</f>
        <v>0.19</v>
      </c>
      <c r="AF21">
        <f>$AR$20</f>
        <v>0.6784</v>
      </c>
      <c r="AG21">
        <f>AD21 * AE21 * N21 * P21 * AF21</f>
        <v>0</v>
      </c>
      <c r="AH21">
        <f>AD21*AE21*O21*Q21*AF21</f>
        <v>1.8825687675322786E-4</v>
      </c>
      <c r="AI21">
        <f t="shared" si="5"/>
        <v>1.8825687675322786E-4</v>
      </c>
      <c r="AJ21">
        <f>G21*AI21*J21</f>
        <v>2.3190894005038256</v>
      </c>
      <c r="AU21" s="8"/>
      <c r="AV21" s="8"/>
    </row>
    <row r="22" spans="5:48" x14ac:dyDescent="0.2">
      <c r="E22" s="13"/>
      <c r="F22" t="s">
        <v>166</v>
      </c>
      <c r="G22">
        <v>130</v>
      </c>
      <c r="H22">
        <v>0</v>
      </c>
      <c r="I22">
        <v>0</v>
      </c>
      <c r="J22">
        <f>$AQ$3</f>
        <v>91.25</v>
      </c>
      <c r="K22">
        <v>0.18</v>
      </c>
      <c r="L22">
        <v>0.72</v>
      </c>
      <c r="M22">
        <v>45</v>
      </c>
      <c r="N22">
        <f t="shared" si="0"/>
        <v>0</v>
      </c>
      <c r="O22">
        <f t="shared" si="1"/>
        <v>1</v>
      </c>
      <c r="P22">
        <f>VLOOKUP($B$11,$AR$10:$AS$16, 2, FALSE)</f>
        <v>0.72</v>
      </c>
      <c r="Q22">
        <f>$AQ$10</f>
        <v>4.7000000000000002E-3</v>
      </c>
      <c r="R22">
        <f>(H22/100)*(MIN(I22,100)/100)</f>
        <v>0</v>
      </c>
      <c r="S22">
        <v>0</v>
      </c>
      <c r="T22">
        <f t="shared" si="2"/>
        <v>0</v>
      </c>
      <c r="U22">
        <f>$AT$1</f>
        <v>1.3</v>
      </c>
      <c r="V22">
        <f>R22*U22+(1-R22)</f>
        <v>1</v>
      </c>
      <c r="W22">
        <f>(0.795*L22)-0.0014</f>
        <v>0.57100000000000006</v>
      </c>
      <c r="X22">
        <v>1.7</v>
      </c>
      <c r="Y22">
        <f t="shared" si="3"/>
        <v>0.99691128459176326</v>
      </c>
      <c r="Z22">
        <f>(104.7*W22+0.307*M22-15)*(M22^0.75)*10^-3</f>
        <v>1.0181162441707754</v>
      </c>
      <c r="AA22">
        <f t="shared" si="4"/>
        <v>1.014971572840029</v>
      </c>
      <c r="AB22">
        <f>(AA22 * K22) + (0.045 * T22)</f>
        <v>0.18269488311120521</v>
      </c>
      <c r="AC22">
        <f>$AQ$2</f>
        <v>0.08</v>
      </c>
      <c r="AD22">
        <f>(AA22 * ((1 - L22) + (0.04 * AA22))) * ( 1 - AC22 )</f>
        <v>0.29936683357077126</v>
      </c>
      <c r="AE22">
        <f>$AQ$1</f>
        <v>0.19</v>
      </c>
      <c r="AF22">
        <f>$AR$20</f>
        <v>0.6784</v>
      </c>
      <c r="AG22">
        <f>AD22 * AE22 * N22 * P22 * AF22</f>
        <v>0</v>
      </c>
      <c r="AH22">
        <f>AD22*AE22*O22*Q22*AF22</f>
        <v>1.8135978068570922E-4</v>
      </c>
      <c r="AI22">
        <f t="shared" si="5"/>
        <v>1.8135978068570922E-4</v>
      </c>
      <c r="AJ22">
        <f>G22*AI22*J22</f>
        <v>2.1513803983842257</v>
      </c>
      <c r="AU22" s="8"/>
      <c r="AV22" s="8"/>
    </row>
    <row r="23" spans="5:48" x14ac:dyDescent="0.2">
      <c r="E23" s="12" t="s">
        <v>170</v>
      </c>
      <c r="F23" t="s">
        <v>163</v>
      </c>
      <c r="G23">
        <v>200</v>
      </c>
      <c r="H23">
        <v>0</v>
      </c>
      <c r="I23">
        <v>0</v>
      </c>
      <c r="J23">
        <f>$AQ$3</f>
        <v>91.25</v>
      </c>
      <c r="K23">
        <v>0.2</v>
      </c>
      <c r="L23">
        <v>0.75</v>
      </c>
      <c r="M23">
        <v>56</v>
      </c>
      <c r="N23">
        <f t="shared" si="0"/>
        <v>0</v>
      </c>
      <c r="O23">
        <f t="shared" si="1"/>
        <v>1</v>
      </c>
      <c r="P23">
        <f>VLOOKUP($B$11,$AR$10:$AS$16, 2, FALSE)</f>
        <v>0.72</v>
      </c>
      <c r="Q23">
        <f>$AQ$10</f>
        <v>4.7000000000000002E-3</v>
      </c>
      <c r="R23">
        <f>(H23/100)*(MIN(I23,100)/100)</f>
        <v>0</v>
      </c>
      <c r="S23">
        <v>0</v>
      </c>
      <c r="T23">
        <f t="shared" si="2"/>
        <v>0</v>
      </c>
      <c r="U23">
        <f>$AT$1</f>
        <v>1.3</v>
      </c>
      <c r="V23">
        <f>R23*U23+(1-R23)</f>
        <v>1</v>
      </c>
      <c r="W23">
        <f>(0.795*L23)-0.0014</f>
        <v>0.5948500000000001</v>
      </c>
      <c r="X23">
        <v>2.9</v>
      </c>
      <c r="Y23">
        <f t="shared" si="3"/>
        <v>0.9999999504359468</v>
      </c>
      <c r="Z23">
        <f>(104.7*W23+0.307*M23-15)*(M23^0.75)*10^-3</f>
        <v>1.3198285488795851</v>
      </c>
      <c r="AA23">
        <f t="shared" si="4"/>
        <v>1.3198284834635328</v>
      </c>
      <c r="AB23">
        <f>(AA23 * K23) + (0.045 * T23)</f>
        <v>0.26396569669270659</v>
      </c>
      <c r="AC23">
        <f>$AQ$2</f>
        <v>0.08</v>
      </c>
      <c r="AD23">
        <f>(AA23 * ((1 - L23) + (0.04 * AA23))) * ( 1 - AC23 )</f>
        <v>0.3676642091046412</v>
      </c>
      <c r="AE23">
        <f>$AQ$1</f>
        <v>0.19</v>
      </c>
      <c r="AF23">
        <f>$AR$20</f>
        <v>0.6784</v>
      </c>
      <c r="AG23">
        <f>AD23 * AE23 * N23 * P23 * AF23</f>
        <v>0</v>
      </c>
      <c r="AH23">
        <f>AD23*AE23*O23*Q23*AF23</f>
        <v>2.2273509571473364E-4</v>
      </c>
      <c r="AI23">
        <f t="shared" si="5"/>
        <v>2.2273509571473364E-4</v>
      </c>
      <c r="AJ23">
        <f>G23*AI23*J23</f>
        <v>4.0649154967938896</v>
      </c>
      <c r="AU23" s="8"/>
      <c r="AV23" s="8"/>
    </row>
    <row r="24" spans="5:48" x14ac:dyDescent="0.2">
      <c r="E24" s="13"/>
      <c r="F24" t="s">
        <v>164</v>
      </c>
      <c r="G24">
        <v>210</v>
      </c>
      <c r="H24">
        <v>0</v>
      </c>
      <c r="I24">
        <v>0</v>
      </c>
      <c r="J24">
        <f>$AQ$3</f>
        <v>91.25</v>
      </c>
      <c r="K24">
        <v>0.1</v>
      </c>
      <c r="L24">
        <v>0.61</v>
      </c>
      <c r="M24">
        <v>51</v>
      </c>
      <c r="N24">
        <f t="shared" si="0"/>
        <v>0</v>
      </c>
      <c r="O24">
        <f t="shared" si="1"/>
        <v>1</v>
      </c>
      <c r="P24">
        <f>VLOOKUP($B$11,$AR$10:$AS$16, 2, FALSE)</f>
        <v>0.72</v>
      </c>
      <c r="Q24">
        <f>$AQ$10</f>
        <v>4.7000000000000002E-3</v>
      </c>
      <c r="R24">
        <f>(H24/100)*(MIN(I24,100)/100)</f>
        <v>0</v>
      </c>
      <c r="S24">
        <v>0</v>
      </c>
      <c r="T24">
        <f t="shared" si="2"/>
        <v>0</v>
      </c>
      <c r="U24">
        <f>$AT$1</f>
        <v>1.3</v>
      </c>
      <c r="V24">
        <f>R24*U24+(1-R24)</f>
        <v>1</v>
      </c>
      <c r="W24">
        <f>(0.795*L24)-0.0014</f>
        <v>0.48354999999999998</v>
      </c>
      <c r="X24">
        <v>2.5</v>
      </c>
      <c r="Y24">
        <f t="shared" si="3"/>
        <v>0.99999627334682795</v>
      </c>
      <c r="Z24">
        <f>(104.7*W24+0.307*M24-15)*(M24^0.75)*10^-3</f>
        <v>0.97873546256970145</v>
      </c>
      <c r="AA24">
        <f t="shared" si="4"/>
        <v>0.97873181516208529</v>
      </c>
      <c r="AB24">
        <f>(AA24 * K24) + (0.045 * T24)</f>
        <v>9.7873181516208538E-2</v>
      </c>
      <c r="AC24">
        <f>$AQ$2</f>
        <v>0.08</v>
      </c>
      <c r="AD24">
        <f>(AA24 * ((1 - L24) + (0.04 * AA24))) * ( 1 - AC24 )</f>
        <v>0.38642028282934154</v>
      </c>
      <c r="AE24">
        <f>$AQ$1</f>
        <v>0.19</v>
      </c>
      <c r="AF24">
        <f>$AR$20</f>
        <v>0.6784</v>
      </c>
      <c r="AG24">
        <f>AD24 * AE24 * N24 * P24 * AF24</f>
        <v>0</v>
      </c>
      <c r="AH24">
        <f>AD24*AE24*O24*Q24*AF24</f>
        <v>2.3409773524518283E-4</v>
      </c>
      <c r="AI24">
        <f t="shared" si="5"/>
        <v>2.3409773524518283E-4</v>
      </c>
      <c r="AJ24">
        <f>G24*AI24*J24</f>
        <v>4.4858978516358157</v>
      </c>
      <c r="AU24" s="8"/>
      <c r="AV24" s="8"/>
    </row>
    <row r="25" spans="5:48" x14ac:dyDescent="0.2">
      <c r="E25" s="12"/>
      <c r="F25" t="s">
        <v>165</v>
      </c>
      <c r="G25">
        <v>190</v>
      </c>
      <c r="H25">
        <v>0</v>
      </c>
      <c r="I25">
        <v>0</v>
      </c>
      <c r="J25">
        <f>$AQ$3</f>
        <v>91.25</v>
      </c>
      <c r="K25">
        <v>0.12</v>
      </c>
      <c r="L25">
        <v>0.64</v>
      </c>
      <c r="M25">
        <v>50</v>
      </c>
      <c r="N25">
        <f t="shared" si="0"/>
        <v>0</v>
      </c>
      <c r="O25">
        <f t="shared" si="1"/>
        <v>1</v>
      </c>
      <c r="P25">
        <f>VLOOKUP($B$11,$AR$10:$AS$16, 2, FALSE)</f>
        <v>0.72</v>
      </c>
      <c r="Q25">
        <f>$AQ$10</f>
        <v>4.7000000000000002E-3</v>
      </c>
      <c r="R25">
        <f>(H25/100)*(MIN(I25,100)/100)</f>
        <v>0</v>
      </c>
      <c r="S25">
        <v>0</v>
      </c>
      <c r="T25">
        <f t="shared" si="2"/>
        <v>0</v>
      </c>
      <c r="U25">
        <f>$AT$1</f>
        <v>1.3</v>
      </c>
      <c r="V25">
        <f>R25*U25+(1-R25)</f>
        <v>1</v>
      </c>
      <c r="W25">
        <f>(0.795*L25)-0.0014</f>
        <v>0.50740000000000007</v>
      </c>
      <c r="X25">
        <v>1.6</v>
      </c>
      <c r="Y25">
        <f t="shared" si="3"/>
        <v>0.99402397710499402</v>
      </c>
      <c r="Z25">
        <f>(104.7*W25+0.307*M25-15)*(M25^0.75)*10^-3</f>
        <v>1.0054871153505722</v>
      </c>
      <c r="AA25">
        <f t="shared" si="4"/>
        <v>0.99947830132860371</v>
      </c>
      <c r="AB25">
        <f>(AA25 * K25) + (0.045 * T25)</f>
        <v>0.11993739615943244</v>
      </c>
      <c r="AC25">
        <f>$AQ$2</f>
        <v>0.08</v>
      </c>
      <c r="AD25">
        <f>(AA25 * ((1 - L25) + (0.04 * AA25))) * ( 1 - AC25 )</f>
        <v>0.36778882639365651</v>
      </c>
      <c r="AE25">
        <f>$AQ$1</f>
        <v>0.19</v>
      </c>
      <c r="AF25">
        <f>$AR$20</f>
        <v>0.6784</v>
      </c>
      <c r="AG25">
        <f>AD25 * AE25 * N25 * P25 * AF25</f>
        <v>0</v>
      </c>
      <c r="AH25">
        <f>AD25*AE25*O25*Q25*AF25</f>
        <v>2.2281059026413275E-4</v>
      </c>
      <c r="AI25">
        <f t="shared" si="5"/>
        <v>2.2281059026413275E-4</v>
      </c>
      <c r="AJ25">
        <f>G25*AI25*J25</f>
        <v>3.8629786087044016</v>
      </c>
      <c r="AP25" t="s">
        <v>211</v>
      </c>
      <c r="AU25" s="8"/>
      <c r="AV25" s="8"/>
    </row>
    <row r="26" spans="5:48" x14ac:dyDescent="0.2">
      <c r="E26" s="13"/>
      <c r="F26" t="s">
        <v>166</v>
      </c>
      <c r="G26">
        <v>180</v>
      </c>
      <c r="H26">
        <v>0</v>
      </c>
      <c r="I26">
        <v>0</v>
      </c>
      <c r="J26">
        <f>$AQ$3</f>
        <v>91.25</v>
      </c>
      <c r="K26">
        <v>0.18</v>
      </c>
      <c r="L26">
        <v>0.72</v>
      </c>
      <c r="M26">
        <v>51</v>
      </c>
      <c r="N26">
        <f t="shared" si="0"/>
        <v>0</v>
      </c>
      <c r="O26">
        <f t="shared" si="1"/>
        <v>1</v>
      </c>
      <c r="P26">
        <f>VLOOKUP($B$11,$AR$10:$AS$16, 2, FALSE)</f>
        <v>0.72</v>
      </c>
      <c r="Q26">
        <f>$AQ$10</f>
        <v>4.7000000000000002E-3</v>
      </c>
      <c r="R26">
        <f>(H26/100)*(MIN(I26,100)/100)</f>
        <v>0</v>
      </c>
      <c r="S26">
        <v>0</v>
      </c>
      <c r="T26">
        <f t="shared" si="2"/>
        <v>0</v>
      </c>
      <c r="U26">
        <f>$AT$1</f>
        <v>1.3</v>
      </c>
      <c r="V26">
        <f>R26*U26+(1-R26)</f>
        <v>1</v>
      </c>
      <c r="W26">
        <f>(0.795*L26)-0.0014</f>
        <v>0.57100000000000006</v>
      </c>
      <c r="X26">
        <v>1.7</v>
      </c>
      <c r="Y26">
        <f t="shared" si="3"/>
        <v>0.99691128459176326</v>
      </c>
      <c r="Z26">
        <f>(104.7*W26+0.307*M26-15)*(M26^0.75)*10^-3</f>
        <v>1.1534721617679149</v>
      </c>
      <c r="AA26">
        <f t="shared" si="4"/>
        <v>1.1499094145288902</v>
      </c>
      <c r="AB26">
        <f>(AA26 * K26) + (0.045 * T26)</f>
        <v>0.20698369461520022</v>
      </c>
      <c r="AC26">
        <f>$AQ$2</f>
        <v>0.08</v>
      </c>
      <c r="AD26">
        <f>(AA26 * ((1 - L26) + (0.04 * AA26))) * ( 1 - AC26 )</f>
        <v>0.34487699833033825</v>
      </c>
      <c r="AE26">
        <f>$AQ$1</f>
        <v>0.19</v>
      </c>
      <c r="AF26">
        <f>$AR$20</f>
        <v>0.6784</v>
      </c>
      <c r="AG26">
        <f>AD26 * AE26 * N26 * P26 * AF26</f>
        <v>0</v>
      </c>
      <c r="AH26">
        <f>AD26*AE26*O26*Q26*AF26</f>
        <v>2.0893034821090021E-4</v>
      </c>
      <c r="AI26">
        <f t="shared" si="5"/>
        <v>2.0893034821090021E-4</v>
      </c>
      <c r="AJ26">
        <f>G26*AI26*J26</f>
        <v>3.4316809693640358</v>
      </c>
      <c r="AP26" s="14" t="s">
        <v>203</v>
      </c>
      <c r="AQ26" s="14">
        <v>99.25</v>
      </c>
      <c r="AR26" s="14">
        <v>0.75</v>
      </c>
      <c r="AU26" s="8"/>
      <c r="AV26" s="8"/>
    </row>
    <row r="27" spans="5:48" x14ac:dyDescent="0.2">
      <c r="E27" s="12" t="s">
        <v>162</v>
      </c>
      <c r="F27" t="s">
        <v>163</v>
      </c>
      <c r="G27">
        <v>50</v>
      </c>
      <c r="H27">
        <v>0</v>
      </c>
      <c r="I27">
        <v>0</v>
      </c>
      <c r="J27">
        <f>$AQ$3</f>
        <v>91.25</v>
      </c>
      <c r="K27">
        <v>0.2</v>
      </c>
      <c r="L27">
        <v>0.75</v>
      </c>
      <c r="M27">
        <v>75</v>
      </c>
      <c r="N27">
        <f t="shared" si="0"/>
        <v>0</v>
      </c>
      <c r="O27">
        <f t="shared" si="1"/>
        <v>1</v>
      </c>
      <c r="P27">
        <f>VLOOKUP($B$11,$AR$10:$AS$16, 2, FALSE)</f>
        <v>0.72</v>
      </c>
      <c r="Q27">
        <f>$AQ$10</f>
        <v>4.7000000000000002E-3</v>
      </c>
      <c r="R27">
        <f>(H27/100)*(MIN(I27,100)/100)</f>
        <v>0</v>
      </c>
      <c r="S27">
        <v>0</v>
      </c>
      <c r="T27">
        <f t="shared" si="2"/>
        <v>0</v>
      </c>
      <c r="U27">
        <f>$AT$1</f>
        <v>1.3</v>
      </c>
      <c r="V27">
        <f>R27*U27+(1-R27)</f>
        <v>1</v>
      </c>
      <c r="W27">
        <f>(0.795*L27)-0.0014</f>
        <v>0.5948500000000001</v>
      </c>
      <c r="X27">
        <v>2.9</v>
      </c>
      <c r="Y27">
        <f t="shared" si="3"/>
        <v>0.9999999504359468</v>
      </c>
      <c r="Z27">
        <f>(104.7*W27+0.307*M27-15)*(M27^0.75)*10^-3</f>
        <v>1.7917898456122741</v>
      </c>
      <c r="AA27">
        <f t="shared" si="4"/>
        <v>1.7917897568039067</v>
      </c>
      <c r="AB27">
        <f>(AA27 * K27) + (0.045 * T27)</f>
        <v>0.35835795136078136</v>
      </c>
      <c r="AC27">
        <f>$AQ$2</f>
        <v>0.08</v>
      </c>
      <c r="AD27">
        <f>(AA27 * ((1 - L27) + (0.04 * AA27))) * ( 1 - AC27 )</f>
        <v>0.53025843166411502</v>
      </c>
      <c r="AE27">
        <f>$AQ$1</f>
        <v>0.19</v>
      </c>
      <c r="AF27">
        <f>$AR$20</f>
        <v>0.6784</v>
      </c>
      <c r="AG27">
        <f>AD27 * AE27 * N27 * P27 * AF27</f>
        <v>0</v>
      </c>
      <c r="AH27">
        <f>AD27*AE27*O27*Q27*AF27</f>
        <v>3.2123649679655553E-4</v>
      </c>
      <c r="AI27">
        <f t="shared" si="5"/>
        <v>3.2123649679655553E-4</v>
      </c>
      <c r="AJ27">
        <f>G27*AI27*J27</f>
        <v>1.4656415166342844</v>
      </c>
      <c r="AP27" s="14" t="s">
        <v>194</v>
      </c>
      <c r="AQ27" s="14">
        <v>99.55</v>
      </c>
      <c r="AR27" s="14">
        <v>0.45</v>
      </c>
      <c r="AU27" s="8"/>
      <c r="AV27" s="8"/>
    </row>
    <row r="28" spans="5:48" x14ac:dyDescent="0.2">
      <c r="E28" s="13"/>
      <c r="F28" t="s">
        <v>164</v>
      </c>
      <c r="G28">
        <v>55</v>
      </c>
      <c r="H28">
        <v>0</v>
      </c>
      <c r="I28">
        <v>0</v>
      </c>
      <c r="J28">
        <f>$AQ$3</f>
        <v>91.25</v>
      </c>
      <c r="K28">
        <v>0.1</v>
      </c>
      <c r="L28">
        <v>0.61</v>
      </c>
      <c r="M28">
        <v>75</v>
      </c>
      <c r="N28">
        <f t="shared" si="0"/>
        <v>0</v>
      </c>
      <c r="O28">
        <f t="shared" si="1"/>
        <v>1</v>
      </c>
      <c r="P28">
        <f>VLOOKUP($B$11,$AR$10:$AS$16, 2, FALSE)</f>
        <v>0.72</v>
      </c>
      <c r="Q28">
        <f>$AQ$10</f>
        <v>4.7000000000000002E-3</v>
      </c>
      <c r="R28">
        <f>(H28/100)*(MIN(I28,100)/100)</f>
        <v>0</v>
      </c>
      <c r="S28">
        <v>0</v>
      </c>
      <c r="T28">
        <f t="shared" si="2"/>
        <v>0</v>
      </c>
      <c r="U28">
        <f>$AT$1</f>
        <v>1.3</v>
      </c>
      <c r="V28">
        <f>R28*U28+(1-R28)</f>
        <v>1</v>
      </c>
      <c r="W28">
        <f>(0.795*L28)-0.0014</f>
        <v>0.48354999999999998</v>
      </c>
      <c r="X28">
        <v>2.5</v>
      </c>
      <c r="Y28">
        <f t="shared" si="3"/>
        <v>0.99999627334682795</v>
      </c>
      <c r="Z28">
        <f>(104.7*W28+0.307*M28-15)*(M28^0.75)*10^-3</f>
        <v>1.4948026034112167</v>
      </c>
      <c r="AA28">
        <f t="shared" si="4"/>
        <v>1.494797032800353</v>
      </c>
      <c r="AB28">
        <f>(AA28 * K28) + (0.045 * T28)</f>
        <v>0.14947970328003532</v>
      </c>
      <c r="AC28">
        <f>$AQ$2</f>
        <v>0.08</v>
      </c>
      <c r="AD28">
        <f>(AA28 * ((1 - L28) + (0.04 * AA28))) * ( 1 - AC28 )</f>
        <v>0.61855976399785639</v>
      </c>
      <c r="AE28">
        <f>$AQ$1</f>
        <v>0.19</v>
      </c>
      <c r="AF28">
        <f>$AR$20</f>
        <v>0.6784</v>
      </c>
      <c r="AG28">
        <f>AD28 * AE28 * N28 * P28 * AF28</f>
        <v>0</v>
      </c>
      <c r="AH28">
        <f>AD28*AE28*O28*Q28*AF28</f>
        <v>3.7473043289925815E-4</v>
      </c>
      <c r="AI28">
        <f t="shared" si="5"/>
        <v>3.7473043289925815E-4</v>
      </c>
      <c r="AJ28">
        <f>G28*AI28*J28</f>
        <v>1.8806783601131516</v>
      </c>
      <c r="AP28" s="14" t="s">
        <v>195</v>
      </c>
      <c r="AQ28" s="14">
        <v>99.91</v>
      </c>
      <c r="AR28" s="14">
        <v>0.09</v>
      </c>
      <c r="AU28" s="8"/>
      <c r="AV28" s="8"/>
    </row>
    <row r="29" spans="5:48" x14ac:dyDescent="0.2">
      <c r="E29" s="12"/>
      <c r="F29" t="s">
        <v>165</v>
      </c>
      <c r="G29">
        <v>60</v>
      </c>
      <c r="H29">
        <v>0</v>
      </c>
      <c r="I29">
        <v>0</v>
      </c>
      <c r="J29">
        <f>$AQ$3</f>
        <v>91.25</v>
      </c>
      <c r="K29">
        <v>0.12</v>
      </c>
      <c r="L29">
        <v>0.64</v>
      </c>
      <c r="M29">
        <v>69</v>
      </c>
      <c r="N29">
        <f t="shared" si="0"/>
        <v>0</v>
      </c>
      <c r="O29">
        <f t="shared" si="1"/>
        <v>1</v>
      </c>
      <c r="P29">
        <f>VLOOKUP($B$11,$AR$10:$AS$16, 2, FALSE)</f>
        <v>0.72</v>
      </c>
      <c r="Q29">
        <f>$AQ$10</f>
        <v>4.7000000000000002E-3</v>
      </c>
      <c r="R29">
        <f>(H29/100)*(MIN(I29,100)/100)</f>
        <v>0</v>
      </c>
      <c r="S29">
        <v>0</v>
      </c>
      <c r="T29">
        <f t="shared" si="2"/>
        <v>0</v>
      </c>
      <c r="U29">
        <f>$AT$1</f>
        <v>1.3</v>
      </c>
      <c r="V29">
        <f>R29*U29+(1-R29)</f>
        <v>1</v>
      </c>
      <c r="W29">
        <f>(0.795*L29)-0.0014</f>
        <v>0.50740000000000007</v>
      </c>
      <c r="X29">
        <v>1.6</v>
      </c>
      <c r="Y29">
        <f t="shared" si="3"/>
        <v>0.99402397710499402</v>
      </c>
      <c r="Z29">
        <f>(104.7*W29+0.307*M29-15)*(M29^0.75)*10^-3</f>
        <v>1.4198696820048529</v>
      </c>
      <c r="AA29">
        <f t="shared" si="4"/>
        <v>1.4113845082772669</v>
      </c>
      <c r="AB29">
        <f>(AA29 * K29) + (0.045 * T29)</f>
        <v>0.16936614099327202</v>
      </c>
      <c r="AC29">
        <f>$AQ$2</f>
        <v>0.08</v>
      </c>
      <c r="AD29">
        <f>(AA29 * ((1 - L29) + (0.04 * AA29))) * ( 1 - AC29 )</f>
        <v>0.54075637841297708</v>
      </c>
      <c r="AE29">
        <f>$AQ$1</f>
        <v>0.19</v>
      </c>
      <c r="AF29">
        <f>$AR$20</f>
        <v>0.6784</v>
      </c>
      <c r="AG29">
        <f>AD29 * AE29 * N29 * P29 * AF29</f>
        <v>0</v>
      </c>
      <c r="AH29">
        <f>AD29*AE29*O29*Q29*AF29</f>
        <v>3.2759627051401975E-4</v>
      </c>
      <c r="AI29">
        <f t="shared" si="5"/>
        <v>3.2759627051401975E-4</v>
      </c>
      <c r="AJ29">
        <f>G29*AI29*J29</f>
        <v>1.7935895810642581</v>
      </c>
      <c r="AP29" s="14" t="s">
        <v>196</v>
      </c>
      <c r="AQ29" s="14">
        <v>99.74</v>
      </c>
      <c r="AR29" s="14">
        <v>0.26</v>
      </c>
      <c r="AU29" s="8"/>
      <c r="AV29" s="8"/>
    </row>
    <row r="30" spans="5:48" x14ac:dyDescent="0.2">
      <c r="E30" s="13"/>
      <c r="F30" t="s">
        <v>166</v>
      </c>
      <c r="G30">
        <v>65</v>
      </c>
      <c r="H30">
        <v>0</v>
      </c>
      <c r="I30">
        <v>0</v>
      </c>
      <c r="J30">
        <f>$AQ$3</f>
        <v>91.25</v>
      </c>
      <c r="K30">
        <v>0.18</v>
      </c>
      <c r="L30">
        <v>0.72</v>
      </c>
      <c r="M30">
        <v>69</v>
      </c>
      <c r="N30">
        <f t="shared" si="0"/>
        <v>0</v>
      </c>
      <c r="O30">
        <f t="shared" si="1"/>
        <v>1</v>
      </c>
      <c r="P30">
        <f>VLOOKUP($B$11,$AR$10:$AS$16, 2, FALSE)</f>
        <v>0.72</v>
      </c>
      <c r="Q30">
        <f>$AQ$10</f>
        <v>4.7000000000000002E-3</v>
      </c>
      <c r="R30">
        <f>(H30/100)*(MIN(I30,100)/100)</f>
        <v>0</v>
      </c>
      <c r="S30">
        <v>0</v>
      </c>
      <c r="T30">
        <f t="shared" si="2"/>
        <v>0</v>
      </c>
      <c r="U30">
        <f>$AT$1</f>
        <v>1.3</v>
      </c>
      <c r="V30">
        <f>R30*U30+(1-R30)</f>
        <v>1</v>
      </c>
      <c r="W30">
        <f>(0.795*L30)-0.0014</f>
        <v>0.57100000000000006</v>
      </c>
      <c r="X30">
        <v>1.7</v>
      </c>
      <c r="Y30">
        <f t="shared" si="3"/>
        <v>0.99691128459176326</v>
      </c>
      <c r="Z30">
        <f>(104.7*W30+0.307*M30-15)*(M30^0.75)*10^-3</f>
        <v>1.5792888783210146</v>
      </c>
      <c r="AA30">
        <f t="shared" si="4"/>
        <v>1.5744109044284875</v>
      </c>
      <c r="AB30">
        <f>(AA30 * K30) + (0.045 * T30)</f>
        <v>0.28339396279712775</v>
      </c>
      <c r="AC30">
        <f>$AQ$2</f>
        <v>0.08</v>
      </c>
      <c r="AD30">
        <f>(AA30 * ((1 - L30) + (0.04 * AA30))) * ( 1 - AC30 )</f>
        <v>0.49678697379296494</v>
      </c>
      <c r="AE30">
        <f>$AQ$1</f>
        <v>0.19</v>
      </c>
      <c r="AF30">
        <f>$AR$20</f>
        <v>0.6784</v>
      </c>
      <c r="AG30">
        <f>AD30 * AE30 * N30 * P30 * AF30</f>
        <v>0</v>
      </c>
      <c r="AH30">
        <f>AD30*AE30*O30*Q30*AF30</f>
        <v>3.0095911273788462E-4</v>
      </c>
      <c r="AI30">
        <f t="shared" si="5"/>
        <v>3.0095911273788462E-4</v>
      </c>
      <c r="AJ30">
        <f>G30*AI30*J30</f>
        <v>1.7850637374265781</v>
      </c>
      <c r="AP30" s="14" t="s">
        <v>197</v>
      </c>
      <c r="AQ30" s="14">
        <v>99.5</v>
      </c>
      <c r="AR30" s="14">
        <v>0.5</v>
      </c>
      <c r="AU30" s="8"/>
      <c r="AV30" s="8"/>
    </row>
    <row r="31" spans="5:48" x14ac:dyDescent="0.2">
      <c r="E31" s="12" t="s">
        <v>167</v>
      </c>
      <c r="F31" t="s">
        <v>163</v>
      </c>
      <c r="G31">
        <v>50</v>
      </c>
      <c r="H31">
        <v>0</v>
      </c>
      <c r="I31">
        <v>0</v>
      </c>
      <c r="J31">
        <f>$AQ$3</f>
        <v>91.25</v>
      </c>
      <c r="K31">
        <v>0.2</v>
      </c>
      <c r="L31">
        <v>0.75</v>
      </c>
      <c r="M31">
        <v>62</v>
      </c>
      <c r="N31">
        <f t="shared" si="0"/>
        <v>0</v>
      </c>
      <c r="O31">
        <f t="shared" si="1"/>
        <v>1</v>
      </c>
      <c r="P31">
        <f>VLOOKUP($B$11,$AR$10:$AS$16, 2, FALSE)</f>
        <v>0.72</v>
      </c>
      <c r="Q31">
        <f>$AQ$10</f>
        <v>4.7000000000000002E-3</v>
      </c>
      <c r="R31">
        <f>(H31/100)*(MIN(I31,100)/100)</f>
        <v>0</v>
      </c>
      <c r="S31">
        <v>0</v>
      </c>
      <c r="T31">
        <f t="shared" si="2"/>
        <v>0</v>
      </c>
      <c r="U31">
        <f>$AT$1</f>
        <v>1.3</v>
      </c>
      <c r="V31">
        <f>R31*U31+(1-R31)</f>
        <v>1</v>
      </c>
      <c r="W31">
        <f>(0.795*L31)-0.0014</f>
        <v>0.5948500000000001</v>
      </c>
      <c r="X31">
        <v>2.9</v>
      </c>
      <c r="Y31">
        <f t="shared" si="3"/>
        <v>0.9999999504359468</v>
      </c>
      <c r="Z31">
        <f>(104.7*W31+0.307*M31-15)*(M31^0.75)*10^-3</f>
        <v>1.4652245899459331</v>
      </c>
      <c r="AA31">
        <f t="shared" si="4"/>
        <v>1.4652245173234635</v>
      </c>
      <c r="AB31">
        <f>(AA31 * K31) + (0.045 * T31)</f>
        <v>0.2930449034646927</v>
      </c>
      <c r="AC31">
        <f>$AQ$2</f>
        <v>0.08</v>
      </c>
      <c r="AD31">
        <f>(AA31 * ((1 - L31) + (0.04 * AA31))) * ( 1 - AC31 )</f>
        <v>0.41600692919529714</v>
      </c>
      <c r="AE31">
        <f>$AQ$1</f>
        <v>0.19</v>
      </c>
      <c r="AF31">
        <f>$AR$20</f>
        <v>0.6784</v>
      </c>
      <c r="AG31">
        <f>AD31 * AE31 * N31 * P31 * AF31</f>
        <v>0</v>
      </c>
      <c r="AH31">
        <f>AD31*AE31*O31*Q31*AF31</f>
        <v>2.5202165698411799E-4</v>
      </c>
      <c r="AI31">
        <f t="shared" si="5"/>
        <v>2.5202165698411799E-4</v>
      </c>
      <c r="AJ31">
        <f>G31*AI31*J31</f>
        <v>1.1498488099900384</v>
      </c>
      <c r="AP31" s="14" t="s">
        <v>198</v>
      </c>
      <c r="AQ31" s="14">
        <v>99.17</v>
      </c>
      <c r="AR31" s="14">
        <v>0.83</v>
      </c>
    </row>
    <row r="32" spans="5:48" x14ac:dyDescent="0.2">
      <c r="E32" s="13"/>
      <c r="F32" t="s">
        <v>164</v>
      </c>
      <c r="G32">
        <v>100</v>
      </c>
      <c r="H32">
        <v>0</v>
      </c>
      <c r="I32">
        <v>0</v>
      </c>
      <c r="J32">
        <f>$AQ$3</f>
        <v>91.25</v>
      </c>
      <c r="K32">
        <v>0.1</v>
      </c>
      <c r="L32">
        <v>0.61</v>
      </c>
      <c r="M32">
        <v>55</v>
      </c>
      <c r="N32">
        <f t="shared" si="0"/>
        <v>0</v>
      </c>
      <c r="O32">
        <f t="shared" si="1"/>
        <v>1</v>
      </c>
      <c r="P32">
        <f>VLOOKUP($B$11,$AR$10:$AS$16, 2, FALSE)</f>
        <v>0.72</v>
      </c>
      <c r="Q32">
        <f>$AQ$10</f>
        <v>4.7000000000000002E-3</v>
      </c>
      <c r="R32">
        <f>(H32/100)*(MIN(I32,100)/100)</f>
        <v>0</v>
      </c>
      <c r="S32">
        <v>0</v>
      </c>
      <c r="T32">
        <f t="shared" si="2"/>
        <v>0</v>
      </c>
      <c r="U32">
        <f>$AT$1</f>
        <v>1.3</v>
      </c>
      <c r="V32">
        <f>R32*U32+(1-R32)</f>
        <v>1</v>
      </c>
      <c r="W32">
        <f>(0.795*L32)-0.0014</f>
        <v>0.48354999999999998</v>
      </c>
      <c r="X32">
        <v>2.5</v>
      </c>
      <c r="Y32">
        <f t="shared" si="3"/>
        <v>0.99999627334682795</v>
      </c>
      <c r="Z32">
        <f>(104.7*W32+0.307*M32-15)*(M32^0.75)*10^-3</f>
        <v>1.0605624381175847</v>
      </c>
      <c r="AA32">
        <f t="shared" si="4"/>
        <v>1.0605584857692105</v>
      </c>
      <c r="AB32">
        <f>(AA32 * K32) + (0.045 * T32)</f>
        <v>0.10605584857692106</v>
      </c>
      <c r="AC32">
        <f>$AQ$2</f>
        <v>0.08</v>
      </c>
      <c r="AD32">
        <f>(AA32 * ((1 - L32) + (0.04 * AA32))) * ( 1 - AC32 )</f>
        <v>0.42192044699791736</v>
      </c>
      <c r="AE32">
        <f>$AQ$1</f>
        <v>0.19</v>
      </c>
      <c r="AF32">
        <f>$AR$20</f>
        <v>0.6784</v>
      </c>
      <c r="AG32">
        <f>AD32 * AE32 * N32 * P32 * AF32</f>
        <v>0</v>
      </c>
      <c r="AH32">
        <f>AD32*AE32*O32*Q32*AF32</f>
        <v>2.5560413230034477E-4</v>
      </c>
      <c r="AI32">
        <f t="shared" si="5"/>
        <v>2.5560413230034477E-4</v>
      </c>
      <c r="AJ32">
        <f>G32*AI32*J32</f>
        <v>2.3323877072406463</v>
      </c>
      <c r="AP32" s="14" t="s">
        <v>199</v>
      </c>
      <c r="AQ32" s="14">
        <v>99.59</v>
      </c>
      <c r="AR32" s="14">
        <v>0.41</v>
      </c>
    </row>
    <row r="33" spans="1:65" x14ac:dyDescent="0.2">
      <c r="E33" s="12"/>
      <c r="F33" t="s">
        <v>165</v>
      </c>
      <c r="G33">
        <v>90</v>
      </c>
      <c r="H33">
        <v>0</v>
      </c>
      <c r="I33">
        <v>0</v>
      </c>
      <c r="J33">
        <f>$AQ$3</f>
        <v>91.25</v>
      </c>
      <c r="K33">
        <v>0.12</v>
      </c>
      <c r="L33">
        <v>0.64</v>
      </c>
      <c r="M33">
        <v>55</v>
      </c>
      <c r="N33">
        <f t="shared" si="0"/>
        <v>0</v>
      </c>
      <c r="O33">
        <f t="shared" si="1"/>
        <v>1</v>
      </c>
      <c r="P33">
        <f>VLOOKUP($B$11,$AR$10:$AS$16, 2, FALSE)</f>
        <v>0.72</v>
      </c>
      <c r="Q33">
        <f>$AQ$10</f>
        <v>4.7000000000000002E-3</v>
      </c>
      <c r="R33">
        <f>(H33/100)*(MIN(I33,100)/100)</f>
        <v>0</v>
      </c>
      <c r="S33">
        <v>0</v>
      </c>
      <c r="T33">
        <f t="shared" si="2"/>
        <v>0</v>
      </c>
      <c r="U33">
        <f>$AT$1</f>
        <v>1.3</v>
      </c>
      <c r="V33">
        <f>R33*U33+(1-R33)</f>
        <v>1</v>
      </c>
      <c r="W33">
        <f>(0.795*L33)-0.0014</f>
        <v>0.50740000000000007</v>
      </c>
      <c r="X33">
        <v>1.6</v>
      </c>
      <c r="Y33">
        <f t="shared" si="3"/>
        <v>0.99402397710499402</v>
      </c>
      <c r="Z33">
        <f>(104.7*W33+0.307*M33-15)*(M33^0.75)*10^-3</f>
        <v>1.1109945415495692</v>
      </c>
      <c r="AA33">
        <f t="shared" si="4"/>
        <v>1.1043552127330423</v>
      </c>
      <c r="AB33">
        <f>(AA33 * K33) + (0.045 * T33)</f>
        <v>0.13252262552796507</v>
      </c>
      <c r="AC33">
        <f>$AQ$2</f>
        <v>0.08</v>
      </c>
      <c r="AD33">
        <f>(AA33 * ((1 - L33) + (0.04 * AA33))) * ( 1 - AC33 )</f>
        <v>0.41064374249795926</v>
      </c>
      <c r="AE33">
        <f>$AQ$1</f>
        <v>0.19</v>
      </c>
      <c r="AF33">
        <f>$AR$20</f>
        <v>0.6784</v>
      </c>
      <c r="AG33">
        <f>AD33 * AE33 * N33 * P33 * AF33</f>
        <v>0</v>
      </c>
      <c r="AH33">
        <f>AD33*AE33*O33*Q33*AF33</f>
        <v>2.4877257841517971E-4</v>
      </c>
      <c r="AI33">
        <f t="shared" si="5"/>
        <v>2.4877257841517971E-4</v>
      </c>
      <c r="AJ33">
        <f>G33*AI33*J33</f>
        <v>2.0430448002346635</v>
      </c>
    </row>
    <row r="34" spans="1:65" x14ac:dyDescent="0.2">
      <c r="E34" s="13"/>
      <c r="F34" t="s">
        <v>166</v>
      </c>
      <c r="G34">
        <v>80</v>
      </c>
      <c r="H34">
        <v>0</v>
      </c>
      <c r="I34">
        <v>0</v>
      </c>
      <c r="J34">
        <f>$AQ$3</f>
        <v>91.25</v>
      </c>
      <c r="K34">
        <v>0.18</v>
      </c>
      <c r="L34">
        <v>0.72</v>
      </c>
      <c r="M34">
        <v>55</v>
      </c>
      <c r="N34">
        <f t="shared" si="0"/>
        <v>0</v>
      </c>
      <c r="O34">
        <f t="shared" si="1"/>
        <v>1</v>
      </c>
      <c r="P34">
        <f>VLOOKUP($B$11,$AR$10:$AS$16, 2, FALSE)</f>
        <v>0.72</v>
      </c>
      <c r="Q34">
        <f>$AQ$10</f>
        <v>4.7000000000000002E-3</v>
      </c>
      <c r="R34">
        <f>(H34/100)*(MIN(I34,100)/100)</f>
        <v>0</v>
      </c>
      <c r="S34">
        <v>0</v>
      </c>
      <c r="T34">
        <f t="shared" si="2"/>
        <v>0</v>
      </c>
      <c r="U34">
        <f>$AT$1</f>
        <v>1.3</v>
      </c>
      <c r="V34">
        <f>R34*U34+(1-R34)</f>
        <v>1</v>
      </c>
      <c r="W34">
        <f>(0.795*L34)-0.0014</f>
        <v>0.57100000000000006</v>
      </c>
      <c r="X34">
        <v>1.7</v>
      </c>
      <c r="Y34">
        <f t="shared" si="3"/>
        <v>0.99691128459176326</v>
      </c>
      <c r="Z34">
        <f>(104.7*W34+0.307*M34-15)*(M34^0.75)*10^-3</f>
        <v>1.2454801507015281</v>
      </c>
      <c r="AA34">
        <f t="shared" si="4"/>
        <v>1.2416332169694033</v>
      </c>
      <c r="AB34">
        <f>(AA34 * K34) + (0.045 * T34)</f>
        <v>0.22349397905449259</v>
      </c>
      <c r="AC34">
        <f>$AQ$2</f>
        <v>0.08</v>
      </c>
      <c r="AD34">
        <f>(AA34 * ((1 - L34) + (0.04 * AA34))) * ( 1 - AC34 )</f>
        <v>0.37657754876504823</v>
      </c>
      <c r="AE34">
        <f>$AQ$1</f>
        <v>0.19</v>
      </c>
      <c r="AF34">
        <f>$AR$20</f>
        <v>0.6784</v>
      </c>
      <c r="AG34">
        <f>AD34 * AE34 * N34 * P34 * AF34</f>
        <v>0</v>
      </c>
      <c r="AH34">
        <f>AD34*AE34*O34*Q34*AF34</f>
        <v>2.2813489671041239E-4</v>
      </c>
      <c r="AI34">
        <f t="shared" si="5"/>
        <v>2.2813489671041239E-4</v>
      </c>
      <c r="AJ34">
        <f>G34*AI34*J34</f>
        <v>1.6653847459860105</v>
      </c>
    </row>
    <row r="36" spans="1:65" x14ac:dyDescent="0.2">
      <c r="AP36" t="s">
        <v>136</v>
      </c>
    </row>
    <row r="37" spans="1:65" ht="17" thickBot="1" x14ac:dyDescent="0.25">
      <c r="AP37" s="14" t="s">
        <v>224</v>
      </c>
      <c r="AQ37" s="14">
        <v>5.8999999999999999E-3</v>
      </c>
      <c r="BF37" s="9"/>
      <c r="BG37" s="10"/>
      <c r="BH37" s="10"/>
      <c r="BI37" s="10"/>
      <c r="BJ37" s="10"/>
      <c r="BK37" s="10"/>
      <c r="BL37" s="10"/>
      <c r="BM37" s="11"/>
    </row>
    <row r="38" spans="1:65" ht="17" thickTop="1" x14ac:dyDescent="0.2">
      <c r="AP38" s="14" t="s">
        <v>225</v>
      </c>
      <c r="AQ38" s="14">
        <v>7.0000000000000001E-3</v>
      </c>
      <c r="AU38" s="8"/>
      <c r="AV38" s="8"/>
      <c r="BF38" s="2"/>
      <c r="BG38" s="3"/>
      <c r="BH38" s="3"/>
      <c r="BI38" s="3"/>
      <c r="BJ38" s="3"/>
      <c r="BK38" s="3"/>
      <c r="BL38" s="3"/>
      <c r="BM38" s="6"/>
    </row>
    <row r="39" spans="1:65" x14ac:dyDescent="0.2">
      <c r="AP39" s="14" t="s">
        <v>226</v>
      </c>
      <c r="AQ39" s="14">
        <v>1.8E-3</v>
      </c>
      <c r="AU39" s="8"/>
      <c r="AV39" s="8"/>
      <c r="BF39" s="4"/>
    </row>
    <row r="40" spans="1:65" x14ac:dyDescent="0.2">
      <c r="AP40" s="14" t="s">
        <v>227</v>
      </c>
      <c r="AQ40" s="14">
        <v>2.8999999999999998E-3</v>
      </c>
      <c r="AU40" s="8"/>
      <c r="AV40" s="8"/>
      <c r="BF40" s="2"/>
    </row>
    <row r="41" spans="1:65" ht="17" thickBot="1" x14ac:dyDescent="0.25">
      <c r="A41" t="s">
        <v>270</v>
      </c>
      <c r="B41" t="s">
        <v>270</v>
      </c>
      <c r="C41" t="s">
        <v>173</v>
      </c>
      <c r="D41" t="s">
        <v>276</v>
      </c>
      <c r="E41" s="12" t="s">
        <v>169</v>
      </c>
      <c r="F41" t="s">
        <v>163</v>
      </c>
      <c r="G41">
        <v>100</v>
      </c>
      <c r="H41">
        <v>95</v>
      </c>
      <c r="I41">
        <v>90</v>
      </c>
      <c r="J41">
        <f>$AQ$3</f>
        <v>91.25</v>
      </c>
      <c r="K41" cm="1">
        <f t="array" ref="K41:K64">_xlfn.DROP(_xlfn.XLOOKUP($C41,QueryCP[[#Headers],[ACT/NSW]:[WA]],QueryCP[[#All],[ACT/NSW]:[WA]]),1)</f>
        <v>0.2</v>
      </c>
      <c r="L41" cm="1">
        <f t="array" ref="L41:L64">_xlfn.DROP(_xlfn.XLOOKUP($C41,QueryDMD[[#Headers],[ACT/NSW]:[WA]],QueryDMD[[#All],[ACT/NSW]:[WA]]),1)</f>
        <v>0.75</v>
      </c>
      <c r="M41" cm="1">
        <f t="array" ref="M41:M64">_xlfn.DROP(_xlfn.XLOOKUP($C41,QueryW[[#Headers],[ACT/NSW]:[WA]],QueryW[[#All],[ACT/NSW]:[WA]]),1)</f>
        <v>54</v>
      </c>
      <c r="N41">
        <f>1-O41</f>
        <v>7.4999999999999512E-3</v>
      </c>
      <c r="O41">
        <f>IF($D41="yes", 1, VLOOKUP($B41, $AP$26:$AR$32, 2)/100)</f>
        <v>0.99250000000000005</v>
      </c>
      <c r="P41">
        <f>VLOOKUP($B41,$AR$10:$AS$16, 2, FALSE)</f>
        <v>0.75</v>
      </c>
      <c r="Q41">
        <f>$AQ$10</f>
        <v>4.7000000000000002E-3</v>
      </c>
      <c r="R41">
        <f>(H41/100)*(MIN(I41,100)/100)</f>
        <v>0.85499999999999998</v>
      </c>
      <c r="S41">
        <v>0</v>
      </c>
      <c r="T41">
        <f>1.6 * S41</f>
        <v>0</v>
      </c>
      <c r="U41">
        <f>$AT$1</f>
        <v>1.3</v>
      </c>
      <c r="V41">
        <f>R41*U41+(1-R41)</f>
        <v>1.2565</v>
      </c>
      <c r="W41">
        <f>(0.795*L41)-0.0014</f>
        <v>0.5948500000000001</v>
      </c>
      <c r="X41" cm="1">
        <f t="array" ref="X41:X64">_xlfn.DROP(_xlfn.XLOOKUP($C41,QueryDMA[[#Headers],[ACT/NSW]:[WA]],QueryDMA[[#All],[ACT/NSW]:[WA]]),1)</f>
        <v>2.9</v>
      </c>
      <c r="Y41">
        <f>1 - EXP(-2*(X41^2))</f>
        <v>0.9999999504359468</v>
      </c>
      <c r="Z41">
        <f>(104.7*W41+0.307*M41-15)*(M41^0.75)*10^-3</f>
        <v>1.2720847291262878</v>
      </c>
      <c r="AA41">
        <f>Z41*Y41*V41</f>
        <v>1.5983743829252637</v>
      </c>
      <c r="AB41">
        <f>(AA41 * K41) + (0.045 * T41)</f>
        <v>0.31967487658505278</v>
      </c>
      <c r="AC41">
        <f>$AQ$2</f>
        <v>0.08</v>
      </c>
      <c r="AD41">
        <f>(AA41 * ((1 - L41) + (0.04 * AA41))) * ( 1 - AC41 )</f>
        <v>0.46164277265490583</v>
      </c>
      <c r="AE41">
        <f>$AQ$1</f>
        <v>0.19</v>
      </c>
      <c r="AF41">
        <f>$AR$20</f>
        <v>0.6784</v>
      </c>
      <c r="AG41">
        <f>AD41 * AE41 * N41 * P41 * AF41</f>
        <v>3.347094758857107E-4</v>
      </c>
      <c r="AH41">
        <f>AD41*AE41*O41*Q41*AF41</f>
        <v>2.7757084935784527E-4</v>
      </c>
      <c r="AI41">
        <f>AG41+AH41</f>
        <v>6.1228032524355603E-4</v>
      </c>
      <c r="AJ41">
        <f>G41*AI41*J41</f>
        <v>5.587057967847449</v>
      </c>
      <c r="AK41">
        <f>SUM(AJ41:AJ64)*10^-3</f>
        <v>0.11801904714487568</v>
      </c>
      <c r="AP41" s="14" t="s">
        <v>228</v>
      </c>
      <c r="AQ41" s="14">
        <v>8.0000000000000002E-3</v>
      </c>
      <c r="AU41" s="8"/>
      <c r="AV41" s="8"/>
      <c r="BF41" s="4"/>
    </row>
    <row r="42" spans="1:65" ht="18" thickTop="1" thickBot="1" x14ac:dyDescent="0.25">
      <c r="E42" s="13"/>
      <c r="F42" t="s">
        <v>164</v>
      </c>
      <c r="G42">
        <v>70</v>
      </c>
      <c r="H42">
        <v>0</v>
      </c>
      <c r="I42">
        <v>0</v>
      </c>
      <c r="J42">
        <f>$AQ$3</f>
        <v>91.25</v>
      </c>
      <c r="K42">
        <v>0.1</v>
      </c>
      <c r="L42">
        <v>0.61</v>
      </c>
      <c r="M42">
        <v>49</v>
      </c>
      <c r="N42">
        <f t="shared" ref="N42:N64" si="6">1-O42</f>
        <v>7.4999999999999512E-3</v>
      </c>
      <c r="O42">
        <f>O41</f>
        <v>0.99250000000000005</v>
      </c>
      <c r="P42">
        <f>P41</f>
        <v>0.75</v>
      </c>
      <c r="Q42">
        <f>$AQ$10</f>
        <v>4.7000000000000002E-3</v>
      </c>
      <c r="R42">
        <f>(H42/100)*(MIN(I42,100)/100)</f>
        <v>0</v>
      </c>
      <c r="S42">
        <v>0</v>
      </c>
      <c r="T42">
        <f t="shared" ref="T42:T64" si="7">1.6 * S42</f>
        <v>0</v>
      </c>
      <c r="U42">
        <f>$AT$1</f>
        <v>1.3</v>
      </c>
      <c r="V42">
        <f>R42*U42+(1-R42)</f>
        <v>1</v>
      </c>
      <c r="W42">
        <f>(0.795*L42)-0.0014</f>
        <v>0.48354999999999998</v>
      </c>
      <c r="X42">
        <v>2.5</v>
      </c>
      <c r="Y42">
        <f t="shared" ref="Y42:Y64" si="8">1 - EXP(-2*(X42^2))</f>
        <v>0.99999627334682795</v>
      </c>
      <c r="Z42">
        <f>(104.7*W42+0.307*M42-15)*(M42^0.75)*10^-3</f>
        <v>0.93843421889903578</v>
      </c>
      <c r="AA42">
        <f t="shared" ref="AA42:AA64" si="9">Z42*Y42*V42</f>
        <v>0.93843072168017716</v>
      </c>
      <c r="AB42">
        <f>(AA42 * K42) + (0.045 * T42)</f>
        <v>9.3843072168017724E-2</v>
      </c>
      <c r="AC42">
        <f>$AQ$2</f>
        <v>0.08</v>
      </c>
      <c r="AD42">
        <f>(AA42 * ((1 - L42) + (0.04 * AA42))) * ( 1 - AC42 )</f>
        <v>0.3691169446125166</v>
      </c>
      <c r="AE42">
        <f>$AQ$1</f>
        <v>0.19</v>
      </c>
      <c r="AF42">
        <f>$AR$20</f>
        <v>0.6784</v>
      </c>
      <c r="AG42">
        <f>AD42 * AE42 * N42 * P42 * AF42</f>
        <v>2.6762454952185732E-4</v>
      </c>
      <c r="AH42">
        <f>AD42*AE42*O42*Q42*AF42</f>
        <v>2.2193806531237191E-4</v>
      </c>
      <c r="AI42">
        <f t="shared" ref="AI42:AI64" si="10">AG42+AH42</f>
        <v>4.8956261483422924E-4</v>
      </c>
      <c r="AJ42">
        <f>G42*AI42*J42</f>
        <v>3.1270812022536392</v>
      </c>
      <c r="AP42" s="14" t="s">
        <v>229</v>
      </c>
      <c r="AQ42" s="14">
        <v>1.9900000000000001E-2</v>
      </c>
      <c r="AU42" s="8"/>
      <c r="AV42" s="6"/>
      <c r="BF42" s="2"/>
    </row>
    <row r="43" spans="1:65" ht="18" thickTop="1" thickBot="1" x14ac:dyDescent="0.25">
      <c r="E43" s="12"/>
      <c r="F43" t="s">
        <v>165</v>
      </c>
      <c r="G43">
        <v>65</v>
      </c>
      <c r="H43">
        <v>0</v>
      </c>
      <c r="I43">
        <v>0</v>
      </c>
      <c r="J43">
        <f>$AQ$3</f>
        <v>91.25</v>
      </c>
      <c r="K43">
        <v>0.12</v>
      </c>
      <c r="L43">
        <v>0.64</v>
      </c>
      <c r="M43">
        <v>50</v>
      </c>
      <c r="N43">
        <f t="shared" si="6"/>
        <v>7.4999999999999512E-3</v>
      </c>
      <c r="O43">
        <f>O41</f>
        <v>0.99250000000000005</v>
      </c>
      <c r="P43">
        <f>P41</f>
        <v>0.75</v>
      </c>
      <c r="Q43">
        <f>$AQ$10</f>
        <v>4.7000000000000002E-3</v>
      </c>
      <c r="R43">
        <f>(H43/100)*(MIN(I43,100)/100)</f>
        <v>0</v>
      </c>
      <c r="S43">
        <v>0</v>
      </c>
      <c r="T43">
        <f t="shared" si="7"/>
        <v>0</v>
      </c>
      <c r="U43">
        <f>$AT$1</f>
        <v>1.3</v>
      </c>
      <c r="V43">
        <f>R43*U43+(1-R43)</f>
        <v>1</v>
      </c>
      <c r="W43">
        <f>(0.795*L43)-0.0014</f>
        <v>0.50740000000000007</v>
      </c>
      <c r="X43">
        <v>1.6</v>
      </c>
      <c r="Y43">
        <f t="shared" si="8"/>
        <v>0.99402397710499402</v>
      </c>
      <c r="Z43">
        <f>(104.7*W43+0.307*M43-15)*(M43^0.75)*10^-3</f>
        <v>1.0054871153505722</v>
      </c>
      <c r="AA43">
        <f t="shared" si="9"/>
        <v>0.99947830132860371</v>
      </c>
      <c r="AB43">
        <f>(AA43 * K43) + (0.045 * T43)</f>
        <v>0.11993739615943244</v>
      </c>
      <c r="AC43">
        <f>$AQ$2</f>
        <v>0.08</v>
      </c>
      <c r="AD43">
        <f>(AA43 * ((1 - L43) + (0.04 * AA43))) * ( 1 - AC43 )</f>
        <v>0.36778882639365651</v>
      </c>
      <c r="AE43">
        <f>$AQ$1</f>
        <v>0.19</v>
      </c>
      <c r="AF43">
        <f>$AR$20</f>
        <v>0.6784</v>
      </c>
      <c r="AG43">
        <f>AD43 * AE43 * N43 * P43 * AF43</f>
        <v>2.6666161068845495E-4</v>
      </c>
      <c r="AH43">
        <f>AD43*AE43*O43*Q43*AF43</f>
        <v>2.2113951083715177E-4</v>
      </c>
      <c r="AI43">
        <f t="shared" si="10"/>
        <v>4.8780112152560669E-4</v>
      </c>
      <c r="AJ43">
        <f>G43*AI43*J43</f>
        <v>2.8932704020487545</v>
      </c>
      <c r="AP43" s="14" t="s">
        <v>230</v>
      </c>
      <c r="AQ43" s="14">
        <v>5.3E-3</v>
      </c>
      <c r="AU43" s="8"/>
      <c r="AV43" s="6"/>
      <c r="BF43" s="4"/>
    </row>
    <row r="44" spans="1:65" ht="18" thickTop="1" thickBot="1" x14ac:dyDescent="0.25">
      <c r="E44" s="13"/>
      <c r="F44" t="s">
        <v>166</v>
      </c>
      <c r="G44">
        <v>80</v>
      </c>
      <c r="H44">
        <v>0</v>
      </c>
      <c r="I44">
        <v>0</v>
      </c>
      <c r="J44">
        <f>$AQ$3</f>
        <v>91.25</v>
      </c>
      <c r="K44">
        <v>0.18</v>
      </c>
      <c r="L44">
        <v>0.72</v>
      </c>
      <c r="M44">
        <v>50</v>
      </c>
      <c r="N44">
        <f t="shared" si="6"/>
        <v>7.4999999999999512E-3</v>
      </c>
      <c r="O44">
        <f>O41</f>
        <v>0.99250000000000005</v>
      </c>
      <c r="P44">
        <f>P41</f>
        <v>0.75</v>
      </c>
      <c r="Q44">
        <f>$AQ$10</f>
        <v>4.7000000000000002E-3</v>
      </c>
      <c r="R44">
        <f>(H44/100)*(MIN(I44,100)/100)</f>
        <v>0</v>
      </c>
      <c r="S44">
        <v>0</v>
      </c>
      <c r="T44">
        <f t="shared" si="7"/>
        <v>0</v>
      </c>
      <c r="U44">
        <f>$AT$1</f>
        <v>1.3</v>
      </c>
      <c r="V44">
        <f>R44*U44+(1-R44)</f>
        <v>1</v>
      </c>
      <c r="W44">
        <f>(0.795*L44)-0.0014</f>
        <v>0.57100000000000006</v>
      </c>
      <c r="X44">
        <v>1.7</v>
      </c>
      <c r="Y44">
        <f t="shared" si="8"/>
        <v>0.99691128459176326</v>
      </c>
      <c r="Z44">
        <f>(104.7*W44+0.307*M44-15)*(M44^0.75)*10^-3</f>
        <v>1.1306948910936463</v>
      </c>
      <c r="AA44">
        <f t="shared" si="9"/>
        <v>1.1272024963615108</v>
      </c>
      <c r="AB44">
        <f>(AA44 * K44) + (0.045 * T44)</f>
        <v>0.20289644934507195</v>
      </c>
      <c r="AC44">
        <f>$AQ$2</f>
        <v>0.08</v>
      </c>
      <c r="AD44">
        <f>(AA44 * ((1 - L44) + (0.04 * AA44))) * ( 1 - AC44 )</f>
        <v>0.33712490827789848</v>
      </c>
      <c r="AE44">
        <f>$AQ$1</f>
        <v>0.19</v>
      </c>
      <c r="AF44">
        <f>$AR$20</f>
        <v>0.6784</v>
      </c>
      <c r="AG44">
        <f>AD44 * AE44 * N44 * P44 * AF44</f>
        <v>2.4442904349780589E-4</v>
      </c>
      <c r="AH44">
        <f>AD44*AE44*O44*Q44*AF44</f>
        <v>2.027022898944707E-4</v>
      </c>
      <c r="AI44">
        <f t="shared" si="10"/>
        <v>4.4713133339227659E-4</v>
      </c>
      <c r="AJ44">
        <f>G44*AI44*J44</f>
        <v>3.2640587337636187</v>
      </c>
      <c r="AP44" s="14" t="s">
        <v>231</v>
      </c>
      <c r="AQ44" s="14">
        <v>6.4000000000000003E-3</v>
      </c>
      <c r="AU44" s="8"/>
      <c r="AV44" s="6"/>
      <c r="BF44" s="2"/>
    </row>
    <row r="45" spans="1:65" ht="17" thickTop="1" x14ac:dyDescent="0.2">
      <c r="E45" s="12" t="s">
        <v>171</v>
      </c>
      <c r="F45" t="s">
        <v>163</v>
      </c>
      <c r="G45">
        <v>200</v>
      </c>
      <c r="H45">
        <v>0</v>
      </c>
      <c r="I45">
        <v>0</v>
      </c>
      <c r="J45">
        <f>$AQ$3</f>
        <v>91.25</v>
      </c>
      <c r="K45">
        <v>0.2</v>
      </c>
      <c r="L45">
        <v>0.75</v>
      </c>
      <c r="M45">
        <v>20</v>
      </c>
      <c r="N45">
        <f t="shared" si="6"/>
        <v>7.4999999999999512E-3</v>
      </c>
      <c r="O45">
        <f>O41</f>
        <v>0.99250000000000005</v>
      </c>
      <c r="P45">
        <f>P41</f>
        <v>0.75</v>
      </c>
      <c r="Q45">
        <f>$AQ$10</f>
        <v>4.7000000000000002E-3</v>
      </c>
      <c r="R45">
        <f>(H45/100)*(MIN(I45,100)/100)</f>
        <v>0</v>
      </c>
      <c r="S45">
        <v>1</v>
      </c>
      <c r="T45">
        <f t="shared" si="7"/>
        <v>1.6</v>
      </c>
      <c r="U45">
        <f>$AT$1</f>
        <v>1.3</v>
      </c>
      <c r="V45">
        <f>R45*U45+(1-R45)</f>
        <v>1</v>
      </c>
      <c r="W45">
        <f>(0.795*L45)-0.0014</f>
        <v>0.5948500000000001</v>
      </c>
      <c r="X45">
        <v>2.9</v>
      </c>
      <c r="Y45">
        <f t="shared" si="8"/>
        <v>0.9999999504359468</v>
      </c>
      <c r="Z45">
        <f>(104.7*W45+0.307*M45-15)*(M45^0.75)*10^-3</f>
        <v>0.5052226861752882</v>
      </c>
      <c r="AA45">
        <f t="shared" si="9"/>
        <v>0.50522266113440406</v>
      </c>
      <c r="AB45">
        <f>(AA45 * K45) + (0.045 * T45)</f>
        <v>0.17304453222688082</v>
      </c>
      <c r="AC45">
        <f>$AQ$2</f>
        <v>0.08</v>
      </c>
      <c r="AD45">
        <f>(AA45 * ((1 - L45) + (0.04 * AA45))) * ( 1 - AC45 )</f>
        <v>0.12559440975442615</v>
      </c>
      <c r="AE45">
        <f>$AQ$1</f>
        <v>0.19</v>
      </c>
      <c r="AF45">
        <f>$AR$20</f>
        <v>0.6784</v>
      </c>
      <c r="AG45">
        <f>AD45 * AE45 * N45 * P45 * AF45</f>
        <v>9.1060970848348544E-5</v>
      </c>
      <c r="AH45">
        <f>AD45*AE45*O45*Q45*AF45</f>
        <v>7.5515851335970956E-5</v>
      </c>
      <c r="AI45">
        <f t="shared" si="10"/>
        <v>1.665768221843195E-4</v>
      </c>
      <c r="AJ45">
        <f>G45*AI45*J45</f>
        <v>3.0400270048638309</v>
      </c>
      <c r="AP45" s="14" t="s">
        <v>222</v>
      </c>
      <c r="AQ45" s="14">
        <v>2.5999999999999999E-3</v>
      </c>
      <c r="AU45" s="8"/>
      <c r="AV45" s="6"/>
      <c r="BF45" s="4"/>
    </row>
    <row r="46" spans="1:65" x14ac:dyDescent="0.2">
      <c r="E46" s="13"/>
      <c r="F46" t="s">
        <v>164</v>
      </c>
      <c r="G46">
        <v>210</v>
      </c>
      <c r="H46">
        <v>0</v>
      </c>
      <c r="I46">
        <v>0</v>
      </c>
      <c r="J46">
        <f>$AQ$3</f>
        <v>91.25</v>
      </c>
      <c r="K46">
        <v>0.1</v>
      </c>
      <c r="L46">
        <v>0.61</v>
      </c>
      <c r="M46">
        <v>27</v>
      </c>
      <c r="N46">
        <f t="shared" si="6"/>
        <v>7.4999999999999512E-3</v>
      </c>
      <c r="O46">
        <f>O41</f>
        <v>0.99250000000000005</v>
      </c>
      <c r="P46">
        <f>P41</f>
        <v>0.75</v>
      </c>
      <c r="Q46">
        <f>$AQ$10</f>
        <v>4.7000000000000002E-3</v>
      </c>
      <c r="R46">
        <f>(H46/100)*(MIN(I46,100)/100)</f>
        <v>0</v>
      </c>
      <c r="S46">
        <v>0</v>
      </c>
      <c r="T46">
        <f t="shared" si="7"/>
        <v>0</v>
      </c>
      <c r="U46">
        <f>$AT$1</f>
        <v>1.3</v>
      </c>
      <c r="V46">
        <f>R46*U46+(1-R46)</f>
        <v>1</v>
      </c>
      <c r="W46">
        <f>(0.795*L46)-0.0014</f>
        <v>0.48354999999999998</v>
      </c>
      <c r="X46">
        <v>2.5</v>
      </c>
      <c r="Y46">
        <f t="shared" si="8"/>
        <v>0.99999627334682795</v>
      </c>
      <c r="Z46">
        <f>(104.7*W46+0.307*M46-15)*(M46^0.75)*10^-3</f>
        <v>0.52017847077168489</v>
      </c>
      <c r="AA46">
        <f t="shared" si="9"/>
        <v>0.52017653224693672</v>
      </c>
      <c r="AB46">
        <f>(AA46 * K46) + (0.045 * T46)</f>
        <v>5.2017653224693677E-2</v>
      </c>
      <c r="AC46">
        <f>$AQ$2</f>
        <v>0.08</v>
      </c>
      <c r="AD46">
        <f>(AA46 * ((1 - L46) + (0.04 * AA46))) * ( 1 - AC46 )</f>
        <v>0.1965968171591774</v>
      </c>
      <c r="AE46">
        <f>$AQ$1</f>
        <v>0.19</v>
      </c>
      <c r="AF46">
        <f>$AR$20</f>
        <v>0.6784</v>
      </c>
      <c r="AG46">
        <f>AD46 * AE46 * N46 * P46 * AF46</f>
        <v>1.4254055631308905E-4</v>
      </c>
      <c r="AH46">
        <f>AD46*AE46*O46*Q46*AF46</f>
        <v>1.1820729956648651E-4</v>
      </c>
      <c r="AI46">
        <f t="shared" si="10"/>
        <v>2.6074785587957557E-4</v>
      </c>
      <c r="AJ46">
        <f>G46*AI46*J46</f>
        <v>4.9965807882923672</v>
      </c>
      <c r="AP46" s="14" t="s">
        <v>232</v>
      </c>
      <c r="AQ46" s="14">
        <v>3.0000000000000001E-3</v>
      </c>
      <c r="AU46" s="8"/>
      <c r="AV46" s="8"/>
      <c r="BF46" s="2"/>
    </row>
    <row r="47" spans="1:65" x14ac:dyDescent="0.2">
      <c r="E47" s="12"/>
      <c r="F47" t="s">
        <v>165</v>
      </c>
      <c r="G47">
        <v>170</v>
      </c>
      <c r="H47">
        <v>0</v>
      </c>
      <c r="I47">
        <v>0</v>
      </c>
      <c r="J47">
        <f>$AQ$3</f>
        <v>91.25</v>
      </c>
      <c r="K47">
        <v>0.12</v>
      </c>
      <c r="L47">
        <v>0.64</v>
      </c>
      <c r="M47">
        <v>32</v>
      </c>
      <c r="N47">
        <f t="shared" si="6"/>
        <v>7.4999999999999512E-3</v>
      </c>
      <c r="O47">
        <f>O41</f>
        <v>0.99250000000000005</v>
      </c>
      <c r="P47">
        <f>P41</f>
        <v>0.75</v>
      </c>
      <c r="Q47">
        <f>$AQ$10</f>
        <v>4.7000000000000002E-3</v>
      </c>
      <c r="R47">
        <f>(H47/100)*(MIN(I47,100)/100)</f>
        <v>0</v>
      </c>
      <c r="S47">
        <v>0</v>
      </c>
      <c r="T47">
        <f t="shared" si="7"/>
        <v>0</v>
      </c>
      <c r="U47">
        <f>$AT$1</f>
        <v>1.3</v>
      </c>
      <c r="V47">
        <f>R47*U47+(1-R47)</f>
        <v>1</v>
      </c>
      <c r="W47">
        <f>(0.795*L47)-0.0014</f>
        <v>0.50740000000000007</v>
      </c>
      <c r="X47">
        <v>1.6</v>
      </c>
      <c r="Y47">
        <f t="shared" si="8"/>
        <v>0.99402397710499402</v>
      </c>
      <c r="Z47">
        <f>(104.7*W47+0.307*M47-15)*(M47^0.75)*10^-3</f>
        <v>0.64511931548462409</v>
      </c>
      <c r="AA47">
        <f t="shared" si="9"/>
        <v>0.64126406768527744</v>
      </c>
      <c r="AB47">
        <f>(AA47 * K47) + (0.045 * T47)</f>
        <v>7.6951688122233283E-2</v>
      </c>
      <c r="AC47">
        <f>$AQ$2</f>
        <v>0.08</v>
      </c>
      <c r="AD47">
        <f>(AA47 * ((1 - L47) + (0.04 * AA47))) * ( 1 - AC47 )</f>
        <v>0.22751954066312097</v>
      </c>
      <c r="AE47">
        <f>$AQ$1</f>
        <v>0.19</v>
      </c>
      <c r="AF47">
        <f>$AR$20</f>
        <v>0.6784</v>
      </c>
      <c r="AG47">
        <f>AD47 * AE47 * N47 * P47 * AF47</f>
        <v>1.6496076776238814E-4</v>
      </c>
      <c r="AH47">
        <f>AD47*AE47*O47*Q47*AF47</f>
        <v>1.368001318079298E-4</v>
      </c>
      <c r="AI47">
        <f t="shared" si="10"/>
        <v>3.0176089957031796E-4</v>
      </c>
      <c r="AJ47">
        <f>G47*AI47*J47</f>
        <v>4.6810659545845574</v>
      </c>
      <c r="AP47" s="14" t="s">
        <v>233</v>
      </c>
      <c r="AQ47" s="14">
        <v>5.0000000000000001E-3</v>
      </c>
      <c r="AU47" s="8"/>
      <c r="AV47" s="8"/>
      <c r="BF47" s="4"/>
    </row>
    <row r="48" spans="1:65" x14ac:dyDescent="0.2">
      <c r="E48" s="13"/>
      <c r="F48" t="s">
        <v>166</v>
      </c>
      <c r="G48">
        <v>200</v>
      </c>
      <c r="H48">
        <v>0</v>
      </c>
      <c r="I48">
        <v>0</v>
      </c>
      <c r="J48">
        <f>$AQ$3</f>
        <v>91.25</v>
      </c>
      <c r="K48">
        <v>0.18</v>
      </c>
      <c r="L48">
        <v>0.72</v>
      </c>
      <c r="M48">
        <v>34</v>
      </c>
      <c r="N48">
        <f t="shared" si="6"/>
        <v>7.4999999999999512E-3</v>
      </c>
      <c r="O48">
        <f>O41</f>
        <v>0.99250000000000005</v>
      </c>
      <c r="P48">
        <f>P41</f>
        <v>0.75</v>
      </c>
      <c r="Q48">
        <f>$AQ$10</f>
        <v>4.7000000000000002E-3</v>
      </c>
      <c r="R48">
        <f>(H48/100)*(MIN(I48,100)/100)</f>
        <v>0</v>
      </c>
      <c r="S48">
        <v>0</v>
      </c>
      <c r="T48">
        <f t="shared" si="7"/>
        <v>0</v>
      </c>
      <c r="U48">
        <f>$AT$1</f>
        <v>1.3</v>
      </c>
      <c r="V48">
        <f>R48*U48+(1-R48)</f>
        <v>1</v>
      </c>
      <c r="W48">
        <f>(0.795*L48)-0.0014</f>
        <v>0.57100000000000006</v>
      </c>
      <c r="X48">
        <v>1.7</v>
      </c>
      <c r="Y48">
        <f t="shared" si="8"/>
        <v>0.99691128459176326</v>
      </c>
      <c r="Z48">
        <f>(104.7*W48+0.307*M48-15)*(M48^0.75)*10^-3</f>
        <v>0.77753323213623582</v>
      </c>
      <c r="AA48">
        <f t="shared" si="9"/>
        <v>0.77513165326172051</v>
      </c>
      <c r="AB48">
        <f>(AA48 * K48) + (0.045 * T48)</f>
        <v>0.1395236975871097</v>
      </c>
      <c r="AC48">
        <f>$AQ$2</f>
        <v>0.08</v>
      </c>
      <c r="AD48">
        <f>(AA48 * ((1 - L48) + (0.04 * AA48))) * ( 1 - AC48 )</f>
        <v>0.22178442402010679</v>
      </c>
      <c r="AE48">
        <f>$AQ$1</f>
        <v>0.19</v>
      </c>
      <c r="AF48">
        <f>$AR$20</f>
        <v>0.6784</v>
      </c>
      <c r="AG48">
        <f>AD48 * AE48 * N48 * P48 * AF48</f>
        <v>1.608025787915372E-4</v>
      </c>
      <c r="AH48">
        <f>AD48*AE48*O48*Q48*AF48</f>
        <v>1.3335179189650278E-4</v>
      </c>
      <c r="AI48">
        <f t="shared" si="10"/>
        <v>2.9415437068803997E-4</v>
      </c>
      <c r="AJ48">
        <f>G48*AI48*J48</f>
        <v>5.3683172650567297</v>
      </c>
      <c r="AP48" s="14" t="s">
        <v>223</v>
      </c>
      <c r="AQ48" s="14">
        <v>2.5999999999999999E-3</v>
      </c>
      <c r="AU48" s="8"/>
      <c r="AV48" s="8"/>
      <c r="BF48" s="2"/>
    </row>
    <row r="49" spans="5:58" x14ac:dyDescent="0.2">
      <c r="E49" s="12" t="s">
        <v>168</v>
      </c>
      <c r="F49" t="s">
        <v>163</v>
      </c>
      <c r="G49">
        <v>100</v>
      </c>
      <c r="H49">
        <v>95</v>
      </c>
      <c r="I49">
        <v>92</v>
      </c>
      <c r="J49">
        <f>$AQ$3</f>
        <v>91.25</v>
      </c>
      <c r="K49">
        <v>0.2</v>
      </c>
      <c r="L49">
        <v>0.75</v>
      </c>
      <c r="M49">
        <v>44</v>
      </c>
      <c r="N49">
        <f t="shared" si="6"/>
        <v>7.4999999999999512E-3</v>
      </c>
      <c r="O49">
        <f>O41</f>
        <v>0.99250000000000005</v>
      </c>
      <c r="P49">
        <f>P41</f>
        <v>0.75</v>
      </c>
      <c r="Q49">
        <f>$AQ$10</f>
        <v>4.7000000000000002E-3</v>
      </c>
      <c r="R49">
        <f>(H49/100)*(MIN(I49,100)/100)</f>
        <v>0.874</v>
      </c>
      <c r="S49">
        <v>0</v>
      </c>
      <c r="T49">
        <f t="shared" si="7"/>
        <v>0</v>
      </c>
      <c r="U49">
        <f>$AT$1</f>
        <v>1.3</v>
      </c>
      <c r="V49">
        <f>R49*U49+(1-R49)</f>
        <v>1.2622</v>
      </c>
      <c r="W49">
        <f>(0.795*L49)-0.0014</f>
        <v>0.5948500000000001</v>
      </c>
      <c r="X49">
        <v>2.9</v>
      </c>
      <c r="Y49">
        <f t="shared" si="8"/>
        <v>0.9999999504359468</v>
      </c>
      <c r="Z49">
        <f>(104.7*W49+0.307*M49-15)*(M49^0.75)*10^-3</f>
        <v>1.0385156413271623</v>
      </c>
      <c r="AA49">
        <f t="shared" si="9"/>
        <v>1.3108143775138676</v>
      </c>
      <c r="AB49">
        <f>(AA49 * K49) + (0.045 * T49)</f>
        <v>0.26216287550277356</v>
      </c>
      <c r="AC49">
        <f>$AQ$2</f>
        <v>0.08</v>
      </c>
      <c r="AD49">
        <f>(AA49 * ((1 - L49) + (0.04 * AA49))) * ( 1 - AC49 )</f>
        <v>0.36471833025672168</v>
      </c>
      <c r="AE49">
        <f>$AQ$1</f>
        <v>0.19</v>
      </c>
      <c r="AF49">
        <f>$AR$20</f>
        <v>0.6784</v>
      </c>
      <c r="AG49">
        <f>AD49 * AE49 * N49 * P49 * AF49</f>
        <v>2.6443537816933172E-4</v>
      </c>
      <c r="AH49">
        <f>AD49*AE49*O49*Q49*AF49</f>
        <v>2.1929332094495973E-4</v>
      </c>
      <c r="AI49">
        <f t="shared" si="10"/>
        <v>4.8372869911429142E-4</v>
      </c>
      <c r="AJ49">
        <f>G49*AI49*J49</f>
        <v>4.414024379417909</v>
      </c>
      <c r="AP49" s="14" t="s">
        <v>234</v>
      </c>
      <c r="AQ49" s="14">
        <v>1.8E-3</v>
      </c>
      <c r="AU49" s="8"/>
      <c r="AV49" s="8"/>
      <c r="BF49" s="4"/>
    </row>
    <row r="50" spans="5:58" x14ac:dyDescent="0.2">
      <c r="E50" s="13"/>
      <c r="F50" t="s">
        <v>164</v>
      </c>
      <c r="G50">
        <v>140</v>
      </c>
      <c r="H50">
        <v>0</v>
      </c>
      <c r="I50">
        <v>0</v>
      </c>
      <c r="J50">
        <f>$AQ$3</f>
        <v>91.25</v>
      </c>
      <c r="K50">
        <v>0.1</v>
      </c>
      <c r="L50">
        <v>0.61</v>
      </c>
      <c r="M50">
        <v>42</v>
      </c>
      <c r="N50">
        <f t="shared" si="6"/>
        <v>7.4999999999999512E-3</v>
      </c>
      <c r="O50">
        <f>O41</f>
        <v>0.99250000000000005</v>
      </c>
      <c r="P50">
        <f>P41</f>
        <v>0.75</v>
      </c>
      <c r="Q50">
        <f>$AQ$10</f>
        <v>4.7000000000000002E-3</v>
      </c>
      <c r="R50">
        <f>(H50/100)*(MIN(I50,100)/100)</f>
        <v>0</v>
      </c>
      <c r="S50">
        <v>0</v>
      </c>
      <c r="T50">
        <f t="shared" si="7"/>
        <v>0</v>
      </c>
      <c r="U50">
        <f>$AT$1</f>
        <v>1.3</v>
      </c>
      <c r="V50">
        <f>R50*U50+(1-R50)</f>
        <v>1</v>
      </c>
      <c r="W50">
        <f>(0.795*L50)-0.0014</f>
        <v>0.48354999999999998</v>
      </c>
      <c r="X50">
        <v>2.5</v>
      </c>
      <c r="Y50">
        <f t="shared" si="8"/>
        <v>0.99999627334682795</v>
      </c>
      <c r="Z50">
        <f>(104.7*W50+0.307*M50-15)*(M50^0.75)*10^-3</f>
        <v>0.80052120768394575</v>
      </c>
      <c r="AA50">
        <f t="shared" si="9"/>
        <v>0.80051822441904785</v>
      </c>
      <c r="AB50">
        <f>(AA50 * K50) + (0.045 * T50)</f>
        <v>8.0051822441904785E-2</v>
      </c>
      <c r="AC50">
        <f>$AQ$2</f>
        <v>0.08</v>
      </c>
      <c r="AD50">
        <f>(AA50 * ((1 - L50) + (0.04 * AA50))) * ( 1 - AC50 )</f>
        <v>0.31080846185822891</v>
      </c>
      <c r="AE50">
        <f>$AQ$1</f>
        <v>0.19</v>
      </c>
      <c r="AF50">
        <f>$AR$20</f>
        <v>0.6784</v>
      </c>
      <c r="AG50">
        <f>AD50 * AE50 * N50 * P50 * AF50</f>
        <v>2.2534856718568885E-4</v>
      </c>
      <c r="AH50">
        <f>AD50*AE50*O50*Q50*AF50</f>
        <v>1.8687906289412427E-4</v>
      </c>
      <c r="AI50">
        <f t="shared" si="10"/>
        <v>4.1222763007981312E-4</v>
      </c>
      <c r="AJ50">
        <f>G50*AI50*J50</f>
        <v>5.2662079742696122</v>
      </c>
      <c r="AU50" s="8"/>
      <c r="AV50" s="8"/>
      <c r="BF50" s="2"/>
    </row>
    <row r="51" spans="5:58" x14ac:dyDescent="0.2">
      <c r="E51" s="12"/>
      <c r="F51" t="s">
        <v>165</v>
      </c>
      <c r="G51">
        <v>135</v>
      </c>
      <c r="H51">
        <v>0</v>
      </c>
      <c r="I51">
        <v>0</v>
      </c>
      <c r="J51">
        <f>$AQ$3</f>
        <v>91.25</v>
      </c>
      <c r="K51">
        <v>0.12</v>
      </c>
      <c r="L51">
        <v>0.64</v>
      </c>
      <c r="M51">
        <v>43</v>
      </c>
      <c r="N51">
        <f t="shared" si="6"/>
        <v>7.4999999999999512E-3</v>
      </c>
      <c r="O51">
        <f>O41</f>
        <v>0.99250000000000005</v>
      </c>
      <c r="P51">
        <f>P41</f>
        <v>0.75</v>
      </c>
      <c r="Q51">
        <f>$AQ$10</f>
        <v>4.7000000000000002E-3</v>
      </c>
      <c r="R51">
        <f>(H51/100)*(MIN(I51,100)/100)</f>
        <v>0</v>
      </c>
      <c r="S51">
        <v>0</v>
      </c>
      <c r="T51">
        <f t="shared" si="7"/>
        <v>0</v>
      </c>
      <c r="U51">
        <f>$AT$1</f>
        <v>1.3</v>
      </c>
      <c r="V51">
        <f>R51*U51+(1-R51)</f>
        <v>1</v>
      </c>
      <c r="W51">
        <f>(0.795*L51)-0.0014</f>
        <v>0.50740000000000007</v>
      </c>
      <c r="X51">
        <v>1.6</v>
      </c>
      <c r="Y51">
        <f t="shared" si="8"/>
        <v>0.99402397710499402</v>
      </c>
      <c r="Z51">
        <f>(104.7*W51+0.307*M51-15)*(M51^0.75)*10^-3</f>
        <v>0.86186034677094148</v>
      </c>
      <c r="AA51">
        <f t="shared" si="9"/>
        <v>0.85670984960634056</v>
      </c>
      <c r="AB51">
        <f>(AA51 * K51) + (0.045 * T51)</f>
        <v>0.10280518195276087</v>
      </c>
      <c r="AC51">
        <f>$AQ$2</f>
        <v>0.08</v>
      </c>
      <c r="AD51">
        <f>(AA51 * ((1 - L51) + (0.04 * AA51))) * ( 1 - AC51 )</f>
        <v>0.31075172719360067</v>
      </c>
      <c r="AE51">
        <f>$AQ$1</f>
        <v>0.19</v>
      </c>
      <c r="AF51">
        <f>$AR$20</f>
        <v>0.6784</v>
      </c>
      <c r="AG51">
        <f>AD51 * AE51 * N51 * P51 * AF51</f>
        <v>2.2530743228444674E-4</v>
      </c>
      <c r="AH51">
        <f>AD51*AE51*O51*Q51*AF51</f>
        <v>1.8684495017757866E-4</v>
      </c>
      <c r="AI51">
        <f t="shared" si="10"/>
        <v>4.1215238246202542E-4</v>
      </c>
      <c r="AJ51">
        <f>G51*AI51*J51</f>
        <v>5.0772021614540757</v>
      </c>
      <c r="AU51" s="8"/>
      <c r="AV51" s="8"/>
      <c r="BF51" s="4"/>
    </row>
    <row r="52" spans="5:58" x14ac:dyDescent="0.2">
      <c r="E52" s="13"/>
      <c r="F52" t="s">
        <v>166</v>
      </c>
      <c r="G52">
        <v>130</v>
      </c>
      <c r="H52">
        <v>0</v>
      </c>
      <c r="I52">
        <v>0</v>
      </c>
      <c r="J52">
        <f>$AQ$3</f>
        <v>91.25</v>
      </c>
      <c r="K52">
        <v>0.18</v>
      </c>
      <c r="L52">
        <v>0.72</v>
      </c>
      <c r="M52">
        <v>45</v>
      </c>
      <c r="N52">
        <f t="shared" si="6"/>
        <v>7.4999999999999512E-3</v>
      </c>
      <c r="O52">
        <f>O41</f>
        <v>0.99250000000000005</v>
      </c>
      <c r="P52">
        <f>P41</f>
        <v>0.75</v>
      </c>
      <c r="Q52">
        <f>$AQ$10</f>
        <v>4.7000000000000002E-3</v>
      </c>
      <c r="R52">
        <f>(H52/100)*(MIN(I52,100)/100)</f>
        <v>0</v>
      </c>
      <c r="S52">
        <v>0</v>
      </c>
      <c r="T52">
        <f t="shared" si="7"/>
        <v>0</v>
      </c>
      <c r="U52">
        <f>$AT$1</f>
        <v>1.3</v>
      </c>
      <c r="V52">
        <f>R52*U52+(1-R52)</f>
        <v>1</v>
      </c>
      <c r="W52">
        <f>(0.795*L52)-0.0014</f>
        <v>0.57100000000000006</v>
      </c>
      <c r="X52">
        <v>1.7</v>
      </c>
      <c r="Y52">
        <f t="shared" si="8"/>
        <v>0.99691128459176326</v>
      </c>
      <c r="Z52">
        <f>(104.7*W52+0.307*M52-15)*(M52^0.75)*10^-3</f>
        <v>1.0181162441707754</v>
      </c>
      <c r="AA52">
        <f t="shared" si="9"/>
        <v>1.014971572840029</v>
      </c>
      <c r="AB52">
        <f>(AA52 * K52) + (0.045 * T52)</f>
        <v>0.18269488311120521</v>
      </c>
      <c r="AC52">
        <f>$AQ$2</f>
        <v>0.08</v>
      </c>
      <c r="AD52">
        <f>(AA52 * ((1 - L52) + (0.04 * AA52))) * ( 1 - AC52 )</f>
        <v>0.29936683357077126</v>
      </c>
      <c r="AE52">
        <f>$AQ$1</f>
        <v>0.19</v>
      </c>
      <c r="AF52">
        <f>$AR$20</f>
        <v>0.6784</v>
      </c>
      <c r="AG52">
        <f>AD52 * AE52 * N52 * P52 * AF52</f>
        <v>2.1705292901215057E-4</v>
      </c>
      <c r="AH52">
        <f>AD52*AE52*O52*Q52*AF52</f>
        <v>1.7999958233056641E-4</v>
      </c>
      <c r="AI52">
        <f t="shared" si="10"/>
        <v>3.9705251134271698E-4</v>
      </c>
      <c r="AJ52">
        <f>G52*AI52*J52</f>
        <v>4.71003541580298</v>
      </c>
      <c r="AU52" s="8"/>
      <c r="AV52" s="8"/>
      <c r="BF52" s="2"/>
    </row>
    <row r="53" spans="5:58" x14ac:dyDescent="0.2">
      <c r="E53" s="12" t="s">
        <v>170</v>
      </c>
      <c r="F53" t="s">
        <v>163</v>
      </c>
      <c r="G53">
        <v>200</v>
      </c>
      <c r="H53">
        <v>0</v>
      </c>
      <c r="I53">
        <v>0</v>
      </c>
      <c r="J53">
        <f>$AQ$3</f>
        <v>91.25</v>
      </c>
      <c r="K53">
        <v>0.2</v>
      </c>
      <c r="L53">
        <v>0.75</v>
      </c>
      <c r="M53">
        <v>56</v>
      </c>
      <c r="N53">
        <f t="shared" si="6"/>
        <v>7.4999999999999512E-3</v>
      </c>
      <c r="O53">
        <f>O41</f>
        <v>0.99250000000000005</v>
      </c>
      <c r="P53">
        <f>P41</f>
        <v>0.75</v>
      </c>
      <c r="Q53">
        <f>$AQ$10</f>
        <v>4.7000000000000002E-3</v>
      </c>
      <c r="R53">
        <f>(H53/100)*(MIN(I53,100)/100)</f>
        <v>0</v>
      </c>
      <c r="S53">
        <v>0</v>
      </c>
      <c r="T53">
        <f t="shared" si="7"/>
        <v>0</v>
      </c>
      <c r="U53">
        <f>$AT$1</f>
        <v>1.3</v>
      </c>
      <c r="V53">
        <f>R53*U53+(1-R53)</f>
        <v>1</v>
      </c>
      <c r="W53">
        <f>(0.795*L53)-0.0014</f>
        <v>0.5948500000000001</v>
      </c>
      <c r="X53">
        <v>2.9</v>
      </c>
      <c r="Y53">
        <f t="shared" si="8"/>
        <v>0.9999999504359468</v>
      </c>
      <c r="Z53">
        <f>(104.7*W53+0.307*M53-15)*(M53^0.75)*10^-3</f>
        <v>1.3198285488795851</v>
      </c>
      <c r="AA53">
        <f t="shared" si="9"/>
        <v>1.3198284834635328</v>
      </c>
      <c r="AB53">
        <f>(AA53 * K53) + (0.045 * T53)</f>
        <v>0.26396569669270659</v>
      </c>
      <c r="AC53">
        <f>$AQ$2</f>
        <v>0.08</v>
      </c>
      <c r="AD53">
        <f>(AA53 * ((1 - L53) + (0.04 * AA53))) * ( 1 - AC53 )</f>
        <v>0.3676642091046412</v>
      </c>
      <c r="AE53">
        <f>$AQ$1</f>
        <v>0.19</v>
      </c>
      <c r="AF53">
        <f>$AR$20</f>
        <v>0.6784</v>
      </c>
      <c r="AG53">
        <f>AD53 * AE53 * N53 * P53 * AF53</f>
        <v>2.6657125816922732E-4</v>
      </c>
      <c r="AH53">
        <f>AD53*AE53*O53*Q53*AF53</f>
        <v>2.2106458249687309E-4</v>
      </c>
      <c r="AI53">
        <f t="shared" si="10"/>
        <v>4.8763584066610041E-4</v>
      </c>
      <c r="AJ53">
        <f>G53*AI53*J53</f>
        <v>8.899354092156333</v>
      </c>
      <c r="AU53" s="8"/>
      <c r="AV53" s="8"/>
      <c r="BF53" s="4"/>
    </row>
    <row r="54" spans="5:58" x14ac:dyDescent="0.2">
      <c r="E54" s="13"/>
      <c r="F54" t="s">
        <v>164</v>
      </c>
      <c r="G54">
        <v>210</v>
      </c>
      <c r="H54">
        <v>0</v>
      </c>
      <c r="I54">
        <v>0</v>
      </c>
      <c r="J54">
        <f>$AQ$3</f>
        <v>91.25</v>
      </c>
      <c r="K54">
        <v>0.1</v>
      </c>
      <c r="L54">
        <v>0.61</v>
      </c>
      <c r="M54">
        <v>51</v>
      </c>
      <c r="N54">
        <f t="shared" si="6"/>
        <v>7.4999999999999512E-3</v>
      </c>
      <c r="O54">
        <f>O41</f>
        <v>0.99250000000000005</v>
      </c>
      <c r="P54">
        <f>P41</f>
        <v>0.75</v>
      </c>
      <c r="Q54">
        <f>$AQ$10</f>
        <v>4.7000000000000002E-3</v>
      </c>
      <c r="R54">
        <f>(H54/100)*(MIN(I54,100)/100)</f>
        <v>0</v>
      </c>
      <c r="S54">
        <v>0</v>
      </c>
      <c r="T54">
        <f t="shared" si="7"/>
        <v>0</v>
      </c>
      <c r="U54">
        <f>$AT$1</f>
        <v>1.3</v>
      </c>
      <c r="V54">
        <f>R54*U54+(1-R54)</f>
        <v>1</v>
      </c>
      <c r="W54">
        <f>(0.795*L54)-0.0014</f>
        <v>0.48354999999999998</v>
      </c>
      <c r="X54">
        <v>2.5</v>
      </c>
      <c r="Y54">
        <f t="shared" si="8"/>
        <v>0.99999627334682795</v>
      </c>
      <c r="Z54">
        <f>(104.7*W54+0.307*M54-15)*(M54^0.75)*10^-3</f>
        <v>0.97873546256970145</v>
      </c>
      <c r="AA54">
        <f t="shared" si="9"/>
        <v>0.97873181516208529</v>
      </c>
      <c r="AB54">
        <f>(AA54 * K54) + (0.045 * T54)</f>
        <v>9.7873181516208538E-2</v>
      </c>
      <c r="AC54">
        <f>$AQ$2</f>
        <v>0.08</v>
      </c>
      <c r="AD54">
        <f>(AA54 * ((1 - L54) + (0.04 * AA54))) * ( 1 - AC54 )</f>
        <v>0.38642028282934154</v>
      </c>
      <c r="AE54">
        <f>$AQ$1</f>
        <v>0.19</v>
      </c>
      <c r="AF54">
        <f>$AR$20</f>
        <v>0.6784</v>
      </c>
      <c r="AG54">
        <f>AD54 * AE54 * N54 * P54 * AF54</f>
        <v>2.8017016186258399E-4</v>
      </c>
      <c r="AH54">
        <f>AD54*AE54*O54*Q54*AF54</f>
        <v>2.3234200223084397E-4</v>
      </c>
      <c r="AI54">
        <f t="shared" si="10"/>
        <v>5.1251216409342799E-4</v>
      </c>
      <c r="AJ54">
        <f>G54*AI54*J54</f>
        <v>9.8210143444403144</v>
      </c>
      <c r="AU54" s="8"/>
      <c r="AV54" s="8"/>
      <c r="BF54" s="2"/>
    </row>
    <row r="55" spans="5:58" x14ac:dyDescent="0.2">
      <c r="E55" s="12"/>
      <c r="F55" t="s">
        <v>165</v>
      </c>
      <c r="G55">
        <v>190</v>
      </c>
      <c r="H55">
        <v>0</v>
      </c>
      <c r="I55">
        <v>0</v>
      </c>
      <c r="J55">
        <f>$AQ$3</f>
        <v>91.25</v>
      </c>
      <c r="K55">
        <v>0.12</v>
      </c>
      <c r="L55">
        <v>0.64</v>
      </c>
      <c r="M55">
        <v>50</v>
      </c>
      <c r="N55">
        <f t="shared" si="6"/>
        <v>7.4999999999999512E-3</v>
      </c>
      <c r="O55">
        <f>O41</f>
        <v>0.99250000000000005</v>
      </c>
      <c r="P55">
        <f>P41</f>
        <v>0.75</v>
      </c>
      <c r="Q55">
        <f>$AQ$10</f>
        <v>4.7000000000000002E-3</v>
      </c>
      <c r="R55">
        <f>(H55/100)*(MIN(I55,100)/100)</f>
        <v>0</v>
      </c>
      <c r="S55">
        <v>0</v>
      </c>
      <c r="T55">
        <f t="shared" si="7"/>
        <v>0</v>
      </c>
      <c r="U55">
        <f>$AT$1</f>
        <v>1.3</v>
      </c>
      <c r="V55">
        <f>R55*U55+(1-R55)</f>
        <v>1</v>
      </c>
      <c r="W55">
        <f>(0.795*L55)-0.0014</f>
        <v>0.50740000000000007</v>
      </c>
      <c r="X55">
        <v>1.6</v>
      </c>
      <c r="Y55">
        <f t="shared" si="8"/>
        <v>0.99402397710499402</v>
      </c>
      <c r="Z55">
        <f>(104.7*W55+0.307*M55-15)*(M55^0.75)*10^-3</f>
        <v>1.0054871153505722</v>
      </c>
      <c r="AA55">
        <f t="shared" si="9"/>
        <v>0.99947830132860371</v>
      </c>
      <c r="AB55">
        <f>(AA55 * K55) + (0.045 * T55)</f>
        <v>0.11993739615943244</v>
      </c>
      <c r="AC55">
        <f>$AQ$2</f>
        <v>0.08</v>
      </c>
      <c r="AD55">
        <f>(AA55 * ((1 - L55) + (0.04 * AA55))) * ( 1 - AC55 )</f>
        <v>0.36778882639365651</v>
      </c>
      <c r="AE55">
        <f>$AQ$1</f>
        <v>0.19</v>
      </c>
      <c r="AF55">
        <f>$AR$20</f>
        <v>0.6784</v>
      </c>
      <c r="AG55">
        <f>AD55 * AE55 * N55 * P55 * AF55</f>
        <v>2.6666161068845495E-4</v>
      </c>
      <c r="AH55">
        <f>AD55*AE55*O55*Q55*AF55</f>
        <v>2.2113951083715177E-4</v>
      </c>
      <c r="AI55">
        <f t="shared" si="10"/>
        <v>4.8780112152560669E-4</v>
      </c>
      <c r="AJ55">
        <f>G55*AI55*J55</f>
        <v>8.4572519444502063</v>
      </c>
      <c r="AU55" s="8"/>
      <c r="AV55" s="8"/>
      <c r="BF55" s="4"/>
    </row>
    <row r="56" spans="5:58" x14ac:dyDescent="0.2">
      <c r="E56" s="13"/>
      <c r="F56" t="s">
        <v>166</v>
      </c>
      <c r="G56">
        <v>180</v>
      </c>
      <c r="H56">
        <v>0</v>
      </c>
      <c r="I56">
        <v>0</v>
      </c>
      <c r="J56">
        <f>$AQ$3</f>
        <v>91.25</v>
      </c>
      <c r="K56">
        <v>0.18</v>
      </c>
      <c r="L56">
        <v>0.72</v>
      </c>
      <c r="M56">
        <v>51</v>
      </c>
      <c r="N56">
        <f t="shared" si="6"/>
        <v>7.4999999999999512E-3</v>
      </c>
      <c r="O56">
        <f>O41</f>
        <v>0.99250000000000005</v>
      </c>
      <c r="P56">
        <f>P41</f>
        <v>0.75</v>
      </c>
      <c r="Q56">
        <f>$AQ$10</f>
        <v>4.7000000000000002E-3</v>
      </c>
      <c r="R56">
        <f>(H56/100)*(MIN(I56,100)/100)</f>
        <v>0</v>
      </c>
      <c r="S56">
        <v>0</v>
      </c>
      <c r="T56">
        <f t="shared" si="7"/>
        <v>0</v>
      </c>
      <c r="U56">
        <f>$AT$1</f>
        <v>1.3</v>
      </c>
      <c r="V56">
        <f>R56*U56+(1-R56)</f>
        <v>1</v>
      </c>
      <c r="W56">
        <f>(0.795*L56)-0.0014</f>
        <v>0.57100000000000006</v>
      </c>
      <c r="X56">
        <v>1.7</v>
      </c>
      <c r="Y56">
        <f t="shared" si="8"/>
        <v>0.99691128459176326</v>
      </c>
      <c r="Z56">
        <f>(104.7*W56+0.307*M56-15)*(M56^0.75)*10^-3</f>
        <v>1.1534721617679149</v>
      </c>
      <c r="AA56">
        <f t="shared" si="9"/>
        <v>1.1499094145288902</v>
      </c>
      <c r="AB56">
        <f>(AA56 * K56) + (0.045 * T56)</f>
        <v>0.20698369461520022</v>
      </c>
      <c r="AC56">
        <f>$AQ$2</f>
        <v>0.08</v>
      </c>
      <c r="AD56">
        <f>(AA56 * ((1 - L56) + (0.04 * AA56))) * ( 1 - AC56 )</f>
        <v>0.34487699833033825</v>
      </c>
      <c r="AE56">
        <f>$AQ$1</f>
        <v>0.19</v>
      </c>
      <c r="AF56">
        <f>$AR$20</f>
        <v>0.6784</v>
      </c>
      <c r="AG56">
        <f>AD56 * AE56 * N56 * P56 * AF56</f>
        <v>2.5004961886942681E-4</v>
      </c>
      <c r="AH56">
        <f>AD56*AE56*O56*Q56*AF56</f>
        <v>2.0736337059931845E-4</v>
      </c>
      <c r="AI56">
        <f t="shared" si="10"/>
        <v>4.5741298946874525E-4</v>
      </c>
      <c r="AJ56">
        <f>G56*AI56*J56</f>
        <v>7.5130083520241406</v>
      </c>
      <c r="AU56" s="8"/>
      <c r="AV56" s="8"/>
      <c r="BF56" s="2"/>
    </row>
    <row r="57" spans="5:58" x14ac:dyDescent="0.2">
      <c r="E57" s="12" t="s">
        <v>162</v>
      </c>
      <c r="F57" t="s">
        <v>163</v>
      </c>
      <c r="G57">
        <v>50</v>
      </c>
      <c r="H57">
        <v>0</v>
      </c>
      <c r="I57">
        <v>0</v>
      </c>
      <c r="J57">
        <f>$AQ$3</f>
        <v>91.25</v>
      </c>
      <c r="K57">
        <v>0.2</v>
      </c>
      <c r="L57">
        <v>0.75</v>
      </c>
      <c r="M57">
        <v>75</v>
      </c>
      <c r="N57">
        <f t="shared" si="6"/>
        <v>7.4999999999999512E-3</v>
      </c>
      <c r="O57">
        <f>O41</f>
        <v>0.99250000000000005</v>
      </c>
      <c r="P57">
        <f>P41</f>
        <v>0.75</v>
      </c>
      <c r="Q57">
        <f>$AQ$10</f>
        <v>4.7000000000000002E-3</v>
      </c>
      <c r="R57">
        <f>(H57/100)*(MIN(I57,100)/100)</f>
        <v>0</v>
      </c>
      <c r="S57">
        <v>0</v>
      </c>
      <c r="T57">
        <f t="shared" si="7"/>
        <v>0</v>
      </c>
      <c r="U57">
        <f>$AT$1</f>
        <v>1.3</v>
      </c>
      <c r="V57">
        <f>R57*U57+(1-R57)</f>
        <v>1</v>
      </c>
      <c r="W57">
        <f>(0.795*L57)-0.0014</f>
        <v>0.5948500000000001</v>
      </c>
      <c r="X57">
        <v>2.9</v>
      </c>
      <c r="Y57">
        <f t="shared" si="8"/>
        <v>0.9999999504359468</v>
      </c>
      <c r="Z57">
        <f>(104.7*W57+0.307*M57-15)*(M57^0.75)*10^-3</f>
        <v>1.7917898456122741</v>
      </c>
      <c r="AA57">
        <f t="shared" si="9"/>
        <v>1.7917897568039067</v>
      </c>
      <c r="AB57">
        <f>(AA57 * K57) + (0.045 * T57)</f>
        <v>0.35835795136078136</v>
      </c>
      <c r="AC57">
        <f>$AQ$2</f>
        <v>0.08</v>
      </c>
      <c r="AD57">
        <f>(AA57 * ((1 - L57) + (0.04 * AA57))) * ( 1 - AC57 )</f>
        <v>0.53025843166411502</v>
      </c>
      <c r="AE57">
        <f>$AQ$1</f>
        <v>0.19</v>
      </c>
      <c r="AF57">
        <f>$AR$20</f>
        <v>0.6784</v>
      </c>
      <c r="AG57">
        <f>AD57 * AE57 * N57 * P57 * AF57</f>
        <v>3.844585732937475E-4</v>
      </c>
      <c r="AH57">
        <f>AD57*AE57*O57*Q57*AF57</f>
        <v>3.1882722307058136E-4</v>
      </c>
      <c r="AI57">
        <f t="shared" si="10"/>
        <v>7.0328579636432886E-4</v>
      </c>
      <c r="AJ57">
        <f>G57*AI57*J57</f>
        <v>3.2087414459122501</v>
      </c>
      <c r="AU57" s="8"/>
      <c r="AV57" s="8"/>
      <c r="BF57" s="4"/>
    </row>
    <row r="58" spans="5:58" x14ac:dyDescent="0.2">
      <c r="E58" s="13"/>
      <c r="F58" t="s">
        <v>164</v>
      </c>
      <c r="G58">
        <v>55</v>
      </c>
      <c r="H58">
        <v>0</v>
      </c>
      <c r="I58">
        <v>0</v>
      </c>
      <c r="J58">
        <f>$AQ$3</f>
        <v>91.25</v>
      </c>
      <c r="K58">
        <v>0.1</v>
      </c>
      <c r="L58">
        <v>0.61</v>
      </c>
      <c r="M58">
        <v>75</v>
      </c>
      <c r="N58">
        <f t="shared" si="6"/>
        <v>7.4999999999999512E-3</v>
      </c>
      <c r="O58">
        <f>O41</f>
        <v>0.99250000000000005</v>
      </c>
      <c r="P58">
        <f>P41</f>
        <v>0.75</v>
      </c>
      <c r="Q58">
        <f>$AQ$10</f>
        <v>4.7000000000000002E-3</v>
      </c>
      <c r="R58">
        <f>(H58/100)*(MIN(I58,100)/100)</f>
        <v>0</v>
      </c>
      <c r="S58">
        <v>0</v>
      </c>
      <c r="T58">
        <f t="shared" si="7"/>
        <v>0</v>
      </c>
      <c r="U58">
        <f>$AT$1</f>
        <v>1.3</v>
      </c>
      <c r="V58">
        <f>R58*U58+(1-R58)</f>
        <v>1</v>
      </c>
      <c r="W58">
        <f>(0.795*L58)-0.0014</f>
        <v>0.48354999999999998</v>
      </c>
      <c r="X58">
        <v>2.5</v>
      </c>
      <c r="Y58">
        <f t="shared" si="8"/>
        <v>0.99999627334682795</v>
      </c>
      <c r="Z58">
        <f>(104.7*W58+0.307*M58-15)*(M58^0.75)*10^-3</f>
        <v>1.4948026034112167</v>
      </c>
      <c r="AA58">
        <f t="shared" si="9"/>
        <v>1.494797032800353</v>
      </c>
      <c r="AB58">
        <f>(AA58 * K58) + (0.045 * T58)</f>
        <v>0.14947970328003532</v>
      </c>
      <c r="AC58">
        <f>$AQ$2</f>
        <v>0.08</v>
      </c>
      <c r="AD58">
        <f>(AA58 * ((1 - L58) + (0.04 * AA58))) * ( 1 - AC58 )</f>
        <v>0.61855976399785639</v>
      </c>
      <c r="AE58">
        <f>$AQ$1</f>
        <v>0.19</v>
      </c>
      <c r="AF58">
        <f>$AR$20</f>
        <v>0.6784</v>
      </c>
      <c r="AG58">
        <f>AD58 * AE58 * N58 * P58 * AF58</f>
        <v>4.4848057128900288E-4</v>
      </c>
      <c r="AH58">
        <f>AD58*AE58*O58*Q58*AF58</f>
        <v>3.7191995465251379E-4</v>
      </c>
      <c r="AI58">
        <f t="shared" si="10"/>
        <v>8.2040052594151668E-4</v>
      </c>
      <c r="AJ58">
        <f>G58*AI58*J58</f>
        <v>4.1173851395689862</v>
      </c>
      <c r="AU58" s="8"/>
      <c r="AV58" s="8"/>
      <c r="BF58" s="2"/>
    </row>
    <row r="59" spans="5:58" x14ac:dyDescent="0.2">
      <c r="E59" s="12"/>
      <c r="F59" t="s">
        <v>165</v>
      </c>
      <c r="G59">
        <v>60</v>
      </c>
      <c r="H59">
        <v>0</v>
      </c>
      <c r="I59">
        <v>0</v>
      </c>
      <c r="J59">
        <f>$AQ$3</f>
        <v>91.25</v>
      </c>
      <c r="K59">
        <v>0.12</v>
      </c>
      <c r="L59">
        <v>0.64</v>
      </c>
      <c r="M59">
        <v>69</v>
      </c>
      <c r="N59">
        <f t="shared" si="6"/>
        <v>7.4999999999999512E-3</v>
      </c>
      <c r="O59">
        <f>O41</f>
        <v>0.99250000000000005</v>
      </c>
      <c r="P59">
        <f>P41</f>
        <v>0.75</v>
      </c>
      <c r="Q59">
        <f>$AQ$10</f>
        <v>4.7000000000000002E-3</v>
      </c>
      <c r="R59">
        <f>(H59/100)*(MIN(I59,100)/100)</f>
        <v>0</v>
      </c>
      <c r="S59">
        <v>0</v>
      </c>
      <c r="T59">
        <f t="shared" si="7"/>
        <v>0</v>
      </c>
      <c r="U59">
        <f>$AT$1</f>
        <v>1.3</v>
      </c>
      <c r="V59">
        <f>R59*U59+(1-R59)</f>
        <v>1</v>
      </c>
      <c r="W59">
        <f>(0.795*L59)-0.0014</f>
        <v>0.50740000000000007</v>
      </c>
      <c r="X59">
        <v>1.6</v>
      </c>
      <c r="Y59">
        <f t="shared" si="8"/>
        <v>0.99402397710499402</v>
      </c>
      <c r="Z59">
        <f>(104.7*W59+0.307*M59-15)*(M59^0.75)*10^-3</f>
        <v>1.4198696820048529</v>
      </c>
      <c r="AA59">
        <f t="shared" si="9"/>
        <v>1.4113845082772669</v>
      </c>
      <c r="AB59">
        <f>(AA59 * K59) + (0.045 * T59)</f>
        <v>0.16936614099327202</v>
      </c>
      <c r="AC59">
        <f>$AQ$2</f>
        <v>0.08</v>
      </c>
      <c r="AD59">
        <f>(AA59 * ((1 - L59) + (0.04 * AA59))) * ( 1 - AC59 )</f>
        <v>0.54075637841297708</v>
      </c>
      <c r="AE59">
        <f>$AQ$1</f>
        <v>0.19</v>
      </c>
      <c r="AF59">
        <f>$AR$20</f>
        <v>0.6784</v>
      </c>
      <c r="AG59">
        <f>AD59 * AE59 * N59 * P59 * AF59</f>
        <v>3.9207000460454234E-4</v>
      </c>
      <c r="AH59">
        <f>AD59*AE59*O59*Q59*AF59</f>
        <v>3.2513929848516465E-4</v>
      </c>
      <c r="AI59">
        <f t="shared" si="10"/>
        <v>7.1720930308970699E-4</v>
      </c>
      <c r="AJ59">
        <f>G59*AI59*J59</f>
        <v>3.9267209344161453</v>
      </c>
      <c r="AU59" s="8"/>
      <c r="AV59" s="8"/>
      <c r="BF59" s="4"/>
    </row>
    <row r="60" spans="5:58" x14ac:dyDescent="0.2">
      <c r="E60" s="13"/>
      <c r="F60" t="s">
        <v>166</v>
      </c>
      <c r="G60">
        <v>65</v>
      </c>
      <c r="H60">
        <v>0</v>
      </c>
      <c r="I60">
        <v>0</v>
      </c>
      <c r="J60">
        <f>$AQ$3</f>
        <v>91.25</v>
      </c>
      <c r="K60">
        <v>0.18</v>
      </c>
      <c r="L60">
        <v>0.72</v>
      </c>
      <c r="M60">
        <v>69</v>
      </c>
      <c r="N60">
        <f t="shared" si="6"/>
        <v>7.4999999999999512E-3</v>
      </c>
      <c r="O60">
        <f>O41</f>
        <v>0.99250000000000005</v>
      </c>
      <c r="P60">
        <f>P41</f>
        <v>0.75</v>
      </c>
      <c r="Q60">
        <f>$AQ$10</f>
        <v>4.7000000000000002E-3</v>
      </c>
      <c r="R60">
        <f>(H60/100)*(MIN(I60,100)/100)</f>
        <v>0</v>
      </c>
      <c r="S60">
        <v>0</v>
      </c>
      <c r="T60">
        <f t="shared" si="7"/>
        <v>0</v>
      </c>
      <c r="U60">
        <f>$AT$1</f>
        <v>1.3</v>
      </c>
      <c r="V60">
        <f>R60*U60+(1-R60)</f>
        <v>1</v>
      </c>
      <c r="W60">
        <f>(0.795*L60)-0.0014</f>
        <v>0.57100000000000006</v>
      </c>
      <c r="X60">
        <v>1.7</v>
      </c>
      <c r="Y60">
        <f t="shared" si="8"/>
        <v>0.99691128459176326</v>
      </c>
      <c r="Z60">
        <f>(104.7*W60+0.307*M60-15)*(M60^0.75)*10^-3</f>
        <v>1.5792888783210146</v>
      </c>
      <c r="AA60">
        <f t="shared" si="9"/>
        <v>1.5744109044284875</v>
      </c>
      <c r="AB60">
        <f>(AA60 * K60) + (0.045 * T60)</f>
        <v>0.28339396279712775</v>
      </c>
      <c r="AC60">
        <f>$AQ$2</f>
        <v>0.08</v>
      </c>
      <c r="AD60">
        <f>(AA60 * ((1 - L60) + (0.04 * AA60))) * ( 1 - AC60 )</f>
        <v>0.49678697379296494</v>
      </c>
      <c r="AE60">
        <f>$AQ$1</f>
        <v>0.19</v>
      </c>
      <c r="AF60">
        <f>$AR$20</f>
        <v>0.6784</v>
      </c>
      <c r="AG60">
        <f>AD60 * AE60 * N60 * P60 * AF60</f>
        <v>3.6019042747884896E-4</v>
      </c>
      <c r="AH60">
        <f>AD60*AE60*O60*Q60*AF60</f>
        <v>2.9870191939235057E-4</v>
      </c>
      <c r="AI60">
        <f t="shared" si="10"/>
        <v>6.5889234687119952E-4</v>
      </c>
      <c r="AJ60">
        <f>G60*AI60*J60</f>
        <v>3.9080552323798021</v>
      </c>
      <c r="AU60" s="8"/>
      <c r="AV60" s="8"/>
      <c r="BF60" s="2"/>
    </row>
    <row r="61" spans="5:58" x14ac:dyDescent="0.2">
      <c r="E61" s="12" t="s">
        <v>167</v>
      </c>
      <c r="F61" t="s">
        <v>163</v>
      </c>
      <c r="G61">
        <v>50</v>
      </c>
      <c r="H61">
        <v>0</v>
      </c>
      <c r="I61">
        <v>0</v>
      </c>
      <c r="J61">
        <f>$AQ$3</f>
        <v>91.25</v>
      </c>
      <c r="K61">
        <v>0.2</v>
      </c>
      <c r="L61">
        <v>0.75</v>
      </c>
      <c r="M61">
        <v>62</v>
      </c>
      <c r="N61">
        <f t="shared" si="6"/>
        <v>7.4999999999999512E-3</v>
      </c>
      <c r="O61">
        <f>O41</f>
        <v>0.99250000000000005</v>
      </c>
      <c r="P61">
        <f>P41</f>
        <v>0.75</v>
      </c>
      <c r="Q61">
        <f>$AQ$10</f>
        <v>4.7000000000000002E-3</v>
      </c>
      <c r="R61">
        <f>(H61/100)*(MIN(I61,100)/100)</f>
        <v>0</v>
      </c>
      <c r="S61">
        <v>0</v>
      </c>
      <c r="T61">
        <f t="shared" si="7"/>
        <v>0</v>
      </c>
      <c r="U61">
        <f>$AT$1</f>
        <v>1.3</v>
      </c>
      <c r="V61">
        <f>R61*U61+(1-R61)</f>
        <v>1</v>
      </c>
      <c r="W61">
        <f>(0.795*L61)-0.0014</f>
        <v>0.5948500000000001</v>
      </c>
      <c r="X61">
        <v>2.9</v>
      </c>
      <c r="Y61">
        <f t="shared" si="8"/>
        <v>0.9999999504359468</v>
      </c>
      <c r="Z61">
        <f>(104.7*W61+0.307*M61-15)*(M61^0.75)*10^-3</f>
        <v>1.4652245899459331</v>
      </c>
      <c r="AA61">
        <f t="shared" si="9"/>
        <v>1.4652245173234635</v>
      </c>
      <c r="AB61">
        <f>(AA61 * K61) + (0.045 * T61)</f>
        <v>0.2930449034646927</v>
      </c>
      <c r="AC61">
        <f>$AQ$2</f>
        <v>0.08</v>
      </c>
      <c r="AD61">
        <f>(AA61 * ((1 - L61) + (0.04 * AA61))) * ( 1 - AC61 )</f>
        <v>0.41600692919529714</v>
      </c>
      <c r="AE61">
        <f>$AQ$1</f>
        <v>0.19</v>
      </c>
      <c r="AF61">
        <f>$AR$20</f>
        <v>0.6784</v>
      </c>
      <c r="AG61">
        <f>AD61 * AE61 * N61 * P61 * AF61</f>
        <v>3.0162166394375622E-4</v>
      </c>
      <c r="AH61">
        <f>AD61*AE61*O61*Q61*AF61</f>
        <v>2.5013149455673715E-4</v>
      </c>
      <c r="AI61">
        <f t="shared" si="10"/>
        <v>5.5175315850049342E-4</v>
      </c>
      <c r="AJ61">
        <f>G61*AI61*J61</f>
        <v>2.517373785658501</v>
      </c>
      <c r="AU61" s="8"/>
      <c r="AV61" s="8"/>
      <c r="BF61" s="4"/>
    </row>
    <row r="62" spans="5:58" x14ac:dyDescent="0.2">
      <c r="E62" s="13"/>
      <c r="F62" t="s">
        <v>164</v>
      </c>
      <c r="G62">
        <v>100</v>
      </c>
      <c r="H62">
        <v>0</v>
      </c>
      <c r="I62">
        <v>0</v>
      </c>
      <c r="J62">
        <f>$AQ$3</f>
        <v>91.25</v>
      </c>
      <c r="K62">
        <v>0.1</v>
      </c>
      <c r="L62">
        <v>0.61</v>
      </c>
      <c r="M62">
        <v>55</v>
      </c>
      <c r="N62">
        <f t="shared" si="6"/>
        <v>7.4999999999999512E-3</v>
      </c>
      <c r="O62">
        <f>O41</f>
        <v>0.99250000000000005</v>
      </c>
      <c r="P62">
        <f>P41</f>
        <v>0.75</v>
      </c>
      <c r="Q62">
        <f>$AQ$10</f>
        <v>4.7000000000000002E-3</v>
      </c>
      <c r="R62">
        <f>(H62/100)*(MIN(I62,100)/100)</f>
        <v>0</v>
      </c>
      <c r="S62">
        <v>0</v>
      </c>
      <c r="T62">
        <f t="shared" si="7"/>
        <v>0</v>
      </c>
      <c r="U62">
        <f>$AT$1</f>
        <v>1.3</v>
      </c>
      <c r="V62">
        <f>R62*U62+(1-R62)</f>
        <v>1</v>
      </c>
      <c r="W62">
        <f>(0.795*L62)-0.0014</f>
        <v>0.48354999999999998</v>
      </c>
      <c r="X62">
        <v>2.5</v>
      </c>
      <c r="Y62">
        <f t="shared" si="8"/>
        <v>0.99999627334682795</v>
      </c>
      <c r="Z62">
        <f>(104.7*W62+0.307*M62-15)*(M62^0.75)*10^-3</f>
        <v>1.0605624381175847</v>
      </c>
      <c r="AA62">
        <f t="shared" si="9"/>
        <v>1.0605584857692105</v>
      </c>
      <c r="AB62">
        <f>(AA62 * K62) + (0.045 * T62)</f>
        <v>0.10605584857692106</v>
      </c>
      <c r="AC62">
        <f>$AQ$2</f>
        <v>0.08</v>
      </c>
      <c r="AD62">
        <f>(AA62 * ((1 - L62) + (0.04 * AA62))) * ( 1 - AC62 )</f>
        <v>0.42192044699791736</v>
      </c>
      <c r="AE62">
        <f>$AQ$1</f>
        <v>0.19</v>
      </c>
      <c r="AF62">
        <f>$AR$20</f>
        <v>0.6784</v>
      </c>
      <c r="AG62">
        <f>AD62 * AE62 * N62 * P62 * AF62</f>
        <v>3.0590920089136809E-4</v>
      </c>
      <c r="AH62">
        <f>AD62*AE62*O62*Q62*AF62</f>
        <v>2.5368710130809218E-4</v>
      </c>
      <c r="AI62">
        <f t="shared" si="10"/>
        <v>5.5959630219946021E-4</v>
      </c>
      <c r="AJ62">
        <f>G62*AI62*J62</f>
        <v>5.1063162575700742</v>
      </c>
      <c r="BF62" s="7"/>
    </row>
    <row r="63" spans="5:58" x14ac:dyDescent="0.2">
      <c r="E63" s="12"/>
      <c r="F63" t="s">
        <v>165</v>
      </c>
      <c r="G63">
        <v>90</v>
      </c>
      <c r="H63">
        <v>0</v>
      </c>
      <c r="I63">
        <v>0</v>
      </c>
      <c r="J63">
        <f>$AQ$3</f>
        <v>91.25</v>
      </c>
      <c r="K63">
        <v>0.12</v>
      </c>
      <c r="L63">
        <v>0.64</v>
      </c>
      <c r="M63">
        <v>55</v>
      </c>
      <c r="N63">
        <f t="shared" si="6"/>
        <v>7.4999999999999512E-3</v>
      </c>
      <c r="O63">
        <f>O41</f>
        <v>0.99250000000000005</v>
      </c>
      <c r="P63">
        <f>P41</f>
        <v>0.75</v>
      </c>
      <c r="Q63">
        <f>$AQ$10</f>
        <v>4.7000000000000002E-3</v>
      </c>
      <c r="R63">
        <f>(H63/100)*(MIN(I63,100)/100)</f>
        <v>0</v>
      </c>
      <c r="S63">
        <v>0</v>
      </c>
      <c r="T63">
        <f t="shared" si="7"/>
        <v>0</v>
      </c>
      <c r="U63">
        <f>$AT$1</f>
        <v>1.3</v>
      </c>
      <c r="V63">
        <f>R63*U63+(1-R63)</f>
        <v>1</v>
      </c>
      <c r="W63">
        <f>(0.795*L63)-0.0014</f>
        <v>0.50740000000000007</v>
      </c>
      <c r="X63">
        <v>1.6</v>
      </c>
      <c r="Y63">
        <f t="shared" si="8"/>
        <v>0.99402397710499402</v>
      </c>
      <c r="Z63">
        <f>(104.7*W63+0.307*M63-15)*(M63^0.75)*10^-3</f>
        <v>1.1109945415495692</v>
      </c>
      <c r="AA63">
        <f t="shared" si="9"/>
        <v>1.1043552127330423</v>
      </c>
      <c r="AB63">
        <f>(AA63 * K63) + (0.045 * T63)</f>
        <v>0.13252262552796507</v>
      </c>
      <c r="AC63">
        <f>$AQ$2</f>
        <v>0.08</v>
      </c>
      <c r="AD63">
        <f>(AA63 * ((1 - L63) + (0.04 * AA63))) * ( 1 - AC63 )</f>
        <v>0.41064374249795926</v>
      </c>
      <c r="AE63">
        <f>$AQ$1</f>
        <v>0.19</v>
      </c>
      <c r="AF63">
        <f>$AR$20</f>
        <v>0.6784</v>
      </c>
      <c r="AG63">
        <f>AD63 * AE63 * N63 * P63 * AF63</f>
        <v>2.977331390607184E-4</v>
      </c>
      <c r="AH63">
        <f>AD63*AE63*O63*Q63*AF63</f>
        <v>2.4690678407706589E-4</v>
      </c>
      <c r="AI63">
        <f t="shared" si="10"/>
        <v>5.4463992313778429E-4</v>
      </c>
      <c r="AJ63">
        <f>G63*AI63*J63</f>
        <v>4.4728553687690535</v>
      </c>
    </row>
    <row r="64" spans="5:58" x14ac:dyDescent="0.2">
      <c r="E64" s="13"/>
      <c r="F64" t="s">
        <v>166</v>
      </c>
      <c r="G64">
        <v>80</v>
      </c>
      <c r="H64">
        <v>0</v>
      </c>
      <c r="I64">
        <v>0</v>
      </c>
      <c r="J64">
        <f>$AQ$3</f>
        <v>91.25</v>
      </c>
      <c r="K64">
        <v>0.18</v>
      </c>
      <c r="L64">
        <v>0.72</v>
      </c>
      <c r="M64">
        <v>55</v>
      </c>
      <c r="N64">
        <f t="shared" si="6"/>
        <v>7.4999999999999512E-3</v>
      </c>
      <c r="O64">
        <f>O41</f>
        <v>0.99250000000000005</v>
      </c>
      <c r="P64">
        <f>P41</f>
        <v>0.75</v>
      </c>
      <c r="Q64">
        <f>$AQ$10</f>
        <v>4.7000000000000002E-3</v>
      </c>
      <c r="R64">
        <f>(H64/100)*(MIN(I64,100)/100)</f>
        <v>0</v>
      </c>
      <c r="S64">
        <v>0</v>
      </c>
      <c r="T64">
        <f t="shared" si="7"/>
        <v>0</v>
      </c>
      <c r="U64">
        <f>$AT$1</f>
        <v>1.3</v>
      </c>
      <c r="V64">
        <f>R64*U64+(1-R64)</f>
        <v>1</v>
      </c>
      <c r="W64">
        <f>(0.795*L64)-0.0014</f>
        <v>0.57100000000000006</v>
      </c>
      <c r="X64">
        <v>1.7</v>
      </c>
      <c r="Y64">
        <f t="shared" si="8"/>
        <v>0.99691128459176326</v>
      </c>
      <c r="Z64">
        <f>(104.7*W64+0.307*M64-15)*(M64^0.75)*10^-3</f>
        <v>1.2454801507015281</v>
      </c>
      <c r="AA64">
        <f t="shared" si="9"/>
        <v>1.2416332169694033</v>
      </c>
      <c r="AB64">
        <f>(AA64 * K64) + (0.045 * T64)</f>
        <v>0.22349397905449259</v>
      </c>
      <c r="AC64">
        <f>$AQ$2</f>
        <v>0.08</v>
      </c>
      <c r="AD64">
        <f>(AA64 * ((1 - L64) + (0.04 * AA64))) * ( 1 - AC64 )</f>
        <v>0.37657754876504823</v>
      </c>
      <c r="AE64">
        <f>$AQ$1</f>
        <v>0.19</v>
      </c>
      <c r="AF64">
        <f>$AR$20</f>
        <v>0.6784</v>
      </c>
      <c r="AG64">
        <f>AD64 * AE64 * N64 * P64 * AF64</f>
        <v>2.7303378595660882E-4</v>
      </c>
      <c r="AH64">
        <f>AD64*AE64*O64*Q64*AF64</f>
        <v>2.2642388498508433E-4</v>
      </c>
      <c r="AI64">
        <f t="shared" si="10"/>
        <v>4.9945767094169318E-4</v>
      </c>
      <c r="AJ64">
        <f>G64*AI64*J64</f>
        <v>3.6460409978743602</v>
      </c>
    </row>
    <row r="66" spans="1:65" ht="17" thickBot="1" x14ac:dyDescent="0.25">
      <c r="BF66" s="9"/>
      <c r="BG66" s="10"/>
      <c r="BH66" s="10"/>
      <c r="BI66" s="10"/>
      <c r="BJ66" s="10"/>
      <c r="BK66" s="10"/>
      <c r="BL66" s="10"/>
      <c r="BM66" s="11"/>
    </row>
    <row r="67" spans="1:65" ht="17" thickTop="1" x14ac:dyDescent="0.2">
      <c r="BF67" s="2"/>
      <c r="BG67" s="3"/>
      <c r="BH67" s="3"/>
      <c r="BI67" s="3"/>
      <c r="BJ67" s="3"/>
      <c r="BK67" s="3"/>
      <c r="BL67" s="3"/>
      <c r="BM67" s="6"/>
    </row>
    <row r="68" spans="1:65" x14ac:dyDescent="0.2">
      <c r="AU68" s="8"/>
      <c r="AV68" s="8"/>
      <c r="BF68" s="4"/>
      <c r="BG68" s="14"/>
      <c r="BH68" s="14"/>
      <c r="BI68" s="14"/>
      <c r="BJ68" s="14"/>
      <c r="BK68" s="14"/>
      <c r="BL68" s="14"/>
      <c r="BM68" s="14"/>
    </row>
    <row r="69" spans="1:65" x14ac:dyDescent="0.2">
      <c r="AU69" s="8"/>
      <c r="AV69" s="8"/>
      <c r="BF69" s="2"/>
      <c r="BG69" s="14"/>
      <c r="BH69" s="14"/>
      <c r="BI69" s="14"/>
      <c r="BJ69" s="14"/>
      <c r="BK69" s="14"/>
      <c r="BL69" s="14"/>
    </row>
    <row r="70" spans="1:65" x14ac:dyDescent="0.2">
      <c r="AU70" s="8"/>
      <c r="AV70" s="8"/>
      <c r="BF70" s="4"/>
      <c r="BG70" s="14"/>
      <c r="BH70" s="14"/>
      <c r="BI70" s="14"/>
      <c r="BJ70" s="14"/>
      <c r="BK70" s="14"/>
      <c r="BL70" s="14"/>
    </row>
    <row r="71" spans="1:65" x14ac:dyDescent="0.2">
      <c r="A71" t="s">
        <v>271</v>
      </c>
      <c r="B71" t="s">
        <v>271</v>
      </c>
      <c r="C71" t="s">
        <v>271</v>
      </c>
      <c r="D71" t="s">
        <v>213</v>
      </c>
      <c r="E71" s="12" t="s">
        <v>169</v>
      </c>
      <c r="F71" t="s">
        <v>163</v>
      </c>
      <c r="G71">
        <v>100</v>
      </c>
      <c r="H71">
        <v>95</v>
      </c>
      <c r="I71">
        <v>90</v>
      </c>
      <c r="J71">
        <f>$AQ$3</f>
        <v>91.25</v>
      </c>
      <c r="K71" cm="1">
        <f t="array" ref="K71:K94">_xlfn.DROP(_xlfn.XLOOKUP($C71,QueryCP[[#Headers],[ACT/NSW]:[WA]],QueryCP[[#All],[ACT/NSW]:[WA]]),1)</f>
        <v>0.08</v>
      </c>
      <c r="L71" cm="1">
        <f t="array" ref="L71:L94">_xlfn.DROP(_xlfn.XLOOKUP($C71,QueryDMD[[#Headers],[ACT/NSW]:[WA]],QueryDMD[[#All],[ACT/NSW]:[WA]]),1)</f>
        <v>0.51</v>
      </c>
      <c r="M71" cm="1">
        <f t="array" ref="M71:M94">_xlfn.DROP(_xlfn.XLOOKUP($C71,QueryW[[#Headers],[ACT/NSW]:[WA]],QueryW[[#All],[ACT/NSW]:[WA]]),1)</f>
        <v>40</v>
      </c>
      <c r="N71">
        <f>1-O71</f>
        <v>0</v>
      </c>
      <c r="O71">
        <f>IF($D71="yes", 1, VLOOKUP($B71, $AP$26:$AR$32, 2)/100)</f>
        <v>1</v>
      </c>
      <c r="P71">
        <f>VLOOKUP($B71,$AR$10:$AS$16, 2, FALSE)</f>
        <v>0.78</v>
      </c>
      <c r="Q71">
        <f>$AQ$10</f>
        <v>4.7000000000000002E-3</v>
      </c>
      <c r="R71">
        <f>(H71/100)*(MIN(I71,100)/100)</f>
        <v>0.85499999999999998</v>
      </c>
      <c r="S71">
        <v>0</v>
      </c>
      <c r="T71">
        <f>1.6 * S71</f>
        <v>0</v>
      </c>
      <c r="U71">
        <f>$AT$1</f>
        <v>1.3</v>
      </c>
      <c r="V71">
        <f>R71*U71+(1-R71)</f>
        <v>1.2565</v>
      </c>
      <c r="W71">
        <f>(0.795*L71)-0.0014</f>
        <v>0.40405000000000002</v>
      </c>
      <c r="X71" cm="1">
        <f t="array" ref="X71:X94">_xlfn.DROP(_xlfn.XLOOKUP($C71,QueryDMA[[#Headers],[ACT/NSW]:[WA]],QueryDMA[[#All],[ACT/NSW]:[WA]]),1)</f>
        <v>1.5</v>
      </c>
      <c r="Y71">
        <f>1 - EXP(-2*(X71^2))</f>
        <v>0.98889100346175773</v>
      </c>
      <c r="Z71">
        <f>(104.7*W71+0.307*M71-15)*(M71^0.75)*10^-3</f>
        <v>0.62960048723980899</v>
      </c>
      <c r="AA71">
        <f>Z71*Y71*V71</f>
        <v>0.78230476268267568</v>
      </c>
      <c r="AB71">
        <f>(AA71 * K71) + (0.045 * T71)</f>
        <v>6.2584381014614054E-2</v>
      </c>
      <c r="AC71">
        <f>$AQ$2</f>
        <v>0.08</v>
      </c>
      <c r="AD71">
        <f>(AA71 * ((1 - L71) + (0.04 * AA71))) * ( 1 - AC71 )</f>
        <v>0.37518461431249894</v>
      </c>
      <c r="AE71">
        <f>$AQ$1</f>
        <v>0.19</v>
      </c>
      <c r="AF71">
        <f>$AR$20</f>
        <v>0.6784</v>
      </c>
      <c r="AG71">
        <f>AD71 * AE71 * N71 * P71 * AF71</f>
        <v>0</v>
      </c>
      <c r="AH71">
        <f>AD71*AE71*O71*Q71*AF71</f>
        <v>2.2729104141819216E-4</v>
      </c>
      <c r="AI71">
        <f>AG71+AH71</f>
        <v>2.2729104141819216E-4</v>
      </c>
      <c r="AJ71">
        <f>G71*AI71*J71</f>
        <v>2.0740307529410034</v>
      </c>
      <c r="AK71">
        <f>SUM(AJ71:AJ94)*10^-3</f>
        <v>5.0519802937549436E-2</v>
      </c>
      <c r="AU71" s="8"/>
      <c r="AV71" s="8"/>
      <c r="BF71" s="2"/>
      <c r="BG71" s="14"/>
      <c r="BH71" s="14"/>
      <c r="BI71" s="14"/>
      <c r="BJ71" s="14"/>
      <c r="BK71" s="14"/>
      <c r="BL71" s="14"/>
    </row>
    <row r="72" spans="1:65" x14ac:dyDescent="0.2">
      <c r="E72" s="13"/>
      <c r="F72" t="s">
        <v>164</v>
      </c>
      <c r="G72">
        <v>70</v>
      </c>
      <c r="H72">
        <v>0</v>
      </c>
      <c r="I72">
        <v>0</v>
      </c>
      <c r="J72">
        <f>$AQ$3</f>
        <v>91.25</v>
      </c>
      <c r="K72">
        <v>0.1</v>
      </c>
      <c r="L72">
        <v>0.55000000000000004</v>
      </c>
      <c r="M72">
        <v>45</v>
      </c>
      <c r="N72">
        <f t="shared" ref="N72:N94" si="11">1-O72</f>
        <v>0</v>
      </c>
      <c r="O72">
        <f>O71</f>
        <v>1</v>
      </c>
      <c r="P72">
        <f>P71</f>
        <v>0.78</v>
      </c>
      <c r="Q72">
        <f>$AQ$10</f>
        <v>4.7000000000000002E-3</v>
      </c>
      <c r="R72">
        <f>(H72/100)*(MIN(I72,100)/100)</f>
        <v>0</v>
      </c>
      <c r="S72">
        <v>0</v>
      </c>
      <c r="T72">
        <f t="shared" ref="T72:T94" si="12">1.6 * S72</f>
        <v>0</v>
      </c>
      <c r="U72">
        <f>$AT$1</f>
        <v>1.3</v>
      </c>
      <c r="V72">
        <f>R72*U72+(1-R72)</f>
        <v>1</v>
      </c>
      <c r="W72">
        <f>(0.795*L72)-0.0014</f>
        <v>0.43585000000000007</v>
      </c>
      <c r="X72">
        <v>2</v>
      </c>
      <c r="Y72">
        <f t="shared" ref="Y72:Y94" si="13">1 - EXP(-2*(X72^2))</f>
        <v>0.99966453737209748</v>
      </c>
      <c r="Z72">
        <f>(104.7*W72+0.307*M72-15)*(M72^0.75)*10^-3</f>
        <v>0.77226516609487061</v>
      </c>
      <c r="AA72">
        <f t="shared" ref="AA72:AA94" si="14">Z72*Y72*V72</f>
        <v>0.77200609999281489</v>
      </c>
      <c r="AB72">
        <f>(AA72 * K72) + (0.045 * T72)</f>
        <v>7.7200609999281494E-2</v>
      </c>
      <c r="AC72">
        <f>$AQ$2</f>
        <v>0.08</v>
      </c>
      <c r="AD72">
        <f>(AA72 * ((1 - L72) + (0.04 * AA72))) * ( 1 - AC72 )</f>
        <v>0.3415430831951064</v>
      </c>
      <c r="AE72">
        <f>$AQ$1</f>
        <v>0.19</v>
      </c>
      <c r="AF72">
        <f>$AR$20</f>
        <v>0.6784</v>
      </c>
      <c r="AG72">
        <f>AD72 * AE72 * N72 * P72 * AF72</f>
        <v>0</v>
      </c>
      <c r="AH72">
        <f>AD72*AE72*O72*Q72*AF72</f>
        <v>2.0691062508212729E-4</v>
      </c>
      <c r="AI72">
        <f t="shared" ref="AI72:AI94" si="15">AG72+AH72</f>
        <v>2.0691062508212729E-4</v>
      </c>
      <c r="AJ72">
        <f>G72*AI72*J72</f>
        <v>1.321641617712088</v>
      </c>
      <c r="AU72" s="8"/>
      <c r="AV72" s="8"/>
      <c r="BF72" s="4"/>
      <c r="BG72" s="14"/>
      <c r="BH72" s="14"/>
      <c r="BI72" s="14"/>
      <c r="BJ72" s="14"/>
      <c r="BK72" s="14"/>
      <c r="BL72" s="14"/>
      <c r="BM72" s="14"/>
    </row>
    <row r="73" spans="1:65" x14ac:dyDescent="0.2">
      <c r="E73" s="12"/>
      <c r="F73" t="s">
        <v>165</v>
      </c>
      <c r="G73">
        <v>65</v>
      </c>
      <c r="H73">
        <v>0</v>
      </c>
      <c r="I73">
        <v>0</v>
      </c>
      <c r="J73">
        <f>$AQ$3</f>
        <v>91.25</v>
      </c>
      <c r="K73">
        <v>0.09</v>
      </c>
      <c r="L73">
        <v>0.59</v>
      </c>
      <c r="M73">
        <v>45</v>
      </c>
      <c r="N73">
        <f t="shared" si="11"/>
        <v>0</v>
      </c>
      <c r="O73">
        <f>O71</f>
        <v>1</v>
      </c>
      <c r="P73">
        <f>P71</f>
        <v>0.78</v>
      </c>
      <c r="Q73">
        <f>$AQ$10</f>
        <v>4.7000000000000002E-3</v>
      </c>
      <c r="R73">
        <f>(H73/100)*(MIN(I73,100)/100)</f>
        <v>0</v>
      </c>
      <c r="S73">
        <v>0</v>
      </c>
      <c r="T73">
        <f t="shared" si="12"/>
        <v>0</v>
      </c>
      <c r="U73">
        <f>$AT$1</f>
        <v>1.3</v>
      </c>
      <c r="V73">
        <f>R73*U73+(1-R73)</f>
        <v>1</v>
      </c>
      <c r="W73">
        <f>(0.795*L73)-0.0014</f>
        <v>0.46765000000000001</v>
      </c>
      <c r="X73">
        <v>2.2000000000000002</v>
      </c>
      <c r="Y73">
        <f t="shared" si="13"/>
        <v>0.99993747849622516</v>
      </c>
      <c r="Z73">
        <f>(104.7*W73+0.307*M73-15)*(M73^0.75)*10^-3</f>
        <v>0.8301124785833186</v>
      </c>
      <c r="AA73">
        <f t="shared" si="14"/>
        <v>0.83006057870285532</v>
      </c>
      <c r="AB73">
        <f>(AA73 * K73) + (0.045 * T73)</f>
        <v>7.4705452083256976E-2</v>
      </c>
      <c r="AC73">
        <f>$AQ$2</f>
        <v>0.08</v>
      </c>
      <c r="AD73">
        <f>(AA73 * ((1 - L73) + (0.04 * AA73))) * ( 1 - AC73 )</f>
        <v>0.33845407105356495</v>
      </c>
      <c r="AE73">
        <f>$AQ$1</f>
        <v>0.19</v>
      </c>
      <c r="AF73">
        <f>$AR$20</f>
        <v>0.6784</v>
      </c>
      <c r="AG73">
        <f>AD73 * AE73 * N73 * P73 * AF73</f>
        <v>0</v>
      </c>
      <c r="AH73">
        <f>AD73*AE73*O73*Q73*AF73</f>
        <v>2.0503926692984546E-4</v>
      </c>
      <c r="AI73">
        <f t="shared" si="15"/>
        <v>2.0503926692984546E-4</v>
      </c>
      <c r="AJ73">
        <f>G73*AI73*J73</f>
        <v>1.2161391519776459</v>
      </c>
      <c r="AU73" s="8"/>
      <c r="AV73" s="8"/>
      <c r="BF73" s="2"/>
      <c r="BG73" s="14"/>
      <c r="BH73" s="14"/>
      <c r="BI73" s="14"/>
      <c r="BJ73" s="14"/>
      <c r="BK73" s="14"/>
      <c r="BL73" s="14"/>
    </row>
    <row r="74" spans="1:65" x14ac:dyDescent="0.2">
      <c r="E74" s="13"/>
      <c r="F74" t="s">
        <v>166</v>
      </c>
      <c r="G74">
        <v>80</v>
      </c>
      <c r="H74">
        <v>0</v>
      </c>
      <c r="I74">
        <v>0</v>
      </c>
      <c r="J74">
        <f>$AQ$3</f>
        <v>91.25</v>
      </c>
      <c r="K74">
        <v>7.0000000000000007E-2</v>
      </c>
      <c r="L74">
        <v>0.57999999999999996</v>
      </c>
      <c r="M74">
        <v>42</v>
      </c>
      <c r="N74">
        <f t="shared" si="11"/>
        <v>0</v>
      </c>
      <c r="O74">
        <f>O71</f>
        <v>1</v>
      </c>
      <c r="P74">
        <f>P71</f>
        <v>0.78</v>
      </c>
      <c r="Q74">
        <f>$AQ$10</f>
        <v>4.7000000000000002E-3</v>
      </c>
      <c r="R74">
        <f>(H74/100)*(MIN(I74,100)/100)</f>
        <v>0</v>
      </c>
      <c r="S74">
        <v>0</v>
      </c>
      <c r="T74">
        <f t="shared" si="12"/>
        <v>0</v>
      </c>
      <c r="U74">
        <f>$AT$1</f>
        <v>1.3</v>
      </c>
      <c r="V74">
        <f>R74*U74+(1-R74)</f>
        <v>1</v>
      </c>
      <c r="W74">
        <f>(0.795*L74)-0.0014</f>
        <v>0.4597</v>
      </c>
      <c r="X74">
        <v>1.7</v>
      </c>
      <c r="Y74">
        <f t="shared" si="13"/>
        <v>0.99691128459176326</v>
      </c>
      <c r="Z74">
        <f>(104.7*W74+0.307*M74-15)*(M74^0.75)*10^-3</f>
        <v>0.7593235966549482</v>
      </c>
      <c r="AA74">
        <f t="shared" si="14"/>
        <v>0.75697826216212227</v>
      </c>
      <c r="AB74">
        <f>(AA74 * K74) + (0.045 * T74)</f>
        <v>5.2988478351348567E-2</v>
      </c>
      <c r="AC74">
        <f>$AQ$2</f>
        <v>0.08</v>
      </c>
      <c r="AD74">
        <f>(AA74 * ((1 - L74) + (0.04 * AA74))) * ( 1 - AC74 )</f>
        <v>0.31358339258884838</v>
      </c>
      <c r="AE74">
        <f>$AQ$1</f>
        <v>0.19</v>
      </c>
      <c r="AF74">
        <f>$AR$20</f>
        <v>0.6784</v>
      </c>
      <c r="AG74">
        <f>AD74 * AE74 * N74 * P74 * AF74</f>
        <v>0</v>
      </c>
      <c r="AH74">
        <f>AD74*AE74*O74*Q74*AF74</f>
        <v>1.8997233136432135E-4</v>
      </c>
      <c r="AI74">
        <f t="shared" si="15"/>
        <v>1.8997233136432135E-4</v>
      </c>
      <c r="AJ74">
        <f>G74*AI74*J74</f>
        <v>1.3867980189595459</v>
      </c>
      <c r="AU74" s="8"/>
      <c r="AV74" s="8"/>
      <c r="BF74" s="4"/>
      <c r="BG74" s="14"/>
      <c r="BH74" s="14"/>
      <c r="BI74" s="14"/>
      <c r="BJ74" s="14"/>
      <c r="BK74" s="14"/>
      <c r="BL74" s="14"/>
    </row>
    <row r="75" spans="1:65" x14ac:dyDescent="0.2">
      <c r="E75" s="12" t="s">
        <v>171</v>
      </c>
      <c r="F75" t="s">
        <v>163</v>
      </c>
      <c r="G75">
        <v>200</v>
      </c>
      <c r="H75">
        <v>0</v>
      </c>
      <c r="I75">
        <v>0</v>
      </c>
      <c r="J75">
        <f>$AQ$3</f>
        <v>91.25</v>
      </c>
      <c r="K75">
        <v>0.08</v>
      </c>
      <c r="L75">
        <v>0.51</v>
      </c>
      <c r="M75">
        <v>20</v>
      </c>
      <c r="N75">
        <f t="shared" si="11"/>
        <v>0</v>
      </c>
      <c r="O75">
        <f>O71</f>
        <v>1</v>
      </c>
      <c r="P75">
        <f>P71</f>
        <v>0.78</v>
      </c>
      <c r="Q75">
        <f>$AQ$10</f>
        <v>4.7000000000000002E-3</v>
      </c>
      <c r="R75">
        <f>(H75/100)*(MIN(I75,100)/100)</f>
        <v>0</v>
      </c>
      <c r="S75">
        <v>1</v>
      </c>
      <c r="T75">
        <f t="shared" si="12"/>
        <v>1.6</v>
      </c>
      <c r="U75">
        <f>$AT$1</f>
        <v>1.3</v>
      </c>
      <c r="V75">
        <f>R75*U75+(1-R75)</f>
        <v>1</v>
      </c>
      <c r="W75">
        <f>(0.795*L75)-0.0014</f>
        <v>0.40405000000000002</v>
      </c>
      <c r="X75">
        <v>1.5</v>
      </c>
      <c r="Y75">
        <f t="shared" si="13"/>
        <v>0.98889100346175773</v>
      </c>
      <c r="Z75">
        <f>(104.7*W75+0.307*M75-15)*(M75^0.75)*10^-3</f>
        <v>0.31629415472458533</v>
      </c>
      <c r="AA75">
        <f t="shared" si="14"/>
        <v>0.31278044405468364</v>
      </c>
      <c r="AB75">
        <f>(AA75 * K75) + (0.045 * T75)</f>
        <v>9.7022435524374687E-2</v>
      </c>
      <c r="AC75">
        <f>$AQ$2</f>
        <v>0.08</v>
      </c>
      <c r="AD75">
        <f>(AA75 * ((1 - L75) + (0.04 * AA75))) * ( 1 - AC75 )</f>
        <v>0.14460162728738746</v>
      </c>
      <c r="AE75">
        <f>$AQ$1</f>
        <v>0.19</v>
      </c>
      <c r="AF75">
        <f>$AR$20</f>
        <v>0.6784</v>
      </c>
      <c r="AG75">
        <f>AD75 * AE75 * N75 * P75 * AF75</f>
        <v>0</v>
      </c>
      <c r="AH75">
        <f>AD75*AE75*O75*Q75*AF75</f>
        <v>8.760128534892494E-5</v>
      </c>
      <c r="AI75">
        <f t="shared" si="15"/>
        <v>8.760128534892494E-5</v>
      </c>
      <c r="AJ75">
        <f>G75*AI75*J75</f>
        <v>1.5987234576178802</v>
      </c>
      <c r="AU75" s="8"/>
      <c r="AV75" s="8"/>
      <c r="BF75" s="2"/>
      <c r="BG75" s="14"/>
      <c r="BH75" s="14"/>
      <c r="BI75" s="14"/>
      <c r="BJ75" s="14"/>
      <c r="BK75" s="14"/>
      <c r="BL75" s="14"/>
    </row>
    <row r="76" spans="1:65" x14ac:dyDescent="0.2">
      <c r="E76" s="13"/>
      <c r="F76" t="s">
        <v>164</v>
      </c>
      <c r="G76">
        <v>210</v>
      </c>
      <c r="H76">
        <v>0</v>
      </c>
      <c r="I76">
        <v>0</v>
      </c>
      <c r="J76">
        <f>$AQ$3</f>
        <v>91.25</v>
      </c>
      <c r="K76">
        <v>0.1</v>
      </c>
      <c r="L76">
        <v>0.55000000000000004</v>
      </c>
      <c r="M76">
        <v>25</v>
      </c>
      <c r="N76">
        <f t="shared" si="11"/>
        <v>0</v>
      </c>
      <c r="O76">
        <f>O71</f>
        <v>1</v>
      </c>
      <c r="P76">
        <f>P71</f>
        <v>0.78</v>
      </c>
      <c r="Q76">
        <f>$AQ$10</f>
        <v>4.7000000000000002E-3</v>
      </c>
      <c r="R76">
        <f>(H76/100)*(MIN(I76,100)/100)</f>
        <v>0</v>
      </c>
      <c r="S76">
        <v>0</v>
      </c>
      <c r="T76">
        <f t="shared" si="12"/>
        <v>0</v>
      </c>
      <c r="U76">
        <f>$AT$1</f>
        <v>1.3</v>
      </c>
      <c r="V76">
        <f>R76*U76+(1-R76)</f>
        <v>1</v>
      </c>
      <c r="W76">
        <f>(0.795*L76)-0.0014</f>
        <v>0.43585000000000007</v>
      </c>
      <c r="X76">
        <v>2</v>
      </c>
      <c r="Y76">
        <f t="shared" si="13"/>
        <v>0.99966453737209748</v>
      </c>
      <c r="Z76">
        <f>(104.7*W76+0.307*M76-15)*(M76^0.75)*10^-3</f>
        <v>0.42830199467855401</v>
      </c>
      <c r="AA76">
        <f t="shared" si="14"/>
        <v>0.42815831536588328</v>
      </c>
      <c r="AB76">
        <f>(AA76 * K76) + (0.045 * T76)</f>
        <v>4.2815831536588328E-2</v>
      </c>
      <c r="AC76">
        <f>$AQ$2</f>
        <v>0.08</v>
      </c>
      <c r="AD76">
        <f>(AA76 * ((1 - L76) + (0.04 * AA76))) * ( 1 - AC76 )</f>
        <v>0.18400370174449945</v>
      </c>
      <c r="AE76">
        <f>$AQ$1</f>
        <v>0.19</v>
      </c>
      <c r="AF76">
        <f>$AR$20</f>
        <v>0.6784</v>
      </c>
      <c r="AG76">
        <f>AD76 * AE76 * N76 * P76 * AF76</f>
        <v>0</v>
      </c>
      <c r="AH76">
        <f>AD76*AE76*O76*Q76*AF76</f>
        <v>1.114715033582773E-4</v>
      </c>
      <c r="AI76">
        <f t="shared" si="15"/>
        <v>1.114715033582773E-4</v>
      </c>
      <c r="AJ76">
        <f>G76*AI76*J76</f>
        <v>2.1360726831029888</v>
      </c>
      <c r="AU76" s="8"/>
      <c r="AV76" s="8"/>
      <c r="BF76" s="4"/>
      <c r="BG76" s="14"/>
      <c r="BH76" s="14"/>
      <c r="BI76" s="14"/>
      <c r="BJ76" s="14"/>
      <c r="BK76" s="14"/>
      <c r="BL76" s="14"/>
      <c r="BM76" s="14"/>
    </row>
    <row r="77" spans="1:65" x14ac:dyDescent="0.2">
      <c r="E77" s="12"/>
      <c r="F77" t="s">
        <v>165</v>
      </c>
      <c r="G77">
        <v>170</v>
      </c>
      <c r="H77">
        <v>0</v>
      </c>
      <c r="I77">
        <v>0</v>
      </c>
      <c r="J77">
        <f>$AQ$3</f>
        <v>91.25</v>
      </c>
      <c r="K77">
        <v>0.09</v>
      </c>
      <c r="L77">
        <v>0.59</v>
      </c>
      <c r="M77">
        <v>20</v>
      </c>
      <c r="N77">
        <f t="shared" si="11"/>
        <v>0</v>
      </c>
      <c r="O77">
        <f>O71</f>
        <v>1</v>
      </c>
      <c r="P77">
        <f>P71</f>
        <v>0.78</v>
      </c>
      <c r="Q77">
        <f>$AQ$10</f>
        <v>4.7000000000000002E-3</v>
      </c>
      <c r="R77">
        <f>(H77/100)*(MIN(I77,100)/100)</f>
        <v>0</v>
      </c>
      <c r="S77">
        <v>0</v>
      </c>
      <c r="T77">
        <f t="shared" si="12"/>
        <v>0</v>
      </c>
      <c r="U77">
        <f>$AT$1</f>
        <v>1.3</v>
      </c>
      <c r="V77">
        <f>R77*U77+(1-R77)</f>
        <v>1</v>
      </c>
      <c r="W77">
        <f>(0.795*L77)-0.0014</f>
        <v>0.46765000000000001</v>
      </c>
      <c r="X77">
        <v>2.2000000000000002</v>
      </c>
      <c r="Y77">
        <f t="shared" si="13"/>
        <v>0.99993747849622516</v>
      </c>
      <c r="Z77">
        <f>(104.7*W77+0.307*M77-15)*(M77^0.75)*10^-3</f>
        <v>0.37927033187481962</v>
      </c>
      <c r="AA77">
        <f t="shared" si="14"/>
        <v>0.37924661932333364</v>
      </c>
      <c r="AB77">
        <f>(AA77 * K77) + (0.045 * T77)</f>
        <v>3.4132195739100028E-2</v>
      </c>
      <c r="AC77">
        <f>$AQ$2</f>
        <v>0.08</v>
      </c>
      <c r="AD77">
        <f>(AA77 * ((1 - L77) + (0.04 * AA77))) * ( 1 - AC77 )</f>
        <v>0.1483446951450304</v>
      </c>
      <c r="AE77">
        <f>$AQ$1</f>
        <v>0.19</v>
      </c>
      <c r="AF77">
        <f>$AR$20</f>
        <v>0.6784</v>
      </c>
      <c r="AG77">
        <f>AD77 * AE77 * N77 * P77 * AF77</f>
        <v>0</v>
      </c>
      <c r="AH77">
        <f>AD77*AE77*O77*Q77*AF77</f>
        <v>8.9868877779445051E-5</v>
      </c>
      <c r="AI77">
        <f t="shared" si="15"/>
        <v>8.9868877779445051E-5</v>
      </c>
      <c r="AJ77">
        <f>G77*AI77*J77</f>
        <v>1.3940909665536414</v>
      </c>
      <c r="AU77" s="8"/>
      <c r="AV77" s="8"/>
      <c r="BF77" s="2"/>
      <c r="BG77" s="14"/>
      <c r="BH77" s="14"/>
      <c r="BI77" s="14"/>
      <c r="BJ77" s="14"/>
      <c r="BK77" s="14"/>
      <c r="BL77" s="14"/>
    </row>
    <row r="78" spans="1:65" x14ac:dyDescent="0.2">
      <c r="E78" s="13"/>
      <c r="F78" t="s">
        <v>166</v>
      </c>
      <c r="G78">
        <v>200</v>
      </c>
      <c r="H78">
        <v>0</v>
      </c>
      <c r="I78">
        <v>0</v>
      </c>
      <c r="J78">
        <f>$AQ$3</f>
        <v>91.25</v>
      </c>
      <c r="K78">
        <v>7.0000000000000007E-2</v>
      </c>
      <c r="L78">
        <v>0.57999999999999996</v>
      </c>
      <c r="M78">
        <v>25</v>
      </c>
      <c r="N78">
        <f t="shared" si="11"/>
        <v>0</v>
      </c>
      <c r="O78">
        <f>O71</f>
        <v>1</v>
      </c>
      <c r="P78">
        <f>P71</f>
        <v>0.78</v>
      </c>
      <c r="Q78">
        <f>$AQ$10</f>
        <v>4.7000000000000002E-3</v>
      </c>
      <c r="R78">
        <f>(H78/100)*(MIN(I78,100)/100)</f>
        <v>0</v>
      </c>
      <c r="S78">
        <v>0</v>
      </c>
      <c r="T78">
        <f t="shared" si="12"/>
        <v>0</v>
      </c>
      <c r="U78">
        <f>$AT$1</f>
        <v>1.3</v>
      </c>
      <c r="V78">
        <f>R78*U78+(1-R78)</f>
        <v>1</v>
      </c>
      <c r="W78">
        <f>(0.795*L78)-0.0014</f>
        <v>0.4597</v>
      </c>
      <c r="X78">
        <v>1.7</v>
      </c>
      <c r="Y78">
        <f t="shared" si="13"/>
        <v>0.99691128459176326</v>
      </c>
      <c r="Z78">
        <f>(104.7*W78+0.307*M78-15)*(M78^0.75)*10^-3</f>
        <v>0.45622036550992806</v>
      </c>
      <c r="AA78">
        <f t="shared" si="14"/>
        <v>0.45481123063742612</v>
      </c>
      <c r="AB78">
        <f>(AA78 * K78) + (0.045 * T78)</f>
        <v>3.1836786144619829E-2</v>
      </c>
      <c r="AC78">
        <f>$AQ$2</f>
        <v>0.08</v>
      </c>
      <c r="AD78">
        <f>(AA78 * ((1 - L78) + (0.04 * AA78))) * ( 1 - AC78 )</f>
        <v>0.1833512593212141</v>
      </c>
      <c r="AE78">
        <f>$AQ$1</f>
        <v>0.19</v>
      </c>
      <c r="AF78">
        <f>$AR$20</f>
        <v>0.6784</v>
      </c>
      <c r="AG78">
        <f>AD78 * AE78 * N78 * P78 * AF78</f>
        <v>0</v>
      </c>
      <c r="AH78">
        <f>AD78*AE78*O78*Q78*AF78</f>
        <v>1.1107624643089592E-4</v>
      </c>
      <c r="AI78">
        <f t="shared" si="15"/>
        <v>1.1107624643089592E-4</v>
      </c>
      <c r="AJ78">
        <f>G78*AI78*J78</f>
        <v>2.0271414973638504</v>
      </c>
      <c r="AU78" s="8"/>
      <c r="AV78" s="8"/>
      <c r="BF78" s="4"/>
      <c r="BG78" s="14"/>
      <c r="BH78" s="14"/>
      <c r="BI78" s="14"/>
      <c r="BJ78" s="14"/>
      <c r="BK78" s="14"/>
      <c r="BL78" s="14"/>
    </row>
    <row r="79" spans="1:65" x14ac:dyDescent="0.2">
      <c r="E79" s="12" t="s">
        <v>168</v>
      </c>
      <c r="F79" t="s">
        <v>163</v>
      </c>
      <c r="G79">
        <v>100</v>
      </c>
      <c r="H79">
        <v>95</v>
      </c>
      <c r="I79">
        <v>92</v>
      </c>
      <c r="J79">
        <f>$AQ$3</f>
        <v>91.25</v>
      </c>
      <c r="K79">
        <v>0.08</v>
      </c>
      <c r="L79">
        <v>0.51</v>
      </c>
      <c r="M79">
        <v>35</v>
      </c>
      <c r="N79">
        <f t="shared" si="11"/>
        <v>0</v>
      </c>
      <c r="O79">
        <f>O71</f>
        <v>1</v>
      </c>
      <c r="P79">
        <f>P71</f>
        <v>0.78</v>
      </c>
      <c r="Q79">
        <f>$AQ$10</f>
        <v>4.7000000000000002E-3</v>
      </c>
      <c r="R79">
        <f>(H79/100)*(MIN(I79,100)/100)</f>
        <v>0.874</v>
      </c>
      <c r="S79">
        <v>0</v>
      </c>
      <c r="T79">
        <f t="shared" si="12"/>
        <v>0</v>
      </c>
      <c r="U79">
        <f>$AT$1</f>
        <v>1.3</v>
      </c>
      <c r="V79">
        <f>R79*U79+(1-R79)</f>
        <v>1.2622</v>
      </c>
      <c r="W79">
        <f>(0.795*L79)-0.0014</f>
        <v>0.40405000000000002</v>
      </c>
      <c r="X79">
        <v>1.5</v>
      </c>
      <c r="Y79">
        <f t="shared" si="13"/>
        <v>0.98889100346175773</v>
      </c>
      <c r="Z79">
        <f>(104.7*W79+0.307*M79-15)*(M79^0.75)*10^-3</f>
        <v>0.5475133082693564</v>
      </c>
      <c r="AA79">
        <f t="shared" si="14"/>
        <v>0.68339418904378058</v>
      </c>
      <c r="AB79">
        <f>(AA79 * K79) + (0.045 * T79)</f>
        <v>5.4671535123502445E-2</v>
      </c>
      <c r="AC79">
        <f>$AQ$2</f>
        <v>0.08</v>
      </c>
      <c r="AD79">
        <f>(AA79 * ((1 - L79) + (0.04 * AA79))) * ( 1 - AC79 )</f>
        <v>0.3252607167493084</v>
      </c>
      <c r="AE79">
        <f>$AQ$1</f>
        <v>0.19</v>
      </c>
      <c r="AF79">
        <f>$AR$20</f>
        <v>0.6784</v>
      </c>
      <c r="AG79">
        <f>AD79 * AE79 * N79 * P79 * AF79</f>
        <v>0</v>
      </c>
      <c r="AH79">
        <f>AD79*AE79*O79*Q79*AF79</f>
        <v>1.9704658512675863E-4</v>
      </c>
      <c r="AI79">
        <f t="shared" si="15"/>
        <v>1.9704658512675863E-4</v>
      </c>
      <c r="AJ79">
        <f>G79*AI79*J79</f>
        <v>1.7980500892816726</v>
      </c>
      <c r="AU79" s="8"/>
      <c r="AV79" s="8"/>
      <c r="BF79" s="2"/>
      <c r="BG79" s="14"/>
      <c r="BH79" s="14"/>
      <c r="BI79" s="14"/>
      <c r="BJ79" s="14"/>
      <c r="BK79" s="14"/>
      <c r="BL79" s="14"/>
    </row>
    <row r="80" spans="1:65" x14ac:dyDescent="0.2">
      <c r="E80" s="13"/>
      <c r="F80" t="s">
        <v>164</v>
      </c>
      <c r="G80">
        <v>140</v>
      </c>
      <c r="H80">
        <v>0</v>
      </c>
      <c r="I80">
        <v>0</v>
      </c>
      <c r="J80">
        <f>$AQ$3</f>
        <v>91.25</v>
      </c>
      <c r="K80">
        <v>0.1</v>
      </c>
      <c r="L80">
        <v>0.55000000000000004</v>
      </c>
      <c r="M80">
        <v>40</v>
      </c>
      <c r="N80">
        <f t="shared" si="11"/>
        <v>0</v>
      </c>
      <c r="O80">
        <f>O71</f>
        <v>1</v>
      </c>
      <c r="P80">
        <f>P71</f>
        <v>0.78</v>
      </c>
      <c r="Q80">
        <f>$AQ$10</f>
        <v>4.7000000000000002E-3</v>
      </c>
      <c r="R80">
        <f>(H80/100)*(MIN(I80,100)/100)</f>
        <v>0</v>
      </c>
      <c r="S80">
        <v>0</v>
      </c>
      <c r="T80">
        <f t="shared" si="12"/>
        <v>0</v>
      </c>
      <c r="U80">
        <f>$AT$1</f>
        <v>1.3</v>
      </c>
      <c r="V80">
        <f>R80*U80+(1-R80)</f>
        <v>1</v>
      </c>
      <c r="W80">
        <f>(0.795*L80)-0.0014</f>
        <v>0.43585000000000007</v>
      </c>
      <c r="X80">
        <v>2</v>
      </c>
      <c r="Y80">
        <f t="shared" si="13"/>
        <v>0.99966453737209748</v>
      </c>
      <c r="Z80">
        <f>(104.7*W80+0.307*M80-15)*(M80^0.75)*10^-3</f>
        <v>0.68255692885182395</v>
      </c>
      <c r="AA80">
        <f t="shared" si="14"/>
        <v>0.68232795651077827</v>
      </c>
      <c r="AB80">
        <f>(AA80 * K80) + (0.045 * T80)</f>
        <v>6.8232795651077829E-2</v>
      </c>
      <c r="AC80">
        <f>$AQ$2</f>
        <v>0.08</v>
      </c>
      <c r="AD80">
        <f>(AA80 * ((1 - L80) + (0.04 * AA80))) * ( 1 - AC80 )</f>
        <v>0.2996168029961534</v>
      </c>
      <c r="AE80">
        <f>$AQ$1</f>
        <v>0.19</v>
      </c>
      <c r="AF80">
        <f>$AR$20</f>
        <v>0.6784</v>
      </c>
      <c r="AG80">
        <f>AD80 * AE80 * N80 * P80 * AF80</f>
        <v>0</v>
      </c>
      <c r="AH80">
        <f>AD80*AE80*O80*Q80*AF80</f>
        <v>1.8151121496326329E-4</v>
      </c>
      <c r="AI80">
        <f t="shared" si="15"/>
        <v>1.8151121496326329E-4</v>
      </c>
      <c r="AJ80">
        <f>G80*AI80*J80</f>
        <v>2.3188057711556884</v>
      </c>
      <c r="AU80" s="8"/>
      <c r="AV80" s="8"/>
      <c r="BF80" s="4"/>
      <c r="BG80" s="14"/>
      <c r="BH80" s="14"/>
      <c r="BI80" s="14"/>
      <c r="BJ80" s="14"/>
      <c r="BK80" s="14"/>
      <c r="BL80" s="14"/>
      <c r="BM80" s="14"/>
    </row>
    <row r="81" spans="5:65" x14ac:dyDescent="0.2">
      <c r="E81" s="12"/>
      <c r="F81" t="s">
        <v>165</v>
      </c>
      <c r="G81">
        <v>135</v>
      </c>
      <c r="H81">
        <v>0</v>
      </c>
      <c r="I81">
        <v>0</v>
      </c>
      <c r="J81">
        <f>$AQ$3</f>
        <v>91.25</v>
      </c>
      <c r="K81">
        <v>0.09</v>
      </c>
      <c r="L81">
        <v>0.59</v>
      </c>
      <c r="M81">
        <v>40</v>
      </c>
      <c r="N81">
        <f t="shared" si="11"/>
        <v>0</v>
      </c>
      <c r="O81">
        <f>O71</f>
        <v>1</v>
      </c>
      <c r="P81">
        <f>P71</f>
        <v>0.78</v>
      </c>
      <c r="Q81">
        <f>$AQ$10</f>
        <v>4.7000000000000002E-3</v>
      </c>
      <c r="R81">
        <f>(H81/100)*(MIN(I81,100)/100)</f>
        <v>0</v>
      </c>
      <c r="S81">
        <v>0</v>
      </c>
      <c r="T81">
        <f t="shared" si="12"/>
        <v>0</v>
      </c>
      <c r="U81">
        <f>$AT$1</f>
        <v>1.3</v>
      </c>
      <c r="V81">
        <f>R81*U81+(1-R81)</f>
        <v>1</v>
      </c>
      <c r="W81">
        <f>(0.795*L81)-0.0014</f>
        <v>0.46765000000000001</v>
      </c>
      <c r="X81">
        <v>2.2000000000000002</v>
      </c>
      <c r="Y81">
        <f t="shared" si="13"/>
        <v>0.99993747849622516</v>
      </c>
      <c r="Z81">
        <f>(104.7*W81+0.307*M81-15)*(M81^0.75)*10^-3</f>
        <v>0.73551337046383869</v>
      </c>
      <c r="AA81">
        <f t="shared" si="14"/>
        <v>0.73546738506187082</v>
      </c>
      <c r="AB81">
        <f>(AA81 * K81) + (0.045 * T81)</f>
        <v>6.6192064655568372E-2</v>
      </c>
      <c r="AC81">
        <f>$AQ$2</f>
        <v>0.08</v>
      </c>
      <c r="AD81">
        <f>(AA81 * ((1 - L81) + (0.04 * AA81))) * ( 1 - AC81 )</f>
        <v>0.29732386934656035</v>
      </c>
      <c r="AE81">
        <f>$AQ$1</f>
        <v>0.19</v>
      </c>
      <c r="AF81">
        <f>$AR$20</f>
        <v>0.6784</v>
      </c>
      <c r="AG81">
        <f>AD81 * AE81 * N81 * P81 * AF81</f>
        <v>0</v>
      </c>
      <c r="AH81">
        <f>AD81*AE81*O81*Q81*AF81</f>
        <v>1.8012213007748295E-4</v>
      </c>
      <c r="AI81">
        <f t="shared" si="15"/>
        <v>1.8012213007748295E-4</v>
      </c>
      <c r="AJ81">
        <f>G81*AI81*J81</f>
        <v>2.218879489891993</v>
      </c>
      <c r="AU81" s="8"/>
      <c r="AV81" s="8"/>
      <c r="BF81" s="2"/>
      <c r="BG81" s="14"/>
      <c r="BH81" s="14"/>
      <c r="BI81" s="14"/>
      <c r="BJ81" s="14"/>
      <c r="BK81" s="14"/>
      <c r="BL81" s="14"/>
    </row>
    <row r="82" spans="5:65" x14ac:dyDescent="0.2">
      <c r="E82" s="13"/>
      <c r="F82" t="s">
        <v>166</v>
      </c>
      <c r="G82">
        <v>130</v>
      </c>
      <c r="H82">
        <v>0</v>
      </c>
      <c r="I82">
        <v>0</v>
      </c>
      <c r="J82">
        <f>$AQ$3</f>
        <v>91.25</v>
      </c>
      <c r="K82">
        <v>7.0000000000000007E-2</v>
      </c>
      <c r="L82">
        <v>0.57999999999999996</v>
      </c>
      <c r="M82">
        <v>35</v>
      </c>
      <c r="N82">
        <f t="shared" si="11"/>
        <v>0</v>
      </c>
      <c r="O82">
        <f>O71</f>
        <v>1</v>
      </c>
      <c r="P82">
        <f>P71</f>
        <v>0.78</v>
      </c>
      <c r="Q82">
        <f>$AQ$10</f>
        <v>4.7000000000000002E-3</v>
      </c>
      <c r="R82">
        <f>(H82/100)*(MIN(I82,100)/100)</f>
        <v>0</v>
      </c>
      <c r="S82">
        <v>0</v>
      </c>
      <c r="T82">
        <f t="shared" si="12"/>
        <v>0</v>
      </c>
      <c r="U82">
        <f>$AT$1</f>
        <v>1.3</v>
      </c>
      <c r="V82">
        <f>R82*U82+(1-R82)</f>
        <v>1</v>
      </c>
      <c r="W82">
        <f>(0.795*L82)-0.0014</f>
        <v>0.4597</v>
      </c>
      <c r="X82">
        <v>1.7</v>
      </c>
      <c r="Y82">
        <f t="shared" si="13"/>
        <v>0.99691128459176326</v>
      </c>
      <c r="Z82">
        <f>(104.7*W82+0.307*M82-15)*(M82^0.75)*10^-3</f>
        <v>0.63135555036204949</v>
      </c>
      <c r="AA82">
        <f t="shared" si="14"/>
        <v>0.62940547274557046</v>
      </c>
      <c r="AB82">
        <f>(AA82 * K82) + (0.045 * T82)</f>
        <v>4.4058383092189936E-2</v>
      </c>
      <c r="AC82">
        <f>$AQ$2</f>
        <v>0.08</v>
      </c>
      <c r="AD82">
        <f>(AA82 * ((1 - L82) + (0.04 * AA82))) * ( 1 - AC82 )</f>
        <v>0.25778064063658079</v>
      </c>
      <c r="AE82">
        <f>$AQ$1</f>
        <v>0.19</v>
      </c>
      <c r="AF82">
        <f>$AR$20</f>
        <v>0.6784</v>
      </c>
      <c r="AG82">
        <f>AD82 * AE82 * N82 * P82 * AF82</f>
        <v>0</v>
      </c>
      <c r="AH82">
        <f>AD82*AE82*O82*Q82*AF82</f>
        <v>1.5616639924081579E-4</v>
      </c>
      <c r="AI82">
        <f t="shared" si="15"/>
        <v>1.5616639924081579E-4</v>
      </c>
      <c r="AJ82">
        <f>G82*AI82*J82</f>
        <v>1.8525239109941771</v>
      </c>
      <c r="AU82" s="8"/>
      <c r="AV82" s="8"/>
      <c r="BF82" s="4"/>
      <c r="BG82" s="14"/>
      <c r="BH82" s="14"/>
      <c r="BI82" s="14"/>
      <c r="BJ82" s="14"/>
      <c r="BK82" s="14"/>
      <c r="BL82" s="14"/>
    </row>
    <row r="83" spans="5:65" x14ac:dyDescent="0.2">
      <c r="E83" s="12" t="s">
        <v>170</v>
      </c>
      <c r="F83" t="s">
        <v>163</v>
      </c>
      <c r="G83">
        <v>200</v>
      </c>
      <c r="H83">
        <v>0</v>
      </c>
      <c r="I83">
        <v>0</v>
      </c>
      <c r="J83">
        <f>$AQ$3</f>
        <v>91.25</v>
      </c>
      <c r="K83">
        <v>0.08</v>
      </c>
      <c r="L83">
        <v>0.51</v>
      </c>
      <c r="M83">
        <v>45</v>
      </c>
      <c r="N83">
        <f t="shared" si="11"/>
        <v>0</v>
      </c>
      <c r="O83">
        <f>O71</f>
        <v>1</v>
      </c>
      <c r="P83">
        <f>P71</f>
        <v>0.78</v>
      </c>
      <c r="Q83">
        <f>$AQ$10</f>
        <v>4.7000000000000002E-3</v>
      </c>
      <c r="R83">
        <f>(H83/100)*(MIN(I83,100)/100)</f>
        <v>0</v>
      </c>
      <c r="S83">
        <v>0</v>
      </c>
      <c r="T83">
        <f t="shared" si="12"/>
        <v>0</v>
      </c>
      <c r="U83">
        <f>$AT$1</f>
        <v>1.3</v>
      </c>
      <c r="V83">
        <f>R83*U83+(1-R83)</f>
        <v>1</v>
      </c>
      <c r="W83">
        <f>(0.795*L83)-0.0014</f>
        <v>0.40405000000000002</v>
      </c>
      <c r="X83">
        <v>1.5</v>
      </c>
      <c r="Y83">
        <f t="shared" si="13"/>
        <v>0.98889100346175773</v>
      </c>
      <c r="Z83">
        <f>(104.7*W83+0.307*M83-15)*(M83^0.75)*10^-3</f>
        <v>0.71441785360642229</v>
      </c>
      <c r="AA83">
        <f t="shared" si="14"/>
        <v>0.70648138814385009</v>
      </c>
      <c r="AB83">
        <f>(AA83 * K83) + (0.045 * T83)</f>
        <v>5.6518511051508007E-2</v>
      </c>
      <c r="AC83">
        <f>$AQ$2</f>
        <v>0.08</v>
      </c>
      <c r="AD83">
        <f>(AA83 * ((1 - L83) + (0.04 * AA83))) * ( 1 - AC83 )</f>
        <v>0.33684927680125443</v>
      </c>
      <c r="AE83">
        <f>$AQ$1</f>
        <v>0.19</v>
      </c>
      <c r="AF83">
        <f>$AR$20</f>
        <v>0.6784</v>
      </c>
      <c r="AG83">
        <f>AD83 * AE83 * N83 * P83 * AF83</f>
        <v>0</v>
      </c>
      <c r="AH83">
        <f>AD83*AE83*O83*Q83*AF83</f>
        <v>2.0406706459810014E-4</v>
      </c>
      <c r="AI83">
        <f t="shared" si="15"/>
        <v>2.0406706459810014E-4</v>
      </c>
      <c r="AJ83">
        <f>G83*AI83*J83</f>
        <v>3.7242239289153276</v>
      </c>
      <c r="AU83" s="8"/>
      <c r="AV83" s="8"/>
      <c r="BF83" s="2"/>
      <c r="BG83" s="14"/>
      <c r="BH83" s="14"/>
      <c r="BI83" s="14"/>
      <c r="BJ83" s="14"/>
      <c r="BK83" s="14"/>
      <c r="BL83" s="14"/>
    </row>
    <row r="84" spans="5:65" x14ac:dyDescent="0.2">
      <c r="E84" s="13"/>
      <c r="F84" t="s">
        <v>164</v>
      </c>
      <c r="G84">
        <v>210</v>
      </c>
      <c r="H84">
        <v>0</v>
      </c>
      <c r="I84">
        <v>0</v>
      </c>
      <c r="J84">
        <f>$AQ$3</f>
        <v>91.25</v>
      </c>
      <c r="K84">
        <v>0.1</v>
      </c>
      <c r="L84">
        <v>0.55000000000000004</v>
      </c>
      <c r="M84">
        <v>50</v>
      </c>
      <c r="N84">
        <f t="shared" si="11"/>
        <v>0</v>
      </c>
      <c r="O84">
        <f>O71</f>
        <v>1</v>
      </c>
      <c r="P84">
        <f>P71</f>
        <v>0.78</v>
      </c>
      <c r="Q84">
        <f>$AQ$10</f>
        <v>4.7000000000000002E-3</v>
      </c>
      <c r="R84">
        <f>(H84/100)*(MIN(I84,100)/100)</f>
        <v>0</v>
      </c>
      <c r="S84">
        <v>0</v>
      </c>
      <c r="T84">
        <f t="shared" si="12"/>
        <v>0</v>
      </c>
      <c r="U84">
        <f>$AT$1</f>
        <v>1.3</v>
      </c>
      <c r="V84">
        <f>R84*U84+(1-R84)</f>
        <v>1</v>
      </c>
      <c r="W84">
        <f>(0.795*L84)-0.0014</f>
        <v>0.43585000000000007</v>
      </c>
      <c r="X84">
        <v>2</v>
      </c>
      <c r="Y84">
        <f t="shared" si="13"/>
        <v>0.99966453737209748</v>
      </c>
      <c r="Z84">
        <f>(104.7*W84+0.307*M84-15)*(M84^0.75)*10^-3</f>
        <v>0.8646283676396137</v>
      </c>
      <c r="AA84">
        <f t="shared" si="14"/>
        <v>0.86433831713524623</v>
      </c>
      <c r="AB84">
        <f>(AA84 * K84) + (0.045 * T84)</f>
        <v>8.6433831713524631E-2</v>
      </c>
      <c r="AC84">
        <f>$AQ$2</f>
        <v>0.08</v>
      </c>
      <c r="AD84">
        <f>(AA84 * ((1 - L84) + (0.04 * AA84))) * ( 1 - AC84 )</f>
        <v>0.38532863402802131</v>
      </c>
      <c r="AE84">
        <f>$AQ$1</f>
        <v>0.19</v>
      </c>
      <c r="AF84">
        <f>$AR$20</f>
        <v>0.6784</v>
      </c>
      <c r="AG84">
        <f>AD84 * AE84 * N84 * P84 * AF84</f>
        <v>0</v>
      </c>
      <c r="AH84">
        <f>AD84*AE84*O84*Q84*AF84</f>
        <v>2.3343640217487642E-4</v>
      </c>
      <c r="AI84">
        <f t="shared" si="15"/>
        <v>2.3343640217487642E-4</v>
      </c>
      <c r="AJ84">
        <f>G84*AI84*J84</f>
        <v>4.4732250566760694</v>
      </c>
      <c r="AU84" s="8"/>
      <c r="AV84" s="8"/>
      <c r="BF84" s="4"/>
      <c r="BG84" s="14"/>
      <c r="BH84" s="14"/>
      <c r="BI84" s="14"/>
      <c r="BJ84" s="14"/>
      <c r="BK84" s="14"/>
      <c r="BL84" s="14"/>
      <c r="BM84" s="14"/>
    </row>
    <row r="85" spans="5:65" x14ac:dyDescent="0.2">
      <c r="E85" s="12"/>
      <c r="F85" t="s">
        <v>165</v>
      </c>
      <c r="G85">
        <v>190</v>
      </c>
      <c r="H85">
        <v>0</v>
      </c>
      <c r="I85">
        <v>0</v>
      </c>
      <c r="J85">
        <f>$AQ$3</f>
        <v>91.25</v>
      </c>
      <c r="K85">
        <v>0.09</v>
      </c>
      <c r="L85">
        <v>0.59</v>
      </c>
      <c r="M85">
        <v>50</v>
      </c>
      <c r="N85">
        <f t="shared" si="11"/>
        <v>0</v>
      </c>
      <c r="O85">
        <f>O71</f>
        <v>1</v>
      </c>
      <c r="P85">
        <f>P71</f>
        <v>0.78</v>
      </c>
      <c r="Q85">
        <f>$AQ$10</f>
        <v>4.7000000000000002E-3</v>
      </c>
      <c r="R85">
        <f>(H85/100)*(MIN(I85,100)/100)</f>
        <v>0</v>
      </c>
      <c r="S85">
        <v>0</v>
      </c>
      <c r="T85">
        <f t="shared" si="12"/>
        <v>0</v>
      </c>
      <c r="U85">
        <f>$AT$1</f>
        <v>1.3</v>
      </c>
      <c r="V85">
        <f>R85*U85+(1-R85)</f>
        <v>1</v>
      </c>
      <c r="W85">
        <f>(0.795*L85)-0.0014</f>
        <v>0.46765000000000001</v>
      </c>
      <c r="X85">
        <v>2.2000000000000002</v>
      </c>
      <c r="Y85">
        <f t="shared" si="13"/>
        <v>0.99993747849622516</v>
      </c>
      <c r="Z85">
        <f>(104.7*W85+0.307*M85-15)*(M85^0.75)*10^-3</f>
        <v>0.92723225551115063</v>
      </c>
      <c r="AA85">
        <f t="shared" si="14"/>
        <v>0.92717428355618758</v>
      </c>
      <c r="AB85">
        <f>(AA85 * K85) + (0.045 * T85)</f>
        <v>8.3445685520056878E-2</v>
      </c>
      <c r="AC85">
        <f>$AQ$2</f>
        <v>0.08</v>
      </c>
      <c r="AD85">
        <f>(AA85 * ((1 - L85) + (0.04 * AA85))) * ( 1 - AC85 )</f>
        <v>0.3813653389542298</v>
      </c>
      <c r="AE85">
        <f>$AQ$1</f>
        <v>0.19</v>
      </c>
      <c r="AF85">
        <f>$AR$20</f>
        <v>0.6784</v>
      </c>
      <c r="AG85">
        <f>AD85 * AE85 * N85 * P85 * AF85</f>
        <v>0</v>
      </c>
      <c r="AH85">
        <f>AD85*AE85*O85*Q85*AF85</f>
        <v>2.3103539363026872E-4</v>
      </c>
      <c r="AI85">
        <f t="shared" si="15"/>
        <v>2.3103539363026872E-4</v>
      </c>
      <c r="AJ85">
        <f>G85*AI85*J85</f>
        <v>4.005576137064784</v>
      </c>
      <c r="AU85" s="8"/>
      <c r="AV85" s="8"/>
      <c r="BF85" s="2"/>
      <c r="BG85" s="14"/>
      <c r="BH85" s="14"/>
      <c r="BI85" s="14"/>
      <c r="BJ85" s="14"/>
      <c r="BK85" s="14"/>
      <c r="BL85" s="14"/>
    </row>
    <row r="86" spans="5:65" x14ac:dyDescent="0.2">
      <c r="E86" s="13"/>
      <c r="F86" t="s">
        <v>166</v>
      </c>
      <c r="G86">
        <v>180</v>
      </c>
      <c r="H86">
        <v>0</v>
      </c>
      <c r="I86">
        <v>0</v>
      </c>
      <c r="J86">
        <f>$AQ$3</f>
        <v>91.25</v>
      </c>
      <c r="K86">
        <v>7.0000000000000007E-2</v>
      </c>
      <c r="L86">
        <v>0.57999999999999996</v>
      </c>
      <c r="M86">
        <v>48</v>
      </c>
      <c r="N86">
        <f t="shared" si="11"/>
        <v>0</v>
      </c>
      <c r="O86">
        <f>O71</f>
        <v>1</v>
      </c>
      <c r="P86">
        <f>P71</f>
        <v>0.78</v>
      </c>
      <c r="Q86">
        <f>$AQ$10</f>
        <v>4.7000000000000002E-3</v>
      </c>
      <c r="R86">
        <f>(H86/100)*(MIN(I86,100)/100)</f>
        <v>0</v>
      </c>
      <c r="S86">
        <v>0</v>
      </c>
      <c r="T86">
        <f t="shared" si="12"/>
        <v>0</v>
      </c>
      <c r="U86">
        <f>$AT$1</f>
        <v>1.3</v>
      </c>
      <c r="V86">
        <f>R86*U86+(1-R86)</f>
        <v>1</v>
      </c>
      <c r="W86">
        <f>(0.795*L86)-0.0014</f>
        <v>0.4597</v>
      </c>
      <c r="X86">
        <v>1.7</v>
      </c>
      <c r="Y86">
        <f t="shared" si="13"/>
        <v>0.99691128459176326</v>
      </c>
      <c r="Z86">
        <f>(104.7*W86+0.307*M86-15)*(M86^0.75)*10^-3</f>
        <v>0.87289783757888828</v>
      </c>
      <c r="AA86">
        <f t="shared" si="14"/>
        <v>0.87020170457814183</v>
      </c>
      <c r="AB86">
        <f>(AA86 * K86) + (0.045 * T86)</f>
        <v>6.0914119320469931E-2</v>
      </c>
      <c r="AC86">
        <f>$AQ$2</f>
        <v>0.08</v>
      </c>
      <c r="AD86">
        <f>(AA86 * ((1 - L86) + (0.04 * AA86))) * ( 1 - AC86 )</f>
        <v>0.3641127756937399</v>
      </c>
      <c r="AE86">
        <f>$AQ$1</f>
        <v>0.19</v>
      </c>
      <c r="AF86">
        <f>$AR$20</f>
        <v>0.6784</v>
      </c>
      <c r="AG86">
        <f>AD86 * AE86 * N86 * P86 * AF86</f>
        <v>0</v>
      </c>
      <c r="AH86">
        <f>AD86*AE86*O86*Q86*AF86</f>
        <v>2.2058359757835542E-4</v>
      </c>
      <c r="AI86">
        <f t="shared" si="15"/>
        <v>2.2058359757835542E-4</v>
      </c>
      <c r="AJ86">
        <f>G86*AI86*J86</f>
        <v>3.6230855902244881</v>
      </c>
      <c r="AU86" s="8"/>
      <c r="AV86" s="8"/>
      <c r="BF86" s="4"/>
      <c r="BG86" s="14"/>
      <c r="BH86" s="14"/>
      <c r="BI86" s="14"/>
      <c r="BJ86" s="14"/>
      <c r="BK86" s="14"/>
      <c r="BL86" s="14"/>
    </row>
    <row r="87" spans="5:65" x14ac:dyDescent="0.2">
      <c r="E87" s="12" t="s">
        <v>162</v>
      </c>
      <c r="F87" t="s">
        <v>163</v>
      </c>
      <c r="G87">
        <v>50</v>
      </c>
      <c r="H87">
        <v>0</v>
      </c>
      <c r="I87">
        <v>0</v>
      </c>
      <c r="J87">
        <f>$AQ$3</f>
        <v>91.25</v>
      </c>
      <c r="K87">
        <v>0.08</v>
      </c>
      <c r="L87">
        <v>0.51</v>
      </c>
      <c r="M87">
        <v>58</v>
      </c>
      <c r="N87">
        <f t="shared" si="11"/>
        <v>0</v>
      </c>
      <c r="O87">
        <f>O71</f>
        <v>1</v>
      </c>
      <c r="P87">
        <f>P71</f>
        <v>0.78</v>
      </c>
      <c r="Q87">
        <f>$AQ$10</f>
        <v>4.7000000000000002E-3</v>
      </c>
      <c r="R87">
        <f>(H87/100)*(MIN(I87,100)/100)</f>
        <v>0</v>
      </c>
      <c r="S87">
        <v>0</v>
      </c>
      <c r="T87">
        <f t="shared" si="12"/>
        <v>0</v>
      </c>
      <c r="U87">
        <f>$AT$1</f>
        <v>1.3</v>
      </c>
      <c r="V87">
        <f>R87*U87+(1-R87)</f>
        <v>1</v>
      </c>
      <c r="W87">
        <f>(0.795*L87)-0.0014</f>
        <v>0.40405000000000002</v>
      </c>
      <c r="X87">
        <v>1.5</v>
      </c>
      <c r="Y87">
        <f t="shared" si="13"/>
        <v>0.98889100346175773</v>
      </c>
      <c r="Z87">
        <f>(104.7*W87+0.307*M87-15)*(M87^0.75)*10^-3</f>
        <v>0.94807819706718344</v>
      </c>
      <c r="AA87">
        <f t="shared" si="14"/>
        <v>0.93754599965798113</v>
      </c>
      <c r="AB87">
        <f>(AA87 * K87) + (0.045 * T87)</f>
        <v>7.5003679972638487E-2</v>
      </c>
      <c r="AC87">
        <f>$AQ$2</f>
        <v>0.08</v>
      </c>
      <c r="AD87">
        <f>(AA87 * ((1 - L87) + (0.04 * AA87))) * ( 1 - AC87 )</f>
        <v>0.45499266070008626</v>
      </c>
      <c r="AE87">
        <f>$AQ$1</f>
        <v>0.19</v>
      </c>
      <c r="AF87">
        <f>$AR$20</f>
        <v>0.6784</v>
      </c>
      <c r="AG87">
        <f>AD87 * AE87 * N87 * P87 * AF87</f>
        <v>0</v>
      </c>
      <c r="AH87">
        <f>AD87*AE87*O87*Q87*AF87</f>
        <v>2.7563964976991213E-4</v>
      </c>
      <c r="AI87">
        <f t="shared" si="15"/>
        <v>2.7563964976991213E-4</v>
      </c>
      <c r="AJ87">
        <f>G87*AI87*J87</f>
        <v>1.2576059020752242</v>
      </c>
      <c r="AU87" s="8"/>
      <c r="AV87" s="8"/>
      <c r="BF87" s="2"/>
      <c r="BG87" s="14"/>
      <c r="BH87" s="14"/>
      <c r="BI87" s="14"/>
      <c r="BJ87" s="14"/>
      <c r="BK87" s="14"/>
      <c r="BL87" s="14"/>
    </row>
    <row r="88" spans="5:65" x14ac:dyDescent="0.2">
      <c r="E88" s="13"/>
      <c r="F88" t="s">
        <v>164</v>
      </c>
      <c r="G88">
        <v>55</v>
      </c>
      <c r="H88">
        <v>0</v>
      </c>
      <c r="I88">
        <v>0</v>
      </c>
      <c r="J88">
        <f>$AQ$3</f>
        <v>91.25</v>
      </c>
      <c r="K88">
        <v>0.1</v>
      </c>
      <c r="L88">
        <v>0.55000000000000004</v>
      </c>
      <c r="M88">
        <v>61</v>
      </c>
      <c r="N88">
        <f t="shared" si="11"/>
        <v>0</v>
      </c>
      <c r="O88">
        <f>O71</f>
        <v>1</v>
      </c>
      <c r="P88">
        <f>P71</f>
        <v>0.78</v>
      </c>
      <c r="Q88">
        <f>$AQ$10</f>
        <v>4.7000000000000002E-3</v>
      </c>
      <c r="R88">
        <f>(H88/100)*(MIN(I88,100)/100)</f>
        <v>0</v>
      </c>
      <c r="S88">
        <v>0</v>
      </c>
      <c r="T88">
        <f t="shared" si="12"/>
        <v>0</v>
      </c>
      <c r="U88">
        <f>$AT$1</f>
        <v>1.3</v>
      </c>
      <c r="V88">
        <f>R88*U88+(1-R88)</f>
        <v>1</v>
      </c>
      <c r="W88">
        <f>(0.795*L88)-0.0014</f>
        <v>0.43585000000000007</v>
      </c>
      <c r="X88">
        <v>2</v>
      </c>
      <c r="Y88">
        <f t="shared" si="13"/>
        <v>0.99966453737209748</v>
      </c>
      <c r="Z88">
        <f>(104.7*W88+0.307*M88-15)*(M88^0.75)*10^-3</f>
        <v>1.0773997799878814</v>
      </c>
      <c r="AA88">
        <f t="shared" si="14"/>
        <v>1.0770383526263851</v>
      </c>
      <c r="AB88">
        <f>(AA88 * K88) + (0.045 * T88)</f>
        <v>0.10770383526263852</v>
      </c>
      <c r="AC88">
        <f>$AQ$2</f>
        <v>0.08</v>
      </c>
      <c r="AD88">
        <f>(AA88 * ((1 - L88) + (0.04 * AA88))) * ( 1 - AC88 )</f>
        <v>0.48858230534675962</v>
      </c>
      <c r="AE88">
        <f>$AQ$1</f>
        <v>0.19</v>
      </c>
      <c r="AF88">
        <f>$AR$20</f>
        <v>0.6784</v>
      </c>
      <c r="AG88">
        <f>AD88 * AE88 * N88 * P88 * AF88</f>
        <v>0</v>
      </c>
      <c r="AH88">
        <f>AD88*AE88*O88*Q88*AF88</f>
        <v>2.9598863270088687E-4</v>
      </c>
      <c r="AI88">
        <f t="shared" si="15"/>
        <v>2.9598863270088687E-4</v>
      </c>
      <c r="AJ88">
        <f>G88*AI88*J88</f>
        <v>1.485492950367576</v>
      </c>
      <c r="AU88" s="8"/>
      <c r="AV88" s="8"/>
      <c r="BF88" s="4"/>
      <c r="BG88" s="14"/>
      <c r="BH88" s="14"/>
      <c r="BI88" s="14"/>
      <c r="BJ88" s="14"/>
      <c r="BK88" s="14"/>
      <c r="BL88" s="14"/>
      <c r="BM88" s="14"/>
    </row>
    <row r="89" spans="5:65" x14ac:dyDescent="0.2">
      <c r="E89" s="12"/>
      <c r="F89" t="s">
        <v>165</v>
      </c>
      <c r="G89">
        <v>60</v>
      </c>
      <c r="H89">
        <v>0</v>
      </c>
      <c r="I89">
        <v>0</v>
      </c>
      <c r="J89">
        <f>$AQ$3</f>
        <v>91.25</v>
      </c>
      <c r="K89">
        <v>0.09</v>
      </c>
      <c r="L89">
        <v>0.59</v>
      </c>
      <c r="M89">
        <v>63</v>
      </c>
      <c r="N89">
        <f t="shared" si="11"/>
        <v>0</v>
      </c>
      <c r="O89">
        <f>O71</f>
        <v>1</v>
      </c>
      <c r="P89">
        <f>P71</f>
        <v>0.78</v>
      </c>
      <c r="Q89">
        <f>$AQ$10</f>
        <v>4.7000000000000002E-3</v>
      </c>
      <c r="R89">
        <f>(H89/100)*(MIN(I89,100)/100)</f>
        <v>0</v>
      </c>
      <c r="S89">
        <v>0</v>
      </c>
      <c r="T89">
        <f t="shared" si="12"/>
        <v>0</v>
      </c>
      <c r="U89">
        <f>$AT$1</f>
        <v>1.3</v>
      </c>
      <c r="V89">
        <f>R89*U89+(1-R89)</f>
        <v>1</v>
      </c>
      <c r="W89">
        <f>(0.795*L89)-0.0014</f>
        <v>0.46765000000000001</v>
      </c>
      <c r="X89">
        <v>2.2000000000000002</v>
      </c>
      <c r="Y89">
        <f t="shared" si="13"/>
        <v>0.99993747849622516</v>
      </c>
      <c r="Z89">
        <f>(104.7*W89+0.307*M89-15)*(M89^0.75)*10^-3</f>
        <v>1.1919686844423474</v>
      </c>
      <c r="AA89">
        <f t="shared" si="14"/>
        <v>1.1918941607677436</v>
      </c>
      <c r="AB89">
        <f>(AA89 * K89) + (0.045 * T89)</f>
        <v>0.10727047446909692</v>
      </c>
      <c r="AC89">
        <f>$AQ$2</f>
        <v>0.08</v>
      </c>
      <c r="AD89">
        <f>(AA89 * ((1 - L89) + (0.04 * AA89))) * ( 1 - AC89 )</f>
        <v>0.50186098765097142</v>
      </c>
      <c r="AE89">
        <f>$AQ$1</f>
        <v>0.19</v>
      </c>
      <c r="AF89">
        <f>$AR$20</f>
        <v>0.6784</v>
      </c>
      <c r="AG89">
        <f>AD89 * AE89 * N89 * P89 * AF89</f>
        <v>0</v>
      </c>
      <c r="AH89">
        <f>AD89*AE89*O89*Q89*AF89</f>
        <v>3.0403300716202021E-4</v>
      </c>
      <c r="AI89">
        <f t="shared" si="15"/>
        <v>3.0403300716202021E-4</v>
      </c>
      <c r="AJ89">
        <f>G89*AI89*J89</f>
        <v>1.6645807142120606</v>
      </c>
      <c r="AU89" s="8"/>
      <c r="AV89" s="8"/>
      <c r="BF89" s="2"/>
      <c r="BG89" s="14"/>
      <c r="BH89" s="14"/>
      <c r="BI89" s="14"/>
      <c r="BJ89" s="14"/>
      <c r="BK89" s="14"/>
      <c r="BL89" s="14"/>
    </row>
    <row r="90" spans="5:65" x14ac:dyDescent="0.2">
      <c r="E90" s="13"/>
      <c r="F90" t="s">
        <v>166</v>
      </c>
      <c r="G90">
        <v>65</v>
      </c>
      <c r="H90">
        <v>0</v>
      </c>
      <c r="I90">
        <v>0</v>
      </c>
      <c r="J90">
        <f>$AQ$3</f>
        <v>91.25</v>
      </c>
      <c r="K90">
        <v>7.0000000000000007E-2</v>
      </c>
      <c r="L90">
        <v>0.57999999999999996</v>
      </c>
      <c r="M90">
        <v>60</v>
      </c>
      <c r="N90">
        <f t="shared" si="11"/>
        <v>0</v>
      </c>
      <c r="O90">
        <f>O71</f>
        <v>1</v>
      </c>
      <c r="P90">
        <f>P71</f>
        <v>0.78</v>
      </c>
      <c r="Q90">
        <f>$AQ$10</f>
        <v>4.7000000000000002E-3</v>
      </c>
      <c r="R90">
        <f>(H90/100)*(MIN(I90,100)/100)</f>
        <v>0</v>
      </c>
      <c r="S90">
        <v>0</v>
      </c>
      <c r="T90">
        <f t="shared" si="12"/>
        <v>0</v>
      </c>
      <c r="U90">
        <f>$AT$1</f>
        <v>1.3</v>
      </c>
      <c r="V90">
        <f>R90*U90+(1-R90)</f>
        <v>1</v>
      </c>
      <c r="W90">
        <f>(0.795*L90)-0.0014</f>
        <v>0.4597</v>
      </c>
      <c r="X90">
        <v>1.7</v>
      </c>
      <c r="Y90">
        <f t="shared" si="13"/>
        <v>0.99691128459176326</v>
      </c>
      <c r="Z90">
        <f>(104.7*W90+0.307*M90-15)*(M90^0.75)*10^-3</f>
        <v>1.1113403376673825</v>
      </c>
      <c r="AA90">
        <f t="shared" si="14"/>
        <v>1.1079077236426342</v>
      </c>
      <c r="AB90">
        <f>(AA90 * K90) + (0.045 * T90)</f>
        <v>7.7553540654984404E-2</v>
      </c>
      <c r="AC90">
        <f>$AQ$2</f>
        <v>0.08</v>
      </c>
      <c r="AD90">
        <f>(AA90 * ((1 - L90) + (0.04 * AA90))) * ( 1 - AC90 )</f>
        <v>0.47326605490265167</v>
      </c>
      <c r="AE90">
        <f>$AQ$1</f>
        <v>0.19</v>
      </c>
      <c r="AF90">
        <f>$AR$20</f>
        <v>0.6784</v>
      </c>
      <c r="AG90">
        <f>AD90 * AE90 * N90 * P90 * AF90</f>
        <v>0</v>
      </c>
      <c r="AH90">
        <f>AD90*AE90*O90*Q90*AF90</f>
        <v>2.8670987663984129E-4</v>
      </c>
      <c r="AI90">
        <f t="shared" si="15"/>
        <v>2.8670987663984129E-4</v>
      </c>
      <c r="AJ90">
        <f>G90*AI90*J90</f>
        <v>1.7005479558200585</v>
      </c>
      <c r="AU90" s="8"/>
      <c r="AV90" s="8"/>
      <c r="BF90" s="4"/>
      <c r="BG90" s="14"/>
      <c r="BH90" s="14"/>
      <c r="BI90" s="14"/>
      <c r="BJ90" s="14"/>
      <c r="BK90" s="14"/>
      <c r="BL90" s="14"/>
    </row>
    <row r="91" spans="5:65" x14ac:dyDescent="0.2">
      <c r="E91" s="12" t="s">
        <v>167</v>
      </c>
      <c r="F91" t="s">
        <v>163</v>
      </c>
      <c r="G91">
        <v>50</v>
      </c>
      <c r="H91">
        <v>0</v>
      </c>
      <c r="I91">
        <v>0</v>
      </c>
      <c r="J91">
        <f>$AQ$3</f>
        <v>91.25</v>
      </c>
      <c r="K91">
        <v>0.08</v>
      </c>
      <c r="L91">
        <v>0.51</v>
      </c>
      <c r="M91">
        <v>50</v>
      </c>
      <c r="N91">
        <f t="shared" si="11"/>
        <v>0</v>
      </c>
      <c r="O91">
        <f>O71</f>
        <v>1</v>
      </c>
      <c r="P91">
        <f>P71</f>
        <v>0.78</v>
      </c>
      <c r="Q91">
        <f>$AQ$10</f>
        <v>4.7000000000000002E-3</v>
      </c>
      <c r="R91">
        <f>(H91/100)*(MIN(I91,100)/100)</f>
        <v>0</v>
      </c>
      <c r="S91">
        <v>0</v>
      </c>
      <c r="T91">
        <f t="shared" si="12"/>
        <v>0</v>
      </c>
      <c r="U91">
        <f>$AT$1</f>
        <v>1.3</v>
      </c>
      <c r="V91">
        <f>R91*U91+(1-R91)</f>
        <v>1</v>
      </c>
      <c r="W91">
        <f>(0.795*L91)-0.0014</f>
        <v>0.40405000000000002</v>
      </c>
      <c r="X91">
        <v>1.5</v>
      </c>
      <c r="Y91">
        <f t="shared" si="13"/>
        <v>0.98889100346175773</v>
      </c>
      <c r="Z91">
        <f>(104.7*W91+0.307*M91-15)*(M91^0.75)*10^-3</f>
        <v>0.80202447976807656</v>
      </c>
      <c r="AA91">
        <f t="shared" si="14"/>
        <v>0.7931147925987474</v>
      </c>
      <c r="AB91">
        <f>(AA91 * K91) + (0.045 * T91)</f>
        <v>6.344918340789979E-2</v>
      </c>
      <c r="AC91">
        <f>$AQ$2</f>
        <v>0.08</v>
      </c>
      <c r="AD91">
        <f>(AA91 * ((1 - L91) + (0.04 * AA91))) * ( 1 - AC91 )</f>
        <v>0.38068449203550886</v>
      </c>
      <c r="AE91">
        <f>$AQ$1</f>
        <v>0.19</v>
      </c>
      <c r="AF91">
        <f>$AR$20</f>
        <v>0.6784</v>
      </c>
      <c r="AG91">
        <f>AD91 * AE91 * N91 * P91 * AF91</f>
        <v>0</v>
      </c>
      <c r="AH91">
        <f>AD91*AE91*O91*Q91*AF91</f>
        <v>2.3062292894142209E-4</v>
      </c>
      <c r="AI91">
        <f t="shared" si="15"/>
        <v>2.3062292894142209E-4</v>
      </c>
      <c r="AJ91">
        <f>G91*AI91*J91</f>
        <v>1.0522171132952383</v>
      </c>
      <c r="AU91" s="8"/>
      <c r="AV91" s="8"/>
      <c r="BF91" s="7"/>
      <c r="BG91" s="14"/>
      <c r="BH91" s="14"/>
      <c r="BI91" s="14"/>
      <c r="BJ91" s="14"/>
      <c r="BK91" s="14"/>
      <c r="BL91" s="14"/>
    </row>
    <row r="92" spans="5:65" x14ac:dyDescent="0.2">
      <c r="E92" s="13"/>
      <c r="F92" t="s">
        <v>164</v>
      </c>
      <c r="G92">
        <v>100</v>
      </c>
      <c r="H92">
        <v>0</v>
      </c>
      <c r="I92">
        <v>0</v>
      </c>
      <c r="J92">
        <f>$AQ$3</f>
        <v>91.25</v>
      </c>
      <c r="K92">
        <v>0.1</v>
      </c>
      <c r="L92">
        <v>0.55000000000000004</v>
      </c>
      <c r="M92">
        <v>55</v>
      </c>
      <c r="N92">
        <f t="shared" si="11"/>
        <v>0</v>
      </c>
      <c r="O92">
        <f>O71</f>
        <v>1</v>
      </c>
      <c r="P92">
        <f>P71</f>
        <v>0.78</v>
      </c>
      <c r="Q92">
        <f>$AQ$10</f>
        <v>4.7000000000000002E-3</v>
      </c>
      <c r="R92">
        <f>(H92/100)*(MIN(I92,100)/100)</f>
        <v>0</v>
      </c>
      <c r="S92">
        <v>0</v>
      </c>
      <c r="T92">
        <f t="shared" si="12"/>
        <v>0</v>
      </c>
      <c r="U92">
        <f>$AT$1</f>
        <v>1.3</v>
      </c>
      <c r="V92">
        <f>R92*U92+(1-R92)</f>
        <v>1</v>
      </c>
      <c r="W92">
        <f>(0.795*L92)-0.0014</f>
        <v>0.43585000000000007</v>
      </c>
      <c r="X92">
        <v>2</v>
      </c>
      <c r="Y92">
        <f t="shared" si="13"/>
        <v>0.99966453737209748</v>
      </c>
      <c r="Z92">
        <f>(104.7*W92+0.307*M92-15)*(M92^0.75)*10^-3</f>
        <v>0.95969823125361531</v>
      </c>
      <c r="AA92">
        <f t="shared" si="14"/>
        <v>0.95937628836296562</v>
      </c>
      <c r="AB92">
        <f>(AA92 * K92) + (0.045 * T92)</f>
        <v>9.5937628836296571E-2</v>
      </c>
      <c r="AC92">
        <f>$AQ$2</f>
        <v>0.08</v>
      </c>
      <c r="AD92">
        <f>(AA92 * ((1 - L92) + (0.04 * AA92))) * ( 1 - AC92 )</f>
        <v>0.43105260872863782</v>
      </c>
      <c r="AE92">
        <f>$AQ$1</f>
        <v>0.19</v>
      </c>
      <c r="AF92">
        <f>$AR$20</f>
        <v>0.6784</v>
      </c>
      <c r="AG92">
        <f>AD92 * AE92 * N92 * P92 * AF92</f>
        <v>0</v>
      </c>
      <c r="AH92">
        <f>AD92*AE92*O92*Q92*AF92</f>
        <v>2.6113649815702656E-4</v>
      </c>
      <c r="AI92">
        <f t="shared" si="15"/>
        <v>2.6113649815702656E-4</v>
      </c>
      <c r="AJ92">
        <f>G92*AI92*J92</f>
        <v>2.3828705456828674</v>
      </c>
    </row>
    <row r="93" spans="5:65" x14ac:dyDescent="0.2">
      <c r="E93" s="12"/>
      <c r="F93" t="s">
        <v>165</v>
      </c>
      <c r="G93">
        <v>90</v>
      </c>
      <c r="H93">
        <v>0</v>
      </c>
      <c r="I93">
        <v>0</v>
      </c>
      <c r="J93">
        <f>$AQ$3</f>
        <v>91.25</v>
      </c>
      <c r="K93">
        <v>0.09</v>
      </c>
      <c r="L93">
        <v>0.59</v>
      </c>
      <c r="M93">
        <v>55</v>
      </c>
      <c r="N93">
        <f t="shared" si="11"/>
        <v>0</v>
      </c>
      <c r="O93">
        <f>O71</f>
        <v>1</v>
      </c>
      <c r="P93">
        <f>P71</f>
        <v>0.78</v>
      </c>
      <c r="Q93">
        <f>$AQ$10</f>
        <v>4.7000000000000002E-3</v>
      </c>
      <c r="R93">
        <f>(H93/100)*(MIN(I93,100)/100)</f>
        <v>0</v>
      </c>
      <c r="S93">
        <v>0</v>
      </c>
      <c r="T93">
        <f t="shared" si="12"/>
        <v>0</v>
      </c>
      <c r="U93">
        <f>$AT$1</f>
        <v>1.3</v>
      </c>
      <c r="V93">
        <f>R93*U93+(1-R93)</f>
        <v>1</v>
      </c>
      <c r="W93">
        <f>(0.795*L93)-0.0014</f>
        <v>0.46765000000000001</v>
      </c>
      <c r="X93">
        <v>2.2000000000000002</v>
      </c>
      <c r="Y93">
        <f t="shared" si="13"/>
        <v>0.99993747849622516</v>
      </c>
      <c r="Z93">
        <f>(104.7*W93+0.307*M93-15)*(M93^0.75)*10^-3</f>
        <v>1.0269410358295947</v>
      </c>
      <c r="AA93">
        <f t="shared" si="14"/>
        <v>1.0268768299317466</v>
      </c>
      <c r="AB93">
        <f>(AA93 * K93) + (0.045 * T93)</f>
        <v>9.2418914693857185E-2</v>
      </c>
      <c r="AC93">
        <f>$AQ$2</f>
        <v>0.08</v>
      </c>
      <c r="AD93">
        <f>(AA93 * ((1 - L93) + (0.04 * AA93))) * ( 1 - AC93 )</f>
        <v>0.42614265792795969</v>
      </c>
      <c r="AE93">
        <f>$AQ$1</f>
        <v>0.19</v>
      </c>
      <c r="AF93">
        <f>$AR$20</f>
        <v>0.6784</v>
      </c>
      <c r="AG93">
        <f>AD93 * AE93 * N93 * P93 * AF93</f>
        <v>0</v>
      </c>
      <c r="AH93">
        <f>AD93*AE93*O93*Q93*AF93</f>
        <v>2.5816199497052678E-4</v>
      </c>
      <c r="AI93">
        <f t="shared" si="15"/>
        <v>2.5816199497052678E-4</v>
      </c>
      <c r="AJ93">
        <f>G93*AI93*J93</f>
        <v>2.120155383695451</v>
      </c>
    </row>
    <row r="94" spans="5:65" x14ac:dyDescent="0.2">
      <c r="E94" s="13"/>
      <c r="F94" t="s">
        <v>166</v>
      </c>
      <c r="G94">
        <v>80</v>
      </c>
      <c r="H94">
        <v>0</v>
      </c>
      <c r="I94">
        <v>0</v>
      </c>
      <c r="J94">
        <f>$AQ$3</f>
        <v>91.25</v>
      </c>
      <c r="K94">
        <v>7.0000000000000007E-2</v>
      </c>
      <c r="L94">
        <v>0.57999999999999996</v>
      </c>
      <c r="M94">
        <v>50</v>
      </c>
      <c r="N94">
        <f t="shared" si="11"/>
        <v>0</v>
      </c>
      <c r="O94">
        <f>O71</f>
        <v>1</v>
      </c>
      <c r="P94">
        <f>P71</f>
        <v>0.78</v>
      </c>
      <c r="Q94">
        <f>$AQ$10</f>
        <v>4.7000000000000002E-3</v>
      </c>
      <c r="R94">
        <f>(H94/100)*(MIN(I94,100)/100)</f>
        <v>0</v>
      </c>
      <c r="S94">
        <v>0</v>
      </c>
      <c r="T94">
        <f t="shared" si="12"/>
        <v>0</v>
      </c>
      <c r="U94">
        <f>$AT$1</f>
        <v>1.3</v>
      </c>
      <c r="V94">
        <f>R94*U94+(1-R94)</f>
        <v>1</v>
      </c>
      <c r="W94">
        <f>(0.795*L94)-0.0014</f>
        <v>0.4597</v>
      </c>
      <c r="X94">
        <v>1.7</v>
      </c>
      <c r="Y94">
        <f t="shared" si="13"/>
        <v>0.99691128459176326</v>
      </c>
      <c r="Z94">
        <f>(104.7*W94+0.307*M94-15)*(M94^0.75)*10^-3</f>
        <v>0.91158128354326629</v>
      </c>
      <c r="AA94">
        <f t="shared" si="14"/>
        <v>0.90876566838692596</v>
      </c>
      <c r="AB94">
        <f>(AA94 * K94) + (0.045 * T94)</f>
        <v>6.3613596787084822E-2</v>
      </c>
      <c r="AC94">
        <f>$AQ$2</f>
        <v>0.08</v>
      </c>
      <c r="AD94">
        <f>(AA94 * ((1 - L94) + (0.04 * AA94))) * ( 1 - AC94 )</f>
        <v>0.38153851973813374</v>
      </c>
      <c r="AE94">
        <f>$AQ$1</f>
        <v>0.19</v>
      </c>
      <c r="AF94">
        <f>$AR$20</f>
        <v>0.6784</v>
      </c>
      <c r="AG94">
        <f>AD94 * AE94 * N94 * P94 * AF94</f>
        <v>0</v>
      </c>
      <c r="AH94">
        <f>AD94*AE94*O94*Q94*AF94</f>
        <v>2.3114030848878249E-4</v>
      </c>
      <c r="AI94">
        <f t="shared" si="15"/>
        <v>2.3114030848878249E-4</v>
      </c>
      <c r="AJ94">
        <f>G94*AI94*J94</f>
        <v>1.6873242519681124</v>
      </c>
    </row>
    <row r="95" spans="5:65" ht="17" thickBot="1" x14ac:dyDescent="0.25">
      <c r="BF95" s="9"/>
      <c r="BG95" s="10"/>
      <c r="BH95" s="10"/>
      <c r="BI95" s="10"/>
      <c r="BJ95" s="10"/>
      <c r="BK95" s="10"/>
      <c r="BL95" s="10"/>
      <c r="BM95" s="11"/>
    </row>
    <row r="96" spans="5:65" ht="17" thickTop="1" x14ac:dyDescent="0.2">
      <c r="AU96" s="8"/>
      <c r="AV96" s="8"/>
      <c r="BF96" s="2"/>
      <c r="BG96" s="3"/>
      <c r="BH96" s="3"/>
      <c r="BI96" s="3"/>
      <c r="BJ96" s="3"/>
      <c r="BK96" s="3"/>
      <c r="BL96" s="3"/>
      <c r="BM96" s="6"/>
    </row>
    <row r="97" spans="1:58" x14ac:dyDescent="0.2">
      <c r="AU97" s="8"/>
      <c r="AV97" s="8"/>
      <c r="BF97" s="4"/>
    </row>
    <row r="98" spans="1:58" x14ac:dyDescent="0.2">
      <c r="AU98" s="8"/>
      <c r="AV98" s="8"/>
      <c r="BF98" s="2"/>
    </row>
    <row r="99" spans="1:58" ht="17" thickBot="1" x14ac:dyDescent="0.25">
      <c r="AU99" s="8"/>
      <c r="AV99" s="8"/>
      <c r="BF99" s="4"/>
    </row>
    <row r="100" spans="1:58" ht="18" thickTop="1" thickBot="1" x14ac:dyDescent="0.25">
      <c r="AU100" s="8"/>
      <c r="AV100" s="6"/>
      <c r="BF100" s="2"/>
    </row>
    <row r="101" spans="1:58" ht="18" thickTop="1" thickBot="1" x14ac:dyDescent="0.25">
      <c r="A101" t="s">
        <v>272</v>
      </c>
      <c r="B101" t="s">
        <v>272</v>
      </c>
      <c r="C101" t="s">
        <v>272</v>
      </c>
      <c r="D101" t="s">
        <v>276</v>
      </c>
      <c r="E101" s="12" t="s">
        <v>169</v>
      </c>
      <c r="F101" t="s">
        <v>163</v>
      </c>
      <c r="G101">
        <v>100</v>
      </c>
      <c r="H101">
        <v>95</v>
      </c>
      <c r="I101">
        <v>90</v>
      </c>
      <c r="J101">
        <f>$AQ$3</f>
        <v>91.25</v>
      </c>
      <c r="K101" cm="1">
        <f t="array" ref="K101:K124">_xlfn.DROP(_xlfn.XLOOKUP($C101,QueryCP[[#Headers],[ACT/NSW]:[WA]],QueryCP[[#All],[ACT/NSW]:[WA]]),1)</f>
        <v>0.16</v>
      </c>
      <c r="L101" cm="1">
        <f t="array" ref="L101:L124">_xlfn.DROP(_xlfn.XLOOKUP($C101,QueryDMD[[#Headers],[ACT/NSW]:[WA]],QueryDMD[[#All],[ACT/NSW]:[WA]]),1)</f>
        <v>0.7</v>
      </c>
      <c r="M101" cm="1">
        <f t="array" ref="M101:M124">_xlfn.DROP(_xlfn.XLOOKUP($C101,QueryW[[#Headers],[ACT/NSW]:[WA]],QueryW[[#All],[ACT/NSW]:[WA]]),1)</f>
        <v>55</v>
      </c>
      <c r="N101">
        <f>1-O101</f>
        <v>9.000000000000119E-4</v>
      </c>
      <c r="O101">
        <f>IF($D101="yes", 1, VLOOKUP($B101, $AP$26:$AR$32, 2)/100)</f>
        <v>0.99909999999999999</v>
      </c>
      <c r="P101">
        <f>VLOOKUP($B101,$AR$10:$AS$16, 2, FALSE)</f>
        <v>0.74</v>
      </c>
      <c r="Q101">
        <f>$AQ$10</f>
        <v>4.7000000000000002E-3</v>
      </c>
      <c r="R101">
        <f>(H101/100)*(MIN(I101,100)/100)</f>
        <v>0.85499999999999998</v>
      </c>
      <c r="S101">
        <v>0</v>
      </c>
      <c r="T101">
        <f>1.6 * S101</f>
        <v>0</v>
      </c>
      <c r="U101">
        <f>$AT$1</f>
        <v>1.3</v>
      </c>
      <c r="V101">
        <f>R101*U101+(1-R101)</f>
        <v>1.2565</v>
      </c>
      <c r="W101">
        <f>(0.795*L101)-0.0014</f>
        <v>0.55510000000000004</v>
      </c>
      <c r="X101" cm="1">
        <f t="array" ref="X101:X124">_xlfn.DROP(_xlfn.XLOOKUP($C101,QueryDMA[[#Headers],[ACT/NSW]:[WA]],QueryDMA[[#All],[ACT/NSW]:[WA]]),1)</f>
        <v>4</v>
      </c>
      <c r="Y101">
        <f>1 - EXP(-2*(X101^2))</f>
        <v>0.99999999999998734</v>
      </c>
      <c r="Z101">
        <f>(104.7*W101+0.307*M101-15)*(M101^0.75)*10^-3</f>
        <v>1.2118587484135388</v>
      </c>
      <c r="AA101">
        <f>Z101*Y101*V101</f>
        <v>1.5227005173815922</v>
      </c>
      <c r="AB101">
        <f>(AA101 * K101) + (0.045 * T101)</f>
        <v>0.24363208278105475</v>
      </c>
      <c r="AC101">
        <f>$AQ$2</f>
        <v>0.08</v>
      </c>
      <c r="AD101">
        <f>(AA101 * ((1 - L101) + (0.04 * AA101))) * ( 1 - AC101 )</f>
        <v>0.50559044345265691</v>
      </c>
      <c r="AE101">
        <f>$AQ$1</f>
        <v>0.19</v>
      </c>
      <c r="AF101">
        <f>$AR$20</f>
        <v>0.6784</v>
      </c>
      <c r="AG101">
        <f>AD101 * AE101 * N101 * P101 * AF101</f>
        <v>4.3402278142316832E-5</v>
      </c>
      <c r="AH101">
        <f>AD101*AE101*O101*Q101*AF101</f>
        <v>3.0601669013865531E-4</v>
      </c>
      <c r="AI101">
        <f>AG101+AH101</f>
        <v>3.4941896828097216E-4</v>
      </c>
      <c r="AJ101">
        <f>G101*AI101*J101</f>
        <v>3.1884480855638708</v>
      </c>
      <c r="AK101">
        <f>SUM(AJ101:AJ124)*10^-3</f>
        <v>6.1044885613661545E-2</v>
      </c>
      <c r="AU101" s="8"/>
      <c r="AV101" s="6"/>
      <c r="BF101" s="4"/>
    </row>
    <row r="102" spans="1:58" ht="18" thickTop="1" thickBot="1" x14ac:dyDescent="0.25">
      <c r="E102" s="13"/>
      <c r="F102" t="s">
        <v>164</v>
      </c>
      <c r="G102">
        <v>70</v>
      </c>
      <c r="H102">
        <v>0</v>
      </c>
      <c r="I102">
        <v>0</v>
      </c>
      <c r="J102">
        <f>$AQ$3</f>
        <v>91.25</v>
      </c>
      <c r="K102">
        <v>7.0000000000000007E-2</v>
      </c>
      <c r="L102">
        <v>0.55000000000000004</v>
      </c>
      <c r="M102">
        <v>55</v>
      </c>
      <c r="N102">
        <f t="shared" ref="N102:N124" si="16">1-O102</f>
        <v>9.000000000000119E-4</v>
      </c>
      <c r="O102">
        <f>O101</f>
        <v>0.99909999999999999</v>
      </c>
      <c r="P102">
        <f>P101</f>
        <v>0.74</v>
      </c>
      <c r="Q102">
        <f>$AQ$10</f>
        <v>4.7000000000000002E-3</v>
      </c>
      <c r="R102">
        <f>(H102/100)*(MIN(I102,100)/100)</f>
        <v>0</v>
      </c>
      <c r="S102">
        <v>0</v>
      </c>
      <c r="T102">
        <f t="shared" ref="T102:T124" si="17">1.6 * S102</f>
        <v>0</v>
      </c>
      <c r="U102">
        <f>$AT$1</f>
        <v>1.3</v>
      </c>
      <c r="V102">
        <f>R102*U102+(1-R102)</f>
        <v>1</v>
      </c>
      <c r="W102">
        <f>(0.795*L102)-0.0014</f>
        <v>0.43585000000000007</v>
      </c>
      <c r="X102">
        <v>2.5</v>
      </c>
      <c r="Y102">
        <f t="shared" ref="Y102:Y124" si="18">1 - EXP(-2*(X102^2))</f>
        <v>0.99999627334682795</v>
      </c>
      <c r="Z102">
        <f>(104.7*W102+0.307*M102-15)*(M102^0.75)*10^-3</f>
        <v>0.95969823125361531</v>
      </c>
      <c r="AA102">
        <f t="shared" ref="AA102:AA124" si="19">Z102*Y102*V102</f>
        <v>0.95969465479115756</v>
      </c>
      <c r="AB102">
        <f>(AA102 * K102) + (0.045 * T102)</f>
        <v>6.7178625835381034E-2</v>
      </c>
      <c r="AC102">
        <f>$AQ$2</f>
        <v>0.08</v>
      </c>
      <c r="AD102">
        <f>(AA102 * ((1 - L102) + (0.04 * AA102))) * ( 1 - AC102 )</f>
        <v>0.43120689604353685</v>
      </c>
      <c r="AE102">
        <f>$AQ$1</f>
        <v>0.19</v>
      </c>
      <c r="AF102">
        <f>$AR$20</f>
        <v>0.6784</v>
      </c>
      <c r="AG102">
        <f>AD102 * AE102 * N102 * P102 * AF102</f>
        <v>3.7016842152237356E-5</v>
      </c>
      <c r="AH102">
        <f>AD102*AE102*O102*Q102*AF102</f>
        <v>2.6099486016998398E-4</v>
      </c>
      <c r="AI102">
        <f t="shared" ref="AI102:AI124" si="20">AG102+AH102</f>
        <v>2.9801170232222131E-4</v>
      </c>
      <c r="AJ102">
        <f>G102*AI102*J102</f>
        <v>1.9035497485831887</v>
      </c>
      <c r="AU102" s="8"/>
      <c r="AV102" s="6"/>
      <c r="BF102" s="2"/>
    </row>
    <row r="103" spans="1:58" ht="17" thickTop="1" x14ac:dyDescent="0.2">
      <c r="E103" s="12"/>
      <c r="F103" t="s">
        <v>165</v>
      </c>
      <c r="G103">
        <v>65</v>
      </c>
      <c r="H103">
        <v>0</v>
      </c>
      <c r="I103">
        <v>0</v>
      </c>
      <c r="J103">
        <f>$AQ$3</f>
        <v>91.25</v>
      </c>
      <c r="K103">
        <v>0.09</v>
      </c>
      <c r="L103">
        <v>0.55000000000000004</v>
      </c>
      <c r="M103">
        <v>55</v>
      </c>
      <c r="N103">
        <f t="shared" si="16"/>
        <v>9.000000000000119E-4</v>
      </c>
      <c r="O103">
        <f>O101</f>
        <v>0.99909999999999999</v>
      </c>
      <c r="P103">
        <f>P101</f>
        <v>0.74</v>
      </c>
      <c r="Q103">
        <f>$AQ$10</f>
        <v>4.7000000000000002E-3</v>
      </c>
      <c r="R103">
        <f>(H103/100)*(MIN(I103,100)/100)</f>
        <v>0</v>
      </c>
      <c r="S103">
        <v>0</v>
      </c>
      <c r="T103">
        <f t="shared" si="17"/>
        <v>0</v>
      </c>
      <c r="U103">
        <f>$AT$1</f>
        <v>1.3</v>
      </c>
      <c r="V103">
        <f>R103*U103+(1-R103)</f>
        <v>1</v>
      </c>
      <c r="W103">
        <f>(0.795*L103)-0.0014</f>
        <v>0.43585000000000007</v>
      </c>
      <c r="X103">
        <v>0.7</v>
      </c>
      <c r="Y103">
        <f t="shared" si="18"/>
        <v>0.62468890114860043</v>
      </c>
      <c r="Z103">
        <f>(104.7*W103+0.307*M103-15)*(M103^0.75)*10^-3</f>
        <v>0.95969823125361531</v>
      </c>
      <c r="AA103">
        <f t="shared" si="19"/>
        <v>0.59951283351607632</v>
      </c>
      <c r="AB103">
        <f>(AA103 * K103) + (0.045 * T103)</f>
        <v>5.3956155016446863E-2</v>
      </c>
      <c r="AC103">
        <f>$AQ$2</f>
        <v>0.08</v>
      </c>
      <c r="AD103">
        <f>(AA103 * ((1 - L103) + (0.04 * AA103))) * ( 1 - AC103 )</f>
        <v>0.26142480853751304</v>
      </c>
      <c r="AE103">
        <f>$AQ$1</f>
        <v>0.19</v>
      </c>
      <c r="AF103">
        <f>$AR$20</f>
        <v>0.6784</v>
      </c>
      <c r="AG103">
        <f>AD103 * AE103 * N103 * P103 * AF103</f>
        <v>2.2441943672753649E-5</v>
      </c>
      <c r="AH103">
        <f>AD103*AE103*O103*Q103*AF103</f>
        <v>1.5823154030060815E-4</v>
      </c>
      <c r="AI103">
        <f t="shared" si="20"/>
        <v>1.806734839733618E-4</v>
      </c>
      <c r="AJ103">
        <f>G103*AI103*J103</f>
        <v>1.0716196018170023</v>
      </c>
      <c r="AU103" s="8"/>
      <c r="AV103" s="6"/>
      <c r="BF103" s="4"/>
    </row>
    <row r="104" spans="1:58" x14ac:dyDescent="0.2">
      <c r="E104" s="13"/>
      <c r="F104" t="s">
        <v>166</v>
      </c>
      <c r="G104">
        <v>80</v>
      </c>
      <c r="H104">
        <v>0</v>
      </c>
      <c r="I104">
        <v>0</v>
      </c>
      <c r="J104">
        <f>$AQ$3</f>
        <v>91.25</v>
      </c>
      <c r="K104">
        <v>0.2</v>
      </c>
      <c r="L104">
        <v>0.75</v>
      </c>
      <c r="M104">
        <v>55</v>
      </c>
      <c r="N104">
        <f t="shared" si="16"/>
        <v>9.000000000000119E-4</v>
      </c>
      <c r="O104">
        <f>O101</f>
        <v>0.99909999999999999</v>
      </c>
      <c r="P104">
        <f>P101</f>
        <v>0.74</v>
      </c>
      <c r="Q104">
        <f>$AQ$10</f>
        <v>4.7000000000000002E-3</v>
      </c>
      <c r="R104">
        <f>(H104/100)*(MIN(I104,100)/100)</f>
        <v>0</v>
      </c>
      <c r="S104">
        <v>0</v>
      </c>
      <c r="T104">
        <f t="shared" si="17"/>
        <v>0</v>
      </c>
      <c r="U104">
        <f>$AT$1</f>
        <v>1.3</v>
      </c>
      <c r="V104">
        <f>R104*U104+(1-R104)</f>
        <v>1</v>
      </c>
      <c r="W104">
        <f>(0.795*L104)-0.0014</f>
        <v>0.5948500000000001</v>
      </c>
      <c r="X104">
        <v>0.9</v>
      </c>
      <c r="Y104">
        <f t="shared" si="18"/>
        <v>0.80210130091638532</v>
      </c>
      <c r="Z104">
        <f>(104.7*W104+0.307*M104-15)*(M104^0.75)*10^-3</f>
        <v>1.2959122541335131</v>
      </c>
      <c r="AA104">
        <f t="shared" si="19"/>
        <v>1.0394529049139762</v>
      </c>
      <c r="AB104">
        <f>(AA104 * K104) + (0.045 * T104)</f>
        <v>0.20789058098279525</v>
      </c>
      <c r="AC104">
        <f>$AQ$2</f>
        <v>0.08</v>
      </c>
      <c r="AD104">
        <f>(AA104 * ((1 - L104) + (0.04 * AA104))) * ( 1 - AC104 )</f>
        <v>0.27883518229866955</v>
      </c>
      <c r="AE104">
        <f>$AQ$1</f>
        <v>0.19</v>
      </c>
      <c r="AF104">
        <f>$AR$20</f>
        <v>0.6784</v>
      </c>
      <c r="AG104">
        <f>AD104 * AE104 * N104 * P104 * AF104</f>
        <v>2.3936532611941481E-5</v>
      </c>
      <c r="AH104">
        <f>AD104*AE104*O104*Q104*AF104</f>
        <v>1.6876944706182423E-4</v>
      </c>
      <c r="AI104">
        <f t="shared" si="20"/>
        <v>1.9270597967376571E-4</v>
      </c>
      <c r="AJ104">
        <f>G104*AI104*J104</f>
        <v>1.4067536516184898</v>
      </c>
      <c r="AU104" s="8"/>
      <c r="AV104" s="8"/>
      <c r="BF104" s="2"/>
    </row>
    <row r="105" spans="1:58" x14ac:dyDescent="0.2">
      <c r="E105" s="12" t="s">
        <v>171</v>
      </c>
      <c r="F105" t="s">
        <v>163</v>
      </c>
      <c r="G105">
        <v>200</v>
      </c>
      <c r="H105">
        <v>0</v>
      </c>
      <c r="I105">
        <v>0</v>
      </c>
      <c r="J105">
        <f>$AQ$3</f>
        <v>91.25</v>
      </c>
      <c r="K105">
        <v>0.16</v>
      </c>
      <c r="L105">
        <v>0.7</v>
      </c>
      <c r="M105">
        <v>40</v>
      </c>
      <c r="N105">
        <f t="shared" si="16"/>
        <v>9.000000000000119E-4</v>
      </c>
      <c r="O105">
        <f>O101</f>
        <v>0.99909999999999999</v>
      </c>
      <c r="P105">
        <f>P101</f>
        <v>0.74</v>
      </c>
      <c r="Q105">
        <f>$AQ$10</f>
        <v>4.7000000000000002E-3</v>
      </c>
      <c r="R105">
        <f>(H105/100)*(MIN(I105,100)/100)</f>
        <v>0</v>
      </c>
      <c r="S105">
        <v>1</v>
      </c>
      <c r="T105">
        <f t="shared" si="17"/>
        <v>1.6</v>
      </c>
      <c r="U105">
        <f>$AT$1</f>
        <v>1.3</v>
      </c>
      <c r="V105">
        <f>R105*U105+(1-R105)</f>
        <v>1</v>
      </c>
      <c r="W105">
        <f>(0.795*L105)-0.0014</f>
        <v>0.55510000000000004</v>
      </c>
      <c r="X105">
        <v>4</v>
      </c>
      <c r="Y105">
        <f t="shared" si="18"/>
        <v>0.99999999999998734</v>
      </c>
      <c r="Z105">
        <f>(104.7*W105+0.307*M105-15)*(M105^0.75)*10^-3</f>
        <v>0.88114358489687972</v>
      </c>
      <c r="AA105">
        <f t="shared" si="19"/>
        <v>0.88114358489686861</v>
      </c>
      <c r="AB105">
        <f>(AA105 * K105) + (0.045 * T105)</f>
        <v>0.21298297358349899</v>
      </c>
      <c r="AC105">
        <f>$AQ$2</f>
        <v>0.08</v>
      </c>
      <c r="AD105">
        <f>(AA105 * ((1 - L105) + (0.04 * AA105))) * ( 1 - AC105 )</f>
        <v>0.27176766526467627</v>
      </c>
      <c r="AE105">
        <f>$AQ$1</f>
        <v>0.19</v>
      </c>
      <c r="AF105">
        <f>$AR$20</f>
        <v>0.6784</v>
      </c>
      <c r="AG105">
        <f>AD105 * AE105 * N105 * P105 * AF105</f>
        <v>2.3329823477982807E-5</v>
      </c>
      <c r="AH105">
        <f>AD105*AE105*O105*Q105*AF105</f>
        <v>1.6449171950931818E-4</v>
      </c>
      <c r="AI105">
        <f t="shared" si="20"/>
        <v>1.87821542987301E-4</v>
      </c>
      <c r="AJ105">
        <f>G105*AI105*J105</f>
        <v>3.427743159518243</v>
      </c>
      <c r="AU105" s="8"/>
      <c r="AV105" s="8"/>
      <c r="BF105" s="4"/>
    </row>
    <row r="106" spans="1:58" x14ac:dyDescent="0.2">
      <c r="E106" s="13"/>
      <c r="F106" t="s">
        <v>164</v>
      </c>
      <c r="G106">
        <v>210</v>
      </c>
      <c r="H106">
        <v>0</v>
      </c>
      <c r="I106">
        <v>0</v>
      </c>
      <c r="J106">
        <f>$AQ$3</f>
        <v>91.25</v>
      </c>
      <c r="K106">
        <v>7.0000000000000007E-2</v>
      </c>
      <c r="L106">
        <v>0.55000000000000004</v>
      </c>
      <c r="M106">
        <v>45</v>
      </c>
      <c r="N106">
        <f t="shared" si="16"/>
        <v>9.000000000000119E-4</v>
      </c>
      <c r="O106">
        <f>O101</f>
        <v>0.99909999999999999</v>
      </c>
      <c r="P106">
        <f>P101</f>
        <v>0.74</v>
      </c>
      <c r="Q106">
        <f>$AQ$10</f>
        <v>4.7000000000000002E-3</v>
      </c>
      <c r="R106">
        <f>(H106/100)*(MIN(I106,100)/100)</f>
        <v>0</v>
      </c>
      <c r="S106">
        <v>0</v>
      </c>
      <c r="T106">
        <f t="shared" si="17"/>
        <v>0</v>
      </c>
      <c r="U106">
        <f>$AT$1</f>
        <v>1.3</v>
      </c>
      <c r="V106">
        <f>R106*U106+(1-R106)</f>
        <v>1</v>
      </c>
      <c r="W106">
        <f>(0.795*L106)-0.0014</f>
        <v>0.43585000000000007</v>
      </c>
      <c r="X106">
        <v>2.5</v>
      </c>
      <c r="Y106">
        <f t="shared" si="18"/>
        <v>0.99999627334682795</v>
      </c>
      <c r="Z106">
        <f>(104.7*W106+0.307*M106-15)*(M106^0.75)*10^-3</f>
        <v>0.77226516609487061</v>
      </c>
      <c r="AA106">
        <f t="shared" si="19"/>
        <v>0.77226228813043973</v>
      </c>
      <c r="AB106">
        <f>(AA106 * K106) + (0.045 * T106)</f>
        <v>5.4058360169130786E-2</v>
      </c>
      <c r="AC106">
        <f>$AQ$2</f>
        <v>0.08</v>
      </c>
      <c r="AD106">
        <f>(AA106 * ((1 - L106) + (0.04 * AA106))) * ( 1 - AC106 )</f>
        <v>0.34166370401940144</v>
      </c>
      <c r="AE106">
        <f>$AQ$1</f>
        <v>0.19</v>
      </c>
      <c r="AF106">
        <f>$AR$20</f>
        <v>0.6784</v>
      </c>
      <c r="AG106">
        <f>AD106 * AE106 * N106 * P106 * AF106</f>
        <v>2.9330030472328039E-5</v>
      </c>
      <c r="AH106">
        <f>AD106*AE106*O106*Q106*AF106</f>
        <v>2.0679741319976281E-4</v>
      </c>
      <c r="AI106">
        <f t="shared" si="20"/>
        <v>2.3612744367209086E-4</v>
      </c>
      <c r="AJ106">
        <f>G106*AI106*J106</f>
        <v>4.5247921393664408</v>
      </c>
      <c r="AU106" s="8"/>
      <c r="AV106" s="8"/>
      <c r="BF106" s="2"/>
    </row>
    <row r="107" spans="1:58" x14ac:dyDescent="0.2">
      <c r="E107" s="12"/>
      <c r="F107" t="s">
        <v>165</v>
      </c>
      <c r="G107">
        <v>170</v>
      </c>
      <c r="H107">
        <v>0</v>
      </c>
      <c r="I107">
        <v>0</v>
      </c>
      <c r="J107">
        <f>$AQ$3</f>
        <v>91.25</v>
      </c>
      <c r="K107">
        <v>0.09</v>
      </c>
      <c r="L107">
        <v>0.55000000000000004</v>
      </c>
      <c r="M107">
        <v>20</v>
      </c>
      <c r="N107">
        <f t="shared" si="16"/>
        <v>9.000000000000119E-4</v>
      </c>
      <c r="O107">
        <f>O101</f>
        <v>0.99909999999999999</v>
      </c>
      <c r="P107">
        <f>P101</f>
        <v>0.74</v>
      </c>
      <c r="Q107">
        <f>$AQ$10</f>
        <v>4.7000000000000002E-3</v>
      </c>
      <c r="R107">
        <f>(H107/100)*(MIN(I107,100)/100)</f>
        <v>0</v>
      </c>
      <c r="S107">
        <v>0</v>
      </c>
      <c r="T107">
        <f t="shared" si="17"/>
        <v>0</v>
      </c>
      <c r="U107">
        <f>$AT$1</f>
        <v>1.3</v>
      </c>
      <c r="V107">
        <f>R107*U107+(1-R107)</f>
        <v>1</v>
      </c>
      <c r="W107">
        <f>(0.795*L107)-0.0014</f>
        <v>0.43585000000000007</v>
      </c>
      <c r="X107">
        <v>0.7</v>
      </c>
      <c r="Y107">
        <f t="shared" si="18"/>
        <v>0.62468890114860043</v>
      </c>
      <c r="Z107">
        <f>(104.7*W107+0.307*M107-15)*(M107^0.75)*10^-3</f>
        <v>0.34778224329970253</v>
      </c>
      <c r="AA107">
        <f t="shared" si="19"/>
        <v>0.21725570740588637</v>
      </c>
      <c r="AB107">
        <f>(AA107 * K107) + (0.045 * T107)</f>
        <v>1.9553013666529773E-2</v>
      </c>
      <c r="AC107">
        <f>$AQ$2</f>
        <v>0.08</v>
      </c>
      <c r="AD107">
        <f>(AA107 * ((1 - L107) + (0.04 * AA107))) * ( 1 - AC107 )</f>
        <v>9.1680824426372848E-2</v>
      </c>
      <c r="AE107">
        <f>$AQ$1</f>
        <v>0.19</v>
      </c>
      <c r="AF107">
        <f>$AR$20</f>
        <v>0.6784</v>
      </c>
      <c r="AG107">
        <f>AD107 * AE107 * N107 * P107 * AF107</f>
        <v>7.870316169144433E-6</v>
      </c>
      <c r="AH107">
        <f>AD107*AE107*O107*Q107*AF107</f>
        <v>5.5491283119493799E-5</v>
      </c>
      <c r="AI107">
        <f t="shared" si="20"/>
        <v>6.3361599288638238E-5</v>
      </c>
      <c r="AJ107">
        <f>G107*AI107*J107</f>
        <v>0.98289680896500065</v>
      </c>
      <c r="AU107" s="8"/>
      <c r="AV107" s="8"/>
      <c r="BF107" s="4"/>
    </row>
    <row r="108" spans="1:58" x14ac:dyDescent="0.2">
      <c r="E108" s="13"/>
      <c r="F108" t="s">
        <v>166</v>
      </c>
      <c r="G108">
        <v>200</v>
      </c>
      <c r="H108">
        <v>0</v>
      </c>
      <c r="I108">
        <v>0</v>
      </c>
      <c r="J108">
        <f>$AQ$3</f>
        <v>91.25</v>
      </c>
      <c r="K108">
        <v>0.2</v>
      </c>
      <c r="L108">
        <v>0.75</v>
      </c>
      <c r="M108">
        <v>30</v>
      </c>
      <c r="N108">
        <f t="shared" si="16"/>
        <v>9.000000000000119E-4</v>
      </c>
      <c r="O108">
        <f>O101</f>
        <v>0.99909999999999999</v>
      </c>
      <c r="P108">
        <f>P101</f>
        <v>0.74</v>
      </c>
      <c r="Q108">
        <f>$AQ$10</f>
        <v>4.7000000000000002E-3</v>
      </c>
      <c r="R108">
        <f>(H108/100)*(MIN(I108,100)/100)</f>
        <v>0</v>
      </c>
      <c r="S108">
        <v>0</v>
      </c>
      <c r="T108">
        <f t="shared" si="17"/>
        <v>0</v>
      </c>
      <c r="U108">
        <f>$AT$1</f>
        <v>1.3</v>
      </c>
      <c r="V108">
        <f>R108*U108+(1-R108)</f>
        <v>1</v>
      </c>
      <c r="W108">
        <f>(0.795*L108)-0.0014</f>
        <v>0.5948500000000001</v>
      </c>
      <c r="X108">
        <v>0.9</v>
      </c>
      <c r="Y108">
        <f t="shared" si="18"/>
        <v>0.80210130091638532</v>
      </c>
      <c r="Z108">
        <f>(104.7*W108+0.307*M108-15)*(M108^0.75)*10^-3</f>
        <v>0.72413348053480053</v>
      </c>
      <c r="AA108">
        <f t="shared" si="19"/>
        <v>0.58082840677407355</v>
      </c>
      <c r="AB108">
        <f>(AA108 * K108) + (0.045 * T108)</f>
        <v>0.11616568135481471</v>
      </c>
      <c r="AC108">
        <f>$AQ$2</f>
        <v>0.08</v>
      </c>
      <c r="AD108">
        <f>(AA108 * ((1 - L108) + (0.04 * AA108))) * ( 1 - AC108 )</f>
        <v>0.146005441840695</v>
      </c>
      <c r="AE108">
        <f>$AQ$1</f>
        <v>0.19</v>
      </c>
      <c r="AF108">
        <f>$AR$20</f>
        <v>0.6784</v>
      </c>
      <c r="AG108">
        <f>AD108 * AE108 * N108 * P108 * AF108</f>
        <v>1.2533798609377981E-5</v>
      </c>
      <c r="AH108">
        <f>AD108*AE108*O108*Q108*AF108</f>
        <v>8.8372125369306421E-5</v>
      </c>
      <c r="AI108">
        <f t="shared" si="20"/>
        <v>1.009059239786844E-4</v>
      </c>
      <c r="AJ108">
        <f>G108*AI108*J108</f>
        <v>1.8415331126109904</v>
      </c>
      <c r="AU108" s="8"/>
      <c r="AV108" s="8"/>
      <c r="BF108" s="2"/>
    </row>
    <row r="109" spans="1:58" x14ac:dyDescent="0.2">
      <c r="E109" s="12" t="s">
        <v>168</v>
      </c>
      <c r="F109" t="s">
        <v>163</v>
      </c>
      <c r="G109">
        <v>100</v>
      </c>
      <c r="H109">
        <v>95</v>
      </c>
      <c r="I109">
        <v>92</v>
      </c>
      <c r="J109">
        <f>$AQ$3</f>
        <v>91.25</v>
      </c>
      <c r="K109">
        <v>0.16</v>
      </c>
      <c r="L109">
        <v>0.7</v>
      </c>
      <c r="M109">
        <v>52</v>
      </c>
      <c r="N109">
        <f t="shared" si="16"/>
        <v>9.000000000000119E-4</v>
      </c>
      <c r="O109">
        <f>O101</f>
        <v>0.99909999999999999</v>
      </c>
      <c r="P109">
        <f>P101</f>
        <v>0.74</v>
      </c>
      <c r="Q109">
        <f>$AQ$10</f>
        <v>4.7000000000000002E-3</v>
      </c>
      <c r="R109">
        <f>(H109/100)*(MIN(I109,100)/100)</f>
        <v>0.874</v>
      </c>
      <c r="S109">
        <v>0</v>
      </c>
      <c r="T109">
        <f t="shared" si="17"/>
        <v>0</v>
      </c>
      <c r="U109">
        <f>$AT$1</f>
        <v>1.3</v>
      </c>
      <c r="V109">
        <f>R109*U109+(1-R109)</f>
        <v>1.2622</v>
      </c>
      <c r="W109">
        <f>(0.795*L109)-0.0014</f>
        <v>0.55510000000000004</v>
      </c>
      <c r="X109">
        <v>4</v>
      </c>
      <c r="Y109">
        <f t="shared" si="18"/>
        <v>0.99999999999998734</v>
      </c>
      <c r="Z109">
        <f>(104.7*W109+0.307*M109-15)*(M109^0.75)*10^-3</f>
        <v>1.1441022143482507</v>
      </c>
      <c r="AA109">
        <f t="shared" si="19"/>
        <v>1.4440858149503437</v>
      </c>
      <c r="AB109">
        <f>(AA109 * K109) + (0.045 * T109)</f>
        <v>0.23105373039205501</v>
      </c>
      <c r="AC109">
        <f>$AQ$2</f>
        <v>0.08</v>
      </c>
      <c r="AD109">
        <f>(AA109 * ((1 - L109) + (0.04 * AA109))) * ( 1 - AC109 )</f>
        <v>0.4753098102729163</v>
      </c>
      <c r="AE109">
        <f>$AQ$1</f>
        <v>0.19</v>
      </c>
      <c r="AF109">
        <f>$AR$20</f>
        <v>0.6784</v>
      </c>
      <c r="AG109">
        <f>AD109 * AE109 * N109 * P109 * AF109</f>
        <v>4.080284518108913E-5</v>
      </c>
      <c r="AH109">
        <f>AD109*AE109*O109*Q109*AF109</f>
        <v>2.8768885332732788E-4</v>
      </c>
      <c r="AI109">
        <f t="shared" si="20"/>
        <v>3.28491698508417E-4</v>
      </c>
      <c r="AJ109">
        <f>G109*AI109*J109</f>
        <v>2.9974867488893051</v>
      </c>
      <c r="AU109" s="8"/>
      <c r="AV109" s="8"/>
      <c r="BF109" s="4"/>
    </row>
    <row r="110" spans="1:58" x14ac:dyDescent="0.2">
      <c r="E110" s="13"/>
      <c r="F110" t="s">
        <v>164</v>
      </c>
      <c r="G110">
        <v>140</v>
      </c>
      <c r="H110">
        <v>0</v>
      </c>
      <c r="I110">
        <v>0</v>
      </c>
      <c r="J110">
        <f>$AQ$3</f>
        <v>91.25</v>
      </c>
      <c r="K110">
        <v>7.0000000000000007E-2</v>
      </c>
      <c r="L110">
        <v>0.55000000000000004</v>
      </c>
      <c r="M110">
        <v>52</v>
      </c>
      <c r="N110">
        <f t="shared" si="16"/>
        <v>9.000000000000119E-4</v>
      </c>
      <c r="O110">
        <f>O101</f>
        <v>0.99909999999999999</v>
      </c>
      <c r="P110">
        <f>P101</f>
        <v>0.74</v>
      </c>
      <c r="Q110">
        <f>$AQ$10</f>
        <v>4.7000000000000002E-3</v>
      </c>
      <c r="R110">
        <f>(H110/100)*(MIN(I110,100)/100)</f>
        <v>0</v>
      </c>
      <c r="S110">
        <v>0</v>
      </c>
      <c r="T110">
        <f t="shared" si="17"/>
        <v>0</v>
      </c>
      <c r="U110">
        <f>$AT$1</f>
        <v>1.3</v>
      </c>
      <c r="V110">
        <f>R110*U110+(1-R110)</f>
        <v>1</v>
      </c>
      <c r="W110">
        <f>(0.795*L110)-0.0014</f>
        <v>0.43585000000000007</v>
      </c>
      <c r="X110">
        <v>2.5</v>
      </c>
      <c r="Y110">
        <f t="shared" si="18"/>
        <v>0.99999627334682795</v>
      </c>
      <c r="Z110">
        <f>(104.7*W110+0.307*M110-15)*(M110^0.75)*10^-3</f>
        <v>0.90232933809152693</v>
      </c>
      <c r="AA110">
        <f t="shared" si="19"/>
        <v>0.90232597542303694</v>
      </c>
      <c r="AB110">
        <f>(AA110 * K110) + (0.045 * T110)</f>
        <v>6.3162818279612593E-2</v>
      </c>
      <c r="AC110">
        <f>$AQ$2</f>
        <v>0.08</v>
      </c>
      <c r="AD110">
        <f>(AA110 * ((1 - L110) + (0.04 * AA110))) * ( 1 - AC110 )</f>
        <v>0.40352522553110864</v>
      </c>
      <c r="AE110">
        <f>$AQ$1</f>
        <v>0.19</v>
      </c>
      <c r="AF110">
        <f>$AR$20</f>
        <v>0.6784</v>
      </c>
      <c r="AG110">
        <f>AD110 * AE110 * N110 * P110 * AF110</f>
        <v>3.4640516455058942E-5</v>
      </c>
      <c r="AH110">
        <f>AD110*AE110*O110*Q110*AF110</f>
        <v>2.4424008701827324E-4</v>
      </c>
      <c r="AI110">
        <f t="shared" si="20"/>
        <v>2.7888060347333219E-4</v>
      </c>
      <c r="AJ110">
        <f>G110*AI110*J110</f>
        <v>3.5626997093718185</v>
      </c>
      <c r="AU110" s="8"/>
      <c r="AV110" s="8"/>
      <c r="BF110" s="2"/>
    </row>
    <row r="111" spans="1:58" x14ac:dyDescent="0.2">
      <c r="E111" s="12"/>
      <c r="F111" t="s">
        <v>165</v>
      </c>
      <c r="G111">
        <v>135</v>
      </c>
      <c r="H111">
        <v>0</v>
      </c>
      <c r="I111">
        <v>0</v>
      </c>
      <c r="J111">
        <f>$AQ$3</f>
        <v>91.25</v>
      </c>
      <c r="K111">
        <v>0.09</v>
      </c>
      <c r="L111">
        <v>0.55000000000000004</v>
      </c>
      <c r="M111">
        <v>52</v>
      </c>
      <c r="N111">
        <f t="shared" si="16"/>
        <v>9.000000000000119E-4</v>
      </c>
      <c r="O111">
        <f>O101</f>
        <v>0.99909999999999999</v>
      </c>
      <c r="P111">
        <f>P101</f>
        <v>0.74</v>
      </c>
      <c r="Q111">
        <f>$AQ$10</f>
        <v>4.7000000000000002E-3</v>
      </c>
      <c r="R111">
        <f>(H111/100)*(MIN(I111,100)/100)</f>
        <v>0</v>
      </c>
      <c r="S111">
        <v>0</v>
      </c>
      <c r="T111">
        <f t="shared" si="17"/>
        <v>0</v>
      </c>
      <c r="U111">
        <f>$AT$1</f>
        <v>1.3</v>
      </c>
      <c r="V111">
        <f>R111*U111+(1-R111)</f>
        <v>1</v>
      </c>
      <c r="W111">
        <f>(0.795*L111)-0.0014</f>
        <v>0.43585000000000007</v>
      </c>
      <c r="X111">
        <v>0.7</v>
      </c>
      <c r="Y111">
        <f t="shared" si="18"/>
        <v>0.62468890114860043</v>
      </c>
      <c r="Z111">
        <f>(104.7*W111+0.307*M111-15)*(M111^0.75)*10^-3</f>
        <v>0.90232933809152693</v>
      </c>
      <c r="AA111">
        <f t="shared" si="19"/>
        <v>0.56367512268653996</v>
      </c>
      <c r="AB111">
        <f>(AA111 * K111) + (0.045 * T111)</f>
        <v>5.0730761041788593E-2</v>
      </c>
      <c r="AC111">
        <f>$AQ$2</f>
        <v>0.08</v>
      </c>
      <c r="AD111">
        <f>(AA111 * ((1 - L111) + (0.04 * AA111))) * ( 1 - AC111 )</f>
        <v>0.24505395168906077</v>
      </c>
      <c r="AE111">
        <f>$AQ$1</f>
        <v>0.19</v>
      </c>
      <c r="AF111">
        <f>$AR$20</f>
        <v>0.6784</v>
      </c>
      <c r="AG111">
        <f>AD111 * AE111 * N111 * P111 * AF111</f>
        <v>2.1036591788504458E-5</v>
      </c>
      <c r="AH111">
        <f>AD111*AE111*O111*Q111*AF111</f>
        <v>1.4832281775180818E-4</v>
      </c>
      <c r="AI111">
        <f t="shared" si="20"/>
        <v>1.6935940954031264E-4</v>
      </c>
      <c r="AJ111">
        <f>G111*AI111*J111</f>
        <v>2.0862962262747264</v>
      </c>
      <c r="AU111" s="8"/>
      <c r="AV111" s="8"/>
      <c r="BF111" s="4"/>
    </row>
    <row r="112" spans="1:58" x14ac:dyDescent="0.2">
      <c r="E112" s="13"/>
      <c r="F112" t="s">
        <v>166</v>
      </c>
      <c r="G112">
        <v>130</v>
      </c>
      <c r="H112">
        <v>0</v>
      </c>
      <c r="I112">
        <v>0</v>
      </c>
      <c r="J112">
        <f>$AQ$3</f>
        <v>91.25</v>
      </c>
      <c r="K112">
        <v>0.2</v>
      </c>
      <c r="L112">
        <v>0.75</v>
      </c>
      <c r="M112">
        <v>52</v>
      </c>
      <c r="N112">
        <f t="shared" si="16"/>
        <v>9.000000000000119E-4</v>
      </c>
      <c r="O112">
        <f>O101</f>
        <v>0.99909999999999999</v>
      </c>
      <c r="P112">
        <f>P101</f>
        <v>0.74</v>
      </c>
      <c r="Q112">
        <f>$AQ$10</f>
        <v>4.7000000000000002E-3</v>
      </c>
      <c r="R112">
        <f>(H112/100)*(MIN(I112,100)/100)</f>
        <v>0</v>
      </c>
      <c r="S112">
        <v>0</v>
      </c>
      <c r="T112">
        <f t="shared" si="17"/>
        <v>0</v>
      </c>
      <c r="U112">
        <f>$AT$1</f>
        <v>1.3</v>
      </c>
      <c r="V112">
        <f>R112*U112+(1-R112)</f>
        <v>1</v>
      </c>
      <c r="W112">
        <f>(0.795*L112)-0.0014</f>
        <v>0.5948500000000001</v>
      </c>
      <c r="X112">
        <v>0.9</v>
      </c>
      <c r="Y112">
        <f t="shared" si="18"/>
        <v>0.80210130091638532</v>
      </c>
      <c r="Z112">
        <f>(104.7*W112+0.307*M112-15)*(M112^0.75)*10^-3</f>
        <v>1.224693173100492</v>
      </c>
      <c r="AA112">
        <f t="shared" si="19"/>
        <v>0.98232798736732052</v>
      </c>
      <c r="AB112">
        <f>(AA112 * K112) + (0.045 * T112)</f>
        <v>0.19646559747346412</v>
      </c>
      <c r="AC112">
        <f>$AQ$2</f>
        <v>0.08</v>
      </c>
      <c r="AD112">
        <f>(AA112 * ((1 - L112) + (0.04 * AA112))) * ( 1 - AC112 )</f>
        <v>0.26144626960584055</v>
      </c>
      <c r="AE112">
        <f>$AQ$1</f>
        <v>0.19</v>
      </c>
      <c r="AF112">
        <f>$AR$20</f>
        <v>0.6784</v>
      </c>
      <c r="AG112">
        <f>AD112 * AE112 * N112 * P112 * AF112</f>
        <v>2.2443785992498502E-5</v>
      </c>
      <c r="AH112">
        <f>AD112*AE112*O112*Q112*AF112</f>
        <v>1.582445299549449E-4</v>
      </c>
      <c r="AI112">
        <f t="shared" si="20"/>
        <v>1.8068831594744339E-4</v>
      </c>
      <c r="AJ112">
        <f>G112*AI112*J112</f>
        <v>2.1434151479265471</v>
      </c>
      <c r="AU112" s="8"/>
      <c r="AV112" s="8"/>
      <c r="BF112" s="2"/>
    </row>
    <row r="113" spans="5:64" x14ac:dyDescent="0.2">
      <c r="E113" s="12" t="s">
        <v>170</v>
      </c>
      <c r="F113" t="s">
        <v>163</v>
      </c>
      <c r="G113">
        <v>200</v>
      </c>
      <c r="H113">
        <v>0</v>
      </c>
      <c r="I113">
        <v>0</v>
      </c>
      <c r="J113">
        <f>$AQ$3</f>
        <v>91.25</v>
      </c>
      <c r="K113">
        <v>0.16</v>
      </c>
      <c r="L113">
        <v>0.7</v>
      </c>
      <c r="M113">
        <v>55</v>
      </c>
      <c r="N113">
        <f t="shared" si="16"/>
        <v>9.000000000000119E-4</v>
      </c>
      <c r="O113">
        <f>O101</f>
        <v>0.99909999999999999</v>
      </c>
      <c r="P113">
        <f>P101</f>
        <v>0.74</v>
      </c>
      <c r="Q113">
        <f>$AQ$10</f>
        <v>4.7000000000000002E-3</v>
      </c>
      <c r="R113">
        <f>(H113/100)*(MIN(I113,100)/100)</f>
        <v>0</v>
      </c>
      <c r="S113">
        <v>0</v>
      </c>
      <c r="T113">
        <f t="shared" si="17"/>
        <v>0</v>
      </c>
      <c r="U113">
        <f>$AT$1</f>
        <v>1.3</v>
      </c>
      <c r="V113">
        <f>R113*U113+(1-R113)</f>
        <v>1</v>
      </c>
      <c r="W113">
        <f>(0.795*L113)-0.0014</f>
        <v>0.55510000000000004</v>
      </c>
      <c r="X113">
        <v>4</v>
      </c>
      <c r="Y113">
        <f t="shared" si="18"/>
        <v>0.99999999999998734</v>
      </c>
      <c r="Z113">
        <f>(104.7*W113+0.307*M113-15)*(M113^0.75)*10^-3</f>
        <v>1.2118587484135388</v>
      </c>
      <c r="AA113">
        <f t="shared" si="19"/>
        <v>1.2118587484135235</v>
      </c>
      <c r="AB113">
        <f>(AA113 * K113) + (0.045 * T113)</f>
        <v>0.19389739974616377</v>
      </c>
      <c r="AC113">
        <f>$AQ$2</f>
        <v>0.08</v>
      </c>
      <c r="AD113">
        <f>(AA113 * ((1 - L113) + (0.04 * AA113))) * ( 1 - AC113 )</f>
        <v>0.38851755440284774</v>
      </c>
      <c r="AE113">
        <f>$AQ$1</f>
        <v>0.19</v>
      </c>
      <c r="AF113">
        <f>$AR$20</f>
        <v>0.6784</v>
      </c>
      <c r="AG113">
        <f>AD113 * AE113 * N113 * P113 * AF113</f>
        <v>3.3352186889078542E-5</v>
      </c>
      <c r="AH113">
        <f>AD113*AE113*O113*Q113*AF113</f>
        <v>2.3515645439658601E-4</v>
      </c>
      <c r="AI113">
        <f t="shared" si="20"/>
        <v>2.6850864128566453E-4</v>
      </c>
      <c r="AJ113">
        <f>G113*AI113*J113</f>
        <v>4.9002827034633771</v>
      </c>
      <c r="AU113" s="8"/>
      <c r="AV113" s="8"/>
      <c r="BF113" s="4"/>
    </row>
    <row r="114" spans="5:64" x14ac:dyDescent="0.2">
      <c r="E114" s="13"/>
      <c r="F114" t="s">
        <v>164</v>
      </c>
      <c r="G114">
        <v>210</v>
      </c>
      <c r="H114">
        <v>0</v>
      </c>
      <c r="I114">
        <v>0</v>
      </c>
      <c r="J114">
        <f>$AQ$3</f>
        <v>91.25</v>
      </c>
      <c r="K114">
        <v>7.0000000000000007E-2</v>
      </c>
      <c r="L114">
        <v>0.55000000000000004</v>
      </c>
      <c r="M114">
        <v>55</v>
      </c>
      <c r="N114">
        <f t="shared" si="16"/>
        <v>9.000000000000119E-4</v>
      </c>
      <c r="O114">
        <f>O101</f>
        <v>0.99909999999999999</v>
      </c>
      <c r="P114">
        <f>P101</f>
        <v>0.74</v>
      </c>
      <c r="Q114">
        <f>$AQ$10</f>
        <v>4.7000000000000002E-3</v>
      </c>
      <c r="R114">
        <f>(H114/100)*(MIN(I114,100)/100)</f>
        <v>0</v>
      </c>
      <c r="S114">
        <v>0</v>
      </c>
      <c r="T114">
        <f t="shared" si="17"/>
        <v>0</v>
      </c>
      <c r="U114">
        <f>$AT$1</f>
        <v>1.3</v>
      </c>
      <c r="V114">
        <f>R114*U114+(1-R114)</f>
        <v>1</v>
      </c>
      <c r="W114">
        <f>(0.795*L114)-0.0014</f>
        <v>0.43585000000000007</v>
      </c>
      <c r="X114">
        <v>2.5</v>
      </c>
      <c r="Y114">
        <f t="shared" si="18"/>
        <v>0.99999627334682795</v>
      </c>
      <c r="Z114">
        <f>(104.7*W114+0.307*M114-15)*(M114^0.75)*10^-3</f>
        <v>0.95969823125361531</v>
      </c>
      <c r="AA114">
        <f t="shared" si="19"/>
        <v>0.95969465479115756</v>
      </c>
      <c r="AB114">
        <f>(AA114 * K114) + (0.045 * T114)</f>
        <v>6.7178625835381034E-2</v>
      </c>
      <c r="AC114">
        <f>$AQ$2</f>
        <v>0.08</v>
      </c>
      <c r="AD114">
        <f>(AA114 * ((1 - L114) + (0.04 * AA114))) * ( 1 - AC114 )</f>
        <v>0.43120689604353685</v>
      </c>
      <c r="AE114">
        <f>$AQ$1</f>
        <v>0.19</v>
      </c>
      <c r="AF114">
        <f>$AR$20</f>
        <v>0.6784</v>
      </c>
      <c r="AG114">
        <f>AD114 * AE114 * N114 * P114 * AF114</f>
        <v>3.7016842152237356E-5</v>
      </c>
      <c r="AH114">
        <f>AD114*AE114*O114*Q114*AF114</f>
        <v>2.6099486016998398E-4</v>
      </c>
      <c r="AI114">
        <f t="shared" si="20"/>
        <v>2.9801170232222131E-4</v>
      </c>
      <c r="AJ114">
        <f>G114*AI114*J114</f>
        <v>5.7106492457495657</v>
      </c>
      <c r="AU114" s="8"/>
      <c r="AV114" s="8"/>
      <c r="BF114" s="2"/>
    </row>
    <row r="115" spans="5:64" x14ac:dyDescent="0.2">
      <c r="E115" s="12"/>
      <c r="F115" t="s">
        <v>165</v>
      </c>
      <c r="G115">
        <v>190</v>
      </c>
      <c r="H115">
        <v>0</v>
      </c>
      <c r="I115">
        <v>0</v>
      </c>
      <c r="J115">
        <f>$AQ$3</f>
        <v>91.25</v>
      </c>
      <c r="K115">
        <v>0.09</v>
      </c>
      <c r="L115">
        <v>0.55000000000000004</v>
      </c>
      <c r="M115">
        <v>55</v>
      </c>
      <c r="N115">
        <f t="shared" si="16"/>
        <v>9.000000000000119E-4</v>
      </c>
      <c r="O115">
        <f>O101</f>
        <v>0.99909999999999999</v>
      </c>
      <c r="P115">
        <f>P101</f>
        <v>0.74</v>
      </c>
      <c r="Q115">
        <f>$AQ$10</f>
        <v>4.7000000000000002E-3</v>
      </c>
      <c r="R115">
        <f>(H115/100)*(MIN(I115,100)/100)</f>
        <v>0</v>
      </c>
      <c r="S115">
        <v>0</v>
      </c>
      <c r="T115">
        <f t="shared" si="17"/>
        <v>0</v>
      </c>
      <c r="U115">
        <f>$AT$1</f>
        <v>1.3</v>
      </c>
      <c r="V115">
        <f>R115*U115+(1-R115)</f>
        <v>1</v>
      </c>
      <c r="W115">
        <f>(0.795*L115)-0.0014</f>
        <v>0.43585000000000007</v>
      </c>
      <c r="X115">
        <v>0.7</v>
      </c>
      <c r="Y115">
        <f t="shared" si="18"/>
        <v>0.62468890114860043</v>
      </c>
      <c r="Z115">
        <f>(104.7*W115+0.307*M115-15)*(M115^0.75)*10^-3</f>
        <v>0.95969823125361531</v>
      </c>
      <c r="AA115">
        <f t="shared" si="19"/>
        <v>0.59951283351607632</v>
      </c>
      <c r="AB115">
        <f>(AA115 * K115) + (0.045 * T115)</f>
        <v>5.3956155016446863E-2</v>
      </c>
      <c r="AC115">
        <f>$AQ$2</f>
        <v>0.08</v>
      </c>
      <c r="AD115">
        <f>(AA115 * ((1 - L115) + (0.04 * AA115))) * ( 1 - AC115 )</f>
        <v>0.26142480853751304</v>
      </c>
      <c r="AE115">
        <f>$AQ$1</f>
        <v>0.19</v>
      </c>
      <c r="AF115">
        <f>$AR$20</f>
        <v>0.6784</v>
      </c>
      <c r="AG115">
        <f>AD115 * AE115 * N115 * P115 * AF115</f>
        <v>2.2441943672753649E-5</v>
      </c>
      <c r="AH115">
        <f>AD115*AE115*O115*Q115*AF115</f>
        <v>1.5823154030060815E-4</v>
      </c>
      <c r="AI115">
        <f t="shared" si="20"/>
        <v>1.806734839733618E-4</v>
      </c>
      <c r="AJ115">
        <f>G115*AI115*J115</f>
        <v>3.1324265283881605</v>
      </c>
      <c r="AU115" s="8"/>
      <c r="AV115" s="8"/>
      <c r="BF115" s="4"/>
    </row>
    <row r="116" spans="5:64" x14ac:dyDescent="0.2">
      <c r="E116" s="13"/>
      <c r="F116" t="s">
        <v>166</v>
      </c>
      <c r="G116">
        <v>180</v>
      </c>
      <c r="H116">
        <v>0</v>
      </c>
      <c r="I116">
        <v>0</v>
      </c>
      <c r="J116">
        <f>$AQ$3</f>
        <v>91.25</v>
      </c>
      <c r="K116">
        <v>0.2</v>
      </c>
      <c r="L116">
        <v>0.75</v>
      </c>
      <c r="M116">
        <v>55</v>
      </c>
      <c r="N116">
        <f t="shared" si="16"/>
        <v>9.000000000000119E-4</v>
      </c>
      <c r="O116">
        <f>O101</f>
        <v>0.99909999999999999</v>
      </c>
      <c r="P116">
        <f>P101</f>
        <v>0.74</v>
      </c>
      <c r="Q116">
        <f>$AQ$10</f>
        <v>4.7000000000000002E-3</v>
      </c>
      <c r="R116">
        <f>(H116/100)*(MIN(I116,100)/100)</f>
        <v>0</v>
      </c>
      <c r="S116">
        <v>0</v>
      </c>
      <c r="T116">
        <f t="shared" si="17"/>
        <v>0</v>
      </c>
      <c r="U116">
        <f>$AT$1</f>
        <v>1.3</v>
      </c>
      <c r="V116">
        <f>R116*U116+(1-R116)</f>
        <v>1</v>
      </c>
      <c r="W116">
        <f>(0.795*L116)-0.0014</f>
        <v>0.5948500000000001</v>
      </c>
      <c r="X116">
        <v>0.9</v>
      </c>
      <c r="Y116">
        <f t="shared" si="18"/>
        <v>0.80210130091638532</v>
      </c>
      <c r="Z116">
        <f>(104.7*W116+0.307*M116-15)*(M116^0.75)*10^-3</f>
        <v>1.2959122541335131</v>
      </c>
      <c r="AA116">
        <f t="shared" si="19"/>
        <v>1.0394529049139762</v>
      </c>
      <c r="AB116">
        <f>(AA116 * K116) + (0.045 * T116)</f>
        <v>0.20789058098279525</v>
      </c>
      <c r="AC116">
        <f>$AQ$2</f>
        <v>0.08</v>
      </c>
      <c r="AD116">
        <f>(AA116 * ((1 - L116) + (0.04 * AA116))) * ( 1 - AC116 )</f>
        <v>0.27883518229866955</v>
      </c>
      <c r="AE116">
        <f>$AQ$1</f>
        <v>0.19</v>
      </c>
      <c r="AF116">
        <f>$AR$20</f>
        <v>0.6784</v>
      </c>
      <c r="AG116">
        <f>AD116 * AE116 * N116 * P116 * AF116</f>
        <v>2.3936532611941481E-5</v>
      </c>
      <c r="AH116">
        <f>AD116*AE116*O116*Q116*AF116</f>
        <v>1.6876944706182423E-4</v>
      </c>
      <c r="AI116">
        <f t="shared" si="20"/>
        <v>1.9270597967376571E-4</v>
      </c>
      <c r="AJ116">
        <f>G116*AI116*J116</f>
        <v>3.1651957161416018</v>
      </c>
      <c r="AU116" s="8"/>
      <c r="AV116" s="8"/>
      <c r="BF116" s="2"/>
    </row>
    <row r="117" spans="5:64" x14ac:dyDescent="0.2">
      <c r="E117" s="12" t="s">
        <v>162</v>
      </c>
      <c r="F117" t="s">
        <v>163</v>
      </c>
      <c r="G117">
        <v>50</v>
      </c>
      <c r="H117">
        <v>0</v>
      </c>
      <c r="I117">
        <v>0</v>
      </c>
      <c r="J117">
        <f>$AQ$3</f>
        <v>91.25</v>
      </c>
      <c r="K117">
        <v>0.16</v>
      </c>
      <c r="L117">
        <v>0.7</v>
      </c>
      <c r="M117">
        <v>80</v>
      </c>
      <c r="N117">
        <f t="shared" si="16"/>
        <v>9.000000000000119E-4</v>
      </c>
      <c r="O117">
        <f>O101</f>
        <v>0.99909999999999999</v>
      </c>
      <c r="P117">
        <f>P101</f>
        <v>0.74</v>
      </c>
      <c r="Q117">
        <f>$AQ$10</f>
        <v>4.7000000000000002E-3</v>
      </c>
      <c r="R117">
        <f>(H117/100)*(MIN(I117,100)/100)</f>
        <v>0</v>
      </c>
      <c r="S117">
        <v>0</v>
      </c>
      <c r="T117">
        <f t="shared" si="17"/>
        <v>0</v>
      </c>
      <c r="U117">
        <f>$AT$1</f>
        <v>1.3</v>
      </c>
      <c r="V117">
        <f>R117*U117+(1-R117)</f>
        <v>1</v>
      </c>
      <c r="W117">
        <f>(0.795*L117)-0.0014</f>
        <v>0.55510000000000004</v>
      </c>
      <c r="X117">
        <v>4</v>
      </c>
      <c r="Y117">
        <f t="shared" si="18"/>
        <v>0.99999999999998734</v>
      </c>
      <c r="Z117">
        <f>(104.7*W117+0.307*M117-15)*(M117^0.75)*10^-3</f>
        <v>1.8103862015316043</v>
      </c>
      <c r="AA117">
        <f t="shared" si="19"/>
        <v>1.8103862015315815</v>
      </c>
      <c r="AB117">
        <f>(AA117 * K117) + (0.045 * T117)</f>
        <v>0.28966179224505306</v>
      </c>
      <c r="AC117">
        <f>$AQ$2</f>
        <v>0.08</v>
      </c>
      <c r="AD117">
        <f>(AA117 * ((1 - L117) + (0.04 * AA117))) * ( 1 - AC117 )</f>
        <v>0.62027852533472749</v>
      </c>
      <c r="AE117">
        <f>$AQ$1</f>
        <v>0.19</v>
      </c>
      <c r="AF117">
        <f>$AR$20</f>
        <v>0.6784</v>
      </c>
      <c r="AG117">
        <f>AD117 * AE117 * N117 * P117 * AF117</f>
        <v>5.32476462538297E-5</v>
      </c>
      <c r="AH117">
        <f>AD117*AE117*O117*Q117*AF117</f>
        <v>3.7543348325727111E-4</v>
      </c>
      <c r="AI117">
        <f t="shared" si="20"/>
        <v>4.2868112951110083E-4</v>
      </c>
      <c r="AJ117">
        <f>G117*AI117*J117</f>
        <v>1.9558576533943974</v>
      </c>
      <c r="AU117" s="8"/>
      <c r="AV117" s="8"/>
      <c r="BF117" s="4"/>
    </row>
    <row r="118" spans="5:64" x14ac:dyDescent="0.2">
      <c r="E118" s="13"/>
      <c r="F118" t="s">
        <v>164</v>
      </c>
      <c r="G118">
        <v>55</v>
      </c>
      <c r="H118">
        <v>0</v>
      </c>
      <c r="I118">
        <v>0</v>
      </c>
      <c r="J118">
        <f>$AQ$3</f>
        <v>91.25</v>
      </c>
      <c r="K118">
        <v>7.0000000000000007E-2</v>
      </c>
      <c r="L118">
        <v>0.55000000000000004</v>
      </c>
      <c r="M118">
        <v>70</v>
      </c>
      <c r="N118">
        <f t="shared" si="16"/>
        <v>9.000000000000119E-4</v>
      </c>
      <c r="O118">
        <f>O101</f>
        <v>0.99909999999999999</v>
      </c>
      <c r="P118">
        <f>P101</f>
        <v>0.74</v>
      </c>
      <c r="Q118">
        <f>$AQ$10</f>
        <v>4.7000000000000002E-3</v>
      </c>
      <c r="R118">
        <f>(H118/100)*(MIN(I118,100)/100)</f>
        <v>0</v>
      </c>
      <c r="S118">
        <v>0</v>
      </c>
      <c r="T118">
        <f t="shared" si="17"/>
        <v>0</v>
      </c>
      <c r="U118">
        <f>$AT$1</f>
        <v>1.3</v>
      </c>
      <c r="V118">
        <f>R118*U118+(1-R118)</f>
        <v>1</v>
      </c>
      <c r="W118">
        <f>(0.795*L118)-0.0014</f>
        <v>0.43585000000000007</v>
      </c>
      <c r="X118">
        <v>2.5</v>
      </c>
      <c r="Y118">
        <f t="shared" si="18"/>
        <v>0.99999627334682795</v>
      </c>
      <c r="Z118">
        <f>(104.7*W118+0.307*M118-15)*(M118^0.75)*10^-3</f>
        <v>1.2614122912776211</v>
      </c>
      <c r="AA118">
        <f t="shared" si="19"/>
        <v>1.2614075904315045</v>
      </c>
      <c r="AB118">
        <f>(AA118 * K118) + (0.045 * T118)</f>
        <v>8.8298531330205321E-2</v>
      </c>
      <c r="AC118">
        <f>$AQ$2</f>
        <v>0.08</v>
      </c>
      <c r="AD118">
        <f>(AA118 * ((1 - L118) + (0.04 * AA118))) * ( 1 - AC118 )</f>
        <v>0.58077702965713707</v>
      </c>
      <c r="AE118">
        <f>$AQ$1</f>
        <v>0.19</v>
      </c>
      <c r="AF118">
        <f>$AR$20</f>
        <v>0.6784</v>
      </c>
      <c r="AG118">
        <f>AD118 * AE118 * N118 * P118 * AF118</f>
        <v>4.9856650785781762E-5</v>
      </c>
      <c r="AH118">
        <f>AD118*AE118*O118*Q118*AF118</f>
        <v>3.5152457216268364E-4</v>
      </c>
      <c r="AI118">
        <f t="shared" si="20"/>
        <v>4.0138122294846538E-4</v>
      </c>
      <c r="AJ118">
        <f>G118*AI118*J118</f>
        <v>2.0144320126726107</v>
      </c>
      <c r="AU118" s="8"/>
      <c r="AV118" s="8"/>
      <c r="BF118" s="2"/>
    </row>
    <row r="119" spans="5:64" x14ac:dyDescent="0.2">
      <c r="E119" s="12"/>
      <c r="F119" t="s">
        <v>165</v>
      </c>
      <c r="G119">
        <v>60</v>
      </c>
      <c r="H119">
        <v>0</v>
      </c>
      <c r="I119">
        <v>0</v>
      </c>
      <c r="J119">
        <f>$AQ$3</f>
        <v>91.25</v>
      </c>
      <c r="K119">
        <v>0.09</v>
      </c>
      <c r="L119">
        <v>0.55000000000000004</v>
      </c>
      <c r="M119">
        <v>70</v>
      </c>
      <c r="N119">
        <f t="shared" si="16"/>
        <v>9.000000000000119E-4</v>
      </c>
      <c r="O119">
        <f>O101</f>
        <v>0.99909999999999999</v>
      </c>
      <c r="P119">
        <f>P101</f>
        <v>0.74</v>
      </c>
      <c r="Q119">
        <f>$AQ$10</f>
        <v>4.7000000000000002E-3</v>
      </c>
      <c r="R119">
        <f>(H119/100)*(MIN(I119,100)/100)</f>
        <v>0</v>
      </c>
      <c r="S119">
        <v>0</v>
      </c>
      <c r="T119">
        <f t="shared" si="17"/>
        <v>0</v>
      </c>
      <c r="U119">
        <f>$AT$1</f>
        <v>1.3</v>
      </c>
      <c r="V119">
        <f>R119*U119+(1-R119)</f>
        <v>1</v>
      </c>
      <c r="W119">
        <f>(0.795*L119)-0.0014</f>
        <v>0.43585000000000007</v>
      </c>
      <c r="X119">
        <v>0.7</v>
      </c>
      <c r="Y119">
        <f t="shared" si="18"/>
        <v>0.62468890114860043</v>
      </c>
      <c r="Z119">
        <f>(104.7*W119+0.307*M119-15)*(M119^0.75)*10^-3</f>
        <v>1.2614122912776211</v>
      </c>
      <c r="AA119">
        <f t="shared" si="19"/>
        <v>0.78799025813355539</v>
      </c>
      <c r="AB119">
        <f>(AA119 * K119) + (0.045 * T119)</f>
        <v>7.0919123232019987E-2</v>
      </c>
      <c r="AC119">
        <f>$AQ$2</f>
        <v>0.08</v>
      </c>
      <c r="AD119">
        <f>(AA119 * ((1 - L119) + (0.04 * AA119))) * ( 1 - AC119 )</f>
        <v>0.34907814107370461</v>
      </c>
      <c r="AE119">
        <f>$AQ$1</f>
        <v>0.19</v>
      </c>
      <c r="AF119">
        <f>$AR$20</f>
        <v>0.6784</v>
      </c>
      <c r="AG119">
        <f>AD119 * AE119 * N119 * P119 * AF119</f>
        <v>2.9966520863843322E-5</v>
      </c>
      <c r="AH119">
        <f>AD119*AE119*O119*Q119*AF119</f>
        <v>2.112851196348464E-4</v>
      </c>
      <c r="AI119">
        <f t="shared" si="20"/>
        <v>2.4125164049868973E-4</v>
      </c>
      <c r="AJ119">
        <f>G119*AI119*J119</f>
        <v>1.3208527317303262</v>
      </c>
      <c r="AU119" s="8"/>
      <c r="AV119" s="8"/>
      <c r="BF119" s="4"/>
    </row>
    <row r="120" spans="5:64" x14ac:dyDescent="0.2">
      <c r="E120" s="13"/>
      <c r="F120" t="s">
        <v>166</v>
      </c>
      <c r="G120">
        <v>65</v>
      </c>
      <c r="H120">
        <v>0</v>
      </c>
      <c r="I120">
        <v>0</v>
      </c>
      <c r="J120">
        <f>$AQ$3</f>
        <v>91.25</v>
      </c>
      <c r="K120">
        <v>0.2</v>
      </c>
      <c r="L120">
        <v>0.75</v>
      </c>
      <c r="M120">
        <v>70</v>
      </c>
      <c r="N120">
        <f t="shared" si="16"/>
        <v>9.000000000000119E-4</v>
      </c>
      <c r="O120">
        <f>O101</f>
        <v>0.99909999999999999</v>
      </c>
      <c r="P120">
        <f>P101</f>
        <v>0.74</v>
      </c>
      <c r="Q120">
        <f>$AQ$10</f>
        <v>4.7000000000000002E-3</v>
      </c>
      <c r="R120">
        <f>(H120/100)*(MIN(I120,100)/100)</f>
        <v>0</v>
      </c>
      <c r="S120">
        <v>0</v>
      </c>
      <c r="T120">
        <f t="shared" si="17"/>
        <v>0</v>
      </c>
      <c r="U120">
        <f>$AT$1</f>
        <v>1.3</v>
      </c>
      <c r="V120">
        <f>R120*U120+(1-R120)</f>
        <v>1</v>
      </c>
      <c r="W120">
        <f>(0.795*L120)-0.0014</f>
        <v>0.5948500000000001</v>
      </c>
      <c r="X120">
        <v>0.9</v>
      </c>
      <c r="Y120">
        <f t="shared" si="18"/>
        <v>0.80210130091638532</v>
      </c>
      <c r="Z120">
        <f>(104.7*W120+0.307*M120-15)*(M120^0.75)*10^-3</f>
        <v>1.6642845245495062</v>
      </c>
      <c r="AA120">
        <f t="shared" si="19"/>
        <v>1.3349247822361667</v>
      </c>
      <c r="AB120">
        <f>(AA120 * K120) + (0.045 * T120)</f>
        <v>0.26698495644723336</v>
      </c>
      <c r="AC120">
        <f>$AQ$2</f>
        <v>0.08</v>
      </c>
      <c r="AD120">
        <f>(AA120 * ((1 - L120) + (0.04 * AA120))) * ( 1 - AC120 )</f>
        <v>0.37261118952591898</v>
      </c>
      <c r="AE120">
        <f>$AQ$1</f>
        <v>0.19</v>
      </c>
      <c r="AF120">
        <f>$AR$20</f>
        <v>0.6784</v>
      </c>
      <c r="AG120">
        <f>AD120 * AE120 * N120 * P120 * AF120</f>
        <v>3.1986709195498905E-5</v>
      </c>
      <c r="AH120">
        <f>AD120*AE120*O120*Q120*AF120</f>
        <v>2.2552887303145029E-4</v>
      </c>
      <c r="AI120">
        <f t="shared" si="20"/>
        <v>2.5751558222694921E-4</v>
      </c>
      <c r="AJ120">
        <f>G120*AI120*J120</f>
        <v>1.5273892970835925</v>
      </c>
      <c r="BF120" s="7"/>
    </row>
    <row r="121" spans="5:64" x14ac:dyDescent="0.2">
      <c r="E121" s="12" t="s">
        <v>167</v>
      </c>
      <c r="F121" t="s">
        <v>163</v>
      </c>
      <c r="G121">
        <v>50</v>
      </c>
      <c r="H121">
        <v>0</v>
      </c>
      <c r="I121">
        <v>0</v>
      </c>
      <c r="J121">
        <f>$AQ$3</f>
        <v>91.25</v>
      </c>
      <c r="K121">
        <v>0.16</v>
      </c>
      <c r="L121">
        <v>0.7</v>
      </c>
      <c r="M121">
        <v>70</v>
      </c>
      <c r="N121">
        <f t="shared" si="16"/>
        <v>9.000000000000119E-4</v>
      </c>
      <c r="O121">
        <f>O101</f>
        <v>0.99909999999999999</v>
      </c>
      <c r="P121">
        <f>P101</f>
        <v>0.74</v>
      </c>
      <c r="Q121">
        <f>$AQ$10</f>
        <v>4.7000000000000002E-3</v>
      </c>
      <c r="R121">
        <f>(H121/100)*(MIN(I121,100)/100)</f>
        <v>0</v>
      </c>
      <c r="S121">
        <v>0</v>
      </c>
      <c r="T121">
        <f t="shared" si="17"/>
        <v>0</v>
      </c>
      <c r="U121">
        <f>$AT$1</f>
        <v>1.3</v>
      </c>
      <c r="V121">
        <f>R121*U121+(1-R121)</f>
        <v>1</v>
      </c>
      <c r="W121">
        <f>(0.795*L121)-0.0014</f>
        <v>0.55510000000000004</v>
      </c>
      <c r="X121">
        <v>4</v>
      </c>
      <c r="Y121">
        <f t="shared" si="18"/>
        <v>0.99999999999998734</v>
      </c>
      <c r="Z121">
        <f>(104.7*W121+0.307*M121-15)*(M121^0.75)*10^-3</f>
        <v>1.5635664662315347</v>
      </c>
      <c r="AA121">
        <f t="shared" si="19"/>
        <v>1.563566466231515</v>
      </c>
      <c r="AB121">
        <f>(AA121 * K121) + (0.045 * T121)</f>
        <v>0.25017063459704242</v>
      </c>
      <c r="AC121">
        <f>$AQ$2</f>
        <v>0.08</v>
      </c>
      <c r="AD121">
        <f>(AA121 * ((1 - L121) + (0.04 * AA121))) * ( 1 - AC121 )</f>
        <v>0.52151078015101071</v>
      </c>
      <c r="AE121">
        <f>$AQ$1</f>
        <v>0.19</v>
      </c>
      <c r="AF121">
        <f>$AR$20</f>
        <v>0.6784</v>
      </c>
      <c r="AG121">
        <f>AD121 * AE121 * N121 * P121 * AF121</f>
        <v>4.4768955243218146E-5</v>
      </c>
      <c r="AH121">
        <f>AD121*AE121*O121*Q121*AF121</f>
        <v>3.1565272817183737E-4</v>
      </c>
      <c r="AI121">
        <f t="shared" si="20"/>
        <v>3.6042168341505554E-4</v>
      </c>
      <c r="AJ121">
        <f>G121*AI121*J121</f>
        <v>1.6444239305811907</v>
      </c>
    </row>
    <row r="122" spans="5:64" x14ac:dyDescent="0.2">
      <c r="E122" s="13"/>
      <c r="F122" t="s">
        <v>164</v>
      </c>
      <c r="G122">
        <v>100</v>
      </c>
      <c r="H122">
        <v>0</v>
      </c>
      <c r="I122">
        <v>0</v>
      </c>
      <c r="J122">
        <f>$AQ$3</f>
        <v>91.25</v>
      </c>
      <c r="K122">
        <v>7.0000000000000007E-2</v>
      </c>
      <c r="L122">
        <v>0.55000000000000004</v>
      </c>
      <c r="M122">
        <v>65</v>
      </c>
      <c r="N122">
        <f t="shared" si="16"/>
        <v>9.000000000000119E-4</v>
      </c>
      <c r="O122">
        <f>O101</f>
        <v>0.99909999999999999</v>
      </c>
      <c r="P122">
        <f>P101</f>
        <v>0.74</v>
      </c>
      <c r="Q122">
        <f>$AQ$10</f>
        <v>4.7000000000000002E-3</v>
      </c>
      <c r="R122">
        <f>(H122/100)*(MIN(I122,100)/100)</f>
        <v>0</v>
      </c>
      <c r="S122">
        <v>0</v>
      </c>
      <c r="T122">
        <f t="shared" si="17"/>
        <v>0</v>
      </c>
      <c r="U122">
        <f>$AT$1</f>
        <v>1.3</v>
      </c>
      <c r="V122">
        <f>R122*U122+(1-R122)</f>
        <v>1</v>
      </c>
      <c r="W122">
        <f>(0.795*L122)-0.0014</f>
        <v>0.43585000000000007</v>
      </c>
      <c r="X122">
        <v>2.5</v>
      </c>
      <c r="Y122">
        <f t="shared" si="18"/>
        <v>0.99999627334682795</v>
      </c>
      <c r="Z122">
        <f>(104.7*W122+0.307*M122-15)*(M122^0.75)*10^-3</f>
        <v>1.1580752413958724</v>
      </c>
      <c r="AA122">
        <f t="shared" si="19"/>
        <v>1.1580709256511006</v>
      </c>
      <c r="AB122">
        <f>(AA122 * K122) + (0.045 * T122)</f>
        <v>8.1064964795577052E-2</v>
      </c>
      <c r="AC122">
        <f>$AQ$2</f>
        <v>0.08</v>
      </c>
      <c r="AD122">
        <f>(AA122 * ((1 - L122) + (0.04 * AA122))) * ( 1 - AC122 )</f>
        <v>0.52879488351280868</v>
      </c>
      <c r="AE122">
        <f>$AQ$1</f>
        <v>0.19</v>
      </c>
      <c r="AF122">
        <f>$AR$20</f>
        <v>0.6784</v>
      </c>
      <c r="AG122">
        <f>AD122 * AE122 * N122 * P122 * AF122</f>
        <v>4.5394257173308412E-5</v>
      </c>
      <c r="AH122">
        <f>AD122*AE122*O122*Q122*AF122</f>
        <v>3.2006154805811355E-4</v>
      </c>
      <c r="AI122">
        <f t="shared" si="20"/>
        <v>3.6545580523142195E-4</v>
      </c>
      <c r="AJ122">
        <f>G122*AI122*J122</f>
        <v>3.3347842227367255</v>
      </c>
    </row>
    <row r="123" spans="5:64" x14ac:dyDescent="0.2">
      <c r="E123" s="12"/>
      <c r="F123" t="s">
        <v>165</v>
      </c>
      <c r="G123">
        <v>90</v>
      </c>
      <c r="H123">
        <v>0</v>
      </c>
      <c r="I123">
        <v>0</v>
      </c>
      <c r="J123">
        <f>$AQ$3</f>
        <v>91.25</v>
      </c>
      <c r="K123">
        <v>0.09</v>
      </c>
      <c r="L123">
        <v>0.55000000000000004</v>
      </c>
      <c r="M123">
        <v>60</v>
      </c>
      <c r="N123">
        <f t="shared" si="16"/>
        <v>9.000000000000119E-4</v>
      </c>
      <c r="O123">
        <f>O101</f>
        <v>0.99909999999999999</v>
      </c>
      <c r="P123">
        <f>P101</f>
        <v>0.74</v>
      </c>
      <c r="Q123">
        <f>$AQ$10</f>
        <v>4.7000000000000002E-3</v>
      </c>
      <c r="R123">
        <f>(H123/100)*(MIN(I123,100)/100)</f>
        <v>0</v>
      </c>
      <c r="S123">
        <v>0</v>
      </c>
      <c r="T123">
        <f t="shared" si="17"/>
        <v>0</v>
      </c>
      <c r="U123">
        <f>$AT$1</f>
        <v>1.3</v>
      </c>
      <c r="V123">
        <f>R123*U123+(1-R123)</f>
        <v>1</v>
      </c>
      <c r="W123">
        <f>(0.795*L123)-0.0014</f>
        <v>0.43585000000000007</v>
      </c>
      <c r="X123">
        <v>0.7</v>
      </c>
      <c r="Y123">
        <f t="shared" si="18"/>
        <v>0.62468890114860043</v>
      </c>
      <c r="Z123">
        <f>(104.7*W123+0.307*M123-15)*(M123^0.75)*10^-3</f>
        <v>1.0575073475796353</v>
      </c>
      <c r="AA123">
        <f t="shared" si="19"/>
        <v>0.66061310291609343</v>
      </c>
      <c r="AB123">
        <f>(AA123 * K123) + (0.045 * T123)</f>
        <v>5.9455179262448407E-2</v>
      </c>
      <c r="AC123">
        <f>$AQ$2</f>
        <v>0.08</v>
      </c>
      <c r="AD123">
        <f>(AA123 * ((1 - L123) + (0.04 * AA123))) * ( 1 - AC123 )</f>
        <v>0.28955370052745766</v>
      </c>
      <c r="AE123">
        <f>$AQ$1</f>
        <v>0.19</v>
      </c>
      <c r="AF123">
        <f>$AR$20</f>
        <v>0.6784</v>
      </c>
      <c r="AG123">
        <f>AD123 * AE123 * N123 * P123 * AF123</f>
        <v>2.4856660979602991E-5</v>
      </c>
      <c r="AH123">
        <f>AD123*AE123*O123*Q123*AF123</f>
        <v>1.752570013936769E-4</v>
      </c>
      <c r="AI123">
        <f t="shared" si="20"/>
        <v>2.001136623732799E-4</v>
      </c>
      <c r="AJ123">
        <f>G123*AI123*J123</f>
        <v>1.6434334522405611</v>
      </c>
    </row>
    <row r="124" spans="5:64" x14ac:dyDescent="0.2">
      <c r="E124" s="13"/>
      <c r="F124" t="s">
        <v>166</v>
      </c>
      <c r="G124">
        <v>80</v>
      </c>
      <c r="H124">
        <v>0</v>
      </c>
      <c r="I124">
        <v>0</v>
      </c>
      <c r="J124">
        <f>$AQ$3</f>
        <v>91.25</v>
      </c>
      <c r="K124">
        <v>0.2</v>
      </c>
      <c r="L124">
        <v>0.75</v>
      </c>
      <c r="M124">
        <v>60</v>
      </c>
      <c r="N124">
        <f t="shared" si="16"/>
        <v>9.000000000000119E-4</v>
      </c>
      <c r="O124">
        <f>O101</f>
        <v>0.99909999999999999</v>
      </c>
      <c r="P124">
        <f>P101</f>
        <v>0.74</v>
      </c>
      <c r="Q124">
        <f>$AQ$10</f>
        <v>4.7000000000000002E-3</v>
      </c>
      <c r="R124">
        <f>(H124/100)*(MIN(I124,100)/100)</f>
        <v>0</v>
      </c>
      <c r="S124">
        <v>0</v>
      </c>
      <c r="T124">
        <f t="shared" si="17"/>
        <v>0</v>
      </c>
      <c r="U124">
        <f>$AT$1</f>
        <v>1.3</v>
      </c>
      <c r="V124">
        <f>R124*U124+(1-R124)</f>
        <v>1</v>
      </c>
      <c r="W124">
        <f>(0.795*L124)-0.0014</f>
        <v>0.5948500000000001</v>
      </c>
      <c r="X124">
        <v>0.9</v>
      </c>
      <c r="Y124">
        <f t="shared" si="18"/>
        <v>0.80210130091638532</v>
      </c>
      <c r="Z124">
        <f>(104.7*W124+0.307*M124-15)*(M124^0.75)*10^-3</f>
        <v>1.4163939481646182</v>
      </c>
      <c r="AA124">
        <f t="shared" si="19"/>
        <v>1.1360914284329355</v>
      </c>
      <c r="AB124">
        <f>(AA124 * K124) + (0.045 * T124)</f>
        <v>0.22721828568658711</v>
      </c>
      <c r="AC124">
        <f>$AQ$2</f>
        <v>0.08</v>
      </c>
      <c r="AD124">
        <f>(AA124 * ((1 - L124) + (0.04 * AA124))) * ( 1 - AC124 )</f>
        <v>0.30879892594189856</v>
      </c>
      <c r="AE124">
        <f>$AQ$1</f>
        <v>0.19</v>
      </c>
      <c r="AF124">
        <f>$AR$20</f>
        <v>0.6784</v>
      </c>
      <c r="AG124">
        <f>AD124 * AE124 * N124 * P124 * AF124</f>
        <v>2.6508762274566183E-5</v>
      </c>
      <c r="AH124">
        <f>AD124*AE124*O124*Q124*AF124</f>
        <v>1.8690548142047753E-4</v>
      </c>
      <c r="AI124">
        <f t="shared" si="20"/>
        <v>2.134142436950437E-4</v>
      </c>
      <c r="AJ124">
        <f>G124*AI124*J124</f>
        <v>1.5579239789738191</v>
      </c>
    </row>
    <row r="127" spans="5:64" x14ac:dyDescent="0.2">
      <c r="BI127" s="14"/>
      <c r="BJ127" s="14"/>
      <c r="BK127" s="14"/>
      <c r="BL127" s="14"/>
    </row>
    <row r="128" spans="5:64" x14ac:dyDescent="0.2">
      <c r="BF128" s="14"/>
      <c r="BG128" s="14"/>
      <c r="BH128" s="14"/>
      <c r="BI128" s="14"/>
      <c r="BJ128" s="14"/>
      <c r="BK128" s="14"/>
      <c r="BL128" s="14"/>
    </row>
    <row r="129" spans="1:65" ht="17" thickBot="1" x14ac:dyDescent="0.25">
      <c r="BF129" s="21"/>
      <c r="BH129" s="22"/>
      <c r="BI129" s="22"/>
      <c r="BJ129" s="22"/>
      <c r="BK129" s="5"/>
      <c r="BL129" s="5"/>
      <c r="BM129" s="5"/>
    </row>
    <row r="130" spans="1:65" ht="18" thickTop="1" thickBot="1" x14ac:dyDescent="0.25">
      <c r="BF130" s="23"/>
      <c r="BH130" s="24"/>
      <c r="BI130" s="24"/>
      <c r="BJ130" s="24"/>
      <c r="BK130" s="6"/>
      <c r="BL130" s="6"/>
      <c r="BM130" s="6"/>
    </row>
    <row r="131" spans="1:65" ht="17" thickTop="1" x14ac:dyDescent="0.2">
      <c r="A131" t="s">
        <v>273</v>
      </c>
      <c r="B131" t="s">
        <v>273</v>
      </c>
      <c r="C131" t="s">
        <v>273</v>
      </c>
      <c r="D131" t="s">
        <v>213</v>
      </c>
      <c r="E131" s="12" t="s">
        <v>169</v>
      </c>
      <c r="F131" t="s">
        <v>163</v>
      </c>
      <c r="G131">
        <v>100</v>
      </c>
      <c r="H131">
        <v>95</v>
      </c>
      <c r="I131">
        <v>90</v>
      </c>
      <c r="J131">
        <f>$AQ$3</f>
        <v>91.25</v>
      </c>
      <c r="K131" cm="1">
        <f t="array" ref="K131:K154">_xlfn.DROP(_xlfn.XLOOKUP($C131,QueryCP[[#Headers],[ACT/NSW]:[WA]],QueryCP[[#All],[ACT/NSW]:[WA]]),1)</f>
        <v>0.2</v>
      </c>
      <c r="L131" cm="1">
        <f t="array" ref="L131:L154">_xlfn.DROP(_xlfn.XLOOKUP($C131,QueryDMD[[#Headers],[ACT/NSW]:[WA]],QueryDMD[[#All],[ACT/NSW]:[WA]]),1)</f>
        <v>0.75</v>
      </c>
      <c r="M131" cm="1">
        <f t="array" ref="M131:M154">_xlfn.DROP(_xlfn.XLOOKUP($C131,QueryW[[#Headers],[ACT/NSW]:[WA]],QueryW[[#All],[ACT/NSW]:[WA]]),1)</f>
        <v>50</v>
      </c>
      <c r="N131">
        <f>1-O131</f>
        <v>0</v>
      </c>
      <c r="O131">
        <f>IF($D131="yes", 1, VLOOKUP($B131, $AP$26:$AR$32, 2)/100)</f>
        <v>1</v>
      </c>
      <c r="P131">
        <f>VLOOKUP($B131,$AR$10:$AS$16, 2, FALSE)</f>
        <v>0.69</v>
      </c>
      <c r="Q131">
        <f>$AQ$10</f>
        <v>4.7000000000000002E-3</v>
      </c>
      <c r="R131">
        <f>(H131/100)*(MIN(I131,100)/100)</f>
        <v>0.85499999999999998</v>
      </c>
      <c r="S131">
        <v>0</v>
      </c>
      <c r="T131">
        <f>1.6 * S131</f>
        <v>0</v>
      </c>
      <c r="U131">
        <f>$AT$1</f>
        <v>1.3</v>
      </c>
      <c r="V131">
        <f>R131*U131+(1-R131)</f>
        <v>1.2565</v>
      </c>
      <c r="W131">
        <f>(0.795*L131)-0.0014</f>
        <v>0.5948500000000001</v>
      </c>
      <c r="X131" cm="1">
        <f t="array" ref="X131:X154">_xlfn.DROP(_xlfn.XLOOKUP($C131,QueryDMA[[#Headers],[ACT/NSW]:[WA]],QueryDMA[[#All],[ACT/NSW]:[WA]]),1)</f>
        <v>2.5</v>
      </c>
      <c r="Y131">
        <f>1 - EXP(-2*(X131^2))</f>
        <v>0.99999627334682795</v>
      </c>
      <c r="Z131">
        <f>(104.7*W131+0.307*M131-15)*(M131^0.75)*10^-3</f>
        <v>1.1776478069972991</v>
      </c>
      <c r="AA131">
        <f>Z131*Y131*V131</f>
        <v>1.4797089551094849</v>
      </c>
      <c r="AB131">
        <f>(AA131 * K131) + (0.045 * T131)</f>
        <v>0.29594179102189699</v>
      </c>
      <c r="AC131">
        <f>$AQ$2</f>
        <v>0.08</v>
      </c>
      <c r="AD131">
        <f>(AA131 * ((1 - L131) + (0.04 * AA131))) * ( 1 - AC131 )</f>
        <v>0.42090807985456985</v>
      </c>
      <c r="AE131">
        <f>$AQ$1</f>
        <v>0.19</v>
      </c>
      <c r="AF131">
        <f>$AR$20</f>
        <v>0.6784</v>
      </c>
      <c r="AG131">
        <f>AD131 * AE131 * N131 * P131 * AF131</f>
        <v>0</v>
      </c>
      <c r="AH131">
        <f>AD131*AE131*O131*Q131*AF131</f>
        <v>2.5499082894639278E-4</v>
      </c>
      <c r="AI131">
        <f>AG131+AH131</f>
        <v>2.5499082894639278E-4</v>
      </c>
      <c r="AJ131">
        <f>G131*AI131*J131</f>
        <v>2.3267913141358343</v>
      </c>
      <c r="AK131">
        <f>SUM(AJ131:AJ154)*10^-3</f>
        <v>5.0334239802221521E-2</v>
      </c>
      <c r="AU131" s="8"/>
      <c r="AV131" s="8"/>
      <c r="BF131" s="23"/>
      <c r="BH131" s="24"/>
      <c r="BI131" s="24"/>
      <c r="BJ131" s="24"/>
      <c r="BK131" s="6"/>
      <c r="BL131" s="6"/>
      <c r="BM131" s="6"/>
    </row>
    <row r="132" spans="1:65" x14ac:dyDescent="0.2">
      <c r="E132" s="13"/>
      <c r="F132" t="s">
        <v>164</v>
      </c>
      <c r="G132">
        <v>70</v>
      </c>
      <c r="H132">
        <v>0</v>
      </c>
      <c r="I132">
        <v>0</v>
      </c>
      <c r="J132">
        <f>$AQ$3</f>
        <v>91.25</v>
      </c>
      <c r="K132">
        <v>7.0000000000000007E-2</v>
      </c>
      <c r="L132">
        <v>0.55000000000000004</v>
      </c>
      <c r="M132">
        <v>50</v>
      </c>
      <c r="N132">
        <f t="shared" ref="N132:N154" si="21">1-O132</f>
        <v>0</v>
      </c>
      <c r="O132">
        <f>O131</f>
        <v>1</v>
      </c>
      <c r="P132">
        <f>P131</f>
        <v>0.69</v>
      </c>
      <c r="Q132">
        <f>$AQ$10</f>
        <v>4.7000000000000002E-3</v>
      </c>
      <c r="R132">
        <f>(H132/100)*(MIN(I132,100)/100)</f>
        <v>0</v>
      </c>
      <c r="S132">
        <v>0</v>
      </c>
      <c r="T132">
        <f t="shared" ref="T132:T154" si="22">1.6 * S132</f>
        <v>0</v>
      </c>
      <c r="U132">
        <f>$AT$1</f>
        <v>1.3</v>
      </c>
      <c r="V132">
        <f>R132*U132+(1-R132)</f>
        <v>1</v>
      </c>
      <c r="W132">
        <f>(0.795*L132)-0.0014</f>
        <v>0.43585000000000007</v>
      </c>
      <c r="X132">
        <v>2.5</v>
      </c>
      <c r="Y132">
        <f t="shared" ref="Y132:Y154" si="23">1 - EXP(-2*(X132^2))</f>
        <v>0.99999627334682795</v>
      </c>
      <c r="Z132">
        <f>(104.7*W132+0.307*M132-15)*(M132^0.75)*10^-3</f>
        <v>0.8646283676396137</v>
      </c>
      <c r="AA132">
        <f t="shared" ref="AA132:AA154" si="24">Z132*Y132*V132</f>
        <v>0.86462514546956482</v>
      </c>
      <c r="AB132">
        <f>(AA132 * K132) + (0.045 * T132)</f>
        <v>6.0523760182869542E-2</v>
      </c>
      <c r="AC132">
        <f>$AQ$2</f>
        <v>0.08</v>
      </c>
      <c r="AD132">
        <f>(AA132 * ((1 - L132) + (0.04 * AA132))) * ( 1 - AC132 )</f>
        <v>0.38546563065656003</v>
      </c>
      <c r="AE132">
        <f>$AQ$1</f>
        <v>0.19</v>
      </c>
      <c r="AF132">
        <f>$AR$20</f>
        <v>0.6784</v>
      </c>
      <c r="AG132">
        <f>AD132 * AE132 * N132 * P132 * AF132</f>
        <v>0</v>
      </c>
      <c r="AH132">
        <f>AD132*AE132*O132*Q132*AF132</f>
        <v>2.3351939626680747E-4</v>
      </c>
      <c r="AI132">
        <f t="shared" ref="AI132:AI154" si="25">AG132+AH132</f>
        <v>2.3351939626680747E-4</v>
      </c>
      <c r="AJ132">
        <f>G132*AI132*J132</f>
        <v>1.4916051436542326</v>
      </c>
      <c r="AU132" s="8"/>
      <c r="AV132" s="8"/>
      <c r="BF132" s="25"/>
      <c r="BH132" s="26"/>
      <c r="BI132" s="26"/>
      <c r="BJ132" s="26"/>
      <c r="BK132" s="26"/>
      <c r="BL132" s="26"/>
      <c r="BM132" s="26"/>
    </row>
    <row r="133" spans="1:65" x14ac:dyDescent="0.2">
      <c r="E133" s="12"/>
      <c r="F133" t="s">
        <v>165</v>
      </c>
      <c r="G133">
        <v>65</v>
      </c>
      <c r="H133">
        <v>0</v>
      </c>
      <c r="I133">
        <v>0</v>
      </c>
      <c r="J133">
        <f>$AQ$3</f>
        <v>91.25</v>
      </c>
      <c r="K133">
        <v>0.14000000000000001</v>
      </c>
      <c r="L133">
        <v>0.67</v>
      </c>
      <c r="M133">
        <v>50</v>
      </c>
      <c r="N133">
        <f t="shared" si="21"/>
        <v>0</v>
      </c>
      <c r="O133">
        <f>O131</f>
        <v>1</v>
      </c>
      <c r="P133">
        <f>P131</f>
        <v>0.69</v>
      </c>
      <c r="Q133">
        <f>$AQ$10</f>
        <v>4.7000000000000002E-3</v>
      </c>
      <c r="R133">
        <f>(H133/100)*(MIN(I133,100)/100)</f>
        <v>0</v>
      </c>
      <c r="S133">
        <v>0</v>
      </c>
      <c r="T133">
        <f t="shared" si="22"/>
        <v>0</v>
      </c>
      <c r="U133">
        <f>$AT$1</f>
        <v>1.3</v>
      </c>
      <c r="V133">
        <f>R133*U133+(1-R133)</f>
        <v>1</v>
      </c>
      <c r="W133">
        <f>(0.795*L133)-0.0014</f>
        <v>0.53125000000000011</v>
      </c>
      <c r="X133">
        <v>1.3</v>
      </c>
      <c r="Y133">
        <f t="shared" si="23"/>
        <v>0.96595254526540064</v>
      </c>
      <c r="Z133">
        <f>(104.7*W133+0.307*M133-15)*(M133^0.75)*10^-3</f>
        <v>1.052440031254225</v>
      </c>
      <c r="AA133">
        <f t="shared" si="24"/>
        <v>1.0166071269292165</v>
      </c>
      <c r="AB133">
        <f>(AA133 * K133) + (0.045 * T133)</f>
        <v>0.14232499777009033</v>
      </c>
      <c r="AC133">
        <f>$AQ$2</f>
        <v>0.08</v>
      </c>
      <c r="AD133">
        <f>(AA133 * ((1 - L133) + (0.04 * AA133))) * ( 1 - AC133 )</f>
        <v>0.34667435759496673</v>
      </c>
      <c r="AE133">
        <f>$AQ$1</f>
        <v>0.19</v>
      </c>
      <c r="AF133">
        <f>$AR$20</f>
        <v>0.6784</v>
      </c>
      <c r="AG133">
        <f>AD133 * AE133 * N133 * P133 * AF133</f>
        <v>0</v>
      </c>
      <c r="AH133">
        <f>AD133*AE133*O133*Q133*AF133</f>
        <v>2.1001920858383592E-4</v>
      </c>
      <c r="AI133">
        <f t="shared" si="25"/>
        <v>2.1001920858383592E-4</v>
      </c>
      <c r="AJ133">
        <f>G133*AI133*J133</f>
        <v>1.2456764309128769</v>
      </c>
      <c r="AU133" s="8"/>
      <c r="AV133" s="8"/>
      <c r="BF133" s="25"/>
      <c r="BH133" s="26"/>
      <c r="BI133" s="26"/>
      <c r="BJ133" s="26"/>
      <c r="BK133" s="26"/>
      <c r="BL133" s="26"/>
      <c r="BM133" s="26"/>
    </row>
    <row r="134" spans="1:65" x14ac:dyDescent="0.2">
      <c r="E134" s="13"/>
      <c r="F134" t="s">
        <v>166</v>
      </c>
      <c r="G134">
        <v>80</v>
      </c>
      <c r="H134">
        <v>0</v>
      </c>
      <c r="I134">
        <v>0</v>
      </c>
      <c r="J134">
        <f>$AQ$3</f>
        <v>91.25</v>
      </c>
      <c r="K134">
        <v>0.16</v>
      </c>
      <c r="L134">
        <v>0.7</v>
      </c>
      <c r="M134">
        <v>55</v>
      </c>
      <c r="N134">
        <f t="shared" si="21"/>
        <v>0</v>
      </c>
      <c r="O134">
        <f>O131</f>
        <v>1</v>
      </c>
      <c r="P134">
        <f>P131</f>
        <v>0.69</v>
      </c>
      <c r="Q134">
        <f>$AQ$10</f>
        <v>4.7000000000000002E-3</v>
      </c>
      <c r="R134">
        <f>(H134/100)*(MIN(I134,100)/100)</f>
        <v>0</v>
      </c>
      <c r="S134">
        <v>0</v>
      </c>
      <c r="T134">
        <f t="shared" si="22"/>
        <v>0</v>
      </c>
      <c r="U134">
        <f>$AT$1</f>
        <v>1.3</v>
      </c>
      <c r="V134">
        <f>R134*U134+(1-R134)</f>
        <v>1</v>
      </c>
      <c r="W134">
        <f>(0.795*L134)-0.0014</f>
        <v>0.55510000000000004</v>
      </c>
      <c r="X134">
        <v>0.8</v>
      </c>
      <c r="Y134">
        <f t="shared" si="23"/>
        <v>0.72196269954680592</v>
      </c>
      <c r="Z134">
        <f>(104.7*W134+0.307*M134-15)*(M134^0.75)*10^-3</f>
        <v>1.2118587484135388</v>
      </c>
      <c r="AA134">
        <f t="shared" si="24"/>
        <v>0.87491681347405192</v>
      </c>
      <c r="AB134">
        <f>(AA134 * K134) + (0.045 * T134)</f>
        <v>0.1399866901558483</v>
      </c>
      <c r="AC134">
        <f>$AQ$2</f>
        <v>0.08</v>
      </c>
      <c r="AD134">
        <f>(AA134 * ((1 - L134) + (0.04 * AA134))) * ( 1 - AC134 )</f>
        <v>0.26964668356122329</v>
      </c>
      <c r="AE134">
        <f>$AQ$1</f>
        <v>0.19</v>
      </c>
      <c r="AF134">
        <f>$AR$20</f>
        <v>0.6784</v>
      </c>
      <c r="AG134">
        <f>AD134 * AE134 * N134 * P134 * AF134</f>
        <v>0</v>
      </c>
      <c r="AH134">
        <f>AD134*AE134*O134*Q134*AF134</f>
        <v>1.6335498094424496E-4</v>
      </c>
      <c r="AI134">
        <f t="shared" si="25"/>
        <v>1.6335498094424496E-4</v>
      </c>
      <c r="AJ134">
        <f>G134*AI134*J134</f>
        <v>1.1924913608929884</v>
      </c>
      <c r="AU134" s="8"/>
      <c r="AV134" s="8"/>
      <c r="BF134" s="25"/>
      <c r="BH134" s="26"/>
      <c r="BI134" s="26"/>
      <c r="BJ134" s="26"/>
      <c r="BK134" s="26"/>
      <c r="BL134" s="26"/>
      <c r="BM134" s="26"/>
    </row>
    <row r="135" spans="1:65" x14ac:dyDescent="0.2">
      <c r="E135" s="12" t="s">
        <v>171</v>
      </c>
      <c r="F135" t="s">
        <v>163</v>
      </c>
      <c r="G135">
        <v>200</v>
      </c>
      <c r="H135">
        <v>0</v>
      </c>
      <c r="I135">
        <v>0</v>
      </c>
      <c r="J135">
        <f>$AQ$3</f>
        <v>91.25</v>
      </c>
      <c r="K135">
        <v>0.2</v>
      </c>
      <c r="L135">
        <v>0.75</v>
      </c>
      <c r="M135">
        <v>14</v>
      </c>
      <c r="N135">
        <f t="shared" si="21"/>
        <v>0</v>
      </c>
      <c r="O135">
        <f>O131</f>
        <v>1</v>
      </c>
      <c r="P135">
        <f>P131</f>
        <v>0.69</v>
      </c>
      <c r="Q135">
        <f>$AQ$10</f>
        <v>4.7000000000000002E-3</v>
      </c>
      <c r="R135">
        <f>(H135/100)*(MIN(I135,100)/100)</f>
        <v>0</v>
      </c>
      <c r="S135">
        <v>1</v>
      </c>
      <c r="T135">
        <f t="shared" si="22"/>
        <v>1.6</v>
      </c>
      <c r="U135">
        <f>$AT$1</f>
        <v>1.3</v>
      </c>
      <c r="V135">
        <f>R135*U135+(1-R135)</f>
        <v>1</v>
      </c>
      <c r="W135">
        <f>(0.795*L135)-0.0014</f>
        <v>0.5948500000000001</v>
      </c>
      <c r="X135">
        <v>2.5</v>
      </c>
      <c r="Y135">
        <f t="shared" si="23"/>
        <v>0.99999627334682795</v>
      </c>
      <c r="Z135">
        <f>(104.7*W135+0.307*M135-15)*(M135^0.75)*10^-3</f>
        <v>0.3733079325984448</v>
      </c>
      <c r="AA135">
        <f t="shared" si="24"/>
        <v>0.37330654140925362</v>
      </c>
      <c r="AB135">
        <f>(AA135 * K135) + (0.045 * T135)</f>
        <v>0.14666130828185073</v>
      </c>
      <c r="AC135">
        <f>$AQ$2</f>
        <v>0.08</v>
      </c>
      <c r="AD135">
        <f>(AA135 * ((1 - L135) + (0.04 * AA135))) * ( 1 - AC135 )</f>
        <v>9.0988870602137284E-2</v>
      </c>
      <c r="AE135">
        <f>$AQ$1</f>
        <v>0.19</v>
      </c>
      <c r="AF135">
        <f>$AR$20</f>
        <v>0.6784</v>
      </c>
      <c r="AG135">
        <f>AD135 * AE135 * N135 * P135 * AF135</f>
        <v>0</v>
      </c>
      <c r="AH135">
        <f>AD135*AE135*O135*Q135*AF135</f>
        <v>5.5122076886125516E-5</v>
      </c>
      <c r="AI135">
        <f t="shared" si="25"/>
        <v>5.5122076886125516E-5</v>
      </c>
      <c r="AJ135">
        <f>G135*AI135*J135</f>
        <v>1.0059779031717906</v>
      </c>
      <c r="AU135" s="8"/>
      <c r="AV135" s="8"/>
      <c r="BF135" s="25"/>
      <c r="BH135" s="26"/>
      <c r="BI135" s="26"/>
      <c r="BJ135" s="26"/>
      <c r="BK135" s="26"/>
      <c r="BL135" s="26"/>
      <c r="BM135" s="26"/>
    </row>
    <row r="136" spans="1:65" x14ac:dyDescent="0.2">
      <c r="E136" s="13"/>
      <c r="F136" t="s">
        <v>164</v>
      </c>
      <c r="G136">
        <v>210</v>
      </c>
      <c r="H136">
        <v>0</v>
      </c>
      <c r="I136">
        <v>0</v>
      </c>
      <c r="J136">
        <f>$AQ$3</f>
        <v>91.25</v>
      </c>
      <c r="K136">
        <v>7.0000000000000007E-2</v>
      </c>
      <c r="L136">
        <v>0.55000000000000004</v>
      </c>
      <c r="M136">
        <v>24</v>
      </c>
      <c r="N136">
        <f t="shared" si="21"/>
        <v>0</v>
      </c>
      <c r="O136">
        <f>O131</f>
        <v>1</v>
      </c>
      <c r="P136">
        <f>P131</f>
        <v>0.69</v>
      </c>
      <c r="Q136">
        <f>$AQ$10</f>
        <v>4.7000000000000002E-3</v>
      </c>
      <c r="R136">
        <f>(H136/100)*(MIN(I136,100)/100)</f>
        <v>0</v>
      </c>
      <c r="S136">
        <v>0</v>
      </c>
      <c r="T136">
        <f t="shared" si="22"/>
        <v>0</v>
      </c>
      <c r="U136">
        <f>$AT$1</f>
        <v>1.3</v>
      </c>
      <c r="V136">
        <f>R136*U136+(1-R136)</f>
        <v>1</v>
      </c>
      <c r="W136">
        <f>(0.795*L136)-0.0014</f>
        <v>0.43585000000000007</v>
      </c>
      <c r="X136">
        <v>2.5</v>
      </c>
      <c r="Y136">
        <f t="shared" si="23"/>
        <v>0.99999627334682795</v>
      </c>
      <c r="Z136">
        <f>(104.7*W136+0.307*M136-15)*(M136^0.75)*10^-3</f>
        <v>0.41205872426603418</v>
      </c>
      <c r="AA136">
        <f t="shared" si="24"/>
        <v>0.41205718866608232</v>
      </c>
      <c r="AB136">
        <f>(AA136 * K136) + (0.045 * T136)</f>
        <v>2.8844003206625765E-2</v>
      </c>
      <c r="AC136">
        <f>$AQ$2</f>
        <v>0.08</v>
      </c>
      <c r="AD136">
        <f>(AA136 * ((1 - L136) + (0.04 * AA136))) * ( 1 - AC136 )</f>
        <v>0.1768399895714734</v>
      </c>
      <c r="AE136">
        <f>$AQ$1</f>
        <v>0.19</v>
      </c>
      <c r="AF136">
        <f>$AR$20</f>
        <v>0.6784</v>
      </c>
      <c r="AG136">
        <f>AD136 * AE136 * N136 * P136 * AF136</f>
        <v>0</v>
      </c>
      <c r="AH136">
        <f>AD136*AE136*O136*Q136*AF136</f>
        <v>1.0713164629028178E-4</v>
      </c>
      <c r="AI136">
        <f t="shared" si="25"/>
        <v>1.0713164629028178E-4</v>
      </c>
      <c r="AJ136">
        <f>G136*AI136*J136</f>
        <v>2.0529101720375245</v>
      </c>
      <c r="AU136" s="8"/>
      <c r="AV136" s="8"/>
      <c r="BF136" s="27"/>
      <c r="BH136" s="20"/>
      <c r="BI136" s="20"/>
      <c r="BJ136" s="20"/>
      <c r="BK136" s="20"/>
      <c r="BL136" s="20"/>
      <c r="BM136" s="20"/>
    </row>
    <row r="137" spans="1:65" x14ac:dyDescent="0.2">
      <c r="E137" s="12"/>
      <c r="F137" t="s">
        <v>165</v>
      </c>
      <c r="G137">
        <v>170</v>
      </c>
      <c r="H137">
        <v>0</v>
      </c>
      <c r="I137">
        <v>0</v>
      </c>
      <c r="J137">
        <f>$AQ$3</f>
        <v>91.25</v>
      </c>
      <c r="K137">
        <v>0.14000000000000001</v>
      </c>
      <c r="L137">
        <v>0.67</v>
      </c>
      <c r="M137">
        <v>36</v>
      </c>
      <c r="N137">
        <f t="shared" si="21"/>
        <v>0</v>
      </c>
      <c r="O137">
        <f>O131</f>
        <v>1</v>
      </c>
      <c r="P137">
        <f>P131</f>
        <v>0.69</v>
      </c>
      <c r="Q137">
        <f>$AQ$10</f>
        <v>4.7000000000000002E-3</v>
      </c>
      <c r="R137">
        <f>(H137/100)*(MIN(I137,100)/100)</f>
        <v>0</v>
      </c>
      <c r="S137">
        <v>0</v>
      </c>
      <c r="T137">
        <f t="shared" si="22"/>
        <v>0</v>
      </c>
      <c r="U137">
        <f>$AT$1</f>
        <v>1.3</v>
      </c>
      <c r="V137">
        <f>R137*U137+(1-R137)</f>
        <v>1</v>
      </c>
      <c r="W137">
        <f>(0.795*L137)-0.0014</f>
        <v>0.53125000000000011</v>
      </c>
      <c r="X137">
        <v>1.3</v>
      </c>
      <c r="Y137">
        <f t="shared" si="23"/>
        <v>0.96595254526540064</v>
      </c>
      <c r="Z137">
        <f>(104.7*W137+0.307*M137-15)*(M137^0.75)*10^-3</f>
        <v>0.75944776069416087</v>
      </c>
      <c r="AA137">
        <f t="shared" si="24"/>
        <v>0.73359049743863358</v>
      </c>
      <c r="AB137">
        <f>(AA137 * K137) + (0.045 * T137)</f>
        <v>0.10270266964140871</v>
      </c>
      <c r="AC137">
        <f>$AQ$2</f>
        <v>0.08</v>
      </c>
      <c r="AD137">
        <f>(AA137 * ((1 - L137) + (0.04 * AA137))) * ( 1 - AC137 )</f>
        <v>0.24252217968227641</v>
      </c>
      <c r="AE137">
        <f>$AQ$1</f>
        <v>0.19</v>
      </c>
      <c r="AF137">
        <f>$AR$20</f>
        <v>0.6784</v>
      </c>
      <c r="AG137">
        <f>AD137 * AE137 * N137 * P137 * AF137</f>
        <v>0</v>
      </c>
      <c r="AH137">
        <f>AD137*AE137*O137*Q137*AF137</f>
        <v>1.4692265269993551E-4</v>
      </c>
      <c r="AI137">
        <f t="shared" si="25"/>
        <v>1.4692265269993551E-4</v>
      </c>
      <c r="AJ137">
        <f>G137*AI137*J137</f>
        <v>2.2791376500077494</v>
      </c>
      <c r="AU137" s="8"/>
      <c r="AV137" s="8"/>
      <c r="BF137" s="27"/>
      <c r="BH137" s="20"/>
      <c r="BI137" s="20"/>
      <c r="BJ137" s="20"/>
      <c r="BK137" s="20"/>
      <c r="BL137" s="20"/>
      <c r="BM137" s="20"/>
    </row>
    <row r="138" spans="1:65" x14ac:dyDescent="0.2">
      <c r="E138" s="13"/>
      <c r="F138" t="s">
        <v>166</v>
      </c>
      <c r="G138">
        <v>200</v>
      </c>
      <c r="H138">
        <v>0</v>
      </c>
      <c r="I138">
        <v>0</v>
      </c>
      <c r="J138">
        <f>$AQ$3</f>
        <v>91.25</v>
      </c>
      <c r="K138">
        <v>0.16</v>
      </c>
      <c r="L138">
        <v>0.7</v>
      </c>
      <c r="M138">
        <v>42</v>
      </c>
      <c r="N138">
        <f t="shared" si="21"/>
        <v>0</v>
      </c>
      <c r="O138">
        <f>O131</f>
        <v>1</v>
      </c>
      <c r="P138">
        <f>P131</f>
        <v>0.69</v>
      </c>
      <c r="Q138">
        <f>$AQ$10</f>
        <v>4.7000000000000002E-3</v>
      </c>
      <c r="R138">
        <f>(H138/100)*(MIN(I138,100)/100)</f>
        <v>0</v>
      </c>
      <c r="S138">
        <v>0</v>
      </c>
      <c r="T138">
        <f t="shared" si="22"/>
        <v>0</v>
      </c>
      <c r="U138">
        <f>$AT$1</f>
        <v>1.3</v>
      </c>
      <c r="V138">
        <f>R138*U138+(1-R138)</f>
        <v>1</v>
      </c>
      <c r="W138">
        <f>(0.795*L138)-0.0014</f>
        <v>0.55510000000000004</v>
      </c>
      <c r="X138">
        <v>0.8</v>
      </c>
      <c r="Y138">
        <f t="shared" si="23"/>
        <v>0.72196269954680592</v>
      </c>
      <c r="Z138">
        <f>(104.7*W138+0.307*M138-15)*(M138^0.75)*10^-3</f>
        <v>0.92411404077093851</v>
      </c>
      <c r="AA138">
        <f t="shared" si="24"/>
        <v>0.66717586756409386</v>
      </c>
      <c r="AB138">
        <f>(AA138 * K138) + (0.045 * T138)</f>
        <v>0.10674813881025502</v>
      </c>
      <c r="AC138">
        <f>$AQ$2</f>
        <v>0.08</v>
      </c>
      <c r="AD138">
        <f>(AA138 * ((1 - L138) + (0.04 * AA138))) * ( 1 - AC138 )</f>
        <v>0.2005210893356543</v>
      </c>
      <c r="AE138">
        <f>$AQ$1</f>
        <v>0.19</v>
      </c>
      <c r="AF138">
        <f>$AR$20</f>
        <v>0.6784</v>
      </c>
      <c r="AG138">
        <f>AD138 * AE138 * N138 * P138 * AF138</f>
        <v>0</v>
      </c>
      <c r="AH138">
        <f>AD138*AE138*O138*Q138*AF138</f>
        <v>1.2147792175573995E-4</v>
      </c>
      <c r="AI138">
        <f t="shared" si="25"/>
        <v>1.2147792175573995E-4</v>
      </c>
      <c r="AJ138">
        <f>G138*AI138*J138</f>
        <v>2.2169720720422541</v>
      </c>
      <c r="AU138" s="8"/>
      <c r="AV138" s="8"/>
      <c r="BF138" s="27"/>
      <c r="BH138" s="20"/>
      <c r="BI138" s="20"/>
      <c r="BJ138" s="20"/>
      <c r="BK138" s="20"/>
      <c r="BL138" s="20"/>
      <c r="BM138" s="20"/>
    </row>
    <row r="139" spans="1:65" x14ac:dyDescent="0.2">
      <c r="E139" s="12" t="s">
        <v>168</v>
      </c>
      <c r="F139" t="s">
        <v>163</v>
      </c>
      <c r="G139">
        <v>100</v>
      </c>
      <c r="H139">
        <v>95</v>
      </c>
      <c r="I139">
        <v>92</v>
      </c>
      <c r="J139">
        <f>$AQ$3</f>
        <v>91.25</v>
      </c>
      <c r="K139">
        <v>0.2</v>
      </c>
      <c r="L139">
        <v>0.75</v>
      </c>
      <c r="M139">
        <v>45</v>
      </c>
      <c r="N139">
        <f t="shared" si="21"/>
        <v>0</v>
      </c>
      <c r="O139">
        <f>O131</f>
        <v>1</v>
      </c>
      <c r="P139">
        <f>P131</f>
        <v>0.69</v>
      </c>
      <c r="Q139">
        <f>$AQ$10</f>
        <v>4.7000000000000002E-3</v>
      </c>
      <c r="R139">
        <f>(H139/100)*(MIN(I139,100)/100)</f>
        <v>0.874</v>
      </c>
      <c r="S139">
        <v>0</v>
      </c>
      <c r="T139">
        <f t="shared" si="22"/>
        <v>0</v>
      </c>
      <c r="U139">
        <f>$AT$1</f>
        <v>1.3</v>
      </c>
      <c r="V139">
        <f>R139*U139+(1-R139)</f>
        <v>1.2622</v>
      </c>
      <c r="W139">
        <f>(0.795*L139)-0.0014</f>
        <v>0.5948500000000001</v>
      </c>
      <c r="X139">
        <v>2.5</v>
      </c>
      <c r="Y139">
        <f t="shared" si="23"/>
        <v>0.99999627334682795</v>
      </c>
      <c r="Z139">
        <f>(104.7*W139+0.307*M139-15)*(M139^0.75)*10^-3</f>
        <v>1.0615017285371116</v>
      </c>
      <c r="AA139">
        <f t="shared" si="24"/>
        <v>1.3398224886872072</v>
      </c>
      <c r="AB139">
        <f>(AA139 * K139) + (0.045 * T139)</f>
        <v>0.26796449773744146</v>
      </c>
      <c r="AC139">
        <f>$AQ$2</f>
        <v>0.08</v>
      </c>
      <c r="AD139">
        <f>(AA139 * ((1 - L139) + (0.04 * AA139))) * ( 1 - AC139 )</f>
        <v>0.37421974668192259</v>
      </c>
      <c r="AE139">
        <f>$AQ$1</f>
        <v>0.19</v>
      </c>
      <c r="AF139">
        <f>$AR$20</f>
        <v>0.6784</v>
      </c>
      <c r="AG139">
        <f>AD139 * AE139 * N139 * P139 * AF139</f>
        <v>0</v>
      </c>
      <c r="AH139">
        <f>AD139*AE139*O139*Q139*AF139</f>
        <v>2.2670651380107159E-4</v>
      </c>
      <c r="AI139">
        <f t="shared" si="25"/>
        <v>2.2670651380107159E-4</v>
      </c>
      <c r="AJ139">
        <f>G139*AI139*J139</f>
        <v>2.068696938434778</v>
      </c>
      <c r="AU139" s="8"/>
      <c r="AV139" s="8"/>
      <c r="BF139" s="27"/>
      <c r="BH139" s="20"/>
      <c r="BI139" s="20"/>
      <c r="BJ139" s="20"/>
      <c r="BK139" s="20"/>
      <c r="BL139" s="20"/>
      <c r="BM139" s="20"/>
    </row>
    <row r="140" spans="1:65" x14ac:dyDescent="0.2">
      <c r="E140" s="13"/>
      <c r="F140" t="s">
        <v>164</v>
      </c>
      <c r="G140">
        <v>140</v>
      </c>
      <c r="H140">
        <v>0</v>
      </c>
      <c r="I140">
        <v>0</v>
      </c>
      <c r="J140">
        <f>$AQ$3</f>
        <v>91.25</v>
      </c>
      <c r="K140">
        <v>7.0000000000000007E-2</v>
      </c>
      <c r="L140">
        <v>0.55000000000000004</v>
      </c>
      <c r="M140">
        <v>45</v>
      </c>
      <c r="N140">
        <f t="shared" si="21"/>
        <v>0</v>
      </c>
      <c r="O140">
        <f>O131</f>
        <v>1</v>
      </c>
      <c r="P140">
        <f>P131</f>
        <v>0.69</v>
      </c>
      <c r="Q140">
        <f>$AQ$10</f>
        <v>4.7000000000000002E-3</v>
      </c>
      <c r="R140">
        <f>(H140/100)*(MIN(I140,100)/100)</f>
        <v>0</v>
      </c>
      <c r="S140">
        <v>0</v>
      </c>
      <c r="T140">
        <f t="shared" si="22"/>
        <v>0</v>
      </c>
      <c r="U140">
        <f>$AT$1</f>
        <v>1.3</v>
      </c>
      <c r="V140">
        <f>R140*U140+(1-R140)</f>
        <v>1</v>
      </c>
      <c r="W140">
        <f>(0.795*L140)-0.0014</f>
        <v>0.43585000000000007</v>
      </c>
      <c r="X140">
        <v>2.5</v>
      </c>
      <c r="Y140">
        <f t="shared" si="23"/>
        <v>0.99999627334682795</v>
      </c>
      <c r="Z140">
        <f>(104.7*W140+0.307*M140-15)*(M140^0.75)*10^-3</f>
        <v>0.77226516609487061</v>
      </c>
      <c r="AA140">
        <f t="shared" si="24"/>
        <v>0.77226228813043973</v>
      </c>
      <c r="AB140">
        <f>(AA140 * K140) + (0.045 * T140)</f>
        <v>5.4058360169130786E-2</v>
      </c>
      <c r="AC140">
        <f>$AQ$2</f>
        <v>0.08</v>
      </c>
      <c r="AD140">
        <f>(AA140 * ((1 - L140) + (0.04 * AA140))) * ( 1 - AC140 )</f>
        <v>0.34166370401940144</v>
      </c>
      <c r="AE140">
        <f>$AQ$1</f>
        <v>0.19</v>
      </c>
      <c r="AF140">
        <f>$AR$20</f>
        <v>0.6784</v>
      </c>
      <c r="AG140">
        <f>AD140 * AE140 * N140 * P140 * AF140</f>
        <v>0</v>
      </c>
      <c r="AH140">
        <f>AD140*AE140*O140*Q140*AF140</f>
        <v>2.069836985284384E-4</v>
      </c>
      <c r="AI140">
        <f t="shared" si="25"/>
        <v>2.069836985284384E-4</v>
      </c>
      <c r="AJ140">
        <f>G140*AI140*J140</f>
        <v>2.6442167487008006</v>
      </c>
      <c r="AU140" s="8"/>
      <c r="AV140" s="8"/>
      <c r="BF140" s="27"/>
      <c r="BH140" s="20"/>
      <c r="BI140" s="20"/>
      <c r="BJ140" s="20"/>
      <c r="BK140" s="20"/>
      <c r="BL140" s="20"/>
      <c r="BM140" s="20"/>
    </row>
    <row r="141" spans="1:65" x14ac:dyDescent="0.2">
      <c r="E141" s="12"/>
      <c r="F141" t="s">
        <v>165</v>
      </c>
      <c r="G141">
        <v>135</v>
      </c>
      <c r="H141">
        <v>0</v>
      </c>
      <c r="I141">
        <v>0</v>
      </c>
      <c r="J141">
        <f>$AQ$3</f>
        <v>91.25</v>
      </c>
      <c r="K141">
        <v>0.14000000000000001</v>
      </c>
      <c r="L141">
        <v>0.67</v>
      </c>
      <c r="M141">
        <v>45</v>
      </c>
      <c r="N141">
        <f t="shared" si="21"/>
        <v>0</v>
      </c>
      <c r="O141">
        <f>O131</f>
        <v>1</v>
      </c>
      <c r="P141">
        <f>P131</f>
        <v>0.69</v>
      </c>
      <c r="Q141">
        <f>$AQ$10</f>
        <v>4.7000000000000002E-3</v>
      </c>
      <c r="R141">
        <f>(H141/100)*(MIN(I141,100)/100)</f>
        <v>0</v>
      </c>
      <c r="S141">
        <v>0</v>
      </c>
      <c r="T141">
        <f t="shared" si="22"/>
        <v>0</v>
      </c>
      <c r="U141">
        <f>$AT$1</f>
        <v>1.3</v>
      </c>
      <c r="V141">
        <f>R141*U141+(1-R141)</f>
        <v>1</v>
      </c>
      <c r="W141">
        <f>(0.795*L141)-0.0014</f>
        <v>0.53125000000000011</v>
      </c>
      <c r="X141">
        <v>1.3</v>
      </c>
      <c r="Y141">
        <f t="shared" si="23"/>
        <v>0.96595254526540064</v>
      </c>
      <c r="Z141">
        <f>(104.7*W141+0.307*M141-15)*(M141^0.75)*10^-3</f>
        <v>0.94580710356021536</v>
      </c>
      <c r="AA141">
        <f t="shared" si="24"/>
        <v>0.91360477901408643</v>
      </c>
      <c r="AB141">
        <f>(AA141 * K141) + (0.045 * T141)</f>
        <v>0.12790466906197212</v>
      </c>
      <c r="AC141">
        <f>$AQ$2</f>
        <v>0.08</v>
      </c>
      <c r="AD141">
        <f>(AA141 * ((1 - L141) + (0.04 * AA141))) * ( 1 - AC141 )</f>
        <v>0.30808640278301214</v>
      </c>
      <c r="AE141">
        <f>$AQ$1</f>
        <v>0.19</v>
      </c>
      <c r="AF141">
        <f>$AR$20</f>
        <v>0.6784</v>
      </c>
      <c r="AG141">
        <f>AD141 * AE141 * N141 * P141 * AF141</f>
        <v>0</v>
      </c>
      <c r="AH141">
        <f>AD141*AE141*O141*Q141*AF141</f>
        <v>1.8664219337365993E-4</v>
      </c>
      <c r="AI141">
        <f t="shared" si="25"/>
        <v>1.8664219337365993E-4</v>
      </c>
      <c r="AJ141">
        <f>G141*AI141*J141</f>
        <v>2.2991985196217732</v>
      </c>
      <c r="AU141" s="8"/>
      <c r="AV141" s="8"/>
      <c r="BF141" s="27"/>
      <c r="BH141" s="20"/>
      <c r="BI141" s="20"/>
      <c r="BJ141" s="20"/>
      <c r="BK141" s="20"/>
      <c r="BL141" s="20"/>
      <c r="BM141" s="20"/>
    </row>
    <row r="142" spans="1:65" x14ac:dyDescent="0.2">
      <c r="E142" s="13"/>
      <c r="F142" t="s">
        <v>166</v>
      </c>
      <c r="G142">
        <v>130</v>
      </c>
      <c r="H142">
        <v>0</v>
      </c>
      <c r="I142">
        <v>0</v>
      </c>
      <c r="J142">
        <f>$AQ$3</f>
        <v>91.25</v>
      </c>
      <c r="K142">
        <v>0.16</v>
      </c>
      <c r="L142">
        <v>0.7</v>
      </c>
      <c r="M142">
        <v>50</v>
      </c>
      <c r="N142">
        <f t="shared" si="21"/>
        <v>0</v>
      </c>
      <c r="O142">
        <f>O131</f>
        <v>1</v>
      </c>
      <c r="P142">
        <f>P131</f>
        <v>0.69</v>
      </c>
      <c r="Q142">
        <f>$AQ$10</f>
        <v>4.7000000000000002E-3</v>
      </c>
      <c r="R142">
        <f>(H142/100)*(MIN(I142,100)/100)</f>
        <v>0</v>
      </c>
      <c r="S142">
        <v>0</v>
      </c>
      <c r="T142">
        <f t="shared" si="22"/>
        <v>0</v>
      </c>
      <c r="U142">
        <f>$AT$1</f>
        <v>1.3</v>
      </c>
      <c r="V142">
        <f>R142*U142+(1-R142)</f>
        <v>1</v>
      </c>
      <c r="W142">
        <f>(0.795*L142)-0.0014</f>
        <v>0.55510000000000004</v>
      </c>
      <c r="X142">
        <v>0.8</v>
      </c>
      <c r="Y142">
        <f t="shared" si="23"/>
        <v>0.72196269954680592</v>
      </c>
      <c r="Z142">
        <f>(104.7*W142+0.307*M142-15)*(M142^0.75)*10^-3</f>
        <v>1.0993929471578776</v>
      </c>
      <c r="AA142">
        <f t="shared" si="24"/>
        <v>0.79372069999282024</v>
      </c>
      <c r="AB142">
        <f>(AA142 * K142) + (0.045 * T142)</f>
        <v>0.12699531199885125</v>
      </c>
      <c r="AC142">
        <f>$AQ$2</f>
        <v>0.08</v>
      </c>
      <c r="AD142">
        <f>(AA142 * ((1 - L142) + (0.04 * AA142))) * ( 1 - AC142 )</f>
        <v>0.24225063902319144</v>
      </c>
      <c r="AE142">
        <f>$AQ$1</f>
        <v>0.19</v>
      </c>
      <c r="AF142">
        <f>$AR$20</f>
        <v>0.6784</v>
      </c>
      <c r="AG142">
        <f>AD142 * AE142 * N142 * P142 * AF142</f>
        <v>0</v>
      </c>
      <c r="AH142">
        <f>AD142*AE142*O142*Q142*AF142</f>
        <v>1.4675815032740645E-4</v>
      </c>
      <c r="AI142">
        <f t="shared" si="25"/>
        <v>1.4675815032740645E-4</v>
      </c>
      <c r="AJ142">
        <f>G142*AI142*J142</f>
        <v>1.7409185582588591</v>
      </c>
      <c r="AU142" s="8"/>
      <c r="AV142" s="8"/>
      <c r="BF142" s="27"/>
      <c r="BH142" s="20"/>
      <c r="BI142" s="20"/>
      <c r="BJ142" s="20"/>
      <c r="BK142" s="20"/>
      <c r="BL142" s="20"/>
      <c r="BM142" s="20"/>
    </row>
    <row r="143" spans="1:65" x14ac:dyDescent="0.2">
      <c r="E143" s="12" t="s">
        <v>170</v>
      </c>
      <c r="F143" t="s">
        <v>163</v>
      </c>
      <c r="G143">
        <v>200</v>
      </c>
      <c r="H143">
        <v>0</v>
      </c>
      <c r="I143">
        <v>0</v>
      </c>
      <c r="J143">
        <f>$AQ$3</f>
        <v>91.25</v>
      </c>
      <c r="K143">
        <v>0.2</v>
      </c>
      <c r="L143">
        <v>0.75</v>
      </c>
      <c r="M143">
        <v>50</v>
      </c>
      <c r="N143">
        <f t="shared" si="21"/>
        <v>0</v>
      </c>
      <c r="O143">
        <f>O131</f>
        <v>1</v>
      </c>
      <c r="P143">
        <f>P131</f>
        <v>0.69</v>
      </c>
      <c r="Q143">
        <f>$AQ$10</f>
        <v>4.7000000000000002E-3</v>
      </c>
      <c r="R143">
        <f>(H143/100)*(MIN(I143,100)/100)</f>
        <v>0</v>
      </c>
      <c r="S143">
        <v>0</v>
      </c>
      <c r="T143">
        <f t="shared" si="22"/>
        <v>0</v>
      </c>
      <c r="U143">
        <f>$AT$1</f>
        <v>1.3</v>
      </c>
      <c r="V143">
        <f>R143*U143+(1-R143)</f>
        <v>1</v>
      </c>
      <c r="W143">
        <f>(0.795*L143)-0.0014</f>
        <v>0.5948500000000001</v>
      </c>
      <c r="X143">
        <v>2.5</v>
      </c>
      <c r="Y143">
        <f t="shared" si="23"/>
        <v>0.99999627334682795</v>
      </c>
      <c r="Z143">
        <f>(104.7*W143+0.307*M143-15)*(M143^0.75)*10^-3</f>
        <v>1.1776478069972991</v>
      </c>
      <c r="AA143">
        <f t="shared" si="24"/>
        <v>1.1776434183123636</v>
      </c>
      <c r="AB143">
        <f>(AA143 * K143) + (0.045 * T143)</f>
        <v>0.23552868366247273</v>
      </c>
      <c r="AC143">
        <f>$AQ$2</f>
        <v>0.08</v>
      </c>
      <c r="AD143">
        <f>(AA143 * ((1 - L143) + (0.04 * AA143))) * ( 1 - AC143 )</f>
        <v>0.32189384617339861</v>
      </c>
      <c r="AE143">
        <f>$AQ$1</f>
        <v>0.19</v>
      </c>
      <c r="AF143">
        <f>$AR$20</f>
        <v>0.6784</v>
      </c>
      <c r="AG143">
        <f>AD143 * AE143 * N143 * P143 * AF143</f>
        <v>0</v>
      </c>
      <c r="AH143">
        <f>AD143*AE143*O143*Q143*AF143</f>
        <v>1.9500689722292205E-4</v>
      </c>
      <c r="AI143">
        <f t="shared" si="25"/>
        <v>1.9500689722292205E-4</v>
      </c>
      <c r="AJ143">
        <f>G143*AI143*J143</f>
        <v>3.5588758743183275</v>
      </c>
      <c r="AU143" s="8"/>
      <c r="AV143" s="8"/>
      <c r="BF143" s="27"/>
      <c r="BH143" s="20"/>
      <c r="BI143" s="20"/>
      <c r="BJ143" s="20"/>
      <c r="BK143" s="20"/>
      <c r="BL143" s="20"/>
      <c r="BM143" s="20"/>
    </row>
    <row r="144" spans="1:65" x14ac:dyDescent="0.2">
      <c r="E144" s="13"/>
      <c r="F144" t="s">
        <v>164</v>
      </c>
      <c r="G144">
        <v>210</v>
      </c>
      <c r="H144">
        <v>0</v>
      </c>
      <c r="I144">
        <v>0</v>
      </c>
      <c r="J144">
        <f>$AQ$3</f>
        <v>91.25</v>
      </c>
      <c r="K144">
        <v>7.0000000000000007E-2</v>
      </c>
      <c r="L144">
        <v>0.55000000000000004</v>
      </c>
      <c r="M144">
        <v>50</v>
      </c>
      <c r="N144">
        <f t="shared" si="21"/>
        <v>0</v>
      </c>
      <c r="O144">
        <f>O131</f>
        <v>1</v>
      </c>
      <c r="P144">
        <f>P131</f>
        <v>0.69</v>
      </c>
      <c r="Q144">
        <f>$AQ$10</f>
        <v>4.7000000000000002E-3</v>
      </c>
      <c r="R144">
        <f>(H144/100)*(MIN(I144,100)/100)</f>
        <v>0</v>
      </c>
      <c r="S144">
        <v>0</v>
      </c>
      <c r="T144">
        <f t="shared" si="22"/>
        <v>0</v>
      </c>
      <c r="U144">
        <f>$AT$1</f>
        <v>1.3</v>
      </c>
      <c r="V144">
        <f>R144*U144+(1-R144)</f>
        <v>1</v>
      </c>
      <c r="W144">
        <f>(0.795*L144)-0.0014</f>
        <v>0.43585000000000007</v>
      </c>
      <c r="X144">
        <v>2.5</v>
      </c>
      <c r="Y144">
        <f t="shared" si="23"/>
        <v>0.99999627334682795</v>
      </c>
      <c r="Z144">
        <f>(104.7*W144+0.307*M144-15)*(M144^0.75)*10^-3</f>
        <v>0.8646283676396137</v>
      </c>
      <c r="AA144">
        <f t="shared" si="24"/>
        <v>0.86462514546956482</v>
      </c>
      <c r="AB144">
        <f>(AA144 * K144) + (0.045 * T144)</f>
        <v>6.0523760182869542E-2</v>
      </c>
      <c r="AC144">
        <f>$AQ$2</f>
        <v>0.08</v>
      </c>
      <c r="AD144">
        <f>(AA144 * ((1 - L144) + (0.04 * AA144))) * ( 1 - AC144 )</f>
        <v>0.38546563065656003</v>
      </c>
      <c r="AE144">
        <f>$AQ$1</f>
        <v>0.19</v>
      </c>
      <c r="AF144">
        <f>$AR$20</f>
        <v>0.6784</v>
      </c>
      <c r="AG144">
        <f>AD144 * AE144 * N144 * P144 * AF144</f>
        <v>0</v>
      </c>
      <c r="AH144">
        <f>AD144*AE144*O144*Q144*AF144</f>
        <v>2.3351939626680747E-4</v>
      </c>
      <c r="AI144">
        <f t="shared" si="25"/>
        <v>2.3351939626680747E-4</v>
      </c>
      <c r="AJ144">
        <f>G144*AI144*J144</f>
        <v>4.474815430962698</v>
      </c>
      <c r="AU144" s="8"/>
      <c r="AV144" s="8"/>
      <c r="BF144" s="27"/>
      <c r="BH144" s="20"/>
      <c r="BI144" s="20"/>
      <c r="BJ144" s="20"/>
      <c r="BK144" s="20"/>
      <c r="BL144" s="20"/>
      <c r="BM144" s="20"/>
    </row>
    <row r="145" spans="5:65" x14ac:dyDescent="0.2">
      <c r="E145" s="12"/>
      <c r="F145" t="s">
        <v>165</v>
      </c>
      <c r="G145">
        <v>190</v>
      </c>
      <c r="H145">
        <v>0</v>
      </c>
      <c r="I145">
        <v>0</v>
      </c>
      <c r="J145">
        <f>$AQ$3</f>
        <v>91.25</v>
      </c>
      <c r="K145">
        <v>0.14000000000000001</v>
      </c>
      <c r="L145">
        <v>0.67</v>
      </c>
      <c r="M145">
        <v>50</v>
      </c>
      <c r="N145">
        <f t="shared" si="21"/>
        <v>0</v>
      </c>
      <c r="O145">
        <f>O131</f>
        <v>1</v>
      </c>
      <c r="P145">
        <f>P131</f>
        <v>0.69</v>
      </c>
      <c r="Q145">
        <f>$AQ$10</f>
        <v>4.7000000000000002E-3</v>
      </c>
      <c r="R145">
        <f>(H145/100)*(MIN(I145,100)/100)</f>
        <v>0</v>
      </c>
      <c r="S145">
        <v>0</v>
      </c>
      <c r="T145">
        <f t="shared" si="22"/>
        <v>0</v>
      </c>
      <c r="U145">
        <f>$AT$1</f>
        <v>1.3</v>
      </c>
      <c r="V145">
        <f>R145*U145+(1-R145)</f>
        <v>1</v>
      </c>
      <c r="W145">
        <f>(0.795*L145)-0.0014</f>
        <v>0.53125000000000011</v>
      </c>
      <c r="X145">
        <v>1.3</v>
      </c>
      <c r="Y145">
        <f t="shared" si="23"/>
        <v>0.96595254526540064</v>
      </c>
      <c r="Z145">
        <f>(104.7*W145+0.307*M145-15)*(M145^0.75)*10^-3</f>
        <v>1.052440031254225</v>
      </c>
      <c r="AA145">
        <f t="shared" si="24"/>
        <v>1.0166071269292165</v>
      </c>
      <c r="AB145">
        <f>(AA145 * K145) + (0.045 * T145)</f>
        <v>0.14232499777009033</v>
      </c>
      <c r="AC145">
        <f>$AQ$2</f>
        <v>0.08</v>
      </c>
      <c r="AD145">
        <f>(AA145 * ((1 - L145) + (0.04 * AA145))) * ( 1 - AC145 )</f>
        <v>0.34667435759496673</v>
      </c>
      <c r="AE145">
        <f>$AQ$1</f>
        <v>0.19</v>
      </c>
      <c r="AF145">
        <f>$AR$20</f>
        <v>0.6784</v>
      </c>
      <c r="AG145">
        <f>AD145 * AE145 * N145 * P145 * AF145</f>
        <v>0</v>
      </c>
      <c r="AH145">
        <f>AD145*AE145*O145*Q145*AF145</f>
        <v>2.1001920858383592E-4</v>
      </c>
      <c r="AI145">
        <f t="shared" si="25"/>
        <v>2.1001920858383592E-4</v>
      </c>
      <c r="AJ145">
        <f>G145*AI145*J145</f>
        <v>3.641208028822255</v>
      </c>
      <c r="AU145" s="8"/>
      <c r="AV145" s="8"/>
      <c r="BF145" s="27"/>
      <c r="BH145" s="20"/>
      <c r="BI145" s="20"/>
      <c r="BJ145" s="20"/>
      <c r="BK145" s="20"/>
      <c r="BL145" s="20"/>
      <c r="BM145" s="20"/>
    </row>
    <row r="146" spans="5:65" x14ac:dyDescent="0.2">
      <c r="E146" s="13"/>
      <c r="F146" t="s">
        <v>166</v>
      </c>
      <c r="G146">
        <v>180</v>
      </c>
      <c r="H146">
        <v>0</v>
      </c>
      <c r="I146">
        <v>0</v>
      </c>
      <c r="J146">
        <f>$AQ$3</f>
        <v>91.25</v>
      </c>
      <c r="K146">
        <v>0.16</v>
      </c>
      <c r="L146">
        <v>0.7</v>
      </c>
      <c r="M146">
        <v>50</v>
      </c>
      <c r="N146">
        <f t="shared" si="21"/>
        <v>0</v>
      </c>
      <c r="O146">
        <f>O131</f>
        <v>1</v>
      </c>
      <c r="P146">
        <f>P131</f>
        <v>0.69</v>
      </c>
      <c r="Q146">
        <f>$AQ$10</f>
        <v>4.7000000000000002E-3</v>
      </c>
      <c r="R146">
        <f>(H146/100)*(MIN(I146,100)/100)</f>
        <v>0</v>
      </c>
      <c r="S146">
        <v>0</v>
      </c>
      <c r="T146">
        <f t="shared" si="22"/>
        <v>0</v>
      </c>
      <c r="U146">
        <f>$AT$1</f>
        <v>1.3</v>
      </c>
      <c r="V146">
        <f>R146*U146+(1-R146)</f>
        <v>1</v>
      </c>
      <c r="W146">
        <f>(0.795*L146)-0.0014</f>
        <v>0.55510000000000004</v>
      </c>
      <c r="X146">
        <v>0.8</v>
      </c>
      <c r="Y146">
        <f t="shared" si="23"/>
        <v>0.72196269954680592</v>
      </c>
      <c r="Z146">
        <f>(104.7*W146+0.307*M146-15)*(M146^0.75)*10^-3</f>
        <v>1.0993929471578776</v>
      </c>
      <c r="AA146">
        <f t="shared" si="24"/>
        <v>0.79372069999282024</v>
      </c>
      <c r="AB146">
        <f>(AA146 * K146) + (0.045 * T146)</f>
        <v>0.12699531199885125</v>
      </c>
      <c r="AC146">
        <f>$AQ$2</f>
        <v>0.08</v>
      </c>
      <c r="AD146">
        <f>(AA146 * ((1 - L146) + (0.04 * AA146))) * ( 1 - AC146 )</f>
        <v>0.24225063902319144</v>
      </c>
      <c r="AE146">
        <f>$AQ$1</f>
        <v>0.19</v>
      </c>
      <c r="AF146">
        <f>$AR$20</f>
        <v>0.6784</v>
      </c>
      <c r="AG146">
        <f>AD146 * AE146 * N146 * P146 * AF146</f>
        <v>0</v>
      </c>
      <c r="AH146">
        <f>AD146*AE146*O146*Q146*AF146</f>
        <v>1.4675815032740645E-4</v>
      </c>
      <c r="AI146">
        <f t="shared" si="25"/>
        <v>1.4675815032740645E-4</v>
      </c>
      <c r="AJ146">
        <f>G146*AI146*J146</f>
        <v>2.4105026191276511</v>
      </c>
      <c r="AU146" s="8"/>
      <c r="AV146" s="8"/>
      <c r="BF146" s="27"/>
      <c r="BH146" s="20"/>
      <c r="BI146" s="20"/>
      <c r="BJ146" s="20"/>
      <c r="BK146" s="20"/>
      <c r="BL146" s="20"/>
      <c r="BM146" s="20"/>
    </row>
    <row r="147" spans="5:65" x14ac:dyDescent="0.2">
      <c r="E147" s="12" t="s">
        <v>162</v>
      </c>
      <c r="F147" t="s">
        <v>163</v>
      </c>
      <c r="G147">
        <v>50</v>
      </c>
      <c r="H147">
        <v>0</v>
      </c>
      <c r="I147">
        <v>0</v>
      </c>
      <c r="J147">
        <f>$AQ$3</f>
        <v>91.25</v>
      </c>
      <c r="K147">
        <v>0.2</v>
      </c>
      <c r="L147">
        <v>0.75</v>
      </c>
      <c r="M147">
        <v>90</v>
      </c>
      <c r="N147">
        <f t="shared" si="21"/>
        <v>0</v>
      </c>
      <c r="O147">
        <f>O131</f>
        <v>1</v>
      </c>
      <c r="P147">
        <f>P131</f>
        <v>0.69</v>
      </c>
      <c r="Q147">
        <f>$AQ$10</f>
        <v>4.7000000000000002E-3</v>
      </c>
      <c r="R147">
        <f>(H147/100)*(MIN(I147,100)/100)</f>
        <v>0</v>
      </c>
      <c r="S147">
        <v>0</v>
      </c>
      <c r="T147">
        <f t="shared" si="22"/>
        <v>0</v>
      </c>
      <c r="U147">
        <f>$AT$1</f>
        <v>1.3</v>
      </c>
      <c r="V147">
        <f>R147*U147+(1-R147)</f>
        <v>1</v>
      </c>
      <c r="W147">
        <f>(0.795*L147)-0.0014</f>
        <v>0.5948500000000001</v>
      </c>
      <c r="X147">
        <v>2.5</v>
      </c>
      <c r="Y147">
        <f t="shared" si="23"/>
        <v>0.99999627334682795</v>
      </c>
      <c r="Z147">
        <f>(104.7*W147+0.307*M147-15)*(M147^0.75)*10^-3</f>
        <v>2.188901849330922</v>
      </c>
      <c r="AA147">
        <f t="shared" si="24"/>
        <v>2.1888936920529019</v>
      </c>
      <c r="AB147">
        <f>(AA147 * K147) + (0.045 * T147)</f>
        <v>0.4377787384105804</v>
      </c>
      <c r="AC147">
        <f>$AQ$2</f>
        <v>0.08</v>
      </c>
      <c r="AD147">
        <f>(AA147 * ((1 - L147) + (0.04 * AA147))) * ( 1 - AC147 )</f>
        <v>0.67976375507217801</v>
      </c>
      <c r="AE147">
        <f>$AQ$1</f>
        <v>0.19</v>
      </c>
      <c r="AF147">
        <f>$AR$20</f>
        <v>0.6784</v>
      </c>
      <c r="AG147">
        <f>AD147 * AE147 * N147 * P147 * AF147</f>
        <v>0</v>
      </c>
      <c r="AH147">
        <f>AD147*AE147*O147*Q147*AF147</f>
        <v>4.1180849617678233E-4</v>
      </c>
      <c r="AI147">
        <f t="shared" si="25"/>
        <v>4.1180849617678233E-4</v>
      </c>
      <c r="AJ147">
        <f>G147*AI147*J147</f>
        <v>1.8788762638065695</v>
      </c>
      <c r="AU147" s="8"/>
      <c r="AV147" s="8"/>
      <c r="BF147" s="27"/>
      <c r="BH147" s="20"/>
      <c r="BI147" s="20"/>
      <c r="BJ147" s="20"/>
      <c r="BK147" s="20"/>
      <c r="BL147" s="20"/>
      <c r="BM147" s="20"/>
    </row>
    <row r="148" spans="5:65" x14ac:dyDescent="0.2">
      <c r="E148" s="13"/>
      <c r="F148" t="s">
        <v>164</v>
      </c>
      <c r="G148">
        <v>55</v>
      </c>
      <c r="H148">
        <v>0</v>
      </c>
      <c r="I148">
        <v>0</v>
      </c>
      <c r="J148">
        <f>$AQ$3</f>
        <v>91.25</v>
      </c>
      <c r="K148">
        <v>7.0000000000000007E-2</v>
      </c>
      <c r="L148">
        <v>0.55000000000000004</v>
      </c>
      <c r="M148">
        <v>90</v>
      </c>
      <c r="N148">
        <f t="shared" si="21"/>
        <v>0</v>
      </c>
      <c r="O148">
        <f>O131</f>
        <v>1</v>
      </c>
      <c r="P148">
        <f>P131</f>
        <v>0.69</v>
      </c>
      <c r="Q148">
        <f>$AQ$10</f>
        <v>4.7000000000000002E-3</v>
      </c>
      <c r="R148">
        <f>(H148/100)*(MIN(I148,100)/100)</f>
        <v>0</v>
      </c>
      <c r="S148">
        <v>0</v>
      </c>
      <c r="T148">
        <f t="shared" si="22"/>
        <v>0</v>
      </c>
      <c r="U148">
        <f>$AT$1</f>
        <v>1.3</v>
      </c>
      <c r="V148">
        <f>R148*U148+(1-R148)</f>
        <v>1</v>
      </c>
      <c r="W148">
        <f>(0.795*L148)-0.0014</f>
        <v>0.43585000000000007</v>
      </c>
      <c r="X148">
        <v>2.5</v>
      </c>
      <c r="Y148">
        <f t="shared" si="23"/>
        <v>0.99999627334682795</v>
      </c>
      <c r="Z148">
        <f>(104.7*W148+0.307*M148-15)*(M148^0.75)*10^-3</f>
        <v>1.7024658722949466</v>
      </c>
      <c r="AA148">
        <f t="shared" si="24"/>
        <v>1.7024595277951033</v>
      </c>
      <c r="AB148">
        <f>(AA148 * K148) + (0.045 * T148)</f>
        <v>0.11917216694565724</v>
      </c>
      <c r="AC148">
        <f>$AQ$2</f>
        <v>0.08</v>
      </c>
      <c r="AD148">
        <f>(AA148 * ((1 - L148) + (0.04 * AA148))) * ( 1 - AC148 )</f>
        <v>0.81147820323828879</v>
      </c>
      <c r="AE148">
        <f>$AQ$1</f>
        <v>0.19</v>
      </c>
      <c r="AF148">
        <f>$AR$20</f>
        <v>0.6784</v>
      </c>
      <c r="AG148">
        <f>AD148 * AE148 * N148 * P148 * AF148</f>
        <v>0</v>
      </c>
      <c r="AH148">
        <f>AD148*AE148*O148*Q148*AF148</f>
        <v>4.9160258407763158E-4</v>
      </c>
      <c r="AI148">
        <f t="shared" si="25"/>
        <v>4.9160258407763158E-4</v>
      </c>
      <c r="AJ148">
        <f>G148*AI148*J148</f>
        <v>2.4672304688396136</v>
      </c>
      <c r="AU148" s="8"/>
      <c r="AV148" s="8"/>
      <c r="BF148" s="15"/>
      <c r="BH148" s="16"/>
      <c r="BI148" s="16"/>
      <c r="BJ148" s="16"/>
      <c r="BK148" s="16"/>
      <c r="BL148" s="16"/>
      <c r="BM148" s="17"/>
    </row>
    <row r="149" spans="5:65" x14ac:dyDescent="0.2">
      <c r="E149" s="12"/>
      <c r="F149" t="s">
        <v>165</v>
      </c>
      <c r="G149">
        <v>60</v>
      </c>
      <c r="H149">
        <v>0</v>
      </c>
      <c r="I149">
        <v>0</v>
      </c>
      <c r="J149">
        <f>$AQ$3</f>
        <v>91.25</v>
      </c>
      <c r="K149">
        <v>0.14000000000000001</v>
      </c>
      <c r="L149">
        <v>0.67</v>
      </c>
      <c r="M149">
        <v>75</v>
      </c>
      <c r="N149">
        <f t="shared" si="21"/>
        <v>0</v>
      </c>
      <c r="O149">
        <f>O131</f>
        <v>1</v>
      </c>
      <c r="P149">
        <f>P131</f>
        <v>0.69</v>
      </c>
      <c r="Q149">
        <f>$AQ$10</f>
        <v>4.7000000000000002E-3</v>
      </c>
      <c r="R149">
        <f>(H149/100)*(MIN(I149,100)/100)</f>
        <v>0</v>
      </c>
      <c r="S149">
        <v>0</v>
      </c>
      <c r="T149">
        <f t="shared" si="22"/>
        <v>0</v>
      </c>
      <c r="U149">
        <f>$AT$1</f>
        <v>1.3</v>
      </c>
      <c r="V149">
        <f>R149*U149+(1-R149)</f>
        <v>1</v>
      </c>
      <c r="W149">
        <f>(0.795*L149)-0.0014</f>
        <v>0.53125000000000011</v>
      </c>
      <c r="X149">
        <v>1.3</v>
      </c>
      <c r="Y149">
        <f t="shared" si="23"/>
        <v>0.96595254526540064</v>
      </c>
      <c r="Z149">
        <f>(104.7*W149+0.307*M149-15)*(M149^0.75)*10^-3</f>
        <v>1.6220828500688129</v>
      </c>
      <c r="AA149">
        <f t="shared" si="24"/>
        <v>1.5668550576553251</v>
      </c>
      <c r="AB149">
        <f>(AA149 * K149) + (0.045 * T149)</f>
        <v>0.21935970807174554</v>
      </c>
      <c r="AC149">
        <f>$AQ$2</f>
        <v>0.08</v>
      </c>
      <c r="AD149">
        <f>(AA149 * ((1 - L149) + (0.04 * AA149))) * ( 1 - AC149 )</f>
        <v>0.56604247510271932</v>
      </c>
      <c r="AE149">
        <f>$AQ$1</f>
        <v>0.19</v>
      </c>
      <c r="AF149">
        <f>$AR$20</f>
        <v>0.6784</v>
      </c>
      <c r="AG149">
        <f>AD149 * AE149 * N149 * P149 * AF149</f>
        <v>0</v>
      </c>
      <c r="AH149">
        <f>AD149*AE149*O149*Q149*AF149</f>
        <v>3.4291487109294852E-4</v>
      </c>
      <c r="AI149">
        <f t="shared" si="25"/>
        <v>3.4291487109294852E-4</v>
      </c>
      <c r="AJ149">
        <f>G149*AI149*J149</f>
        <v>1.8774589192338933</v>
      </c>
      <c r="AU149" s="8"/>
      <c r="AV149" s="8"/>
      <c r="BF149" s="15"/>
      <c r="BH149" s="16"/>
      <c r="BI149" s="16"/>
      <c r="BJ149" s="16"/>
      <c r="BK149" s="16"/>
      <c r="BL149" s="16"/>
      <c r="BM149" s="17"/>
    </row>
    <row r="150" spans="5:65" x14ac:dyDescent="0.2">
      <c r="E150" s="13"/>
      <c r="F150" t="s">
        <v>166</v>
      </c>
      <c r="G150">
        <v>65</v>
      </c>
      <c r="H150">
        <v>0</v>
      </c>
      <c r="I150">
        <v>0</v>
      </c>
      <c r="J150">
        <f>$AQ$3</f>
        <v>91.25</v>
      </c>
      <c r="K150">
        <v>0.16</v>
      </c>
      <c r="L150">
        <v>0.7</v>
      </c>
      <c r="M150">
        <v>75</v>
      </c>
      <c r="N150">
        <f t="shared" si="21"/>
        <v>0</v>
      </c>
      <c r="O150">
        <f>O131</f>
        <v>1</v>
      </c>
      <c r="P150">
        <f>P131</f>
        <v>0.69</v>
      </c>
      <c r="Q150">
        <f>$AQ$10</f>
        <v>4.7000000000000002E-3</v>
      </c>
      <c r="R150">
        <f>(H150/100)*(MIN(I150,100)/100)</f>
        <v>0</v>
      </c>
      <c r="S150">
        <v>0</v>
      </c>
      <c r="T150">
        <f t="shared" si="22"/>
        <v>0</v>
      </c>
      <c r="U150">
        <f>$AT$1</f>
        <v>1.3</v>
      </c>
      <c r="V150">
        <f>R150*U150+(1-R150)</f>
        <v>1</v>
      </c>
      <c r="W150">
        <f>(0.795*L150)-0.0014</f>
        <v>0.55510000000000004</v>
      </c>
      <c r="X150">
        <v>0.8</v>
      </c>
      <c r="Y150">
        <f t="shared" si="23"/>
        <v>0.72196269954680592</v>
      </c>
      <c r="Z150">
        <f>(104.7*W150+0.307*M150-15)*(M150^0.75)*10^-3</f>
        <v>1.6857229733976102</v>
      </c>
      <c r="AA150">
        <f t="shared" si="24"/>
        <v>1.2170291085622071</v>
      </c>
      <c r="AB150">
        <f>(AA150 * K150) + (0.045 * T150)</f>
        <v>0.19472465736995315</v>
      </c>
      <c r="AC150">
        <f>$AQ$2</f>
        <v>0.08</v>
      </c>
      <c r="AD150">
        <f>(AA150 * ((1 - L150) + (0.04 * AA150))) * ( 1 - AC150 )</f>
        <v>0.39040671648319736</v>
      </c>
      <c r="AE150">
        <f>$AQ$1</f>
        <v>0.19</v>
      </c>
      <c r="AF150">
        <f>$AR$20</f>
        <v>0.6784</v>
      </c>
      <c r="AG150">
        <f>AD150 * AE150 * N150 * P150 * AF150</f>
        <v>0</v>
      </c>
      <c r="AH150">
        <f>AD150*AE150*O150*Q150*AF150</f>
        <v>2.365127614007456E-4</v>
      </c>
      <c r="AI150">
        <f t="shared" si="25"/>
        <v>2.365127614007456E-4</v>
      </c>
      <c r="AJ150">
        <f>G150*AI150*J150</f>
        <v>1.4028163160581724</v>
      </c>
      <c r="AU150" s="8"/>
      <c r="AV150" s="8"/>
      <c r="BF150" s="15"/>
      <c r="BH150" s="16"/>
      <c r="BI150" s="16"/>
      <c r="BJ150" s="16"/>
      <c r="BK150" s="16"/>
      <c r="BL150" s="16"/>
      <c r="BM150" s="17"/>
    </row>
    <row r="151" spans="5:65" x14ac:dyDescent="0.2">
      <c r="E151" s="12" t="s">
        <v>167</v>
      </c>
      <c r="F151" t="s">
        <v>163</v>
      </c>
      <c r="G151">
        <v>50</v>
      </c>
      <c r="H151">
        <v>0</v>
      </c>
      <c r="I151">
        <v>0</v>
      </c>
      <c r="J151">
        <f>$AQ$3</f>
        <v>91.25</v>
      </c>
      <c r="K151">
        <v>0.2</v>
      </c>
      <c r="L151">
        <v>0.75</v>
      </c>
      <c r="M151">
        <v>55</v>
      </c>
      <c r="N151">
        <f t="shared" si="21"/>
        <v>0</v>
      </c>
      <c r="O151">
        <f>O131</f>
        <v>1</v>
      </c>
      <c r="P151">
        <f>P131</f>
        <v>0.69</v>
      </c>
      <c r="Q151">
        <f>$AQ$10</f>
        <v>4.7000000000000002E-3</v>
      </c>
      <c r="R151">
        <f>(H151/100)*(MIN(I151,100)/100)</f>
        <v>0</v>
      </c>
      <c r="S151">
        <v>0</v>
      </c>
      <c r="T151">
        <f t="shared" si="22"/>
        <v>0</v>
      </c>
      <c r="U151">
        <f>$AT$1</f>
        <v>1.3</v>
      </c>
      <c r="V151">
        <f>R151*U151+(1-R151)</f>
        <v>1</v>
      </c>
      <c r="W151">
        <f>(0.795*L151)-0.0014</f>
        <v>0.5948500000000001</v>
      </c>
      <c r="X151">
        <v>2.5</v>
      </c>
      <c r="Y151">
        <f t="shared" si="23"/>
        <v>0.99999627334682795</v>
      </c>
      <c r="Z151">
        <f>(104.7*W151+0.307*M151-15)*(M151^0.75)*10^-3</f>
        <v>1.2959122541335131</v>
      </c>
      <c r="AA151">
        <f t="shared" si="24"/>
        <v>1.2959074247180005</v>
      </c>
      <c r="AB151">
        <f>(AA151 * K151) + (0.045 * T151)</f>
        <v>0.2591814849436001</v>
      </c>
      <c r="AC151">
        <f>$AQ$2</f>
        <v>0.08</v>
      </c>
      <c r="AD151">
        <f>(AA151 * ((1 - L151) + (0.04 * AA151))) * ( 1 - AC151 )</f>
        <v>0.35985974645170415</v>
      </c>
      <c r="AE151">
        <f>$AQ$1</f>
        <v>0.19</v>
      </c>
      <c r="AF151">
        <f>$AR$20</f>
        <v>0.6784</v>
      </c>
      <c r="AG151">
        <f>AD151 * AE151 * N151 * P151 * AF151</f>
        <v>0</v>
      </c>
      <c r="AH151">
        <f>AD151*AE151*O151*Q151*AF151</f>
        <v>2.1800706482960261E-4</v>
      </c>
      <c r="AI151">
        <f t="shared" si="25"/>
        <v>2.1800706482960261E-4</v>
      </c>
      <c r="AJ151">
        <f>G151*AI151*J151</f>
        <v>0.99465723328506195</v>
      </c>
      <c r="AU151" s="8"/>
      <c r="AV151" s="8"/>
      <c r="BF151" s="15"/>
      <c r="BH151" s="16"/>
      <c r="BI151" s="16"/>
      <c r="BJ151" s="16"/>
      <c r="BK151" s="16"/>
      <c r="BL151" s="16"/>
      <c r="BM151" s="17"/>
    </row>
    <row r="152" spans="5:65" x14ac:dyDescent="0.2">
      <c r="E152" s="13"/>
      <c r="F152" t="s">
        <v>164</v>
      </c>
      <c r="G152">
        <v>100</v>
      </c>
      <c r="H152">
        <v>0</v>
      </c>
      <c r="I152">
        <v>0</v>
      </c>
      <c r="J152">
        <f>$AQ$3</f>
        <v>91.25</v>
      </c>
      <c r="K152">
        <v>7.0000000000000007E-2</v>
      </c>
      <c r="L152">
        <v>0.55000000000000004</v>
      </c>
      <c r="M152">
        <v>55</v>
      </c>
      <c r="N152">
        <f t="shared" si="21"/>
        <v>0</v>
      </c>
      <c r="O152">
        <f>O131</f>
        <v>1</v>
      </c>
      <c r="P152">
        <f>P131</f>
        <v>0.69</v>
      </c>
      <c r="Q152">
        <f>$AQ$10</f>
        <v>4.7000000000000002E-3</v>
      </c>
      <c r="R152">
        <f>(H152/100)*(MIN(I152,100)/100)</f>
        <v>0</v>
      </c>
      <c r="S152">
        <v>0</v>
      </c>
      <c r="T152">
        <f t="shared" si="22"/>
        <v>0</v>
      </c>
      <c r="U152">
        <f>$AT$1</f>
        <v>1.3</v>
      </c>
      <c r="V152">
        <f>R152*U152+(1-R152)</f>
        <v>1</v>
      </c>
      <c r="W152">
        <f>(0.795*L152)-0.0014</f>
        <v>0.43585000000000007</v>
      </c>
      <c r="X152">
        <v>2.5</v>
      </c>
      <c r="Y152">
        <f t="shared" si="23"/>
        <v>0.99999627334682795</v>
      </c>
      <c r="Z152">
        <f>(104.7*W152+0.307*M152-15)*(M152^0.75)*10^-3</f>
        <v>0.95969823125361531</v>
      </c>
      <c r="AA152">
        <f t="shared" si="24"/>
        <v>0.95969465479115756</v>
      </c>
      <c r="AB152">
        <f>(AA152 * K152) + (0.045 * T152)</f>
        <v>6.7178625835381034E-2</v>
      </c>
      <c r="AC152">
        <f>$AQ$2</f>
        <v>0.08</v>
      </c>
      <c r="AD152">
        <f>(AA152 * ((1 - L152) + (0.04 * AA152))) * ( 1 - AC152 )</f>
        <v>0.43120689604353685</v>
      </c>
      <c r="AE152">
        <f>$AQ$1</f>
        <v>0.19</v>
      </c>
      <c r="AF152">
        <f>$AR$20</f>
        <v>0.6784</v>
      </c>
      <c r="AG152">
        <f>AD152 * AE152 * N152 * P152 * AF152</f>
        <v>0</v>
      </c>
      <c r="AH152">
        <f>AD152*AE152*O152*Q152*AF152</f>
        <v>2.6122996714041032E-4</v>
      </c>
      <c r="AI152">
        <f t="shared" si="25"/>
        <v>2.6122996714041032E-4</v>
      </c>
      <c r="AJ152">
        <f>G152*AI152*J152</f>
        <v>2.3837234501562445</v>
      </c>
      <c r="AU152" s="8"/>
      <c r="AV152" s="8"/>
      <c r="BF152" s="18"/>
      <c r="BH152" s="19"/>
      <c r="BI152" s="19"/>
      <c r="BJ152" s="19"/>
      <c r="BK152" s="19"/>
      <c r="BL152" s="19"/>
      <c r="BM152" s="20"/>
    </row>
    <row r="153" spans="5:65" x14ac:dyDescent="0.2">
      <c r="E153" s="12"/>
      <c r="F153" t="s">
        <v>165</v>
      </c>
      <c r="G153">
        <v>90</v>
      </c>
      <c r="H153">
        <v>0</v>
      </c>
      <c r="I153">
        <v>0</v>
      </c>
      <c r="J153">
        <f>$AQ$3</f>
        <v>91.25</v>
      </c>
      <c r="K153">
        <v>0.14000000000000001</v>
      </c>
      <c r="L153">
        <v>0.67</v>
      </c>
      <c r="M153">
        <v>50</v>
      </c>
      <c r="N153">
        <f t="shared" si="21"/>
        <v>0</v>
      </c>
      <c r="O153">
        <f>O131</f>
        <v>1</v>
      </c>
      <c r="P153">
        <f>P131</f>
        <v>0.69</v>
      </c>
      <c r="Q153">
        <f>$AQ$10</f>
        <v>4.7000000000000002E-3</v>
      </c>
      <c r="R153">
        <f>(H153/100)*(MIN(I153,100)/100)</f>
        <v>0</v>
      </c>
      <c r="S153">
        <v>0</v>
      </c>
      <c r="T153">
        <f t="shared" si="22"/>
        <v>0</v>
      </c>
      <c r="U153">
        <f>$AT$1</f>
        <v>1.3</v>
      </c>
      <c r="V153">
        <f>R153*U153+(1-R153)</f>
        <v>1</v>
      </c>
      <c r="W153">
        <f>(0.795*L153)-0.0014</f>
        <v>0.53125000000000011</v>
      </c>
      <c r="X153">
        <v>1.3</v>
      </c>
      <c r="Y153">
        <f t="shared" si="23"/>
        <v>0.96595254526540064</v>
      </c>
      <c r="Z153">
        <f>(104.7*W153+0.307*M153-15)*(M153^0.75)*10^-3</f>
        <v>1.052440031254225</v>
      </c>
      <c r="AA153">
        <f t="shared" si="24"/>
        <v>1.0166071269292165</v>
      </c>
      <c r="AB153">
        <f>(AA153 * K153) + (0.045 * T153)</f>
        <v>0.14232499777009033</v>
      </c>
      <c r="AC153">
        <f>$AQ$2</f>
        <v>0.08</v>
      </c>
      <c r="AD153">
        <f>(AA153 * ((1 - L153) + (0.04 * AA153))) * ( 1 - AC153 )</f>
        <v>0.34667435759496673</v>
      </c>
      <c r="AE153">
        <f>$AQ$1</f>
        <v>0.19</v>
      </c>
      <c r="AF153">
        <f>$AR$20</f>
        <v>0.6784</v>
      </c>
      <c r="AG153">
        <f>AD153 * AE153 * N153 * P153 * AF153</f>
        <v>0</v>
      </c>
      <c r="AH153">
        <f>AD153*AE153*O153*Q153*AF153</f>
        <v>2.1001920858383592E-4</v>
      </c>
      <c r="AI153">
        <f t="shared" si="25"/>
        <v>2.1001920858383592E-4</v>
      </c>
      <c r="AJ153">
        <f>G153*AI153*J153</f>
        <v>1.7247827504947524</v>
      </c>
      <c r="AU153" s="8"/>
      <c r="AV153" s="8"/>
      <c r="BF153" s="18"/>
      <c r="BH153" s="19"/>
      <c r="BI153" s="19"/>
      <c r="BJ153" s="19"/>
      <c r="BK153" s="19"/>
      <c r="BL153" s="19"/>
      <c r="BM153" s="20"/>
    </row>
    <row r="154" spans="5:65" x14ac:dyDescent="0.2">
      <c r="E154" s="13"/>
      <c r="F154" t="s">
        <v>166</v>
      </c>
      <c r="G154">
        <v>80</v>
      </c>
      <c r="H154">
        <v>0</v>
      </c>
      <c r="I154">
        <v>0</v>
      </c>
      <c r="J154">
        <f>$AQ$3</f>
        <v>91.25</v>
      </c>
      <c r="K154">
        <v>0.16</v>
      </c>
      <c r="L154">
        <v>0.7</v>
      </c>
      <c r="M154">
        <v>45</v>
      </c>
      <c r="N154">
        <f t="shared" si="21"/>
        <v>0</v>
      </c>
      <c r="O154">
        <f>O131</f>
        <v>1</v>
      </c>
      <c r="P154">
        <f>P131</f>
        <v>0.69</v>
      </c>
      <c r="Q154">
        <f>$AQ$10</f>
        <v>4.7000000000000002E-3</v>
      </c>
      <c r="R154">
        <f>(H154/100)*(MIN(I154,100)/100)</f>
        <v>0</v>
      </c>
      <c r="S154">
        <v>0</v>
      </c>
      <c r="T154">
        <f t="shared" si="22"/>
        <v>0</v>
      </c>
      <c r="U154">
        <f>$AT$1</f>
        <v>1.3</v>
      </c>
      <c r="V154">
        <f>R154*U154+(1-R154)</f>
        <v>1</v>
      </c>
      <c r="W154">
        <f>(0.795*L154)-0.0014</f>
        <v>0.55510000000000004</v>
      </c>
      <c r="X154">
        <v>0.8</v>
      </c>
      <c r="Y154">
        <f t="shared" si="23"/>
        <v>0.72196269954680592</v>
      </c>
      <c r="Z154">
        <f>(104.7*W154+0.307*M154-15)*(M154^0.75)*10^-3</f>
        <v>0.98919258792655118</v>
      </c>
      <c r="AA154">
        <f t="shared" si="24"/>
        <v>0.71416015115114406</v>
      </c>
      <c r="AB154">
        <f>(AA154 * K154) + (0.045 * T154)</f>
        <v>0.11426562418418305</v>
      </c>
      <c r="AC154">
        <f>$AQ$2</f>
        <v>0.08</v>
      </c>
      <c r="AD154">
        <f>(AA154 * ((1 - L154) + (0.04 * AA154))) * ( 1 - AC154 )</f>
        <v>0.21587711146862967</v>
      </c>
      <c r="AE154">
        <f>$AQ$1</f>
        <v>0.19</v>
      </c>
      <c r="AF154">
        <f>$AR$20</f>
        <v>0.6784</v>
      </c>
      <c r="AG154">
        <f>AD154 * AE154 * N154 * P154 * AF154</f>
        <v>0</v>
      </c>
      <c r="AH154">
        <f>AD154*AE154*O154*Q154*AF154</f>
        <v>1.3078077195134431E-4</v>
      </c>
      <c r="AI154">
        <f t="shared" si="25"/>
        <v>1.3078077195134431E-4</v>
      </c>
      <c r="AJ154">
        <f>G154*AI154*J154</f>
        <v>0.95469963524481338</v>
      </c>
      <c r="AU154" s="8"/>
      <c r="AV154" s="8"/>
      <c r="BF154" s="18"/>
      <c r="BH154" s="19"/>
      <c r="BI154" s="19"/>
      <c r="BJ154" s="19"/>
      <c r="BK154" s="19"/>
      <c r="BL154" s="19"/>
      <c r="BM154" s="20"/>
    </row>
    <row r="155" spans="5:65" x14ac:dyDescent="0.2">
      <c r="AU155" s="8"/>
      <c r="AV155" s="8"/>
      <c r="BF155" s="18"/>
      <c r="BH155" s="19"/>
      <c r="BI155" s="19"/>
      <c r="BJ155" s="19"/>
      <c r="BK155" s="19"/>
      <c r="BL155" s="19"/>
      <c r="BM155" s="20"/>
    </row>
    <row r="161" spans="1:48" x14ac:dyDescent="0.2">
      <c r="A161" t="s">
        <v>274</v>
      </c>
      <c r="B161" t="s">
        <v>274</v>
      </c>
      <c r="C161" t="s">
        <v>274</v>
      </c>
      <c r="D161" t="s">
        <v>276</v>
      </c>
      <c r="E161" s="12" t="s">
        <v>169</v>
      </c>
      <c r="F161" t="s">
        <v>163</v>
      </c>
      <c r="G161">
        <v>100</v>
      </c>
      <c r="H161">
        <v>95</v>
      </c>
      <c r="I161">
        <v>90</v>
      </c>
      <c r="J161">
        <f>$AQ$3</f>
        <v>91.25</v>
      </c>
      <c r="K161" cm="1">
        <f t="array" ref="K161:K184">_xlfn.DROP(_xlfn.XLOOKUP($C161,QueryCP[[#Headers],[ACT/NSW]:[WA]],QueryCP[[#All],[ACT/NSW]:[WA]]),1)</f>
        <v>0.16</v>
      </c>
      <c r="L161" cm="1">
        <f t="array" ref="L161:L184">_xlfn.DROP(_xlfn.XLOOKUP($C161,QueryDMD[[#Headers],[ACT/NSW]:[WA]],QueryDMD[[#All],[ACT/NSW]:[WA]]),1)</f>
        <v>0.7</v>
      </c>
      <c r="M161" cm="1">
        <f t="array" ref="M161:M184">_xlfn.DROP(_xlfn.XLOOKUP($C161,QueryW[[#Headers],[ACT/NSW]:[WA]],QueryW[[#All],[ACT/NSW]:[WA]]),1)</f>
        <v>55</v>
      </c>
      <c r="N161">
        <f>1-O161</f>
        <v>5.0000000000000044E-3</v>
      </c>
      <c r="O161">
        <f>IF($D161="yes", 1, VLOOKUP($B161, $AP$26:$AR$32, 2)/100)</f>
        <v>0.995</v>
      </c>
      <c r="P161">
        <f>VLOOKUP($B161,$AR$10:$AS$16, 2, FALSE)</f>
        <v>0.73</v>
      </c>
      <c r="Q161">
        <f>$AQ$10</f>
        <v>4.7000000000000002E-3</v>
      </c>
      <c r="R161">
        <f>(H161/100)*(MIN(I161,100)/100)</f>
        <v>0.85499999999999998</v>
      </c>
      <c r="S161">
        <v>0</v>
      </c>
      <c r="T161">
        <f>1.6 * S161</f>
        <v>0</v>
      </c>
      <c r="U161">
        <f>$AT$1</f>
        <v>1.3</v>
      </c>
      <c r="V161">
        <f>R161*U161+(1-R161)</f>
        <v>1.2565</v>
      </c>
      <c r="W161">
        <f>(0.795*L161)-0.0014</f>
        <v>0.55510000000000004</v>
      </c>
      <c r="X161" cm="1">
        <f t="array" ref="X161:X184">_xlfn.DROP(_xlfn.XLOOKUP($C161,QueryDMA[[#Headers],[ACT/NSW]:[WA]],QueryDMA[[#All],[ACT/NSW]:[WA]]),1)</f>
        <v>3.2</v>
      </c>
      <c r="Y161">
        <f>1 - EXP(-2*(X161^2))</f>
        <v>0.99999999872459233</v>
      </c>
      <c r="Z161">
        <f>(104.7*W161+0.307*M161-15)*(M161^0.75)*10^-3</f>
        <v>1.2118587484135388</v>
      </c>
      <c r="AA161">
        <f>Z161*Y161*V161</f>
        <v>1.5227005154395477</v>
      </c>
      <c r="AB161">
        <f>(AA161 * K161) + (0.045 * T161)</f>
        <v>0.24363208247032764</v>
      </c>
      <c r="AC161">
        <f>$AQ$2</f>
        <v>0.08</v>
      </c>
      <c r="AD161">
        <f>(AA161 * ((1 - L161) + (0.04 * AA161))) * ( 1 - AC161 )</f>
        <v>0.50559044269900633</v>
      </c>
      <c r="AE161">
        <f>$AQ$1</f>
        <v>0.19</v>
      </c>
      <c r="AF161">
        <f>$AR$20</f>
        <v>0.6784</v>
      </c>
      <c r="AG161">
        <f>AD161 * AE161 * N161 * P161 * AF161</f>
        <v>2.3786533781277878E-4</v>
      </c>
      <c r="AH161">
        <f>AD161*AE161*O161*Q161*AF161</f>
        <v>3.0476089103601619E-4</v>
      </c>
      <c r="AI161">
        <f>AG161+AH161</f>
        <v>5.4262622884879499E-4</v>
      </c>
      <c r="AJ161">
        <f>G161*AI161*J161</f>
        <v>4.9514643382452546</v>
      </c>
      <c r="AK161">
        <f>SUM(AJ161:AJ184)*10^-3</f>
        <v>9.4343341465703834E-2</v>
      </c>
    </row>
    <row r="162" spans="1:48" x14ac:dyDescent="0.2">
      <c r="E162" s="13"/>
      <c r="F162" t="s">
        <v>164</v>
      </c>
      <c r="G162">
        <v>70</v>
      </c>
      <c r="H162">
        <v>0</v>
      </c>
      <c r="I162">
        <v>0</v>
      </c>
      <c r="J162">
        <f>$AQ$3</f>
        <v>91.25</v>
      </c>
      <c r="K162">
        <v>7.0000000000000007E-2</v>
      </c>
      <c r="L162">
        <v>0.55000000000000004</v>
      </c>
      <c r="M162">
        <v>50</v>
      </c>
      <c r="N162">
        <f t="shared" ref="N162:N184" si="26">1-O162</f>
        <v>5.0000000000000044E-3</v>
      </c>
      <c r="O162">
        <f>O161</f>
        <v>0.995</v>
      </c>
      <c r="P162">
        <f>P161</f>
        <v>0.73</v>
      </c>
      <c r="Q162">
        <f>$AQ$10</f>
        <v>4.7000000000000002E-3</v>
      </c>
      <c r="R162">
        <f>(H162/100)*(MIN(I162,100)/100)</f>
        <v>0</v>
      </c>
      <c r="S162">
        <v>0</v>
      </c>
      <c r="T162">
        <f t="shared" ref="T162:T184" si="27">1.6 * S162</f>
        <v>0</v>
      </c>
      <c r="U162">
        <f>$AT$1</f>
        <v>1.3</v>
      </c>
      <c r="V162">
        <f>R162*U162+(1-R162)</f>
        <v>1</v>
      </c>
      <c r="W162">
        <f>(0.795*L162)-0.0014</f>
        <v>0.43585000000000007</v>
      </c>
      <c r="X162">
        <v>3</v>
      </c>
      <c r="Y162">
        <f t="shared" ref="Y162:Y184" si="28">1 - EXP(-2*(X162^2))</f>
        <v>0.99999998477002028</v>
      </c>
      <c r="Z162">
        <f>(104.7*W162+0.307*M162-15)*(M162^0.75)*10^-3</f>
        <v>0.8646283676396137</v>
      </c>
      <c r="AA162">
        <f t="shared" ref="AA162:AA184" si="29">Z162*Y162*V162</f>
        <v>0.86462835447134123</v>
      </c>
      <c r="AB162">
        <f>(AA162 * K162) + (0.045 * T162)</f>
        <v>6.052398481299389E-2</v>
      </c>
      <c r="AC162">
        <f>$AQ$2</f>
        <v>0.08</v>
      </c>
      <c r="AD162">
        <f>(AA162 * ((1 - L162) + (0.04 * AA162))) * ( 1 - AC162 )</f>
        <v>0.38546716339302944</v>
      </c>
      <c r="AE162">
        <f>$AQ$1</f>
        <v>0.19</v>
      </c>
      <c r="AF162">
        <f>$AR$20</f>
        <v>0.6784</v>
      </c>
      <c r="AG162">
        <f>AD162 * AE162 * N162 * P162 * AF162</f>
        <v>1.813508905483841E-4</v>
      </c>
      <c r="AH162">
        <f>AD162*AE162*O162*Q162*AF162</f>
        <v>2.3235272319164864E-4</v>
      </c>
      <c r="AI162">
        <f t="shared" ref="AI162:AI184" si="30">AG162+AH162</f>
        <v>4.1370361374003272E-4</v>
      </c>
      <c r="AJ162">
        <f>G162*AI162*J162</f>
        <v>2.6425318327644591</v>
      </c>
    </row>
    <row r="163" spans="1:48" x14ac:dyDescent="0.2">
      <c r="E163" s="12"/>
      <c r="F163" t="s">
        <v>165</v>
      </c>
      <c r="G163">
        <v>65</v>
      </c>
      <c r="H163">
        <v>0</v>
      </c>
      <c r="I163">
        <v>0</v>
      </c>
      <c r="J163">
        <f>$AQ$3</f>
        <v>91.25</v>
      </c>
      <c r="K163">
        <v>0.13</v>
      </c>
      <c r="L163">
        <v>0.65</v>
      </c>
      <c r="M163">
        <v>48</v>
      </c>
      <c r="N163">
        <f t="shared" si="26"/>
        <v>5.0000000000000044E-3</v>
      </c>
      <c r="O163">
        <f>O161</f>
        <v>0.995</v>
      </c>
      <c r="P163">
        <f>P161</f>
        <v>0.73</v>
      </c>
      <c r="Q163">
        <f>$AQ$10</f>
        <v>4.7000000000000002E-3</v>
      </c>
      <c r="R163">
        <f>(H163/100)*(MIN(I163,100)/100)</f>
        <v>0</v>
      </c>
      <c r="S163">
        <v>0</v>
      </c>
      <c r="T163">
        <f t="shared" si="27"/>
        <v>0</v>
      </c>
      <c r="U163">
        <f>$AT$1</f>
        <v>1.3</v>
      </c>
      <c r="V163">
        <f>R163*U163+(1-R163)</f>
        <v>1</v>
      </c>
      <c r="W163">
        <f>(0.795*L163)-0.0014</f>
        <v>0.51535000000000009</v>
      </c>
      <c r="X163">
        <v>1.8</v>
      </c>
      <c r="Y163">
        <f t="shared" si="28"/>
        <v>0.99846618932067555</v>
      </c>
      <c r="Z163">
        <f>(104.7*W163+0.307*M163-15)*(M163^0.75)*10^-3</f>
        <v>0.97915122350076966</v>
      </c>
      <c r="AA163">
        <f t="shared" si="29"/>
        <v>0.97764939089749059</v>
      </c>
      <c r="AB163">
        <f>(AA163 * K163) + (0.045 * T163)</f>
        <v>0.12709442081667377</v>
      </c>
      <c r="AC163">
        <f>$AQ$2</f>
        <v>0.08</v>
      </c>
      <c r="AD163">
        <f>(AA163 * ((1 - L163) + (0.04 * AA163))) * ( 1 - AC163 )</f>
        <v>0.3499764824690102</v>
      </c>
      <c r="AE163">
        <f>$AQ$1</f>
        <v>0.19</v>
      </c>
      <c r="AF163">
        <f>$AR$20</f>
        <v>0.6784</v>
      </c>
      <c r="AG163">
        <f>AD163 * AE163 * N163 * P163 * AF163</f>
        <v>1.6465357569778836E-4</v>
      </c>
      <c r="AH163">
        <f>AD163*AE163*O163*Q163*AF163</f>
        <v>2.1095957445224839E-4</v>
      </c>
      <c r="AI163">
        <f t="shared" si="30"/>
        <v>3.7561315015003673E-4</v>
      </c>
      <c r="AJ163">
        <f>G163*AI163*J163</f>
        <v>2.2278554968274054</v>
      </c>
    </row>
    <row r="164" spans="1:48" x14ac:dyDescent="0.2">
      <c r="E164" s="13"/>
      <c r="F164" t="s">
        <v>166</v>
      </c>
      <c r="G164">
        <v>80</v>
      </c>
      <c r="H164">
        <v>0</v>
      </c>
      <c r="I164">
        <v>0</v>
      </c>
      <c r="J164">
        <f>$AQ$3</f>
        <v>91.25</v>
      </c>
      <c r="K164">
        <v>0.1</v>
      </c>
      <c r="L164">
        <v>0.6</v>
      </c>
      <c r="M164">
        <v>45</v>
      </c>
      <c r="N164">
        <f t="shared" si="26"/>
        <v>5.0000000000000044E-3</v>
      </c>
      <c r="O164">
        <f>O161</f>
        <v>0.995</v>
      </c>
      <c r="P164">
        <f>P161</f>
        <v>0.73</v>
      </c>
      <c r="Q164">
        <f>$AQ$10</f>
        <v>4.7000000000000002E-3</v>
      </c>
      <c r="R164">
        <f>(H164/100)*(MIN(I164,100)/100)</f>
        <v>0</v>
      </c>
      <c r="S164">
        <v>0</v>
      </c>
      <c r="T164">
        <f t="shared" si="27"/>
        <v>0</v>
      </c>
      <c r="U164">
        <f>$AT$1</f>
        <v>1.3</v>
      </c>
      <c r="V164">
        <f>R164*U164+(1-R164)</f>
        <v>1</v>
      </c>
      <c r="W164">
        <f>(0.795*L164)-0.0014</f>
        <v>0.47559999999999997</v>
      </c>
      <c r="X164">
        <v>1</v>
      </c>
      <c r="Y164">
        <f t="shared" si="28"/>
        <v>0.8646647167633873</v>
      </c>
      <c r="Z164">
        <f>(104.7*W164+0.307*M164-15)*(M164^0.75)*10^-3</f>
        <v>0.84457430670543054</v>
      </c>
      <c r="AA164">
        <f t="shared" si="29"/>
        <v>0.73027360369308525</v>
      </c>
      <c r="AB164">
        <f>(AA164 * K164) + (0.045 * T164)</f>
        <v>7.3027360369308528E-2</v>
      </c>
      <c r="AC164">
        <f>$AQ$2</f>
        <v>0.08</v>
      </c>
      <c r="AD164">
        <f>(AA164 * ((1 - L164) + (0.04 * AA164))) * ( 1 - AC164 )</f>
        <v>0.28836610909308796</v>
      </c>
      <c r="AE164">
        <f>$AQ$1</f>
        <v>0.19</v>
      </c>
      <c r="AF164">
        <f>$AR$20</f>
        <v>0.6784</v>
      </c>
      <c r="AG164">
        <f>AD164 * AE164 * N164 * P164 * AF164</f>
        <v>1.3566771869146885E-4</v>
      </c>
      <c r="AH164">
        <f>AD164*AE164*O164*Q164*AF164</f>
        <v>1.7382194149606942E-4</v>
      </c>
      <c r="AI164">
        <f t="shared" si="30"/>
        <v>3.0948966018753824E-4</v>
      </c>
      <c r="AJ164">
        <f>G164*AI164*J164</f>
        <v>2.2592745193690291</v>
      </c>
    </row>
    <row r="165" spans="1:48" x14ac:dyDescent="0.2">
      <c r="E165" s="12" t="s">
        <v>171</v>
      </c>
      <c r="F165" t="s">
        <v>163</v>
      </c>
      <c r="G165">
        <v>200</v>
      </c>
      <c r="H165">
        <v>0</v>
      </c>
      <c r="I165">
        <v>0</v>
      </c>
      <c r="J165">
        <f>$AQ$3</f>
        <v>91.25</v>
      </c>
      <c r="K165">
        <v>0.16</v>
      </c>
      <c r="L165">
        <v>0.7</v>
      </c>
      <c r="M165">
        <v>22</v>
      </c>
      <c r="N165">
        <f t="shared" si="26"/>
        <v>5.0000000000000044E-3</v>
      </c>
      <c r="O165">
        <f>O161</f>
        <v>0.995</v>
      </c>
      <c r="P165">
        <f>P161</f>
        <v>0.73</v>
      </c>
      <c r="Q165">
        <f>$AQ$10</f>
        <v>4.7000000000000002E-3</v>
      </c>
      <c r="R165">
        <f>(H165/100)*(MIN(I165,100)/100)</f>
        <v>0</v>
      </c>
      <c r="S165">
        <v>1</v>
      </c>
      <c r="T165">
        <f t="shared" si="27"/>
        <v>1.6</v>
      </c>
      <c r="U165">
        <f>$AT$1</f>
        <v>1.3</v>
      </c>
      <c r="V165">
        <f>R165*U165+(1-R165)</f>
        <v>1</v>
      </c>
      <c r="W165">
        <f>(0.795*L165)-0.0014</f>
        <v>0.55510000000000004</v>
      </c>
      <c r="X165">
        <v>3.2</v>
      </c>
      <c r="Y165">
        <f t="shared" si="28"/>
        <v>0.99999999872459233</v>
      </c>
      <c r="Z165">
        <f>(104.7*W165+0.307*M165-15)*(M165^0.75)*10^-3</f>
        <v>0.50661989714547884</v>
      </c>
      <c r="AA165">
        <f t="shared" si="29"/>
        <v>0.50661989649933192</v>
      </c>
      <c r="AB165">
        <f>(AA165 * K165) + (0.045 * T165)</f>
        <v>0.15305918343989311</v>
      </c>
      <c r="AC165">
        <f>$AQ$2</f>
        <v>0.08</v>
      </c>
      <c r="AD165">
        <f>(AA165 * ((1 - L165) + (0.04 * AA165))) * ( 1 - AC165 )</f>
        <v>0.14927231631248258</v>
      </c>
      <c r="AE165">
        <f>$AQ$1</f>
        <v>0.19</v>
      </c>
      <c r="AF165">
        <f>$AR$20</f>
        <v>0.6784</v>
      </c>
      <c r="AG165">
        <f>AD165 * AE165 * N165 * P165 * AF165</f>
        <v>7.0228206364460275E-5</v>
      </c>
      <c r="AH165">
        <f>AD165*AE165*O165*Q165*AF165</f>
        <v>8.9978686866684431E-5</v>
      </c>
      <c r="AI165">
        <f t="shared" si="30"/>
        <v>1.6020689323114471E-4</v>
      </c>
      <c r="AJ165">
        <f>G165*AI165*J165</f>
        <v>2.9237758014683908</v>
      </c>
    </row>
    <row r="166" spans="1:48" x14ac:dyDescent="0.2">
      <c r="E166" s="13"/>
      <c r="F166" t="s">
        <v>164</v>
      </c>
      <c r="G166">
        <v>210</v>
      </c>
      <c r="H166">
        <v>0</v>
      </c>
      <c r="I166">
        <v>0</v>
      </c>
      <c r="J166">
        <f>$AQ$3</f>
        <v>91.25</v>
      </c>
      <c r="K166">
        <v>7.0000000000000007E-2</v>
      </c>
      <c r="L166">
        <v>0.55000000000000004</v>
      </c>
      <c r="M166">
        <v>28</v>
      </c>
      <c r="N166">
        <f t="shared" si="26"/>
        <v>5.0000000000000044E-3</v>
      </c>
      <c r="O166">
        <f>O161</f>
        <v>0.995</v>
      </c>
      <c r="P166">
        <f>P161</f>
        <v>0.73</v>
      </c>
      <c r="Q166">
        <f>$AQ$10</f>
        <v>4.7000000000000002E-3</v>
      </c>
      <c r="R166">
        <f>(H166/100)*(MIN(I166,100)/100)</f>
        <v>0</v>
      </c>
      <c r="S166">
        <v>0</v>
      </c>
      <c r="T166">
        <f t="shared" si="27"/>
        <v>0</v>
      </c>
      <c r="U166">
        <f>$AT$1</f>
        <v>1.3</v>
      </c>
      <c r="V166">
        <f>R166*U166+(1-R166)</f>
        <v>1</v>
      </c>
      <c r="W166">
        <f>(0.795*L166)-0.0014</f>
        <v>0.43585000000000007</v>
      </c>
      <c r="X166">
        <v>3</v>
      </c>
      <c r="Y166">
        <f t="shared" si="28"/>
        <v>0.99999998477002028</v>
      </c>
      <c r="Z166">
        <f>(104.7*W166+0.307*M166-15)*(M166^0.75)*10^-3</f>
        <v>0.47750864762612716</v>
      </c>
      <c r="AA166">
        <f t="shared" si="29"/>
        <v>0.47750864035368012</v>
      </c>
      <c r="AB166">
        <f>(AA166 * K166) + (0.045 * T166)</f>
        <v>3.3425604824757614E-2</v>
      </c>
      <c r="AC166">
        <f>$AQ$2</f>
        <v>0.08</v>
      </c>
      <c r="AD166">
        <f>(AA166 * ((1 - L166) + (0.04 * AA166))) * ( 1 - AC166 )</f>
        <v>0.20607951076576064</v>
      </c>
      <c r="AE166">
        <f>$AQ$1</f>
        <v>0.19</v>
      </c>
      <c r="AF166">
        <f>$AR$20</f>
        <v>0.6784</v>
      </c>
      <c r="AG166">
        <f>AD166 * AE166 * N166 * P166 * AF166</f>
        <v>9.6954309861771787E-5</v>
      </c>
      <c r="AH166">
        <f>AD166*AE166*O166*Q166*AF166</f>
        <v>1.2422104933385627E-4</v>
      </c>
      <c r="AI166">
        <f t="shared" si="30"/>
        <v>2.2117535919562804E-4</v>
      </c>
      <c r="AJ166">
        <f>G166*AI166*J166</f>
        <v>4.2382728205862223</v>
      </c>
    </row>
    <row r="167" spans="1:48" x14ac:dyDescent="0.2">
      <c r="E167" s="12"/>
      <c r="F167" t="s">
        <v>165</v>
      </c>
      <c r="G167">
        <v>170</v>
      </c>
      <c r="H167">
        <v>0</v>
      </c>
      <c r="I167">
        <v>0</v>
      </c>
      <c r="J167">
        <f>$AQ$3</f>
        <v>91.25</v>
      </c>
      <c r="K167">
        <v>0.13</v>
      </c>
      <c r="L167">
        <v>0.65</v>
      </c>
      <c r="M167">
        <v>33</v>
      </c>
      <c r="N167">
        <f t="shared" si="26"/>
        <v>5.0000000000000044E-3</v>
      </c>
      <c r="O167">
        <f>O161</f>
        <v>0.995</v>
      </c>
      <c r="P167">
        <f>P161</f>
        <v>0.73</v>
      </c>
      <c r="Q167">
        <f>$AQ$10</f>
        <v>4.7000000000000002E-3</v>
      </c>
      <c r="R167">
        <f>(H167/100)*(MIN(I167,100)/100)</f>
        <v>0</v>
      </c>
      <c r="S167">
        <v>0</v>
      </c>
      <c r="T167">
        <f t="shared" si="27"/>
        <v>0</v>
      </c>
      <c r="U167">
        <f>$AT$1</f>
        <v>1.3</v>
      </c>
      <c r="V167">
        <f>R167*U167+(1-R167)</f>
        <v>1</v>
      </c>
      <c r="W167">
        <f>(0.795*L167)-0.0014</f>
        <v>0.51535000000000009</v>
      </c>
      <c r="X167">
        <v>1.8</v>
      </c>
      <c r="Y167">
        <f t="shared" si="28"/>
        <v>0.99846618932067555</v>
      </c>
      <c r="Z167">
        <f>(104.7*W167+0.307*M167-15)*(M167^0.75)*10^-3</f>
        <v>0.67586829739226073</v>
      </c>
      <c r="AA167">
        <f t="shared" si="29"/>
        <v>0.67483164337990365</v>
      </c>
      <c r="AB167">
        <f>(AA167 * K167) + (0.045 * T167)</f>
        <v>8.772811363938747E-2</v>
      </c>
      <c r="AC167">
        <f>$AQ$2</f>
        <v>0.08</v>
      </c>
      <c r="AD167">
        <f>(AA167 * ((1 - L167) + (0.04 * AA167))) * ( 1 - AC167 )</f>
        <v>0.23405442625450001</v>
      </c>
      <c r="AE167">
        <f>$AQ$1</f>
        <v>0.19</v>
      </c>
      <c r="AF167">
        <f>$AR$20</f>
        <v>0.6784</v>
      </c>
      <c r="AG167">
        <f>AD167 * AE167 * N167 * P167 * AF167</f>
        <v>1.1011567954172523E-4</v>
      </c>
      <c r="AH167">
        <f>AD167*AE167*O167*Q167*AF167</f>
        <v>1.4108382887037744E-4</v>
      </c>
      <c r="AI167">
        <f t="shared" si="30"/>
        <v>2.5119950841210269E-4</v>
      </c>
      <c r="AJ167">
        <f>G167*AI167*J167</f>
        <v>3.8967323742427431</v>
      </c>
      <c r="AU167" s="8"/>
      <c r="AV167" s="8"/>
    </row>
    <row r="168" spans="1:48" x14ac:dyDescent="0.2">
      <c r="E168" s="13"/>
      <c r="F168" t="s">
        <v>166</v>
      </c>
      <c r="G168">
        <v>200</v>
      </c>
      <c r="H168">
        <v>0</v>
      </c>
      <c r="I168">
        <v>0</v>
      </c>
      <c r="J168">
        <f>$AQ$3</f>
        <v>91.25</v>
      </c>
      <c r="K168">
        <v>0.1</v>
      </c>
      <c r="L168">
        <v>0.6</v>
      </c>
      <c r="M168">
        <v>35</v>
      </c>
      <c r="N168">
        <f t="shared" si="26"/>
        <v>5.0000000000000044E-3</v>
      </c>
      <c r="O168">
        <f>O161</f>
        <v>0.995</v>
      </c>
      <c r="P168">
        <f>P161</f>
        <v>0.73</v>
      </c>
      <c r="Q168">
        <f>$AQ$10</f>
        <v>4.7000000000000002E-3</v>
      </c>
      <c r="R168">
        <f>(H168/100)*(MIN(I168,100)/100)</f>
        <v>0</v>
      </c>
      <c r="S168">
        <v>0</v>
      </c>
      <c r="T168">
        <f t="shared" si="27"/>
        <v>0</v>
      </c>
      <c r="U168">
        <f>$AT$1</f>
        <v>1.3</v>
      </c>
      <c r="V168">
        <f>R168*U168+(1-R168)</f>
        <v>1</v>
      </c>
      <c r="W168">
        <f>(0.795*L168)-0.0014</f>
        <v>0.47559999999999997</v>
      </c>
      <c r="X168">
        <v>1</v>
      </c>
      <c r="Y168">
        <f t="shared" si="28"/>
        <v>0.8646647167633873</v>
      </c>
      <c r="Z168">
        <f>(104.7*W168+0.307*M168-15)*(M168^0.75)*10^-3</f>
        <v>0.65531047667424769</v>
      </c>
      <c r="AA168">
        <f t="shared" si="29"/>
        <v>0.56662384770561869</v>
      </c>
      <c r="AB168">
        <f>(AA168 * K168) + (0.045 * T168)</f>
        <v>5.6662384770561874E-2</v>
      </c>
      <c r="AC168">
        <f>$AQ$2</f>
        <v>0.08</v>
      </c>
      <c r="AD168">
        <f>(AA168 * ((1 - L168) + (0.04 * AA168))) * ( 1 - AC168 )</f>
        <v>0.2203326790758926</v>
      </c>
      <c r="AE168">
        <f>$AQ$1</f>
        <v>0.19</v>
      </c>
      <c r="AF168">
        <f>$AR$20</f>
        <v>0.6784</v>
      </c>
      <c r="AG168">
        <f>AD168 * AE168 * N168 * P168 * AF168</f>
        <v>1.0366000365790692E-4</v>
      </c>
      <c r="AH168">
        <f>AD168*AE168*O168*Q168*AF168</f>
        <v>1.3281260468663047E-4</v>
      </c>
      <c r="AI168">
        <f t="shared" si="30"/>
        <v>2.3647260834453739E-4</v>
      </c>
      <c r="AJ168">
        <f>G168*AI168*J168</f>
        <v>4.3156251022878074</v>
      </c>
      <c r="AU168" s="8"/>
      <c r="AV168" s="8"/>
    </row>
    <row r="169" spans="1:48" x14ac:dyDescent="0.2">
      <c r="E169" s="12" t="s">
        <v>168</v>
      </c>
      <c r="F169" t="s">
        <v>163</v>
      </c>
      <c r="G169">
        <v>100</v>
      </c>
      <c r="H169">
        <v>95</v>
      </c>
      <c r="I169">
        <v>92</v>
      </c>
      <c r="J169">
        <f>$AQ$3</f>
        <v>91.25</v>
      </c>
      <c r="K169">
        <v>0.16</v>
      </c>
      <c r="L169">
        <v>0.7</v>
      </c>
      <c r="M169">
        <v>50</v>
      </c>
      <c r="N169">
        <f t="shared" si="26"/>
        <v>5.0000000000000044E-3</v>
      </c>
      <c r="O169">
        <f>O161</f>
        <v>0.995</v>
      </c>
      <c r="P169">
        <f>P161</f>
        <v>0.73</v>
      </c>
      <c r="Q169">
        <f>$AQ$10</f>
        <v>4.7000000000000002E-3</v>
      </c>
      <c r="R169">
        <f>(H169/100)*(MIN(I169,100)/100)</f>
        <v>0.874</v>
      </c>
      <c r="S169">
        <v>0</v>
      </c>
      <c r="T169">
        <f t="shared" si="27"/>
        <v>0</v>
      </c>
      <c r="U169">
        <f>$AT$1</f>
        <v>1.3</v>
      </c>
      <c r="V169">
        <f>R169*U169+(1-R169)</f>
        <v>1.2622</v>
      </c>
      <c r="W169">
        <f>(0.795*L169)-0.0014</f>
        <v>0.55510000000000004</v>
      </c>
      <c r="X169">
        <v>3.2</v>
      </c>
      <c r="Y169">
        <f t="shared" si="28"/>
        <v>0.99999999872459233</v>
      </c>
      <c r="Z169">
        <f>(104.7*W169+0.307*M169-15)*(M169^0.75)*10^-3</f>
        <v>1.0993929471578776</v>
      </c>
      <c r="AA169">
        <f t="shared" si="29"/>
        <v>1.3876537761328489</v>
      </c>
      <c r="AB169">
        <f>(AA169 * K169) + (0.045 * T169)</f>
        <v>0.22202460418125583</v>
      </c>
      <c r="AC169">
        <f>$AQ$2</f>
        <v>0.08</v>
      </c>
      <c r="AD169">
        <f>(AA169 * ((1 - L169) + (0.04 * AA169))) * ( 1 - AC169 )</f>
        <v>0.45385389670156617</v>
      </c>
      <c r="AE169">
        <f>$AQ$1</f>
        <v>0.19</v>
      </c>
      <c r="AF169">
        <f>$AR$20</f>
        <v>0.6784</v>
      </c>
      <c r="AG169">
        <f>AD169 * AE169 * N169 * P169 * AF169</f>
        <v>2.1352482432274473E-4</v>
      </c>
      <c r="AH169">
        <f>AD169*AE169*O169*Q169*AF169</f>
        <v>2.735750249165246E-4</v>
      </c>
      <c r="AI169">
        <f t="shared" si="30"/>
        <v>4.8709984923926935E-4</v>
      </c>
      <c r="AJ169">
        <f>G169*AI169*J169</f>
        <v>4.4447861243083322</v>
      </c>
      <c r="AU169" s="8"/>
      <c r="AV169" s="8"/>
    </row>
    <row r="170" spans="1:48" x14ac:dyDescent="0.2">
      <c r="E170" s="13"/>
      <c r="F170" t="s">
        <v>164</v>
      </c>
      <c r="G170">
        <v>140</v>
      </c>
      <c r="H170">
        <v>0</v>
      </c>
      <c r="I170">
        <v>0</v>
      </c>
      <c r="J170">
        <f>$AQ$3</f>
        <v>91.25</v>
      </c>
      <c r="K170">
        <v>7.0000000000000007E-2</v>
      </c>
      <c r="L170">
        <v>0.55000000000000004</v>
      </c>
      <c r="M170">
        <v>45</v>
      </c>
      <c r="N170">
        <f t="shared" si="26"/>
        <v>5.0000000000000044E-3</v>
      </c>
      <c r="O170">
        <f>O161</f>
        <v>0.995</v>
      </c>
      <c r="P170">
        <f>P161</f>
        <v>0.73</v>
      </c>
      <c r="Q170">
        <f>$AQ$10</f>
        <v>4.7000000000000002E-3</v>
      </c>
      <c r="R170">
        <f>(H170/100)*(MIN(I170,100)/100)</f>
        <v>0</v>
      </c>
      <c r="S170">
        <v>0</v>
      </c>
      <c r="T170">
        <f t="shared" si="27"/>
        <v>0</v>
      </c>
      <c r="U170">
        <f>$AT$1</f>
        <v>1.3</v>
      </c>
      <c r="V170">
        <f>R170*U170+(1-R170)</f>
        <v>1</v>
      </c>
      <c r="W170">
        <f>(0.795*L170)-0.0014</f>
        <v>0.43585000000000007</v>
      </c>
      <c r="X170">
        <v>3</v>
      </c>
      <c r="Y170">
        <f t="shared" si="28"/>
        <v>0.99999998477002028</v>
      </c>
      <c r="Z170">
        <f>(104.7*W170+0.307*M170-15)*(M170^0.75)*10^-3</f>
        <v>0.77226516609487061</v>
      </c>
      <c r="AA170">
        <f t="shared" si="29"/>
        <v>0.7722651543332878</v>
      </c>
      <c r="AB170">
        <f>(AA170 * K170) + (0.045 * T170)</f>
        <v>5.4058560803330151E-2</v>
      </c>
      <c r="AC170">
        <f>$AQ$2</f>
        <v>0.08</v>
      </c>
      <c r="AD170">
        <f>(AA170 * ((1 - L170) + (0.04 * AA170))) * ( 1 - AC170 )</f>
        <v>0.34166505353836607</v>
      </c>
      <c r="AE170">
        <f>$AQ$1</f>
        <v>0.19</v>
      </c>
      <c r="AF170">
        <f>$AR$20</f>
        <v>0.6784</v>
      </c>
      <c r="AG170">
        <f>AD170 * AE170 * N170 * P170 * AF170</f>
        <v>1.6074329440421661E-4</v>
      </c>
      <c r="AH170">
        <f>AD170*AE170*O170*Q170*AF170</f>
        <v>2.0594959350173108E-4</v>
      </c>
      <c r="AI170">
        <f t="shared" si="30"/>
        <v>3.6669288790594772E-4</v>
      </c>
      <c r="AJ170">
        <f>G170*AI170*J170</f>
        <v>4.684501642998482</v>
      </c>
      <c r="AU170" s="8"/>
      <c r="AV170" s="8"/>
    </row>
    <row r="171" spans="1:48" x14ac:dyDescent="0.2">
      <c r="E171" s="12"/>
      <c r="F171" t="s">
        <v>165</v>
      </c>
      <c r="G171">
        <v>135</v>
      </c>
      <c r="H171">
        <v>0</v>
      </c>
      <c r="I171">
        <v>0</v>
      </c>
      <c r="J171">
        <f>$AQ$3</f>
        <v>91.25</v>
      </c>
      <c r="K171">
        <v>0.13</v>
      </c>
      <c r="L171">
        <v>0.65</v>
      </c>
      <c r="M171">
        <v>43</v>
      </c>
      <c r="N171">
        <f t="shared" si="26"/>
        <v>5.0000000000000044E-3</v>
      </c>
      <c r="O171">
        <f>O161</f>
        <v>0.995</v>
      </c>
      <c r="P171">
        <f>P161</f>
        <v>0.73</v>
      </c>
      <c r="Q171">
        <f>$AQ$10</f>
        <v>4.7000000000000002E-3</v>
      </c>
      <c r="R171">
        <f>(H171/100)*(MIN(I171,100)/100)</f>
        <v>0</v>
      </c>
      <c r="S171">
        <v>0</v>
      </c>
      <c r="T171">
        <f t="shared" si="27"/>
        <v>0</v>
      </c>
      <c r="U171">
        <f>$AT$1</f>
        <v>1.3</v>
      </c>
      <c r="V171">
        <f>R171*U171+(1-R171)</f>
        <v>1</v>
      </c>
      <c r="W171">
        <f>(0.795*L171)-0.0014</f>
        <v>0.51535000000000009</v>
      </c>
      <c r="X171">
        <v>1.8</v>
      </c>
      <c r="Y171">
        <f t="shared" si="28"/>
        <v>0.99846618932067555</v>
      </c>
      <c r="Z171">
        <f>(104.7*W171+0.307*M171-15)*(M171^0.75)*10^-3</f>
        <v>0.87583738496773078</v>
      </c>
      <c r="AA171">
        <f t="shared" si="29"/>
        <v>0.87449401623331569</v>
      </c>
      <c r="AB171">
        <f>(AA171 * K171) + (0.045 * T171)</f>
        <v>0.11368422211033104</v>
      </c>
      <c r="AC171">
        <f>$AQ$2</f>
        <v>0.08</v>
      </c>
      <c r="AD171">
        <f>(AA171 * ((1 - L171) + (0.04 * AA171))) * ( 1 - AC171 )</f>
        <v>0.3097294972940734</v>
      </c>
      <c r="AE171">
        <f>$AQ$1</f>
        <v>0.19</v>
      </c>
      <c r="AF171">
        <f>$AR$20</f>
        <v>0.6784</v>
      </c>
      <c r="AG171">
        <f>AD171 * AE171 * N171 * P171 * AF171</f>
        <v>1.4571856048374175E-4</v>
      </c>
      <c r="AH171">
        <f>AD171*AE171*O171*Q171*AF171</f>
        <v>1.8669941043896376E-4</v>
      </c>
      <c r="AI171">
        <f t="shared" si="30"/>
        <v>3.3241797092270551E-4</v>
      </c>
      <c r="AJ171">
        <f>G171*AI171*J171</f>
        <v>4.0949738793040789</v>
      </c>
      <c r="AU171" s="8"/>
      <c r="AV171" s="8"/>
    </row>
    <row r="172" spans="1:48" x14ac:dyDescent="0.2">
      <c r="E172" s="13"/>
      <c r="F172" t="s">
        <v>166</v>
      </c>
      <c r="G172">
        <v>130</v>
      </c>
      <c r="H172">
        <v>0</v>
      </c>
      <c r="I172">
        <v>0</v>
      </c>
      <c r="J172">
        <f>$AQ$3</f>
        <v>91.25</v>
      </c>
      <c r="K172">
        <v>0.1</v>
      </c>
      <c r="L172">
        <v>0.6</v>
      </c>
      <c r="M172">
        <v>40</v>
      </c>
      <c r="N172">
        <f t="shared" si="26"/>
        <v>5.0000000000000044E-3</v>
      </c>
      <c r="O172">
        <f>O161</f>
        <v>0.995</v>
      </c>
      <c r="P172">
        <f>P161</f>
        <v>0.73</v>
      </c>
      <c r="Q172">
        <f>$AQ$10</f>
        <v>4.7000000000000002E-3</v>
      </c>
      <c r="R172">
        <f>(H172/100)*(MIN(I172,100)/100)</f>
        <v>0</v>
      </c>
      <c r="S172">
        <v>0</v>
      </c>
      <c r="T172">
        <f t="shared" si="27"/>
        <v>0</v>
      </c>
      <c r="U172">
        <f>$AT$1</f>
        <v>1.3</v>
      </c>
      <c r="V172">
        <f>R172*U172+(1-R172)</f>
        <v>1</v>
      </c>
      <c r="W172">
        <f>(0.795*L172)-0.0014</f>
        <v>0.47559999999999997</v>
      </c>
      <c r="X172">
        <v>1</v>
      </c>
      <c r="Y172">
        <f t="shared" si="28"/>
        <v>0.8646647167633873</v>
      </c>
      <c r="Z172">
        <f>(104.7*W172+0.307*M172-15)*(M172^0.75)*10^-3</f>
        <v>0.74875248086684232</v>
      </c>
      <c r="AA172">
        <f t="shared" si="29"/>
        <v>0.64741985179461181</v>
      </c>
      <c r="AB172">
        <f>(AA172 * K172) + (0.045 * T172)</f>
        <v>6.4741985179461184E-2</v>
      </c>
      <c r="AC172">
        <f>$AQ$2</f>
        <v>0.08</v>
      </c>
      <c r="AD172">
        <f>(AA172 * ((1 - L172) + (0.04 * AA172))) * ( 1 - AC172 )</f>
        <v>0.25367531615393463</v>
      </c>
      <c r="AE172">
        <f>$AQ$1</f>
        <v>0.19</v>
      </c>
      <c r="AF172">
        <f>$AR$20</f>
        <v>0.6784</v>
      </c>
      <c r="AG172">
        <f>AD172 * AE172 * N172 * P172 * AF172</f>
        <v>1.193467274610682E-4</v>
      </c>
      <c r="AH172">
        <f>AD172*AE172*O172*Q172*AF172</f>
        <v>1.5291095095114657E-4</v>
      </c>
      <c r="AI172">
        <f t="shared" si="30"/>
        <v>2.7225767841221478E-4</v>
      </c>
      <c r="AJ172">
        <f>G172*AI172*J172</f>
        <v>3.2296567101648974</v>
      </c>
      <c r="AU172" s="8"/>
      <c r="AV172" s="8"/>
    </row>
    <row r="173" spans="1:48" x14ac:dyDescent="0.2">
      <c r="E173" s="12" t="s">
        <v>170</v>
      </c>
      <c r="F173" t="s">
        <v>163</v>
      </c>
      <c r="G173">
        <v>200</v>
      </c>
      <c r="H173">
        <v>0</v>
      </c>
      <c r="I173">
        <v>0</v>
      </c>
      <c r="J173">
        <f>$AQ$3</f>
        <v>91.25</v>
      </c>
      <c r="K173">
        <v>0.16</v>
      </c>
      <c r="L173">
        <v>0.7</v>
      </c>
      <c r="M173">
        <v>50</v>
      </c>
      <c r="N173">
        <f t="shared" si="26"/>
        <v>5.0000000000000044E-3</v>
      </c>
      <c r="O173">
        <f>O161</f>
        <v>0.995</v>
      </c>
      <c r="P173">
        <f>P161</f>
        <v>0.73</v>
      </c>
      <c r="Q173">
        <f>$AQ$10</f>
        <v>4.7000000000000002E-3</v>
      </c>
      <c r="R173">
        <f>(H173/100)*(MIN(I173,100)/100)</f>
        <v>0</v>
      </c>
      <c r="S173">
        <v>0</v>
      </c>
      <c r="T173">
        <f t="shared" si="27"/>
        <v>0</v>
      </c>
      <c r="U173">
        <f>$AT$1</f>
        <v>1.3</v>
      </c>
      <c r="V173">
        <f>R173*U173+(1-R173)</f>
        <v>1</v>
      </c>
      <c r="W173">
        <f>(0.795*L173)-0.0014</f>
        <v>0.55510000000000004</v>
      </c>
      <c r="X173">
        <v>3.2</v>
      </c>
      <c r="Y173">
        <f t="shared" si="28"/>
        <v>0.99999999872459233</v>
      </c>
      <c r="Z173">
        <f>(104.7*W173+0.307*M173-15)*(M173^0.75)*10^-3</f>
        <v>1.0993929471578776</v>
      </c>
      <c r="AA173">
        <f t="shared" si="29"/>
        <v>1.0993929457557035</v>
      </c>
      <c r="AB173">
        <f>(AA173 * K173) + (0.045 * T173)</f>
        <v>0.17590287132091256</v>
      </c>
      <c r="AC173">
        <f>$AQ$2</f>
        <v>0.08</v>
      </c>
      <c r="AD173">
        <f>(AA173 * ((1 - L173) + (0.04 * AA173))) * ( 1 - AC173 )</f>
        <v>0.34791131947830267</v>
      </c>
      <c r="AE173">
        <f>$AQ$1</f>
        <v>0.19</v>
      </c>
      <c r="AF173">
        <f>$AR$20</f>
        <v>0.6784</v>
      </c>
      <c r="AG173">
        <f>AD173 * AE173 * N173 * P173 * AF173</f>
        <v>1.6368197763948499E-4</v>
      </c>
      <c r="AH173">
        <f>AD173*AE173*O173*Q173*AF173</f>
        <v>2.0971473107700024E-4</v>
      </c>
      <c r="AI173">
        <f t="shared" si="30"/>
        <v>3.7339670871648525E-4</v>
      </c>
      <c r="AJ173">
        <f>G173*AI173*J173</f>
        <v>6.8144899340758558</v>
      </c>
      <c r="AU173" s="8"/>
      <c r="AV173" s="8"/>
    </row>
    <row r="174" spans="1:48" x14ac:dyDescent="0.2">
      <c r="E174" s="13"/>
      <c r="F174" t="s">
        <v>164</v>
      </c>
      <c r="G174">
        <v>210</v>
      </c>
      <c r="H174">
        <v>0</v>
      </c>
      <c r="I174">
        <v>0</v>
      </c>
      <c r="J174">
        <f>$AQ$3</f>
        <v>91.25</v>
      </c>
      <c r="K174">
        <v>7.0000000000000007E-2</v>
      </c>
      <c r="L174">
        <v>0.55000000000000004</v>
      </c>
      <c r="M174">
        <v>50</v>
      </c>
      <c r="N174">
        <f t="shared" si="26"/>
        <v>5.0000000000000044E-3</v>
      </c>
      <c r="O174">
        <f>O161</f>
        <v>0.995</v>
      </c>
      <c r="P174">
        <f>P161</f>
        <v>0.73</v>
      </c>
      <c r="Q174">
        <f>$AQ$10</f>
        <v>4.7000000000000002E-3</v>
      </c>
      <c r="R174">
        <f>(H174/100)*(MIN(I174,100)/100)</f>
        <v>0</v>
      </c>
      <c r="S174">
        <v>0</v>
      </c>
      <c r="T174">
        <f t="shared" si="27"/>
        <v>0</v>
      </c>
      <c r="U174">
        <f>$AT$1</f>
        <v>1.3</v>
      </c>
      <c r="V174">
        <f>R174*U174+(1-R174)</f>
        <v>1</v>
      </c>
      <c r="W174">
        <f>(0.795*L174)-0.0014</f>
        <v>0.43585000000000007</v>
      </c>
      <c r="X174">
        <v>3</v>
      </c>
      <c r="Y174">
        <f t="shared" si="28"/>
        <v>0.99999998477002028</v>
      </c>
      <c r="Z174">
        <f>(104.7*W174+0.307*M174-15)*(M174^0.75)*10^-3</f>
        <v>0.8646283676396137</v>
      </c>
      <c r="AA174">
        <f t="shared" si="29"/>
        <v>0.86462835447134123</v>
      </c>
      <c r="AB174">
        <f>(AA174 * K174) + (0.045 * T174)</f>
        <v>6.052398481299389E-2</v>
      </c>
      <c r="AC174">
        <f>$AQ$2</f>
        <v>0.08</v>
      </c>
      <c r="AD174">
        <f>(AA174 * ((1 - L174) + (0.04 * AA174))) * ( 1 - AC174 )</f>
        <v>0.38546716339302944</v>
      </c>
      <c r="AE174">
        <f>$AQ$1</f>
        <v>0.19</v>
      </c>
      <c r="AF174">
        <f>$AR$20</f>
        <v>0.6784</v>
      </c>
      <c r="AG174">
        <f>AD174 * AE174 * N174 * P174 * AF174</f>
        <v>1.813508905483841E-4</v>
      </c>
      <c r="AH174">
        <f>AD174*AE174*O174*Q174*AF174</f>
        <v>2.3235272319164864E-4</v>
      </c>
      <c r="AI174">
        <f t="shared" si="30"/>
        <v>4.1370361374003272E-4</v>
      </c>
      <c r="AJ174">
        <f>G174*AI174*J174</f>
        <v>7.9275954982933774</v>
      </c>
      <c r="AU174" s="8"/>
      <c r="AV174" s="8"/>
    </row>
    <row r="175" spans="1:48" x14ac:dyDescent="0.2">
      <c r="E175" s="12"/>
      <c r="F175" t="s">
        <v>165</v>
      </c>
      <c r="G175">
        <v>190</v>
      </c>
      <c r="H175">
        <v>0</v>
      </c>
      <c r="I175">
        <v>0</v>
      </c>
      <c r="J175">
        <f>$AQ$3</f>
        <v>91.25</v>
      </c>
      <c r="K175">
        <v>0.13</v>
      </c>
      <c r="L175">
        <v>0.65</v>
      </c>
      <c r="M175">
        <v>50</v>
      </c>
      <c r="N175">
        <f t="shared" si="26"/>
        <v>5.0000000000000044E-3</v>
      </c>
      <c r="O175">
        <f>O161</f>
        <v>0.995</v>
      </c>
      <c r="P175">
        <f>P161</f>
        <v>0.73</v>
      </c>
      <c r="Q175">
        <f>$AQ$10</f>
        <v>4.7000000000000002E-3</v>
      </c>
      <c r="R175">
        <f>(H175/100)*(MIN(I175,100)/100)</f>
        <v>0</v>
      </c>
      <c r="S175">
        <v>0</v>
      </c>
      <c r="T175">
        <f t="shared" si="27"/>
        <v>0</v>
      </c>
      <c r="U175">
        <f>$AT$1</f>
        <v>1.3</v>
      </c>
      <c r="V175">
        <f>R175*U175+(1-R175)</f>
        <v>1</v>
      </c>
      <c r="W175">
        <f>(0.795*L175)-0.0014</f>
        <v>0.51535000000000009</v>
      </c>
      <c r="X175">
        <v>1.8</v>
      </c>
      <c r="Y175">
        <f t="shared" si="28"/>
        <v>0.99846618932067555</v>
      </c>
      <c r="Z175">
        <f>(104.7*W175+0.307*M175-15)*(M175^0.75)*10^-3</f>
        <v>1.0211380873184563</v>
      </c>
      <c r="AA175">
        <f t="shared" si="29"/>
        <v>1.0195718548150623</v>
      </c>
      <c r="AB175">
        <f>(AA175 * K175) + (0.045 * T175)</f>
        <v>0.13254434112595812</v>
      </c>
      <c r="AC175">
        <f>$AQ$2</f>
        <v>0.08</v>
      </c>
      <c r="AD175">
        <f>(AA175 * ((1 - L175) + (0.04 * AA175))) * ( 1 - AC175 )</f>
        <v>0.36655672228087188</v>
      </c>
      <c r="AE175">
        <f>$AQ$1</f>
        <v>0.19</v>
      </c>
      <c r="AF175">
        <f>$AR$20</f>
        <v>0.6784</v>
      </c>
      <c r="AG175">
        <f>AD175 * AE175 * N175 * P175 * AF175</f>
        <v>1.7245408775417085E-4</v>
      </c>
      <c r="AH175">
        <f>AD175*AE175*O175*Q175*AF175</f>
        <v>2.209538469540765E-4</v>
      </c>
      <c r="AI175">
        <f t="shared" si="30"/>
        <v>3.9340793470824735E-4</v>
      </c>
      <c r="AJ175">
        <f>G175*AI175*J175</f>
        <v>6.8207100680042387</v>
      </c>
      <c r="AU175" s="8"/>
      <c r="AV175" s="8"/>
    </row>
    <row r="176" spans="1:48" x14ac:dyDescent="0.2">
      <c r="E176" s="13"/>
      <c r="F176" t="s">
        <v>166</v>
      </c>
      <c r="G176">
        <v>180</v>
      </c>
      <c r="H176">
        <v>0</v>
      </c>
      <c r="I176">
        <v>0</v>
      </c>
      <c r="J176">
        <f>$AQ$3</f>
        <v>91.25</v>
      </c>
      <c r="K176">
        <v>0.1</v>
      </c>
      <c r="L176">
        <v>0.6</v>
      </c>
      <c r="M176">
        <v>50</v>
      </c>
      <c r="N176">
        <f t="shared" si="26"/>
        <v>5.0000000000000044E-3</v>
      </c>
      <c r="O176">
        <f>O161</f>
        <v>0.995</v>
      </c>
      <c r="P176">
        <f>P161</f>
        <v>0.73</v>
      </c>
      <c r="Q176">
        <f>$AQ$10</f>
        <v>4.7000000000000002E-3</v>
      </c>
      <c r="R176">
        <f>(H176/100)*(MIN(I176,100)/100)</f>
        <v>0</v>
      </c>
      <c r="S176">
        <v>0</v>
      </c>
      <c r="T176">
        <f t="shared" si="27"/>
        <v>0</v>
      </c>
      <c r="U176">
        <f>$AT$1</f>
        <v>1.3</v>
      </c>
      <c r="V176">
        <f>R176*U176+(1-R176)</f>
        <v>1</v>
      </c>
      <c r="W176">
        <f>(0.795*L176)-0.0014</f>
        <v>0.47559999999999997</v>
      </c>
      <c r="X176">
        <v>1</v>
      </c>
      <c r="Y176">
        <f t="shared" si="28"/>
        <v>0.8646647167633873</v>
      </c>
      <c r="Z176">
        <f>(104.7*W176+0.307*M176-15)*(M176^0.75)*10^-3</f>
        <v>0.94288322747903475</v>
      </c>
      <c r="AA176">
        <f t="shared" si="29"/>
        <v>0.81527785882910808</v>
      </c>
      <c r="AB176">
        <f>(AA176 * K176) + (0.045 * T176)</f>
        <v>8.1527785882910819E-2</v>
      </c>
      <c r="AC176">
        <f>$AQ$2</f>
        <v>0.08</v>
      </c>
      <c r="AD176">
        <f>(AA176 * ((1 - L176) + (0.04 * AA176))) * ( 1 - AC176 )</f>
        <v>0.32448240197428052</v>
      </c>
      <c r="AE176">
        <f>$AQ$1</f>
        <v>0.19</v>
      </c>
      <c r="AF176">
        <f>$AR$20</f>
        <v>0.6784</v>
      </c>
      <c r="AG176">
        <f>AD176 * AE176 * N176 * P176 * AF176</f>
        <v>1.5265936544980069E-4</v>
      </c>
      <c r="AH176">
        <f>AD176*AE176*O176*Q176*AF176</f>
        <v>1.9559219795232667E-4</v>
      </c>
      <c r="AI176">
        <f t="shared" si="30"/>
        <v>3.4825156340212736E-4</v>
      </c>
      <c r="AJ176">
        <f>G176*AI176*J176</f>
        <v>5.7200319288799424</v>
      </c>
      <c r="AU176" s="8"/>
      <c r="AV176" s="8"/>
    </row>
    <row r="177" spans="1:48" x14ac:dyDescent="0.2">
      <c r="E177" s="12" t="s">
        <v>162</v>
      </c>
      <c r="F177" t="s">
        <v>163</v>
      </c>
      <c r="G177">
        <v>50</v>
      </c>
      <c r="H177">
        <v>0</v>
      </c>
      <c r="I177">
        <v>0</v>
      </c>
      <c r="J177">
        <f>$AQ$3</f>
        <v>91.25</v>
      </c>
      <c r="K177">
        <v>0.16</v>
      </c>
      <c r="L177">
        <v>0.7</v>
      </c>
      <c r="M177">
        <v>70</v>
      </c>
      <c r="N177">
        <f t="shared" si="26"/>
        <v>5.0000000000000044E-3</v>
      </c>
      <c r="O177">
        <f>O161</f>
        <v>0.995</v>
      </c>
      <c r="P177">
        <f>P161</f>
        <v>0.73</v>
      </c>
      <c r="Q177">
        <f>$AQ$10</f>
        <v>4.7000000000000002E-3</v>
      </c>
      <c r="R177">
        <f>(H177/100)*(MIN(I177,100)/100)</f>
        <v>0</v>
      </c>
      <c r="S177">
        <v>0</v>
      </c>
      <c r="T177">
        <f t="shared" si="27"/>
        <v>0</v>
      </c>
      <c r="U177">
        <f>$AT$1</f>
        <v>1.3</v>
      </c>
      <c r="V177">
        <f>R177*U177+(1-R177)</f>
        <v>1</v>
      </c>
      <c r="W177">
        <f>(0.795*L177)-0.0014</f>
        <v>0.55510000000000004</v>
      </c>
      <c r="X177">
        <v>3.2</v>
      </c>
      <c r="Y177">
        <f t="shared" si="28"/>
        <v>0.99999999872459233</v>
      </c>
      <c r="Z177">
        <f>(104.7*W177+0.307*M177-15)*(M177^0.75)*10^-3</f>
        <v>1.5635664662315347</v>
      </c>
      <c r="AA177">
        <f t="shared" si="29"/>
        <v>1.5635664642373501</v>
      </c>
      <c r="AB177">
        <f>(AA177 * K177) + (0.045 * T177)</f>
        <v>0.25017063427797603</v>
      </c>
      <c r="AC177">
        <f>$AQ$2</f>
        <v>0.08</v>
      </c>
      <c r="AD177">
        <f>(AA177 * ((1 - L177) + (0.04 * AA177))) * ( 1 - AC177 )</f>
        <v>0.52151077937113577</v>
      </c>
      <c r="AE177">
        <f>$AQ$1</f>
        <v>0.19</v>
      </c>
      <c r="AF177">
        <f>$AR$20</f>
        <v>0.6784</v>
      </c>
      <c r="AG177">
        <f>AD177 * AE177 * N177 * P177 * AF177</f>
        <v>2.4535538497505021E-4</v>
      </c>
      <c r="AH177">
        <f>AD177*AE177*O177*Q177*AF177</f>
        <v>3.1435738570844427E-4</v>
      </c>
      <c r="AI177">
        <f t="shared" si="30"/>
        <v>5.5971277068349442E-4</v>
      </c>
      <c r="AJ177">
        <f>G177*AI177*J177</f>
        <v>2.5536895162434434</v>
      </c>
      <c r="AU177" s="8"/>
      <c r="AV177" s="8"/>
    </row>
    <row r="178" spans="1:48" x14ac:dyDescent="0.2">
      <c r="E178" s="13"/>
      <c r="F178" t="s">
        <v>164</v>
      </c>
      <c r="G178">
        <v>55</v>
      </c>
      <c r="H178">
        <v>0</v>
      </c>
      <c r="I178">
        <v>0</v>
      </c>
      <c r="J178">
        <f>$AQ$3</f>
        <v>91.25</v>
      </c>
      <c r="K178">
        <v>7.0000000000000007E-2</v>
      </c>
      <c r="L178">
        <v>0.55000000000000004</v>
      </c>
      <c r="M178">
        <v>65</v>
      </c>
      <c r="N178">
        <f t="shared" si="26"/>
        <v>5.0000000000000044E-3</v>
      </c>
      <c r="O178">
        <f>O161</f>
        <v>0.995</v>
      </c>
      <c r="P178">
        <f>P161</f>
        <v>0.73</v>
      </c>
      <c r="Q178">
        <f>$AQ$10</f>
        <v>4.7000000000000002E-3</v>
      </c>
      <c r="R178">
        <f>(H178/100)*(MIN(I178,100)/100)</f>
        <v>0</v>
      </c>
      <c r="S178">
        <v>0</v>
      </c>
      <c r="T178">
        <f t="shared" si="27"/>
        <v>0</v>
      </c>
      <c r="U178">
        <f>$AT$1</f>
        <v>1.3</v>
      </c>
      <c r="V178">
        <f>R178*U178+(1-R178)</f>
        <v>1</v>
      </c>
      <c r="W178">
        <f>(0.795*L178)-0.0014</f>
        <v>0.43585000000000007</v>
      </c>
      <c r="X178">
        <v>3</v>
      </c>
      <c r="Y178">
        <f t="shared" si="28"/>
        <v>0.99999998477002028</v>
      </c>
      <c r="Z178">
        <f>(104.7*W178+0.307*M178-15)*(M178^0.75)*10^-3</f>
        <v>1.1580752413958724</v>
      </c>
      <c r="AA178">
        <f t="shared" si="29"/>
        <v>1.15807522375841</v>
      </c>
      <c r="AB178">
        <f>(AA178 * K178) + (0.045 * T178)</f>
        <v>8.1065265663088706E-2</v>
      </c>
      <c r="AC178">
        <f>$AQ$2</f>
        <v>0.08</v>
      </c>
      <c r="AD178">
        <f>(AA178 * ((1 - L178) + (0.04 * AA178))) * ( 1 - AC178 )</f>
        <v>0.52879702927487948</v>
      </c>
      <c r="AE178">
        <f>$AQ$1</f>
        <v>0.19</v>
      </c>
      <c r="AF178">
        <f>$AR$20</f>
        <v>0.6784</v>
      </c>
      <c r="AG178">
        <f>AD178 * AE178 * N178 * P178 * AF178</f>
        <v>2.4878334988176449E-4</v>
      </c>
      <c r="AH178">
        <f>AD178*AE178*O178*Q178*AF178</f>
        <v>3.1874940704714264E-4</v>
      </c>
      <c r="AI178">
        <f t="shared" si="30"/>
        <v>5.6753275692890707E-4</v>
      </c>
      <c r="AJ178">
        <f>G178*AI178*J178</f>
        <v>2.8483050238369523</v>
      </c>
      <c r="AU178" s="8"/>
      <c r="AV178" s="8"/>
    </row>
    <row r="179" spans="1:48" x14ac:dyDescent="0.2">
      <c r="E179" s="12"/>
      <c r="F179" t="s">
        <v>165</v>
      </c>
      <c r="G179">
        <v>60</v>
      </c>
      <c r="H179">
        <v>0</v>
      </c>
      <c r="I179">
        <v>0</v>
      </c>
      <c r="J179">
        <f>$AQ$3</f>
        <v>91.25</v>
      </c>
      <c r="K179">
        <v>0.13</v>
      </c>
      <c r="L179">
        <v>0.65</v>
      </c>
      <c r="M179">
        <v>65</v>
      </c>
      <c r="N179">
        <f t="shared" si="26"/>
        <v>5.0000000000000044E-3</v>
      </c>
      <c r="O179">
        <f>O161</f>
        <v>0.995</v>
      </c>
      <c r="P179">
        <f>P161</f>
        <v>0.73</v>
      </c>
      <c r="Q179">
        <f>$AQ$10</f>
        <v>4.7000000000000002E-3</v>
      </c>
      <c r="R179">
        <f>(H179/100)*(MIN(I179,100)/100)</f>
        <v>0</v>
      </c>
      <c r="S179">
        <v>0</v>
      </c>
      <c r="T179">
        <f t="shared" si="27"/>
        <v>0</v>
      </c>
      <c r="U179">
        <f>$AT$1</f>
        <v>1.3</v>
      </c>
      <c r="V179">
        <f>R179*U179+(1-R179)</f>
        <v>1</v>
      </c>
      <c r="W179">
        <f>(0.795*L179)-0.0014</f>
        <v>0.51535000000000009</v>
      </c>
      <c r="X179">
        <v>1.8</v>
      </c>
      <c r="Y179">
        <f t="shared" si="28"/>
        <v>0.99846618932067555</v>
      </c>
      <c r="Z179">
        <f>(104.7*W179+0.307*M179-15)*(M179^0.75)*10^-3</f>
        <v>1.3486207988995054</v>
      </c>
      <c r="AA179">
        <f t="shared" si="29"/>
        <v>1.3465522699157941</v>
      </c>
      <c r="AB179">
        <f>(AA179 * K179) + (0.045 * T179)</f>
        <v>0.17505179508905325</v>
      </c>
      <c r="AC179">
        <f>$AQ$2</f>
        <v>0.08</v>
      </c>
      <c r="AD179">
        <f>(AA179 * ((1 - L179) + (0.04 * AA179))) * ( 1 - AC179 )</f>
        <v>0.50031570188753161</v>
      </c>
      <c r="AE179">
        <f>$AQ$1</f>
        <v>0.19</v>
      </c>
      <c r="AF179">
        <f>$AR$20</f>
        <v>0.6784</v>
      </c>
      <c r="AG179">
        <f>AD179 * AE179 * N179 * P179 * AF179</f>
        <v>2.3538372839330794E-4</v>
      </c>
      <c r="AH179">
        <f>AD179*AE179*O179*Q179*AF179</f>
        <v>3.0158137146063117E-4</v>
      </c>
      <c r="AI179">
        <f t="shared" si="30"/>
        <v>5.3696509985393906E-4</v>
      </c>
      <c r="AJ179">
        <f>G179*AI179*J179</f>
        <v>2.9398839217003161</v>
      </c>
      <c r="AU179" s="8"/>
      <c r="AV179" s="8"/>
    </row>
    <row r="180" spans="1:48" x14ac:dyDescent="0.2">
      <c r="E180" s="13"/>
      <c r="F180" t="s">
        <v>166</v>
      </c>
      <c r="G180">
        <v>65</v>
      </c>
      <c r="H180">
        <v>0</v>
      </c>
      <c r="I180">
        <v>0</v>
      </c>
      <c r="J180">
        <f>$AQ$3</f>
        <v>91.25</v>
      </c>
      <c r="K180">
        <v>0.1</v>
      </c>
      <c r="L180">
        <v>0.6</v>
      </c>
      <c r="M180">
        <v>60</v>
      </c>
      <c r="N180">
        <f t="shared" si="26"/>
        <v>5.0000000000000044E-3</v>
      </c>
      <c r="O180">
        <f>O161</f>
        <v>0.995</v>
      </c>
      <c r="P180">
        <f>P161</f>
        <v>0.73</v>
      </c>
      <c r="Q180">
        <f>$AQ$10</f>
        <v>4.7000000000000002E-3</v>
      </c>
      <c r="R180">
        <f>(H180/100)*(MIN(I180,100)/100)</f>
        <v>0</v>
      </c>
      <c r="S180">
        <v>0</v>
      </c>
      <c r="T180">
        <f t="shared" si="27"/>
        <v>0</v>
      </c>
      <c r="U180">
        <f>$AT$1</f>
        <v>1.3</v>
      </c>
      <c r="V180">
        <f>R180*U180+(1-R180)</f>
        <v>1</v>
      </c>
      <c r="W180">
        <f>(0.795*L180)-0.0014</f>
        <v>0.47559999999999997</v>
      </c>
      <c r="X180">
        <v>1</v>
      </c>
      <c r="Y180">
        <f t="shared" si="28"/>
        <v>0.8646647167633873</v>
      </c>
      <c r="Z180">
        <f>(104.7*W180+0.307*M180-15)*(M180^0.75)*10^-3</f>
        <v>1.1472289977258807</v>
      </c>
      <c r="AA180">
        <f t="shared" si="29"/>
        <v>0.99196843638139331</v>
      </c>
      <c r="AB180">
        <f>(AA180 * K180) + (0.045 * T180)</f>
        <v>9.919684363813934E-2</v>
      </c>
      <c r="AC180">
        <f>$AQ$2</f>
        <v>0.08</v>
      </c>
      <c r="AD180">
        <f>(AA180 * ((1 - L180) + (0.04 * AA180))) * ( 1 - AC180 )</f>
        <v>0.40125563532734443</v>
      </c>
      <c r="AE180">
        <f>$AQ$1</f>
        <v>0.19</v>
      </c>
      <c r="AF180">
        <f>$AR$20</f>
        <v>0.6784</v>
      </c>
      <c r="AG180">
        <f>AD180 * AE180 * N180 * P180 * AF180</f>
        <v>1.8877889925471004E-4</v>
      </c>
      <c r="AH180">
        <f>AD180*AE180*O180*Q180*AF180</f>
        <v>2.4186973215469887E-4</v>
      </c>
      <c r="AI180">
        <f t="shared" si="30"/>
        <v>4.3064863140940892E-4</v>
      </c>
      <c r="AJ180">
        <f>G180*AI180*J180</f>
        <v>2.5542846950470568</v>
      </c>
      <c r="AU180" s="8"/>
      <c r="AV180" s="8"/>
    </row>
    <row r="181" spans="1:48" x14ac:dyDescent="0.2">
      <c r="E181" s="12" t="s">
        <v>167</v>
      </c>
      <c r="F181" t="s">
        <v>163</v>
      </c>
      <c r="G181">
        <v>50</v>
      </c>
      <c r="H181">
        <v>0</v>
      </c>
      <c r="I181">
        <v>0</v>
      </c>
      <c r="J181">
        <f>$AQ$3</f>
        <v>91.25</v>
      </c>
      <c r="K181">
        <v>0.16</v>
      </c>
      <c r="L181">
        <v>0.7</v>
      </c>
      <c r="M181">
        <v>60</v>
      </c>
      <c r="N181">
        <f t="shared" si="26"/>
        <v>5.0000000000000044E-3</v>
      </c>
      <c r="O181">
        <f>O161</f>
        <v>0.995</v>
      </c>
      <c r="P181">
        <f>P161</f>
        <v>0.73</v>
      </c>
      <c r="Q181">
        <f>$AQ$10</f>
        <v>4.7000000000000002E-3</v>
      </c>
      <c r="R181">
        <f>(H181/100)*(MIN(I181,100)/100)</f>
        <v>0</v>
      </c>
      <c r="S181">
        <v>0</v>
      </c>
      <c r="T181">
        <f t="shared" si="27"/>
        <v>0</v>
      </c>
      <c r="U181">
        <f>$AT$1</f>
        <v>1.3</v>
      </c>
      <c r="V181">
        <f>R181*U181+(1-R181)</f>
        <v>1</v>
      </c>
      <c r="W181">
        <f>(0.795*L181)-0.0014</f>
        <v>0.55510000000000004</v>
      </c>
      <c r="X181">
        <v>3.2</v>
      </c>
      <c r="Y181">
        <f t="shared" si="28"/>
        <v>0.99999999872459233</v>
      </c>
      <c r="Z181">
        <f>(104.7*W181+0.307*M181-15)*(M181^0.75)*10^-3</f>
        <v>1.3266722980183725</v>
      </c>
      <c r="AA181">
        <f t="shared" si="29"/>
        <v>1.3266722963263244</v>
      </c>
      <c r="AB181">
        <f>(AA181 * K181) + (0.045 * T181)</f>
        <v>0.21226756741221192</v>
      </c>
      <c r="AC181">
        <f>$AQ$2</f>
        <v>0.08</v>
      </c>
      <c r="AD181">
        <f>(AA181 * ((1 - L181) + (0.04 * AA181))) * ( 1 - AC181 )</f>
        <v>0.43093173903776888</v>
      </c>
      <c r="AE181">
        <f>$AQ$1</f>
        <v>0.19</v>
      </c>
      <c r="AF181">
        <f>$AR$20</f>
        <v>0.6784</v>
      </c>
      <c r="AG181">
        <f>AD181 * AE181 * N181 * P181 * AF181</f>
        <v>2.0274062763779493E-4</v>
      </c>
      <c r="AH181">
        <f>AD181*AE181*O181*Q181*AF181</f>
        <v>2.5975795757483486E-4</v>
      </c>
      <c r="AI181">
        <f t="shared" si="30"/>
        <v>4.6249858521262976E-4</v>
      </c>
      <c r="AJ181">
        <f>G181*AI181*J181</f>
        <v>2.1101497950326231</v>
      </c>
      <c r="AU181" s="8"/>
      <c r="AV181" s="8"/>
    </row>
    <row r="182" spans="1:48" x14ac:dyDescent="0.2">
      <c r="E182" s="13"/>
      <c r="F182" t="s">
        <v>164</v>
      </c>
      <c r="G182">
        <v>100</v>
      </c>
      <c r="H182">
        <v>0</v>
      </c>
      <c r="I182">
        <v>0</v>
      </c>
      <c r="J182">
        <f>$AQ$3</f>
        <v>91.25</v>
      </c>
      <c r="K182">
        <v>7.0000000000000007E-2</v>
      </c>
      <c r="L182">
        <v>0.55000000000000004</v>
      </c>
      <c r="M182">
        <v>55</v>
      </c>
      <c r="N182">
        <f t="shared" si="26"/>
        <v>5.0000000000000044E-3</v>
      </c>
      <c r="O182">
        <f>O161</f>
        <v>0.995</v>
      </c>
      <c r="P182">
        <f>P161</f>
        <v>0.73</v>
      </c>
      <c r="Q182">
        <f>$AQ$10</f>
        <v>4.7000000000000002E-3</v>
      </c>
      <c r="R182">
        <f>(H182/100)*(MIN(I182,100)/100)</f>
        <v>0</v>
      </c>
      <c r="S182">
        <v>0</v>
      </c>
      <c r="T182">
        <f t="shared" si="27"/>
        <v>0</v>
      </c>
      <c r="U182">
        <f>$AT$1</f>
        <v>1.3</v>
      </c>
      <c r="V182">
        <f>R182*U182+(1-R182)</f>
        <v>1</v>
      </c>
      <c r="W182">
        <f>(0.795*L182)-0.0014</f>
        <v>0.43585000000000007</v>
      </c>
      <c r="X182">
        <v>3</v>
      </c>
      <c r="Y182">
        <f t="shared" si="28"/>
        <v>0.99999998477002028</v>
      </c>
      <c r="Z182">
        <f>(104.7*W182+0.307*M182-15)*(M182^0.75)*10^-3</f>
        <v>0.95969823125361531</v>
      </c>
      <c r="AA182">
        <f t="shared" si="29"/>
        <v>0.95969821663743071</v>
      </c>
      <c r="AB182">
        <f>(AA182 * K182) + (0.045 * T182)</f>
        <v>6.717887516462015E-2</v>
      </c>
      <c r="AC182">
        <f>$AQ$2</f>
        <v>0.08</v>
      </c>
      <c r="AD182">
        <f>(AA182 * ((1 - L182) + (0.04 * AA182))) * ( 1 - AC182 )</f>
        <v>0.43120862223412426</v>
      </c>
      <c r="AE182">
        <f>$AQ$1</f>
        <v>0.19</v>
      </c>
      <c r="AF182">
        <f>$AR$20</f>
        <v>0.6784</v>
      </c>
      <c r="AG182">
        <f>AD182 * AE182 * N182 * P182 * AF182</f>
        <v>2.0287089298593752E-4</v>
      </c>
      <c r="AH182">
        <f>AD182*AE182*O182*Q182*AF182</f>
        <v>2.5992485782157151E-4</v>
      </c>
      <c r="AI182">
        <f t="shared" si="30"/>
        <v>4.6279575080750905E-4</v>
      </c>
      <c r="AJ182">
        <f>G182*AI182*J182</f>
        <v>4.22301122611852</v>
      </c>
      <c r="AU182" s="8"/>
      <c r="AV182" s="8"/>
    </row>
    <row r="183" spans="1:48" x14ac:dyDescent="0.2">
      <c r="E183" s="12"/>
      <c r="F183" t="s">
        <v>165</v>
      </c>
      <c r="G183">
        <v>90</v>
      </c>
      <c r="H183">
        <v>0</v>
      </c>
      <c r="I183">
        <v>0</v>
      </c>
      <c r="J183">
        <f>$AQ$3</f>
        <v>91.25</v>
      </c>
      <c r="K183">
        <v>0.13</v>
      </c>
      <c r="L183">
        <v>0.65</v>
      </c>
      <c r="M183">
        <v>52</v>
      </c>
      <c r="N183">
        <f t="shared" si="26"/>
        <v>5.0000000000000044E-3</v>
      </c>
      <c r="O183">
        <f>O161</f>
        <v>0.995</v>
      </c>
      <c r="P183">
        <f>P161</f>
        <v>0.73</v>
      </c>
      <c r="Q183">
        <f>$AQ$10</f>
        <v>4.7000000000000002E-3</v>
      </c>
      <c r="R183">
        <f>(H183/100)*(MIN(I183,100)/100)</f>
        <v>0</v>
      </c>
      <c r="S183">
        <v>0</v>
      </c>
      <c r="T183">
        <f t="shared" si="27"/>
        <v>0</v>
      </c>
      <c r="U183">
        <f>$AT$1</f>
        <v>1.3</v>
      </c>
      <c r="V183">
        <f>R183*U183+(1-R183)</f>
        <v>1</v>
      </c>
      <c r="W183">
        <f>(0.795*L183)-0.0014</f>
        <v>0.51535000000000009</v>
      </c>
      <c r="X183">
        <v>1.8</v>
      </c>
      <c r="Y183">
        <f t="shared" si="28"/>
        <v>0.99846618932067555</v>
      </c>
      <c r="Z183">
        <f>(104.7*W183+0.307*M183-15)*(M183^0.75)*10^-3</f>
        <v>1.0635112555960096</v>
      </c>
      <c r="AA183">
        <f t="shared" si="29"/>
        <v>1.0618800306745946</v>
      </c>
      <c r="AB183">
        <f>(AA183 * K183) + (0.045 * T183)</f>
        <v>0.1380444039876973</v>
      </c>
      <c r="AC183">
        <f>$AQ$2</f>
        <v>0.08</v>
      </c>
      <c r="AD183">
        <f>(AA183 * ((1 - L183) + (0.04 * AA183))) * ( 1 - AC183 )</f>
        <v>0.383420652420493</v>
      </c>
      <c r="AE183">
        <f>$AQ$1</f>
        <v>0.19</v>
      </c>
      <c r="AF183">
        <f>$AR$20</f>
        <v>0.6784</v>
      </c>
      <c r="AG183">
        <f>AD183 * AE183 * N183 * P183 * AF183</f>
        <v>1.8038806771253048E-4</v>
      </c>
      <c r="AH183">
        <f>AD183*AE183*O183*Q183*AF183</f>
        <v>2.3111912291990359E-4</v>
      </c>
      <c r="AI183">
        <f t="shared" si="30"/>
        <v>4.1150719063243408E-4</v>
      </c>
      <c r="AJ183">
        <f>G183*AI183*J183</f>
        <v>3.3795028030688647</v>
      </c>
      <c r="AU183" s="8"/>
      <c r="AV183" s="8"/>
    </row>
    <row r="184" spans="1:48" x14ac:dyDescent="0.2">
      <c r="E184" s="13"/>
      <c r="F184" t="s">
        <v>166</v>
      </c>
      <c r="G184">
        <v>80</v>
      </c>
      <c r="H184">
        <v>0</v>
      </c>
      <c r="I184">
        <v>0</v>
      </c>
      <c r="J184">
        <f>$AQ$3</f>
        <v>91.25</v>
      </c>
      <c r="K184">
        <v>0.1</v>
      </c>
      <c r="L184">
        <v>0.6</v>
      </c>
      <c r="M184">
        <v>50</v>
      </c>
      <c r="N184">
        <f t="shared" si="26"/>
        <v>5.0000000000000044E-3</v>
      </c>
      <c r="O184">
        <f>O161</f>
        <v>0.995</v>
      </c>
      <c r="P184">
        <f>P161</f>
        <v>0.73</v>
      </c>
      <c r="Q184">
        <f>$AQ$10</f>
        <v>4.7000000000000002E-3</v>
      </c>
      <c r="R184">
        <f>(H184/100)*(MIN(I184,100)/100)</f>
        <v>0</v>
      </c>
      <c r="S184">
        <v>0</v>
      </c>
      <c r="T184">
        <f t="shared" si="27"/>
        <v>0</v>
      </c>
      <c r="U184">
        <f>$AT$1</f>
        <v>1.3</v>
      </c>
      <c r="V184">
        <f>R184*U184+(1-R184)</f>
        <v>1</v>
      </c>
      <c r="W184">
        <f>(0.795*L184)-0.0014</f>
        <v>0.47559999999999997</v>
      </c>
      <c r="X184">
        <v>1</v>
      </c>
      <c r="Y184">
        <f t="shared" si="28"/>
        <v>0.8646647167633873</v>
      </c>
      <c r="Z184">
        <f>(104.7*W184+0.307*M184-15)*(M184^0.75)*10^-3</f>
        <v>0.94288322747903475</v>
      </c>
      <c r="AA184">
        <f t="shared" si="29"/>
        <v>0.81527785882910808</v>
      </c>
      <c r="AB184">
        <f>(AA184 * K184) + (0.045 * T184)</f>
        <v>8.1527785882910819E-2</v>
      </c>
      <c r="AC184">
        <f>$AQ$2</f>
        <v>0.08</v>
      </c>
      <c r="AD184">
        <f>(AA184 * ((1 - L184) + (0.04 * AA184))) * ( 1 - AC184 )</f>
        <v>0.32448240197428052</v>
      </c>
      <c r="AE184">
        <f>$AQ$1</f>
        <v>0.19</v>
      </c>
      <c r="AF184">
        <f>$AR$20</f>
        <v>0.6784</v>
      </c>
      <c r="AG184">
        <f>AD184 * AE184 * N184 * P184 * AF184</f>
        <v>1.5265936544980069E-4</v>
      </c>
      <c r="AH184">
        <f>AD184*AE184*O184*Q184*AF184</f>
        <v>1.9559219795232667E-4</v>
      </c>
      <c r="AI184">
        <f t="shared" si="30"/>
        <v>3.4825156340212736E-4</v>
      </c>
      <c r="AJ184">
        <f>G184*AI184*J184</f>
        <v>2.5422364128355297</v>
      </c>
      <c r="AU184" s="8"/>
      <c r="AV184" s="8"/>
    </row>
    <row r="185" spans="1:48" x14ac:dyDescent="0.2">
      <c r="AU185" s="8"/>
      <c r="AV185" s="8"/>
    </row>
    <row r="186" spans="1:48" x14ac:dyDescent="0.2">
      <c r="AU186" s="8"/>
      <c r="AV186" s="8"/>
    </row>
    <row r="187" spans="1:48" x14ac:dyDescent="0.2">
      <c r="AU187" s="8"/>
      <c r="AV187" s="8"/>
    </row>
    <row r="188" spans="1:48" x14ac:dyDescent="0.2">
      <c r="AU188" s="8"/>
      <c r="AV188" s="8"/>
    </row>
    <row r="189" spans="1:48" x14ac:dyDescent="0.2">
      <c r="AU189" s="8"/>
      <c r="AV189" s="8"/>
    </row>
    <row r="190" spans="1:48" x14ac:dyDescent="0.2">
      <c r="AU190" s="8"/>
      <c r="AV190" s="8"/>
    </row>
    <row r="191" spans="1:48" x14ac:dyDescent="0.2">
      <c r="A191" t="s">
        <v>275</v>
      </c>
      <c r="B191" t="s">
        <v>275</v>
      </c>
      <c r="C191" t="s">
        <v>275</v>
      </c>
      <c r="D191" t="s">
        <v>213</v>
      </c>
      <c r="E191" s="12" t="s">
        <v>169</v>
      </c>
      <c r="F191" t="s">
        <v>163</v>
      </c>
      <c r="G191">
        <v>100</v>
      </c>
      <c r="H191">
        <v>95</v>
      </c>
      <c r="I191">
        <v>90</v>
      </c>
      <c r="J191">
        <f>$AQ$3</f>
        <v>91.25</v>
      </c>
      <c r="K191" cm="1">
        <f t="array" ref="K191:K214">_xlfn.DROP(_xlfn.XLOOKUP($C191,QueryCP[[#Headers],[ACT/NSW]:[WA]],QueryCP[[#All],[ACT/NSW]:[WA]]),1)</f>
        <v>0.18</v>
      </c>
      <c r="L191" cm="1">
        <f t="array" ref="L191:L214">_xlfn.DROP(_xlfn.XLOOKUP($C191,QueryDMD[[#Headers],[ACT/NSW]:[WA]],QueryDMD[[#All],[ACT/NSW]:[WA]]),1)</f>
        <v>0.73</v>
      </c>
      <c r="M191" cm="1">
        <f t="array" ref="M191:M214">_xlfn.DROP(_xlfn.XLOOKUP($C191,QueryW[[#Headers],[ACT/NSW]:[WA]],QueryW[[#All],[ACT/NSW]:[WA]]),1)</f>
        <v>55</v>
      </c>
      <c r="N191">
        <f>1-O191</f>
        <v>0</v>
      </c>
      <c r="O191">
        <f>IF($D191="yes", 1, VLOOKUP($B191, $AP$26:$AR$32, 2)/100)</f>
        <v>1</v>
      </c>
      <c r="P191">
        <f>VLOOKUP($B191,$AR$10:$AS$16, 2, FALSE)</f>
        <v>0.76</v>
      </c>
      <c r="Q191">
        <f>$AQ$10</f>
        <v>4.7000000000000002E-3</v>
      </c>
      <c r="R191">
        <f>(H191/100)*(MIN(I191,100)/100)</f>
        <v>0.85499999999999998</v>
      </c>
      <c r="S191">
        <v>0</v>
      </c>
      <c r="T191">
        <f>1.6 * S191</f>
        <v>0</v>
      </c>
      <c r="U191">
        <f>$AT$1</f>
        <v>1.3</v>
      </c>
      <c r="V191">
        <f>R191*U191+(1-R191)</f>
        <v>1.2565</v>
      </c>
      <c r="W191">
        <f>(0.795*L191)-0.0014</f>
        <v>0.57895000000000008</v>
      </c>
      <c r="X191" cm="1">
        <f t="array" ref="X191:X214">_xlfn.DROP(_xlfn.XLOOKUP($C191,QueryDMA[[#Headers],[ACT/NSW]:[WA]],QueryDMA[[#All],[ACT/NSW]:[WA]]),1)</f>
        <v>3.5</v>
      </c>
      <c r="Y191">
        <f>1 - EXP(-2*(X191^2))</f>
        <v>0.99999999997710265</v>
      </c>
      <c r="Z191">
        <f>(104.7*W191+0.307*M191-15)*(M191^0.75)*10^-3</f>
        <v>1.2622908518455234</v>
      </c>
      <c r="AA191">
        <f>Z191*Y191*V191</f>
        <v>1.5860684553075832</v>
      </c>
      <c r="AB191">
        <f>(AA191 * K191) + (0.045 * T191)</f>
        <v>0.28549232195536495</v>
      </c>
      <c r="AC191">
        <f>$AQ$2</f>
        <v>0.08</v>
      </c>
      <c r="AD191">
        <f>(AA191 * ((1 - L191) + (0.04 * AA191))) * ( 1 - AC191 )</f>
        <v>0.4865539680315254</v>
      </c>
      <c r="AE191">
        <f>$AQ$1</f>
        <v>0.19</v>
      </c>
      <c r="AF191">
        <f>$AR$20</f>
        <v>0.6784</v>
      </c>
      <c r="AG191">
        <f>AD191 * AE191 * N191 * P191 * AF191</f>
        <v>0</v>
      </c>
      <c r="AH191">
        <f>AD191*AE191*O191*Q191*AF191</f>
        <v>2.9475984323794005E-4</v>
      </c>
      <c r="AI191">
        <f>AG191+AH191</f>
        <v>2.9475984323794005E-4</v>
      </c>
      <c r="AJ191">
        <f>G191*AI191*J191</f>
        <v>2.6896835695462031</v>
      </c>
      <c r="AK191">
        <f>SUM(AJ191:AJ214)*10^-3</f>
        <v>4.577588251216725E-2</v>
      </c>
    </row>
    <row r="192" spans="1:48" x14ac:dyDescent="0.2">
      <c r="E192" s="13"/>
      <c r="F192" t="s">
        <v>164</v>
      </c>
      <c r="G192">
        <v>70</v>
      </c>
      <c r="H192">
        <v>0</v>
      </c>
      <c r="I192">
        <v>0</v>
      </c>
      <c r="J192">
        <f>$AQ$3</f>
        <v>91.25</v>
      </c>
      <c r="K192">
        <v>0.06</v>
      </c>
      <c r="L192">
        <v>0.55000000000000004</v>
      </c>
      <c r="M192">
        <v>50</v>
      </c>
      <c r="N192">
        <f t="shared" ref="N192:N214" si="31">1-O192</f>
        <v>0</v>
      </c>
      <c r="O192">
        <f>O191</f>
        <v>1</v>
      </c>
      <c r="P192">
        <f>P191</f>
        <v>0.76</v>
      </c>
      <c r="Q192">
        <f>$AQ$10</f>
        <v>4.7000000000000002E-3</v>
      </c>
      <c r="R192">
        <f>(H192/100)*(MIN(I192,100)/100)</f>
        <v>0</v>
      </c>
      <c r="S192">
        <v>0</v>
      </c>
      <c r="T192">
        <f t="shared" ref="T192:T214" si="32">1.6 * S192</f>
        <v>0</v>
      </c>
      <c r="U192">
        <f>$AT$1</f>
        <v>1.3</v>
      </c>
      <c r="V192">
        <f>R192*U192+(1-R192)</f>
        <v>1</v>
      </c>
      <c r="W192">
        <f>(0.795*L192)-0.0014</f>
        <v>0.43585000000000007</v>
      </c>
      <c r="X192">
        <v>1.5</v>
      </c>
      <c r="Y192">
        <f t="shared" ref="Y192:Y214" si="33">1 - EXP(-2*(X192^2))</f>
        <v>0.98889100346175773</v>
      </c>
      <c r="Z192">
        <f>(104.7*W192+0.307*M192-15)*(M192^0.75)*10^-3</f>
        <v>0.8646283676396137</v>
      </c>
      <c r="AA192">
        <f t="shared" ref="AA192:AA214" si="34">Z192*Y192*V192</f>
        <v>0.85502321409663917</v>
      </c>
      <c r="AB192">
        <f>(AA192 * K192) + (0.045 * T192)</f>
        <v>5.1301392845798349E-2</v>
      </c>
      <c r="AC192">
        <f>$AQ$2</f>
        <v>0.08</v>
      </c>
      <c r="AD192">
        <f>(AA192 * ((1 - L192) + (0.04 * AA192))) * ( 1 - AC192 )</f>
        <v>0.38088279147251325</v>
      </c>
      <c r="AE192">
        <f>$AQ$1</f>
        <v>0.19</v>
      </c>
      <c r="AF192">
        <f>$AR$20</f>
        <v>0.6784</v>
      </c>
      <c r="AG192">
        <f>AD192 * AE192 * N192 * P192 * AF192</f>
        <v>0</v>
      </c>
      <c r="AH192">
        <f>AD192*AE192*O192*Q192*AF192</f>
        <v>2.3074306096131303E-4</v>
      </c>
      <c r="AI192">
        <f t="shared" ref="AI192:AI214" si="35">AG192+AH192</f>
        <v>2.3074306096131303E-4</v>
      </c>
      <c r="AJ192">
        <f>G192*AI192*J192</f>
        <v>1.4738713018903871</v>
      </c>
    </row>
    <row r="193" spans="5:36" x14ac:dyDescent="0.2">
      <c r="E193" s="12"/>
      <c r="F193" t="s">
        <v>165</v>
      </c>
      <c r="G193">
        <v>65</v>
      </c>
      <c r="H193">
        <v>0</v>
      </c>
      <c r="I193">
        <v>0</v>
      </c>
      <c r="J193">
        <f>$AQ$3</f>
        <v>91.25</v>
      </c>
      <c r="K193">
        <v>0.16</v>
      </c>
      <c r="L193">
        <v>0.7</v>
      </c>
      <c r="M193">
        <v>45</v>
      </c>
      <c r="N193">
        <f t="shared" si="31"/>
        <v>0</v>
      </c>
      <c r="O193">
        <f>O191</f>
        <v>1</v>
      </c>
      <c r="P193">
        <f>P191</f>
        <v>0.76</v>
      </c>
      <c r="Q193">
        <f>$AQ$10</f>
        <v>4.7000000000000002E-3</v>
      </c>
      <c r="R193">
        <f>(H193/100)*(MIN(I193,100)/100)</f>
        <v>0</v>
      </c>
      <c r="S193">
        <v>0</v>
      </c>
      <c r="T193">
        <f t="shared" si="32"/>
        <v>0</v>
      </c>
      <c r="U193">
        <f>$AT$1</f>
        <v>1.3</v>
      </c>
      <c r="V193">
        <f>R193*U193+(1-R193)</f>
        <v>1</v>
      </c>
      <c r="W193">
        <f>(0.795*L193)-0.0014</f>
        <v>0.55510000000000004</v>
      </c>
      <c r="X193">
        <v>0.7</v>
      </c>
      <c r="Y193">
        <f t="shared" si="33"/>
        <v>0.62468890114860043</v>
      </c>
      <c r="Z193">
        <f>(104.7*W193+0.307*M193-15)*(M193^0.75)*10^-3</f>
        <v>0.98919258792655118</v>
      </c>
      <c r="AA193">
        <f t="shared" si="34"/>
        <v>0.61793763077617758</v>
      </c>
      <c r="AB193">
        <f>(AA193 * K193) + (0.045 * T193)</f>
        <v>9.8870020924188409E-2</v>
      </c>
      <c r="AC193">
        <f>$AQ$2</f>
        <v>0.08</v>
      </c>
      <c r="AD193">
        <f>(AA193 * ((1 - L193) + (0.04 * AA193))) * ( 1 - AC193 )</f>
        <v>0.18460275258570238</v>
      </c>
      <c r="AE193">
        <f>$AQ$1</f>
        <v>0.19</v>
      </c>
      <c r="AF193">
        <f>$AR$20</f>
        <v>0.6784</v>
      </c>
      <c r="AG193">
        <f>AD193 * AE193 * N193 * P193 * AF193</f>
        <v>0</v>
      </c>
      <c r="AH193">
        <f>AD193*AE193*O193*Q193*AF193</f>
        <v>1.1183441506724749E-4</v>
      </c>
      <c r="AI193">
        <f t="shared" si="35"/>
        <v>1.1183441506724749E-4</v>
      </c>
      <c r="AJ193">
        <f>G193*AI193*J193</f>
        <v>0.66331787436761169</v>
      </c>
    </row>
    <row r="194" spans="5:36" x14ac:dyDescent="0.2">
      <c r="E194" s="13"/>
      <c r="F194" t="s">
        <v>166</v>
      </c>
      <c r="G194">
        <v>80</v>
      </c>
      <c r="H194">
        <v>0</v>
      </c>
      <c r="I194">
        <v>0</v>
      </c>
      <c r="J194">
        <f>$AQ$3</f>
        <v>91.25</v>
      </c>
      <c r="K194">
        <v>0.21</v>
      </c>
      <c r="L194">
        <v>0.76</v>
      </c>
      <c r="M194">
        <v>50</v>
      </c>
      <c r="N194">
        <f t="shared" si="31"/>
        <v>0</v>
      </c>
      <c r="O194">
        <f>O191</f>
        <v>1</v>
      </c>
      <c r="P194">
        <f>P191</f>
        <v>0.76</v>
      </c>
      <c r="Q194">
        <f>$AQ$10</f>
        <v>4.7000000000000002E-3</v>
      </c>
      <c r="R194">
        <f>(H194/100)*(MIN(I194,100)/100)</f>
        <v>0</v>
      </c>
      <c r="S194">
        <v>0</v>
      </c>
      <c r="T194">
        <f t="shared" si="32"/>
        <v>0</v>
      </c>
      <c r="U194">
        <f>$AT$1</f>
        <v>1.3</v>
      </c>
      <c r="V194">
        <f>R194*U194+(1-R194)</f>
        <v>1</v>
      </c>
      <c r="W194">
        <f>(0.795*L194)-0.0014</f>
        <v>0.60280000000000011</v>
      </c>
      <c r="X194">
        <v>1.2</v>
      </c>
      <c r="Y194">
        <f t="shared" si="33"/>
        <v>0.94386523716586623</v>
      </c>
      <c r="Z194">
        <f>(104.7*W194+0.307*M194-15)*(M194^0.75)*10^-3</f>
        <v>1.1932987789651837</v>
      </c>
      <c r="AA194">
        <f t="shared" si="34"/>
        <v>1.1263132350177116</v>
      </c>
      <c r="AB194">
        <f>(AA194 * K194) + (0.045 * T194)</f>
        <v>0.23652577935371943</v>
      </c>
      <c r="AC194">
        <f>$AQ$2</f>
        <v>0.08</v>
      </c>
      <c r="AD194">
        <f>(AA194 * ((1 - L194) + (0.04 * AA194))) * ( 1 - AC194 )</f>
        <v>0.29537376161614987</v>
      </c>
      <c r="AE194">
        <f>$AQ$1</f>
        <v>0.19</v>
      </c>
      <c r="AF194">
        <f>$AR$20</f>
        <v>0.6784</v>
      </c>
      <c r="AG194">
        <f>AD194 * AE194 * N194 * P194 * AF194</f>
        <v>0</v>
      </c>
      <c r="AH194">
        <f>AD194*AE194*O194*Q194*AF194</f>
        <v>1.7894073297319371E-4</v>
      </c>
      <c r="AI194">
        <f t="shared" si="35"/>
        <v>1.7894073297319371E-4</v>
      </c>
      <c r="AJ194">
        <f>G194*AI194*J194</f>
        <v>1.3062673507043141</v>
      </c>
    </row>
    <row r="195" spans="5:36" x14ac:dyDescent="0.2">
      <c r="E195" s="12" t="s">
        <v>171</v>
      </c>
      <c r="F195" t="s">
        <v>163</v>
      </c>
      <c r="G195">
        <v>200</v>
      </c>
      <c r="H195">
        <v>0</v>
      </c>
      <c r="I195">
        <v>0</v>
      </c>
      <c r="J195">
        <f>$AQ$3</f>
        <v>91.25</v>
      </c>
      <c r="K195">
        <v>0.18</v>
      </c>
      <c r="L195">
        <v>0.73</v>
      </c>
      <c r="M195">
        <v>30</v>
      </c>
      <c r="N195">
        <f t="shared" si="31"/>
        <v>0</v>
      </c>
      <c r="O195">
        <f>O191</f>
        <v>1</v>
      </c>
      <c r="P195">
        <f>P191</f>
        <v>0.76</v>
      </c>
      <c r="Q195">
        <f>$AQ$10</f>
        <v>4.7000000000000002E-3</v>
      </c>
      <c r="R195">
        <f>(H195/100)*(MIN(I195,100)/100)</f>
        <v>0</v>
      </c>
      <c r="S195">
        <v>1</v>
      </c>
      <c r="T195">
        <f t="shared" si="32"/>
        <v>1.6</v>
      </c>
      <c r="U195">
        <f>$AT$1</f>
        <v>1.3</v>
      </c>
      <c r="V195">
        <f>R195*U195+(1-R195)</f>
        <v>1</v>
      </c>
      <c r="W195">
        <f>(0.795*L195)-0.0014</f>
        <v>0.57895000000000008</v>
      </c>
      <c r="X195">
        <v>3.5</v>
      </c>
      <c r="Y195">
        <f t="shared" si="33"/>
        <v>0.99999999997710265</v>
      </c>
      <c r="Z195">
        <f>(104.7*W195+0.307*M195-15)*(M195^0.75)*10^-3</f>
        <v>0.70279395559006042</v>
      </c>
      <c r="AA195">
        <f t="shared" si="34"/>
        <v>0.70279395557396829</v>
      </c>
      <c r="AB195">
        <f>(AA195 * K195) + (0.045 * T195)</f>
        <v>0.19850291200331427</v>
      </c>
      <c r="AC195">
        <f>$AQ$2</f>
        <v>0.08</v>
      </c>
      <c r="AD195">
        <f>(AA195 * ((1 - L195) + (0.04 * AA195))) * ( 1 - AC195 )</f>
        <v>0.19275025042345378</v>
      </c>
      <c r="AE195">
        <f>$AQ$1</f>
        <v>0.19</v>
      </c>
      <c r="AF195">
        <f>$AR$20</f>
        <v>0.6784</v>
      </c>
      <c r="AG195">
        <f>AD195 * AE195 * N195 * P195 * AF195</f>
        <v>0</v>
      </c>
      <c r="AH195">
        <f>AD195*AE195*O195*Q195*AF195</f>
        <v>1.1677026050933304E-4</v>
      </c>
      <c r="AI195">
        <f t="shared" si="35"/>
        <v>1.1677026050933304E-4</v>
      </c>
      <c r="AJ195">
        <f>G195*AI195*J195</f>
        <v>2.1310572542953281</v>
      </c>
    </row>
    <row r="196" spans="5:36" x14ac:dyDescent="0.2">
      <c r="E196" s="13"/>
      <c r="F196" t="s">
        <v>164</v>
      </c>
      <c r="G196">
        <v>210</v>
      </c>
      <c r="H196">
        <v>0</v>
      </c>
      <c r="I196">
        <v>0</v>
      </c>
      <c r="J196">
        <f>$AQ$3</f>
        <v>91.25</v>
      </c>
      <c r="K196">
        <v>0.06</v>
      </c>
      <c r="L196">
        <v>0.55000000000000004</v>
      </c>
      <c r="M196">
        <v>30</v>
      </c>
      <c r="N196">
        <f t="shared" si="31"/>
        <v>0</v>
      </c>
      <c r="O196">
        <f>O191</f>
        <v>1</v>
      </c>
      <c r="P196">
        <f>P191</f>
        <v>0.76</v>
      </c>
      <c r="Q196">
        <f>$AQ$10</f>
        <v>4.7000000000000002E-3</v>
      </c>
      <c r="R196">
        <f>(H196/100)*(MIN(I196,100)/100)</f>
        <v>0</v>
      </c>
      <c r="S196">
        <v>0</v>
      </c>
      <c r="T196">
        <f t="shared" si="32"/>
        <v>0</v>
      </c>
      <c r="U196">
        <f>$AT$1</f>
        <v>1.3</v>
      </c>
      <c r="V196">
        <f>R196*U196+(1-R196)</f>
        <v>1</v>
      </c>
      <c r="W196">
        <f>(0.795*L196)-0.0014</f>
        <v>0.43585000000000007</v>
      </c>
      <c r="X196">
        <v>1.5</v>
      </c>
      <c r="Y196">
        <f t="shared" si="33"/>
        <v>0.98889100346175773</v>
      </c>
      <c r="Z196">
        <f>(104.7*W196+0.307*M196-15)*(M196^0.75)*10^-3</f>
        <v>0.5107382310873998</v>
      </c>
      <c r="AA196">
        <f t="shared" si="34"/>
        <v>0.50506444184630195</v>
      </c>
      <c r="AB196">
        <f>(AA196 * K196) + (0.045 * T196)</f>
        <v>3.0303866510778116E-2</v>
      </c>
      <c r="AC196">
        <f>$AQ$2</f>
        <v>0.08</v>
      </c>
      <c r="AD196">
        <f>(AA196 * ((1 - L196) + (0.04 * AA196))) * ( 1 - AC196 )</f>
        <v>0.21848399425173362</v>
      </c>
      <c r="AE196">
        <f>$AQ$1</f>
        <v>0.19</v>
      </c>
      <c r="AF196">
        <f>$AR$20</f>
        <v>0.6784</v>
      </c>
      <c r="AG196">
        <f>AD196 * AE196 * N196 * P196 * AF196</f>
        <v>0</v>
      </c>
      <c r="AH196">
        <f>AD196*AE196*O196*Q196*AF196</f>
        <v>1.3236005073843587E-4</v>
      </c>
      <c r="AI196">
        <f t="shared" si="35"/>
        <v>1.3236005073843587E-4</v>
      </c>
      <c r="AJ196">
        <f>G196*AI196*J196</f>
        <v>2.5363494722752775</v>
      </c>
    </row>
    <row r="197" spans="5:36" x14ac:dyDescent="0.2">
      <c r="E197" s="12"/>
      <c r="F197" t="s">
        <v>165</v>
      </c>
      <c r="G197">
        <v>170</v>
      </c>
      <c r="H197">
        <v>0</v>
      </c>
      <c r="I197">
        <v>0</v>
      </c>
      <c r="J197">
        <f>$AQ$3</f>
        <v>91.25</v>
      </c>
      <c r="K197">
        <v>0.16</v>
      </c>
      <c r="L197">
        <v>0.7</v>
      </c>
      <c r="M197">
        <v>10</v>
      </c>
      <c r="N197">
        <f t="shared" si="31"/>
        <v>0</v>
      </c>
      <c r="O197">
        <f>O191</f>
        <v>1</v>
      </c>
      <c r="P197">
        <f>P191</f>
        <v>0.76</v>
      </c>
      <c r="Q197">
        <f>$AQ$10</f>
        <v>4.7000000000000002E-3</v>
      </c>
      <c r="R197">
        <f>(H197/100)*(MIN(I197,100)/100)</f>
        <v>0</v>
      </c>
      <c r="S197">
        <v>0</v>
      </c>
      <c r="T197">
        <f t="shared" si="32"/>
        <v>0</v>
      </c>
      <c r="U197">
        <f>$AT$1</f>
        <v>1.3</v>
      </c>
      <c r="V197">
        <f>R197*U197+(1-R197)</f>
        <v>1</v>
      </c>
      <c r="W197">
        <f>(0.795*L197)-0.0014</f>
        <v>0.55510000000000004</v>
      </c>
      <c r="X197">
        <v>0.7</v>
      </c>
      <c r="Y197">
        <f t="shared" si="33"/>
        <v>0.62468890114860043</v>
      </c>
      <c r="Z197">
        <f>(104.7*W197+0.307*M197-15)*(M197^0.75)*10^-3</f>
        <v>0.25973966598977283</v>
      </c>
      <c r="AA197">
        <f t="shared" si="34"/>
        <v>0.1622564865318557</v>
      </c>
      <c r="AB197">
        <f>(AA197 * K197) + (0.045 * T197)</f>
        <v>2.5961037845096912E-2</v>
      </c>
      <c r="AC197">
        <f>$AQ$2</f>
        <v>0.08</v>
      </c>
      <c r="AD197">
        <f>(AA197 * ((1 - L197) + (0.04 * AA197))) * ( 1 - AC197 )</f>
        <v>4.575163004390935E-2</v>
      </c>
      <c r="AE197">
        <f>$AQ$1</f>
        <v>0.19</v>
      </c>
      <c r="AF197">
        <f>$AR$20</f>
        <v>0.6784</v>
      </c>
      <c r="AG197">
        <f>AD197 * AE197 * N197 * P197 * AF197</f>
        <v>0</v>
      </c>
      <c r="AH197">
        <f>AD197*AE197*O197*Q197*AF197</f>
        <v>2.7716849898856777E-5</v>
      </c>
      <c r="AI197">
        <f t="shared" si="35"/>
        <v>2.7716849898856777E-5</v>
      </c>
      <c r="AJ197">
        <f>G197*AI197*J197</f>
        <v>0.42995763405601573</v>
      </c>
    </row>
    <row r="198" spans="5:36" x14ac:dyDescent="0.2">
      <c r="E198" s="13"/>
      <c r="F198" t="s">
        <v>166</v>
      </c>
      <c r="G198">
        <v>200</v>
      </c>
      <c r="H198">
        <v>0</v>
      </c>
      <c r="I198">
        <v>0</v>
      </c>
      <c r="J198">
        <f>$AQ$3</f>
        <v>91.25</v>
      </c>
      <c r="K198">
        <v>0.21</v>
      </c>
      <c r="L198">
        <v>0.76</v>
      </c>
      <c r="M198">
        <v>20</v>
      </c>
      <c r="N198">
        <f t="shared" si="31"/>
        <v>0</v>
      </c>
      <c r="O198">
        <f>O191</f>
        <v>1</v>
      </c>
      <c r="P198">
        <f>P191</f>
        <v>0.76</v>
      </c>
      <c r="Q198">
        <f>$AQ$10</f>
        <v>4.7000000000000002E-3</v>
      </c>
      <c r="R198">
        <f>(H198/100)*(MIN(I198,100)/100)</f>
        <v>0</v>
      </c>
      <c r="S198">
        <v>0</v>
      </c>
      <c r="T198">
        <f t="shared" si="32"/>
        <v>0</v>
      </c>
      <c r="U198">
        <f>$AT$1</f>
        <v>1.3</v>
      </c>
      <c r="V198">
        <f>R198*U198+(1-R198)</f>
        <v>1</v>
      </c>
      <c r="W198">
        <f>(0.795*L198)-0.0014</f>
        <v>0.60280000000000011</v>
      </c>
      <c r="X198">
        <v>1.2</v>
      </c>
      <c r="Y198">
        <f t="shared" si="33"/>
        <v>0.94386523716586623</v>
      </c>
      <c r="Z198">
        <f>(104.7*W198+0.307*M198-15)*(M198^0.75)*10^-3</f>
        <v>0.51309470831906745</v>
      </c>
      <c r="AA198">
        <f t="shared" si="34"/>
        <v>0.48429225855612756</v>
      </c>
      <c r="AB198">
        <f>(AA198 * K198) + (0.045 * T198)</f>
        <v>0.10170137429678679</v>
      </c>
      <c r="AC198">
        <f>$AQ$2</f>
        <v>0.08</v>
      </c>
      <c r="AD198">
        <f>(AA198 * ((1 - L198) + (0.04 * AA198))) * ( 1 - AC198 )</f>
        <v>0.11556276558365712</v>
      </c>
      <c r="AE198">
        <f>$AQ$1</f>
        <v>0.19</v>
      </c>
      <c r="AF198">
        <f>$AR$20</f>
        <v>0.6784</v>
      </c>
      <c r="AG198">
        <f>AD198 * AE198 * N198 * P198 * AF198</f>
        <v>0</v>
      </c>
      <c r="AH198">
        <f>AD198*AE198*O198*Q198*AF198</f>
        <v>7.000921769355402E-5</v>
      </c>
      <c r="AI198">
        <f t="shared" si="35"/>
        <v>7.000921769355402E-5</v>
      </c>
      <c r="AJ198">
        <f>G198*AI198*J198</f>
        <v>1.2776682229073608</v>
      </c>
    </row>
    <row r="199" spans="5:36" x14ac:dyDescent="0.2">
      <c r="E199" s="12" t="s">
        <v>168</v>
      </c>
      <c r="F199" t="s">
        <v>163</v>
      </c>
      <c r="G199">
        <v>100</v>
      </c>
      <c r="H199">
        <v>95</v>
      </c>
      <c r="I199">
        <v>92</v>
      </c>
      <c r="J199">
        <f>$AQ$3</f>
        <v>91.25</v>
      </c>
      <c r="K199">
        <v>0.18</v>
      </c>
      <c r="L199">
        <v>0.73</v>
      </c>
      <c r="M199">
        <v>50</v>
      </c>
      <c r="N199">
        <f t="shared" si="31"/>
        <v>0</v>
      </c>
      <c r="O199">
        <f>O191</f>
        <v>1</v>
      </c>
      <c r="P199">
        <f>P191</f>
        <v>0.76</v>
      </c>
      <c r="Q199">
        <f>$AQ$10</f>
        <v>4.7000000000000002E-3</v>
      </c>
      <c r="R199">
        <f>(H199/100)*(MIN(I199,100)/100)</f>
        <v>0.874</v>
      </c>
      <c r="S199">
        <v>0</v>
      </c>
      <c r="T199">
        <f t="shared" si="32"/>
        <v>0</v>
      </c>
      <c r="U199">
        <f>$AT$1</f>
        <v>1.3</v>
      </c>
      <c r="V199">
        <f>R199*U199+(1-R199)</f>
        <v>1.2622</v>
      </c>
      <c r="W199">
        <f>(0.795*L199)-0.0014</f>
        <v>0.57895000000000008</v>
      </c>
      <c r="X199">
        <v>3.5</v>
      </c>
      <c r="Y199">
        <f t="shared" si="33"/>
        <v>0.99999999997710265</v>
      </c>
      <c r="Z199">
        <f>(104.7*W199+0.307*M199-15)*(M199^0.75)*10^-3</f>
        <v>1.1463458630615306</v>
      </c>
      <c r="AA199">
        <f t="shared" si="34"/>
        <v>1.4469177483231332</v>
      </c>
      <c r="AB199">
        <f>(AA199 * K199) + (0.045 * T199)</f>
        <v>0.26044519469816396</v>
      </c>
      <c r="AC199">
        <f>$AQ$2</f>
        <v>0.08</v>
      </c>
      <c r="AD199">
        <f>(AA199 * ((1 - L199) + (0.04 * AA199))) * ( 1 - AC199 )</f>
        <v>0.43645778039464578</v>
      </c>
      <c r="AE199">
        <f>$AQ$1</f>
        <v>0.19</v>
      </c>
      <c r="AF199">
        <f>$AR$20</f>
        <v>0.6784</v>
      </c>
      <c r="AG199">
        <f>AD199 * AE199 * N199 * P199 * AF199</f>
        <v>0</v>
      </c>
      <c r="AH199">
        <f>AD199*AE199*O199*Q199*AF199</f>
        <v>2.6441101169021687E-4</v>
      </c>
      <c r="AI199">
        <f t="shared" si="35"/>
        <v>2.6441101169021687E-4</v>
      </c>
      <c r="AJ199">
        <f>G199*AI199*J199</f>
        <v>2.4127504816732288</v>
      </c>
    </row>
    <row r="200" spans="5:36" x14ac:dyDescent="0.2">
      <c r="E200" s="13"/>
      <c r="F200" t="s">
        <v>164</v>
      </c>
      <c r="G200">
        <v>140</v>
      </c>
      <c r="H200">
        <v>0</v>
      </c>
      <c r="I200">
        <v>0</v>
      </c>
      <c r="J200">
        <f>$AQ$3</f>
        <v>91.25</v>
      </c>
      <c r="K200">
        <v>0.06</v>
      </c>
      <c r="L200">
        <v>0.55000000000000004</v>
      </c>
      <c r="M200">
        <v>45</v>
      </c>
      <c r="N200">
        <f t="shared" si="31"/>
        <v>0</v>
      </c>
      <c r="O200">
        <f>O191</f>
        <v>1</v>
      </c>
      <c r="P200">
        <f>P191</f>
        <v>0.76</v>
      </c>
      <c r="Q200">
        <f>$AQ$10</f>
        <v>4.7000000000000002E-3</v>
      </c>
      <c r="R200">
        <f>(H200/100)*(MIN(I200,100)/100)</f>
        <v>0</v>
      </c>
      <c r="S200">
        <v>0</v>
      </c>
      <c r="T200">
        <f t="shared" si="32"/>
        <v>0</v>
      </c>
      <c r="U200">
        <f>$AT$1</f>
        <v>1.3</v>
      </c>
      <c r="V200">
        <f>R200*U200+(1-R200)</f>
        <v>1</v>
      </c>
      <c r="W200">
        <f>(0.795*L200)-0.0014</f>
        <v>0.43585000000000007</v>
      </c>
      <c r="X200">
        <v>1.5</v>
      </c>
      <c r="Y200">
        <f t="shared" si="33"/>
        <v>0.98889100346175773</v>
      </c>
      <c r="Z200">
        <f>(104.7*W200+0.307*M200-15)*(M200^0.75)*10^-3</f>
        <v>0.77226516609487061</v>
      </c>
      <c r="AA200">
        <f t="shared" si="34"/>
        <v>0.76368607503811758</v>
      </c>
      <c r="AB200">
        <f>(AA200 * K200) + (0.045 * T200)</f>
        <v>4.5821164502287057E-2</v>
      </c>
      <c r="AC200">
        <f>$AQ$2</f>
        <v>0.08</v>
      </c>
      <c r="AD200">
        <f>(AA200 * ((1 - L200) + (0.04 * AA200))) * ( 1 - AC200 )</f>
        <v>0.33762839936620287</v>
      </c>
      <c r="AE200">
        <f>$AQ$1</f>
        <v>0.19</v>
      </c>
      <c r="AF200">
        <f>$AR$20</f>
        <v>0.6784</v>
      </c>
      <c r="AG200">
        <f>AD200 * AE200 * N200 * P200 * AF200</f>
        <v>0</v>
      </c>
      <c r="AH200">
        <f>AD200*AE200*O200*Q200*AF200</f>
        <v>2.0453906577411863E-4</v>
      </c>
      <c r="AI200">
        <f t="shared" si="35"/>
        <v>2.0453906577411863E-4</v>
      </c>
      <c r="AJ200">
        <f>G200*AI200*J200</f>
        <v>2.6129865652643653</v>
      </c>
    </row>
    <row r="201" spans="5:36" x14ac:dyDescent="0.2">
      <c r="E201" s="12"/>
      <c r="F201" t="s">
        <v>165</v>
      </c>
      <c r="G201">
        <v>135</v>
      </c>
      <c r="H201">
        <v>0</v>
      </c>
      <c r="I201">
        <v>0</v>
      </c>
      <c r="J201">
        <f>$AQ$3</f>
        <v>91.25</v>
      </c>
      <c r="K201">
        <v>0.16</v>
      </c>
      <c r="L201">
        <v>0.7</v>
      </c>
      <c r="M201">
        <v>40</v>
      </c>
      <c r="N201">
        <f t="shared" si="31"/>
        <v>0</v>
      </c>
      <c r="O201">
        <f>O191</f>
        <v>1</v>
      </c>
      <c r="P201">
        <f>P191</f>
        <v>0.76</v>
      </c>
      <c r="Q201">
        <f>$AQ$10</f>
        <v>4.7000000000000002E-3</v>
      </c>
      <c r="R201">
        <f>(H201/100)*(MIN(I201,100)/100)</f>
        <v>0</v>
      </c>
      <c r="S201">
        <v>0</v>
      </c>
      <c r="T201">
        <f t="shared" si="32"/>
        <v>0</v>
      </c>
      <c r="U201">
        <f>$AT$1</f>
        <v>1.3</v>
      </c>
      <c r="V201">
        <f>R201*U201+(1-R201)</f>
        <v>1</v>
      </c>
      <c r="W201">
        <f>(0.795*L201)-0.0014</f>
        <v>0.55510000000000004</v>
      </c>
      <c r="X201">
        <v>0.7</v>
      </c>
      <c r="Y201">
        <f t="shared" si="33"/>
        <v>0.62468890114860043</v>
      </c>
      <c r="Z201">
        <f>(104.7*W201+0.307*M201-15)*(M201^0.75)*10^-3</f>
        <v>0.88114358489687972</v>
      </c>
      <c r="AA201">
        <f t="shared" si="34"/>
        <v>0.55044061780337028</v>
      </c>
      <c r="AB201">
        <f>(AA201 * K201) + (0.045 * T201)</f>
        <v>8.807049884853925E-2</v>
      </c>
      <c r="AC201">
        <f>$AQ$2</f>
        <v>0.08</v>
      </c>
      <c r="AD201">
        <f>(AA201 * ((1 - L201) + (0.04 * AA201))) * ( 1 - AC201 )</f>
        <v>0.16307145386691163</v>
      </c>
      <c r="AE201">
        <f>$AQ$1</f>
        <v>0.19</v>
      </c>
      <c r="AF201">
        <f>$AR$20</f>
        <v>0.6784</v>
      </c>
      <c r="AG201">
        <f>AD201 * AE201 * N201 * P201 * AF201</f>
        <v>0</v>
      </c>
      <c r="AH201">
        <f>AD201*AE201*O201*Q201*AF201</f>
        <v>9.8790513152858376E-5</v>
      </c>
      <c r="AI201">
        <f t="shared" si="35"/>
        <v>9.8790513152858376E-5</v>
      </c>
      <c r="AJ201">
        <f>G201*AI201*J201</f>
        <v>1.2169756339017741</v>
      </c>
    </row>
    <row r="202" spans="5:36" x14ac:dyDescent="0.2">
      <c r="E202" s="13"/>
      <c r="F202" t="s">
        <v>166</v>
      </c>
      <c r="G202">
        <v>130</v>
      </c>
      <c r="H202">
        <v>0</v>
      </c>
      <c r="I202">
        <v>0</v>
      </c>
      <c r="J202">
        <f>$AQ$3</f>
        <v>91.25</v>
      </c>
      <c r="K202">
        <v>0.21</v>
      </c>
      <c r="L202">
        <v>0.76</v>
      </c>
      <c r="M202">
        <v>45</v>
      </c>
      <c r="N202">
        <f t="shared" si="31"/>
        <v>0</v>
      </c>
      <c r="O202">
        <f>O191</f>
        <v>1</v>
      </c>
      <c r="P202">
        <f>P191</f>
        <v>0.76</v>
      </c>
      <c r="Q202">
        <f>$AQ$10</f>
        <v>4.7000000000000002E-3</v>
      </c>
      <c r="R202">
        <f>(H202/100)*(MIN(I202,100)/100)</f>
        <v>0</v>
      </c>
      <c r="S202">
        <v>0</v>
      </c>
      <c r="T202">
        <f t="shared" si="32"/>
        <v>0</v>
      </c>
      <c r="U202">
        <f>$AT$1</f>
        <v>1.3</v>
      </c>
      <c r="V202">
        <f>R202*U202+(1-R202)</f>
        <v>1</v>
      </c>
      <c r="W202">
        <f>(0.795*L202)-0.0014</f>
        <v>0.60280000000000011</v>
      </c>
      <c r="X202">
        <v>1.2</v>
      </c>
      <c r="Y202">
        <f t="shared" si="33"/>
        <v>0.94386523716586623</v>
      </c>
      <c r="Z202">
        <f>(104.7*W202+0.307*M202-15)*(M202^0.75)*10^-3</f>
        <v>1.0759635566592238</v>
      </c>
      <c r="AA202">
        <f t="shared" si="34"/>
        <v>1.0155645975879872</v>
      </c>
      <c r="AB202">
        <f>(AA202 * K202) + (0.045 * T202)</f>
        <v>0.21326856549347731</v>
      </c>
      <c r="AC202">
        <f>$AQ$2</f>
        <v>0.08</v>
      </c>
      <c r="AD202">
        <f>(AA202 * ((1 - L202) + (0.04 * AA202))) * ( 1 - AC202 )</f>
        <v>0.26219113257639265</v>
      </c>
      <c r="AE202">
        <f>$AQ$1</f>
        <v>0.19</v>
      </c>
      <c r="AF202">
        <f>$AR$20</f>
        <v>0.6784</v>
      </c>
      <c r="AG202">
        <f>AD202 * AE202 * N202 * P202 * AF202</f>
        <v>0</v>
      </c>
      <c r="AH202">
        <f>AD202*AE202*O202*Q202*AF202</f>
        <v>1.5883832465546355E-4</v>
      </c>
      <c r="AI202">
        <f t="shared" si="35"/>
        <v>1.5883832465546355E-4</v>
      </c>
      <c r="AJ202">
        <f>G202*AI202*J202</f>
        <v>1.8842196262254365</v>
      </c>
    </row>
    <row r="203" spans="5:36" x14ac:dyDescent="0.2">
      <c r="E203" s="12" t="s">
        <v>170</v>
      </c>
      <c r="F203" t="s">
        <v>163</v>
      </c>
      <c r="G203">
        <v>200</v>
      </c>
      <c r="H203">
        <v>0</v>
      </c>
      <c r="I203">
        <v>0</v>
      </c>
      <c r="J203">
        <f>$AQ$3</f>
        <v>91.25</v>
      </c>
      <c r="K203">
        <v>0.18</v>
      </c>
      <c r="L203">
        <v>0.73</v>
      </c>
      <c r="M203">
        <v>55</v>
      </c>
      <c r="N203">
        <f t="shared" si="31"/>
        <v>0</v>
      </c>
      <c r="O203">
        <f>O191</f>
        <v>1</v>
      </c>
      <c r="P203">
        <f>P191</f>
        <v>0.76</v>
      </c>
      <c r="Q203">
        <f>$AQ$10</f>
        <v>4.7000000000000002E-3</v>
      </c>
      <c r="R203">
        <f>(H203/100)*(MIN(I203,100)/100)</f>
        <v>0</v>
      </c>
      <c r="S203">
        <v>0</v>
      </c>
      <c r="T203">
        <f t="shared" si="32"/>
        <v>0</v>
      </c>
      <c r="U203">
        <f>$AT$1</f>
        <v>1.3</v>
      </c>
      <c r="V203">
        <f>R203*U203+(1-R203)</f>
        <v>1</v>
      </c>
      <c r="W203">
        <f>(0.795*L203)-0.0014</f>
        <v>0.57895000000000008</v>
      </c>
      <c r="X203">
        <v>3.5</v>
      </c>
      <c r="Y203">
        <f t="shared" si="33"/>
        <v>0.99999999997710265</v>
      </c>
      <c r="Z203">
        <f>(104.7*W203+0.307*M203-15)*(M203^0.75)*10^-3</f>
        <v>1.2622908518455234</v>
      </c>
      <c r="AA203">
        <f t="shared" si="34"/>
        <v>1.2622908518166203</v>
      </c>
      <c r="AB203">
        <f>(AA203 * K203) + (0.045 * T203)</f>
        <v>0.22721235332699163</v>
      </c>
      <c r="AC203">
        <f>$AQ$2</f>
        <v>0.08</v>
      </c>
      <c r="AD203">
        <f>(AA203 * ((1 - L203) + (0.04 * AA203))) * ( 1 - AC203 )</f>
        <v>0.37218936515178991</v>
      </c>
      <c r="AE203">
        <f>$AQ$1</f>
        <v>0.19</v>
      </c>
      <c r="AF203">
        <f>$AR$20</f>
        <v>0.6784</v>
      </c>
      <c r="AG203">
        <f>AD203 * AE203 * N203 * P203 * AF203</f>
        <v>0</v>
      </c>
      <c r="AH203">
        <f>AD203*AE203*O203*Q203*AF203</f>
        <v>2.2547648592984403E-4</v>
      </c>
      <c r="AI203">
        <f t="shared" si="35"/>
        <v>2.2547648592984403E-4</v>
      </c>
      <c r="AJ203">
        <f>G203*AI203*J203</f>
        <v>4.114945868219654</v>
      </c>
    </row>
    <row r="204" spans="5:36" x14ac:dyDescent="0.2">
      <c r="E204" s="13"/>
      <c r="F204" t="s">
        <v>164</v>
      </c>
      <c r="G204">
        <v>210</v>
      </c>
      <c r="H204">
        <v>0</v>
      </c>
      <c r="I204">
        <v>0</v>
      </c>
      <c r="J204">
        <f>$AQ$3</f>
        <v>91.25</v>
      </c>
      <c r="K204">
        <v>0.06</v>
      </c>
      <c r="L204">
        <v>0.55000000000000004</v>
      </c>
      <c r="M204">
        <v>50</v>
      </c>
      <c r="N204">
        <f t="shared" si="31"/>
        <v>0</v>
      </c>
      <c r="O204">
        <f>O191</f>
        <v>1</v>
      </c>
      <c r="P204">
        <f>P191</f>
        <v>0.76</v>
      </c>
      <c r="Q204">
        <f>$AQ$10</f>
        <v>4.7000000000000002E-3</v>
      </c>
      <c r="R204">
        <f>(H204/100)*(MIN(I204,100)/100)</f>
        <v>0</v>
      </c>
      <c r="S204">
        <v>0</v>
      </c>
      <c r="T204">
        <f t="shared" si="32"/>
        <v>0</v>
      </c>
      <c r="U204">
        <f>$AT$1</f>
        <v>1.3</v>
      </c>
      <c r="V204">
        <f>R204*U204+(1-R204)</f>
        <v>1</v>
      </c>
      <c r="W204">
        <f>(0.795*L204)-0.0014</f>
        <v>0.43585000000000007</v>
      </c>
      <c r="X204">
        <v>1.5</v>
      </c>
      <c r="Y204">
        <f t="shared" si="33"/>
        <v>0.98889100346175773</v>
      </c>
      <c r="Z204">
        <f>(104.7*W204+0.307*M204-15)*(M204^0.75)*10^-3</f>
        <v>0.8646283676396137</v>
      </c>
      <c r="AA204">
        <f t="shared" si="34"/>
        <v>0.85502321409663917</v>
      </c>
      <c r="AB204">
        <f>(AA204 * K204) + (0.045 * T204)</f>
        <v>5.1301392845798349E-2</v>
      </c>
      <c r="AC204">
        <f>$AQ$2</f>
        <v>0.08</v>
      </c>
      <c r="AD204">
        <f>(AA204 * ((1 - L204) + (0.04 * AA204))) * ( 1 - AC204 )</f>
        <v>0.38088279147251325</v>
      </c>
      <c r="AE204">
        <f>$AQ$1</f>
        <v>0.19</v>
      </c>
      <c r="AF204">
        <f>$AR$20</f>
        <v>0.6784</v>
      </c>
      <c r="AG204">
        <f>AD204 * AE204 * N204 * P204 * AF204</f>
        <v>0</v>
      </c>
      <c r="AH204">
        <f>AD204*AE204*O204*Q204*AF204</f>
        <v>2.3074306096131303E-4</v>
      </c>
      <c r="AI204">
        <f t="shared" si="35"/>
        <v>2.3074306096131303E-4</v>
      </c>
      <c r="AJ204">
        <f>G204*AI204*J204</f>
        <v>4.421613905671161</v>
      </c>
    </row>
    <row r="205" spans="5:36" x14ac:dyDescent="0.2">
      <c r="E205" s="12"/>
      <c r="F205" t="s">
        <v>165</v>
      </c>
      <c r="G205">
        <v>190</v>
      </c>
      <c r="H205">
        <v>0</v>
      </c>
      <c r="I205">
        <v>0</v>
      </c>
      <c r="J205">
        <f>$AQ$3</f>
        <v>91.25</v>
      </c>
      <c r="K205">
        <v>0.06</v>
      </c>
      <c r="L205">
        <v>0.5</v>
      </c>
      <c r="M205">
        <v>45</v>
      </c>
      <c r="N205">
        <f t="shared" si="31"/>
        <v>0</v>
      </c>
      <c r="O205">
        <f>O191</f>
        <v>1</v>
      </c>
      <c r="P205">
        <f>P191</f>
        <v>0.76</v>
      </c>
      <c r="Q205">
        <f>$AQ$10</f>
        <v>4.7000000000000002E-3</v>
      </c>
      <c r="R205">
        <f>(H205/100)*(MIN(I205,100)/100)</f>
        <v>0</v>
      </c>
      <c r="S205">
        <v>0</v>
      </c>
      <c r="T205">
        <f t="shared" si="32"/>
        <v>0</v>
      </c>
      <c r="U205">
        <f>$AT$1</f>
        <v>1.3</v>
      </c>
      <c r="V205">
        <f>R205*U205+(1-R205)</f>
        <v>1</v>
      </c>
      <c r="W205">
        <f>(0.795*L205)-0.0014</f>
        <v>0.39610000000000001</v>
      </c>
      <c r="X205">
        <v>0.7</v>
      </c>
      <c r="Y205">
        <f t="shared" si="33"/>
        <v>0.62468890114860043</v>
      </c>
      <c r="Z205">
        <f>(104.7*W205+0.307*M205-15)*(M205^0.75)*10^-3</f>
        <v>0.69995602548431024</v>
      </c>
      <c r="AA205">
        <f t="shared" si="34"/>
        <v>0.43725476041213551</v>
      </c>
      <c r="AB205">
        <f>(AA205 * K205) + (0.045 * T205)</f>
        <v>2.6235285624728131E-2</v>
      </c>
      <c r="AC205">
        <f>$AQ$2</f>
        <v>0.08</v>
      </c>
      <c r="AD205">
        <f>(AA205 * ((1 - L205) + (0.04 * AA205))) * ( 1 - AC205 )</f>
        <v>0.20817304528809549</v>
      </c>
      <c r="AE205">
        <f>$AQ$1</f>
        <v>0.19</v>
      </c>
      <c r="AF205">
        <f>$AR$20</f>
        <v>0.6784</v>
      </c>
      <c r="AG205">
        <f>AD205 * AE205 * N205 * P205 * AF205</f>
        <v>0</v>
      </c>
      <c r="AH205">
        <f>AD205*AE205*O205*Q205*AF205</f>
        <v>1.2611356237363547E-4</v>
      </c>
      <c r="AI205">
        <f t="shared" si="35"/>
        <v>1.2611356237363547E-4</v>
      </c>
      <c r="AJ205">
        <f>G205*AI205*J205</f>
        <v>2.186493887652905</v>
      </c>
    </row>
    <row r="206" spans="5:36" x14ac:dyDescent="0.2">
      <c r="E206" s="13"/>
      <c r="F206" t="s">
        <v>166</v>
      </c>
      <c r="G206">
        <v>180</v>
      </c>
      <c r="H206">
        <v>0</v>
      </c>
      <c r="I206">
        <v>0</v>
      </c>
      <c r="J206">
        <f>$AQ$3</f>
        <v>91.25</v>
      </c>
      <c r="K206">
        <v>0.21</v>
      </c>
      <c r="L206">
        <v>0.76</v>
      </c>
      <c r="M206">
        <v>50</v>
      </c>
      <c r="N206">
        <f t="shared" si="31"/>
        <v>0</v>
      </c>
      <c r="O206">
        <f>O191</f>
        <v>1</v>
      </c>
      <c r="P206">
        <f>P191</f>
        <v>0.76</v>
      </c>
      <c r="Q206">
        <f>$AQ$10</f>
        <v>4.7000000000000002E-3</v>
      </c>
      <c r="R206">
        <f>(H206/100)*(MIN(I206,100)/100)</f>
        <v>0</v>
      </c>
      <c r="S206">
        <v>0</v>
      </c>
      <c r="T206">
        <f t="shared" si="32"/>
        <v>0</v>
      </c>
      <c r="U206">
        <f>$AT$1</f>
        <v>1.3</v>
      </c>
      <c r="V206">
        <f>R206*U206+(1-R206)</f>
        <v>1</v>
      </c>
      <c r="W206">
        <f>(0.795*L206)-0.0014</f>
        <v>0.60280000000000011</v>
      </c>
      <c r="X206">
        <v>1.2</v>
      </c>
      <c r="Y206">
        <f t="shared" si="33"/>
        <v>0.94386523716586623</v>
      </c>
      <c r="Z206">
        <f>(104.7*W206+0.307*M206-15)*(M206^0.75)*10^-3</f>
        <v>1.1932987789651837</v>
      </c>
      <c r="AA206">
        <f t="shared" si="34"/>
        <v>1.1263132350177116</v>
      </c>
      <c r="AB206">
        <f>(AA206 * K206) + (0.045 * T206)</f>
        <v>0.23652577935371943</v>
      </c>
      <c r="AC206">
        <f>$AQ$2</f>
        <v>0.08</v>
      </c>
      <c r="AD206">
        <f>(AA206 * ((1 - L206) + (0.04 * AA206))) * ( 1 - AC206 )</f>
        <v>0.29537376161614987</v>
      </c>
      <c r="AE206">
        <f>$AQ$1</f>
        <v>0.19</v>
      </c>
      <c r="AF206">
        <f>$AR$20</f>
        <v>0.6784</v>
      </c>
      <c r="AG206">
        <f>AD206 * AE206 * N206 * P206 * AF206</f>
        <v>0</v>
      </c>
      <c r="AH206">
        <f>AD206*AE206*O206*Q206*AF206</f>
        <v>1.7894073297319371E-4</v>
      </c>
      <c r="AI206">
        <f t="shared" si="35"/>
        <v>1.7894073297319371E-4</v>
      </c>
      <c r="AJ206">
        <f>G206*AI206*J206</f>
        <v>2.9391015390847066</v>
      </c>
    </row>
    <row r="207" spans="5:36" x14ac:dyDescent="0.2">
      <c r="E207" s="12" t="s">
        <v>162</v>
      </c>
      <c r="F207" t="s">
        <v>163</v>
      </c>
      <c r="G207">
        <v>50</v>
      </c>
      <c r="H207">
        <v>0</v>
      </c>
      <c r="I207">
        <v>0</v>
      </c>
      <c r="J207">
        <f>$AQ$3</f>
        <v>91.25</v>
      </c>
      <c r="K207">
        <v>0.18</v>
      </c>
      <c r="L207">
        <v>0.73</v>
      </c>
      <c r="M207">
        <v>75</v>
      </c>
      <c r="N207">
        <f t="shared" si="31"/>
        <v>0</v>
      </c>
      <c r="O207">
        <f>O191</f>
        <v>1</v>
      </c>
      <c r="P207">
        <f>P191</f>
        <v>0.76</v>
      </c>
      <c r="Q207">
        <f>$AQ$10</f>
        <v>4.7000000000000002E-3</v>
      </c>
      <c r="R207">
        <f>(H207/100)*(MIN(I207,100)/100)</f>
        <v>0</v>
      </c>
      <c r="S207">
        <v>0</v>
      </c>
      <c r="T207">
        <f t="shared" si="32"/>
        <v>0</v>
      </c>
      <c r="U207">
        <f>$AT$1</f>
        <v>1.3</v>
      </c>
      <c r="V207">
        <f>R207*U207+(1-R207)</f>
        <v>1</v>
      </c>
      <c r="W207">
        <f>(0.795*L207)-0.0014</f>
        <v>0.57895000000000008</v>
      </c>
      <c r="X207">
        <v>3.5</v>
      </c>
      <c r="Y207">
        <f t="shared" si="33"/>
        <v>0.99999999997710265</v>
      </c>
      <c r="Z207">
        <f>(104.7*W207+0.307*M207-15)*(M207^0.75)*10^-3</f>
        <v>1.7493630967264082</v>
      </c>
      <c r="AA207">
        <f t="shared" si="34"/>
        <v>1.7493630966863525</v>
      </c>
      <c r="AB207">
        <f>(AA207 * K207) + (0.045 * T207)</f>
        <v>0.31488535740354345</v>
      </c>
      <c r="AC207">
        <f>$AQ$2</f>
        <v>0.08</v>
      </c>
      <c r="AD207">
        <f>(AA207 * ((1 - L207) + (0.04 * AA207))) * ( 1 - AC207 )</f>
        <v>0.54715977499785873</v>
      </c>
      <c r="AE207">
        <f>$AQ$1</f>
        <v>0.19</v>
      </c>
      <c r="AF207">
        <f>$AR$20</f>
        <v>0.6784</v>
      </c>
      <c r="AG207">
        <f>AD207 * AE207 * N207 * P207 * AF207</f>
        <v>0</v>
      </c>
      <c r="AH207">
        <f>AD207*AE207*O207*Q207*AF207</f>
        <v>3.314755198831828E-4</v>
      </c>
      <c r="AI207">
        <f t="shared" si="35"/>
        <v>3.314755198831828E-4</v>
      </c>
      <c r="AJ207">
        <f>G207*AI207*J207</f>
        <v>1.5123570594670215</v>
      </c>
    </row>
    <row r="208" spans="5:36" x14ac:dyDescent="0.2">
      <c r="E208" s="13"/>
      <c r="F208" t="s">
        <v>164</v>
      </c>
      <c r="G208">
        <v>55</v>
      </c>
      <c r="H208">
        <v>0</v>
      </c>
      <c r="I208">
        <v>0</v>
      </c>
      <c r="J208">
        <f>$AQ$3</f>
        <v>91.25</v>
      </c>
      <c r="K208">
        <v>0.06</v>
      </c>
      <c r="L208">
        <v>0.55000000000000004</v>
      </c>
      <c r="M208">
        <v>65</v>
      </c>
      <c r="N208">
        <f t="shared" si="31"/>
        <v>0</v>
      </c>
      <c r="O208">
        <f>O191</f>
        <v>1</v>
      </c>
      <c r="P208">
        <f>P191</f>
        <v>0.76</v>
      </c>
      <c r="Q208">
        <f>$AQ$10</f>
        <v>4.7000000000000002E-3</v>
      </c>
      <c r="R208">
        <f>(H208/100)*(MIN(I208,100)/100)</f>
        <v>0</v>
      </c>
      <c r="S208">
        <v>0</v>
      </c>
      <c r="T208">
        <f t="shared" si="32"/>
        <v>0</v>
      </c>
      <c r="U208">
        <f>$AT$1</f>
        <v>1.3</v>
      </c>
      <c r="V208">
        <f>R208*U208+(1-R208)</f>
        <v>1</v>
      </c>
      <c r="W208">
        <f>(0.795*L208)-0.0014</f>
        <v>0.43585000000000007</v>
      </c>
      <c r="X208">
        <v>1.5</v>
      </c>
      <c r="Y208">
        <f t="shared" si="33"/>
        <v>0.98889100346175773</v>
      </c>
      <c r="Z208">
        <f>(104.7*W208+0.307*M208-15)*(M208^0.75)*10^-3</f>
        <v>1.1580752413958724</v>
      </c>
      <c r="AA208">
        <f t="shared" si="34"/>
        <v>1.1452101875481815</v>
      </c>
      <c r="AB208">
        <f>(AA208 * K208) + (0.045 * T208)</f>
        <v>6.8712611252890882E-2</v>
      </c>
      <c r="AC208">
        <f>$AQ$2</f>
        <v>0.08</v>
      </c>
      <c r="AD208">
        <f>(AA208 * ((1 - L208) + (0.04 * AA208))) * ( 1 - AC208 )</f>
        <v>0.52238045219578755</v>
      </c>
      <c r="AE208">
        <f>$AQ$1</f>
        <v>0.19</v>
      </c>
      <c r="AF208">
        <f>$AR$20</f>
        <v>0.6784</v>
      </c>
      <c r="AG208">
        <f>AD208 * AE208 * N208 * P208 * AF208</f>
        <v>0</v>
      </c>
      <c r="AH208">
        <f>AD208*AE208*O208*Q208*AF208</f>
        <v>3.1646392860127271E-4</v>
      </c>
      <c r="AI208">
        <f t="shared" si="35"/>
        <v>3.1646392860127271E-4</v>
      </c>
      <c r="AJ208">
        <f>G208*AI208*J208</f>
        <v>1.5882533416676372</v>
      </c>
    </row>
    <row r="209" spans="5:36" x14ac:dyDescent="0.2">
      <c r="E209" s="12"/>
      <c r="F209" t="s">
        <v>165</v>
      </c>
      <c r="G209">
        <v>60</v>
      </c>
      <c r="H209">
        <v>0</v>
      </c>
      <c r="I209">
        <v>0</v>
      </c>
      <c r="J209">
        <f>$AQ$3</f>
        <v>91.25</v>
      </c>
      <c r="K209">
        <v>0.06</v>
      </c>
      <c r="L209">
        <v>0.5</v>
      </c>
      <c r="M209">
        <v>65</v>
      </c>
      <c r="N209">
        <f t="shared" si="31"/>
        <v>0</v>
      </c>
      <c r="O209">
        <f>O191</f>
        <v>1</v>
      </c>
      <c r="P209">
        <f>P191</f>
        <v>0.76</v>
      </c>
      <c r="Q209">
        <f>$AQ$10</f>
        <v>4.7000000000000002E-3</v>
      </c>
      <c r="R209">
        <f>(H209/100)*(MIN(I209,100)/100)</f>
        <v>0</v>
      </c>
      <c r="S209">
        <v>0</v>
      </c>
      <c r="T209">
        <f t="shared" si="32"/>
        <v>0</v>
      </c>
      <c r="U209">
        <f>$AT$1</f>
        <v>1.3</v>
      </c>
      <c r="V209">
        <f>R209*U209+(1-R209)</f>
        <v>1</v>
      </c>
      <c r="W209">
        <f>(0.795*L209)-0.0014</f>
        <v>0.39610000000000001</v>
      </c>
      <c r="X209">
        <v>0.7</v>
      </c>
      <c r="Y209">
        <f t="shared" si="33"/>
        <v>0.62468890114860043</v>
      </c>
      <c r="Z209">
        <f>(104.7*W209+0.307*M209-15)*(M209^0.75)*10^-3</f>
        <v>1.0628024626440558</v>
      </c>
      <c r="AA209">
        <f t="shared" si="34"/>
        <v>0.66392090252714164</v>
      </c>
      <c r="AB209">
        <f>(AA209 * K209) + (0.045 * T209)</f>
        <v>3.9835254151628495E-2</v>
      </c>
      <c r="AC209">
        <f>$AQ$2</f>
        <v>0.08</v>
      </c>
      <c r="AD209">
        <f>(AA209 * ((1 - L209) + (0.04 * AA209))) * ( 1 - AC209 )</f>
        <v>0.32162472266758352</v>
      </c>
      <c r="AE209">
        <f>$AQ$1</f>
        <v>0.19</v>
      </c>
      <c r="AF209">
        <f>$AR$20</f>
        <v>0.6784</v>
      </c>
      <c r="AG209">
        <f>AD209 * AE209 * N209 * P209 * AF209</f>
        <v>0</v>
      </c>
      <c r="AH209">
        <f>AD209*AE209*O209*Q209*AF209</f>
        <v>1.9484385918891597E-4</v>
      </c>
      <c r="AI209">
        <f t="shared" si="35"/>
        <v>1.9484385918891597E-4</v>
      </c>
      <c r="AJ209">
        <f>G209*AI209*J209</f>
        <v>1.066770129059315</v>
      </c>
    </row>
    <row r="210" spans="5:36" x14ac:dyDescent="0.2">
      <c r="E210" s="13"/>
      <c r="F210" t="s">
        <v>166</v>
      </c>
      <c r="G210">
        <v>65</v>
      </c>
      <c r="H210">
        <v>0</v>
      </c>
      <c r="I210">
        <v>0</v>
      </c>
      <c r="J210">
        <f>$AQ$3</f>
        <v>91.25</v>
      </c>
      <c r="K210">
        <v>0.21</v>
      </c>
      <c r="L210">
        <v>0.76</v>
      </c>
      <c r="M210">
        <v>65</v>
      </c>
      <c r="N210">
        <f t="shared" si="31"/>
        <v>0</v>
      </c>
      <c r="O210">
        <f>O191</f>
        <v>1</v>
      </c>
      <c r="P210">
        <f>P191</f>
        <v>0.76</v>
      </c>
      <c r="Q210">
        <f>$AQ$10</f>
        <v>4.7000000000000002E-3</v>
      </c>
      <c r="R210">
        <f>(H210/100)*(MIN(I210,100)/100)</f>
        <v>0</v>
      </c>
      <c r="S210">
        <v>0</v>
      </c>
      <c r="T210">
        <f t="shared" si="32"/>
        <v>0</v>
      </c>
      <c r="U210">
        <f>$AT$1</f>
        <v>1.3</v>
      </c>
      <c r="V210">
        <f>R210*U210+(1-R210)</f>
        <v>1</v>
      </c>
      <c r="W210">
        <f>(0.795*L210)-0.0014</f>
        <v>0.60280000000000011</v>
      </c>
      <c r="X210">
        <v>1.2</v>
      </c>
      <c r="Y210">
        <f t="shared" si="33"/>
        <v>0.94386523716586623</v>
      </c>
      <c r="Z210">
        <f>(104.7*W210+0.307*M210-15)*(M210^0.75)*10^-3</f>
        <v>1.5582209121535018</v>
      </c>
      <c r="AA210">
        <f t="shared" si="34"/>
        <v>1.4707505508065775</v>
      </c>
      <c r="AB210">
        <f>(AA210 * K210) + (0.045 * T210)</f>
        <v>0.30885761566938125</v>
      </c>
      <c r="AC210">
        <f>$AQ$2</f>
        <v>0.08</v>
      </c>
      <c r="AD210">
        <f>(AA210 * ((1 - L210) + (0.04 * AA210))) * ( 1 - AC210 )</f>
        <v>0.40434406594137329</v>
      </c>
      <c r="AE210">
        <f>$AQ$1</f>
        <v>0.19</v>
      </c>
      <c r="AF210">
        <f>$AR$20</f>
        <v>0.6784</v>
      </c>
      <c r="AG210">
        <f>AD210 * AE210 * N210 * P210 * AF210</f>
        <v>0</v>
      </c>
      <c r="AH210">
        <f>AD210*AE210*O210*Q210*AF210</f>
        <v>2.4495616380082252E-4</v>
      </c>
      <c r="AI210">
        <f t="shared" si="35"/>
        <v>2.4495616380082252E-4</v>
      </c>
      <c r="AJ210">
        <f>G210*AI210*J210</f>
        <v>1.4528962465436284</v>
      </c>
    </row>
    <row r="211" spans="5:36" x14ac:dyDescent="0.2">
      <c r="E211" s="12" t="s">
        <v>167</v>
      </c>
      <c r="F211" t="s">
        <v>163</v>
      </c>
      <c r="G211">
        <v>50</v>
      </c>
      <c r="H211">
        <v>0</v>
      </c>
      <c r="I211">
        <v>0</v>
      </c>
      <c r="J211">
        <f>$AQ$3</f>
        <v>91.25</v>
      </c>
      <c r="K211">
        <v>0.18</v>
      </c>
      <c r="L211">
        <v>0.73</v>
      </c>
      <c r="M211">
        <v>60</v>
      </c>
      <c r="N211">
        <f t="shared" si="31"/>
        <v>0</v>
      </c>
      <c r="O211">
        <f>O191</f>
        <v>1</v>
      </c>
      <c r="P211">
        <f>P191</f>
        <v>0.76</v>
      </c>
      <c r="Q211">
        <f>$AQ$10</f>
        <v>4.7000000000000002E-3</v>
      </c>
      <c r="R211">
        <f>(H211/100)*(MIN(I211,100)/100)</f>
        <v>0</v>
      </c>
      <c r="S211">
        <v>0</v>
      </c>
      <c r="T211">
        <f t="shared" si="32"/>
        <v>0</v>
      </c>
      <c r="U211">
        <f>$AT$1</f>
        <v>1.3</v>
      </c>
      <c r="V211">
        <f>R211*U211+(1-R211)</f>
        <v>1</v>
      </c>
      <c r="W211">
        <f>(0.795*L211)-0.0014</f>
        <v>0.57895000000000008</v>
      </c>
      <c r="X211">
        <v>3.5</v>
      </c>
      <c r="Y211">
        <f t="shared" si="33"/>
        <v>0.99999999997710265</v>
      </c>
      <c r="Z211">
        <f>(104.7*W211+0.307*M211-15)*(M211^0.75)*10^-3</f>
        <v>1.3805052881061199</v>
      </c>
      <c r="AA211">
        <f t="shared" si="34"/>
        <v>1.3805052880745101</v>
      </c>
      <c r="AB211">
        <f>(AA211 * K211) + (0.045 * T211)</f>
        <v>0.2484909518534118</v>
      </c>
      <c r="AC211">
        <f>$AQ$2</f>
        <v>0.08</v>
      </c>
      <c r="AD211">
        <f>(AA211 * ((1 - L211) + (0.04 * AA211))) * ( 1 - AC211 )</f>
        <v>0.41305076405249036</v>
      </c>
      <c r="AE211">
        <f>$AQ$1</f>
        <v>0.19</v>
      </c>
      <c r="AF211">
        <f>$AR$20</f>
        <v>0.6784</v>
      </c>
      <c r="AG211">
        <f>AD211 * AE211 * N211 * P211 * AF211</f>
        <v>0</v>
      </c>
      <c r="AH211">
        <f>AD211*AE211*O211*Q211*AF211</f>
        <v>2.5023077903155606E-4</v>
      </c>
      <c r="AI211">
        <f t="shared" si="35"/>
        <v>2.5023077903155606E-4</v>
      </c>
      <c r="AJ211">
        <f>G211*AI211*J211</f>
        <v>1.1416779293314745</v>
      </c>
    </row>
    <row r="212" spans="5:36" x14ac:dyDescent="0.2">
      <c r="E212" s="13"/>
      <c r="F212" t="s">
        <v>164</v>
      </c>
      <c r="G212">
        <v>100</v>
      </c>
      <c r="H212">
        <v>0</v>
      </c>
      <c r="I212">
        <v>0</v>
      </c>
      <c r="J212">
        <f>$AQ$3</f>
        <v>91.25</v>
      </c>
      <c r="K212">
        <v>0.06</v>
      </c>
      <c r="L212">
        <v>0.55000000000000004</v>
      </c>
      <c r="M212">
        <v>55</v>
      </c>
      <c r="N212">
        <f t="shared" si="31"/>
        <v>0</v>
      </c>
      <c r="O212">
        <f>O191</f>
        <v>1</v>
      </c>
      <c r="P212">
        <f>P191</f>
        <v>0.76</v>
      </c>
      <c r="Q212">
        <f>$AQ$10</f>
        <v>4.7000000000000002E-3</v>
      </c>
      <c r="R212">
        <f>(H212/100)*(MIN(I212,100)/100)</f>
        <v>0</v>
      </c>
      <c r="S212">
        <v>0</v>
      </c>
      <c r="T212">
        <f t="shared" si="32"/>
        <v>0</v>
      </c>
      <c r="U212">
        <f>$AT$1</f>
        <v>1.3</v>
      </c>
      <c r="V212">
        <f>R212*U212+(1-R212)</f>
        <v>1</v>
      </c>
      <c r="W212">
        <f>(0.795*L212)-0.0014</f>
        <v>0.43585000000000007</v>
      </c>
      <c r="X212">
        <v>1.5</v>
      </c>
      <c r="Y212">
        <f t="shared" si="33"/>
        <v>0.98889100346175773</v>
      </c>
      <c r="Z212">
        <f>(104.7*W212+0.307*M212-15)*(M212^0.75)*10^-3</f>
        <v>0.95969823125361531</v>
      </c>
      <c r="AA212">
        <f t="shared" si="34"/>
        <v>0.94903694692486162</v>
      </c>
      <c r="AB212">
        <f>(AA212 * K212) + (0.045 * T212)</f>
        <v>5.6942216815491692E-2</v>
      </c>
      <c r="AC212">
        <f>$AQ$2</f>
        <v>0.08</v>
      </c>
      <c r="AD212">
        <f>(AA212 * ((1 - L212) + (0.04 * AA212))) * ( 1 - AC212 )</f>
        <v>0.4260459934868201</v>
      </c>
      <c r="AE212">
        <f>$AQ$1</f>
        <v>0.19</v>
      </c>
      <c r="AF212">
        <f>$AR$20</f>
        <v>0.6784</v>
      </c>
      <c r="AG212">
        <f>AD212 * AE212 * N212 * P212 * AF212</f>
        <v>0</v>
      </c>
      <c r="AH212">
        <f>AD212*AE212*O212*Q212*AF212</f>
        <v>2.5810343456944269E-4</v>
      </c>
      <c r="AI212">
        <f t="shared" si="35"/>
        <v>2.5810343456944269E-4</v>
      </c>
      <c r="AJ212">
        <f>G212*AI212*J212</f>
        <v>2.3551938404461645</v>
      </c>
    </row>
    <row r="213" spans="5:36" x14ac:dyDescent="0.2">
      <c r="E213" s="12"/>
      <c r="F213" t="s">
        <v>165</v>
      </c>
      <c r="G213">
        <v>90</v>
      </c>
      <c r="H213">
        <v>0</v>
      </c>
      <c r="I213">
        <v>0</v>
      </c>
      <c r="J213">
        <f>$AQ$3</f>
        <v>91.25</v>
      </c>
      <c r="K213">
        <v>0.06</v>
      </c>
      <c r="L213">
        <v>0.5</v>
      </c>
      <c r="M213">
        <v>48</v>
      </c>
      <c r="N213">
        <f t="shared" si="31"/>
        <v>0</v>
      </c>
      <c r="O213">
        <f>O191</f>
        <v>1</v>
      </c>
      <c r="P213">
        <f>P191</f>
        <v>0.76</v>
      </c>
      <c r="Q213">
        <f>$AQ$10</f>
        <v>4.7000000000000002E-3</v>
      </c>
      <c r="R213">
        <f>(H213/100)*(MIN(I213,100)/100)</f>
        <v>0</v>
      </c>
      <c r="S213">
        <v>0</v>
      </c>
      <c r="T213">
        <f t="shared" si="32"/>
        <v>0</v>
      </c>
      <c r="U213">
        <f>$AT$1</f>
        <v>1.3</v>
      </c>
      <c r="V213">
        <f>R213*U213+(1-R213)</f>
        <v>1</v>
      </c>
      <c r="W213">
        <f>(0.795*L213)-0.0014</f>
        <v>0.39610000000000001</v>
      </c>
      <c r="X213">
        <v>0.7</v>
      </c>
      <c r="Y213">
        <f t="shared" si="33"/>
        <v>0.62468890114860043</v>
      </c>
      <c r="Z213">
        <f>(104.7*W213+0.307*M213-15)*(M213^0.75)*10^-3</f>
        <v>0.75146539652530986</v>
      </c>
      <c r="AA213">
        <f t="shared" si="34"/>
        <v>0.46943209280659309</v>
      </c>
      <c r="AB213">
        <f>(AA213 * K213) + (0.045 * T213)</f>
        <v>2.8165925568395585E-2</v>
      </c>
      <c r="AC213">
        <f>$AQ$2</f>
        <v>0.08</v>
      </c>
      <c r="AD213">
        <f>(AA213 * ((1 - L213) + (0.04 * AA213))) * ( 1 - AC213 )</f>
        <v>0.22404824951408225</v>
      </c>
      <c r="AE213">
        <f>$AQ$1</f>
        <v>0.19</v>
      </c>
      <c r="AF213">
        <f>$AR$20</f>
        <v>0.6784</v>
      </c>
      <c r="AG213">
        <f>AD213 * AE213 * N213 * P213 * AF213</f>
        <v>0</v>
      </c>
      <c r="AH213">
        <f>AD213*AE213*O213*Q213*AF213</f>
        <v>1.357309388960256E-4</v>
      </c>
      <c r="AI213">
        <f t="shared" si="35"/>
        <v>1.357309388960256E-4</v>
      </c>
      <c r="AJ213">
        <f>G213*AI213*J213</f>
        <v>1.1146903356836102</v>
      </c>
    </row>
    <row r="214" spans="5:36" x14ac:dyDescent="0.2">
      <c r="E214" s="13"/>
      <c r="F214" t="s">
        <v>166</v>
      </c>
      <c r="G214">
        <v>80</v>
      </c>
      <c r="H214">
        <v>0</v>
      </c>
      <c r="I214">
        <v>0</v>
      </c>
      <c r="J214">
        <f>$AQ$3</f>
        <v>91.25</v>
      </c>
      <c r="K214">
        <v>0.21</v>
      </c>
      <c r="L214">
        <v>0.76</v>
      </c>
      <c r="M214">
        <v>48</v>
      </c>
      <c r="N214">
        <f t="shared" si="31"/>
        <v>0</v>
      </c>
      <c r="O214">
        <f>O191</f>
        <v>1</v>
      </c>
      <c r="P214">
        <f>P191</f>
        <v>0.76</v>
      </c>
      <c r="Q214">
        <f>$AQ$10</f>
        <v>4.7000000000000002E-3</v>
      </c>
      <c r="R214">
        <f>(H214/100)*(MIN(I214,100)/100)</f>
        <v>0</v>
      </c>
      <c r="S214">
        <v>0</v>
      </c>
      <c r="T214">
        <f t="shared" si="32"/>
        <v>0</v>
      </c>
      <c r="U214">
        <f>$AT$1</f>
        <v>1.3</v>
      </c>
      <c r="V214">
        <f>R214*U214+(1-R214)</f>
        <v>1</v>
      </c>
      <c r="W214">
        <f>(0.795*L214)-0.0014</f>
        <v>0.60280000000000011</v>
      </c>
      <c r="X214">
        <v>1.2</v>
      </c>
      <c r="Y214">
        <f t="shared" si="33"/>
        <v>0.94386523716586623</v>
      </c>
      <c r="Z214">
        <f>(104.7*W214+0.307*M214-15)*(M214^0.75)*10^-3</f>
        <v>1.1461208299494401</v>
      </c>
      <c r="AA214">
        <f t="shared" si="34"/>
        <v>1.0817836089809678</v>
      </c>
      <c r="AB214">
        <f>(AA214 * K214) + (0.045 * T214)</f>
        <v>0.22717455788600324</v>
      </c>
      <c r="AC214">
        <f>$AQ$2</f>
        <v>0.08</v>
      </c>
      <c r="AD214">
        <f>(AA214 * ((1 - L214) + (0.04 * AA214))) * ( 1 - AC214 )</f>
        <v>0.2819232334440816</v>
      </c>
      <c r="AE214">
        <f>$AQ$1</f>
        <v>0.19</v>
      </c>
      <c r="AF214">
        <f>$AR$20</f>
        <v>0.6784</v>
      </c>
      <c r="AG214">
        <f>AD214 * AE214 * N214 * P214 * AF214</f>
        <v>0</v>
      </c>
      <c r="AH214">
        <f>AD214*AE214*O214*Q214*AF214</f>
        <v>1.7079225236063924E-4</v>
      </c>
      <c r="AI214">
        <f t="shared" si="35"/>
        <v>1.7079225236063924E-4</v>
      </c>
      <c r="AJ214">
        <f>G214*AI214*J214</f>
        <v>1.2467834422326665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O190"/>
  <sheetViews>
    <sheetView topLeftCell="BN130" workbookViewId="0">
      <selection activeCell="BY163" sqref="BY163"/>
    </sheetView>
  </sheetViews>
  <sheetFormatPr baseColWidth="10" defaultRowHeight="16" x14ac:dyDescent="0.2"/>
  <cols>
    <col min="4" max="7" width="16.83203125" customWidth="1"/>
    <col min="8" max="8" width="13.5" customWidth="1"/>
    <col min="10" max="10" width="11.83203125" customWidth="1"/>
    <col min="11" max="11" width="13.1640625" customWidth="1"/>
    <col min="38" max="38" width="17.83203125" customWidth="1"/>
    <col min="48" max="48" width="16.83203125" customWidth="1"/>
    <col min="62" max="62" width="17.83203125" customWidth="1"/>
    <col min="69" max="69" width="11" customWidth="1"/>
    <col min="70" max="70" width="35.83203125" bestFit="1" customWidth="1"/>
    <col min="71" max="74" width="11" customWidth="1"/>
    <col min="75" max="75" width="9.6640625" bestFit="1" customWidth="1"/>
    <col min="76" max="76" width="16.5" bestFit="1" customWidth="1"/>
    <col min="77" max="77" width="11.6640625" bestFit="1" customWidth="1"/>
    <col min="78" max="78" width="13.5" bestFit="1" customWidth="1"/>
    <col min="79" max="79" width="16.1640625" bestFit="1" customWidth="1"/>
    <col min="80" max="80" width="11.6640625" bestFit="1" customWidth="1"/>
    <col min="81" max="81" width="10.1640625" bestFit="1" customWidth="1"/>
    <col min="82" max="82" width="18.5" bestFit="1" customWidth="1"/>
    <col min="83" max="83" width="14.33203125" bestFit="1" customWidth="1"/>
    <col min="86" max="90" width="12" customWidth="1"/>
    <col min="91" max="93" width="11" customWidth="1"/>
  </cols>
  <sheetData>
    <row r="1" spans="1:93" x14ac:dyDescent="0.2">
      <c r="M1" t="s">
        <v>238</v>
      </c>
      <c r="N1" t="s">
        <v>238</v>
      </c>
      <c r="AC1" t="s">
        <v>239</v>
      </c>
      <c r="AP1" t="s">
        <v>238</v>
      </c>
      <c r="AS1" t="s">
        <v>238</v>
      </c>
      <c r="AT1" t="s">
        <v>238</v>
      </c>
      <c r="AU1" t="s">
        <v>256</v>
      </c>
      <c r="BQ1">
        <v>1084</v>
      </c>
      <c r="BR1" t="s">
        <v>257</v>
      </c>
      <c r="BS1">
        <v>0.24</v>
      </c>
      <c r="BU1" t="s">
        <v>265</v>
      </c>
      <c r="BV1">
        <v>1.3</v>
      </c>
    </row>
    <row r="2" spans="1:93" x14ac:dyDescent="0.2">
      <c r="AD2" t="s">
        <v>2</v>
      </c>
      <c r="AE2" t="s">
        <v>3</v>
      </c>
      <c r="AF2" t="s">
        <v>4</v>
      </c>
      <c r="AH2" t="s">
        <v>5</v>
      </c>
      <c r="AJ2" t="s">
        <v>6</v>
      </c>
      <c r="AK2" t="s">
        <v>8</v>
      </c>
      <c r="AL2" t="s">
        <v>9</v>
      </c>
      <c r="AV2" t="s">
        <v>7</v>
      </c>
      <c r="AX2" t="s">
        <v>11</v>
      </c>
      <c r="BA2" t="s">
        <v>12</v>
      </c>
      <c r="BC2" t="s">
        <v>12</v>
      </c>
      <c r="BD2" t="s">
        <v>13</v>
      </c>
      <c r="BF2" t="s">
        <v>10</v>
      </c>
      <c r="BH2" t="s">
        <v>1</v>
      </c>
      <c r="BI2" t="s">
        <v>0</v>
      </c>
      <c r="BJ2" t="s">
        <v>14</v>
      </c>
      <c r="BK2" t="s">
        <v>15</v>
      </c>
      <c r="BL2" t="s">
        <v>16</v>
      </c>
      <c r="BQ2">
        <v>1087</v>
      </c>
      <c r="BR2" t="s">
        <v>152</v>
      </c>
      <c r="BS2">
        <v>0.08</v>
      </c>
    </row>
    <row r="3" spans="1:93" x14ac:dyDescent="0.2">
      <c r="J3" t="s">
        <v>17</v>
      </c>
      <c r="K3" t="s">
        <v>18</v>
      </c>
      <c r="L3" t="s">
        <v>19</v>
      </c>
      <c r="M3">
        <v>342</v>
      </c>
      <c r="N3">
        <v>323</v>
      </c>
      <c r="O3" t="s">
        <v>20</v>
      </c>
      <c r="P3" t="s">
        <v>21</v>
      </c>
      <c r="Q3" t="s">
        <v>22</v>
      </c>
      <c r="R3" t="s">
        <v>23</v>
      </c>
      <c r="S3" t="s">
        <v>24</v>
      </c>
      <c r="U3" t="s">
        <v>51</v>
      </c>
      <c r="W3" t="s">
        <v>25</v>
      </c>
      <c r="X3" t="s">
        <v>26</v>
      </c>
      <c r="Y3" t="s">
        <v>27</v>
      </c>
      <c r="Z3" t="s">
        <v>29</v>
      </c>
      <c r="AA3" t="s">
        <v>30</v>
      </c>
      <c r="AB3" t="s">
        <v>32</v>
      </c>
      <c r="AC3" t="s">
        <v>33</v>
      </c>
      <c r="AD3" t="s">
        <v>34</v>
      </c>
      <c r="AE3" t="s">
        <v>35</v>
      </c>
      <c r="AF3" t="s">
        <v>36</v>
      </c>
      <c r="AG3" t="s">
        <v>37</v>
      </c>
      <c r="AH3" t="s">
        <v>38</v>
      </c>
      <c r="AI3" t="s">
        <v>39</v>
      </c>
      <c r="AJ3" t="s">
        <v>40</v>
      </c>
      <c r="AK3" t="s">
        <v>42</v>
      </c>
      <c r="AL3" t="s">
        <v>43</v>
      </c>
      <c r="AM3" t="s">
        <v>45</v>
      </c>
      <c r="AN3" t="s">
        <v>46</v>
      </c>
      <c r="AO3">
        <v>351</v>
      </c>
      <c r="AP3">
        <v>314</v>
      </c>
      <c r="AQ3">
        <v>302</v>
      </c>
      <c r="AR3">
        <v>349</v>
      </c>
      <c r="AS3">
        <v>308</v>
      </c>
      <c r="AT3">
        <v>296</v>
      </c>
      <c r="AU3" t="s">
        <v>47</v>
      </c>
      <c r="AV3" t="s">
        <v>41</v>
      </c>
      <c r="AW3" t="s">
        <v>48</v>
      </c>
      <c r="AX3" t="s">
        <v>49</v>
      </c>
      <c r="AY3" t="s">
        <v>50</v>
      </c>
      <c r="AZ3" t="s">
        <v>52</v>
      </c>
      <c r="BA3" t="s">
        <v>53</v>
      </c>
      <c r="BC3" t="s">
        <v>53</v>
      </c>
      <c r="BD3" t="s">
        <v>54</v>
      </c>
      <c r="BF3" t="s">
        <v>44</v>
      </c>
      <c r="BH3" t="s">
        <v>31</v>
      </c>
      <c r="BI3" t="s">
        <v>28</v>
      </c>
      <c r="BJ3" t="s">
        <v>55</v>
      </c>
      <c r="BK3" t="s">
        <v>56</v>
      </c>
      <c r="BL3" t="s">
        <v>57</v>
      </c>
      <c r="BR3" t="s">
        <v>125</v>
      </c>
      <c r="BS3">
        <v>91.25</v>
      </c>
    </row>
    <row r="4" spans="1:93" x14ac:dyDescent="0.2">
      <c r="J4" t="s">
        <v>58</v>
      </c>
      <c r="K4" t="s">
        <v>58</v>
      </c>
      <c r="L4" t="s">
        <v>58</v>
      </c>
      <c r="O4" t="s">
        <v>59</v>
      </c>
      <c r="P4" t="s">
        <v>59</v>
      </c>
      <c r="Q4" t="s">
        <v>59</v>
      </c>
      <c r="R4" t="s">
        <v>59</v>
      </c>
      <c r="S4" t="s">
        <v>59</v>
      </c>
      <c r="U4" t="s">
        <v>59</v>
      </c>
      <c r="W4" t="s">
        <v>59</v>
      </c>
      <c r="X4" t="s">
        <v>59</v>
      </c>
      <c r="Y4" t="s">
        <v>59</v>
      </c>
      <c r="Z4" t="s">
        <v>59</v>
      </c>
      <c r="AA4" t="s">
        <v>59</v>
      </c>
      <c r="AB4" t="s">
        <v>59</v>
      </c>
      <c r="AC4" t="s">
        <v>59</v>
      </c>
      <c r="AD4" t="s">
        <v>60</v>
      </c>
      <c r="AE4" t="s">
        <v>60</v>
      </c>
      <c r="AF4" t="s">
        <v>60</v>
      </c>
      <c r="AG4" t="s">
        <v>59</v>
      </c>
      <c r="AH4" t="s">
        <v>60</v>
      </c>
      <c r="AI4" t="s">
        <v>60</v>
      </c>
      <c r="AJ4" t="s">
        <v>60</v>
      </c>
      <c r="AK4" t="s">
        <v>60</v>
      </c>
      <c r="AL4" t="s">
        <v>60</v>
      </c>
      <c r="AM4" t="s">
        <v>59</v>
      </c>
      <c r="AN4" t="s">
        <v>59</v>
      </c>
      <c r="AO4" t="s">
        <v>59</v>
      </c>
      <c r="AP4" t="s">
        <v>60</v>
      </c>
      <c r="AQ4" t="s">
        <v>60</v>
      </c>
      <c r="AR4" t="s">
        <v>59</v>
      </c>
      <c r="AS4" t="s">
        <v>60</v>
      </c>
      <c r="AT4" t="s">
        <v>60</v>
      </c>
      <c r="AU4" t="s">
        <v>60</v>
      </c>
      <c r="AV4" t="s">
        <v>60</v>
      </c>
      <c r="AW4" t="s">
        <v>59</v>
      </c>
      <c r="AX4" t="s">
        <v>60</v>
      </c>
      <c r="AY4" t="s">
        <v>59</v>
      </c>
      <c r="AZ4" t="s">
        <v>59</v>
      </c>
      <c r="BA4" t="s">
        <v>60</v>
      </c>
      <c r="BC4" t="s">
        <v>60</v>
      </c>
      <c r="BD4" t="s">
        <v>60</v>
      </c>
      <c r="BF4" t="s">
        <v>60</v>
      </c>
      <c r="BH4" t="s">
        <v>60</v>
      </c>
      <c r="BI4" t="s">
        <v>60</v>
      </c>
      <c r="BJ4" t="s">
        <v>60</v>
      </c>
      <c r="BK4" t="s">
        <v>60</v>
      </c>
      <c r="BL4" t="s">
        <v>60</v>
      </c>
      <c r="BQ4">
        <v>1094</v>
      </c>
      <c r="BR4" t="s">
        <v>131</v>
      </c>
      <c r="BS4">
        <v>0.24</v>
      </c>
    </row>
    <row r="5" spans="1:93" x14ac:dyDescent="0.2">
      <c r="J5" t="s">
        <v>61</v>
      </c>
      <c r="K5" t="s">
        <v>61</v>
      </c>
      <c r="L5" t="s">
        <v>61</v>
      </c>
      <c r="O5" t="s">
        <v>58</v>
      </c>
      <c r="P5" t="s">
        <v>58</v>
      </c>
      <c r="Q5" t="s">
        <v>58</v>
      </c>
      <c r="R5" t="s">
        <v>58</v>
      </c>
      <c r="S5" t="s">
        <v>58</v>
      </c>
      <c r="U5" t="s">
        <v>61</v>
      </c>
      <c r="W5" t="s">
        <v>58</v>
      </c>
      <c r="X5" t="s">
        <v>61</v>
      </c>
      <c r="Y5" t="s">
        <v>61</v>
      </c>
      <c r="Z5" t="s">
        <v>61</v>
      </c>
      <c r="AA5" t="s">
        <v>61</v>
      </c>
      <c r="AB5" t="s">
        <v>61</v>
      </c>
      <c r="AC5" t="s">
        <v>61</v>
      </c>
      <c r="AD5" t="s">
        <v>61</v>
      </c>
      <c r="AE5" t="s">
        <v>61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R5" t="s">
        <v>58</v>
      </c>
      <c r="AU5" t="s">
        <v>61</v>
      </c>
      <c r="AV5" t="s">
        <v>61</v>
      </c>
      <c r="AW5" t="s">
        <v>61</v>
      </c>
      <c r="AX5" t="s">
        <v>61</v>
      </c>
      <c r="AY5" t="s">
        <v>61</v>
      </c>
      <c r="AZ5" t="s">
        <v>61</v>
      </c>
      <c r="BA5" t="s">
        <v>61</v>
      </c>
      <c r="BC5" t="s">
        <v>61</v>
      </c>
      <c r="BD5" t="s">
        <v>61</v>
      </c>
      <c r="BF5" t="s">
        <v>61</v>
      </c>
      <c r="BH5" t="s">
        <v>61</v>
      </c>
      <c r="BI5" t="s">
        <v>61</v>
      </c>
      <c r="BJ5" t="s">
        <v>61</v>
      </c>
      <c r="BK5" t="s">
        <v>61</v>
      </c>
      <c r="BL5" t="s">
        <v>61</v>
      </c>
      <c r="BQ5">
        <v>1093</v>
      </c>
      <c r="BR5" t="s">
        <v>219</v>
      </c>
      <c r="BS5">
        <v>0.21</v>
      </c>
      <c r="BW5" t="s">
        <v>172</v>
      </c>
      <c r="BX5" t="s">
        <v>126</v>
      </c>
    </row>
    <row r="6" spans="1:93" ht="17" thickBot="1" x14ac:dyDescent="0.25">
      <c r="BQ6">
        <v>1095</v>
      </c>
      <c r="BR6" t="s">
        <v>220</v>
      </c>
      <c r="BS6">
        <v>1.0999999999999999E-2</v>
      </c>
      <c r="BW6" t="s">
        <v>180</v>
      </c>
      <c r="BX6" t="s">
        <v>161</v>
      </c>
      <c r="BY6" t="s">
        <v>173</v>
      </c>
      <c r="BZ6" t="s">
        <v>271</v>
      </c>
      <c r="CA6" t="s">
        <v>272</v>
      </c>
      <c r="CB6" t="s">
        <v>273</v>
      </c>
      <c r="CC6" t="s">
        <v>274</v>
      </c>
      <c r="CD6" t="s">
        <v>275</v>
      </c>
      <c r="CE6" t="s">
        <v>189</v>
      </c>
      <c r="CH6" t="s">
        <v>181</v>
      </c>
      <c r="CI6" t="s">
        <v>182</v>
      </c>
      <c r="CJ6" t="s">
        <v>183</v>
      </c>
      <c r="CK6" t="s">
        <v>184</v>
      </c>
      <c r="CL6" t="s">
        <v>185</v>
      </c>
      <c r="CM6" t="s">
        <v>186</v>
      </c>
      <c r="CN6" t="s">
        <v>187</v>
      </c>
      <c r="CO6" t="s">
        <v>188</v>
      </c>
    </row>
    <row r="7" spans="1:93" ht="17" thickTop="1" x14ac:dyDescent="0.2">
      <c r="BQ7">
        <v>1088</v>
      </c>
      <c r="BR7" t="s">
        <v>150</v>
      </c>
      <c r="BS7">
        <f>44/28</f>
        <v>1.5714285714285714</v>
      </c>
      <c r="BW7" s="8" t="s">
        <v>163</v>
      </c>
      <c r="BX7" s="8" t="s">
        <v>169</v>
      </c>
      <c r="BY7">
        <v>0.04</v>
      </c>
      <c r="BZ7">
        <v>-0.02</v>
      </c>
      <c r="CA7">
        <v>0</v>
      </c>
      <c r="CB7">
        <v>-0.02</v>
      </c>
      <c r="CC7">
        <v>0.11</v>
      </c>
      <c r="CD7">
        <v>0.05</v>
      </c>
      <c r="CE7">
        <v>1</v>
      </c>
      <c r="CH7" t="s">
        <v>179</v>
      </c>
      <c r="CI7" t="s">
        <v>180</v>
      </c>
      <c r="CJ7" t="s">
        <v>162</v>
      </c>
      <c r="CK7" t="s">
        <v>167</v>
      </c>
      <c r="CL7" t="s">
        <v>168</v>
      </c>
      <c r="CM7" t="s">
        <v>169</v>
      </c>
      <c r="CN7" t="s">
        <v>170</v>
      </c>
      <c r="CO7" s="6" t="s">
        <v>171</v>
      </c>
    </row>
    <row r="8" spans="1:93" x14ac:dyDescent="0.2">
      <c r="J8" t="s">
        <v>62</v>
      </c>
      <c r="K8" t="s">
        <v>63</v>
      </c>
      <c r="L8" t="s">
        <v>64</v>
      </c>
      <c r="O8" t="s">
        <v>65</v>
      </c>
      <c r="P8" t="s">
        <v>66</v>
      </c>
      <c r="Q8" t="s">
        <v>63</v>
      </c>
      <c r="R8" t="s">
        <v>63</v>
      </c>
      <c r="S8" t="s">
        <v>66</v>
      </c>
      <c r="U8" t="s">
        <v>63</v>
      </c>
      <c r="W8" t="s">
        <v>63</v>
      </c>
      <c r="X8" t="s">
        <v>63</v>
      </c>
      <c r="Y8" t="s">
        <v>63</v>
      </c>
      <c r="Z8" t="s">
        <v>68</v>
      </c>
      <c r="AA8" t="s">
        <v>69</v>
      </c>
      <c r="AB8" t="s">
        <v>70</v>
      </c>
      <c r="AC8" t="s">
        <v>63</v>
      </c>
      <c r="AD8" t="s">
        <v>71</v>
      </c>
      <c r="AE8" t="s">
        <v>71</v>
      </c>
      <c r="AF8" t="s">
        <v>66</v>
      </c>
      <c r="AG8" t="s">
        <v>66</v>
      </c>
      <c r="AH8" t="s">
        <v>63</v>
      </c>
      <c r="AI8" t="s">
        <v>63</v>
      </c>
      <c r="AJ8" t="s">
        <v>72</v>
      </c>
      <c r="AK8" t="s">
        <v>73</v>
      </c>
      <c r="AL8" t="s">
        <v>73</v>
      </c>
      <c r="AM8" t="s">
        <v>74</v>
      </c>
      <c r="AN8" t="s">
        <v>63</v>
      </c>
      <c r="AU8" t="s">
        <v>75</v>
      </c>
      <c r="AV8" t="s">
        <v>71</v>
      </c>
      <c r="AW8" t="s">
        <v>63</v>
      </c>
      <c r="AX8" t="s">
        <v>71</v>
      </c>
      <c r="AY8" t="s">
        <v>76</v>
      </c>
      <c r="AZ8" t="s">
        <v>77</v>
      </c>
      <c r="BA8" t="s">
        <v>78</v>
      </c>
      <c r="BC8" t="s">
        <v>78</v>
      </c>
      <c r="BD8" t="s">
        <v>79</v>
      </c>
      <c r="BF8" t="s">
        <v>67</v>
      </c>
      <c r="BH8" t="s">
        <v>67</v>
      </c>
      <c r="BI8" t="s">
        <v>67</v>
      </c>
      <c r="BJ8" t="s">
        <v>80</v>
      </c>
      <c r="BK8" t="s">
        <v>80</v>
      </c>
      <c r="BL8" t="s">
        <v>80</v>
      </c>
      <c r="BW8" s="8" t="s">
        <v>164</v>
      </c>
      <c r="BX8" s="8" t="s">
        <v>169</v>
      </c>
      <c r="BY8">
        <v>-0.05</v>
      </c>
      <c r="BZ8">
        <v>0.05</v>
      </c>
      <c r="CA8">
        <v>0</v>
      </c>
      <c r="CB8">
        <v>0</v>
      </c>
      <c r="CC8">
        <v>-0.05</v>
      </c>
      <c r="CD8">
        <v>-0.05</v>
      </c>
      <c r="CE8">
        <v>2</v>
      </c>
      <c r="CH8" t="s">
        <v>173</v>
      </c>
      <c r="CI8" t="s">
        <v>163</v>
      </c>
      <c r="CJ8">
        <v>7.0000000000000007E-2</v>
      </c>
      <c r="CK8">
        <v>0.08</v>
      </c>
      <c r="CL8">
        <v>7.0000000000000007E-2</v>
      </c>
      <c r="CM8">
        <v>0.04</v>
      </c>
      <c r="CN8">
        <v>0.05</v>
      </c>
      <c r="CO8">
        <v>0.16</v>
      </c>
    </row>
    <row r="9" spans="1:93" x14ac:dyDescent="0.2">
      <c r="J9" t="s">
        <v>81</v>
      </c>
      <c r="K9" t="s">
        <v>82</v>
      </c>
      <c r="L9" t="s">
        <v>83</v>
      </c>
      <c r="M9" t="s">
        <v>236</v>
      </c>
      <c r="N9" t="s">
        <v>237</v>
      </c>
      <c r="O9" t="s">
        <v>84</v>
      </c>
      <c r="P9" t="s">
        <v>85</v>
      </c>
      <c r="Q9" t="s">
        <v>86</v>
      </c>
      <c r="R9" t="s">
        <v>87</v>
      </c>
      <c r="S9" t="s">
        <v>88</v>
      </c>
      <c r="U9" t="s">
        <v>115</v>
      </c>
      <c r="W9" t="s">
        <v>89</v>
      </c>
      <c r="X9" t="s">
        <v>90</v>
      </c>
      <c r="Y9" t="s">
        <v>91</v>
      </c>
      <c r="Z9" t="s">
        <v>93</v>
      </c>
      <c r="AA9" t="s">
        <v>94</v>
      </c>
      <c r="AB9" t="s">
        <v>96</v>
      </c>
      <c r="AC9" t="s">
        <v>97</v>
      </c>
      <c r="AD9" t="s">
        <v>98</v>
      </c>
      <c r="AE9" t="s">
        <v>99</v>
      </c>
      <c r="AF9" t="s">
        <v>100</v>
      </c>
      <c r="AG9" t="s">
        <v>101</v>
      </c>
      <c r="AH9" t="s">
        <v>102</v>
      </c>
      <c r="AI9" t="s">
        <v>103</v>
      </c>
      <c r="AJ9" t="s">
        <v>104</v>
      </c>
      <c r="AK9" t="s">
        <v>106</v>
      </c>
      <c r="AL9" t="s">
        <v>107</v>
      </c>
      <c r="AM9" t="s">
        <v>109</v>
      </c>
      <c r="AN9" t="s">
        <v>110</v>
      </c>
      <c r="AU9" t="s">
        <v>111</v>
      </c>
      <c r="AV9" t="s">
        <v>105</v>
      </c>
      <c r="AW9" t="s">
        <v>112</v>
      </c>
      <c r="AX9" t="s">
        <v>113</v>
      </c>
      <c r="AY9" t="s">
        <v>114</v>
      </c>
      <c r="AZ9" t="s">
        <v>116</v>
      </c>
      <c r="BA9" t="s">
        <v>117</v>
      </c>
      <c r="BC9" t="s">
        <v>117</v>
      </c>
      <c r="BD9" t="s">
        <v>118</v>
      </c>
      <c r="BF9" t="s">
        <v>108</v>
      </c>
      <c r="BH9" t="s">
        <v>95</v>
      </c>
      <c r="BI9" t="s">
        <v>92</v>
      </c>
      <c r="BJ9" t="s">
        <v>119</v>
      </c>
      <c r="BK9" t="s">
        <v>120</v>
      </c>
      <c r="BL9" t="s">
        <v>121</v>
      </c>
      <c r="BS9" t="s">
        <v>200</v>
      </c>
      <c r="BU9" t="s">
        <v>201</v>
      </c>
      <c r="BW9" s="8" t="s">
        <v>165</v>
      </c>
      <c r="BX9" s="8" t="s">
        <v>169</v>
      </c>
      <c r="BY9">
        <v>0.01</v>
      </c>
      <c r="BZ9">
        <v>0</v>
      </c>
      <c r="CA9">
        <v>0</v>
      </c>
      <c r="CB9">
        <v>0</v>
      </c>
      <c r="CC9">
        <v>-0.02</v>
      </c>
      <c r="CD9">
        <v>-0.05</v>
      </c>
      <c r="CE9">
        <v>3</v>
      </c>
      <c r="CI9" t="s">
        <v>164</v>
      </c>
      <c r="CJ9">
        <v>0</v>
      </c>
      <c r="CK9">
        <v>-0.08</v>
      </c>
      <c r="CL9">
        <v>0</v>
      </c>
      <c r="CM9">
        <v>-0.05</v>
      </c>
      <c r="CN9">
        <v>-0.05</v>
      </c>
      <c r="CO9">
        <v>0.08</v>
      </c>
    </row>
    <row r="10" spans="1:93" ht="17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s="1" t="s">
        <v>218</v>
      </c>
      <c r="F10" s="1" t="s">
        <v>221</v>
      </c>
      <c r="G10" s="1" t="s">
        <v>253</v>
      </c>
      <c r="H10" t="s">
        <v>161</v>
      </c>
      <c r="J10" s="1" t="s">
        <v>122</v>
      </c>
      <c r="K10" s="1" t="s">
        <v>123</v>
      </c>
      <c r="L10" s="1" t="s">
        <v>124</v>
      </c>
      <c r="M10" s="1" t="s">
        <v>235</v>
      </c>
      <c r="N10" s="1" t="s">
        <v>240</v>
      </c>
      <c r="O10" t="s">
        <v>125</v>
      </c>
      <c r="P10" t="s">
        <v>126</v>
      </c>
      <c r="Q10" t="s">
        <v>127</v>
      </c>
      <c r="R10" t="s">
        <v>128</v>
      </c>
      <c r="S10" t="s">
        <v>129</v>
      </c>
      <c r="T10" t="s">
        <v>215</v>
      </c>
      <c r="U10" t="s">
        <v>214</v>
      </c>
      <c r="V10" t="s">
        <v>217</v>
      </c>
      <c r="W10" t="s">
        <v>216</v>
      </c>
      <c r="X10" t="s">
        <v>130</v>
      </c>
      <c r="Y10" t="s">
        <v>131</v>
      </c>
      <c r="Z10" t="s">
        <v>133</v>
      </c>
      <c r="AA10" t="s">
        <v>134</v>
      </c>
      <c r="AB10" t="s">
        <v>136</v>
      </c>
      <c r="AC10" t="s">
        <v>137</v>
      </c>
      <c r="AD10" t="s">
        <v>138</v>
      </c>
      <c r="AE10" t="s">
        <v>139</v>
      </c>
      <c r="AF10" t="s">
        <v>140</v>
      </c>
      <c r="AG10" t="s">
        <v>141</v>
      </c>
      <c r="AH10" t="s">
        <v>142</v>
      </c>
      <c r="AI10" t="s">
        <v>143</v>
      </c>
      <c r="AJ10" t="s">
        <v>144</v>
      </c>
      <c r="AK10" t="s">
        <v>146</v>
      </c>
      <c r="AL10" t="s">
        <v>147</v>
      </c>
      <c r="AM10" t="s">
        <v>149</v>
      </c>
      <c r="AN10" t="s">
        <v>150</v>
      </c>
      <c r="AO10" t="s">
        <v>265</v>
      </c>
      <c r="AP10" t="s">
        <v>261</v>
      </c>
      <c r="AQ10" t="s">
        <v>264</v>
      </c>
      <c r="AR10" t="s">
        <v>262</v>
      </c>
      <c r="AS10" t="s">
        <v>260</v>
      </c>
      <c r="AT10" t="s">
        <v>259</v>
      </c>
      <c r="AU10" t="s">
        <v>151</v>
      </c>
      <c r="AV10" t="s">
        <v>145</v>
      </c>
      <c r="AW10" t="s">
        <v>152</v>
      </c>
      <c r="AX10" t="s">
        <v>153</v>
      </c>
      <c r="AY10" t="s">
        <v>154</v>
      </c>
      <c r="AZ10" t="s">
        <v>155</v>
      </c>
      <c r="BA10" t="s">
        <v>266</v>
      </c>
      <c r="BB10" t="s">
        <v>267</v>
      </c>
      <c r="BC10" t="s">
        <v>268</v>
      </c>
      <c r="BD10" t="s">
        <v>156</v>
      </c>
      <c r="BE10" s="28" t="s">
        <v>156</v>
      </c>
      <c r="BF10" t="s">
        <v>148</v>
      </c>
      <c r="BG10" t="s">
        <v>148</v>
      </c>
      <c r="BH10" t="s">
        <v>135</v>
      </c>
      <c r="BI10" t="s">
        <v>132</v>
      </c>
      <c r="BJ10" s="28" t="s">
        <v>157</v>
      </c>
      <c r="BK10" s="28" t="s">
        <v>158</v>
      </c>
      <c r="BL10" s="28" t="s">
        <v>159</v>
      </c>
      <c r="BR10" t="s">
        <v>202</v>
      </c>
      <c r="BS10">
        <v>4.7000000000000002E-3</v>
      </c>
      <c r="BT10" s="14" t="s">
        <v>193</v>
      </c>
      <c r="BU10" s="14">
        <v>0.72</v>
      </c>
      <c r="BW10" s="8" t="s">
        <v>166</v>
      </c>
      <c r="BX10" s="8" t="s">
        <v>169</v>
      </c>
      <c r="BY10">
        <v>0</v>
      </c>
      <c r="BZ10">
        <v>-0.03</v>
      </c>
      <c r="CA10">
        <v>0</v>
      </c>
      <c r="CB10">
        <v>0.02</v>
      </c>
      <c r="CC10">
        <v>-0.03</v>
      </c>
      <c r="CD10">
        <v>0.05</v>
      </c>
      <c r="CE10">
        <v>4</v>
      </c>
      <c r="CI10" t="s">
        <v>165</v>
      </c>
      <c r="CJ10">
        <v>-7.0000000000000007E-2</v>
      </c>
      <c r="CK10">
        <v>0</v>
      </c>
      <c r="CL10">
        <v>0</v>
      </c>
      <c r="CM10">
        <v>0.01</v>
      </c>
      <c r="CN10">
        <v>-0.01</v>
      </c>
      <c r="CO10">
        <v>0.05</v>
      </c>
    </row>
    <row r="11" spans="1:93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t="s">
        <v>213</v>
      </c>
      <c r="F11" s="14" t="s">
        <v>224</v>
      </c>
      <c r="G11" s="14" t="s">
        <v>254</v>
      </c>
      <c r="H11" s="12" t="s">
        <v>169</v>
      </c>
      <c r="I11" t="s">
        <v>163</v>
      </c>
      <c r="J11">
        <v>4</v>
      </c>
      <c r="K11">
        <v>0.65</v>
      </c>
      <c r="L11">
        <v>100</v>
      </c>
      <c r="M11">
        <v>95</v>
      </c>
      <c r="N11">
        <v>90</v>
      </c>
      <c r="O11">
        <f>$BS$3</f>
        <v>91.25</v>
      </c>
      <c r="P11" cm="1">
        <f t="array" ref="P11:P34">_xlfn.DROP(_xlfn.XLOOKUP($C11,TableLWG2_1[[#Headers],[ACT/NSW]:[WA]],TableLWG2_1[[#All],[ACT/NSW]:[WA]]),1)</f>
        <v>0.04</v>
      </c>
      <c r="Q11" cm="1">
        <f t="array" ref="Q11:Q34">_xlfn.DROP(_xlfn.XLOOKUP($C11,QueryCP[[#Headers],[ACT/NSW]:[WA]],QueryCP[[#All],[ACT/NSW]:[WA]]),1)</f>
        <v>0.2</v>
      </c>
      <c r="R11" cm="1">
        <f t="array" ref="R11:R34">_xlfn.DROP(_xlfn.XLOOKUP($C11,QueryDMD[[#Headers],[ACT/NSW]:[WA]],QueryDMD[[#All],[ACT/NSW]:[WA]]),1)</f>
        <v>0.75</v>
      </c>
      <c r="S11" cm="1">
        <f t="array" ref="S11:S34">_xlfn.DROP(_xlfn.XLOOKUP($C11,QueryW[[#Headers],[ACT/NSW]:[WA]],QueryW[[#All],[ACT/NSW]:[WA]]),1)</f>
        <v>54</v>
      </c>
      <c r="T11">
        <f>1-U11</f>
        <v>0</v>
      </c>
      <c r="U11">
        <f>IF($D$11="yes", 1, VLOOKUP(B11, $BR$26:$BT$32, 1))</f>
        <v>1</v>
      </c>
      <c r="V11">
        <f>VLOOKUP($B$11,$BT$10:$BU$16, 2, FALSE)</f>
        <v>0.72</v>
      </c>
      <c r="W11">
        <f>$BS$10</f>
        <v>4.7000000000000002E-3</v>
      </c>
      <c r="X11">
        <f>IF(E11="yes",1,0)</f>
        <v>1</v>
      </c>
      <c r="Y11">
        <f>$BS$4</f>
        <v>0.24</v>
      </c>
      <c r="Z11">
        <f>$BS$6</f>
        <v>1.0999999999999999E-2</v>
      </c>
      <c r="AA11">
        <f>$BS$5</f>
        <v>0.21</v>
      </c>
      <c r="AB11">
        <f>VLOOKUP($F$11,$BR$37:$BS$49,2,FALSE)</f>
        <v>5.8999999999999999E-3</v>
      </c>
      <c r="AC11">
        <f>(M11/100)*(MIN(N11,100)/100)</f>
        <v>0.85499999999999998</v>
      </c>
      <c r="AD11">
        <f>AC11 * 1.6</f>
        <v>1.3680000000000001</v>
      </c>
      <c r="AE11">
        <f>J11 * K11 / 365</f>
        <v>7.1232876712328773E-3</v>
      </c>
      <c r="AF11">
        <f>P11 * 0.92</f>
        <v>3.6799999999999999E-2</v>
      </c>
      <c r="AG11" cm="1">
        <f t="array" ref="AG11:AG34">_xlfn.DROP(_xlfn.XLOOKUP($C11,QuerySRW[[#Headers],[ACT/NSW]:[WA]],QuerySRW[[#All],[ACT/NSW]:[WA]]),1)</f>
        <v>57</v>
      </c>
      <c r="AH11">
        <f>S11 / AG11</f>
        <v>0.94736842105263153</v>
      </c>
      <c r="AI11">
        <v>0</v>
      </c>
      <c r="AJ11">
        <f>1.6 * AI11</f>
        <v>0</v>
      </c>
      <c r="AK11">
        <f>(0.045*AD11+AE11*0.84+
      (AF11*
          (
              (212 - 4*(AF11*1000/(4*AG11^0.75)-1))-((140 - 4 * (AF11*1000/(4*AG11^0.75)-1))/(1+EXP(-6*(AH11-0.4))))
          )
      )*10^-3
)/6.25</f>
        <v>1.1261151088387938E-2</v>
      </c>
      <c r="AL11">
        <f>(AV11 / 6.25 ) - AK11</f>
        <v>3.9886829165220503E-2</v>
      </c>
      <c r="AM11">
        <f>IF($G$11="wet",$BU$18,$BU$19)</f>
        <v>6.0000000000000001E-3</v>
      </c>
      <c r="AN11">
        <f>$BS$7</f>
        <v>1.5714285714285714</v>
      </c>
      <c r="AO11">
        <f>$BV$1</f>
        <v>1.3</v>
      </c>
      <c r="AP11">
        <f>AC11*AO11+(1-AC11)</f>
        <v>1.2565</v>
      </c>
      <c r="AQ11">
        <f>(0.795*R11)-0.0014</f>
        <v>0.5948500000000001</v>
      </c>
      <c r="AR11" cm="1">
        <f t="array" ref="AR11:AR34">_xlfn.DROP(_xlfn.XLOOKUP($C11,QueryDMA[[#Headers],[ACT/NSW]:[WA]],QueryDMA[[#All],[ACT/NSW]:[WA]]),1)</f>
        <v>2.9</v>
      </c>
      <c r="AS11">
        <f>1 - EXP(-2*(AR11^2))</f>
        <v>0.9999999504359468</v>
      </c>
      <c r="AT11">
        <f>(104.7*AQ11+0.307*S11-15)*(S11^0.75)*10^-3</f>
        <v>1.2720847291262878</v>
      </c>
      <c r="AU11">
        <f>AT11*AS11*AP11</f>
        <v>1.5983743829252637</v>
      </c>
      <c r="AV11">
        <f>(AU11 * Q11) + (0.045 * AJ11)</f>
        <v>0.31967487658505278</v>
      </c>
      <c r="AW11">
        <f>$BS$2</f>
        <v>0.08</v>
      </c>
      <c r="AX11">
        <f>(AU11 * ((1 - R11) + (0.04 * AU11))) * ( 1 - AW11 )</f>
        <v>0.46164277265490583</v>
      </c>
      <c r="AY11">
        <f>$BS$1</f>
        <v>0.24</v>
      </c>
      <c r="AZ11">
        <f>$BT$20</f>
        <v>0.6784</v>
      </c>
      <c r="BA11">
        <f>AX11 * AY11 * T11 * V11 * AZ11</f>
        <v>0</v>
      </c>
      <c r="BB11">
        <f>AX11*AY11*U11*W11*AZ11</f>
        <v>3.5326529946113142E-4</v>
      </c>
      <c r="BC11">
        <f>BA11+BB11</f>
        <v>3.5326529946113142E-4</v>
      </c>
      <c r="BD11">
        <f>L11*BC11*O11</f>
        <v>3.223545857582824</v>
      </c>
      <c r="BE11">
        <f>SUM(BD11:BD34)*10^-3</f>
        <v>6.8147172064674369E-2</v>
      </c>
      <c r="BF11">
        <f>L11*AL11*O11</f>
        <v>363.96731613263705</v>
      </c>
      <c r="BG11">
        <f>SUM(BF11:BF34)</f>
        <v>6370.0482375534466</v>
      </c>
      <c r="BH11">
        <f>BF11 * AA11</f>
        <v>76.433136387853779</v>
      </c>
      <c r="BI11">
        <f>BF11 * X11 * Y11</f>
        <v>87.352155871832892</v>
      </c>
      <c r="BJ11">
        <f>BF11 * AM11 * AN11 * 10^-3</f>
        <v>3.4316918378220064E-3</v>
      </c>
      <c r="BK11">
        <f>BH11 * AB11 * AN11 * 10^-3</f>
        <v>7.0864436451024428E-4</v>
      </c>
      <c r="BL11">
        <f>BI11 * Z11 * AN11 * 10^-3</f>
        <v>1.5099444086416828E-3</v>
      </c>
      <c r="BT11" s="14" t="s">
        <v>194</v>
      </c>
      <c r="BU11" s="14">
        <v>0.75</v>
      </c>
      <c r="BW11" s="8" t="s">
        <v>163</v>
      </c>
      <c r="BX11" s="6" t="s">
        <v>171</v>
      </c>
      <c r="BY11">
        <v>0.16</v>
      </c>
      <c r="BZ11">
        <v>0.2</v>
      </c>
      <c r="CA11">
        <v>0.11</v>
      </c>
      <c r="CB11">
        <v>0.15</v>
      </c>
      <c r="CC11">
        <v>0.15</v>
      </c>
      <c r="CD11">
        <v>0.11</v>
      </c>
      <c r="CE11">
        <v>1</v>
      </c>
      <c r="CI11" t="s">
        <v>166</v>
      </c>
      <c r="CJ11">
        <v>0</v>
      </c>
      <c r="CK11">
        <v>0</v>
      </c>
      <c r="CL11">
        <v>0.02</v>
      </c>
      <c r="CM11">
        <v>0</v>
      </c>
      <c r="CN11">
        <v>0.01</v>
      </c>
      <c r="CO11">
        <v>0.04</v>
      </c>
    </row>
    <row r="12" spans="1:93" ht="18" thickTop="1" thickBot="1" x14ac:dyDescent="0.25">
      <c r="H12" s="13"/>
      <c r="I12" t="s">
        <v>164</v>
      </c>
      <c r="J12">
        <f>J11</f>
        <v>4</v>
      </c>
      <c r="K12">
        <f>K11</f>
        <v>0.65</v>
      </c>
      <c r="L12">
        <v>70</v>
      </c>
      <c r="M12">
        <v>0</v>
      </c>
      <c r="N12">
        <v>0</v>
      </c>
      <c r="O12">
        <f>$BS$3</f>
        <v>91.25</v>
      </c>
      <c r="P12">
        <v>-0.05</v>
      </c>
      <c r="Q12">
        <v>0.1</v>
      </c>
      <c r="R12">
        <v>0.61</v>
      </c>
      <c r="S12">
        <v>49</v>
      </c>
      <c r="T12">
        <f t="shared" ref="T12:T34" si="0">1-U12</f>
        <v>0</v>
      </c>
      <c r="U12">
        <f t="shared" ref="U12:U34" si="1">IF($D$11="yes", 1, VLOOKUP(B12, $BR$26:$BT$32, 1))</f>
        <v>1</v>
      </c>
      <c r="V12">
        <f t="shared" ref="V12:V34" si="2">VLOOKUP($B$11,$BT$10:$BU$16, 2, FALSE)</f>
        <v>0.72</v>
      </c>
      <c r="W12">
        <f>$BS$10</f>
        <v>4.7000000000000002E-3</v>
      </c>
      <c r="X12">
        <f t="shared" ref="X12:X34" si="3">IF(E12="yes",1,0)</f>
        <v>0</v>
      </c>
      <c r="Y12">
        <f>$BS$4</f>
        <v>0.24</v>
      </c>
      <c r="Z12">
        <f>$BS$6</f>
        <v>1.0999999999999999E-2</v>
      </c>
      <c r="AA12">
        <f>$BS$5</f>
        <v>0.21</v>
      </c>
      <c r="AB12">
        <f t="shared" ref="AB12:AB34" si="4">VLOOKUP($F$11,$BR$37:$BS$49,2,FALSE)</f>
        <v>5.8999999999999999E-3</v>
      </c>
      <c r="AC12">
        <f>(M12/100)*(MIN(N12,100)/100)</f>
        <v>0</v>
      </c>
      <c r="AD12">
        <f t="shared" ref="AD12:AD34" si="5">AC12 * 1.6</f>
        <v>0</v>
      </c>
      <c r="AE12">
        <f>J12 * K12 / 365</f>
        <v>7.1232876712328773E-3</v>
      </c>
      <c r="AF12">
        <f>P12 * 0.92</f>
        <v>-4.6000000000000006E-2</v>
      </c>
      <c r="AG12">
        <v>57</v>
      </c>
      <c r="AH12">
        <f>S12 / AG12</f>
        <v>0.85964912280701755</v>
      </c>
      <c r="AI12">
        <v>0</v>
      </c>
      <c r="AJ12">
        <f t="shared" ref="AJ12:AJ34" si="6">1.6 * AI12</f>
        <v>0</v>
      </c>
      <c r="AK12">
        <f t="shared" ref="AK12:AK34" si="7">(0.045*AD12+AE12*0.84+
      (AF12*
          (
              (212 - 4*(AF12*1000/(4*AG12^0.75)-1))-((140 - 4 * (AF12*1000/(4*AG12^0.75)-1))/(1+EXP(-6*(AH12-0.4))))
          )
      )*10^-3
)/6.25</f>
        <v>3.6326515165143006E-4</v>
      </c>
      <c r="AL12">
        <f>(AV12 / 6.25 ) - AK12</f>
        <v>1.4651626395231406E-2</v>
      </c>
      <c r="AM12">
        <f>IF($G$11="wet",$BU$18,$BU$19)</f>
        <v>6.0000000000000001E-3</v>
      </c>
      <c r="AN12">
        <f t="shared" ref="AN12:AN34" si="8">$BS$7</f>
        <v>1.5714285714285714</v>
      </c>
      <c r="AO12">
        <f t="shared" ref="AO12:AO34" si="9">$BV$1</f>
        <v>1.3</v>
      </c>
      <c r="AP12">
        <f t="shared" ref="AP12:AP34" si="10">AC12*AO12+(1-AC12)</f>
        <v>1</v>
      </c>
      <c r="AQ12">
        <f>(0.795*R12)-0.0014</f>
        <v>0.48354999999999998</v>
      </c>
      <c r="AR12">
        <v>2.5</v>
      </c>
      <c r="AS12">
        <f t="shared" ref="AS12:AS34" si="11">1 - EXP(-2*(AR12^2))</f>
        <v>0.99999627334682795</v>
      </c>
      <c r="AT12">
        <f>(104.7*AQ12+0.307*S12-15)*(S12^0.75)*10^-3</f>
        <v>0.93843421889903578</v>
      </c>
      <c r="AU12">
        <f t="shared" ref="AU12:AU34" si="12">AT12*AS12*AP12</f>
        <v>0.93843072168017716</v>
      </c>
      <c r="AV12">
        <f>(AU12 * Q12) + (0.045 * AJ12)</f>
        <v>9.3843072168017724E-2</v>
      </c>
      <c r="AW12">
        <f t="shared" ref="AW12:AW34" si="13">$BS$2</f>
        <v>0.08</v>
      </c>
      <c r="AX12">
        <f>(AU12 * ((1 - R12) + (0.04 * AU12))) * ( 1 - AW12 )</f>
        <v>0.3691169446125166</v>
      </c>
      <c r="AY12">
        <f t="shared" ref="AY12:AY34" si="14">$BS$1</f>
        <v>0.24</v>
      </c>
      <c r="AZ12">
        <f t="shared" ref="AZ12:AZ34" si="15">$BT$20</f>
        <v>0.6784</v>
      </c>
      <c r="BA12">
        <f>AX12 * AY12 * T12 * V12 * AZ12</f>
        <v>0</v>
      </c>
      <c r="BB12">
        <f t="shared" ref="BB12:BB34" si="16">AX12*AY12*U12*W12*AZ12</f>
        <v>2.8246127893394806E-4</v>
      </c>
      <c r="BC12">
        <f t="shared" ref="BC12:BC34" si="17">BA12+BB12</f>
        <v>2.8246127893394806E-4</v>
      </c>
      <c r="BD12">
        <f t="shared" ref="BD12:BD34" si="18">L12*BC12*O12</f>
        <v>1.8042214191905934</v>
      </c>
      <c r="BF12">
        <f>L12*AL12*O12</f>
        <v>93.587263599540606</v>
      </c>
      <c r="BT12" s="14" t="s">
        <v>195</v>
      </c>
      <c r="BU12" s="14">
        <v>0.78</v>
      </c>
      <c r="BW12" s="8" t="s">
        <v>164</v>
      </c>
      <c r="BX12" s="6" t="s">
        <v>171</v>
      </c>
      <c r="BY12">
        <v>0.08</v>
      </c>
      <c r="BZ12">
        <v>0.05</v>
      </c>
      <c r="CA12">
        <v>0.05</v>
      </c>
      <c r="CB12">
        <v>0.11</v>
      </c>
      <c r="CC12">
        <v>7.0000000000000007E-2</v>
      </c>
      <c r="CD12">
        <v>0</v>
      </c>
      <c r="CE12">
        <v>2</v>
      </c>
      <c r="CH12" t="s">
        <v>174</v>
      </c>
      <c r="CI12" t="s">
        <v>163</v>
      </c>
      <c r="CJ12">
        <v>-0.02</v>
      </c>
      <c r="CK12">
        <v>0</v>
      </c>
      <c r="CL12">
        <v>0</v>
      </c>
      <c r="CM12">
        <v>-0.02</v>
      </c>
      <c r="CN12">
        <v>-0.03</v>
      </c>
      <c r="CO12">
        <v>0.2</v>
      </c>
    </row>
    <row r="13" spans="1:93" ht="18" thickTop="1" thickBot="1" x14ac:dyDescent="0.25">
      <c r="H13" s="12"/>
      <c r="I13" t="s">
        <v>165</v>
      </c>
      <c r="J13">
        <f t="shared" ref="J13:J14" si="19">J12</f>
        <v>4</v>
      </c>
      <c r="K13">
        <f>K11</f>
        <v>0.65</v>
      </c>
      <c r="L13">
        <v>65</v>
      </c>
      <c r="M13">
        <v>0</v>
      </c>
      <c r="N13">
        <v>0</v>
      </c>
      <c r="O13">
        <f>$BS$3</f>
        <v>91.25</v>
      </c>
      <c r="P13">
        <v>0.01</v>
      </c>
      <c r="Q13">
        <v>0.12</v>
      </c>
      <c r="R13">
        <v>0.64</v>
      </c>
      <c r="S13">
        <v>50</v>
      </c>
      <c r="T13">
        <f t="shared" si="0"/>
        <v>0</v>
      </c>
      <c r="U13">
        <f t="shared" si="1"/>
        <v>1</v>
      </c>
      <c r="V13">
        <f t="shared" si="2"/>
        <v>0.72</v>
      </c>
      <c r="W13">
        <f>$BS$10</f>
        <v>4.7000000000000002E-3</v>
      </c>
      <c r="X13">
        <f t="shared" si="3"/>
        <v>0</v>
      </c>
      <c r="Y13">
        <f>$BS$4</f>
        <v>0.24</v>
      </c>
      <c r="Z13">
        <f>$BS$6</f>
        <v>1.0999999999999999E-2</v>
      </c>
      <c r="AA13">
        <f>$BS$5</f>
        <v>0.21</v>
      </c>
      <c r="AB13">
        <f t="shared" si="4"/>
        <v>5.8999999999999999E-3</v>
      </c>
      <c r="AC13">
        <f>(M13/100)*(MIN(N13,100)/100)</f>
        <v>0</v>
      </c>
      <c r="AD13">
        <f t="shared" si="5"/>
        <v>0</v>
      </c>
      <c r="AE13">
        <f>J13 * K13 / 365</f>
        <v>7.1232876712328773E-3</v>
      </c>
      <c r="AF13">
        <f>P13 * 0.92</f>
        <v>9.1999999999999998E-3</v>
      </c>
      <c r="AG13">
        <v>57</v>
      </c>
      <c r="AH13">
        <f>S13 / AG13</f>
        <v>0.8771929824561403</v>
      </c>
      <c r="AI13">
        <v>0</v>
      </c>
      <c r="AJ13">
        <f t="shared" si="6"/>
        <v>0</v>
      </c>
      <c r="AK13">
        <f t="shared" si="7"/>
        <v>1.0747659693624819E-3</v>
      </c>
      <c r="AL13">
        <f>(AV13 / 6.25 ) - AK13</f>
        <v>1.811521741614671E-2</v>
      </c>
      <c r="AM13">
        <f>IF($G$11="wet",$BU$18,$BU$19)</f>
        <v>6.0000000000000001E-3</v>
      </c>
      <c r="AN13">
        <f t="shared" si="8"/>
        <v>1.5714285714285714</v>
      </c>
      <c r="AO13">
        <f t="shared" si="9"/>
        <v>1.3</v>
      </c>
      <c r="AP13">
        <f t="shared" si="10"/>
        <v>1</v>
      </c>
      <c r="AQ13">
        <f>(0.795*R13)-0.0014</f>
        <v>0.50740000000000007</v>
      </c>
      <c r="AR13">
        <v>1.6</v>
      </c>
      <c r="AS13">
        <f t="shared" si="11"/>
        <v>0.99402397710499402</v>
      </c>
      <c r="AT13">
        <f>(104.7*AQ13+0.307*S13-15)*(S13^0.75)*10^-3</f>
        <v>1.0054871153505722</v>
      </c>
      <c r="AU13">
        <f t="shared" si="12"/>
        <v>0.99947830132860371</v>
      </c>
      <c r="AV13">
        <f>(AU13 * Q13) + (0.045 * AJ13)</f>
        <v>0.11993739615943244</v>
      </c>
      <c r="AW13">
        <f t="shared" si="13"/>
        <v>0.08</v>
      </c>
      <c r="AX13">
        <f>(AU13 * ((1 - R13) + (0.04 * AU13))) * ( 1 - AW13 )</f>
        <v>0.36778882639365651</v>
      </c>
      <c r="AY13">
        <f t="shared" si="14"/>
        <v>0.24</v>
      </c>
      <c r="AZ13">
        <f t="shared" si="15"/>
        <v>0.6784</v>
      </c>
      <c r="BA13">
        <f t="shared" ref="BA13:BA34" si="20">AX13 * AY13 * T13 * V13 * AZ13</f>
        <v>0</v>
      </c>
      <c r="BB13">
        <f t="shared" si="16"/>
        <v>2.8144495612311498E-4</v>
      </c>
      <c r="BC13">
        <f t="shared" si="17"/>
        <v>2.8144495612311498E-4</v>
      </c>
      <c r="BD13">
        <f t="shared" si="18"/>
        <v>1.6693203960052256</v>
      </c>
      <c r="BF13">
        <f>L13*AL13*O13</f>
        <v>107.44588329952018</v>
      </c>
      <c r="BT13" s="14" t="s">
        <v>196</v>
      </c>
      <c r="BU13" s="14">
        <v>0.74</v>
      </c>
      <c r="BW13" s="8" t="s">
        <v>165</v>
      </c>
      <c r="BX13" s="6" t="s">
        <v>171</v>
      </c>
      <c r="BY13">
        <v>0.05</v>
      </c>
      <c r="BZ13">
        <v>0.2</v>
      </c>
      <c r="CA13">
        <v>0.16</v>
      </c>
      <c r="CB13">
        <v>0.13</v>
      </c>
      <c r="CC13">
        <v>0.05</v>
      </c>
      <c r="CD13">
        <v>0.11</v>
      </c>
      <c r="CE13">
        <v>3</v>
      </c>
      <c r="CI13" t="s">
        <v>164</v>
      </c>
      <c r="CJ13">
        <v>0.03</v>
      </c>
      <c r="CK13">
        <v>0.05</v>
      </c>
      <c r="CL13">
        <v>0.05</v>
      </c>
      <c r="CM13">
        <v>0.05</v>
      </c>
      <c r="CN13">
        <v>0.05</v>
      </c>
      <c r="CO13">
        <v>0.05</v>
      </c>
    </row>
    <row r="14" spans="1:93" ht="17" thickTop="1" x14ac:dyDescent="0.2">
      <c r="H14" s="13"/>
      <c r="I14" t="s">
        <v>166</v>
      </c>
      <c r="J14">
        <f t="shared" si="19"/>
        <v>4</v>
      </c>
      <c r="K14">
        <f>K11</f>
        <v>0.65</v>
      </c>
      <c r="L14">
        <v>80</v>
      </c>
      <c r="M14">
        <v>0</v>
      </c>
      <c r="N14">
        <v>0</v>
      </c>
      <c r="O14">
        <f>$BS$3</f>
        <v>91.25</v>
      </c>
      <c r="P14">
        <v>0</v>
      </c>
      <c r="Q14">
        <v>0.18</v>
      </c>
      <c r="R14">
        <v>0.72</v>
      </c>
      <c r="S14">
        <v>50</v>
      </c>
      <c r="T14">
        <f t="shared" si="0"/>
        <v>0</v>
      </c>
      <c r="U14">
        <f t="shared" si="1"/>
        <v>1</v>
      </c>
      <c r="V14">
        <f t="shared" si="2"/>
        <v>0.72</v>
      </c>
      <c r="W14">
        <f>$BS$10</f>
        <v>4.7000000000000002E-3</v>
      </c>
      <c r="X14">
        <f t="shared" si="3"/>
        <v>0</v>
      </c>
      <c r="Y14">
        <f>$BS$4</f>
        <v>0.24</v>
      </c>
      <c r="Z14">
        <f>$BS$6</f>
        <v>1.0999999999999999E-2</v>
      </c>
      <c r="AA14">
        <f>$BS$5</f>
        <v>0.21</v>
      </c>
      <c r="AB14">
        <f t="shared" si="4"/>
        <v>5.8999999999999999E-3</v>
      </c>
      <c r="AC14">
        <f>(M14/100)*(MIN(N14,100)/100)</f>
        <v>0</v>
      </c>
      <c r="AD14">
        <f t="shared" si="5"/>
        <v>0</v>
      </c>
      <c r="AE14">
        <f>J14 * K14 / 365</f>
        <v>7.1232876712328773E-3</v>
      </c>
      <c r="AF14">
        <f>P14 * 0.92</f>
        <v>0</v>
      </c>
      <c r="AG14">
        <v>57</v>
      </c>
      <c r="AH14">
        <f>S14 / AG14</f>
        <v>0.8771929824561403</v>
      </c>
      <c r="AI14">
        <v>0</v>
      </c>
      <c r="AJ14">
        <f t="shared" si="6"/>
        <v>0</v>
      </c>
      <c r="AK14">
        <f t="shared" si="7"/>
        <v>9.5736986301369871E-4</v>
      </c>
      <c r="AL14">
        <f>(AV14 / 6.25 ) - AK14</f>
        <v>3.1506062032197808E-2</v>
      </c>
      <c r="AM14">
        <f>IF($G$11="wet",$BU$18,$BU$19)</f>
        <v>6.0000000000000001E-3</v>
      </c>
      <c r="AN14">
        <f t="shared" si="8"/>
        <v>1.5714285714285714</v>
      </c>
      <c r="AO14">
        <f t="shared" si="9"/>
        <v>1.3</v>
      </c>
      <c r="AP14">
        <f t="shared" si="10"/>
        <v>1</v>
      </c>
      <c r="AQ14">
        <f>(0.795*R14)-0.0014</f>
        <v>0.57100000000000006</v>
      </c>
      <c r="AR14">
        <v>1.7</v>
      </c>
      <c r="AS14">
        <f t="shared" si="11"/>
        <v>0.99691128459176326</v>
      </c>
      <c r="AT14">
        <f>(104.7*AQ14+0.307*S14-15)*(S14^0.75)*10^-3</f>
        <v>1.1306948910936463</v>
      </c>
      <c r="AU14">
        <f t="shared" si="12"/>
        <v>1.1272024963615108</v>
      </c>
      <c r="AV14">
        <f>(AU14 * Q14) + (0.045 * AJ14)</f>
        <v>0.20289644934507195</v>
      </c>
      <c r="AW14">
        <f t="shared" si="13"/>
        <v>0.08</v>
      </c>
      <c r="AX14">
        <f>(AU14 * ((1 - R14) + (0.04 * AU14))) * ( 1 - AW14 )</f>
        <v>0.33712490827789848</v>
      </c>
      <c r="AY14">
        <f t="shared" si="14"/>
        <v>0.24</v>
      </c>
      <c r="AZ14">
        <f t="shared" si="15"/>
        <v>0.6784</v>
      </c>
      <c r="BA14">
        <f t="shared" si="20"/>
        <v>0</v>
      </c>
      <c r="BB14">
        <f t="shared" si="16"/>
        <v>2.5797984661101933E-4</v>
      </c>
      <c r="BC14">
        <f t="shared" si="17"/>
        <v>2.5797984661101933E-4</v>
      </c>
      <c r="BD14">
        <f t="shared" si="18"/>
        <v>1.8832528802604411</v>
      </c>
      <c r="BF14">
        <f>L14*AL14*O14</f>
        <v>229.99425283504399</v>
      </c>
      <c r="BT14" s="14" t="s">
        <v>197</v>
      </c>
      <c r="BU14" s="14">
        <v>0.69</v>
      </c>
      <c r="BW14" s="8" t="s">
        <v>166</v>
      </c>
      <c r="BX14" s="6" t="s">
        <v>171</v>
      </c>
      <c r="BY14">
        <v>0.04</v>
      </c>
      <c r="BZ14">
        <v>0.05</v>
      </c>
      <c r="CA14">
        <v>0.16</v>
      </c>
      <c r="CB14">
        <v>7.0000000000000007E-2</v>
      </c>
      <c r="CC14">
        <v>0.02</v>
      </c>
      <c r="CD14">
        <v>0.11</v>
      </c>
      <c r="CE14">
        <v>4</v>
      </c>
      <c r="CI14" t="s">
        <v>165</v>
      </c>
      <c r="CJ14">
        <v>0.02</v>
      </c>
      <c r="CK14">
        <v>0</v>
      </c>
      <c r="CL14">
        <v>0</v>
      </c>
      <c r="CM14">
        <v>0</v>
      </c>
      <c r="CN14">
        <v>0</v>
      </c>
      <c r="CO14">
        <v>0.2</v>
      </c>
    </row>
    <row r="15" spans="1:93" x14ac:dyDescent="0.2">
      <c r="H15" s="12" t="s">
        <v>171</v>
      </c>
      <c r="I15" t="s">
        <v>163</v>
      </c>
      <c r="J15">
        <v>3</v>
      </c>
      <c r="K15">
        <v>0.6</v>
      </c>
      <c r="L15">
        <v>200</v>
      </c>
      <c r="M15">
        <v>0</v>
      </c>
      <c r="N15">
        <v>0</v>
      </c>
      <c r="O15">
        <f>$BS$3</f>
        <v>91.25</v>
      </c>
      <c r="P15">
        <v>0.16</v>
      </c>
      <c r="Q15">
        <v>0.2</v>
      </c>
      <c r="R15">
        <v>0.75</v>
      </c>
      <c r="S15">
        <v>20</v>
      </c>
      <c r="T15">
        <f t="shared" si="0"/>
        <v>0</v>
      </c>
      <c r="U15">
        <f t="shared" si="1"/>
        <v>1</v>
      </c>
      <c r="V15">
        <f t="shared" si="2"/>
        <v>0.72</v>
      </c>
      <c r="W15">
        <f>$BS$10</f>
        <v>4.7000000000000002E-3</v>
      </c>
      <c r="X15">
        <f t="shared" si="3"/>
        <v>0</v>
      </c>
      <c r="Y15">
        <f>$BS$4</f>
        <v>0.24</v>
      </c>
      <c r="Z15">
        <f>$BS$6</f>
        <v>1.0999999999999999E-2</v>
      </c>
      <c r="AA15">
        <f>$BS$5</f>
        <v>0.21</v>
      </c>
      <c r="AB15">
        <f t="shared" si="4"/>
        <v>5.8999999999999999E-3</v>
      </c>
      <c r="AC15">
        <f>(M15/100)*(MIN(N15,100)/100)</f>
        <v>0</v>
      </c>
      <c r="AD15">
        <f t="shared" si="5"/>
        <v>0</v>
      </c>
      <c r="AE15">
        <f>J15 * K15 / 365</f>
        <v>4.9315068493150684E-3</v>
      </c>
      <c r="AF15">
        <f>P15 * 0.92</f>
        <v>0.1472</v>
      </c>
      <c r="AG15">
        <v>60</v>
      </c>
      <c r="AH15">
        <f>S15 / AG15</f>
        <v>0.33333333333333331</v>
      </c>
      <c r="AI15">
        <v>1</v>
      </c>
      <c r="AJ15">
        <f t="shared" si="6"/>
        <v>1.6</v>
      </c>
      <c r="AK15">
        <f t="shared" si="7"/>
        <v>4.2927035527562628E-3</v>
      </c>
      <c r="AL15">
        <f>(AV15 / 6.25 ) - AK15</f>
        <v>2.3394421603544668E-2</v>
      </c>
      <c r="AM15">
        <f>IF($G$11="wet",$BU$18,$BU$19)</f>
        <v>6.0000000000000001E-3</v>
      </c>
      <c r="AN15">
        <f t="shared" si="8"/>
        <v>1.5714285714285714</v>
      </c>
      <c r="AO15">
        <f t="shared" si="9"/>
        <v>1.3</v>
      </c>
      <c r="AP15">
        <f t="shared" si="10"/>
        <v>1</v>
      </c>
      <c r="AQ15">
        <f>(0.795*R15)-0.0014</f>
        <v>0.5948500000000001</v>
      </c>
      <c r="AR15">
        <v>2.9</v>
      </c>
      <c r="AS15">
        <f t="shared" si="11"/>
        <v>0.9999999504359468</v>
      </c>
      <c r="AT15">
        <f>(104.7*AQ15+0.307*S15-15)*(S15^0.75)*10^-3</f>
        <v>0.5052226861752882</v>
      </c>
      <c r="AU15">
        <f t="shared" si="12"/>
        <v>0.50522266113440406</v>
      </c>
      <c r="AV15">
        <f>(AU15 * Q15) + (0.045 * AJ15)</f>
        <v>0.17304453222688082</v>
      </c>
      <c r="AW15">
        <f t="shared" si="13"/>
        <v>0.08</v>
      </c>
      <c r="AX15">
        <f>(AU15 * ((1 - R15) + (0.04 * AU15))) * ( 1 - AW15 )</f>
        <v>0.12559440975442615</v>
      </c>
      <c r="AY15">
        <f t="shared" si="14"/>
        <v>0.24</v>
      </c>
      <c r="AZ15">
        <f t="shared" si="15"/>
        <v>0.6784</v>
      </c>
      <c r="BA15">
        <f t="shared" si="20"/>
        <v>0</v>
      </c>
      <c r="BB15">
        <f t="shared" si="16"/>
        <v>9.6109263267310253E-5</v>
      </c>
      <c r="BC15">
        <f t="shared" si="17"/>
        <v>9.6109263267310253E-5</v>
      </c>
      <c r="BD15">
        <f t="shared" si="18"/>
        <v>1.7539940546284121</v>
      </c>
      <c r="BF15">
        <f>L15*AL15*O15</f>
        <v>426.94819426469013</v>
      </c>
      <c r="BT15" s="14" t="s">
        <v>198</v>
      </c>
      <c r="BU15" s="14">
        <v>0.73</v>
      </c>
      <c r="BW15" s="8" t="s">
        <v>163</v>
      </c>
      <c r="BX15" s="8" t="s">
        <v>168</v>
      </c>
      <c r="BY15">
        <v>7.0000000000000007E-2</v>
      </c>
      <c r="BZ15">
        <v>0</v>
      </c>
      <c r="CA15">
        <v>0</v>
      </c>
      <c r="CB15">
        <v>0.03</v>
      </c>
      <c r="CC15">
        <v>0.16</v>
      </c>
      <c r="CD15">
        <v>0.05</v>
      </c>
      <c r="CE15">
        <v>1</v>
      </c>
      <c r="CI15" t="s">
        <v>166</v>
      </c>
      <c r="CJ15">
        <v>-0.03</v>
      </c>
      <c r="CK15">
        <v>-0.05</v>
      </c>
      <c r="CL15">
        <v>-0.05</v>
      </c>
      <c r="CM15">
        <v>-0.03</v>
      </c>
      <c r="CN15">
        <v>-0.02</v>
      </c>
      <c r="CO15">
        <v>0.05</v>
      </c>
    </row>
    <row r="16" spans="1:93" x14ac:dyDescent="0.2">
      <c r="H16" s="13"/>
      <c r="I16" t="s">
        <v>164</v>
      </c>
      <c r="J16">
        <f>J15</f>
        <v>3</v>
      </c>
      <c r="K16">
        <f>K15</f>
        <v>0.6</v>
      </c>
      <c r="L16">
        <v>210</v>
      </c>
      <c r="M16">
        <v>0</v>
      </c>
      <c r="N16">
        <v>0</v>
      </c>
      <c r="O16">
        <f>$BS$3</f>
        <v>91.25</v>
      </c>
      <c r="P16">
        <v>0.08</v>
      </c>
      <c r="Q16">
        <v>0.1</v>
      </c>
      <c r="R16">
        <v>0.61</v>
      </c>
      <c r="S16">
        <v>27</v>
      </c>
      <c r="T16">
        <f t="shared" si="0"/>
        <v>0</v>
      </c>
      <c r="U16">
        <f t="shared" si="1"/>
        <v>1</v>
      </c>
      <c r="V16">
        <f t="shared" si="2"/>
        <v>0.72</v>
      </c>
      <c r="W16">
        <f>$BS$10</f>
        <v>4.7000000000000002E-3</v>
      </c>
      <c r="X16">
        <f t="shared" si="3"/>
        <v>0</v>
      </c>
      <c r="Y16">
        <f>$BS$4</f>
        <v>0.24</v>
      </c>
      <c r="Z16">
        <f>$BS$6</f>
        <v>1.0999999999999999E-2</v>
      </c>
      <c r="AA16">
        <f>$BS$5</f>
        <v>0.21</v>
      </c>
      <c r="AB16">
        <f t="shared" si="4"/>
        <v>5.8999999999999999E-3</v>
      </c>
      <c r="AC16">
        <f>(M16/100)*(MIN(N16,100)/100)</f>
        <v>0</v>
      </c>
      <c r="AD16">
        <f t="shared" si="5"/>
        <v>0</v>
      </c>
      <c r="AE16">
        <f>J16 * K16 / 365</f>
        <v>4.9315068493150684E-3</v>
      </c>
      <c r="AF16">
        <f>P16 * 0.92</f>
        <v>7.3599999999999999E-2</v>
      </c>
      <c r="AG16">
        <v>61</v>
      </c>
      <c r="AH16">
        <f>S16 / AG16</f>
        <v>0.44262295081967212</v>
      </c>
      <c r="AI16">
        <v>0</v>
      </c>
      <c r="AJ16">
        <f t="shared" si="6"/>
        <v>0</v>
      </c>
      <c r="AK16">
        <f t="shared" si="7"/>
        <v>2.233380100205178E-3</v>
      </c>
      <c r="AL16">
        <f>(AV16 / 6.25 ) - AK16</f>
        <v>6.0894444157458105E-3</v>
      </c>
      <c r="AM16">
        <f>IF($G$11="wet",$BU$18,$BU$19)</f>
        <v>6.0000000000000001E-3</v>
      </c>
      <c r="AN16">
        <f t="shared" si="8"/>
        <v>1.5714285714285714</v>
      </c>
      <c r="AO16">
        <f t="shared" si="9"/>
        <v>1.3</v>
      </c>
      <c r="AP16">
        <f t="shared" si="10"/>
        <v>1</v>
      </c>
      <c r="AQ16">
        <f>(0.795*R16)-0.0014</f>
        <v>0.48354999999999998</v>
      </c>
      <c r="AR16">
        <v>2.5</v>
      </c>
      <c r="AS16">
        <f t="shared" si="11"/>
        <v>0.99999627334682795</v>
      </c>
      <c r="AT16">
        <f>(104.7*AQ16+0.307*S16-15)*(S16^0.75)*10^-3</f>
        <v>0.52017847077168489</v>
      </c>
      <c r="AU16">
        <f t="shared" si="12"/>
        <v>0.52017653224693672</v>
      </c>
      <c r="AV16">
        <f>(AU16 * Q16) + (0.045 * AJ16)</f>
        <v>5.2017653224693677E-2</v>
      </c>
      <c r="AW16">
        <f t="shared" si="13"/>
        <v>0.08</v>
      </c>
      <c r="AX16">
        <f>(AU16 * ((1 - R16) + (0.04 * AU16))) * ( 1 - AW16 )</f>
        <v>0.1965968171591774</v>
      </c>
      <c r="AY16">
        <f t="shared" si="14"/>
        <v>0.24</v>
      </c>
      <c r="AZ16">
        <f t="shared" si="15"/>
        <v>0.6784</v>
      </c>
      <c r="BA16">
        <f t="shared" si="20"/>
        <v>0</v>
      </c>
      <c r="BB16">
        <f t="shared" si="16"/>
        <v>1.5044280469816656E-4</v>
      </c>
      <c r="BC16">
        <f t="shared" si="17"/>
        <v>1.5044280469816656E-4</v>
      </c>
      <c r="BD16">
        <f t="shared" si="18"/>
        <v>2.8828602450286169</v>
      </c>
      <c r="BF16">
        <f>L16*AL16*O16</f>
        <v>116.6889786167291</v>
      </c>
      <c r="BT16" s="14" t="s">
        <v>199</v>
      </c>
      <c r="BU16" s="14">
        <v>0.76</v>
      </c>
      <c r="BW16" s="8" t="s">
        <v>164</v>
      </c>
      <c r="BX16" s="8" t="s">
        <v>168</v>
      </c>
      <c r="BY16">
        <v>0</v>
      </c>
      <c r="BZ16">
        <v>0.05</v>
      </c>
      <c r="CA16">
        <v>0</v>
      </c>
      <c r="CB16">
        <v>0</v>
      </c>
      <c r="CC16">
        <v>-0.05</v>
      </c>
      <c r="CD16">
        <v>-0.05</v>
      </c>
      <c r="CE16">
        <v>2</v>
      </c>
      <c r="CH16" t="s">
        <v>175</v>
      </c>
      <c r="CI16" t="s">
        <v>163</v>
      </c>
      <c r="CJ16">
        <v>0.11</v>
      </c>
      <c r="CK16">
        <v>0.11</v>
      </c>
      <c r="CL16">
        <v>0</v>
      </c>
      <c r="CM16">
        <v>0</v>
      </c>
      <c r="CN16">
        <v>0</v>
      </c>
      <c r="CO16">
        <v>0.11</v>
      </c>
    </row>
    <row r="17" spans="8:93" x14ac:dyDescent="0.2">
      <c r="H17" s="12"/>
      <c r="I17" t="s">
        <v>165</v>
      </c>
      <c r="J17">
        <f t="shared" ref="J17:J18" si="21">J16</f>
        <v>3</v>
      </c>
      <c r="K17">
        <f t="shared" ref="K17:K18" si="22">K16</f>
        <v>0.6</v>
      </c>
      <c r="L17">
        <v>170</v>
      </c>
      <c r="M17">
        <v>0</v>
      </c>
      <c r="N17">
        <v>0</v>
      </c>
      <c r="O17">
        <f>$BS$3</f>
        <v>91.25</v>
      </c>
      <c r="P17">
        <v>0.05</v>
      </c>
      <c r="Q17">
        <v>0.12</v>
      </c>
      <c r="R17">
        <v>0.64</v>
      </c>
      <c r="S17">
        <v>32</v>
      </c>
      <c r="T17">
        <f t="shared" si="0"/>
        <v>0</v>
      </c>
      <c r="U17">
        <f t="shared" si="1"/>
        <v>1</v>
      </c>
      <c r="V17">
        <f t="shared" si="2"/>
        <v>0.72</v>
      </c>
      <c r="W17">
        <f>$BS$10</f>
        <v>4.7000000000000002E-3</v>
      </c>
      <c r="X17">
        <f t="shared" si="3"/>
        <v>0</v>
      </c>
      <c r="Y17">
        <f>$BS$4</f>
        <v>0.24</v>
      </c>
      <c r="Z17">
        <f>$BS$6</f>
        <v>1.0999999999999999E-2</v>
      </c>
      <c r="AA17">
        <f>$BS$5</f>
        <v>0.21</v>
      </c>
      <c r="AB17">
        <f t="shared" si="4"/>
        <v>5.8999999999999999E-3</v>
      </c>
      <c r="AC17">
        <f>(M17/100)*(MIN(N17,100)/100)</f>
        <v>0</v>
      </c>
      <c r="AD17">
        <f t="shared" si="5"/>
        <v>0</v>
      </c>
      <c r="AE17">
        <f>J17 * K17 / 365</f>
        <v>4.9315068493150684E-3</v>
      </c>
      <c r="AF17">
        <f>P17 * 0.92</f>
        <v>4.6000000000000006E-2</v>
      </c>
      <c r="AG17">
        <v>62</v>
      </c>
      <c r="AH17">
        <f>S17 / AG17</f>
        <v>0.5161290322580645</v>
      </c>
      <c r="AI17">
        <v>0</v>
      </c>
      <c r="AJ17">
        <f t="shared" si="6"/>
        <v>0</v>
      </c>
      <c r="AK17">
        <f t="shared" si="7"/>
        <v>1.5400455022570668E-3</v>
      </c>
      <c r="AL17">
        <f>(AV17 / 6.25 ) - AK17</f>
        <v>1.077222459730026E-2</v>
      </c>
      <c r="AM17">
        <f>IF($G$11="wet",$BU$18,$BU$19)</f>
        <v>6.0000000000000001E-3</v>
      </c>
      <c r="AN17">
        <f t="shared" si="8"/>
        <v>1.5714285714285714</v>
      </c>
      <c r="AO17">
        <f t="shared" si="9"/>
        <v>1.3</v>
      </c>
      <c r="AP17">
        <f t="shared" si="10"/>
        <v>1</v>
      </c>
      <c r="AQ17">
        <f>(0.795*R17)-0.0014</f>
        <v>0.50740000000000007</v>
      </c>
      <c r="AR17">
        <v>1.6</v>
      </c>
      <c r="AS17">
        <f t="shared" si="11"/>
        <v>0.99402397710499402</v>
      </c>
      <c r="AT17">
        <f>(104.7*AQ17+0.307*S17-15)*(S17^0.75)*10^-3</f>
        <v>0.64511931548462409</v>
      </c>
      <c r="AU17">
        <f t="shared" si="12"/>
        <v>0.64126406768527744</v>
      </c>
      <c r="AV17">
        <f>(AU17 * Q17) + (0.045 * AJ17)</f>
        <v>7.6951688122233283E-2</v>
      </c>
      <c r="AW17">
        <f t="shared" si="13"/>
        <v>0.08</v>
      </c>
      <c r="AX17">
        <f>(AU17 * ((1 - R17) + (0.04 * AU17))) * ( 1 - AW17 )</f>
        <v>0.22751954066312097</v>
      </c>
      <c r="AY17">
        <f t="shared" si="14"/>
        <v>0.24</v>
      </c>
      <c r="AZ17">
        <f t="shared" si="15"/>
        <v>0.6784</v>
      </c>
      <c r="BA17">
        <f t="shared" si="20"/>
        <v>0</v>
      </c>
      <c r="BB17">
        <f t="shared" si="16"/>
        <v>1.7410596120325152E-4</v>
      </c>
      <c r="BC17">
        <f t="shared" si="17"/>
        <v>1.7410596120325152E-4</v>
      </c>
      <c r="BD17">
        <f t="shared" si="18"/>
        <v>2.700818723165439</v>
      </c>
      <c r="BF17">
        <f>L17*AL17*O17</f>
        <v>167.10413406562029</v>
      </c>
      <c r="BW17" s="8" t="s">
        <v>165</v>
      </c>
      <c r="BX17" s="8" t="s">
        <v>168</v>
      </c>
      <c r="BY17">
        <v>0</v>
      </c>
      <c r="BZ17">
        <v>0</v>
      </c>
      <c r="CA17">
        <v>0</v>
      </c>
      <c r="CB17">
        <v>0</v>
      </c>
      <c r="CC17">
        <v>-0.02</v>
      </c>
      <c r="CD17">
        <v>0.11</v>
      </c>
      <c r="CE17">
        <v>3</v>
      </c>
      <c r="CI17" t="s">
        <v>164</v>
      </c>
      <c r="CJ17">
        <v>-0.1</v>
      </c>
      <c r="CK17">
        <v>-0.1</v>
      </c>
      <c r="CL17">
        <v>0</v>
      </c>
      <c r="CM17">
        <v>0</v>
      </c>
      <c r="CN17">
        <v>0</v>
      </c>
      <c r="CO17">
        <v>0.05</v>
      </c>
    </row>
    <row r="18" spans="8:93" x14ac:dyDescent="0.2">
      <c r="H18" s="13"/>
      <c r="I18" t="s">
        <v>166</v>
      </c>
      <c r="J18">
        <f t="shared" si="21"/>
        <v>3</v>
      </c>
      <c r="K18">
        <f t="shared" si="22"/>
        <v>0.6</v>
      </c>
      <c r="L18">
        <v>200</v>
      </c>
      <c r="M18">
        <v>0</v>
      </c>
      <c r="N18">
        <v>0</v>
      </c>
      <c r="O18">
        <f>$BS$3</f>
        <v>91.25</v>
      </c>
      <c r="P18">
        <v>0.04</v>
      </c>
      <c r="Q18">
        <v>0.18</v>
      </c>
      <c r="R18">
        <v>0.72</v>
      </c>
      <c r="S18">
        <v>34</v>
      </c>
      <c r="T18">
        <f t="shared" si="0"/>
        <v>0</v>
      </c>
      <c r="U18">
        <f t="shared" si="1"/>
        <v>1</v>
      </c>
      <c r="V18">
        <f t="shared" si="2"/>
        <v>0.72</v>
      </c>
      <c r="W18">
        <f>$BS$10</f>
        <v>4.7000000000000002E-3</v>
      </c>
      <c r="X18">
        <f t="shared" si="3"/>
        <v>0</v>
      </c>
      <c r="Y18">
        <f>$BS$4</f>
        <v>0.24</v>
      </c>
      <c r="Z18">
        <f>$BS$6</f>
        <v>1.0999999999999999E-2</v>
      </c>
      <c r="AA18">
        <f>$BS$5</f>
        <v>0.21</v>
      </c>
      <c r="AB18">
        <f t="shared" si="4"/>
        <v>5.8999999999999999E-3</v>
      </c>
      <c r="AC18">
        <f>(M18/100)*(MIN(N18,100)/100)</f>
        <v>0</v>
      </c>
      <c r="AD18">
        <f t="shared" si="5"/>
        <v>0</v>
      </c>
      <c r="AE18">
        <f>J18 * K18 / 365</f>
        <v>4.9315068493150684E-3</v>
      </c>
      <c r="AF18">
        <f>P18 * 0.92</f>
        <v>3.6799999999999999E-2</v>
      </c>
      <c r="AG18">
        <v>63</v>
      </c>
      <c r="AH18">
        <f>S18 / AG18</f>
        <v>0.53968253968253965</v>
      </c>
      <c r="AI18">
        <v>0</v>
      </c>
      <c r="AJ18">
        <f t="shared" si="6"/>
        <v>0</v>
      </c>
      <c r="AK18">
        <f t="shared" si="7"/>
        <v>1.3398080165132112E-3</v>
      </c>
      <c r="AL18">
        <f>(AV18 / 6.25 ) - AK18</f>
        <v>2.098398359742434E-2</v>
      </c>
      <c r="AM18">
        <f>IF($G$11="wet",$BU$18,$BU$19)</f>
        <v>6.0000000000000001E-3</v>
      </c>
      <c r="AN18">
        <f t="shared" si="8"/>
        <v>1.5714285714285714</v>
      </c>
      <c r="AO18">
        <f t="shared" si="9"/>
        <v>1.3</v>
      </c>
      <c r="AP18">
        <f t="shared" si="10"/>
        <v>1</v>
      </c>
      <c r="AQ18">
        <f>(0.795*R18)-0.0014</f>
        <v>0.57100000000000006</v>
      </c>
      <c r="AR18">
        <v>1.7</v>
      </c>
      <c r="AS18">
        <f t="shared" si="11"/>
        <v>0.99691128459176326</v>
      </c>
      <c r="AT18">
        <f>(104.7*AQ18+0.307*S18-15)*(S18^0.75)*10^-3</f>
        <v>0.77753323213623582</v>
      </c>
      <c r="AU18">
        <f t="shared" si="12"/>
        <v>0.77513165326172051</v>
      </c>
      <c r="AV18">
        <f>(AU18 * Q18) + (0.045 * AJ18)</f>
        <v>0.1395236975871097</v>
      </c>
      <c r="AW18">
        <f t="shared" si="13"/>
        <v>0.08</v>
      </c>
      <c r="AX18">
        <f>(AU18 * ((1 - R18) + (0.04 * AU18))) * ( 1 - AW18 )</f>
        <v>0.22178442402010679</v>
      </c>
      <c r="AY18">
        <f t="shared" si="14"/>
        <v>0.24</v>
      </c>
      <c r="AZ18">
        <f t="shared" si="15"/>
        <v>0.6784</v>
      </c>
      <c r="BA18">
        <f t="shared" si="20"/>
        <v>0</v>
      </c>
      <c r="BB18">
        <f t="shared" si="16"/>
        <v>1.6971724807191121E-4</v>
      </c>
      <c r="BC18">
        <f t="shared" si="17"/>
        <v>1.6971724807191121E-4</v>
      </c>
      <c r="BD18">
        <f t="shared" si="18"/>
        <v>3.0973397773123792</v>
      </c>
      <c r="BF18">
        <f>L18*AL18*O18</f>
        <v>382.95770065299422</v>
      </c>
      <c r="BS18" t="s">
        <v>149</v>
      </c>
      <c r="BT18" s="14" t="s">
        <v>254</v>
      </c>
      <c r="BU18" s="14">
        <v>6.0000000000000001E-3</v>
      </c>
      <c r="BW18" s="8" t="s">
        <v>166</v>
      </c>
      <c r="BX18" s="8" t="s">
        <v>168</v>
      </c>
      <c r="BY18">
        <v>0.02</v>
      </c>
      <c r="BZ18">
        <v>-0.05</v>
      </c>
      <c r="CA18">
        <v>0</v>
      </c>
      <c r="CB18">
        <v>0.5</v>
      </c>
      <c r="CC18">
        <v>-0.03</v>
      </c>
      <c r="CD18">
        <v>0.05</v>
      </c>
      <c r="CE18">
        <v>4</v>
      </c>
      <c r="CI18" t="s">
        <v>165</v>
      </c>
      <c r="CJ18">
        <v>0</v>
      </c>
      <c r="CK18">
        <v>-0.1</v>
      </c>
      <c r="CL18">
        <v>0</v>
      </c>
      <c r="CM18">
        <v>0</v>
      </c>
      <c r="CN18">
        <v>0</v>
      </c>
      <c r="CO18">
        <v>0.16</v>
      </c>
    </row>
    <row r="19" spans="8:93" x14ac:dyDescent="0.2">
      <c r="H19" s="12" t="s">
        <v>168</v>
      </c>
      <c r="I19" t="s">
        <v>163</v>
      </c>
      <c r="J19">
        <v>2</v>
      </c>
      <c r="K19">
        <v>0.65</v>
      </c>
      <c r="L19">
        <v>100</v>
      </c>
      <c r="M19">
        <v>95</v>
      </c>
      <c r="N19">
        <v>105</v>
      </c>
      <c r="O19">
        <f>$BS$3</f>
        <v>91.25</v>
      </c>
      <c r="P19">
        <v>7.0000000000000007E-2</v>
      </c>
      <c r="Q19">
        <v>0.2</v>
      </c>
      <c r="R19">
        <v>0.75</v>
      </c>
      <c r="S19">
        <v>44</v>
      </c>
      <c r="T19">
        <f t="shared" si="0"/>
        <v>0</v>
      </c>
      <c r="U19">
        <f t="shared" si="1"/>
        <v>1</v>
      </c>
      <c r="V19">
        <f t="shared" si="2"/>
        <v>0.72</v>
      </c>
      <c r="W19">
        <f>$BS$10</f>
        <v>4.7000000000000002E-3</v>
      </c>
      <c r="X19">
        <f t="shared" si="3"/>
        <v>0</v>
      </c>
      <c r="Y19">
        <f>$BS$4</f>
        <v>0.24</v>
      </c>
      <c r="Z19">
        <f>$BS$6</f>
        <v>1.0999999999999999E-2</v>
      </c>
      <c r="AA19">
        <f>$BS$5</f>
        <v>0.21</v>
      </c>
      <c r="AB19">
        <f t="shared" si="4"/>
        <v>5.8999999999999999E-3</v>
      </c>
      <c r="AC19">
        <f>(M19/100)*(MIN(N19,100)/100)</f>
        <v>0.95</v>
      </c>
      <c r="AD19">
        <f t="shared" si="5"/>
        <v>1.52</v>
      </c>
      <c r="AE19">
        <f>J19 * K19 / 365</f>
        <v>3.5616438356164386E-3</v>
      </c>
      <c r="AF19">
        <f>P19 * 0.92</f>
        <v>6.4400000000000013E-2</v>
      </c>
      <c r="AG19">
        <v>57</v>
      </c>
      <c r="AH19">
        <f>S19 / AG19</f>
        <v>0.77192982456140347</v>
      </c>
      <c r="AI19">
        <v>0</v>
      </c>
      <c r="AJ19">
        <f t="shared" si="6"/>
        <v>0</v>
      </c>
      <c r="AK19">
        <f t="shared" si="7"/>
        <v>1.2305324245694275E-2</v>
      </c>
      <c r="AL19">
        <f>(AV19 / 6.25 ) - AK19</f>
        <v>3.0398436809107053E-2</v>
      </c>
      <c r="AM19">
        <f>IF($G$11="wet",$BU$18,$BU$19)</f>
        <v>6.0000000000000001E-3</v>
      </c>
      <c r="AN19">
        <f t="shared" si="8"/>
        <v>1.5714285714285714</v>
      </c>
      <c r="AO19">
        <f t="shared" si="9"/>
        <v>1.3</v>
      </c>
      <c r="AP19">
        <f t="shared" si="10"/>
        <v>1.2849999999999999</v>
      </c>
      <c r="AQ19">
        <f>(0.795*R19)-0.0014</f>
        <v>0.5948500000000001</v>
      </c>
      <c r="AR19">
        <v>2.9</v>
      </c>
      <c r="AS19">
        <f t="shared" si="11"/>
        <v>0.9999999504359468</v>
      </c>
      <c r="AT19">
        <f>(104.7*AQ19+0.307*S19-15)*(S19^0.75)*10^-3</f>
        <v>1.0385156413271623</v>
      </c>
      <c r="AU19">
        <f t="shared" si="12"/>
        <v>1.3344925329625414</v>
      </c>
      <c r="AV19">
        <f>(AU19 * Q19) + (0.045 * AJ19)</f>
        <v>0.2668985065925083</v>
      </c>
      <c r="AW19">
        <f t="shared" si="13"/>
        <v>0.08</v>
      </c>
      <c r="AX19">
        <f>(AU19 * ((1 - R19) + (0.04 * AU19))) * ( 1 - AW19 )</f>
        <v>0.37246931037699088</v>
      </c>
      <c r="AY19">
        <f t="shared" si="14"/>
        <v>0.24</v>
      </c>
      <c r="AZ19">
        <f t="shared" si="15"/>
        <v>0.6784</v>
      </c>
      <c r="BA19">
        <f t="shared" si="20"/>
        <v>0</v>
      </c>
      <c r="BB19">
        <f t="shared" si="16"/>
        <v>2.850266272201987E-4</v>
      </c>
      <c r="BC19">
        <f t="shared" si="17"/>
        <v>2.850266272201987E-4</v>
      </c>
      <c r="BD19">
        <f t="shared" si="18"/>
        <v>2.6008679733843132</v>
      </c>
      <c r="BF19">
        <f>L19*AL19*O19</f>
        <v>277.38573588310186</v>
      </c>
      <c r="BT19" s="14" t="s">
        <v>255</v>
      </c>
      <c r="BU19" s="14">
        <v>2E-3</v>
      </c>
      <c r="BW19" s="8" t="s">
        <v>163</v>
      </c>
      <c r="BX19" s="8" t="s">
        <v>170</v>
      </c>
      <c r="BY19">
        <v>0.05</v>
      </c>
      <c r="BZ19">
        <v>-0.03</v>
      </c>
      <c r="CA19">
        <v>0</v>
      </c>
      <c r="CB19">
        <v>0</v>
      </c>
      <c r="CC19">
        <v>0</v>
      </c>
      <c r="CD19">
        <v>0.05</v>
      </c>
      <c r="CE19">
        <v>1</v>
      </c>
      <c r="CI19" t="s">
        <v>166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0.16</v>
      </c>
    </row>
    <row r="20" spans="8:93" x14ac:dyDescent="0.2">
      <c r="H20" s="13"/>
      <c r="I20" t="s">
        <v>164</v>
      </c>
      <c r="J20">
        <f>J19</f>
        <v>2</v>
      </c>
      <c r="K20">
        <f>K19</f>
        <v>0.65</v>
      </c>
      <c r="L20">
        <v>140</v>
      </c>
      <c r="M20">
        <v>0</v>
      </c>
      <c r="N20">
        <v>0</v>
      </c>
      <c r="O20">
        <f>$BS$3</f>
        <v>91.25</v>
      </c>
      <c r="P20">
        <v>0</v>
      </c>
      <c r="Q20">
        <v>0.1</v>
      </c>
      <c r="R20">
        <v>0.61</v>
      </c>
      <c r="S20">
        <v>42</v>
      </c>
      <c r="T20">
        <f t="shared" si="0"/>
        <v>0</v>
      </c>
      <c r="U20">
        <f t="shared" si="1"/>
        <v>1</v>
      </c>
      <c r="V20">
        <f t="shared" si="2"/>
        <v>0.72</v>
      </c>
      <c r="W20">
        <f>$BS$10</f>
        <v>4.7000000000000002E-3</v>
      </c>
      <c r="X20">
        <f t="shared" si="3"/>
        <v>0</v>
      </c>
      <c r="Y20">
        <f>$BS$4</f>
        <v>0.24</v>
      </c>
      <c r="Z20">
        <f>$BS$6</f>
        <v>1.0999999999999999E-2</v>
      </c>
      <c r="AA20">
        <f>$BS$5</f>
        <v>0.21</v>
      </c>
      <c r="AB20">
        <f t="shared" si="4"/>
        <v>5.8999999999999999E-3</v>
      </c>
      <c r="AC20">
        <f>(M20/100)*(MIN(N20,100)/100)</f>
        <v>0</v>
      </c>
      <c r="AD20">
        <f t="shared" si="5"/>
        <v>0</v>
      </c>
      <c r="AE20">
        <f>J20 * K20 / 365</f>
        <v>3.5616438356164386E-3</v>
      </c>
      <c r="AF20">
        <f>P20 * 0.92</f>
        <v>0</v>
      </c>
      <c r="AG20">
        <v>57</v>
      </c>
      <c r="AH20">
        <f>S20 / AG20</f>
        <v>0.73684210526315785</v>
      </c>
      <c r="AI20">
        <v>0</v>
      </c>
      <c r="AJ20">
        <f t="shared" si="6"/>
        <v>0</v>
      </c>
      <c r="AK20">
        <f t="shared" si="7"/>
        <v>4.7868493150684936E-4</v>
      </c>
      <c r="AL20">
        <f>(AV20 / 6.25 ) - AK20</f>
        <v>1.2329606659197917E-2</v>
      </c>
      <c r="AM20">
        <f>IF($G$11="wet",$BU$18,$BU$19)</f>
        <v>6.0000000000000001E-3</v>
      </c>
      <c r="AN20">
        <f t="shared" si="8"/>
        <v>1.5714285714285714</v>
      </c>
      <c r="AO20">
        <f t="shared" si="9"/>
        <v>1.3</v>
      </c>
      <c r="AP20">
        <f t="shared" si="10"/>
        <v>1</v>
      </c>
      <c r="AQ20">
        <f>(0.795*R20)-0.0014</f>
        <v>0.48354999999999998</v>
      </c>
      <c r="AR20">
        <v>2.5</v>
      </c>
      <c r="AS20">
        <f t="shared" si="11"/>
        <v>0.99999627334682795</v>
      </c>
      <c r="AT20">
        <f>(104.7*AQ20+0.307*S20-15)*(S20^0.75)*10^-3</f>
        <v>0.80052120768394575</v>
      </c>
      <c r="AU20">
        <f t="shared" si="12"/>
        <v>0.80051822441904785</v>
      </c>
      <c r="AV20">
        <f>(AU20 * Q20) + (0.045 * AJ20)</f>
        <v>8.0051822441904785E-2</v>
      </c>
      <c r="AW20">
        <f t="shared" si="13"/>
        <v>0.08</v>
      </c>
      <c r="AX20">
        <f>(AU20 * ((1 - R20) + (0.04 * AU20))) * ( 1 - AW20 )</f>
        <v>0.31080846185822891</v>
      </c>
      <c r="AY20">
        <f t="shared" si="14"/>
        <v>0.24</v>
      </c>
      <c r="AZ20">
        <f t="shared" si="15"/>
        <v>0.6784</v>
      </c>
      <c r="BA20">
        <f t="shared" si="20"/>
        <v>0</v>
      </c>
      <c r="BB20">
        <f t="shared" si="16"/>
        <v>2.3784157547177418E-4</v>
      </c>
      <c r="BC20">
        <f t="shared" si="17"/>
        <v>2.3784157547177418E-4</v>
      </c>
      <c r="BD20">
        <f t="shared" si="18"/>
        <v>3.0384261266519155</v>
      </c>
      <c r="BF20">
        <f>L20*AL20*O20</f>
        <v>157.51072507125338</v>
      </c>
      <c r="BS20" t="s">
        <v>258</v>
      </c>
      <c r="BT20">
        <v>0.6784</v>
      </c>
      <c r="BW20" s="8" t="s">
        <v>164</v>
      </c>
      <c r="BX20" s="8" t="s">
        <v>170</v>
      </c>
      <c r="BY20">
        <v>-0.05</v>
      </c>
      <c r="BZ20">
        <v>0.05</v>
      </c>
      <c r="CA20">
        <v>0</v>
      </c>
      <c r="CB20">
        <v>0</v>
      </c>
      <c r="CC20">
        <v>0</v>
      </c>
      <c r="CD20">
        <v>-0.05</v>
      </c>
      <c r="CE20">
        <v>2</v>
      </c>
      <c r="CH20" t="s">
        <v>176</v>
      </c>
      <c r="CI20" t="s">
        <v>163</v>
      </c>
      <c r="CJ20">
        <v>0.16</v>
      </c>
      <c r="CK20">
        <v>0.11</v>
      </c>
      <c r="CL20">
        <v>0.03</v>
      </c>
      <c r="CM20">
        <v>-0.02</v>
      </c>
      <c r="CN20">
        <v>0</v>
      </c>
      <c r="CO20">
        <v>0.15</v>
      </c>
    </row>
    <row r="21" spans="8:93" x14ac:dyDescent="0.2">
      <c r="H21" s="12"/>
      <c r="I21" t="s">
        <v>165</v>
      </c>
      <c r="J21">
        <f t="shared" ref="J21:J22" si="23">J20</f>
        <v>2</v>
      </c>
      <c r="K21">
        <f t="shared" ref="K21:K22" si="24">K20</f>
        <v>0.65</v>
      </c>
      <c r="L21">
        <v>135</v>
      </c>
      <c r="M21">
        <v>0</v>
      </c>
      <c r="N21">
        <v>0</v>
      </c>
      <c r="O21">
        <f>$BS$3</f>
        <v>91.25</v>
      </c>
      <c r="P21">
        <v>0</v>
      </c>
      <c r="Q21">
        <v>0.12</v>
      </c>
      <c r="R21">
        <v>0.64</v>
      </c>
      <c r="S21">
        <v>43</v>
      </c>
      <c r="T21">
        <f t="shared" si="0"/>
        <v>0</v>
      </c>
      <c r="U21">
        <f t="shared" si="1"/>
        <v>1</v>
      </c>
      <c r="V21">
        <f t="shared" si="2"/>
        <v>0.72</v>
      </c>
      <c r="W21">
        <f>$BS$10</f>
        <v>4.7000000000000002E-3</v>
      </c>
      <c r="X21">
        <f t="shared" si="3"/>
        <v>0</v>
      </c>
      <c r="Y21">
        <f>$BS$4</f>
        <v>0.24</v>
      </c>
      <c r="Z21">
        <f>$BS$6</f>
        <v>1.0999999999999999E-2</v>
      </c>
      <c r="AA21">
        <f>$BS$5</f>
        <v>0.21</v>
      </c>
      <c r="AB21">
        <f t="shared" si="4"/>
        <v>5.8999999999999999E-3</v>
      </c>
      <c r="AC21">
        <f>(M21/100)*(MIN(N21,100)/100)</f>
        <v>0</v>
      </c>
      <c r="AD21">
        <f t="shared" si="5"/>
        <v>0</v>
      </c>
      <c r="AE21">
        <f>J21 * K21 / 365</f>
        <v>3.5616438356164386E-3</v>
      </c>
      <c r="AF21">
        <f>P21 * 0.92</f>
        <v>0</v>
      </c>
      <c r="AG21">
        <v>57</v>
      </c>
      <c r="AH21">
        <f>S21 / AG21</f>
        <v>0.75438596491228072</v>
      </c>
      <c r="AI21">
        <v>0</v>
      </c>
      <c r="AJ21">
        <f t="shared" si="6"/>
        <v>0</v>
      </c>
      <c r="AK21">
        <f t="shared" si="7"/>
        <v>4.7868493150684936E-4</v>
      </c>
      <c r="AL21">
        <f>(AV21 / 6.25 ) - AK21</f>
        <v>1.5970144180934887E-2</v>
      </c>
      <c r="AM21">
        <f>IF($G$11="wet",$BU$18,$BU$19)</f>
        <v>6.0000000000000001E-3</v>
      </c>
      <c r="AN21">
        <f t="shared" si="8"/>
        <v>1.5714285714285714</v>
      </c>
      <c r="AO21">
        <f t="shared" si="9"/>
        <v>1.3</v>
      </c>
      <c r="AP21">
        <f t="shared" si="10"/>
        <v>1</v>
      </c>
      <c r="AQ21">
        <f>(0.795*R21)-0.0014</f>
        <v>0.50740000000000007</v>
      </c>
      <c r="AR21">
        <v>1.6</v>
      </c>
      <c r="AS21">
        <f t="shared" si="11"/>
        <v>0.99402397710499402</v>
      </c>
      <c r="AT21">
        <f>(104.7*AQ21+0.307*S21-15)*(S21^0.75)*10^-3</f>
        <v>0.86186034677094148</v>
      </c>
      <c r="AU21">
        <f t="shared" si="12"/>
        <v>0.85670984960634056</v>
      </c>
      <c r="AV21">
        <f>(AU21 * Q21) + (0.045 * AJ21)</f>
        <v>0.10280518195276087</v>
      </c>
      <c r="AW21">
        <f t="shared" si="13"/>
        <v>0.08</v>
      </c>
      <c r="AX21">
        <f>(AU21 * ((1 - R21) + (0.04 * AU21))) * ( 1 - AW21 )</f>
        <v>0.31075172719360067</v>
      </c>
      <c r="AY21">
        <f t="shared" si="14"/>
        <v>0.24</v>
      </c>
      <c r="AZ21">
        <f t="shared" si="15"/>
        <v>0.6784</v>
      </c>
      <c r="BA21">
        <f t="shared" si="20"/>
        <v>0</v>
      </c>
      <c r="BB21">
        <f t="shared" si="16"/>
        <v>2.3779816010934047E-4</v>
      </c>
      <c r="BC21">
        <f t="shared" si="17"/>
        <v>2.3779816010934047E-4</v>
      </c>
      <c r="BD21">
        <f t="shared" si="18"/>
        <v>2.9293760848469379</v>
      </c>
      <c r="BF21">
        <f>L21*AL21*O21</f>
        <v>196.73221362889163</v>
      </c>
      <c r="BW21" s="8" t="s">
        <v>165</v>
      </c>
      <c r="BX21" s="8" t="s">
        <v>170</v>
      </c>
      <c r="BY21">
        <v>-0.01</v>
      </c>
      <c r="BZ21">
        <v>0</v>
      </c>
      <c r="CA21">
        <v>0</v>
      </c>
      <c r="CB21">
        <v>0</v>
      </c>
      <c r="CC21">
        <v>0</v>
      </c>
      <c r="CD21">
        <v>-0.05</v>
      </c>
      <c r="CE21">
        <v>3</v>
      </c>
      <c r="CI21" t="s">
        <v>164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0.11</v>
      </c>
    </row>
    <row r="22" spans="8:93" x14ac:dyDescent="0.2">
      <c r="H22" s="13"/>
      <c r="I22" t="s">
        <v>166</v>
      </c>
      <c r="J22">
        <f t="shared" si="23"/>
        <v>2</v>
      </c>
      <c r="K22">
        <f t="shared" si="24"/>
        <v>0.65</v>
      </c>
      <c r="L22">
        <v>130</v>
      </c>
      <c r="M22">
        <v>0</v>
      </c>
      <c r="N22">
        <v>0</v>
      </c>
      <c r="O22">
        <f>$BS$3</f>
        <v>91.25</v>
      </c>
      <c r="P22">
        <v>0.02</v>
      </c>
      <c r="Q22">
        <v>0.18</v>
      </c>
      <c r="R22">
        <v>0.72</v>
      </c>
      <c r="S22">
        <v>45</v>
      </c>
      <c r="T22">
        <f t="shared" si="0"/>
        <v>0</v>
      </c>
      <c r="U22">
        <f t="shared" si="1"/>
        <v>1</v>
      </c>
      <c r="V22">
        <f t="shared" si="2"/>
        <v>0.72</v>
      </c>
      <c r="W22">
        <f>$BS$10</f>
        <v>4.7000000000000002E-3</v>
      </c>
      <c r="X22">
        <f t="shared" si="3"/>
        <v>0</v>
      </c>
      <c r="Y22">
        <f>$BS$4</f>
        <v>0.24</v>
      </c>
      <c r="Z22">
        <f>$BS$6</f>
        <v>1.0999999999999999E-2</v>
      </c>
      <c r="AA22">
        <f>$BS$5</f>
        <v>0.21</v>
      </c>
      <c r="AB22">
        <f t="shared" si="4"/>
        <v>5.8999999999999999E-3</v>
      </c>
      <c r="AC22">
        <f>(M22/100)*(MIN(N22,100)/100)</f>
        <v>0</v>
      </c>
      <c r="AD22">
        <f t="shared" si="5"/>
        <v>0</v>
      </c>
      <c r="AE22">
        <f>J22 * K22 / 365</f>
        <v>3.5616438356164386E-3</v>
      </c>
      <c r="AF22">
        <f>P22 * 0.92</f>
        <v>1.84E-2</v>
      </c>
      <c r="AG22">
        <v>57</v>
      </c>
      <c r="AH22">
        <f>S22 / AG22</f>
        <v>0.78947368421052633</v>
      </c>
      <c r="AI22">
        <v>0</v>
      </c>
      <c r="AJ22">
        <f t="shared" si="6"/>
        <v>0</v>
      </c>
      <c r="AK22">
        <f t="shared" si="7"/>
        <v>7.2777894310489225E-4</v>
      </c>
      <c r="AL22">
        <f>(AV22 / 6.25 ) - AK22</f>
        <v>2.8503402354687943E-2</v>
      </c>
      <c r="AM22">
        <f>IF($G$11="wet",$BU$18,$BU$19)</f>
        <v>6.0000000000000001E-3</v>
      </c>
      <c r="AN22">
        <f t="shared" si="8"/>
        <v>1.5714285714285714</v>
      </c>
      <c r="AO22">
        <f t="shared" si="9"/>
        <v>1.3</v>
      </c>
      <c r="AP22">
        <f t="shared" si="10"/>
        <v>1</v>
      </c>
      <c r="AQ22">
        <f>(0.795*R22)-0.0014</f>
        <v>0.57100000000000006</v>
      </c>
      <c r="AR22">
        <v>1.7</v>
      </c>
      <c r="AS22">
        <f t="shared" si="11"/>
        <v>0.99691128459176326</v>
      </c>
      <c r="AT22">
        <f>(104.7*AQ22+0.307*S22-15)*(S22^0.75)*10^-3</f>
        <v>1.0181162441707754</v>
      </c>
      <c r="AU22">
        <f t="shared" si="12"/>
        <v>1.014971572840029</v>
      </c>
      <c r="AV22">
        <f>(AU22 * Q22) + (0.045 * AJ22)</f>
        <v>0.18269488311120521</v>
      </c>
      <c r="AW22">
        <f t="shared" si="13"/>
        <v>0.08</v>
      </c>
      <c r="AX22">
        <f>(AU22 * ((1 - R22) + (0.04 * AU22))) * ( 1 - AW22 )</f>
        <v>0.29936683357077126</v>
      </c>
      <c r="AY22">
        <f t="shared" si="14"/>
        <v>0.24</v>
      </c>
      <c r="AZ22">
        <f t="shared" si="15"/>
        <v>0.6784</v>
      </c>
      <c r="BA22">
        <f t="shared" si="20"/>
        <v>0</v>
      </c>
      <c r="BB22">
        <f t="shared" si="16"/>
        <v>2.2908603876089584E-4</v>
      </c>
      <c r="BC22">
        <f t="shared" si="17"/>
        <v>2.2908603876089584E-4</v>
      </c>
      <c r="BD22">
        <f t="shared" si="18"/>
        <v>2.7175331348011267</v>
      </c>
      <c r="BF22">
        <f>L22*AL22*O22</f>
        <v>338.12161043248574</v>
      </c>
      <c r="BW22" s="8" t="s">
        <v>166</v>
      </c>
      <c r="BX22" s="8" t="s">
        <v>170</v>
      </c>
      <c r="BY22">
        <v>0.01</v>
      </c>
      <c r="BZ22">
        <v>-0.02</v>
      </c>
      <c r="CA22">
        <v>0</v>
      </c>
      <c r="CB22">
        <v>0</v>
      </c>
      <c r="CC22">
        <v>0</v>
      </c>
      <c r="CD22">
        <v>0.05</v>
      </c>
      <c r="CE22">
        <v>4</v>
      </c>
      <c r="CI22" t="s">
        <v>165</v>
      </c>
      <c r="CJ22">
        <v>-0.2</v>
      </c>
      <c r="CK22">
        <v>-0.1</v>
      </c>
      <c r="CL22">
        <v>0</v>
      </c>
      <c r="CM22">
        <v>0</v>
      </c>
      <c r="CN22">
        <v>0</v>
      </c>
      <c r="CO22">
        <v>0.13</v>
      </c>
    </row>
    <row r="23" spans="8:93" x14ac:dyDescent="0.2">
      <c r="H23" s="12" t="s">
        <v>170</v>
      </c>
      <c r="I23" t="s">
        <v>163</v>
      </c>
      <c r="J23">
        <v>2</v>
      </c>
      <c r="K23">
        <v>0.7</v>
      </c>
      <c r="L23">
        <v>200</v>
      </c>
      <c r="M23">
        <v>0</v>
      </c>
      <c r="N23">
        <v>0</v>
      </c>
      <c r="O23">
        <f>$BS$3</f>
        <v>91.25</v>
      </c>
      <c r="P23">
        <v>0.05</v>
      </c>
      <c r="Q23">
        <v>0.2</v>
      </c>
      <c r="R23">
        <v>0.75</v>
      </c>
      <c r="S23">
        <v>56</v>
      </c>
      <c r="T23">
        <f t="shared" si="0"/>
        <v>0</v>
      </c>
      <c r="U23">
        <f t="shared" si="1"/>
        <v>1</v>
      </c>
      <c r="V23">
        <f t="shared" si="2"/>
        <v>0.72</v>
      </c>
      <c r="W23">
        <f>$BS$10</f>
        <v>4.7000000000000002E-3</v>
      </c>
      <c r="X23">
        <f t="shared" si="3"/>
        <v>0</v>
      </c>
      <c r="Y23">
        <f>$BS$4</f>
        <v>0.24</v>
      </c>
      <c r="Z23">
        <f>$BS$6</f>
        <v>1.0999999999999999E-2</v>
      </c>
      <c r="AA23">
        <f>$BS$5</f>
        <v>0.21</v>
      </c>
      <c r="AB23">
        <f t="shared" si="4"/>
        <v>5.8999999999999999E-3</v>
      </c>
      <c r="AC23">
        <f>(M23/100)*(MIN(N23,100)/100)</f>
        <v>0</v>
      </c>
      <c r="AD23">
        <f t="shared" si="5"/>
        <v>0</v>
      </c>
      <c r="AE23">
        <f>J23 * K23 / 365</f>
        <v>3.8356164383561643E-3</v>
      </c>
      <c r="AF23">
        <f>P23 * 0.92</f>
        <v>4.6000000000000006E-2</v>
      </c>
      <c r="AG23">
        <v>57</v>
      </c>
      <c r="AH23">
        <f>S23 / AG23</f>
        <v>0.98245614035087714</v>
      </c>
      <c r="AI23">
        <v>0</v>
      </c>
      <c r="AJ23">
        <f t="shared" si="6"/>
        <v>0</v>
      </c>
      <c r="AK23">
        <f t="shared" si="7"/>
        <v>1.0761713957214488E-3</v>
      </c>
      <c r="AL23">
        <f>(AV23 / 6.25 ) - AK23</f>
        <v>4.1158340075111606E-2</v>
      </c>
      <c r="AM23">
        <f>IF($G$11="wet",$BU$18,$BU$19)</f>
        <v>6.0000000000000001E-3</v>
      </c>
      <c r="AN23">
        <f t="shared" si="8"/>
        <v>1.5714285714285714</v>
      </c>
      <c r="AO23">
        <f t="shared" si="9"/>
        <v>1.3</v>
      </c>
      <c r="AP23">
        <f t="shared" si="10"/>
        <v>1</v>
      </c>
      <c r="AQ23">
        <f>(0.795*R23)-0.0014</f>
        <v>0.5948500000000001</v>
      </c>
      <c r="AR23">
        <v>2.9</v>
      </c>
      <c r="AS23">
        <f t="shared" si="11"/>
        <v>0.9999999504359468</v>
      </c>
      <c r="AT23">
        <f>(104.7*AQ23+0.307*S23-15)*(S23^0.75)*10^-3</f>
        <v>1.3198285488795851</v>
      </c>
      <c r="AU23">
        <f t="shared" si="12"/>
        <v>1.3198284834635328</v>
      </c>
      <c r="AV23">
        <f>(AU23 * Q23) + (0.045 * AJ23)</f>
        <v>0.26396569669270659</v>
      </c>
      <c r="AW23">
        <f t="shared" si="13"/>
        <v>0.08</v>
      </c>
      <c r="AX23">
        <f>(AU23 * ((1 - R23) + (0.04 * AU23))) * ( 1 - AW23 )</f>
        <v>0.3676642091046412</v>
      </c>
      <c r="AY23">
        <f t="shared" si="14"/>
        <v>0.24</v>
      </c>
      <c r="AZ23">
        <f t="shared" si="15"/>
        <v>0.6784</v>
      </c>
      <c r="BA23">
        <f t="shared" si="20"/>
        <v>0</v>
      </c>
      <c r="BB23">
        <f t="shared" si="16"/>
        <v>2.8134959458703197E-4</v>
      </c>
      <c r="BC23">
        <f t="shared" si="17"/>
        <v>2.8134959458703197E-4</v>
      </c>
      <c r="BD23">
        <f t="shared" si="18"/>
        <v>5.1346301012133333</v>
      </c>
      <c r="BF23">
        <f>L23*AL23*O23</f>
        <v>751.13970637078694</v>
      </c>
      <c r="BW23" s="8" t="s">
        <v>163</v>
      </c>
      <c r="BX23" s="8" t="s">
        <v>162</v>
      </c>
      <c r="BY23">
        <v>7.0000000000000007E-2</v>
      </c>
      <c r="BZ23">
        <v>-0.02</v>
      </c>
      <c r="CA23">
        <v>0.11</v>
      </c>
      <c r="CB23">
        <v>0.16</v>
      </c>
      <c r="CC23">
        <v>0.11</v>
      </c>
      <c r="CD23">
        <v>0.11</v>
      </c>
      <c r="CE23">
        <v>1</v>
      </c>
      <c r="CI23" t="s">
        <v>166</v>
      </c>
      <c r="CJ23">
        <v>0</v>
      </c>
      <c r="CK23">
        <v>-0.1</v>
      </c>
      <c r="CL23">
        <v>0.5</v>
      </c>
      <c r="CM23">
        <v>0.02</v>
      </c>
      <c r="CN23">
        <v>0</v>
      </c>
      <c r="CO23">
        <v>7.0000000000000007E-2</v>
      </c>
    </row>
    <row r="24" spans="8:93" x14ac:dyDescent="0.2">
      <c r="H24" s="13"/>
      <c r="I24" t="s">
        <v>164</v>
      </c>
      <c r="J24">
        <f>J23</f>
        <v>2</v>
      </c>
      <c r="K24">
        <f>K23</f>
        <v>0.7</v>
      </c>
      <c r="L24">
        <v>210</v>
      </c>
      <c r="M24">
        <v>0</v>
      </c>
      <c r="N24">
        <v>0</v>
      </c>
      <c r="O24">
        <f>$BS$3</f>
        <v>91.25</v>
      </c>
      <c r="P24">
        <v>-0.05</v>
      </c>
      <c r="Q24">
        <v>0.1</v>
      </c>
      <c r="R24">
        <v>0.61</v>
      </c>
      <c r="S24">
        <v>51</v>
      </c>
      <c r="T24">
        <f t="shared" si="0"/>
        <v>0</v>
      </c>
      <c r="U24">
        <f t="shared" si="1"/>
        <v>1</v>
      </c>
      <c r="V24">
        <f t="shared" si="2"/>
        <v>0.72</v>
      </c>
      <c r="W24">
        <f>$BS$10</f>
        <v>4.7000000000000002E-3</v>
      </c>
      <c r="X24">
        <f t="shared" si="3"/>
        <v>0</v>
      </c>
      <c r="Y24">
        <f>$BS$4</f>
        <v>0.24</v>
      </c>
      <c r="Z24">
        <f>$BS$6</f>
        <v>1.0999999999999999E-2</v>
      </c>
      <c r="AA24">
        <f>$BS$5</f>
        <v>0.21</v>
      </c>
      <c r="AB24">
        <f t="shared" si="4"/>
        <v>5.8999999999999999E-3</v>
      </c>
      <c r="AC24">
        <f>(M24/100)*(MIN(N24,100)/100)</f>
        <v>0</v>
      </c>
      <c r="AD24">
        <f t="shared" si="5"/>
        <v>0</v>
      </c>
      <c r="AE24">
        <f>J24 * K24 / 365</f>
        <v>3.8356164383561643E-3</v>
      </c>
      <c r="AF24">
        <f>P24 * 0.92</f>
        <v>-4.6000000000000006E-2</v>
      </c>
      <c r="AG24">
        <v>57</v>
      </c>
      <c r="AH24">
        <f>S24 / AG24</f>
        <v>0.89473684210526316</v>
      </c>
      <c r="AI24">
        <v>0</v>
      </c>
      <c r="AJ24">
        <f t="shared" si="6"/>
        <v>0</v>
      </c>
      <c r="AK24">
        <f t="shared" si="7"/>
        <v>-6.7008407966660379E-5</v>
      </c>
      <c r="AL24">
        <f>(AV24 / 6.25 ) - AK24</f>
        <v>1.5726717450560028E-2</v>
      </c>
      <c r="AM24">
        <f>IF($G$11="wet",$BU$18,$BU$19)</f>
        <v>6.0000000000000001E-3</v>
      </c>
      <c r="AN24">
        <f t="shared" si="8"/>
        <v>1.5714285714285714</v>
      </c>
      <c r="AO24">
        <f t="shared" si="9"/>
        <v>1.3</v>
      </c>
      <c r="AP24">
        <f t="shared" si="10"/>
        <v>1</v>
      </c>
      <c r="AQ24">
        <f>(0.795*R24)-0.0014</f>
        <v>0.48354999999999998</v>
      </c>
      <c r="AR24">
        <v>2.5</v>
      </c>
      <c r="AS24">
        <f t="shared" si="11"/>
        <v>0.99999627334682795</v>
      </c>
      <c r="AT24">
        <f>(104.7*AQ24+0.307*S24-15)*(S24^0.75)*10^-3</f>
        <v>0.97873546256970145</v>
      </c>
      <c r="AU24">
        <f t="shared" si="12"/>
        <v>0.97873181516208529</v>
      </c>
      <c r="AV24">
        <f>(AU24 * Q24) + (0.045 * AJ24)</f>
        <v>9.7873181516208538E-2</v>
      </c>
      <c r="AW24">
        <f t="shared" si="13"/>
        <v>0.08</v>
      </c>
      <c r="AX24">
        <f>(AU24 * ((1 - R24) + (0.04 * AU24))) * ( 1 - AW24 )</f>
        <v>0.38642028282934154</v>
      </c>
      <c r="AY24">
        <f t="shared" si="14"/>
        <v>0.24</v>
      </c>
      <c r="AZ24">
        <f t="shared" si="15"/>
        <v>0.6784</v>
      </c>
      <c r="BA24">
        <f t="shared" si="20"/>
        <v>0</v>
      </c>
      <c r="BB24">
        <f t="shared" si="16"/>
        <v>2.9570240241496779E-4</v>
      </c>
      <c r="BC24">
        <f t="shared" si="17"/>
        <v>2.9570240241496779E-4</v>
      </c>
      <c r="BD24">
        <f t="shared" si="18"/>
        <v>5.6663972862768199</v>
      </c>
      <c r="BF24">
        <f>L24*AL24*O24</f>
        <v>301.36322314635652</v>
      </c>
      <c r="BW24" s="8" t="s">
        <v>164</v>
      </c>
      <c r="BX24" s="8" t="s">
        <v>162</v>
      </c>
      <c r="BY24">
        <v>0</v>
      </c>
      <c r="BZ24">
        <v>0.03</v>
      </c>
      <c r="CA24">
        <v>-0.1</v>
      </c>
      <c r="CB24">
        <v>0</v>
      </c>
      <c r="CC24">
        <v>-0.05</v>
      </c>
      <c r="CD24">
        <v>-0.11</v>
      </c>
      <c r="CE24">
        <v>2</v>
      </c>
      <c r="CH24" t="s">
        <v>177</v>
      </c>
      <c r="CI24" t="s">
        <v>163</v>
      </c>
      <c r="CJ24">
        <v>0.11</v>
      </c>
      <c r="CK24">
        <v>0.11</v>
      </c>
      <c r="CL24">
        <v>0.16</v>
      </c>
      <c r="CM24">
        <v>0.11</v>
      </c>
      <c r="CN24">
        <v>0</v>
      </c>
      <c r="CO24">
        <v>0.15</v>
      </c>
    </row>
    <row r="25" spans="8:93" x14ac:dyDescent="0.2">
      <c r="H25" s="12"/>
      <c r="I25" t="s">
        <v>165</v>
      </c>
      <c r="J25">
        <f t="shared" ref="J25:J26" si="25">J24</f>
        <v>2</v>
      </c>
      <c r="K25">
        <f t="shared" ref="K25:K26" si="26">K24</f>
        <v>0.7</v>
      </c>
      <c r="L25">
        <v>190</v>
      </c>
      <c r="M25">
        <v>0</v>
      </c>
      <c r="N25">
        <v>0</v>
      </c>
      <c r="O25">
        <f>$BS$3</f>
        <v>91.25</v>
      </c>
      <c r="P25">
        <v>-0.01</v>
      </c>
      <c r="Q25">
        <v>0.12</v>
      </c>
      <c r="R25">
        <v>0.64</v>
      </c>
      <c r="S25">
        <v>50</v>
      </c>
      <c r="T25">
        <f t="shared" si="0"/>
        <v>0</v>
      </c>
      <c r="U25">
        <f t="shared" si="1"/>
        <v>1</v>
      </c>
      <c r="V25">
        <f t="shared" si="2"/>
        <v>0.72</v>
      </c>
      <c r="W25">
        <f>$BS$10</f>
        <v>4.7000000000000002E-3</v>
      </c>
      <c r="X25">
        <f t="shared" si="3"/>
        <v>0</v>
      </c>
      <c r="Y25">
        <f>$BS$4</f>
        <v>0.24</v>
      </c>
      <c r="Z25">
        <f>$BS$6</f>
        <v>1.0999999999999999E-2</v>
      </c>
      <c r="AA25">
        <f>$BS$5</f>
        <v>0.21</v>
      </c>
      <c r="AB25">
        <f t="shared" si="4"/>
        <v>5.8999999999999999E-3</v>
      </c>
      <c r="AC25">
        <f>(M25/100)*(MIN(N25,100)/100)</f>
        <v>0</v>
      </c>
      <c r="AD25">
        <f t="shared" si="5"/>
        <v>0</v>
      </c>
      <c r="AE25">
        <f>J25 * K25 / 365</f>
        <v>3.8356164383561643E-3</v>
      </c>
      <c r="AF25">
        <f>P25 * 0.92</f>
        <v>-9.1999999999999998E-3</v>
      </c>
      <c r="AG25">
        <v>57</v>
      </c>
      <c r="AH25">
        <f>S25 / AG25</f>
        <v>0.8771929824561403</v>
      </c>
      <c r="AI25">
        <v>0</v>
      </c>
      <c r="AJ25">
        <f t="shared" si="6"/>
        <v>0</v>
      </c>
      <c r="AK25">
        <f t="shared" si="7"/>
        <v>3.9804023233659479E-4</v>
      </c>
      <c r="AL25">
        <f>(AV25 / 6.25 ) - AK25</f>
        <v>1.8791943153172598E-2</v>
      </c>
      <c r="AM25">
        <f>IF($G$11="wet",$BU$18,$BU$19)</f>
        <v>6.0000000000000001E-3</v>
      </c>
      <c r="AN25">
        <f t="shared" si="8"/>
        <v>1.5714285714285714</v>
      </c>
      <c r="AO25">
        <f t="shared" si="9"/>
        <v>1.3</v>
      </c>
      <c r="AP25">
        <f t="shared" si="10"/>
        <v>1</v>
      </c>
      <c r="AQ25">
        <f>(0.795*R25)-0.0014</f>
        <v>0.50740000000000007</v>
      </c>
      <c r="AR25">
        <v>1.6</v>
      </c>
      <c r="AS25">
        <f t="shared" si="11"/>
        <v>0.99402397710499402</v>
      </c>
      <c r="AT25">
        <f>(104.7*AQ25+0.307*S25-15)*(S25^0.75)*10^-3</f>
        <v>1.0054871153505722</v>
      </c>
      <c r="AU25">
        <f t="shared" si="12"/>
        <v>0.99947830132860371</v>
      </c>
      <c r="AV25">
        <f>(AU25 * Q25) + (0.045 * AJ25)</f>
        <v>0.11993739615943244</v>
      </c>
      <c r="AW25">
        <f t="shared" si="13"/>
        <v>0.08</v>
      </c>
      <c r="AX25">
        <f>(AU25 * ((1 - R25) + (0.04 * AU25))) * ( 1 - AW25 )</f>
        <v>0.36778882639365651</v>
      </c>
      <c r="AY25">
        <f t="shared" si="14"/>
        <v>0.24</v>
      </c>
      <c r="AZ25">
        <f t="shared" si="15"/>
        <v>0.6784</v>
      </c>
      <c r="BA25">
        <f t="shared" si="20"/>
        <v>0</v>
      </c>
      <c r="BB25">
        <f t="shared" si="16"/>
        <v>2.8144495612311498E-4</v>
      </c>
      <c r="BC25">
        <f t="shared" si="17"/>
        <v>2.8144495612311498E-4</v>
      </c>
      <c r="BD25">
        <f t="shared" si="18"/>
        <v>4.8795519267845062</v>
      </c>
      <c r="BF25">
        <f>L25*AL25*O25</f>
        <v>325.80531441812991</v>
      </c>
      <c r="BR25" t="s">
        <v>211</v>
      </c>
      <c r="BW25" s="8" t="s">
        <v>165</v>
      </c>
      <c r="BX25" s="8" t="s">
        <v>162</v>
      </c>
      <c r="BY25">
        <v>-7.0000000000000007E-2</v>
      </c>
      <c r="BZ25">
        <v>0.02</v>
      </c>
      <c r="CA25">
        <v>0</v>
      </c>
      <c r="CB25">
        <v>-0.2</v>
      </c>
      <c r="CC25">
        <v>0</v>
      </c>
      <c r="CD25">
        <v>0</v>
      </c>
      <c r="CE25">
        <v>3</v>
      </c>
      <c r="CI25" t="s">
        <v>164</v>
      </c>
      <c r="CJ25">
        <v>-0.05</v>
      </c>
      <c r="CK25">
        <v>-0.05</v>
      </c>
      <c r="CL25">
        <v>-0.05</v>
      </c>
      <c r="CM25">
        <v>-0.05</v>
      </c>
      <c r="CN25">
        <v>0</v>
      </c>
      <c r="CO25">
        <v>7.0000000000000007E-2</v>
      </c>
    </row>
    <row r="26" spans="8:93" x14ac:dyDescent="0.2">
      <c r="H26" s="13"/>
      <c r="I26" t="s">
        <v>166</v>
      </c>
      <c r="J26">
        <f t="shared" si="25"/>
        <v>2</v>
      </c>
      <c r="K26">
        <f t="shared" si="26"/>
        <v>0.7</v>
      </c>
      <c r="L26">
        <v>180</v>
      </c>
      <c r="M26">
        <v>0</v>
      </c>
      <c r="N26">
        <v>0</v>
      </c>
      <c r="O26">
        <f>$BS$3</f>
        <v>91.25</v>
      </c>
      <c r="P26">
        <v>0.01</v>
      </c>
      <c r="Q26">
        <v>0.18</v>
      </c>
      <c r="R26">
        <v>0.72</v>
      </c>
      <c r="S26">
        <v>51</v>
      </c>
      <c r="T26">
        <f t="shared" si="0"/>
        <v>0</v>
      </c>
      <c r="U26">
        <f t="shared" si="1"/>
        <v>1</v>
      </c>
      <c r="V26">
        <f t="shared" si="2"/>
        <v>0.72</v>
      </c>
      <c r="W26">
        <f>$BS$10</f>
        <v>4.7000000000000002E-3</v>
      </c>
      <c r="X26">
        <f t="shared" si="3"/>
        <v>0</v>
      </c>
      <c r="Y26">
        <f>$BS$4</f>
        <v>0.24</v>
      </c>
      <c r="Z26">
        <f>$BS$6</f>
        <v>1.0999999999999999E-2</v>
      </c>
      <c r="AA26">
        <f>$BS$5</f>
        <v>0.21</v>
      </c>
      <c r="AB26">
        <f t="shared" si="4"/>
        <v>5.8999999999999999E-3</v>
      </c>
      <c r="AC26">
        <f>(M26/100)*(MIN(N26,100)/100)</f>
        <v>0</v>
      </c>
      <c r="AD26">
        <f t="shared" si="5"/>
        <v>0</v>
      </c>
      <c r="AE26">
        <f>J26 * K26 / 365</f>
        <v>3.8356164383561643E-3</v>
      </c>
      <c r="AF26">
        <f>P26 * 0.92</f>
        <v>9.1999999999999998E-3</v>
      </c>
      <c r="AG26">
        <v>57</v>
      </c>
      <c r="AH26">
        <f>S26 / AG26</f>
        <v>0.89473684210526316</v>
      </c>
      <c r="AI26">
        <v>0</v>
      </c>
      <c r="AJ26">
        <f t="shared" si="6"/>
        <v>0</v>
      </c>
      <c r="AK26">
        <f t="shared" si="7"/>
        <v>6.3181847062017697E-4</v>
      </c>
      <c r="AL26">
        <f>(AV26 / 6.25 ) - AK26</f>
        <v>3.2485572667811859E-2</v>
      </c>
      <c r="AM26">
        <f>IF($G$11="wet",$BU$18,$BU$19)</f>
        <v>6.0000000000000001E-3</v>
      </c>
      <c r="AN26">
        <f t="shared" si="8"/>
        <v>1.5714285714285714</v>
      </c>
      <c r="AO26">
        <f t="shared" si="9"/>
        <v>1.3</v>
      </c>
      <c r="AP26">
        <f t="shared" si="10"/>
        <v>1</v>
      </c>
      <c r="AQ26">
        <f>(0.795*R26)-0.0014</f>
        <v>0.57100000000000006</v>
      </c>
      <c r="AR26">
        <v>1.7</v>
      </c>
      <c r="AS26">
        <f t="shared" si="11"/>
        <v>0.99691128459176326</v>
      </c>
      <c r="AT26">
        <f>(104.7*AQ26+0.307*S26-15)*(S26^0.75)*10^-3</f>
        <v>1.1534721617679149</v>
      </c>
      <c r="AU26">
        <f t="shared" si="12"/>
        <v>1.1499094145288902</v>
      </c>
      <c r="AV26">
        <f>(AU26 * Q26) + (0.045 * AJ26)</f>
        <v>0.20698369461520022</v>
      </c>
      <c r="AW26">
        <f t="shared" si="13"/>
        <v>0.08</v>
      </c>
      <c r="AX26">
        <f>(AU26 * ((1 - R26) + (0.04 * AU26))) * ( 1 - AW26 )</f>
        <v>0.34487699833033825</v>
      </c>
      <c r="AY26">
        <f t="shared" si="14"/>
        <v>0.24</v>
      </c>
      <c r="AZ26">
        <f t="shared" si="15"/>
        <v>0.6784</v>
      </c>
      <c r="BA26">
        <f t="shared" si="20"/>
        <v>0</v>
      </c>
      <c r="BB26">
        <f t="shared" si="16"/>
        <v>2.6391201879271607E-4</v>
      </c>
      <c r="BC26">
        <f t="shared" si="17"/>
        <v>2.6391201879271607E-4</v>
      </c>
      <c r="BD26">
        <f t="shared" si="18"/>
        <v>4.3347549086703614</v>
      </c>
      <c r="BF26">
        <f>L26*AL26*O26</f>
        <v>533.57553106880982</v>
      </c>
      <c r="BR26" s="14" t="s">
        <v>203</v>
      </c>
      <c r="BS26" s="14" t="s">
        <v>204</v>
      </c>
      <c r="BT26" s="14">
        <v>0.75</v>
      </c>
      <c r="BW26" s="8" t="s">
        <v>166</v>
      </c>
      <c r="BX26" s="8" t="s">
        <v>162</v>
      </c>
      <c r="BY26">
        <v>0</v>
      </c>
      <c r="BZ26">
        <v>-0.03</v>
      </c>
      <c r="CA26">
        <v>0</v>
      </c>
      <c r="CB26">
        <v>0</v>
      </c>
      <c r="CC26">
        <v>-0.05</v>
      </c>
      <c r="CD26">
        <v>0</v>
      </c>
      <c r="CE26">
        <v>4</v>
      </c>
      <c r="CI26" t="s">
        <v>165</v>
      </c>
      <c r="CJ26">
        <v>0</v>
      </c>
      <c r="CK26">
        <v>-0.03</v>
      </c>
      <c r="CL26">
        <v>-0.02</v>
      </c>
      <c r="CM26">
        <v>-0.02</v>
      </c>
      <c r="CN26">
        <v>0</v>
      </c>
      <c r="CO26">
        <v>0.05</v>
      </c>
    </row>
    <row r="27" spans="8:93" x14ac:dyDescent="0.2">
      <c r="H27" s="12" t="s">
        <v>162</v>
      </c>
      <c r="I27" t="s">
        <v>163</v>
      </c>
      <c r="J27">
        <v>1</v>
      </c>
      <c r="K27">
        <v>0.65</v>
      </c>
      <c r="L27">
        <v>50</v>
      </c>
      <c r="M27">
        <v>0</v>
      </c>
      <c r="N27">
        <v>0</v>
      </c>
      <c r="O27">
        <f>$BS$3</f>
        <v>91.25</v>
      </c>
      <c r="P27">
        <v>7.0000000000000007E-2</v>
      </c>
      <c r="Q27">
        <v>0.2</v>
      </c>
      <c r="R27">
        <v>0.75</v>
      </c>
      <c r="S27">
        <v>75</v>
      </c>
      <c r="T27">
        <f t="shared" si="0"/>
        <v>0</v>
      </c>
      <c r="U27">
        <f t="shared" si="1"/>
        <v>1</v>
      </c>
      <c r="V27">
        <f t="shared" si="2"/>
        <v>0.72</v>
      </c>
      <c r="W27">
        <f>$BS$10</f>
        <v>4.7000000000000002E-3</v>
      </c>
      <c r="X27">
        <f t="shared" si="3"/>
        <v>0</v>
      </c>
      <c r="Y27">
        <f>$BS$4</f>
        <v>0.24</v>
      </c>
      <c r="Z27">
        <f>$BS$6</f>
        <v>1.0999999999999999E-2</v>
      </c>
      <c r="AA27">
        <f>$BS$5</f>
        <v>0.21</v>
      </c>
      <c r="AB27">
        <f t="shared" si="4"/>
        <v>5.8999999999999999E-3</v>
      </c>
      <c r="AC27">
        <f>(M27/100)*(MIN(N27,100)/100)</f>
        <v>0</v>
      </c>
      <c r="AD27">
        <f t="shared" si="5"/>
        <v>0</v>
      </c>
      <c r="AE27">
        <f>J27 * K27 / 365</f>
        <v>1.7808219178082193E-3</v>
      </c>
      <c r="AF27">
        <f>P27 * 0.92</f>
        <v>6.4400000000000013E-2</v>
      </c>
      <c r="AG27">
        <v>78</v>
      </c>
      <c r="AH27">
        <f>S27 / AG27</f>
        <v>0.96153846153846156</v>
      </c>
      <c r="AI27">
        <v>0</v>
      </c>
      <c r="AJ27">
        <f t="shared" si="6"/>
        <v>0</v>
      </c>
      <c r="AK27">
        <f t="shared" si="7"/>
        <v>1.0297560621526452E-3</v>
      </c>
      <c r="AL27">
        <f>(AV27 / 6.25 ) - AK27</f>
        <v>5.6307516155572376E-2</v>
      </c>
      <c r="AM27">
        <f>IF($G$11="wet",$BU$18,$BU$19)</f>
        <v>6.0000000000000001E-3</v>
      </c>
      <c r="AN27">
        <f t="shared" si="8"/>
        <v>1.5714285714285714</v>
      </c>
      <c r="AO27">
        <f t="shared" si="9"/>
        <v>1.3</v>
      </c>
      <c r="AP27">
        <f t="shared" si="10"/>
        <v>1</v>
      </c>
      <c r="AQ27">
        <f>(0.795*R27)-0.0014</f>
        <v>0.5948500000000001</v>
      </c>
      <c r="AR27">
        <v>2.9</v>
      </c>
      <c r="AS27">
        <f t="shared" si="11"/>
        <v>0.9999999504359468</v>
      </c>
      <c r="AT27">
        <f>(104.7*AQ27+0.307*S27-15)*(S27^0.75)*10^-3</f>
        <v>1.7917898456122741</v>
      </c>
      <c r="AU27">
        <f t="shared" si="12"/>
        <v>1.7917897568039067</v>
      </c>
      <c r="AV27">
        <f>(AU27 * Q27) + (0.045 * AJ27)</f>
        <v>0.35835795136078136</v>
      </c>
      <c r="AW27">
        <f t="shared" si="13"/>
        <v>0.08</v>
      </c>
      <c r="AX27">
        <f>(AU27 * ((1 - R27) + (0.04 * AU27))) * ( 1 - AW27 )</f>
        <v>0.53025843166411502</v>
      </c>
      <c r="AY27">
        <f t="shared" si="14"/>
        <v>0.24</v>
      </c>
      <c r="AZ27">
        <f t="shared" si="15"/>
        <v>0.6784</v>
      </c>
      <c r="BA27">
        <f t="shared" si="20"/>
        <v>0</v>
      </c>
      <c r="BB27">
        <f t="shared" si="16"/>
        <v>4.057724170061754E-4</v>
      </c>
      <c r="BC27">
        <f t="shared" si="17"/>
        <v>4.057724170061754E-4</v>
      </c>
      <c r="BD27">
        <f t="shared" si="18"/>
        <v>1.8513366525906754</v>
      </c>
      <c r="BF27">
        <f>L27*AL27*O27</f>
        <v>256.90304245979894</v>
      </c>
      <c r="BR27" s="14" t="s">
        <v>194</v>
      </c>
      <c r="BS27" s="14" t="s">
        <v>205</v>
      </c>
      <c r="BT27" s="14">
        <v>0.45</v>
      </c>
      <c r="BW27" s="8" t="s">
        <v>163</v>
      </c>
      <c r="BX27" s="8" t="s">
        <v>167</v>
      </c>
      <c r="BY27">
        <v>0.08</v>
      </c>
      <c r="BZ27">
        <v>0</v>
      </c>
      <c r="CA27">
        <v>0.11</v>
      </c>
      <c r="CB27">
        <v>0.11</v>
      </c>
      <c r="CC27">
        <v>0.11</v>
      </c>
      <c r="CD27">
        <v>0.13</v>
      </c>
      <c r="CE27">
        <v>1</v>
      </c>
      <c r="CI27" t="s">
        <v>166</v>
      </c>
      <c r="CJ27">
        <v>-0.05</v>
      </c>
      <c r="CK27">
        <v>-0.02</v>
      </c>
      <c r="CL27">
        <v>-0.03</v>
      </c>
      <c r="CM27">
        <v>-0.03</v>
      </c>
      <c r="CN27">
        <v>0</v>
      </c>
      <c r="CO27">
        <v>0.02</v>
      </c>
    </row>
    <row r="28" spans="8:93" x14ac:dyDescent="0.2">
      <c r="H28" s="13"/>
      <c r="I28" t="s">
        <v>164</v>
      </c>
      <c r="J28">
        <f>J27</f>
        <v>1</v>
      </c>
      <c r="K28">
        <f>K27</f>
        <v>0.65</v>
      </c>
      <c r="L28">
        <v>55</v>
      </c>
      <c r="M28">
        <v>0</v>
      </c>
      <c r="N28">
        <v>0</v>
      </c>
      <c r="O28">
        <f>$BS$3</f>
        <v>91.25</v>
      </c>
      <c r="P28">
        <v>0</v>
      </c>
      <c r="Q28">
        <v>0.1</v>
      </c>
      <c r="R28">
        <v>0.61</v>
      </c>
      <c r="S28">
        <v>75</v>
      </c>
      <c r="T28">
        <f t="shared" si="0"/>
        <v>0</v>
      </c>
      <c r="U28">
        <f t="shared" si="1"/>
        <v>1</v>
      </c>
      <c r="V28">
        <f t="shared" si="2"/>
        <v>0.72</v>
      </c>
      <c r="W28">
        <f>$BS$10</f>
        <v>4.7000000000000002E-3</v>
      </c>
      <c r="X28">
        <f t="shared" si="3"/>
        <v>0</v>
      </c>
      <c r="Y28">
        <f>$BS$4</f>
        <v>0.24</v>
      </c>
      <c r="Z28">
        <f>$BS$6</f>
        <v>1.0999999999999999E-2</v>
      </c>
      <c r="AA28">
        <f>$BS$5</f>
        <v>0.21</v>
      </c>
      <c r="AB28">
        <f t="shared" si="4"/>
        <v>5.8999999999999999E-3</v>
      </c>
      <c r="AC28">
        <f>(M28/100)*(MIN(N28,100)/100)</f>
        <v>0</v>
      </c>
      <c r="AD28">
        <f t="shared" si="5"/>
        <v>0</v>
      </c>
      <c r="AE28">
        <f>J28 * K28 / 365</f>
        <v>1.7808219178082193E-3</v>
      </c>
      <c r="AF28">
        <f>P28 * 0.92</f>
        <v>0</v>
      </c>
      <c r="AG28">
        <v>78</v>
      </c>
      <c r="AH28">
        <f>S28 / AG28</f>
        <v>0.96153846153846156</v>
      </c>
      <c r="AI28">
        <v>0</v>
      </c>
      <c r="AJ28">
        <f t="shared" si="6"/>
        <v>0</v>
      </c>
      <c r="AK28">
        <f t="shared" si="7"/>
        <v>2.3934246575342468E-4</v>
      </c>
      <c r="AL28">
        <f>(AV28 / 6.25 ) - AK28</f>
        <v>2.3677410059052224E-2</v>
      </c>
      <c r="AM28">
        <f>IF($G$11="wet",$BU$18,$BU$19)</f>
        <v>6.0000000000000001E-3</v>
      </c>
      <c r="AN28">
        <f t="shared" si="8"/>
        <v>1.5714285714285714</v>
      </c>
      <c r="AO28">
        <f t="shared" si="9"/>
        <v>1.3</v>
      </c>
      <c r="AP28">
        <f t="shared" si="10"/>
        <v>1</v>
      </c>
      <c r="AQ28">
        <f>(0.795*R28)-0.0014</f>
        <v>0.48354999999999998</v>
      </c>
      <c r="AR28">
        <v>2.5</v>
      </c>
      <c r="AS28">
        <f t="shared" si="11"/>
        <v>0.99999627334682795</v>
      </c>
      <c r="AT28">
        <f>(104.7*AQ28+0.307*S28-15)*(S28^0.75)*10^-3</f>
        <v>1.4948026034112167</v>
      </c>
      <c r="AU28">
        <f t="shared" si="12"/>
        <v>1.494797032800353</v>
      </c>
      <c r="AV28">
        <f>(AU28 * Q28) + (0.045 * AJ28)</f>
        <v>0.14947970328003532</v>
      </c>
      <c r="AW28">
        <f t="shared" si="13"/>
        <v>0.08</v>
      </c>
      <c r="AX28">
        <f>(AU28 * ((1 - R28) + (0.04 * AU28))) * ( 1 - AW28 )</f>
        <v>0.61855976399785639</v>
      </c>
      <c r="AY28">
        <f t="shared" si="14"/>
        <v>0.24</v>
      </c>
      <c r="AZ28">
        <f t="shared" si="15"/>
        <v>0.6784</v>
      </c>
      <c r="BA28">
        <f t="shared" si="20"/>
        <v>0</v>
      </c>
      <c r="BB28">
        <f t="shared" si="16"/>
        <v>4.7334370471485243E-4</v>
      </c>
      <c r="BC28">
        <f t="shared" si="17"/>
        <v>4.7334370471485243E-4</v>
      </c>
      <c r="BD28">
        <f t="shared" si="18"/>
        <v>2.3755937180376656</v>
      </c>
      <c r="BF28">
        <f>L28*AL28*O28</f>
        <v>118.83100173386836</v>
      </c>
      <c r="BR28" s="14" t="s">
        <v>195</v>
      </c>
      <c r="BS28" s="14" t="s">
        <v>206</v>
      </c>
      <c r="BT28" s="14">
        <v>0.09</v>
      </c>
      <c r="BW28" s="8" t="s">
        <v>164</v>
      </c>
      <c r="BX28" s="8" t="s">
        <v>167</v>
      </c>
      <c r="BY28">
        <v>-0.08</v>
      </c>
      <c r="BZ28">
        <v>0.05</v>
      </c>
      <c r="CA28">
        <v>-0.1</v>
      </c>
      <c r="CB28">
        <v>0</v>
      </c>
      <c r="CC28">
        <v>-0.05</v>
      </c>
      <c r="CD28">
        <v>-0.05</v>
      </c>
      <c r="CE28">
        <v>2</v>
      </c>
      <c r="CH28" t="s">
        <v>178</v>
      </c>
      <c r="CI28" t="s">
        <v>163</v>
      </c>
      <c r="CJ28">
        <v>0.11</v>
      </c>
      <c r="CK28">
        <v>0.13</v>
      </c>
      <c r="CL28">
        <v>0.05</v>
      </c>
      <c r="CM28">
        <v>0.05</v>
      </c>
      <c r="CN28">
        <v>0.05</v>
      </c>
      <c r="CO28">
        <v>0.11</v>
      </c>
    </row>
    <row r="29" spans="8:93" x14ac:dyDescent="0.2">
      <c r="H29" s="12"/>
      <c r="I29" t="s">
        <v>165</v>
      </c>
      <c r="J29">
        <f t="shared" ref="J29:J30" si="27">J28</f>
        <v>1</v>
      </c>
      <c r="K29">
        <f t="shared" ref="K29:K30" si="28">K28</f>
        <v>0.65</v>
      </c>
      <c r="L29">
        <v>60</v>
      </c>
      <c r="M29">
        <v>0</v>
      </c>
      <c r="N29">
        <v>0</v>
      </c>
      <c r="O29">
        <f>$BS$3</f>
        <v>91.25</v>
      </c>
      <c r="P29">
        <v>-7.0000000000000007E-2</v>
      </c>
      <c r="Q29">
        <v>0.12</v>
      </c>
      <c r="R29">
        <v>0.64</v>
      </c>
      <c r="S29">
        <v>69</v>
      </c>
      <c r="T29">
        <f t="shared" si="0"/>
        <v>0</v>
      </c>
      <c r="U29">
        <f t="shared" si="1"/>
        <v>1</v>
      </c>
      <c r="V29">
        <f t="shared" si="2"/>
        <v>0.72</v>
      </c>
      <c r="W29">
        <f>$BS$10</f>
        <v>4.7000000000000002E-3</v>
      </c>
      <c r="X29">
        <f t="shared" si="3"/>
        <v>0</v>
      </c>
      <c r="Y29">
        <f>$BS$4</f>
        <v>0.24</v>
      </c>
      <c r="Z29">
        <f>$BS$6</f>
        <v>1.0999999999999999E-2</v>
      </c>
      <c r="AA29">
        <f>$BS$5</f>
        <v>0.21</v>
      </c>
      <c r="AB29">
        <f t="shared" si="4"/>
        <v>5.8999999999999999E-3</v>
      </c>
      <c r="AC29">
        <f>(M29/100)*(MIN(N29,100)/100)</f>
        <v>0</v>
      </c>
      <c r="AD29">
        <f t="shared" si="5"/>
        <v>0</v>
      </c>
      <c r="AE29">
        <f>J29 * K29 / 365</f>
        <v>1.7808219178082193E-3</v>
      </c>
      <c r="AF29">
        <f>P29 * 0.92</f>
        <v>-6.4400000000000013E-2</v>
      </c>
      <c r="AG29">
        <v>78</v>
      </c>
      <c r="AH29">
        <f>S29 / AG29</f>
        <v>0.88461538461538458</v>
      </c>
      <c r="AI29">
        <v>0</v>
      </c>
      <c r="AJ29">
        <f t="shared" si="6"/>
        <v>0</v>
      </c>
      <c r="AK29">
        <f t="shared" si="7"/>
        <v>-5.8067645512978143E-4</v>
      </c>
      <c r="AL29">
        <f>(AV29 / 6.25 ) - AK29</f>
        <v>2.7679259014053301E-2</v>
      </c>
      <c r="AM29">
        <f>IF($G$11="wet",$BU$18,$BU$19)</f>
        <v>6.0000000000000001E-3</v>
      </c>
      <c r="AN29">
        <f t="shared" si="8"/>
        <v>1.5714285714285714</v>
      </c>
      <c r="AO29">
        <f t="shared" si="9"/>
        <v>1.3</v>
      </c>
      <c r="AP29">
        <f t="shared" si="10"/>
        <v>1</v>
      </c>
      <c r="AQ29">
        <f>(0.795*R29)-0.0014</f>
        <v>0.50740000000000007</v>
      </c>
      <c r="AR29">
        <v>1.6</v>
      </c>
      <c r="AS29">
        <f t="shared" si="11"/>
        <v>0.99402397710499402</v>
      </c>
      <c r="AT29">
        <f>(104.7*AQ29+0.307*S29-15)*(S29^0.75)*10^-3</f>
        <v>1.4198696820048529</v>
      </c>
      <c r="AU29">
        <f t="shared" si="12"/>
        <v>1.4113845082772669</v>
      </c>
      <c r="AV29">
        <f>(AU29 * Q29) + (0.045 * AJ29)</f>
        <v>0.16936614099327202</v>
      </c>
      <c r="AW29">
        <f t="shared" si="13"/>
        <v>0.08</v>
      </c>
      <c r="AX29">
        <f>(AU29 * ((1 - R29) + (0.04 * AU29))) * ( 1 - AW29 )</f>
        <v>0.54075637841297708</v>
      </c>
      <c r="AY29">
        <f t="shared" si="14"/>
        <v>0.24</v>
      </c>
      <c r="AZ29">
        <f t="shared" si="15"/>
        <v>0.6784</v>
      </c>
      <c r="BA29">
        <f t="shared" si="20"/>
        <v>0</v>
      </c>
      <c r="BB29">
        <f t="shared" si="16"/>
        <v>4.138058153861302E-4</v>
      </c>
      <c r="BC29">
        <f t="shared" si="17"/>
        <v>4.138058153861302E-4</v>
      </c>
      <c r="BD29">
        <f t="shared" si="18"/>
        <v>2.265586839239063</v>
      </c>
      <c r="BF29">
        <f>L29*AL29*O29</f>
        <v>151.54394310194181</v>
      </c>
      <c r="BR29" s="14" t="s">
        <v>196</v>
      </c>
      <c r="BS29" s="14" t="s">
        <v>207</v>
      </c>
      <c r="BT29" s="14">
        <v>0.26</v>
      </c>
      <c r="BW29" s="8" t="s">
        <v>165</v>
      </c>
      <c r="BX29" s="8" t="s">
        <v>167</v>
      </c>
      <c r="BY29">
        <v>0</v>
      </c>
      <c r="BZ29">
        <v>0</v>
      </c>
      <c r="CA29">
        <v>-0.1</v>
      </c>
      <c r="CB29">
        <v>-0.1</v>
      </c>
      <c r="CC29">
        <v>-0.03</v>
      </c>
      <c r="CD29">
        <v>-0.08</v>
      </c>
      <c r="CE29">
        <v>3</v>
      </c>
      <c r="CI29" t="s">
        <v>164</v>
      </c>
      <c r="CJ29">
        <v>-0.11</v>
      </c>
      <c r="CK29">
        <v>-0.05</v>
      </c>
      <c r="CL29">
        <v>-0.05</v>
      </c>
      <c r="CM29">
        <v>-0.05</v>
      </c>
      <c r="CN29">
        <v>-0.05</v>
      </c>
      <c r="CO29">
        <v>0</v>
      </c>
    </row>
    <row r="30" spans="8:93" x14ac:dyDescent="0.2">
      <c r="H30" s="13"/>
      <c r="I30" t="s">
        <v>166</v>
      </c>
      <c r="J30">
        <f t="shared" si="27"/>
        <v>1</v>
      </c>
      <c r="K30">
        <f t="shared" si="28"/>
        <v>0.65</v>
      </c>
      <c r="L30">
        <v>65</v>
      </c>
      <c r="M30">
        <v>0</v>
      </c>
      <c r="N30">
        <v>0</v>
      </c>
      <c r="O30">
        <f>$BS$3</f>
        <v>91.25</v>
      </c>
      <c r="P30">
        <v>0</v>
      </c>
      <c r="Q30">
        <v>0.18</v>
      </c>
      <c r="R30">
        <v>0.72</v>
      </c>
      <c r="S30">
        <v>69</v>
      </c>
      <c r="T30">
        <f t="shared" si="0"/>
        <v>0</v>
      </c>
      <c r="U30">
        <f t="shared" si="1"/>
        <v>1</v>
      </c>
      <c r="V30">
        <f t="shared" si="2"/>
        <v>0.72</v>
      </c>
      <c r="W30">
        <f>$BS$10</f>
        <v>4.7000000000000002E-3</v>
      </c>
      <c r="X30">
        <f t="shared" si="3"/>
        <v>0</v>
      </c>
      <c r="Y30">
        <f>$BS$4</f>
        <v>0.24</v>
      </c>
      <c r="Z30">
        <f>$BS$6</f>
        <v>1.0999999999999999E-2</v>
      </c>
      <c r="AA30">
        <f>$BS$5</f>
        <v>0.21</v>
      </c>
      <c r="AB30">
        <f t="shared" si="4"/>
        <v>5.8999999999999999E-3</v>
      </c>
      <c r="AC30">
        <f>(M30/100)*(MIN(N30,100)/100)</f>
        <v>0</v>
      </c>
      <c r="AD30">
        <f t="shared" si="5"/>
        <v>0</v>
      </c>
      <c r="AE30">
        <f>J30 * K30 / 365</f>
        <v>1.7808219178082193E-3</v>
      </c>
      <c r="AF30">
        <f>P30 * 0.92</f>
        <v>0</v>
      </c>
      <c r="AG30">
        <v>78</v>
      </c>
      <c r="AH30">
        <f>S30 / AG30</f>
        <v>0.88461538461538458</v>
      </c>
      <c r="AI30">
        <v>0</v>
      </c>
      <c r="AJ30">
        <f t="shared" si="6"/>
        <v>0</v>
      </c>
      <c r="AK30">
        <f t="shared" si="7"/>
        <v>2.3934246575342468E-4</v>
      </c>
      <c r="AL30">
        <f>(AV30 / 6.25 ) - AK30</f>
        <v>4.5103691581787016E-2</v>
      </c>
      <c r="AM30">
        <f>IF($G$11="wet",$BU$18,$BU$19)</f>
        <v>6.0000000000000001E-3</v>
      </c>
      <c r="AN30">
        <f t="shared" si="8"/>
        <v>1.5714285714285714</v>
      </c>
      <c r="AO30">
        <f t="shared" si="9"/>
        <v>1.3</v>
      </c>
      <c r="AP30">
        <f t="shared" si="10"/>
        <v>1</v>
      </c>
      <c r="AQ30">
        <f>(0.795*R30)-0.0014</f>
        <v>0.57100000000000006</v>
      </c>
      <c r="AR30">
        <v>1.7</v>
      </c>
      <c r="AS30">
        <f t="shared" si="11"/>
        <v>0.99691128459176326</v>
      </c>
      <c r="AT30">
        <f>(104.7*AQ30+0.307*S30-15)*(S30^0.75)*10^-3</f>
        <v>1.5792888783210146</v>
      </c>
      <c r="AU30">
        <f t="shared" si="12"/>
        <v>1.5744109044284875</v>
      </c>
      <c r="AV30">
        <f>(AU30 * Q30) + (0.045 * AJ30)</f>
        <v>0.28339396279712775</v>
      </c>
      <c r="AW30">
        <f t="shared" si="13"/>
        <v>0.08</v>
      </c>
      <c r="AX30">
        <f>(AU30 * ((1 - R30) + (0.04 * AU30))) * ( 1 - AW30 )</f>
        <v>0.49678697379296494</v>
      </c>
      <c r="AY30">
        <f t="shared" si="14"/>
        <v>0.24</v>
      </c>
      <c r="AZ30">
        <f t="shared" si="15"/>
        <v>0.6784</v>
      </c>
      <c r="BA30">
        <f t="shared" si="20"/>
        <v>0</v>
      </c>
      <c r="BB30">
        <f t="shared" si="16"/>
        <v>3.8015887924785428E-4</v>
      </c>
      <c r="BC30">
        <f t="shared" si="17"/>
        <v>3.8015887924785428E-4</v>
      </c>
      <c r="BD30">
        <f t="shared" si="18"/>
        <v>2.2548173525388355</v>
      </c>
      <c r="BF30">
        <f>L30*AL30*O30</f>
        <v>267.52127069447425</v>
      </c>
      <c r="BR30" s="14" t="s">
        <v>197</v>
      </c>
      <c r="BS30" s="14" t="s">
        <v>208</v>
      </c>
      <c r="BT30" s="14">
        <v>0.5</v>
      </c>
      <c r="BW30" s="8" t="s">
        <v>166</v>
      </c>
      <c r="BX30" s="8" t="s">
        <v>167</v>
      </c>
      <c r="BY30">
        <v>0</v>
      </c>
      <c r="BZ30">
        <v>-0.05</v>
      </c>
      <c r="CA30">
        <v>0</v>
      </c>
      <c r="CB30">
        <v>-0.1</v>
      </c>
      <c r="CC30">
        <v>-0.02</v>
      </c>
      <c r="CD30">
        <v>0</v>
      </c>
      <c r="CE30">
        <v>4</v>
      </c>
      <c r="CI30" t="s">
        <v>165</v>
      </c>
      <c r="CJ30">
        <v>0</v>
      </c>
      <c r="CK30">
        <v>-0.08</v>
      </c>
      <c r="CL30">
        <v>0.11</v>
      </c>
      <c r="CM30">
        <v>-0.05</v>
      </c>
      <c r="CN30">
        <v>-0.05</v>
      </c>
      <c r="CO30">
        <v>0.11</v>
      </c>
    </row>
    <row r="31" spans="8:93" x14ac:dyDescent="0.2">
      <c r="H31" s="12" t="s">
        <v>167</v>
      </c>
      <c r="I31" t="s">
        <v>163</v>
      </c>
      <c r="J31">
        <v>0.5</v>
      </c>
      <c r="K31">
        <v>0.65</v>
      </c>
      <c r="L31">
        <v>50</v>
      </c>
      <c r="M31">
        <v>0</v>
      </c>
      <c r="N31">
        <v>0</v>
      </c>
      <c r="O31">
        <f>$BS$3</f>
        <v>91.25</v>
      </c>
      <c r="P31">
        <v>0.08</v>
      </c>
      <c r="Q31">
        <v>0.2</v>
      </c>
      <c r="R31">
        <v>0.75</v>
      </c>
      <c r="S31">
        <v>62</v>
      </c>
      <c r="T31">
        <f t="shared" si="0"/>
        <v>0</v>
      </c>
      <c r="U31">
        <f t="shared" si="1"/>
        <v>1</v>
      </c>
      <c r="V31">
        <f t="shared" si="2"/>
        <v>0.72</v>
      </c>
      <c r="W31">
        <f>$BS$10</f>
        <v>4.7000000000000002E-3</v>
      </c>
      <c r="X31">
        <f t="shared" si="3"/>
        <v>0</v>
      </c>
      <c r="Y31">
        <f>$BS$4</f>
        <v>0.24</v>
      </c>
      <c r="Z31">
        <f>$BS$6</f>
        <v>1.0999999999999999E-2</v>
      </c>
      <c r="AA31">
        <f>$BS$5</f>
        <v>0.21</v>
      </c>
      <c r="AB31">
        <f t="shared" si="4"/>
        <v>5.8999999999999999E-3</v>
      </c>
      <c r="AC31">
        <f>(M31/100)*(MIN(N31,100)/100)</f>
        <v>0</v>
      </c>
      <c r="AD31">
        <f t="shared" si="5"/>
        <v>0</v>
      </c>
      <c r="AE31">
        <f>J31 * K31 / 365</f>
        <v>8.9041095890410966E-4</v>
      </c>
      <c r="AF31">
        <f>P31 * 0.92</f>
        <v>7.3599999999999999E-2</v>
      </c>
      <c r="AG31">
        <v>62</v>
      </c>
      <c r="AH31">
        <f>S31 / AG31</f>
        <v>1</v>
      </c>
      <c r="AI31">
        <v>0</v>
      </c>
      <c r="AJ31">
        <f t="shared" si="6"/>
        <v>0</v>
      </c>
      <c r="AK31">
        <f t="shared" si="7"/>
        <v>1.0116016126962319E-3</v>
      </c>
      <c r="AL31">
        <f>(AV31 / 6.25 ) - AK31</f>
        <v>4.58755829416546E-2</v>
      </c>
      <c r="AM31">
        <f>IF($G$11="wet",$BU$18,$BU$19)</f>
        <v>6.0000000000000001E-3</v>
      </c>
      <c r="AN31">
        <f t="shared" si="8"/>
        <v>1.5714285714285714</v>
      </c>
      <c r="AO31">
        <f t="shared" si="9"/>
        <v>1.3</v>
      </c>
      <c r="AP31">
        <f t="shared" si="10"/>
        <v>1</v>
      </c>
      <c r="AQ31">
        <f>(0.795*R31)-0.0014</f>
        <v>0.5948500000000001</v>
      </c>
      <c r="AR31">
        <v>2.9</v>
      </c>
      <c r="AS31">
        <f t="shared" si="11"/>
        <v>0.9999999504359468</v>
      </c>
      <c r="AT31">
        <f>(104.7*AQ31+0.307*S31-15)*(S31^0.75)*10^-3</f>
        <v>1.4652245899459331</v>
      </c>
      <c r="AU31">
        <f t="shared" si="12"/>
        <v>1.4652245173234635</v>
      </c>
      <c r="AV31">
        <f>(AU31 * Q31) + (0.045 * AJ31)</f>
        <v>0.2930449034646927</v>
      </c>
      <c r="AW31">
        <f t="shared" si="13"/>
        <v>0.08</v>
      </c>
      <c r="AX31">
        <f>(AU31 * ((1 - R31) + (0.04 * AU31))) * ( 1 - AW31 )</f>
        <v>0.41600692919529714</v>
      </c>
      <c r="AY31">
        <f t="shared" si="14"/>
        <v>0.24</v>
      </c>
      <c r="AZ31">
        <f t="shared" si="15"/>
        <v>0.6784</v>
      </c>
      <c r="BA31">
        <f t="shared" si="20"/>
        <v>0</v>
      </c>
      <c r="BB31">
        <f t="shared" si="16"/>
        <v>3.1834314566414905E-4</v>
      </c>
      <c r="BC31">
        <f t="shared" si="17"/>
        <v>3.1834314566414905E-4</v>
      </c>
      <c r="BD31">
        <f t="shared" si="18"/>
        <v>1.4524406020926799</v>
      </c>
      <c r="BF31">
        <f>L31*AL31*O31</f>
        <v>209.30734717129909</v>
      </c>
      <c r="BR31" s="14" t="s">
        <v>198</v>
      </c>
      <c r="BS31" s="14" t="s">
        <v>209</v>
      </c>
      <c r="BT31" s="14">
        <v>0.83</v>
      </c>
      <c r="CI31" t="s">
        <v>166</v>
      </c>
      <c r="CJ31">
        <v>0</v>
      </c>
      <c r="CK31">
        <v>0</v>
      </c>
      <c r="CL31">
        <v>0.05</v>
      </c>
      <c r="CM31">
        <v>0.05</v>
      </c>
      <c r="CN31">
        <v>0.05</v>
      </c>
      <c r="CO31">
        <v>0.11</v>
      </c>
    </row>
    <row r="32" spans="8:93" x14ac:dyDescent="0.2">
      <c r="H32" s="13"/>
      <c r="I32" t="s">
        <v>164</v>
      </c>
      <c r="J32">
        <f>J31</f>
        <v>0.5</v>
      </c>
      <c r="K32">
        <f>K31</f>
        <v>0.65</v>
      </c>
      <c r="L32">
        <v>100</v>
      </c>
      <c r="M32">
        <v>0</v>
      </c>
      <c r="N32">
        <v>0</v>
      </c>
      <c r="O32">
        <f>$BS$3</f>
        <v>91.25</v>
      </c>
      <c r="P32">
        <v>-0.08</v>
      </c>
      <c r="Q32">
        <v>0.1</v>
      </c>
      <c r="R32">
        <v>0.61</v>
      </c>
      <c r="S32">
        <v>55</v>
      </c>
      <c r="T32">
        <f t="shared" si="0"/>
        <v>0</v>
      </c>
      <c r="U32">
        <f t="shared" si="1"/>
        <v>1</v>
      </c>
      <c r="V32">
        <f t="shared" si="2"/>
        <v>0.72</v>
      </c>
      <c r="W32">
        <f>$BS$10</f>
        <v>4.7000000000000002E-3</v>
      </c>
      <c r="X32">
        <f t="shared" si="3"/>
        <v>0</v>
      </c>
      <c r="Y32">
        <f>$BS$4</f>
        <v>0.24</v>
      </c>
      <c r="Z32">
        <f>$BS$6</f>
        <v>1.0999999999999999E-2</v>
      </c>
      <c r="AA32">
        <f>$BS$5</f>
        <v>0.21</v>
      </c>
      <c r="AB32">
        <f t="shared" si="4"/>
        <v>5.8999999999999999E-3</v>
      </c>
      <c r="AC32">
        <f>(M32/100)*(MIN(N32,100)/100)</f>
        <v>0</v>
      </c>
      <c r="AD32">
        <f t="shared" si="5"/>
        <v>0</v>
      </c>
      <c r="AE32">
        <f>J32 * K32 / 365</f>
        <v>8.9041095890410966E-4</v>
      </c>
      <c r="AF32">
        <f>P32 * 0.92</f>
        <v>-7.3599999999999999E-2</v>
      </c>
      <c r="AG32">
        <v>62</v>
      </c>
      <c r="AH32">
        <f>S32 / AG32</f>
        <v>0.88709677419354838</v>
      </c>
      <c r="AI32">
        <v>0</v>
      </c>
      <c r="AJ32">
        <f t="shared" si="6"/>
        <v>0</v>
      </c>
      <c r="AK32">
        <f t="shared" si="7"/>
        <v>-8.1676849356428693E-4</v>
      </c>
      <c r="AL32">
        <f>(AV32 / 6.25 ) - AK32</f>
        <v>1.7785704265871654E-2</v>
      </c>
      <c r="AM32">
        <f>IF($G$11="wet",$BU$18,$BU$19)</f>
        <v>6.0000000000000001E-3</v>
      </c>
      <c r="AN32">
        <f t="shared" si="8"/>
        <v>1.5714285714285714</v>
      </c>
      <c r="AO32">
        <f t="shared" si="9"/>
        <v>1.3</v>
      </c>
      <c r="AP32">
        <f t="shared" si="10"/>
        <v>1</v>
      </c>
      <c r="AQ32">
        <f>(0.795*R32)-0.0014</f>
        <v>0.48354999999999998</v>
      </c>
      <c r="AR32">
        <v>2.5</v>
      </c>
      <c r="AS32">
        <f t="shared" si="11"/>
        <v>0.99999627334682795</v>
      </c>
      <c r="AT32">
        <f>(104.7*AQ32+0.307*S32-15)*(S32^0.75)*10^-3</f>
        <v>1.0605624381175847</v>
      </c>
      <c r="AU32">
        <f t="shared" si="12"/>
        <v>1.0605584857692105</v>
      </c>
      <c r="AV32">
        <f>(AU32 * Q32) + (0.045 * AJ32)</f>
        <v>0.10605584857692106</v>
      </c>
      <c r="AW32">
        <f t="shared" si="13"/>
        <v>0.08</v>
      </c>
      <c r="AX32">
        <f>(AU32 * ((1 - R32) + (0.04 * AU32))) * ( 1 - AW32 )</f>
        <v>0.42192044699791736</v>
      </c>
      <c r="AY32">
        <f t="shared" si="14"/>
        <v>0.24</v>
      </c>
      <c r="AZ32">
        <f t="shared" si="15"/>
        <v>0.6784</v>
      </c>
      <c r="BA32">
        <f t="shared" si="20"/>
        <v>0</v>
      </c>
      <c r="BB32">
        <f t="shared" si="16"/>
        <v>3.2286837764254069E-4</v>
      </c>
      <c r="BC32">
        <f t="shared" si="17"/>
        <v>3.2286837764254069E-4</v>
      </c>
      <c r="BD32">
        <f t="shared" si="18"/>
        <v>2.9461739459881837</v>
      </c>
      <c r="BF32">
        <f>L32*AL32*O32</f>
        <v>162.29455142607884</v>
      </c>
      <c r="BR32" s="14" t="s">
        <v>199</v>
      </c>
      <c r="BS32" s="14" t="s">
        <v>210</v>
      </c>
      <c r="BT32" s="14">
        <v>0.41</v>
      </c>
    </row>
    <row r="33" spans="8:93" x14ac:dyDescent="0.2">
      <c r="H33" s="12"/>
      <c r="I33" t="s">
        <v>165</v>
      </c>
      <c r="J33">
        <f t="shared" ref="J33:J34" si="29">J32</f>
        <v>0.5</v>
      </c>
      <c r="K33">
        <f t="shared" ref="K33:K34" si="30">K32</f>
        <v>0.65</v>
      </c>
      <c r="L33">
        <v>90</v>
      </c>
      <c r="M33">
        <v>0</v>
      </c>
      <c r="N33">
        <v>0</v>
      </c>
      <c r="O33">
        <f>$BS$3</f>
        <v>91.25</v>
      </c>
      <c r="P33">
        <v>0</v>
      </c>
      <c r="Q33">
        <v>0.12</v>
      </c>
      <c r="R33">
        <v>0.64</v>
      </c>
      <c r="S33">
        <v>55</v>
      </c>
      <c r="T33">
        <f t="shared" si="0"/>
        <v>0</v>
      </c>
      <c r="U33">
        <f t="shared" si="1"/>
        <v>1</v>
      </c>
      <c r="V33">
        <f t="shared" si="2"/>
        <v>0.72</v>
      </c>
      <c r="W33">
        <f>$BS$10</f>
        <v>4.7000000000000002E-3</v>
      </c>
      <c r="X33">
        <f t="shared" si="3"/>
        <v>0</v>
      </c>
      <c r="Y33">
        <f>$BS$4</f>
        <v>0.24</v>
      </c>
      <c r="Z33">
        <f>$BS$6</f>
        <v>1.0999999999999999E-2</v>
      </c>
      <c r="AA33">
        <f>$BS$5</f>
        <v>0.21</v>
      </c>
      <c r="AB33">
        <f t="shared" si="4"/>
        <v>5.8999999999999999E-3</v>
      </c>
      <c r="AC33">
        <f>(M33/100)*(MIN(N33,100)/100)</f>
        <v>0</v>
      </c>
      <c r="AD33">
        <f t="shared" si="5"/>
        <v>0</v>
      </c>
      <c r="AE33">
        <f>J33 * K33 / 365</f>
        <v>8.9041095890410966E-4</v>
      </c>
      <c r="AF33">
        <f>P33 * 0.92</f>
        <v>0</v>
      </c>
      <c r="AG33">
        <v>62</v>
      </c>
      <c r="AH33">
        <f>S33 / AG33</f>
        <v>0.88709677419354838</v>
      </c>
      <c r="AI33">
        <v>0</v>
      </c>
      <c r="AJ33">
        <f t="shared" si="6"/>
        <v>0</v>
      </c>
      <c r="AK33">
        <f t="shared" si="7"/>
        <v>1.1967123287671234E-4</v>
      </c>
      <c r="AL33">
        <f>(AV33 / 6.25 ) - AK33</f>
        <v>2.1083948851597697E-2</v>
      </c>
      <c r="AM33">
        <f>IF($G$11="wet",$BU$18,$BU$19)</f>
        <v>6.0000000000000001E-3</v>
      </c>
      <c r="AN33">
        <f t="shared" si="8"/>
        <v>1.5714285714285714</v>
      </c>
      <c r="AO33">
        <f t="shared" si="9"/>
        <v>1.3</v>
      </c>
      <c r="AP33">
        <f t="shared" si="10"/>
        <v>1</v>
      </c>
      <c r="AQ33">
        <f>(0.795*R33)-0.0014</f>
        <v>0.50740000000000007</v>
      </c>
      <c r="AR33">
        <v>1.6</v>
      </c>
      <c r="AS33">
        <f t="shared" si="11"/>
        <v>0.99402397710499402</v>
      </c>
      <c r="AT33">
        <f>(104.7*AQ33+0.307*S33-15)*(S33^0.75)*10^-3</f>
        <v>1.1109945415495692</v>
      </c>
      <c r="AU33">
        <f t="shared" si="12"/>
        <v>1.1043552127330423</v>
      </c>
      <c r="AV33">
        <f>(AU33 * Q33) + (0.045 * AJ33)</f>
        <v>0.13252262552796507</v>
      </c>
      <c r="AW33">
        <f t="shared" si="13"/>
        <v>0.08</v>
      </c>
      <c r="AX33">
        <f>(AU33 * ((1 - R33) + (0.04 * AU33))) * ( 1 - AW33 )</f>
        <v>0.41064374249795926</v>
      </c>
      <c r="AY33">
        <f t="shared" si="14"/>
        <v>0.24</v>
      </c>
      <c r="AZ33">
        <f t="shared" si="15"/>
        <v>0.6784</v>
      </c>
      <c r="BA33">
        <f t="shared" si="20"/>
        <v>0</v>
      </c>
      <c r="BB33">
        <f t="shared" si="16"/>
        <v>3.1423904641917434E-4</v>
      </c>
      <c r="BC33">
        <f t="shared" si="17"/>
        <v>3.1423904641917434E-4</v>
      </c>
      <c r="BD33">
        <f t="shared" si="18"/>
        <v>2.5806881687174696</v>
      </c>
      <c r="BF33">
        <f>L33*AL33*O33</f>
        <v>173.1519299437461</v>
      </c>
    </row>
    <row r="34" spans="8:93" x14ac:dyDescent="0.2">
      <c r="H34" s="13"/>
      <c r="I34" t="s">
        <v>166</v>
      </c>
      <c r="J34">
        <f t="shared" si="29"/>
        <v>0.5</v>
      </c>
      <c r="K34">
        <f t="shared" si="30"/>
        <v>0.65</v>
      </c>
      <c r="L34">
        <v>80</v>
      </c>
      <c r="M34">
        <v>0</v>
      </c>
      <c r="N34">
        <v>0</v>
      </c>
      <c r="O34">
        <f>$BS$3</f>
        <v>91.25</v>
      </c>
      <c r="P34">
        <v>0</v>
      </c>
      <c r="Q34">
        <v>0.18</v>
      </c>
      <c r="R34">
        <v>0.72</v>
      </c>
      <c r="S34">
        <v>55</v>
      </c>
      <c r="T34">
        <f t="shared" si="0"/>
        <v>0</v>
      </c>
      <c r="U34">
        <f t="shared" si="1"/>
        <v>1</v>
      </c>
      <c r="V34">
        <f t="shared" si="2"/>
        <v>0.72</v>
      </c>
      <c r="W34">
        <f>$BS$10</f>
        <v>4.7000000000000002E-3</v>
      </c>
      <c r="X34">
        <f t="shared" si="3"/>
        <v>0</v>
      </c>
      <c r="Y34">
        <f>$BS$4</f>
        <v>0.24</v>
      </c>
      <c r="Z34">
        <f>$BS$6</f>
        <v>1.0999999999999999E-2</v>
      </c>
      <c r="AA34">
        <f>$BS$5</f>
        <v>0.21</v>
      </c>
      <c r="AB34">
        <f t="shared" si="4"/>
        <v>5.8999999999999999E-3</v>
      </c>
      <c r="AC34">
        <f>(M34/100)*(MIN(N34,100)/100)</f>
        <v>0</v>
      </c>
      <c r="AD34">
        <f t="shared" si="5"/>
        <v>0</v>
      </c>
      <c r="AE34">
        <f>J34 * K34 / 365</f>
        <v>8.9041095890410966E-4</v>
      </c>
      <c r="AF34">
        <f>P34 * 0.92</f>
        <v>0</v>
      </c>
      <c r="AG34">
        <v>62</v>
      </c>
      <c r="AH34">
        <f>S34 / AG34</f>
        <v>0.88709677419354838</v>
      </c>
      <c r="AI34">
        <v>0</v>
      </c>
      <c r="AJ34">
        <f t="shared" si="6"/>
        <v>0</v>
      </c>
      <c r="AK34">
        <f t="shared" si="7"/>
        <v>1.1967123287671234E-4</v>
      </c>
      <c r="AL34">
        <f>(AV34 / 6.25 ) - AK34</f>
        <v>3.5639365415842103E-2</v>
      </c>
      <c r="AM34">
        <f>IF($G$11="wet",$BU$18,$BU$19)</f>
        <v>6.0000000000000001E-3</v>
      </c>
      <c r="AN34">
        <f t="shared" si="8"/>
        <v>1.5714285714285714</v>
      </c>
      <c r="AO34">
        <f t="shared" si="9"/>
        <v>1.3</v>
      </c>
      <c r="AP34">
        <f t="shared" si="10"/>
        <v>1</v>
      </c>
      <c r="AQ34">
        <f>(0.795*R34)-0.0014</f>
        <v>0.57100000000000006</v>
      </c>
      <c r="AR34">
        <v>1.7</v>
      </c>
      <c r="AS34">
        <f t="shared" si="11"/>
        <v>0.99691128459176326</v>
      </c>
      <c r="AT34">
        <f>(104.7*AQ34+0.307*S34-15)*(S34^0.75)*10^-3</f>
        <v>1.2454801507015281</v>
      </c>
      <c r="AU34">
        <f t="shared" si="12"/>
        <v>1.2416332169694033</v>
      </c>
      <c r="AV34">
        <f>(AU34 * Q34) + (0.045 * AJ34)</f>
        <v>0.22349397905449259</v>
      </c>
      <c r="AW34">
        <f t="shared" si="13"/>
        <v>0.08</v>
      </c>
      <c r="AX34">
        <f>(AU34 * ((1 - R34) + (0.04 * AU34))) * ( 1 - AW34 )</f>
        <v>0.37657754876504823</v>
      </c>
      <c r="AY34">
        <f t="shared" si="14"/>
        <v>0.24</v>
      </c>
      <c r="AZ34">
        <f t="shared" si="15"/>
        <v>0.6784</v>
      </c>
      <c r="BA34">
        <f t="shared" si="20"/>
        <v>0</v>
      </c>
      <c r="BB34">
        <f t="shared" si="16"/>
        <v>2.8817039584473142E-4</v>
      </c>
      <c r="BC34">
        <f t="shared" si="17"/>
        <v>2.8817039584473142E-4</v>
      </c>
      <c r="BD34">
        <f t="shared" si="18"/>
        <v>2.1036438896665395</v>
      </c>
      <c r="BF34">
        <f>L34*AL34*O34</f>
        <v>260.16736753564737</v>
      </c>
    </row>
    <row r="36" spans="8:93" x14ac:dyDescent="0.2">
      <c r="BR36" t="s">
        <v>136</v>
      </c>
      <c r="BW36" t="s">
        <v>190</v>
      </c>
      <c r="BX36" t="s">
        <v>127</v>
      </c>
    </row>
    <row r="37" spans="8:93" ht="17" thickBot="1" x14ac:dyDescent="0.25">
      <c r="BR37" s="14" t="s">
        <v>224</v>
      </c>
      <c r="BS37" s="14">
        <v>5.8999999999999999E-3</v>
      </c>
      <c r="BW37" t="s">
        <v>180</v>
      </c>
      <c r="BX37" t="s">
        <v>161</v>
      </c>
      <c r="BY37" t="s">
        <v>173</v>
      </c>
      <c r="BZ37" t="s">
        <v>271</v>
      </c>
      <c r="CA37" t="s">
        <v>272</v>
      </c>
      <c r="CB37" t="s">
        <v>273</v>
      </c>
      <c r="CC37" t="s">
        <v>274</v>
      </c>
      <c r="CD37" t="s">
        <v>275</v>
      </c>
      <c r="CE37" t="s">
        <v>189</v>
      </c>
      <c r="CH37" s="9" t="s">
        <v>181</v>
      </c>
      <c r="CI37" s="10" t="s">
        <v>182</v>
      </c>
      <c r="CJ37" s="10" t="s">
        <v>183</v>
      </c>
      <c r="CK37" s="10" t="s">
        <v>184</v>
      </c>
      <c r="CL37" s="10" t="s">
        <v>185</v>
      </c>
      <c r="CM37" s="10" t="s">
        <v>186</v>
      </c>
      <c r="CN37" s="10" t="s">
        <v>187</v>
      </c>
      <c r="CO37" s="11" t="s">
        <v>188</v>
      </c>
    </row>
    <row r="38" spans="8:93" ht="17" thickTop="1" x14ac:dyDescent="0.2">
      <c r="BR38" s="14" t="s">
        <v>225</v>
      </c>
      <c r="BS38" s="14">
        <v>7.0000000000000001E-3</v>
      </c>
      <c r="BW38" s="8" t="s">
        <v>163</v>
      </c>
      <c r="BX38" s="8" t="s">
        <v>169</v>
      </c>
      <c r="BY38">
        <v>0.2</v>
      </c>
      <c r="BZ38">
        <v>0.08</v>
      </c>
      <c r="CA38">
        <v>0.16</v>
      </c>
      <c r="CB38">
        <v>0.2</v>
      </c>
      <c r="CC38">
        <v>0.16</v>
      </c>
      <c r="CD38">
        <v>0.18</v>
      </c>
      <c r="CE38">
        <v>1</v>
      </c>
      <c r="CH38" s="2" t="s">
        <v>179</v>
      </c>
      <c r="CI38" s="3" t="s">
        <v>180</v>
      </c>
      <c r="CJ38" s="3" t="s">
        <v>162</v>
      </c>
      <c r="CK38" s="3" t="s">
        <v>167</v>
      </c>
      <c r="CL38" s="3" t="s">
        <v>168</v>
      </c>
      <c r="CM38" s="3" t="s">
        <v>169</v>
      </c>
      <c r="CN38" s="3" t="s">
        <v>170</v>
      </c>
      <c r="CO38" s="6" t="s">
        <v>171</v>
      </c>
    </row>
    <row r="39" spans="8:93" x14ac:dyDescent="0.2">
      <c r="BR39" s="14" t="s">
        <v>226</v>
      </c>
      <c r="BS39" s="14">
        <v>1.8E-3</v>
      </c>
      <c r="BW39" s="8" t="s">
        <v>164</v>
      </c>
      <c r="BX39" s="8" t="s">
        <v>169</v>
      </c>
      <c r="BY39">
        <v>0.1</v>
      </c>
      <c r="BZ39">
        <v>0.1</v>
      </c>
      <c r="CA39">
        <v>7.0000000000000007E-2</v>
      </c>
      <c r="CB39">
        <v>7.0000000000000007E-2</v>
      </c>
      <c r="CC39">
        <v>7.0000000000000007E-2</v>
      </c>
      <c r="CD39">
        <v>0.06</v>
      </c>
      <c r="CE39">
        <v>2</v>
      </c>
      <c r="CH39" s="4" t="s">
        <v>173</v>
      </c>
      <c r="CI39" t="s">
        <v>163</v>
      </c>
      <c r="CJ39">
        <v>0.2</v>
      </c>
      <c r="CK39">
        <v>0.2</v>
      </c>
      <c r="CL39">
        <v>0.2</v>
      </c>
      <c r="CM39">
        <v>0.2</v>
      </c>
      <c r="CN39">
        <v>0.2</v>
      </c>
      <c r="CO39">
        <v>0.2</v>
      </c>
    </row>
    <row r="40" spans="8:93" x14ac:dyDescent="0.2">
      <c r="BR40" s="14" t="s">
        <v>227</v>
      </c>
      <c r="BS40" s="14">
        <v>2.8999999999999998E-3</v>
      </c>
      <c r="BW40" s="8" t="s">
        <v>165</v>
      </c>
      <c r="BX40" s="8" t="s">
        <v>169</v>
      </c>
      <c r="BY40">
        <v>0.12</v>
      </c>
      <c r="BZ40">
        <v>0.09</v>
      </c>
      <c r="CA40">
        <v>0.09</v>
      </c>
      <c r="CB40">
        <v>0.14000000000000001</v>
      </c>
      <c r="CC40">
        <v>0.13</v>
      </c>
      <c r="CD40">
        <v>0.16</v>
      </c>
      <c r="CE40">
        <v>3</v>
      </c>
      <c r="CH40" s="2"/>
      <c r="CI40" t="s">
        <v>164</v>
      </c>
      <c r="CJ40">
        <v>0.1</v>
      </c>
      <c r="CK40">
        <v>0.1</v>
      </c>
      <c r="CL40">
        <v>0.1</v>
      </c>
      <c r="CM40">
        <v>0.1</v>
      </c>
      <c r="CN40">
        <v>0.1</v>
      </c>
      <c r="CO40">
        <v>0.1</v>
      </c>
    </row>
    <row r="41" spans="8:93" ht="17" thickBot="1" x14ac:dyDescent="0.25">
      <c r="BR41" s="14" t="s">
        <v>228</v>
      </c>
      <c r="BS41" s="14">
        <v>8.0000000000000002E-3</v>
      </c>
      <c r="BW41" s="8" t="s">
        <v>166</v>
      </c>
      <c r="BX41" s="8" t="s">
        <v>169</v>
      </c>
      <c r="BY41">
        <v>0.18</v>
      </c>
      <c r="BZ41">
        <v>7.0000000000000007E-2</v>
      </c>
      <c r="CA41">
        <v>0.2</v>
      </c>
      <c r="CB41">
        <v>0.16</v>
      </c>
      <c r="CC41">
        <v>0.1</v>
      </c>
      <c r="CD41">
        <v>0.21</v>
      </c>
      <c r="CE41">
        <v>4</v>
      </c>
      <c r="CH41" s="4"/>
      <c r="CI41" t="s">
        <v>165</v>
      </c>
      <c r="CJ41">
        <v>0.12</v>
      </c>
      <c r="CK41">
        <v>0.12</v>
      </c>
      <c r="CL41">
        <v>0.12</v>
      </c>
      <c r="CM41">
        <v>0.12</v>
      </c>
      <c r="CN41">
        <v>0.12</v>
      </c>
      <c r="CO41">
        <v>0.12</v>
      </c>
    </row>
    <row r="42" spans="8:93" ht="18" thickTop="1" thickBot="1" x14ac:dyDescent="0.25">
      <c r="BR42" s="14" t="s">
        <v>229</v>
      </c>
      <c r="BS42" s="14">
        <v>1.9900000000000001E-2</v>
      </c>
      <c r="BW42" s="8" t="s">
        <v>163</v>
      </c>
      <c r="BX42" s="6" t="s">
        <v>171</v>
      </c>
      <c r="BY42">
        <v>0.2</v>
      </c>
      <c r="BZ42">
        <v>0.08</v>
      </c>
      <c r="CA42">
        <v>0.16</v>
      </c>
      <c r="CB42">
        <v>0.2</v>
      </c>
      <c r="CC42">
        <v>0.16</v>
      </c>
      <c r="CD42">
        <v>0.18</v>
      </c>
      <c r="CE42">
        <v>1</v>
      </c>
      <c r="CH42" s="2"/>
      <c r="CI42" t="s">
        <v>166</v>
      </c>
      <c r="CJ42">
        <v>0.18</v>
      </c>
      <c r="CK42">
        <v>0.18</v>
      </c>
      <c r="CL42">
        <v>0.18</v>
      </c>
      <c r="CM42">
        <v>0.18</v>
      </c>
      <c r="CN42">
        <v>0.18</v>
      </c>
      <c r="CO42">
        <v>0.18</v>
      </c>
    </row>
    <row r="43" spans="8:93" ht="18" thickTop="1" thickBot="1" x14ac:dyDescent="0.25">
      <c r="BR43" s="14" t="s">
        <v>230</v>
      </c>
      <c r="BS43" s="14">
        <v>5.3E-3</v>
      </c>
      <c r="BW43" s="8" t="s">
        <v>164</v>
      </c>
      <c r="BX43" s="6" t="s">
        <v>171</v>
      </c>
      <c r="BY43">
        <v>0.1</v>
      </c>
      <c r="BZ43">
        <v>0.1</v>
      </c>
      <c r="CA43">
        <v>7.0000000000000007E-2</v>
      </c>
      <c r="CB43">
        <v>7.0000000000000007E-2</v>
      </c>
      <c r="CC43">
        <v>7.0000000000000007E-2</v>
      </c>
      <c r="CD43">
        <v>0.06</v>
      </c>
      <c r="CE43">
        <v>2</v>
      </c>
      <c r="CH43" s="4" t="s">
        <v>174</v>
      </c>
      <c r="CI43" t="s">
        <v>163</v>
      </c>
      <c r="CJ43">
        <v>0.08</v>
      </c>
      <c r="CK43">
        <v>0.08</v>
      </c>
      <c r="CL43">
        <v>0.08</v>
      </c>
      <c r="CM43">
        <v>0.08</v>
      </c>
      <c r="CN43">
        <v>0.08</v>
      </c>
      <c r="CO43">
        <v>0.08</v>
      </c>
    </row>
    <row r="44" spans="8:93" ht="18" thickTop="1" thickBot="1" x14ac:dyDescent="0.25">
      <c r="BR44" s="14" t="s">
        <v>231</v>
      </c>
      <c r="BS44" s="14">
        <v>6.4000000000000003E-3</v>
      </c>
      <c r="BW44" s="8" t="s">
        <v>165</v>
      </c>
      <c r="BX44" s="6" t="s">
        <v>171</v>
      </c>
      <c r="BY44">
        <v>0.12</v>
      </c>
      <c r="BZ44">
        <v>0.09</v>
      </c>
      <c r="CA44">
        <v>0.09</v>
      </c>
      <c r="CB44">
        <v>0.14000000000000001</v>
      </c>
      <c r="CC44">
        <v>0.13</v>
      </c>
      <c r="CD44">
        <v>0.16</v>
      </c>
      <c r="CE44">
        <v>3</v>
      </c>
      <c r="CH44" s="2"/>
      <c r="CI44" t="s">
        <v>164</v>
      </c>
      <c r="CJ44">
        <v>0.1</v>
      </c>
      <c r="CK44">
        <v>0.1</v>
      </c>
      <c r="CL44">
        <v>0.1</v>
      </c>
      <c r="CM44">
        <v>0.1</v>
      </c>
      <c r="CN44">
        <v>0.1</v>
      </c>
      <c r="CO44">
        <v>0.1</v>
      </c>
    </row>
    <row r="45" spans="8:93" ht="17" thickTop="1" x14ac:dyDescent="0.2">
      <c r="BR45" s="14" t="s">
        <v>222</v>
      </c>
      <c r="BS45" s="14">
        <v>2.5999999999999999E-3</v>
      </c>
      <c r="BW45" s="8" t="s">
        <v>166</v>
      </c>
      <c r="BX45" s="6" t="s">
        <v>171</v>
      </c>
      <c r="BY45">
        <v>0.18</v>
      </c>
      <c r="BZ45">
        <v>7.0000000000000007E-2</v>
      </c>
      <c r="CA45">
        <v>0.2</v>
      </c>
      <c r="CB45">
        <v>0.16</v>
      </c>
      <c r="CC45">
        <v>0.1</v>
      </c>
      <c r="CD45">
        <v>0.21</v>
      </c>
      <c r="CE45">
        <v>4</v>
      </c>
      <c r="CH45" s="4"/>
      <c r="CI45" t="s">
        <v>165</v>
      </c>
      <c r="CJ45">
        <v>0.09</v>
      </c>
      <c r="CK45">
        <v>0.09</v>
      </c>
      <c r="CL45">
        <v>0.09</v>
      </c>
      <c r="CM45">
        <v>0.09</v>
      </c>
      <c r="CN45">
        <v>0.09</v>
      </c>
      <c r="CO45">
        <v>0.09</v>
      </c>
    </row>
    <row r="46" spans="8:93" x14ac:dyDescent="0.2">
      <c r="BR46" s="14" t="s">
        <v>232</v>
      </c>
      <c r="BS46" s="14">
        <v>3.0000000000000001E-3</v>
      </c>
      <c r="BW46" s="8" t="s">
        <v>163</v>
      </c>
      <c r="BX46" s="8" t="s">
        <v>168</v>
      </c>
      <c r="BY46">
        <v>0.2</v>
      </c>
      <c r="BZ46">
        <v>0.08</v>
      </c>
      <c r="CA46">
        <v>0.16</v>
      </c>
      <c r="CB46">
        <v>0.2</v>
      </c>
      <c r="CC46">
        <v>0.16</v>
      </c>
      <c r="CD46">
        <v>0.18</v>
      </c>
      <c r="CE46">
        <v>1</v>
      </c>
      <c r="CH46" s="2"/>
      <c r="CI46" t="s">
        <v>166</v>
      </c>
      <c r="CJ46">
        <v>7.0000000000000007E-2</v>
      </c>
      <c r="CK46">
        <v>7.0000000000000007E-2</v>
      </c>
      <c r="CL46">
        <v>7.0000000000000007E-2</v>
      </c>
      <c r="CM46">
        <v>7.0000000000000007E-2</v>
      </c>
      <c r="CN46">
        <v>7.0000000000000007E-2</v>
      </c>
      <c r="CO46">
        <v>7.0000000000000007E-2</v>
      </c>
    </row>
    <row r="47" spans="8:93" x14ac:dyDescent="0.2">
      <c r="BR47" s="14" t="s">
        <v>233</v>
      </c>
      <c r="BS47" s="14">
        <v>5.0000000000000001E-3</v>
      </c>
      <c r="BW47" s="8" t="s">
        <v>164</v>
      </c>
      <c r="BX47" s="8" t="s">
        <v>168</v>
      </c>
      <c r="BY47">
        <v>0.1</v>
      </c>
      <c r="BZ47">
        <v>0.1</v>
      </c>
      <c r="CA47">
        <v>7.0000000000000007E-2</v>
      </c>
      <c r="CB47">
        <v>7.0000000000000007E-2</v>
      </c>
      <c r="CC47">
        <v>7.0000000000000007E-2</v>
      </c>
      <c r="CD47">
        <v>0.06</v>
      </c>
      <c r="CE47">
        <v>2</v>
      </c>
      <c r="CH47" s="4" t="s">
        <v>175</v>
      </c>
      <c r="CI47" t="s">
        <v>163</v>
      </c>
      <c r="CJ47">
        <v>0.16</v>
      </c>
      <c r="CK47">
        <v>0.16</v>
      </c>
      <c r="CL47">
        <v>0.16</v>
      </c>
      <c r="CM47">
        <v>0.16</v>
      </c>
      <c r="CN47">
        <v>0.16</v>
      </c>
      <c r="CO47">
        <v>0.16</v>
      </c>
    </row>
    <row r="48" spans="8:93" x14ac:dyDescent="0.2">
      <c r="BR48" s="14" t="s">
        <v>223</v>
      </c>
      <c r="BS48" s="14">
        <v>2.5999999999999999E-3</v>
      </c>
      <c r="BW48" s="8" t="s">
        <v>165</v>
      </c>
      <c r="BX48" s="8" t="s">
        <v>168</v>
      </c>
      <c r="BY48">
        <v>0.12</v>
      </c>
      <c r="BZ48">
        <v>0.09</v>
      </c>
      <c r="CA48">
        <v>0.09</v>
      </c>
      <c r="CB48">
        <v>0.14000000000000001</v>
      </c>
      <c r="CC48">
        <v>0.13</v>
      </c>
      <c r="CD48">
        <v>0.16</v>
      </c>
      <c r="CE48">
        <v>3</v>
      </c>
      <c r="CH48" s="2"/>
      <c r="CI48" t="s">
        <v>164</v>
      </c>
      <c r="CJ48">
        <v>7.0000000000000007E-2</v>
      </c>
      <c r="CK48">
        <v>7.0000000000000007E-2</v>
      </c>
      <c r="CL48">
        <v>7.0000000000000007E-2</v>
      </c>
      <c r="CM48">
        <v>7.0000000000000007E-2</v>
      </c>
      <c r="CN48">
        <v>7.0000000000000007E-2</v>
      </c>
      <c r="CO48">
        <v>7.0000000000000007E-2</v>
      </c>
    </row>
    <row r="49" spans="70:93" x14ac:dyDescent="0.2">
      <c r="BR49" s="14" t="s">
        <v>234</v>
      </c>
      <c r="BS49" s="14">
        <v>1.8E-3</v>
      </c>
      <c r="BW49" s="8" t="s">
        <v>166</v>
      </c>
      <c r="BX49" s="8" t="s">
        <v>168</v>
      </c>
      <c r="BY49">
        <v>0.18</v>
      </c>
      <c r="BZ49">
        <v>7.0000000000000007E-2</v>
      </c>
      <c r="CA49">
        <v>0.2</v>
      </c>
      <c r="CB49">
        <v>0.16</v>
      </c>
      <c r="CC49">
        <v>0.1</v>
      </c>
      <c r="CD49">
        <v>0.21</v>
      </c>
      <c r="CE49">
        <v>4</v>
      </c>
      <c r="CH49" s="4"/>
      <c r="CI49" t="s">
        <v>165</v>
      </c>
      <c r="CJ49">
        <v>0.09</v>
      </c>
      <c r="CK49">
        <v>0.09</v>
      </c>
      <c r="CL49">
        <v>0.09</v>
      </c>
      <c r="CM49">
        <v>0.09</v>
      </c>
      <c r="CN49">
        <v>0.09</v>
      </c>
      <c r="CO49">
        <v>0.09</v>
      </c>
    </row>
    <row r="50" spans="70:93" x14ac:dyDescent="0.2">
      <c r="BW50" s="8" t="s">
        <v>163</v>
      </c>
      <c r="BX50" s="8" t="s">
        <v>170</v>
      </c>
      <c r="BY50">
        <v>0.2</v>
      </c>
      <c r="BZ50">
        <v>0.08</v>
      </c>
      <c r="CA50">
        <v>0.16</v>
      </c>
      <c r="CB50">
        <v>0.2</v>
      </c>
      <c r="CC50">
        <v>0.16</v>
      </c>
      <c r="CD50">
        <v>0.18</v>
      </c>
      <c r="CE50">
        <v>1</v>
      </c>
      <c r="CH50" s="2"/>
      <c r="CI50" t="s">
        <v>166</v>
      </c>
      <c r="CJ50">
        <v>0.2</v>
      </c>
      <c r="CK50">
        <v>0.2</v>
      </c>
      <c r="CL50">
        <v>0.2</v>
      </c>
      <c r="CM50">
        <v>0.2</v>
      </c>
      <c r="CN50">
        <v>0.2</v>
      </c>
      <c r="CO50">
        <v>0.2</v>
      </c>
    </row>
    <row r="51" spans="70:93" x14ac:dyDescent="0.2">
      <c r="BW51" s="8" t="s">
        <v>164</v>
      </c>
      <c r="BX51" s="8" t="s">
        <v>170</v>
      </c>
      <c r="BY51">
        <v>0.1</v>
      </c>
      <c r="BZ51">
        <v>0.1</v>
      </c>
      <c r="CA51">
        <v>7.0000000000000007E-2</v>
      </c>
      <c r="CB51">
        <v>7.0000000000000007E-2</v>
      </c>
      <c r="CC51">
        <v>7.0000000000000007E-2</v>
      </c>
      <c r="CD51">
        <v>0.06</v>
      </c>
      <c r="CE51">
        <v>2</v>
      </c>
      <c r="CH51" s="4" t="s">
        <v>176</v>
      </c>
      <c r="CI51" t="s">
        <v>163</v>
      </c>
      <c r="CJ51">
        <v>0.2</v>
      </c>
      <c r="CK51">
        <v>0.2</v>
      </c>
      <c r="CL51">
        <v>0.2</v>
      </c>
      <c r="CM51">
        <v>0.2</v>
      </c>
      <c r="CN51">
        <v>0.2</v>
      </c>
      <c r="CO51">
        <v>0.2</v>
      </c>
    </row>
    <row r="52" spans="70:93" x14ac:dyDescent="0.2">
      <c r="BW52" s="8" t="s">
        <v>165</v>
      </c>
      <c r="BX52" s="8" t="s">
        <v>170</v>
      </c>
      <c r="BY52">
        <v>0.12</v>
      </c>
      <c r="BZ52">
        <v>0.09</v>
      </c>
      <c r="CA52">
        <v>0.09</v>
      </c>
      <c r="CB52">
        <v>0.14000000000000001</v>
      </c>
      <c r="CC52">
        <v>0.13</v>
      </c>
      <c r="CD52">
        <v>0.06</v>
      </c>
      <c r="CE52">
        <v>3</v>
      </c>
      <c r="CH52" s="2"/>
      <c r="CI52" t="s">
        <v>164</v>
      </c>
      <c r="CJ52">
        <v>7.0000000000000007E-2</v>
      </c>
      <c r="CK52">
        <v>7.0000000000000007E-2</v>
      </c>
      <c r="CL52">
        <v>7.0000000000000007E-2</v>
      </c>
      <c r="CM52">
        <v>7.0000000000000007E-2</v>
      </c>
      <c r="CN52">
        <v>7.0000000000000007E-2</v>
      </c>
      <c r="CO52">
        <v>7.0000000000000007E-2</v>
      </c>
    </row>
    <row r="53" spans="70:93" x14ac:dyDescent="0.2">
      <c r="BW53" s="8" t="s">
        <v>166</v>
      </c>
      <c r="BX53" s="8" t="s">
        <v>170</v>
      </c>
      <c r="BY53">
        <v>0.18</v>
      </c>
      <c r="BZ53">
        <v>7.0000000000000007E-2</v>
      </c>
      <c r="CA53">
        <v>0.2</v>
      </c>
      <c r="CB53">
        <v>0.16</v>
      </c>
      <c r="CC53">
        <v>0.1</v>
      </c>
      <c r="CD53">
        <v>0.21</v>
      </c>
      <c r="CE53">
        <v>4</v>
      </c>
      <c r="CH53" s="4"/>
      <c r="CI53" t="s">
        <v>165</v>
      </c>
      <c r="CJ53">
        <v>0.14000000000000001</v>
      </c>
      <c r="CK53">
        <v>0.14000000000000001</v>
      </c>
      <c r="CL53">
        <v>0.14000000000000001</v>
      </c>
      <c r="CM53">
        <v>0.14000000000000001</v>
      </c>
      <c r="CN53">
        <v>0.14000000000000001</v>
      </c>
      <c r="CO53">
        <v>0.14000000000000001</v>
      </c>
    </row>
    <row r="54" spans="70:93" x14ac:dyDescent="0.2">
      <c r="BW54" s="8" t="s">
        <v>163</v>
      </c>
      <c r="BX54" s="8" t="s">
        <v>162</v>
      </c>
      <c r="BY54">
        <v>0.2</v>
      </c>
      <c r="BZ54">
        <v>0.08</v>
      </c>
      <c r="CA54">
        <v>0.16</v>
      </c>
      <c r="CB54">
        <v>0.2</v>
      </c>
      <c r="CC54">
        <v>0.16</v>
      </c>
      <c r="CD54">
        <v>0.18</v>
      </c>
      <c r="CE54">
        <v>1</v>
      </c>
      <c r="CH54" s="2"/>
      <c r="CI54" t="s">
        <v>166</v>
      </c>
      <c r="CJ54">
        <v>0.16</v>
      </c>
      <c r="CK54">
        <v>0.16</v>
      </c>
      <c r="CL54">
        <v>0.16</v>
      </c>
      <c r="CM54">
        <v>0.16</v>
      </c>
      <c r="CN54">
        <v>0.16</v>
      </c>
      <c r="CO54">
        <v>0.16</v>
      </c>
    </row>
    <row r="55" spans="70:93" x14ac:dyDescent="0.2">
      <c r="BW55" s="8" t="s">
        <v>164</v>
      </c>
      <c r="BX55" s="8" t="s">
        <v>162</v>
      </c>
      <c r="BY55">
        <v>0.1</v>
      </c>
      <c r="BZ55">
        <v>0.1</v>
      </c>
      <c r="CA55">
        <v>7.0000000000000007E-2</v>
      </c>
      <c r="CB55">
        <v>7.0000000000000007E-2</v>
      </c>
      <c r="CC55">
        <v>7.0000000000000007E-2</v>
      </c>
      <c r="CD55">
        <v>0.06</v>
      </c>
      <c r="CE55">
        <v>2</v>
      </c>
      <c r="CH55" s="4" t="s">
        <v>177</v>
      </c>
      <c r="CI55" t="s">
        <v>163</v>
      </c>
      <c r="CJ55">
        <v>0.16</v>
      </c>
      <c r="CK55">
        <v>0.16</v>
      </c>
      <c r="CL55">
        <v>0.16</v>
      </c>
      <c r="CM55">
        <v>0.16</v>
      </c>
      <c r="CN55">
        <v>0.16</v>
      </c>
      <c r="CO55">
        <v>0.16</v>
      </c>
    </row>
    <row r="56" spans="70:93" x14ac:dyDescent="0.2">
      <c r="BW56" s="8" t="s">
        <v>165</v>
      </c>
      <c r="BX56" s="8" t="s">
        <v>162</v>
      </c>
      <c r="BY56">
        <v>0.12</v>
      </c>
      <c r="BZ56">
        <v>0.09</v>
      </c>
      <c r="CA56">
        <v>0.09</v>
      </c>
      <c r="CB56">
        <v>0.14000000000000001</v>
      </c>
      <c r="CC56">
        <v>0.13</v>
      </c>
      <c r="CD56">
        <v>0.06</v>
      </c>
      <c r="CE56">
        <v>3</v>
      </c>
      <c r="CH56" s="2"/>
      <c r="CI56" t="s">
        <v>164</v>
      </c>
      <c r="CJ56">
        <v>7.0000000000000007E-2</v>
      </c>
      <c r="CK56">
        <v>7.0000000000000007E-2</v>
      </c>
      <c r="CL56">
        <v>7.0000000000000007E-2</v>
      </c>
      <c r="CM56">
        <v>7.0000000000000007E-2</v>
      </c>
      <c r="CN56">
        <v>7.0000000000000007E-2</v>
      </c>
      <c r="CO56">
        <v>7.0000000000000007E-2</v>
      </c>
    </row>
    <row r="57" spans="70:93" x14ac:dyDescent="0.2">
      <c r="BW57" s="8" t="s">
        <v>166</v>
      </c>
      <c r="BX57" s="8" t="s">
        <v>162</v>
      </c>
      <c r="BY57">
        <v>0.18</v>
      </c>
      <c r="BZ57">
        <v>7.0000000000000007E-2</v>
      </c>
      <c r="CA57">
        <v>0.2</v>
      </c>
      <c r="CB57">
        <v>0.16</v>
      </c>
      <c r="CC57">
        <v>0.1</v>
      </c>
      <c r="CD57">
        <v>0.21</v>
      </c>
      <c r="CE57">
        <v>4</v>
      </c>
      <c r="CH57" s="4"/>
      <c r="CI57" t="s">
        <v>165</v>
      </c>
      <c r="CJ57">
        <v>0.13</v>
      </c>
      <c r="CK57">
        <v>0.13</v>
      </c>
      <c r="CL57">
        <v>0.13</v>
      </c>
      <c r="CM57">
        <v>0.13</v>
      </c>
      <c r="CN57">
        <v>0.13</v>
      </c>
      <c r="CO57">
        <v>0.13</v>
      </c>
    </row>
    <row r="58" spans="70:93" x14ac:dyDescent="0.2">
      <c r="BW58" s="8" t="s">
        <v>163</v>
      </c>
      <c r="BX58" s="8" t="s">
        <v>167</v>
      </c>
      <c r="BY58">
        <v>0.2</v>
      </c>
      <c r="BZ58">
        <v>0.08</v>
      </c>
      <c r="CA58">
        <v>0.16</v>
      </c>
      <c r="CB58">
        <v>0.2</v>
      </c>
      <c r="CC58">
        <v>0.16</v>
      </c>
      <c r="CD58">
        <v>0.18</v>
      </c>
      <c r="CE58">
        <v>1</v>
      </c>
      <c r="CH58" s="2"/>
      <c r="CI58" t="s">
        <v>166</v>
      </c>
      <c r="CJ58">
        <v>0.1</v>
      </c>
      <c r="CK58">
        <v>0.1</v>
      </c>
      <c r="CL58">
        <v>0.1</v>
      </c>
      <c r="CM58">
        <v>0.1</v>
      </c>
      <c r="CN58">
        <v>0.1</v>
      </c>
      <c r="CO58">
        <v>0.1</v>
      </c>
    </row>
    <row r="59" spans="70:93" x14ac:dyDescent="0.2">
      <c r="BW59" s="8" t="s">
        <v>164</v>
      </c>
      <c r="BX59" s="8" t="s">
        <v>167</v>
      </c>
      <c r="BY59">
        <v>0.1</v>
      </c>
      <c r="BZ59">
        <v>0.1</v>
      </c>
      <c r="CA59">
        <v>7.0000000000000007E-2</v>
      </c>
      <c r="CB59">
        <v>7.0000000000000007E-2</v>
      </c>
      <c r="CC59">
        <v>7.0000000000000007E-2</v>
      </c>
      <c r="CD59">
        <v>0.06</v>
      </c>
      <c r="CE59">
        <v>2</v>
      </c>
      <c r="CH59" s="4" t="s">
        <v>178</v>
      </c>
      <c r="CI59" t="s">
        <v>163</v>
      </c>
      <c r="CJ59">
        <v>0.18</v>
      </c>
      <c r="CK59">
        <v>0.18</v>
      </c>
      <c r="CL59">
        <v>0.18</v>
      </c>
      <c r="CM59">
        <v>0.18</v>
      </c>
      <c r="CN59">
        <v>0.18</v>
      </c>
      <c r="CO59">
        <v>0.18</v>
      </c>
    </row>
    <row r="60" spans="70:93" x14ac:dyDescent="0.2">
      <c r="BW60" s="8" t="s">
        <v>165</v>
      </c>
      <c r="BX60" s="8" t="s">
        <v>167</v>
      </c>
      <c r="BY60">
        <v>0.12</v>
      </c>
      <c r="BZ60">
        <v>0.09</v>
      </c>
      <c r="CA60">
        <v>0.09</v>
      </c>
      <c r="CB60">
        <v>0.14000000000000001</v>
      </c>
      <c r="CC60">
        <v>0.13</v>
      </c>
      <c r="CD60">
        <v>0.06</v>
      </c>
      <c r="CE60">
        <v>3</v>
      </c>
      <c r="CH60" s="2"/>
      <c r="CI60" t="s">
        <v>164</v>
      </c>
      <c r="CJ60">
        <v>0.06</v>
      </c>
      <c r="CK60">
        <v>0.06</v>
      </c>
      <c r="CL60">
        <v>0.06</v>
      </c>
      <c r="CM60">
        <v>0.06</v>
      </c>
      <c r="CN60">
        <v>0.06</v>
      </c>
      <c r="CO60">
        <v>0.06</v>
      </c>
    </row>
    <row r="61" spans="70:93" x14ac:dyDescent="0.2">
      <c r="BW61" s="8" t="s">
        <v>166</v>
      </c>
      <c r="BX61" s="8" t="s">
        <v>167</v>
      </c>
      <c r="BY61">
        <v>0.18</v>
      </c>
      <c r="BZ61">
        <v>7.0000000000000007E-2</v>
      </c>
      <c r="CA61">
        <v>0.2</v>
      </c>
      <c r="CB61">
        <v>0.16</v>
      </c>
      <c r="CC61">
        <v>0.1</v>
      </c>
      <c r="CD61">
        <v>0.21</v>
      </c>
      <c r="CE61">
        <v>4</v>
      </c>
      <c r="CH61" s="4"/>
      <c r="CI61" t="s">
        <v>165</v>
      </c>
      <c r="CJ61">
        <v>0.06</v>
      </c>
      <c r="CK61">
        <v>0.06</v>
      </c>
      <c r="CL61">
        <v>0.16</v>
      </c>
      <c r="CM61">
        <v>0.16</v>
      </c>
      <c r="CN61">
        <v>0.06</v>
      </c>
      <c r="CO61">
        <v>0.16</v>
      </c>
    </row>
    <row r="62" spans="70:93" x14ac:dyDescent="0.2">
      <c r="CH62" s="7"/>
      <c r="CI62" t="s">
        <v>166</v>
      </c>
      <c r="CJ62">
        <v>0.21</v>
      </c>
      <c r="CK62">
        <v>0.21</v>
      </c>
      <c r="CL62">
        <v>0.21</v>
      </c>
      <c r="CM62">
        <v>0.21</v>
      </c>
      <c r="CN62">
        <v>0.21</v>
      </c>
      <c r="CO62">
        <v>0.21</v>
      </c>
    </row>
    <row r="66" spans="62:93" ht="17" thickBot="1" x14ac:dyDescent="0.25">
      <c r="BW66" t="s">
        <v>191</v>
      </c>
      <c r="BX66" t="s">
        <v>128</v>
      </c>
      <c r="CH66" s="9" t="s">
        <v>181</v>
      </c>
      <c r="CI66" s="10" t="s">
        <v>182</v>
      </c>
      <c r="CJ66" s="10" t="s">
        <v>183</v>
      </c>
      <c r="CK66" s="10" t="s">
        <v>184</v>
      </c>
      <c r="CL66" s="10" t="s">
        <v>185</v>
      </c>
      <c r="CM66" s="10" t="s">
        <v>186</v>
      </c>
      <c r="CN66" s="10" t="s">
        <v>187</v>
      </c>
      <c r="CO66" s="11" t="s">
        <v>188</v>
      </c>
    </row>
    <row r="67" spans="62:93" ht="17" thickTop="1" x14ac:dyDescent="0.2">
      <c r="BW67" t="s">
        <v>180</v>
      </c>
      <c r="BX67" t="s">
        <v>161</v>
      </c>
      <c r="BY67" t="s">
        <v>173</v>
      </c>
      <c r="BZ67" t="s">
        <v>271</v>
      </c>
      <c r="CA67" t="s">
        <v>272</v>
      </c>
      <c r="CB67" t="s">
        <v>273</v>
      </c>
      <c r="CC67" t="s">
        <v>274</v>
      </c>
      <c r="CD67" t="s">
        <v>275</v>
      </c>
      <c r="CE67" t="s">
        <v>189</v>
      </c>
      <c r="CH67" s="2" t="s">
        <v>179</v>
      </c>
      <c r="CI67" s="3" t="s">
        <v>180</v>
      </c>
      <c r="CJ67" s="3" t="s">
        <v>162</v>
      </c>
      <c r="CK67" s="3" t="s">
        <v>167</v>
      </c>
      <c r="CL67" s="3" t="s">
        <v>168</v>
      </c>
      <c r="CM67" s="3" t="s">
        <v>169</v>
      </c>
      <c r="CN67" s="3" t="s">
        <v>170</v>
      </c>
      <c r="CO67" s="6" t="s">
        <v>171</v>
      </c>
    </row>
    <row r="68" spans="62:93" x14ac:dyDescent="0.2">
      <c r="BJ68" s="8"/>
      <c r="BK68" s="8"/>
      <c r="BW68" s="8" t="s">
        <v>163</v>
      </c>
      <c r="BX68" s="8" t="s">
        <v>169</v>
      </c>
      <c r="BY68">
        <v>0.75</v>
      </c>
      <c r="BZ68">
        <v>0.51</v>
      </c>
      <c r="CA68">
        <v>0.7</v>
      </c>
      <c r="CB68">
        <v>0.75</v>
      </c>
      <c r="CC68">
        <v>0.7</v>
      </c>
      <c r="CD68">
        <v>0.73</v>
      </c>
      <c r="CE68">
        <v>1</v>
      </c>
      <c r="CH68" s="4" t="s">
        <v>173</v>
      </c>
      <c r="CI68" s="14" t="s">
        <v>163</v>
      </c>
      <c r="CJ68" s="14">
        <v>0.75</v>
      </c>
      <c r="CK68" s="14">
        <v>0.75</v>
      </c>
      <c r="CL68" s="14">
        <v>0.75</v>
      </c>
      <c r="CM68" s="14">
        <v>0.75</v>
      </c>
      <c r="CN68" s="14">
        <v>0.75</v>
      </c>
      <c r="CO68" s="14">
        <v>0.75</v>
      </c>
    </row>
    <row r="69" spans="62:93" x14ac:dyDescent="0.2">
      <c r="BJ69" s="8"/>
      <c r="BK69" s="8"/>
      <c r="BW69" s="8" t="s">
        <v>164</v>
      </c>
      <c r="BX69" s="8" t="s">
        <v>169</v>
      </c>
      <c r="BY69">
        <v>0.61</v>
      </c>
      <c r="BZ69">
        <v>0.55000000000000004</v>
      </c>
      <c r="CA69">
        <v>0.55000000000000004</v>
      </c>
      <c r="CB69">
        <v>0.55000000000000004</v>
      </c>
      <c r="CC69">
        <v>0.55000000000000004</v>
      </c>
      <c r="CD69">
        <v>0.55000000000000004</v>
      </c>
      <c r="CE69">
        <v>2</v>
      </c>
      <c r="CH69" s="2"/>
      <c r="CI69" s="14" t="s">
        <v>164</v>
      </c>
      <c r="CJ69" s="14">
        <v>0.61</v>
      </c>
      <c r="CK69" s="14">
        <v>0.61</v>
      </c>
      <c r="CL69" s="14">
        <v>0.61</v>
      </c>
      <c r="CM69" s="14">
        <v>0.61</v>
      </c>
      <c r="CN69" s="14">
        <v>0.61</v>
      </c>
      <c r="CO69">
        <v>0.61</v>
      </c>
    </row>
    <row r="70" spans="62:93" x14ac:dyDescent="0.2">
      <c r="BJ70" s="8"/>
      <c r="BK70" s="8"/>
      <c r="BW70" s="8" t="s">
        <v>165</v>
      </c>
      <c r="BX70" s="8" t="s">
        <v>169</v>
      </c>
      <c r="BY70">
        <v>0.64</v>
      </c>
      <c r="BZ70">
        <v>0.59</v>
      </c>
      <c r="CA70">
        <v>0.55000000000000004</v>
      </c>
      <c r="CB70">
        <v>0.67</v>
      </c>
      <c r="CC70">
        <v>0.65</v>
      </c>
      <c r="CD70">
        <v>0.7</v>
      </c>
      <c r="CE70">
        <v>3</v>
      </c>
      <c r="CH70" s="4"/>
      <c r="CI70" s="14" t="s">
        <v>165</v>
      </c>
      <c r="CJ70" s="14">
        <v>0.64</v>
      </c>
      <c r="CK70" s="14">
        <v>0.64</v>
      </c>
      <c r="CL70" s="14">
        <v>0.64</v>
      </c>
      <c r="CM70" s="14">
        <v>0.64</v>
      </c>
      <c r="CN70" s="14">
        <v>0.64</v>
      </c>
      <c r="CO70">
        <v>0.64</v>
      </c>
    </row>
    <row r="71" spans="62:93" ht="17" thickBot="1" x14ac:dyDescent="0.25">
      <c r="BJ71" s="8"/>
      <c r="BK71" s="8"/>
      <c r="BW71" s="8" t="s">
        <v>166</v>
      </c>
      <c r="BX71" s="8" t="s">
        <v>169</v>
      </c>
      <c r="BY71">
        <v>0.72</v>
      </c>
      <c r="BZ71">
        <v>0.57999999999999996</v>
      </c>
      <c r="CA71">
        <v>0.75</v>
      </c>
      <c r="CB71">
        <v>0.7</v>
      </c>
      <c r="CC71">
        <v>0.6</v>
      </c>
      <c r="CD71">
        <v>0.76</v>
      </c>
      <c r="CE71">
        <v>4</v>
      </c>
      <c r="CH71" s="2"/>
      <c r="CI71" s="14" t="s">
        <v>166</v>
      </c>
      <c r="CJ71" s="14">
        <v>0.72</v>
      </c>
      <c r="CK71" s="14">
        <v>0.72</v>
      </c>
      <c r="CL71" s="14">
        <v>0.72</v>
      </c>
      <c r="CM71" s="14">
        <v>0.72</v>
      </c>
      <c r="CN71" s="14">
        <v>0.72</v>
      </c>
      <c r="CO71">
        <v>0.72</v>
      </c>
    </row>
    <row r="72" spans="62:93" ht="18" thickTop="1" thickBot="1" x14ac:dyDescent="0.25">
      <c r="BJ72" s="8"/>
      <c r="BK72" s="6"/>
      <c r="BW72" s="8" t="s">
        <v>163</v>
      </c>
      <c r="BX72" s="8" t="s">
        <v>171</v>
      </c>
      <c r="BY72">
        <v>0.75</v>
      </c>
      <c r="BZ72">
        <v>0.51</v>
      </c>
      <c r="CA72">
        <v>0.7</v>
      </c>
      <c r="CB72">
        <v>0.75</v>
      </c>
      <c r="CC72">
        <v>0.7</v>
      </c>
      <c r="CD72">
        <v>0.73</v>
      </c>
      <c r="CE72">
        <v>1</v>
      </c>
      <c r="CH72" s="4" t="s">
        <v>174</v>
      </c>
      <c r="CI72" s="14" t="s">
        <v>163</v>
      </c>
      <c r="CJ72" s="14">
        <v>0.51</v>
      </c>
      <c r="CK72" s="14">
        <v>0.51</v>
      </c>
      <c r="CL72" s="14">
        <v>0.51</v>
      </c>
      <c r="CM72" s="14">
        <v>0.51</v>
      </c>
      <c r="CN72" s="14">
        <v>0.51</v>
      </c>
      <c r="CO72" s="14">
        <v>0.51</v>
      </c>
    </row>
    <row r="73" spans="62:93" ht="18" thickTop="1" thickBot="1" x14ac:dyDescent="0.25">
      <c r="BJ73" s="8"/>
      <c r="BK73" s="6"/>
      <c r="BW73" s="8" t="s">
        <v>164</v>
      </c>
      <c r="BX73" s="8" t="s">
        <v>171</v>
      </c>
      <c r="BY73">
        <v>0.61</v>
      </c>
      <c r="BZ73">
        <v>0.55000000000000004</v>
      </c>
      <c r="CA73">
        <v>0.55000000000000004</v>
      </c>
      <c r="CB73">
        <v>0.55000000000000004</v>
      </c>
      <c r="CC73">
        <v>0.55000000000000004</v>
      </c>
      <c r="CD73">
        <v>0.55000000000000004</v>
      </c>
      <c r="CE73">
        <v>2</v>
      </c>
      <c r="CH73" s="2"/>
      <c r="CI73" s="14" t="s">
        <v>164</v>
      </c>
      <c r="CJ73" s="14">
        <v>0.55000000000000004</v>
      </c>
      <c r="CK73" s="14">
        <v>0.55000000000000004</v>
      </c>
      <c r="CL73" s="14">
        <v>0.55000000000000004</v>
      </c>
      <c r="CM73" s="14">
        <v>0.55000000000000004</v>
      </c>
      <c r="CN73" s="14">
        <v>0.55000000000000004</v>
      </c>
      <c r="CO73">
        <v>0.55000000000000004</v>
      </c>
    </row>
    <row r="74" spans="62:93" ht="18" thickTop="1" thickBot="1" x14ac:dyDescent="0.25">
      <c r="BJ74" s="8"/>
      <c r="BK74" s="6"/>
      <c r="BW74" s="8" t="s">
        <v>165</v>
      </c>
      <c r="BX74" s="8" t="s">
        <v>171</v>
      </c>
      <c r="BY74">
        <v>0.64</v>
      </c>
      <c r="BZ74">
        <v>0.59</v>
      </c>
      <c r="CA74">
        <v>0.55000000000000004</v>
      </c>
      <c r="CB74">
        <v>0.67</v>
      </c>
      <c r="CC74">
        <v>0.65</v>
      </c>
      <c r="CD74">
        <v>0.7</v>
      </c>
      <c r="CE74">
        <v>3</v>
      </c>
      <c r="CH74" s="4"/>
      <c r="CI74" s="14" t="s">
        <v>165</v>
      </c>
      <c r="CJ74" s="14">
        <v>0.59</v>
      </c>
      <c r="CK74" s="14">
        <v>0.59</v>
      </c>
      <c r="CL74" s="14">
        <v>0.59</v>
      </c>
      <c r="CM74" s="14">
        <v>0.59</v>
      </c>
      <c r="CN74" s="14">
        <v>0.59</v>
      </c>
      <c r="CO74">
        <v>0.59</v>
      </c>
    </row>
    <row r="75" spans="62:93" ht="17" thickTop="1" x14ac:dyDescent="0.2">
      <c r="BJ75" s="8"/>
      <c r="BK75" s="6"/>
      <c r="BW75" s="8" t="s">
        <v>166</v>
      </c>
      <c r="BX75" s="8" t="s">
        <v>171</v>
      </c>
      <c r="BY75">
        <v>0.72</v>
      </c>
      <c r="BZ75">
        <v>0.57999999999999996</v>
      </c>
      <c r="CA75">
        <v>0.75</v>
      </c>
      <c r="CB75">
        <v>0.7</v>
      </c>
      <c r="CC75">
        <v>0.6</v>
      </c>
      <c r="CD75">
        <v>0.76</v>
      </c>
      <c r="CE75">
        <v>4</v>
      </c>
      <c r="CH75" s="2"/>
      <c r="CI75" s="14" t="s">
        <v>166</v>
      </c>
      <c r="CJ75" s="14">
        <v>0.57999999999999996</v>
      </c>
      <c r="CK75" s="14">
        <v>0.57999999999999996</v>
      </c>
      <c r="CL75" s="14">
        <v>0.57999999999999996</v>
      </c>
      <c r="CM75" s="14">
        <v>0.57999999999999996</v>
      </c>
      <c r="CN75" s="14">
        <v>0.57999999999999996</v>
      </c>
      <c r="CO75">
        <v>0.57999999999999996</v>
      </c>
    </row>
    <row r="76" spans="62:93" x14ac:dyDescent="0.2">
      <c r="BJ76" s="8"/>
      <c r="BK76" s="8"/>
      <c r="BW76" s="8" t="s">
        <v>163</v>
      </c>
      <c r="BX76" s="8" t="s">
        <v>168</v>
      </c>
      <c r="BY76">
        <v>0.75</v>
      </c>
      <c r="BZ76">
        <v>0.51</v>
      </c>
      <c r="CA76">
        <v>0.7</v>
      </c>
      <c r="CB76">
        <v>0.75</v>
      </c>
      <c r="CC76">
        <v>0.7</v>
      </c>
      <c r="CD76">
        <v>0.73</v>
      </c>
      <c r="CE76">
        <v>1</v>
      </c>
      <c r="CH76" s="4" t="s">
        <v>175</v>
      </c>
      <c r="CI76" s="14" t="s">
        <v>163</v>
      </c>
      <c r="CJ76" s="14">
        <v>0.7</v>
      </c>
      <c r="CK76" s="14">
        <v>0.7</v>
      </c>
      <c r="CL76" s="14">
        <v>0.7</v>
      </c>
      <c r="CM76" s="14">
        <v>0.7</v>
      </c>
      <c r="CN76" s="14">
        <v>0.7</v>
      </c>
      <c r="CO76" s="14">
        <v>0.7</v>
      </c>
    </row>
    <row r="77" spans="62:93" x14ac:dyDescent="0.2">
      <c r="BJ77" s="8"/>
      <c r="BK77" s="8"/>
      <c r="BW77" s="8" t="s">
        <v>164</v>
      </c>
      <c r="BX77" s="8" t="s">
        <v>168</v>
      </c>
      <c r="BY77">
        <v>0.61</v>
      </c>
      <c r="BZ77">
        <v>0.55000000000000004</v>
      </c>
      <c r="CA77">
        <v>0.55000000000000004</v>
      </c>
      <c r="CB77">
        <v>0.55000000000000004</v>
      </c>
      <c r="CC77">
        <v>0.55000000000000004</v>
      </c>
      <c r="CD77">
        <v>0.55000000000000004</v>
      </c>
      <c r="CE77">
        <v>2</v>
      </c>
      <c r="CH77" s="2"/>
      <c r="CI77" s="14" t="s">
        <v>164</v>
      </c>
      <c r="CJ77" s="14">
        <v>0.55000000000000004</v>
      </c>
      <c r="CK77" s="14">
        <v>0.55000000000000004</v>
      </c>
      <c r="CL77" s="14">
        <v>0.55000000000000004</v>
      </c>
      <c r="CM77" s="14">
        <v>0.55000000000000004</v>
      </c>
      <c r="CN77" s="14">
        <v>0.55000000000000004</v>
      </c>
      <c r="CO77">
        <v>0.55000000000000004</v>
      </c>
    </row>
    <row r="78" spans="62:93" x14ac:dyDescent="0.2">
      <c r="BJ78" s="8"/>
      <c r="BK78" s="8"/>
      <c r="BW78" s="8" t="s">
        <v>165</v>
      </c>
      <c r="BX78" s="8" t="s">
        <v>168</v>
      </c>
      <c r="BY78">
        <v>0.64</v>
      </c>
      <c r="BZ78">
        <v>0.59</v>
      </c>
      <c r="CA78">
        <v>0.55000000000000004</v>
      </c>
      <c r="CB78">
        <v>0.67</v>
      </c>
      <c r="CC78">
        <v>0.65</v>
      </c>
      <c r="CD78">
        <v>0.7</v>
      </c>
      <c r="CE78">
        <v>3</v>
      </c>
      <c r="CH78" s="4"/>
      <c r="CI78" s="14" t="s">
        <v>165</v>
      </c>
      <c r="CJ78" s="14">
        <v>0.55000000000000004</v>
      </c>
      <c r="CK78" s="14">
        <v>0.55000000000000004</v>
      </c>
      <c r="CL78" s="14">
        <v>0.55000000000000004</v>
      </c>
      <c r="CM78" s="14">
        <v>0.55000000000000004</v>
      </c>
      <c r="CN78" s="14">
        <v>0.55000000000000004</v>
      </c>
      <c r="CO78">
        <v>0.55000000000000004</v>
      </c>
    </row>
    <row r="79" spans="62:93" x14ac:dyDescent="0.2">
      <c r="BJ79" s="8"/>
      <c r="BK79" s="8"/>
      <c r="BW79" s="8" t="s">
        <v>166</v>
      </c>
      <c r="BX79" s="8" t="s">
        <v>168</v>
      </c>
      <c r="BY79">
        <v>0.72</v>
      </c>
      <c r="BZ79">
        <v>0.57999999999999996</v>
      </c>
      <c r="CA79">
        <v>0.75</v>
      </c>
      <c r="CB79">
        <v>0.7</v>
      </c>
      <c r="CC79">
        <v>0.6</v>
      </c>
      <c r="CD79">
        <v>0.76</v>
      </c>
      <c r="CE79">
        <v>4</v>
      </c>
      <c r="CH79" s="2"/>
      <c r="CI79" s="14" t="s">
        <v>166</v>
      </c>
      <c r="CJ79" s="14">
        <v>0.75</v>
      </c>
      <c r="CK79" s="14">
        <v>0.75</v>
      </c>
      <c r="CL79" s="14">
        <v>0.75</v>
      </c>
      <c r="CM79" s="14">
        <v>0.75</v>
      </c>
      <c r="CN79" s="14">
        <v>0.75</v>
      </c>
      <c r="CO79">
        <v>0.75</v>
      </c>
    </row>
    <row r="80" spans="62:93" x14ac:dyDescent="0.2">
      <c r="BJ80" s="8"/>
      <c r="BK80" s="8"/>
      <c r="BW80" s="8" t="s">
        <v>163</v>
      </c>
      <c r="BX80" s="8" t="s">
        <v>170</v>
      </c>
      <c r="BY80">
        <v>0.75</v>
      </c>
      <c r="BZ80">
        <v>0.51</v>
      </c>
      <c r="CA80">
        <v>0.7</v>
      </c>
      <c r="CB80">
        <v>0.75</v>
      </c>
      <c r="CC80">
        <v>0.7</v>
      </c>
      <c r="CD80">
        <v>0.73</v>
      </c>
      <c r="CE80">
        <v>1</v>
      </c>
      <c r="CH80" s="4" t="s">
        <v>176</v>
      </c>
      <c r="CI80" s="14" t="s">
        <v>163</v>
      </c>
      <c r="CJ80" s="14">
        <v>0.75</v>
      </c>
      <c r="CK80" s="14">
        <v>0.75</v>
      </c>
      <c r="CL80" s="14">
        <v>0.75</v>
      </c>
      <c r="CM80" s="14">
        <v>0.75</v>
      </c>
      <c r="CN80" s="14">
        <v>0.75</v>
      </c>
      <c r="CO80" s="14">
        <v>0.75</v>
      </c>
    </row>
    <row r="81" spans="62:93" x14ac:dyDescent="0.2">
      <c r="BJ81" s="8"/>
      <c r="BK81" s="8"/>
      <c r="BW81" s="8" t="s">
        <v>164</v>
      </c>
      <c r="BX81" s="8" t="s">
        <v>170</v>
      </c>
      <c r="BY81">
        <v>0.61</v>
      </c>
      <c r="BZ81">
        <v>0.55000000000000004</v>
      </c>
      <c r="CA81">
        <v>0.55000000000000004</v>
      </c>
      <c r="CB81">
        <v>0.55000000000000004</v>
      </c>
      <c r="CC81">
        <v>0.55000000000000004</v>
      </c>
      <c r="CD81">
        <v>0.55000000000000004</v>
      </c>
      <c r="CE81">
        <v>2</v>
      </c>
      <c r="CH81" s="2"/>
      <c r="CI81" s="14" t="s">
        <v>164</v>
      </c>
      <c r="CJ81" s="14">
        <v>0.55000000000000004</v>
      </c>
      <c r="CK81" s="14">
        <v>0.55000000000000004</v>
      </c>
      <c r="CL81" s="14">
        <v>0.55000000000000004</v>
      </c>
      <c r="CM81" s="14">
        <v>0.55000000000000004</v>
      </c>
      <c r="CN81" s="14">
        <v>0.55000000000000004</v>
      </c>
      <c r="CO81">
        <v>0.55000000000000004</v>
      </c>
    </row>
    <row r="82" spans="62:93" x14ac:dyDescent="0.2">
      <c r="BJ82" s="8"/>
      <c r="BK82" s="8"/>
      <c r="BW82" s="8" t="s">
        <v>165</v>
      </c>
      <c r="BX82" s="8" t="s">
        <v>170</v>
      </c>
      <c r="BY82">
        <v>0.64</v>
      </c>
      <c r="BZ82">
        <v>0.59</v>
      </c>
      <c r="CA82">
        <v>0.55000000000000004</v>
      </c>
      <c r="CB82">
        <v>0.67</v>
      </c>
      <c r="CC82">
        <v>0.65</v>
      </c>
      <c r="CD82">
        <v>0.5</v>
      </c>
      <c r="CE82">
        <v>3</v>
      </c>
      <c r="CH82" s="4"/>
      <c r="CI82" s="14" t="s">
        <v>165</v>
      </c>
      <c r="CJ82" s="14">
        <v>0.67</v>
      </c>
      <c r="CK82" s="14">
        <v>0.67</v>
      </c>
      <c r="CL82" s="14">
        <v>0.67</v>
      </c>
      <c r="CM82" s="14">
        <v>0.67</v>
      </c>
      <c r="CN82" s="14">
        <v>0.67</v>
      </c>
      <c r="CO82">
        <v>0.67</v>
      </c>
    </row>
    <row r="83" spans="62:93" x14ac:dyDescent="0.2">
      <c r="BJ83" s="8"/>
      <c r="BK83" s="8"/>
      <c r="BW83" s="8" t="s">
        <v>166</v>
      </c>
      <c r="BX83" s="8" t="s">
        <v>170</v>
      </c>
      <c r="BY83">
        <v>0.72</v>
      </c>
      <c r="BZ83">
        <v>0.57999999999999996</v>
      </c>
      <c r="CA83">
        <v>0.75</v>
      </c>
      <c r="CB83">
        <v>0.7</v>
      </c>
      <c r="CC83">
        <v>0.6</v>
      </c>
      <c r="CD83">
        <v>0.76</v>
      </c>
      <c r="CE83">
        <v>4</v>
      </c>
      <c r="CH83" s="2"/>
      <c r="CI83" s="14" t="s">
        <v>166</v>
      </c>
      <c r="CJ83" s="14">
        <v>0.7</v>
      </c>
      <c r="CK83" s="14">
        <v>0.7</v>
      </c>
      <c r="CL83" s="14">
        <v>0.7</v>
      </c>
      <c r="CM83" s="14">
        <v>0.7</v>
      </c>
      <c r="CN83" s="14">
        <v>0.7</v>
      </c>
      <c r="CO83">
        <v>0.7</v>
      </c>
    </row>
    <row r="84" spans="62:93" x14ac:dyDescent="0.2">
      <c r="BJ84" s="8"/>
      <c r="BK84" s="8"/>
      <c r="BW84" s="8" t="s">
        <v>163</v>
      </c>
      <c r="BX84" s="8" t="s">
        <v>162</v>
      </c>
      <c r="BY84">
        <v>0.75</v>
      </c>
      <c r="BZ84">
        <v>0.51</v>
      </c>
      <c r="CA84">
        <v>0.7</v>
      </c>
      <c r="CB84">
        <v>0.75</v>
      </c>
      <c r="CC84">
        <v>0.7</v>
      </c>
      <c r="CD84">
        <v>0.73</v>
      </c>
      <c r="CE84">
        <v>1</v>
      </c>
      <c r="CH84" s="4" t="s">
        <v>177</v>
      </c>
      <c r="CI84" s="14" t="s">
        <v>163</v>
      </c>
      <c r="CJ84" s="14">
        <v>0.7</v>
      </c>
      <c r="CK84" s="14">
        <v>0.7</v>
      </c>
      <c r="CL84" s="14">
        <v>0.7</v>
      </c>
      <c r="CM84" s="14">
        <v>0.7</v>
      </c>
      <c r="CN84" s="14">
        <v>0.7</v>
      </c>
      <c r="CO84" s="14">
        <v>0.7</v>
      </c>
    </row>
    <row r="85" spans="62:93" x14ac:dyDescent="0.2">
      <c r="BJ85" s="8"/>
      <c r="BK85" s="8"/>
      <c r="BW85" s="8" t="s">
        <v>164</v>
      </c>
      <c r="BX85" s="8" t="s">
        <v>162</v>
      </c>
      <c r="BY85">
        <v>0.61</v>
      </c>
      <c r="BZ85">
        <v>0.55000000000000004</v>
      </c>
      <c r="CA85">
        <v>0.55000000000000004</v>
      </c>
      <c r="CB85">
        <v>0.55000000000000004</v>
      </c>
      <c r="CC85">
        <v>0.55000000000000004</v>
      </c>
      <c r="CD85">
        <v>0.55000000000000004</v>
      </c>
      <c r="CE85">
        <v>2</v>
      </c>
      <c r="CH85" s="2"/>
      <c r="CI85" s="14" t="s">
        <v>164</v>
      </c>
      <c r="CJ85" s="14">
        <v>0.55000000000000004</v>
      </c>
      <c r="CK85" s="14">
        <v>0.55000000000000004</v>
      </c>
      <c r="CL85" s="14">
        <v>0.55000000000000004</v>
      </c>
      <c r="CM85" s="14">
        <v>0.55000000000000004</v>
      </c>
      <c r="CN85" s="14">
        <v>0.55000000000000004</v>
      </c>
      <c r="CO85">
        <v>0.55000000000000004</v>
      </c>
    </row>
    <row r="86" spans="62:93" x14ac:dyDescent="0.2">
      <c r="BJ86" s="8"/>
      <c r="BK86" s="8"/>
      <c r="BW86" s="8" t="s">
        <v>165</v>
      </c>
      <c r="BX86" s="8" t="s">
        <v>162</v>
      </c>
      <c r="BY86">
        <v>0.64</v>
      </c>
      <c r="BZ86">
        <v>0.59</v>
      </c>
      <c r="CA86">
        <v>0.55000000000000004</v>
      </c>
      <c r="CB86">
        <v>0.67</v>
      </c>
      <c r="CC86">
        <v>0.65</v>
      </c>
      <c r="CD86">
        <v>0.5</v>
      </c>
      <c r="CE86">
        <v>3</v>
      </c>
      <c r="CH86" s="4"/>
      <c r="CI86" s="14" t="s">
        <v>165</v>
      </c>
      <c r="CJ86" s="14">
        <v>0.65</v>
      </c>
      <c r="CK86" s="14">
        <v>0.65</v>
      </c>
      <c r="CL86" s="14">
        <v>0.65</v>
      </c>
      <c r="CM86" s="14">
        <v>0.65</v>
      </c>
      <c r="CN86" s="14">
        <v>0.65</v>
      </c>
      <c r="CO86">
        <v>0.65</v>
      </c>
    </row>
    <row r="87" spans="62:93" x14ac:dyDescent="0.2">
      <c r="BJ87" s="8"/>
      <c r="BK87" s="8"/>
      <c r="BW87" s="8" t="s">
        <v>166</v>
      </c>
      <c r="BX87" s="8" t="s">
        <v>162</v>
      </c>
      <c r="BY87">
        <v>0.72</v>
      </c>
      <c r="BZ87">
        <v>0.57999999999999996</v>
      </c>
      <c r="CA87">
        <v>0.75</v>
      </c>
      <c r="CB87">
        <v>0.7</v>
      </c>
      <c r="CC87">
        <v>0.6</v>
      </c>
      <c r="CD87">
        <v>0.76</v>
      </c>
      <c r="CE87">
        <v>4</v>
      </c>
      <c r="CH87" s="2"/>
      <c r="CI87" s="14" t="s">
        <v>166</v>
      </c>
      <c r="CJ87" s="14">
        <v>0.6</v>
      </c>
      <c r="CK87" s="14">
        <v>0.6</v>
      </c>
      <c r="CL87" s="14">
        <v>0.6</v>
      </c>
      <c r="CM87" s="14">
        <v>0.6</v>
      </c>
      <c r="CN87" s="14">
        <v>0.6</v>
      </c>
      <c r="CO87">
        <v>0.6</v>
      </c>
    </row>
    <row r="88" spans="62:93" x14ac:dyDescent="0.2">
      <c r="BJ88" s="8"/>
      <c r="BK88" s="8"/>
      <c r="BW88" s="8" t="s">
        <v>163</v>
      </c>
      <c r="BX88" s="8" t="s">
        <v>167</v>
      </c>
      <c r="BY88">
        <v>0.75</v>
      </c>
      <c r="BZ88">
        <v>0.51</v>
      </c>
      <c r="CA88">
        <v>0.7</v>
      </c>
      <c r="CB88">
        <v>0.75</v>
      </c>
      <c r="CC88">
        <v>0.7</v>
      </c>
      <c r="CD88">
        <v>0.73</v>
      </c>
      <c r="CE88">
        <v>1</v>
      </c>
      <c r="CH88" s="4" t="s">
        <v>178</v>
      </c>
      <c r="CI88" s="14" t="s">
        <v>163</v>
      </c>
      <c r="CJ88" s="14">
        <v>0.73</v>
      </c>
      <c r="CK88" s="14">
        <v>0.73</v>
      </c>
      <c r="CL88" s="14">
        <v>0.73</v>
      </c>
      <c r="CM88" s="14">
        <v>0.73</v>
      </c>
      <c r="CN88" s="14">
        <v>0.73</v>
      </c>
      <c r="CO88" s="14">
        <v>0.73</v>
      </c>
    </row>
    <row r="89" spans="62:93" x14ac:dyDescent="0.2">
      <c r="BJ89" s="8"/>
      <c r="BK89" s="8"/>
      <c r="BW89" s="8" t="s">
        <v>164</v>
      </c>
      <c r="BX89" s="8" t="s">
        <v>167</v>
      </c>
      <c r="BY89">
        <v>0.61</v>
      </c>
      <c r="BZ89">
        <v>0.55000000000000004</v>
      </c>
      <c r="CA89">
        <v>0.55000000000000004</v>
      </c>
      <c r="CB89">
        <v>0.55000000000000004</v>
      </c>
      <c r="CC89">
        <v>0.55000000000000004</v>
      </c>
      <c r="CD89">
        <v>0.55000000000000004</v>
      </c>
      <c r="CE89">
        <v>2</v>
      </c>
      <c r="CH89" s="2"/>
      <c r="CI89" s="14" t="s">
        <v>164</v>
      </c>
      <c r="CJ89" s="14">
        <v>0.55000000000000004</v>
      </c>
      <c r="CK89" s="14">
        <v>0.55000000000000004</v>
      </c>
      <c r="CL89" s="14">
        <v>0.55000000000000004</v>
      </c>
      <c r="CM89" s="14">
        <v>0.55000000000000004</v>
      </c>
      <c r="CN89" s="14">
        <v>0.55000000000000004</v>
      </c>
      <c r="CO89">
        <v>0.55000000000000004</v>
      </c>
    </row>
    <row r="90" spans="62:93" x14ac:dyDescent="0.2">
      <c r="BJ90" s="8"/>
      <c r="BK90" s="8"/>
      <c r="BW90" s="8" t="s">
        <v>165</v>
      </c>
      <c r="BX90" s="8" t="s">
        <v>167</v>
      </c>
      <c r="BY90">
        <v>0.64</v>
      </c>
      <c r="BZ90">
        <v>0.59</v>
      </c>
      <c r="CA90">
        <v>0.55000000000000004</v>
      </c>
      <c r="CB90">
        <v>0.67</v>
      </c>
      <c r="CC90">
        <v>0.65</v>
      </c>
      <c r="CD90">
        <v>0.5</v>
      </c>
      <c r="CE90">
        <v>3</v>
      </c>
      <c r="CH90" s="4"/>
      <c r="CI90" s="14" t="s">
        <v>165</v>
      </c>
      <c r="CJ90" s="14">
        <v>0.5</v>
      </c>
      <c r="CK90" s="14">
        <v>0.5</v>
      </c>
      <c r="CL90" s="14">
        <v>0.7</v>
      </c>
      <c r="CM90" s="14">
        <v>0.7</v>
      </c>
      <c r="CN90" s="14">
        <v>0.5</v>
      </c>
      <c r="CO90">
        <v>0.7</v>
      </c>
    </row>
    <row r="91" spans="62:93" x14ac:dyDescent="0.2">
      <c r="BJ91" s="8"/>
      <c r="BK91" s="8"/>
      <c r="BW91" s="8" t="s">
        <v>166</v>
      </c>
      <c r="BX91" s="8" t="s">
        <v>167</v>
      </c>
      <c r="BY91">
        <v>0.72</v>
      </c>
      <c r="BZ91">
        <v>0.57999999999999996</v>
      </c>
      <c r="CA91">
        <v>0.75</v>
      </c>
      <c r="CB91">
        <v>0.7</v>
      </c>
      <c r="CC91">
        <v>0.6</v>
      </c>
      <c r="CD91">
        <v>0.76</v>
      </c>
      <c r="CE91">
        <v>4</v>
      </c>
      <c r="CH91" s="7"/>
      <c r="CI91" s="14" t="s">
        <v>166</v>
      </c>
      <c r="CJ91" s="14">
        <v>0.76</v>
      </c>
      <c r="CK91" s="14">
        <v>0.76</v>
      </c>
      <c r="CL91" s="14">
        <v>0.76</v>
      </c>
      <c r="CM91" s="14">
        <v>0.76</v>
      </c>
      <c r="CN91" s="14">
        <v>0.76</v>
      </c>
      <c r="CO91">
        <v>0.76</v>
      </c>
    </row>
    <row r="94" spans="62:93" x14ac:dyDescent="0.2">
      <c r="BW94" t="s">
        <v>192</v>
      </c>
      <c r="BX94" t="s">
        <v>129</v>
      </c>
    </row>
    <row r="95" spans="62:93" ht="17" thickBot="1" x14ac:dyDescent="0.25">
      <c r="BW95" t="s">
        <v>180</v>
      </c>
      <c r="BX95" t="s">
        <v>161</v>
      </c>
      <c r="BY95" t="s">
        <v>173</v>
      </c>
      <c r="BZ95" t="s">
        <v>271</v>
      </c>
      <c r="CA95" t="s">
        <v>272</v>
      </c>
      <c r="CB95" t="s">
        <v>273</v>
      </c>
      <c r="CC95" t="s">
        <v>274</v>
      </c>
      <c r="CD95" t="s">
        <v>275</v>
      </c>
      <c r="CE95" t="s">
        <v>189</v>
      </c>
      <c r="CH95" s="9" t="s">
        <v>181</v>
      </c>
      <c r="CI95" s="10" t="s">
        <v>182</v>
      </c>
      <c r="CJ95" s="10" t="s">
        <v>183</v>
      </c>
      <c r="CK95" s="10" t="s">
        <v>184</v>
      </c>
      <c r="CL95" s="10" t="s">
        <v>185</v>
      </c>
      <c r="CM95" s="10" t="s">
        <v>186</v>
      </c>
      <c r="CN95" s="10" t="s">
        <v>187</v>
      </c>
      <c r="CO95" s="11" t="s">
        <v>188</v>
      </c>
    </row>
    <row r="96" spans="62:93" ht="17" thickTop="1" x14ac:dyDescent="0.2">
      <c r="BW96" s="8" t="s">
        <v>163</v>
      </c>
      <c r="BX96" s="8" t="s">
        <v>169</v>
      </c>
      <c r="BY96">
        <v>54</v>
      </c>
      <c r="BZ96">
        <v>40</v>
      </c>
      <c r="CA96">
        <v>55</v>
      </c>
      <c r="CB96">
        <v>50</v>
      </c>
      <c r="CC96">
        <v>55</v>
      </c>
      <c r="CD96">
        <v>55</v>
      </c>
      <c r="CE96">
        <v>1</v>
      </c>
      <c r="CH96" s="2" t="s">
        <v>179</v>
      </c>
      <c r="CI96" s="3" t="s">
        <v>180</v>
      </c>
      <c r="CJ96" s="3" t="s">
        <v>162</v>
      </c>
      <c r="CK96" s="3" t="s">
        <v>167</v>
      </c>
      <c r="CL96" s="3" t="s">
        <v>168</v>
      </c>
      <c r="CM96" s="3" t="s">
        <v>169</v>
      </c>
      <c r="CN96" s="3" t="s">
        <v>170</v>
      </c>
      <c r="CO96" s="6" t="s">
        <v>171</v>
      </c>
    </row>
    <row r="97" spans="75:93" x14ac:dyDescent="0.2">
      <c r="BW97" s="8" t="s">
        <v>164</v>
      </c>
      <c r="BX97" s="8" t="s">
        <v>169</v>
      </c>
      <c r="BY97">
        <v>49</v>
      </c>
      <c r="BZ97">
        <v>45</v>
      </c>
      <c r="CA97">
        <v>55</v>
      </c>
      <c r="CB97">
        <v>50</v>
      </c>
      <c r="CC97">
        <v>50</v>
      </c>
      <c r="CD97">
        <v>50</v>
      </c>
      <c r="CE97">
        <v>2</v>
      </c>
      <c r="CH97" s="4" t="s">
        <v>173</v>
      </c>
      <c r="CI97" t="s">
        <v>163</v>
      </c>
      <c r="CJ97">
        <v>75</v>
      </c>
      <c r="CK97">
        <v>62</v>
      </c>
      <c r="CL97">
        <v>44</v>
      </c>
      <c r="CM97">
        <v>54</v>
      </c>
      <c r="CN97">
        <v>56</v>
      </c>
      <c r="CO97">
        <v>20</v>
      </c>
    </row>
    <row r="98" spans="75:93" x14ac:dyDescent="0.2">
      <c r="BW98" s="8" t="s">
        <v>165</v>
      </c>
      <c r="BX98" s="8" t="s">
        <v>169</v>
      </c>
      <c r="BY98">
        <v>50</v>
      </c>
      <c r="BZ98">
        <v>45</v>
      </c>
      <c r="CA98">
        <v>55</v>
      </c>
      <c r="CB98">
        <v>50</v>
      </c>
      <c r="CC98">
        <v>48</v>
      </c>
      <c r="CD98">
        <v>45</v>
      </c>
      <c r="CE98">
        <v>3</v>
      </c>
      <c r="CH98" s="2"/>
      <c r="CI98" t="s">
        <v>164</v>
      </c>
      <c r="CJ98">
        <v>75</v>
      </c>
      <c r="CK98">
        <v>55</v>
      </c>
      <c r="CL98">
        <v>42</v>
      </c>
      <c r="CM98">
        <v>49</v>
      </c>
      <c r="CN98">
        <v>51</v>
      </c>
      <c r="CO98">
        <v>27</v>
      </c>
    </row>
    <row r="99" spans="75:93" ht="17" thickBot="1" x14ac:dyDescent="0.25">
      <c r="BW99" s="8" t="s">
        <v>166</v>
      </c>
      <c r="BX99" s="8" t="s">
        <v>169</v>
      </c>
      <c r="BY99">
        <v>50</v>
      </c>
      <c r="BZ99">
        <v>42</v>
      </c>
      <c r="CA99">
        <v>55</v>
      </c>
      <c r="CB99">
        <v>55</v>
      </c>
      <c r="CC99">
        <v>45</v>
      </c>
      <c r="CD99">
        <v>50</v>
      </c>
      <c r="CE99">
        <v>4</v>
      </c>
      <c r="CH99" s="4"/>
      <c r="CI99" t="s">
        <v>165</v>
      </c>
      <c r="CJ99">
        <v>69</v>
      </c>
      <c r="CK99">
        <v>55</v>
      </c>
      <c r="CL99">
        <v>43</v>
      </c>
      <c r="CM99">
        <v>50</v>
      </c>
      <c r="CN99">
        <v>50</v>
      </c>
      <c r="CO99">
        <v>32</v>
      </c>
    </row>
    <row r="100" spans="75:93" ht="18" thickTop="1" thickBot="1" x14ac:dyDescent="0.25">
      <c r="BW100" s="8" t="s">
        <v>163</v>
      </c>
      <c r="BX100" s="6" t="s">
        <v>171</v>
      </c>
      <c r="BY100">
        <v>20</v>
      </c>
      <c r="BZ100">
        <v>20</v>
      </c>
      <c r="CA100">
        <v>40</v>
      </c>
      <c r="CB100">
        <v>14</v>
      </c>
      <c r="CC100">
        <v>22</v>
      </c>
      <c r="CD100">
        <v>30</v>
      </c>
      <c r="CE100">
        <v>1</v>
      </c>
      <c r="CH100" s="2"/>
      <c r="CI100" t="s">
        <v>166</v>
      </c>
      <c r="CJ100">
        <v>69</v>
      </c>
      <c r="CK100">
        <v>55</v>
      </c>
      <c r="CL100">
        <v>45</v>
      </c>
      <c r="CM100">
        <v>50</v>
      </c>
      <c r="CN100">
        <v>51</v>
      </c>
      <c r="CO100">
        <v>34</v>
      </c>
    </row>
    <row r="101" spans="75:93" ht="18" thickTop="1" thickBot="1" x14ac:dyDescent="0.25">
      <c r="BW101" s="8" t="s">
        <v>164</v>
      </c>
      <c r="BX101" s="6" t="s">
        <v>171</v>
      </c>
      <c r="BY101">
        <v>27</v>
      </c>
      <c r="BZ101">
        <v>25</v>
      </c>
      <c r="CA101">
        <v>45</v>
      </c>
      <c r="CB101">
        <v>24</v>
      </c>
      <c r="CC101">
        <v>28</v>
      </c>
      <c r="CD101">
        <v>30</v>
      </c>
      <c r="CE101">
        <v>2</v>
      </c>
      <c r="CH101" s="4" t="s">
        <v>174</v>
      </c>
      <c r="CI101" t="s">
        <v>163</v>
      </c>
      <c r="CJ101">
        <v>58</v>
      </c>
      <c r="CK101">
        <v>50</v>
      </c>
      <c r="CL101">
        <v>35</v>
      </c>
      <c r="CM101">
        <v>40</v>
      </c>
      <c r="CN101">
        <v>45</v>
      </c>
      <c r="CO101">
        <v>20</v>
      </c>
    </row>
    <row r="102" spans="75:93" ht="18" thickTop="1" thickBot="1" x14ac:dyDescent="0.25">
      <c r="BW102" s="8" t="s">
        <v>165</v>
      </c>
      <c r="BX102" s="6" t="s">
        <v>171</v>
      </c>
      <c r="BY102">
        <v>32</v>
      </c>
      <c r="BZ102">
        <v>20</v>
      </c>
      <c r="CA102">
        <v>20</v>
      </c>
      <c r="CB102">
        <v>36</v>
      </c>
      <c r="CC102">
        <v>33</v>
      </c>
      <c r="CD102">
        <v>10</v>
      </c>
      <c r="CE102">
        <v>3</v>
      </c>
      <c r="CH102" s="2"/>
      <c r="CI102" t="s">
        <v>164</v>
      </c>
      <c r="CJ102">
        <v>61</v>
      </c>
      <c r="CK102">
        <v>55</v>
      </c>
      <c r="CL102">
        <v>40</v>
      </c>
      <c r="CM102">
        <v>45</v>
      </c>
      <c r="CN102">
        <v>50</v>
      </c>
      <c r="CO102">
        <v>25</v>
      </c>
    </row>
    <row r="103" spans="75:93" ht="17" thickTop="1" x14ac:dyDescent="0.2">
      <c r="BW103" s="8" t="s">
        <v>166</v>
      </c>
      <c r="BX103" s="6" t="s">
        <v>171</v>
      </c>
      <c r="BY103">
        <v>34</v>
      </c>
      <c r="BZ103">
        <v>25</v>
      </c>
      <c r="CA103">
        <v>30</v>
      </c>
      <c r="CB103">
        <v>42</v>
      </c>
      <c r="CC103">
        <v>35</v>
      </c>
      <c r="CD103">
        <v>20</v>
      </c>
      <c r="CE103">
        <v>4</v>
      </c>
      <c r="CH103" s="4"/>
      <c r="CI103" t="s">
        <v>165</v>
      </c>
      <c r="CJ103">
        <v>63</v>
      </c>
      <c r="CK103">
        <v>55</v>
      </c>
      <c r="CL103">
        <v>40</v>
      </c>
      <c r="CM103">
        <v>45</v>
      </c>
      <c r="CN103">
        <v>50</v>
      </c>
      <c r="CO103">
        <v>20</v>
      </c>
    </row>
    <row r="104" spans="75:93" x14ac:dyDescent="0.2">
      <c r="BW104" s="8" t="s">
        <v>163</v>
      </c>
      <c r="BX104" s="8" t="s">
        <v>168</v>
      </c>
      <c r="BY104">
        <v>44</v>
      </c>
      <c r="BZ104">
        <v>35</v>
      </c>
      <c r="CA104">
        <v>52</v>
      </c>
      <c r="CB104">
        <v>45</v>
      </c>
      <c r="CC104">
        <v>50</v>
      </c>
      <c r="CD104">
        <v>50</v>
      </c>
      <c r="CE104">
        <v>1</v>
      </c>
      <c r="CH104" s="2"/>
      <c r="CI104" t="s">
        <v>166</v>
      </c>
      <c r="CJ104">
        <v>60</v>
      </c>
      <c r="CK104">
        <v>50</v>
      </c>
      <c r="CL104">
        <v>35</v>
      </c>
      <c r="CM104">
        <v>42</v>
      </c>
      <c r="CN104">
        <v>48</v>
      </c>
      <c r="CO104">
        <v>25</v>
      </c>
    </row>
    <row r="105" spans="75:93" x14ac:dyDescent="0.2">
      <c r="BW105" s="8" t="s">
        <v>164</v>
      </c>
      <c r="BX105" s="8" t="s">
        <v>168</v>
      </c>
      <c r="BY105">
        <v>42</v>
      </c>
      <c r="BZ105">
        <v>40</v>
      </c>
      <c r="CA105">
        <v>52</v>
      </c>
      <c r="CB105">
        <v>45</v>
      </c>
      <c r="CC105">
        <v>45</v>
      </c>
      <c r="CD105">
        <v>45</v>
      </c>
      <c r="CE105">
        <v>2</v>
      </c>
      <c r="CH105" s="4" t="s">
        <v>175</v>
      </c>
      <c r="CI105" t="s">
        <v>163</v>
      </c>
      <c r="CJ105">
        <v>80</v>
      </c>
      <c r="CK105">
        <v>70</v>
      </c>
      <c r="CL105">
        <v>52</v>
      </c>
      <c r="CM105">
        <v>55</v>
      </c>
      <c r="CN105">
        <v>55</v>
      </c>
      <c r="CO105">
        <v>40</v>
      </c>
    </row>
    <row r="106" spans="75:93" x14ac:dyDescent="0.2">
      <c r="BW106" s="8" t="s">
        <v>165</v>
      </c>
      <c r="BX106" s="8" t="s">
        <v>168</v>
      </c>
      <c r="BY106">
        <v>43</v>
      </c>
      <c r="BZ106">
        <v>40</v>
      </c>
      <c r="CA106">
        <v>52</v>
      </c>
      <c r="CB106">
        <v>45</v>
      </c>
      <c r="CC106">
        <v>43</v>
      </c>
      <c r="CD106">
        <v>40</v>
      </c>
      <c r="CE106">
        <v>3</v>
      </c>
      <c r="CH106" s="2"/>
      <c r="CI106" t="s">
        <v>164</v>
      </c>
      <c r="CJ106">
        <v>70</v>
      </c>
      <c r="CK106">
        <v>65</v>
      </c>
      <c r="CL106">
        <v>52</v>
      </c>
      <c r="CM106">
        <v>55</v>
      </c>
      <c r="CN106">
        <v>55</v>
      </c>
      <c r="CO106">
        <v>45</v>
      </c>
    </row>
    <row r="107" spans="75:93" x14ac:dyDescent="0.2">
      <c r="BW107" s="8" t="s">
        <v>166</v>
      </c>
      <c r="BX107" s="8" t="s">
        <v>168</v>
      </c>
      <c r="BY107">
        <v>45</v>
      </c>
      <c r="BZ107">
        <v>35</v>
      </c>
      <c r="CA107">
        <v>52</v>
      </c>
      <c r="CB107">
        <v>50</v>
      </c>
      <c r="CC107">
        <v>40</v>
      </c>
      <c r="CD107">
        <v>45</v>
      </c>
      <c r="CE107">
        <v>4</v>
      </c>
      <c r="CH107" s="4"/>
      <c r="CI107" t="s">
        <v>165</v>
      </c>
      <c r="CJ107">
        <v>70</v>
      </c>
      <c r="CK107">
        <v>60</v>
      </c>
      <c r="CL107">
        <v>52</v>
      </c>
      <c r="CM107">
        <v>55</v>
      </c>
      <c r="CN107">
        <v>55</v>
      </c>
      <c r="CO107">
        <v>20</v>
      </c>
    </row>
    <row r="108" spans="75:93" x14ac:dyDescent="0.2">
      <c r="BW108" s="8" t="s">
        <v>163</v>
      </c>
      <c r="BX108" s="8" t="s">
        <v>170</v>
      </c>
      <c r="BY108">
        <v>56</v>
      </c>
      <c r="BZ108">
        <v>45</v>
      </c>
      <c r="CA108">
        <v>55</v>
      </c>
      <c r="CB108">
        <v>50</v>
      </c>
      <c r="CC108">
        <v>50</v>
      </c>
      <c r="CD108">
        <v>55</v>
      </c>
      <c r="CE108">
        <v>1</v>
      </c>
      <c r="CH108" s="2"/>
      <c r="CI108" t="s">
        <v>166</v>
      </c>
      <c r="CJ108">
        <v>70</v>
      </c>
      <c r="CK108">
        <v>60</v>
      </c>
      <c r="CL108">
        <v>52</v>
      </c>
      <c r="CM108">
        <v>55</v>
      </c>
      <c r="CN108">
        <v>55</v>
      </c>
      <c r="CO108">
        <v>30</v>
      </c>
    </row>
    <row r="109" spans="75:93" x14ac:dyDescent="0.2">
      <c r="BW109" s="8" t="s">
        <v>164</v>
      </c>
      <c r="BX109" s="8" t="s">
        <v>170</v>
      </c>
      <c r="BY109">
        <v>51</v>
      </c>
      <c r="BZ109">
        <v>50</v>
      </c>
      <c r="CA109">
        <v>55</v>
      </c>
      <c r="CB109">
        <v>50</v>
      </c>
      <c r="CC109">
        <v>50</v>
      </c>
      <c r="CD109">
        <v>50</v>
      </c>
      <c r="CE109">
        <v>2</v>
      </c>
      <c r="CH109" s="4" t="s">
        <v>176</v>
      </c>
      <c r="CI109" t="s">
        <v>163</v>
      </c>
      <c r="CJ109">
        <v>90</v>
      </c>
      <c r="CK109">
        <v>55</v>
      </c>
      <c r="CL109">
        <v>45</v>
      </c>
      <c r="CM109">
        <v>50</v>
      </c>
      <c r="CN109">
        <v>50</v>
      </c>
      <c r="CO109">
        <v>14</v>
      </c>
    </row>
    <row r="110" spans="75:93" x14ac:dyDescent="0.2">
      <c r="BW110" s="8" t="s">
        <v>165</v>
      </c>
      <c r="BX110" s="8" t="s">
        <v>170</v>
      </c>
      <c r="BY110">
        <v>50</v>
      </c>
      <c r="BZ110">
        <v>50</v>
      </c>
      <c r="CA110">
        <v>55</v>
      </c>
      <c r="CB110">
        <v>50</v>
      </c>
      <c r="CC110">
        <v>50</v>
      </c>
      <c r="CD110">
        <v>45</v>
      </c>
      <c r="CE110">
        <v>3</v>
      </c>
      <c r="CH110" s="2"/>
      <c r="CI110" t="s">
        <v>164</v>
      </c>
      <c r="CJ110">
        <v>90</v>
      </c>
      <c r="CK110">
        <v>55</v>
      </c>
      <c r="CL110">
        <v>45</v>
      </c>
      <c r="CM110">
        <v>50</v>
      </c>
      <c r="CN110">
        <v>50</v>
      </c>
      <c r="CO110">
        <v>24</v>
      </c>
    </row>
    <row r="111" spans="75:93" x14ac:dyDescent="0.2">
      <c r="BW111" s="8" t="s">
        <v>166</v>
      </c>
      <c r="BX111" s="8" t="s">
        <v>170</v>
      </c>
      <c r="BY111">
        <v>51</v>
      </c>
      <c r="BZ111">
        <v>48</v>
      </c>
      <c r="CA111">
        <v>55</v>
      </c>
      <c r="CB111">
        <v>50</v>
      </c>
      <c r="CC111">
        <v>50</v>
      </c>
      <c r="CD111">
        <v>50</v>
      </c>
      <c r="CE111">
        <v>4</v>
      </c>
      <c r="CH111" s="4"/>
      <c r="CI111" t="s">
        <v>165</v>
      </c>
      <c r="CJ111">
        <v>75</v>
      </c>
      <c r="CK111">
        <v>50</v>
      </c>
      <c r="CL111">
        <v>45</v>
      </c>
      <c r="CM111">
        <v>50</v>
      </c>
      <c r="CN111">
        <v>50</v>
      </c>
      <c r="CO111">
        <v>36</v>
      </c>
    </row>
    <row r="112" spans="75:93" x14ac:dyDescent="0.2">
      <c r="BW112" s="8" t="s">
        <v>163</v>
      </c>
      <c r="BX112" s="8" t="s">
        <v>162</v>
      </c>
      <c r="BY112">
        <v>75</v>
      </c>
      <c r="BZ112">
        <v>58</v>
      </c>
      <c r="CA112">
        <v>80</v>
      </c>
      <c r="CB112">
        <v>90</v>
      </c>
      <c r="CC112">
        <v>70</v>
      </c>
      <c r="CD112">
        <v>75</v>
      </c>
      <c r="CE112">
        <v>1</v>
      </c>
      <c r="CH112" s="2"/>
      <c r="CI112" t="s">
        <v>166</v>
      </c>
      <c r="CJ112">
        <v>75</v>
      </c>
      <c r="CK112">
        <v>45</v>
      </c>
      <c r="CL112">
        <v>50</v>
      </c>
      <c r="CM112">
        <v>55</v>
      </c>
      <c r="CN112">
        <v>50</v>
      </c>
      <c r="CO112">
        <v>42</v>
      </c>
    </row>
    <row r="113" spans="75:93" x14ac:dyDescent="0.2">
      <c r="BW113" s="8" t="s">
        <v>164</v>
      </c>
      <c r="BX113" s="8" t="s">
        <v>162</v>
      </c>
      <c r="BY113">
        <v>75</v>
      </c>
      <c r="BZ113">
        <v>61</v>
      </c>
      <c r="CA113">
        <v>70</v>
      </c>
      <c r="CB113">
        <v>90</v>
      </c>
      <c r="CC113">
        <v>65</v>
      </c>
      <c r="CD113">
        <v>65</v>
      </c>
      <c r="CE113">
        <v>2</v>
      </c>
      <c r="CH113" s="4" t="s">
        <v>177</v>
      </c>
      <c r="CI113" t="s">
        <v>163</v>
      </c>
      <c r="CJ113">
        <v>70</v>
      </c>
      <c r="CK113">
        <v>60</v>
      </c>
      <c r="CL113">
        <v>50</v>
      </c>
      <c r="CM113">
        <v>55</v>
      </c>
      <c r="CN113">
        <v>50</v>
      </c>
      <c r="CO113">
        <v>22</v>
      </c>
    </row>
    <row r="114" spans="75:93" x14ac:dyDescent="0.2">
      <c r="BW114" s="8" t="s">
        <v>165</v>
      </c>
      <c r="BX114" s="8" t="s">
        <v>162</v>
      </c>
      <c r="BY114">
        <v>69</v>
      </c>
      <c r="BZ114">
        <v>63</v>
      </c>
      <c r="CA114">
        <v>70</v>
      </c>
      <c r="CB114">
        <v>75</v>
      </c>
      <c r="CC114">
        <v>65</v>
      </c>
      <c r="CD114">
        <v>65</v>
      </c>
      <c r="CE114">
        <v>3</v>
      </c>
      <c r="CH114" s="2"/>
      <c r="CI114" t="s">
        <v>164</v>
      </c>
      <c r="CJ114">
        <v>65</v>
      </c>
      <c r="CK114">
        <v>55</v>
      </c>
      <c r="CL114">
        <v>45</v>
      </c>
      <c r="CM114">
        <v>50</v>
      </c>
      <c r="CN114">
        <v>50</v>
      </c>
      <c r="CO114">
        <v>28</v>
      </c>
    </row>
    <row r="115" spans="75:93" x14ac:dyDescent="0.2">
      <c r="BW115" s="8" t="s">
        <v>166</v>
      </c>
      <c r="BX115" s="8" t="s">
        <v>162</v>
      </c>
      <c r="BY115">
        <v>69</v>
      </c>
      <c r="BZ115">
        <v>60</v>
      </c>
      <c r="CA115">
        <v>70</v>
      </c>
      <c r="CB115">
        <v>75</v>
      </c>
      <c r="CC115">
        <v>60</v>
      </c>
      <c r="CD115">
        <v>65</v>
      </c>
      <c r="CE115">
        <v>4</v>
      </c>
      <c r="CH115" s="4"/>
      <c r="CI115" t="s">
        <v>165</v>
      </c>
      <c r="CJ115">
        <v>65</v>
      </c>
      <c r="CK115">
        <v>52</v>
      </c>
      <c r="CL115">
        <v>43</v>
      </c>
      <c r="CM115">
        <v>48</v>
      </c>
      <c r="CN115">
        <v>50</v>
      </c>
      <c r="CO115">
        <v>33</v>
      </c>
    </row>
    <row r="116" spans="75:93" x14ac:dyDescent="0.2">
      <c r="BW116" s="8" t="s">
        <v>163</v>
      </c>
      <c r="BX116" s="8" t="s">
        <v>167</v>
      </c>
      <c r="BY116">
        <v>62</v>
      </c>
      <c r="BZ116">
        <v>50</v>
      </c>
      <c r="CA116">
        <v>70</v>
      </c>
      <c r="CB116">
        <v>55</v>
      </c>
      <c r="CC116">
        <v>60</v>
      </c>
      <c r="CD116">
        <v>60</v>
      </c>
      <c r="CE116">
        <v>1</v>
      </c>
      <c r="CH116" s="2"/>
      <c r="CI116" t="s">
        <v>166</v>
      </c>
      <c r="CJ116">
        <v>60</v>
      </c>
      <c r="CK116">
        <v>50</v>
      </c>
      <c r="CL116">
        <v>40</v>
      </c>
      <c r="CM116">
        <v>45</v>
      </c>
      <c r="CN116">
        <v>50</v>
      </c>
      <c r="CO116">
        <v>35</v>
      </c>
    </row>
    <row r="117" spans="75:93" x14ac:dyDescent="0.2">
      <c r="BW117" s="8" t="s">
        <v>164</v>
      </c>
      <c r="BX117" s="8" t="s">
        <v>167</v>
      </c>
      <c r="BY117">
        <v>55</v>
      </c>
      <c r="BZ117">
        <v>55</v>
      </c>
      <c r="CA117">
        <v>65</v>
      </c>
      <c r="CB117">
        <v>55</v>
      </c>
      <c r="CC117">
        <v>55</v>
      </c>
      <c r="CD117">
        <v>55</v>
      </c>
      <c r="CE117">
        <v>2</v>
      </c>
      <c r="CH117" s="4" t="s">
        <v>178</v>
      </c>
      <c r="CI117" t="s">
        <v>163</v>
      </c>
      <c r="CJ117">
        <v>75</v>
      </c>
      <c r="CK117">
        <v>60</v>
      </c>
      <c r="CL117">
        <v>50</v>
      </c>
      <c r="CM117">
        <v>55</v>
      </c>
      <c r="CN117">
        <v>55</v>
      </c>
      <c r="CO117">
        <v>30</v>
      </c>
    </row>
    <row r="118" spans="75:93" x14ac:dyDescent="0.2">
      <c r="BW118" s="8" t="s">
        <v>165</v>
      </c>
      <c r="BX118" s="8" t="s">
        <v>167</v>
      </c>
      <c r="BY118">
        <v>55</v>
      </c>
      <c r="BZ118">
        <v>55</v>
      </c>
      <c r="CA118">
        <v>60</v>
      </c>
      <c r="CB118">
        <v>50</v>
      </c>
      <c r="CC118">
        <v>52</v>
      </c>
      <c r="CD118">
        <v>48</v>
      </c>
      <c r="CE118">
        <v>3</v>
      </c>
      <c r="CH118" s="2"/>
      <c r="CI118" t="s">
        <v>164</v>
      </c>
      <c r="CJ118">
        <v>65</v>
      </c>
      <c r="CK118">
        <v>55</v>
      </c>
      <c r="CL118">
        <v>45</v>
      </c>
      <c r="CM118">
        <v>50</v>
      </c>
      <c r="CN118">
        <v>50</v>
      </c>
      <c r="CO118">
        <v>30</v>
      </c>
    </row>
    <row r="119" spans="75:93" x14ac:dyDescent="0.2">
      <c r="BW119" s="8" t="s">
        <v>166</v>
      </c>
      <c r="BX119" s="8" t="s">
        <v>167</v>
      </c>
      <c r="BY119">
        <v>55</v>
      </c>
      <c r="BZ119">
        <v>50</v>
      </c>
      <c r="CA119">
        <v>60</v>
      </c>
      <c r="CB119">
        <v>45</v>
      </c>
      <c r="CC119">
        <v>50</v>
      </c>
      <c r="CD119">
        <v>48</v>
      </c>
      <c r="CE119">
        <v>4</v>
      </c>
      <c r="CH119" s="4"/>
      <c r="CI119" t="s">
        <v>165</v>
      </c>
      <c r="CJ119">
        <v>65</v>
      </c>
      <c r="CK119">
        <v>48</v>
      </c>
      <c r="CL119">
        <v>40</v>
      </c>
      <c r="CM119">
        <v>45</v>
      </c>
      <c r="CN119">
        <v>45</v>
      </c>
      <c r="CO119">
        <v>10</v>
      </c>
    </row>
    <row r="120" spans="75:93" x14ac:dyDescent="0.2">
      <c r="CH120" s="7"/>
      <c r="CI120" t="s">
        <v>166</v>
      </c>
      <c r="CJ120">
        <v>65</v>
      </c>
      <c r="CK120">
        <v>48</v>
      </c>
      <c r="CL120">
        <v>45</v>
      </c>
      <c r="CM120">
        <v>50</v>
      </c>
      <c r="CN120">
        <v>50</v>
      </c>
      <c r="CO120">
        <v>20</v>
      </c>
    </row>
    <row r="127" spans="75:93" x14ac:dyDescent="0.2">
      <c r="CK127" s="14"/>
      <c r="CL127" s="14"/>
      <c r="CM127" s="14"/>
      <c r="CN127" s="14"/>
    </row>
    <row r="128" spans="75:93" x14ac:dyDescent="0.2">
      <c r="CH128" s="14" t="s">
        <v>252</v>
      </c>
      <c r="CI128" s="14" t="s">
        <v>141</v>
      </c>
      <c r="CJ128" s="14"/>
      <c r="CK128" s="14"/>
      <c r="CL128" s="14"/>
      <c r="CM128" s="14"/>
      <c r="CN128" s="14"/>
    </row>
    <row r="129" spans="49:93" ht="17" thickBot="1" x14ac:dyDescent="0.25">
      <c r="CH129" s="21"/>
      <c r="CJ129" s="22"/>
      <c r="CK129" s="22"/>
      <c r="CL129" s="22"/>
      <c r="CM129" s="5"/>
      <c r="CN129" s="5"/>
      <c r="CO129" s="5"/>
    </row>
    <row r="130" spans="49:93" ht="18" thickTop="1" thickBot="1" x14ac:dyDescent="0.25">
      <c r="AW130" t="str" cm="1">
        <f t="array" ref="AW130:BE153">QueryW[]</f>
        <v>Spring</v>
      </c>
      <c r="AX130" t="str">
        <v>Breeding ewes</v>
      </c>
      <c r="AY130">
        <v>54</v>
      </c>
      <c r="AZ130">
        <v>40</v>
      </c>
      <c r="BA130">
        <v>55</v>
      </c>
      <c r="BB130">
        <v>50</v>
      </c>
      <c r="BC130">
        <v>55</v>
      </c>
      <c r="BD130">
        <v>55</v>
      </c>
      <c r="BE130">
        <v>1</v>
      </c>
      <c r="BW130" t="s">
        <v>180</v>
      </c>
      <c r="BX130" t="s">
        <v>161</v>
      </c>
      <c r="BY130" t="s">
        <v>173</v>
      </c>
      <c r="BZ130" t="s">
        <v>271</v>
      </c>
      <c r="CA130" t="s">
        <v>272</v>
      </c>
      <c r="CB130" t="s">
        <v>273</v>
      </c>
      <c r="CC130" t="s">
        <v>274</v>
      </c>
      <c r="CD130" t="s">
        <v>275</v>
      </c>
      <c r="CE130" t="s">
        <v>189</v>
      </c>
      <c r="CH130" s="23" t="s">
        <v>181</v>
      </c>
      <c r="CI130" t="s">
        <v>182</v>
      </c>
      <c r="CJ130" s="24" t="s">
        <v>183</v>
      </c>
      <c r="CK130" s="24" t="s">
        <v>184</v>
      </c>
      <c r="CL130" s="24" t="s">
        <v>185</v>
      </c>
      <c r="CM130" s="6" t="s">
        <v>186</v>
      </c>
      <c r="CN130" s="6" t="s">
        <v>187</v>
      </c>
      <c r="CO130" s="6" t="s">
        <v>188</v>
      </c>
    </row>
    <row r="131" spans="49:93" ht="17" thickTop="1" x14ac:dyDescent="0.2">
      <c r="AW131" t="str">
        <v>Summer</v>
      </c>
      <c r="AX131" t="str">
        <v>Breeding ewes</v>
      </c>
      <c r="AY131">
        <v>49</v>
      </c>
      <c r="AZ131">
        <v>45</v>
      </c>
      <c r="BA131">
        <v>55</v>
      </c>
      <c r="BB131">
        <v>50</v>
      </c>
      <c r="BC131">
        <v>50</v>
      </c>
      <c r="BD131">
        <v>50</v>
      </c>
      <c r="BE131">
        <v>2</v>
      </c>
      <c r="BW131" s="8" t="s">
        <v>163</v>
      </c>
      <c r="BX131" s="8" t="s">
        <v>169</v>
      </c>
      <c r="BY131">
        <v>57</v>
      </c>
      <c r="BZ131">
        <v>50</v>
      </c>
      <c r="CA131">
        <v>60</v>
      </c>
      <c r="CB131">
        <v>55</v>
      </c>
      <c r="CC131">
        <v>50</v>
      </c>
      <c r="CD131">
        <v>60</v>
      </c>
      <c r="CE131">
        <v>1</v>
      </c>
      <c r="CH131" s="23" t="s">
        <v>179</v>
      </c>
      <c r="CI131" t="s">
        <v>180</v>
      </c>
      <c r="CJ131" s="24" t="s">
        <v>162</v>
      </c>
      <c r="CK131" s="24" t="s">
        <v>167</v>
      </c>
      <c r="CL131" s="24" t="s">
        <v>168</v>
      </c>
      <c r="CM131" s="6" t="s">
        <v>169</v>
      </c>
      <c r="CN131" s="6" t="s">
        <v>170</v>
      </c>
      <c r="CO131" s="6" t="s">
        <v>171</v>
      </c>
    </row>
    <row r="132" spans="49:93" x14ac:dyDescent="0.2">
      <c r="AW132" t="str">
        <v>Autumn</v>
      </c>
      <c r="AX132" t="str">
        <v>Breeding ewes</v>
      </c>
      <c r="AY132">
        <v>50</v>
      </c>
      <c r="AZ132">
        <v>45</v>
      </c>
      <c r="BA132">
        <v>55</v>
      </c>
      <c r="BB132">
        <v>50</v>
      </c>
      <c r="BC132">
        <v>48</v>
      </c>
      <c r="BD132">
        <v>45</v>
      </c>
      <c r="BE132">
        <v>3</v>
      </c>
      <c r="BW132" s="8" t="s">
        <v>164</v>
      </c>
      <c r="BX132" s="8" t="s">
        <v>169</v>
      </c>
      <c r="BY132">
        <v>57</v>
      </c>
      <c r="BZ132">
        <v>50</v>
      </c>
      <c r="CA132">
        <v>60</v>
      </c>
      <c r="CB132">
        <v>55</v>
      </c>
      <c r="CC132">
        <v>50</v>
      </c>
      <c r="CD132">
        <v>60</v>
      </c>
      <c r="CE132">
        <v>2</v>
      </c>
      <c r="CH132" s="25" t="s">
        <v>173</v>
      </c>
      <c r="CI132" t="s">
        <v>163</v>
      </c>
      <c r="CJ132" s="26" t="s">
        <v>241</v>
      </c>
      <c r="CK132" s="26" t="s">
        <v>242</v>
      </c>
      <c r="CL132" s="26" t="s">
        <v>243</v>
      </c>
      <c r="CM132" s="26" t="s">
        <v>243</v>
      </c>
      <c r="CN132" s="26" t="s">
        <v>243</v>
      </c>
      <c r="CO132" s="26">
        <v>60</v>
      </c>
    </row>
    <row r="133" spans="49:93" x14ac:dyDescent="0.2">
      <c r="AW133" t="str">
        <v>Winter</v>
      </c>
      <c r="AX133" t="str">
        <v>Breeding ewes</v>
      </c>
      <c r="AY133">
        <v>50</v>
      </c>
      <c r="AZ133">
        <v>42</v>
      </c>
      <c r="BA133">
        <v>55</v>
      </c>
      <c r="BB133">
        <v>55</v>
      </c>
      <c r="BC133">
        <v>45</v>
      </c>
      <c r="BD133">
        <v>50</v>
      </c>
      <c r="BE133">
        <v>4</v>
      </c>
      <c r="BW133" s="8" t="s">
        <v>165</v>
      </c>
      <c r="BX133" s="8" t="s">
        <v>169</v>
      </c>
      <c r="BY133">
        <v>57</v>
      </c>
      <c r="BZ133">
        <v>50</v>
      </c>
      <c r="CA133">
        <v>60</v>
      </c>
      <c r="CB133">
        <v>55</v>
      </c>
      <c r="CC133">
        <v>50</v>
      </c>
      <c r="CD133">
        <v>60</v>
      </c>
      <c r="CE133">
        <v>3</v>
      </c>
      <c r="CH133" s="25" t="s">
        <v>173</v>
      </c>
      <c r="CI133" t="s">
        <v>164</v>
      </c>
      <c r="CJ133" s="26" t="s">
        <v>241</v>
      </c>
      <c r="CK133" s="26" t="s">
        <v>242</v>
      </c>
      <c r="CL133" s="26" t="s">
        <v>243</v>
      </c>
      <c r="CM133" s="26" t="s">
        <v>243</v>
      </c>
      <c r="CN133" s="26" t="s">
        <v>243</v>
      </c>
      <c r="CO133" s="26">
        <v>61</v>
      </c>
    </row>
    <row r="134" spans="49:93" x14ac:dyDescent="0.2">
      <c r="AW134" t="str">
        <v>Spring</v>
      </c>
      <c r="AX134" t="str">
        <v>Lambs and hoggets</v>
      </c>
      <c r="AY134">
        <v>20</v>
      </c>
      <c r="AZ134">
        <v>20</v>
      </c>
      <c r="BA134">
        <v>40</v>
      </c>
      <c r="BB134">
        <v>14</v>
      </c>
      <c r="BC134">
        <v>22</v>
      </c>
      <c r="BD134">
        <v>30</v>
      </c>
      <c r="BE134">
        <v>1</v>
      </c>
      <c r="BW134" s="8" t="s">
        <v>166</v>
      </c>
      <c r="BX134" s="8" t="s">
        <v>169</v>
      </c>
      <c r="BY134">
        <v>57</v>
      </c>
      <c r="BZ134">
        <v>50</v>
      </c>
      <c r="CA134">
        <v>60</v>
      </c>
      <c r="CB134">
        <v>55</v>
      </c>
      <c r="CC134">
        <v>50</v>
      </c>
      <c r="CD134">
        <v>60</v>
      </c>
      <c r="CE134">
        <v>4</v>
      </c>
      <c r="CH134" s="25" t="s">
        <v>173</v>
      </c>
      <c r="CI134" t="s">
        <v>165</v>
      </c>
      <c r="CJ134" s="26" t="s">
        <v>241</v>
      </c>
      <c r="CK134" s="26" t="s">
        <v>242</v>
      </c>
      <c r="CL134" s="26" t="s">
        <v>243</v>
      </c>
      <c r="CM134" s="26" t="s">
        <v>243</v>
      </c>
      <c r="CN134" s="26" t="s">
        <v>243</v>
      </c>
      <c r="CO134" s="26">
        <v>62</v>
      </c>
    </row>
    <row r="135" spans="49:93" x14ac:dyDescent="0.2">
      <c r="AW135" t="str">
        <v>Summer</v>
      </c>
      <c r="AX135" t="str">
        <v>Lambs and hoggets</v>
      </c>
      <c r="AY135">
        <v>27</v>
      </c>
      <c r="AZ135">
        <v>25</v>
      </c>
      <c r="BA135">
        <v>45</v>
      </c>
      <c r="BB135">
        <v>24</v>
      </c>
      <c r="BC135">
        <v>28</v>
      </c>
      <c r="BD135">
        <v>30</v>
      </c>
      <c r="BE135">
        <v>2</v>
      </c>
      <c r="BW135" s="8" t="s">
        <v>163</v>
      </c>
      <c r="BX135" s="8" t="s">
        <v>171</v>
      </c>
      <c r="BY135">
        <v>60</v>
      </c>
      <c r="BZ135">
        <v>55</v>
      </c>
      <c r="CA135">
        <v>66</v>
      </c>
      <c r="CB135">
        <v>60</v>
      </c>
      <c r="CC135">
        <v>55</v>
      </c>
      <c r="CD135">
        <v>66</v>
      </c>
      <c r="CE135">
        <v>1</v>
      </c>
      <c r="CH135" s="25" t="s">
        <v>173</v>
      </c>
      <c r="CI135" t="s">
        <v>166</v>
      </c>
      <c r="CJ135" s="26" t="s">
        <v>241</v>
      </c>
      <c r="CK135" s="26" t="s">
        <v>242</v>
      </c>
      <c r="CL135" s="26" t="s">
        <v>243</v>
      </c>
      <c r="CM135" s="26" t="s">
        <v>243</v>
      </c>
      <c r="CN135" s="26" t="s">
        <v>243</v>
      </c>
      <c r="CO135" s="26">
        <v>63</v>
      </c>
    </row>
    <row r="136" spans="49:93" x14ac:dyDescent="0.2">
      <c r="AW136" t="str">
        <v>Autumn</v>
      </c>
      <c r="AX136" t="str">
        <v>Lambs and hoggets</v>
      </c>
      <c r="AY136">
        <v>32</v>
      </c>
      <c r="AZ136">
        <v>20</v>
      </c>
      <c r="BA136">
        <v>20</v>
      </c>
      <c r="BB136">
        <v>36</v>
      </c>
      <c r="BC136">
        <v>33</v>
      </c>
      <c r="BD136">
        <v>10</v>
      </c>
      <c r="BE136">
        <v>3</v>
      </c>
      <c r="BW136" s="8" t="s">
        <v>164</v>
      </c>
      <c r="BX136" s="8" t="s">
        <v>171</v>
      </c>
      <c r="BY136">
        <v>61</v>
      </c>
      <c r="BZ136">
        <v>56</v>
      </c>
      <c r="CA136">
        <v>67</v>
      </c>
      <c r="CB136">
        <v>61</v>
      </c>
      <c r="CC136">
        <v>56</v>
      </c>
      <c r="CD136">
        <v>67</v>
      </c>
      <c r="CE136">
        <v>2</v>
      </c>
      <c r="CH136" s="27" t="s">
        <v>174</v>
      </c>
      <c r="CI136" t="s">
        <v>163</v>
      </c>
      <c r="CJ136" s="20" t="s">
        <v>244</v>
      </c>
      <c r="CK136" s="20" t="s">
        <v>245</v>
      </c>
      <c r="CL136" s="20" t="s">
        <v>246</v>
      </c>
      <c r="CM136" s="20" t="s">
        <v>246</v>
      </c>
      <c r="CN136" s="20" t="s">
        <v>246</v>
      </c>
      <c r="CO136" s="20">
        <v>55</v>
      </c>
    </row>
    <row r="137" spans="49:93" x14ac:dyDescent="0.2">
      <c r="AW137" t="str">
        <v>Winter</v>
      </c>
      <c r="AX137" t="str">
        <v>Lambs and hoggets</v>
      </c>
      <c r="AY137">
        <v>34</v>
      </c>
      <c r="AZ137">
        <v>25</v>
      </c>
      <c r="BA137">
        <v>30</v>
      </c>
      <c r="BB137">
        <v>42</v>
      </c>
      <c r="BC137">
        <v>35</v>
      </c>
      <c r="BD137">
        <v>20</v>
      </c>
      <c r="BE137">
        <v>4</v>
      </c>
      <c r="BW137" s="8" t="s">
        <v>165</v>
      </c>
      <c r="BX137" s="8" t="s">
        <v>171</v>
      </c>
      <c r="BY137">
        <v>62</v>
      </c>
      <c r="BZ137">
        <v>57</v>
      </c>
      <c r="CA137">
        <v>68</v>
      </c>
      <c r="CB137">
        <v>62</v>
      </c>
      <c r="CC137">
        <v>57</v>
      </c>
      <c r="CD137">
        <v>68</v>
      </c>
      <c r="CE137">
        <v>3</v>
      </c>
      <c r="CH137" s="27" t="s">
        <v>174</v>
      </c>
      <c r="CI137" t="s">
        <v>164</v>
      </c>
      <c r="CJ137" s="20" t="s">
        <v>244</v>
      </c>
      <c r="CK137" s="20" t="s">
        <v>245</v>
      </c>
      <c r="CL137" s="20" t="s">
        <v>246</v>
      </c>
      <c r="CM137" s="20" t="s">
        <v>246</v>
      </c>
      <c r="CN137" s="20" t="s">
        <v>246</v>
      </c>
      <c r="CO137" s="20">
        <v>56</v>
      </c>
    </row>
    <row r="138" spans="49:93" x14ac:dyDescent="0.2">
      <c r="AW138" t="str">
        <v>Spring</v>
      </c>
      <c r="AX138" t="str">
        <v>Maiden ewes</v>
      </c>
      <c r="AY138">
        <v>44</v>
      </c>
      <c r="AZ138">
        <v>35</v>
      </c>
      <c r="BA138">
        <v>52</v>
      </c>
      <c r="BB138">
        <v>45</v>
      </c>
      <c r="BC138">
        <v>50</v>
      </c>
      <c r="BD138">
        <v>50</v>
      </c>
      <c r="BE138">
        <v>1</v>
      </c>
      <c r="BW138" s="8" t="s">
        <v>166</v>
      </c>
      <c r="BX138" s="8" t="s">
        <v>171</v>
      </c>
      <c r="BY138">
        <v>63</v>
      </c>
      <c r="BZ138">
        <v>58</v>
      </c>
      <c r="CA138">
        <v>69</v>
      </c>
      <c r="CB138">
        <v>63</v>
      </c>
      <c r="CC138">
        <v>58</v>
      </c>
      <c r="CD138">
        <v>69</v>
      </c>
      <c r="CE138">
        <v>4</v>
      </c>
      <c r="CH138" s="27" t="s">
        <v>174</v>
      </c>
      <c r="CI138" t="s">
        <v>165</v>
      </c>
      <c r="CJ138" s="20" t="s">
        <v>244</v>
      </c>
      <c r="CK138" s="20" t="s">
        <v>245</v>
      </c>
      <c r="CL138" s="20" t="s">
        <v>246</v>
      </c>
      <c r="CM138" s="20" t="s">
        <v>246</v>
      </c>
      <c r="CN138" s="20" t="s">
        <v>246</v>
      </c>
      <c r="CO138" s="20">
        <v>57</v>
      </c>
    </row>
    <row r="139" spans="49:93" x14ac:dyDescent="0.2">
      <c r="AW139" t="str">
        <v>Summer</v>
      </c>
      <c r="AX139" t="str">
        <v>Maiden ewes</v>
      </c>
      <c r="AY139">
        <v>42</v>
      </c>
      <c r="AZ139">
        <v>40</v>
      </c>
      <c r="BA139">
        <v>52</v>
      </c>
      <c r="BB139">
        <v>45</v>
      </c>
      <c r="BC139">
        <v>45</v>
      </c>
      <c r="BD139">
        <v>45</v>
      </c>
      <c r="BE139">
        <v>2</v>
      </c>
      <c r="BW139" s="8" t="s">
        <v>163</v>
      </c>
      <c r="BX139" s="8" t="s">
        <v>168</v>
      </c>
      <c r="BY139">
        <v>57</v>
      </c>
      <c r="BZ139">
        <v>50</v>
      </c>
      <c r="CA139">
        <v>60</v>
      </c>
      <c r="CB139">
        <v>55</v>
      </c>
      <c r="CC139">
        <v>50</v>
      </c>
      <c r="CD139">
        <v>60</v>
      </c>
      <c r="CE139">
        <v>1</v>
      </c>
      <c r="CH139" s="27" t="s">
        <v>174</v>
      </c>
      <c r="CI139" t="s">
        <v>166</v>
      </c>
      <c r="CJ139" s="20" t="s">
        <v>244</v>
      </c>
      <c r="CK139" s="20" t="s">
        <v>245</v>
      </c>
      <c r="CL139" s="20" t="s">
        <v>246</v>
      </c>
      <c r="CM139" s="20" t="s">
        <v>246</v>
      </c>
      <c r="CN139" s="20" t="s">
        <v>246</v>
      </c>
      <c r="CO139" s="20">
        <v>58</v>
      </c>
    </row>
    <row r="140" spans="49:93" x14ac:dyDescent="0.2">
      <c r="AW140" t="str">
        <v>Autumn</v>
      </c>
      <c r="AX140" t="str">
        <v>Maiden ewes</v>
      </c>
      <c r="AY140">
        <v>43</v>
      </c>
      <c r="AZ140">
        <v>40</v>
      </c>
      <c r="BA140">
        <v>52</v>
      </c>
      <c r="BB140">
        <v>45</v>
      </c>
      <c r="BC140">
        <v>43</v>
      </c>
      <c r="BD140">
        <v>40</v>
      </c>
      <c r="BE140">
        <v>3</v>
      </c>
      <c r="BW140" s="8" t="s">
        <v>164</v>
      </c>
      <c r="BX140" s="8" t="s">
        <v>168</v>
      </c>
      <c r="BY140">
        <v>57</v>
      </c>
      <c r="BZ140">
        <v>50</v>
      </c>
      <c r="CA140">
        <v>60</v>
      </c>
      <c r="CB140">
        <v>55</v>
      </c>
      <c r="CC140">
        <v>50</v>
      </c>
      <c r="CD140">
        <v>60</v>
      </c>
      <c r="CE140">
        <v>2</v>
      </c>
      <c r="CH140" s="27" t="s">
        <v>175</v>
      </c>
      <c r="CI140" t="s">
        <v>163</v>
      </c>
      <c r="CJ140" s="20" t="s">
        <v>247</v>
      </c>
      <c r="CK140" s="20" t="s">
        <v>248</v>
      </c>
      <c r="CL140" s="20" t="s">
        <v>245</v>
      </c>
      <c r="CM140" s="20" t="s">
        <v>245</v>
      </c>
      <c r="CN140" s="20" t="s">
        <v>245</v>
      </c>
      <c r="CO140" s="20">
        <v>66</v>
      </c>
    </row>
    <row r="141" spans="49:93" x14ac:dyDescent="0.2">
      <c r="AW141" t="str">
        <v>Winter</v>
      </c>
      <c r="AX141" t="str">
        <v>Maiden ewes</v>
      </c>
      <c r="AY141">
        <v>45</v>
      </c>
      <c r="AZ141">
        <v>35</v>
      </c>
      <c r="BA141">
        <v>52</v>
      </c>
      <c r="BB141">
        <v>50</v>
      </c>
      <c r="BC141">
        <v>40</v>
      </c>
      <c r="BD141">
        <v>45</v>
      </c>
      <c r="BE141">
        <v>4</v>
      </c>
      <c r="BW141" s="8" t="s">
        <v>165</v>
      </c>
      <c r="BX141" s="8" t="s">
        <v>168</v>
      </c>
      <c r="BY141">
        <v>57</v>
      </c>
      <c r="BZ141">
        <v>50</v>
      </c>
      <c r="CA141">
        <v>60</v>
      </c>
      <c r="CB141">
        <v>55</v>
      </c>
      <c r="CC141">
        <v>50</v>
      </c>
      <c r="CD141">
        <v>60</v>
      </c>
      <c r="CE141">
        <v>3</v>
      </c>
      <c r="CH141" s="27" t="s">
        <v>175</v>
      </c>
      <c r="CI141" t="s">
        <v>164</v>
      </c>
      <c r="CJ141" s="20" t="s">
        <v>247</v>
      </c>
      <c r="CK141" s="20" t="s">
        <v>248</v>
      </c>
      <c r="CL141" s="20" t="s">
        <v>245</v>
      </c>
      <c r="CM141" s="20" t="s">
        <v>245</v>
      </c>
      <c r="CN141" s="20" t="s">
        <v>245</v>
      </c>
      <c r="CO141" s="20">
        <v>67</v>
      </c>
    </row>
    <row r="142" spans="49:93" x14ac:dyDescent="0.2">
      <c r="AW142" t="str">
        <v>Spring</v>
      </c>
      <c r="AX142" t="str">
        <v>Other ewes</v>
      </c>
      <c r="AY142">
        <v>56</v>
      </c>
      <c r="AZ142">
        <v>45</v>
      </c>
      <c r="BA142">
        <v>55</v>
      </c>
      <c r="BB142">
        <v>50</v>
      </c>
      <c r="BC142">
        <v>50</v>
      </c>
      <c r="BD142">
        <v>55</v>
      </c>
      <c r="BE142">
        <v>1</v>
      </c>
      <c r="BW142" s="8" t="s">
        <v>166</v>
      </c>
      <c r="BX142" s="8" t="s">
        <v>168</v>
      </c>
      <c r="BY142">
        <v>57</v>
      </c>
      <c r="BZ142">
        <v>50</v>
      </c>
      <c r="CA142">
        <v>60</v>
      </c>
      <c r="CB142">
        <v>55</v>
      </c>
      <c r="CC142">
        <v>50</v>
      </c>
      <c r="CD142">
        <v>60</v>
      </c>
      <c r="CE142">
        <v>4</v>
      </c>
      <c r="CH142" s="27" t="s">
        <v>175</v>
      </c>
      <c r="CI142" t="s">
        <v>165</v>
      </c>
      <c r="CJ142" s="20" t="s">
        <v>247</v>
      </c>
      <c r="CK142" s="20" t="s">
        <v>248</v>
      </c>
      <c r="CL142" s="20" t="s">
        <v>245</v>
      </c>
      <c r="CM142" s="20" t="s">
        <v>245</v>
      </c>
      <c r="CN142" s="20" t="s">
        <v>245</v>
      </c>
      <c r="CO142" s="20">
        <v>68</v>
      </c>
    </row>
    <row r="143" spans="49:93" x14ac:dyDescent="0.2">
      <c r="AW143" t="str">
        <v>Summer</v>
      </c>
      <c r="AX143" t="str">
        <v>Other ewes</v>
      </c>
      <c r="AY143">
        <v>51</v>
      </c>
      <c r="AZ143">
        <v>50</v>
      </c>
      <c r="BA143">
        <v>55</v>
      </c>
      <c r="BB143">
        <v>50</v>
      </c>
      <c r="BC143">
        <v>50</v>
      </c>
      <c r="BD143">
        <v>50</v>
      </c>
      <c r="BE143">
        <v>2</v>
      </c>
      <c r="BW143" s="8" t="s">
        <v>163</v>
      </c>
      <c r="BX143" s="8" t="s">
        <v>170</v>
      </c>
      <c r="BY143">
        <v>57</v>
      </c>
      <c r="BZ143">
        <v>50</v>
      </c>
      <c r="CA143">
        <v>60</v>
      </c>
      <c r="CB143">
        <v>55</v>
      </c>
      <c r="CC143">
        <v>50</v>
      </c>
      <c r="CD143">
        <v>60</v>
      </c>
      <c r="CE143">
        <v>1</v>
      </c>
      <c r="CH143" s="27" t="s">
        <v>175</v>
      </c>
      <c r="CI143" t="s">
        <v>166</v>
      </c>
      <c r="CJ143" s="20" t="s">
        <v>247</v>
      </c>
      <c r="CK143" s="20" t="s">
        <v>248</v>
      </c>
      <c r="CL143" s="20" t="s">
        <v>245</v>
      </c>
      <c r="CM143" s="20" t="s">
        <v>245</v>
      </c>
      <c r="CN143" s="20" t="s">
        <v>245</v>
      </c>
      <c r="CO143" s="20">
        <v>69</v>
      </c>
    </row>
    <row r="144" spans="49:93" x14ac:dyDescent="0.2">
      <c r="AW144" t="str">
        <v>Autumn</v>
      </c>
      <c r="AX144" t="str">
        <v>Other ewes</v>
      </c>
      <c r="AY144">
        <v>50</v>
      </c>
      <c r="AZ144">
        <v>50</v>
      </c>
      <c r="BA144">
        <v>55</v>
      </c>
      <c r="BB144">
        <v>50</v>
      </c>
      <c r="BC144">
        <v>50</v>
      </c>
      <c r="BD144">
        <v>45</v>
      </c>
      <c r="BE144">
        <v>3</v>
      </c>
      <c r="BW144" s="8" t="s">
        <v>164</v>
      </c>
      <c r="BX144" s="8" t="s">
        <v>170</v>
      </c>
      <c r="BY144">
        <v>57</v>
      </c>
      <c r="BZ144">
        <v>50</v>
      </c>
      <c r="CA144">
        <v>60</v>
      </c>
      <c r="CB144">
        <v>55</v>
      </c>
      <c r="CC144">
        <v>50</v>
      </c>
      <c r="CD144">
        <v>60</v>
      </c>
      <c r="CE144">
        <v>2</v>
      </c>
      <c r="CH144" s="27" t="s">
        <v>176</v>
      </c>
      <c r="CI144" t="s">
        <v>163</v>
      </c>
      <c r="CJ144" s="20" t="s">
        <v>249</v>
      </c>
      <c r="CK144" s="20" t="s">
        <v>250</v>
      </c>
      <c r="CL144" s="20" t="s">
        <v>251</v>
      </c>
      <c r="CM144" s="20" t="s">
        <v>251</v>
      </c>
      <c r="CN144" s="20" t="s">
        <v>251</v>
      </c>
      <c r="CO144" s="20">
        <v>60</v>
      </c>
    </row>
    <row r="145" spans="49:93" x14ac:dyDescent="0.2">
      <c r="AW145" t="str">
        <v>Winter</v>
      </c>
      <c r="AX145" t="str">
        <v>Other ewes</v>
      </c>
      <c r="AY145">
        <v>51</v>
      </c>
      <c r="AZ145">
        <v>48</v>
      </c>
      <c r="BA145">
        <v>55</v>
      </c>
      <c r="BB145">
        <v>50</v>
      </c>
      <c r="BC145">
        <v>50</v>
      </c>
      <c r="BD145">
        <v>50</v>
      </c>
      <c r="BE145">
        <v>4</v>
      </c>
      <c r="BW145" s="8" t="s">
        <v>165</v>
      </c>
      <c r="BX145" s="8" t="s">
        <v>170</v>
      </c>
      <c r="BY145">
        <v>57</v>
      </c>
      <c r="BZ145">
        <v>50</v>
      </c>
      <c r="CA145">
        <v>60</v>
      </c>
      <c r="CB145">
        <v>55</v>
      </c>
      <c r="CC145">
        <v>50</v>
      </c>
      <c r="CD145">
        <v>60</v>
      </c>
      <c r="CE145">
        <v>3</v>
      </c>
      <c r="CH145" s="27" t="s">
        <v>176</v>
      </c>
      <c r="CI145" t="s">
        <v>164</v>
      </c>
      <c r="CJ145" s="20" t="s">
        <v>249</v>
      </c>
      <c r="CK145" s="20" t="s">
        <v>250</v>
      </c>
      <c r="CL145" s="20" t="s">
        <v>251</v>
      </c>
      <c r="CM145" s="20" t="s">
        <v>251</v>
      </c>
      <c r="CN145" s="20" t="s">
        <v>251</v>
      </c>
      <c r="CO145" s="20">
        <v>61</v>
      </c>
    </row>
    <row r="146" spans="49:93" x14ac:dyDescent="0.2">
      <c r="AW146" t="str">
        <v>Spring</v>
      </c>
      <c r="AX146" t="str">
        <v>Rams</v>
      </c>
      <c r="AY146">
        <v>75</v>
      </c>
      <c r="AZ146">
        <v>58</v>
      </c>
      <c r="BA146">
        <v>80</v>
      </c>
      <c r="BB146">
        <v>90</v>
      </c>
      <c r="BC146">
        <v>70</v>
      </c>
      <c r="BD146">
        <v>75</v>
      </c>
      <c r="BE146">
        <v>1</v>
      </c>
      <c r="BW146" s="8" t="s">
        <v>166</v>
      </c>
      <c r="BX146" s="8" t="s">
        <v>170</v>
      </c>
      <c r="BY146">
        <v>57</v>
      </c>
      <c r="BZ146">
        <v>50</v>
      </c>
      <c r="CA146">
        <v>60</v>
      </c>
      <c r="CB146">
        <v>55</v>
      </c>
      <c r="CC146">
        <v>50</v>
      </c>
      <c r="CD146">
        <v>60</v>
      </c>
      <c r="CE146">
        <v>4</v>
      </c>
      <c r="CH146" s="27" t="s">
        <v>176</v>
      </c>
      <c r="CI146" t="s">
        <v>165</v>
      </c>
      <c r="CJ146" s="20" t="s">
        <v>249</v>
      </c>
      <c r="CK146" s="20" t="s">
        <v>250</v>
      </c>
      <c r="CL146" s="20" t="s">
        <v>251</v>
      </c>
      <c r="CM146" s="20" t="s">
        <v>251</v>
      </c>
      <c r="CN146" s="20" t="s">
        <v>251</v>
      </c>
      <c r="CO146" s="20">
        <v>62</v>
      </c>
    </row>
    <row r="147" spans="49:93" x14ac:dyDescent="0.2">
      <c r="AW147" t="str">
        <v>Summer</v>
      </c>
      <c r="AX147" t="str">
        <v>Rams</v>
      </c>
      <c r="AY147">
        <v>75</v>
      </c>
      <c r="AZ147">
        <v>61</v>
      </c>
      <c r="BA147">
        <v>70</v>
      </c>
      <c r="BB147">
        <v>90</v>
      </c>
      <c r="BC147">
        <v>65</v>
      </c>
      <c r="BD147">
        <v>65</v>
      </c>
      <c r="BE147">
        <v>2</v>
      </c>
      <c r="BW147" s="8" t="s">
        <v>163</v>
      </c>
      <c r="BX147" s="8" t="s">
        <v>162</v>
      </c>
      <c r="BY147">
        <v>78</v>
      </c>
      <c r="BZ147">
        <v>70</v>
      </c>
      <c r="CA147">
        <v>84</v>
      </c>
      <c r="CB147">
        <v>77</v>
      </c>
      <c r="CC147">
        <v>70</v>
      </c>
      <c r="CD147">
        <v>84</v>
      </c>
      <c r="CE147">
        <v>1</v>
      </c>
      <c r="CH147" s="27" t="s">
        <v>176</v>
      </c>
      <c r="CI147" t="s">
        <v>166</v>
      </c>
      <c r="CJ147" s="20" t="s">
        <v>249</v>
      </c>
      <c r="CK147" s="20" t="s">
        <v>250</v>
      </c>
      <c r="CL147" s="20" t="s">
        <v>251</v>
      </c>
      <c r="CM147" s="20" t="s">
        <v>251</v>
      </c>
      <c r="CN147" s="20" t="s">
        <v>251</v>
      </c>
      <c r="CO147" s="20">
        <v>63</v>
      </c>
    </row>
    <row r="148" spans="49:93" x14ac:dyDescent="0.2">
      <c r="AW148" t="str">
        <v>Autumn</v>
      </c>
      <c r="AX148" t="str">
        <v>Rams</v>
      </c>
      <c r="AY148">
        <v>69</v>
      </c>
      <c r="AZ148">
        <v>63</v>
      </c>
      <c r="BA148">
        <v>70</v>
      </c>
      <c r="BB148">
        <v>75</v>
      </c>
      <c r="BC148">
        <v>65</v>
      </c>
      <c r="BD148">
        <v>65</v>
      </c>
      <c r="BE148">
        <v>3</v>
      </c>
      <c r="BW148" s="8" t="s">
        <v>164</v>
      </c>
      <c r="BX148" s="8" t="s">
        <v>162</v>
      </c>
      <c r="BY148">
        <v>78</v>
      </c>
      <c r="BZ148">
        <v>70</v>
      </c>
      <c r="CA148">
        <v>84</v>
      </c>
      <c r="CB148">
        <v>77</v>
      </c>
      <c r="CC148">
        <v>70</v>
      </c>
      <c r="CD148">
        <v>84</v>
      </c>
      <c r="CE148">
        <v>2</v>
      </c>
      <c r="CH148" s="15" t="s">
        <v>177</v>
      </c>
      <c r="CI148" t="s">
        <v>163</v>
      </c>
      <c r="CJ148" s="16" t="s">
        <v>244</v>
      </c>
      <c r="CK148" s="16" t="s">
        <v>245</v>
      </c>
      <c r="CL148" s="16" t="s">
        <v>246</v>
      </c>
      <c r="CM148" s="16" t="s">
        <v>246</v>
      </c>
      <c r="CN148" s="16" t="s">
        <v>246</v>
      </c>
      <c r="CO148" s="17">
        <v>55</v>
      </c>
    </row>
    <row r="149" spans="49:93" x14ac:dyDescent="0.2">
      <c r="AW149" t="str">
        <v>Winter</v>
      </c>
      <c r="AX149" t="str">
        <v>Rams</v>
      </c>
      <c r="AY149">
        <v>69</v>
      </c>
      <c r="AZ149">
        <v>60</v>
      </c>
      <c r="BA149">
        <v>70</v>
      </c>
      <c r="BB149">
        <v>75</v>
      </c>
      <c r="BC149">
        <v>60</v>
      </c>
      <c r="BD149">
        <v>65</v>
      </c>
      <c r="BE149">
        <v>4</v>
      </c>
      <c r="BW149" s="8" t="s">
        <v>165</v>
      </c>
      <c r="BX149" s="8" t="s">
        <v>162</v>
      </c>
      <c r="BY149">
        <v>78</v>
      </c>
      <c r="BZ149">
        <v>70</v>
      </c>
      <c r="CA149">
        <v>84</v>
      </c>
      <c r="CB149">
        <v>77</v>
      </c>
      <c r="CC149">
        <v>70</v>
      </c>
      <c r="CD149">
        <v>84</v>
      </c>
      <c r="CE149">
        <v>3</v>
      </c>
      <c r="CH149" s="15" t="s">
        <v>177</v>
      </c>
      <c r="CI149" t="s">
        <v>164</v>
      </c>
      <c r="CJ149" s="16" t="s">
        <v>244</v>
      </c>
      <c r="CK149" s="16" t="s">
        <v>245</v>
      </c>
      <c r="CL149" s="16" t="s">
        <v>246</v>
      </c>
      <c r="CM149" s="16" t="s">
        <v>246</v>
      </c>
      <c r="CN149" s="16" t="s">
        <v>246</v>
      </c>
      <c r="CO149" s="17">
        <v>56</v>
      </c>
    </row>
    <row r="150" spans="49:93" x14ac:dyDescent="0.2">
      <c r="AW150" t="str">
        <v>Spring</v>
      </c>
      <c r="AX150" t="str">
        <v>Wethers</v>
      </c>
      <c r="AY150">
        <v>62</v>
      </c>
      <c r="AZ150">
        <v>50</v>
      </c>
      <c r="BA150">
        <v>70</v>
      </c>
      <c r="BB150">
        <v>55</v>
      </c>
      <c r="BC150">
        <v>60</v>
      </c>
      <c r="BD150">
        <v>60</v>
      </c>
      <c r="BE150">
        <v>1</v>
      </c>
      <c r="BW150" s="8" t="s">
        <v>166</v>
      </c>
      <c r="BX150" s="8" t="s">
        <v>162</v>
      </c>
      <c r="BY150">
        <v>78</v>
      </c>
      <c r="BZ150">
        <v>70</v>
      </c>
      <c r="CA150">
        <v>84</v>
      </c>
      <c r="CB150">
        <v>77</v>
      </c>
      <c r="CC150">
        <v>70</v>
      </c>
      <c r="CD150">
        <v>84</v>
      </c>
      <c r="CE150">
        <v>4</v>
      </c>
      <c r="CH150" s="15" t="s">
        <v>177</v>
      </c>
      <c r="CI150" t="s">
        <v>165</v>
      </c>
      <c r="CJ150" s="16" t="s">
        <v>244</v>
      </c>
      <c r="CK150" s="16" t="s">
        <v>245</v>
      </c>
      <c r="CL150" s="16" t="s">
        <v>246</v>
      </c>
      <c r="CM150" s="16" t="s">
        <v>246</v>
      </c>
      <c r="CN150" s="16" t="s">
        <v>246</v>
      </c>
      <c r="CO150" s="17">
        <v>57</v>
      </c>
    </row>
    <row r="151" spans="49:93" x14ac:dyDescent="0.2">
      <c r="AW151" t="str">
        <v>Summer</v>
      </c>
      <c r="AX151" t="str">
        <v>Wethers</v>
      </c>
      <c r="AY151">
        <v>55</v>
      </c>
      <c r="AZ151">
        <v>55</v>
      </c>
      <c r="BA151">
        <v>65</v>
      </c>
      <c r="BB151">
        <v>55</v>
      </c>
      <c r="BC151">
        <v>55</v>
      </c>
      <c r="BD151">
        <v>55</v>
      </c>
      <c r="BE151">
        <v>2</v>
      </c>
      <c r="BW151" s="8" t="s">
        <v>163</v>
      </c>
      <c r="BX151" s="8" t="s">
        <v>167</v>
      </c>
      <c r="BY151">
        <v>62</v>
      </c>
      <c r="BZ151">
        <v>60</v>
      </c>
      <c r="CA151">
        <v>72</v>
      </c>
      <c r="CB151">
        <v>66</v>
      </c>
      <c r="CC151">
        <v>60</v>
      </c>
      <c r="CD151">
        <v>72</v>
      </c>
      <c r="CE151">
        <v>1</v>
      </c>
      <c r="CH151" s="15" t="s">
        <v>177</v>
      </c>
      <c r="CI151" t="s">
        <v>166</v>
      </c>
      <c r="CJ151" s="16" t="s">
        <v>244</v>
      </c>
      <c r="CK151" s="16" t="s">
        <v>245</v>
      </c>
      <c r="CL151" s="16" t="s">
        <v>246</v>
      </c>
      <c r="CM151" s="16" t="s">
        <v>246</v>
      </c>
      <c r="CN151" s="16" t="s">
        <v>246</v>
      </c>
      <c r="CO151" s="17">
        <v>58</v>
      </c>
    </row>
    <row r="152" spans="49:93" x14ac:dyDescent="0.2">
      <c r="AW152" t="str">
        <v>Autumn</v>
      </c>
      <c r="AX152" t="str">
        <v>Wethers</v>
      </c>
      <c r="AY152">
        <v>55</v>
      </c>
      <c r="AZ152">
        <v>55</v>
      </c>
      <c r="BA152">
        <v>60</v>
      </c>
      <c r="BB152">
        <v>50</v>
      </c>
      <c r="BC152">
        <v>52</v>
      </c>
      <c r="BD152">
        <v>48</v>
      </c>
      <c r="BE152">
        <v>3</v>
      </c>
      <c r="BW152" s="8" t="s">
        <v>164</v>
      </c>
      <c r="BX152" s="8" t="s">
        <v>167</v>
      </c>
      <c r="BY152">
        <v>62</v>
      </c>
      <c r="BZ152">
        <v>60</v>
      </c>
      <c r="CA152">
        <v>72</v>
      </c>
      <c r="CB152">
        <v>66</v>
      </c>
      <c r="CC152">
        <v>60</v>
      </c>
      <c r="CD152">
        <v>72</v>
      </c>
      <c r="CE152">
        <v>2</v>
      </c>
      <c r="CH152" s="18" t="s">
        <v>178</v>
      </c>
      <c r="CI152" t="s">
        <v>163</v>
      </c>
      <c r="CJ152" s="19" t="s">
        <v>247</v>
      </c>
      <c r="CK152" s="19" t="s">
        <v>248</v>
      </c>
      <c r="CL152" s="19" t="s">
        <v>245</v>
      </c>
      <c r="CM152" s="19" t="s">
        <v>245</v>
      </c>
      <c r="CN152" s="19" t="s">
        <v>245</v>
      </c>
      <c r="CO152" s="20">
        <v>66</v>
      </c>
    </row>
    <row r="153" spans="49:93" x14ac:dyDescent="0.2">
      <c r="AW153" t="str">
        <v>Winter</v>
      </c>
      <c r="AX153" t="str">
        <v>Wethers</v>
      </c>
      <c r="AY153">
        <v>55</v>
      </c>
      <c r="AZ153">
        <v>50</v>
      </c>
      <c r="BA153">
        <v>60</v>
      </c>
      <c r="BB153">
        <v>45</v>
      </c>
      <c r="BC153">
        <v>50</v>
      </c>
      <c r="BD153">
        <v>48</v>
      </c>
      <c r="BE153">
        <v>4</v>
      </c>
      <c r="BW153" s="8" t="s">
        <v>165</v>
      </c>
      <c r="BX153" s="8" t="s">
        <v>167</v>
      </c>
      <c r="BY153">
        <v>62</v>
      </c>
      <c r="BZ153">
        <v>60</v>
      </c>
      <c r="CA153">
        <v>72</v>
      </c>
      <c r="CB153">
        <v>66</v>
      </c>
      <c r="CC153">
        <v>60</v>
      </c>
      <c r="CD153">
        <v>72</v>
      </c>
      <c r="CE153">
        <v>3</v>
      </c>
      <c r="CH153" s="18" t="s">
        <v>178</v>
      </c>
      <c r="CI153" t="s">
        <v>164</v>
      </c>
      <c r="CJ153" s="19" t="s">
        <v>247</v>
      </c>
      <c r="CK153" s="19" t="s">
        <v>248</v>
      </c>
      <c r="CL153" s="19" t="s">
        <v>245</v>
      </c>
      <c r="CM153" s="19" t="s">
        <v>245</v>
      </c>
      <c r="CN153" s="19" t="s">
        <v>245</v>
      </c>
      <c r="CO153" s="20">
        <v>67</v>
      </c>
    </row>
    <row r="154" spans="49:93" x14ac:dyDescent="0.2">
      <c r="BW154" s="8" t="s">
        <v>166</v>
      </c>
      <c r="BX154" s="8" t="s">
        <v>167</v>
      </c>
      <c r="BY154">
        <v>62</v>
      </c>
      <c r="BZ154">
        <v>60</v>
      </c>
      <c r="CA154">
        <v>72</v>
      </c>
      <c r="CB154">
        <v>66</v>
      </c>
      <c r="CC154">
        <v>60</v>
      </c>
      <c r="CD154">
        <v>72</v>
      </c>
      <c r="CE154">
        <v>4</v>
      </c>
      <c r="CH154" s="18" t="s">
        <v>178</v>
      </c>
      <c r="CI154" t="s">
        <v>165</v>
      </c>
      <c r="CJ154" s="19" t="s">
        <v>247</v>
      </c>
      <c r="CK154" s="19" t="s">
        <v>248</v>
      </c>
      <c r="CL154" s="19" t="s">
        <v>245</v>
      </c>
      <c r="CM154" s="19" t="s">
        <v>245</v>
      </c>
      <c r="CN154" s="19" t="s">
        <v>245</v>
      </c>
      <c r="CO154" s="20">
        <v>68</v>
      </c>
    </row>
    <row r="155" spans="49:93" x14ac:dyDescent="0.2">
      <c r="BW155" s="8"/>
      <c r="BX155" s="8"/>
      <c r="CH155" s="18" t="s">
        <v>178</v>
      </c>
      <c r="CI155" t="s">
        <v>166</v>
      </c>
      <c r="CJ155" s="19" t="s">
        <v>247</v>
      </c>
      <c r="CK155" s="19" t="s">
        <v>248</v>
      </c>
      <c r="CL155" s="19" t="s">
        <v>245</v>
      </c>
      <c r="CM155" s="19" t="s">
        <v>245</v>
      </c>
      <c r="CN155" s="19" t="s">
        <v>245</v>
      </c>
      <c r="CO155" s="20">
        <v>69</v>
      </c>
    </row>
    <row r="156" spans="49:93" x14ac:dyDescent="0.2">
      <c r="AW156" t="str" cm="1">
        <f t="array" ref="AW156:BB156">QueryW[[#Headers],[ACT/NSW]:[WA]]</f>
        <v>ACT/NSW</v>
      </c>
      <c r="AX156" t="str">
        <v>QLD</v>
      </c>
      <c r="AY156" t="str">
        <v>SA</v>
      </c>
      <c r="AZ156" t="str">
        <v>TAS</v>
      </c>
      <c r="BA156" t="str">
        <v>VIC</v>
      </c>
      <c r="BB156" t="str">
        <v>WA</v>
      </c>
    </row>
    <row r="163" spans="49:93" x14ac:dyDescent="0.2">
      <c r="CH163" t="s">
        <v>263</v>
      </c>
    </row>
    <row r="164" spans="49:93" x14ac:dyDescent="0.2">
      <c r="CH164" t="s">
        <v>262</v>
      </c>
    </row>
    <row r="165" spans="49:93" x14ac:dyDescent="0.2">
      <c r="CH165" t="s">
        <v>181</v>
      </c>
      <c r="CI165" t="s">
        <v>182</v>
      </c>
      <c r="CJ165" t="s">
        <v>183</v>
      </c>
      <c r="CK165" t="s">
        <v>184</v>
      </c>
      <c r="CL165" t="s">
        <v>185</v>
      </c>
      <c r="CM165" t="s">
        <v>186</v>
      </c>
      <c r="CN165" t="s">
        <v>187</v>
      </c>
      <c r="CO165" t="s">
        <v>188</v>
      </c>
    </row>
    <row r="166" spans="49:93" x14ac:dyDescent="0.2">
      <c r="BW166" t="s">
        <v>180</v>
      </c>
      <c r="BX166" t="s">
        <v>161</v>
      </c>
      <c r="BY166" t="s">
        <v>173</v>
      </c>
      <c r="BZ166" t="s">
        <v>271</v>
      </c>
      <c r="CA166" t="s">
        <v>272</v>
      </c>
      <c r="CB166" t="s">
        <v>273</v>
      </c>
      <c r="CC166" t="s">
        <v>274</v>
      </c>
      <c r="CD166" t="s">
        <v>275</v>
      </c>
      <c r="CE166" t="s">
        <v>189</v>
      </c>
      <c r="CH166" t="s">
        <v>179</v>
      </c>
      <c r="CI166" t="s">
        <v>180</v>
      </c>
      <c r="CJ166" t="s">
        <v>162</v>
      </c>
      <c r="CK166" t="s">
        <v>167</v>
      </c>
      <c r="CL166" t="s">
        <v>168</v>
      </c>
      <c r="CM166" t="s">
        <v>169</v>
      </c>
      <c r="CN166" t="s">
        <v>170</v>
      </c>
      <c r="CO166" t="s">
        <v>171</v>
      </c>
    </row>
    <row r="167" spans="49:93" x14ac:dyDescent="0.2">
      <c r="BW167" s="8" t="s">
        <v>163</v>
      </c>
      <c r="BX167" s="8" t="s">
        <v>169</v>
      </c>
      <c r="BY167">
        <v>2.9</v>
      </c>
      <c r="BZ167">
        <v>1.5</v>
      </c>
      <c r="CA167">
        <v>4</v>
      </c>
      <c r="CB167">
        <v>2.5</v>
      </c>
      <c r="CC167">
        <v>3.2</v>
      </c>
      <c r="CD167">
        <v>3.5</v>
      </c>
      <c r="CE167">
        <v>1</v>
      </c>
      <c r="CH167" t="s">
        <v>173</v>
      </c>
      <c r="CI167" t="s">
        <v>163</v>
      </c>
      <c r="CJ167">
        <v>2.9</v>
      </c>
      <c r="CK167">
        <v>2.9</v>
      </c>
      <c r="CL167">
        <v>2.9</v>
      </c>
      <c r="CM167">
        <v>2.9</v>
      </c>
      <c r="CN167">
        <v>2.9</v>
      </c>
      <c r="CO167">
        <v>2.9</v>
      </c>
    </row>
    <row r="168" spans="49:93" x14ac:dyDescent="0.2">
      <c r="BW168" s="8" t="s">
        <v>164</v>
      </c>
      <c r="BX168" s="8" t="s">
        <v>169</v>
      </c>
      <c r="BY168">
        <v>2.5</v>
      </c>
      <c r="BZ168">
        <v>2</v>
      </c>
      <c r="CA168">
        <v>2.5</v>
      </c>
      <c r="CB168">
        <v>2.5</v>
      </c>
      <c r="CC168">
        <v>3</v>
      </c>
      <c r="CD168">
        <v>1.5</v>
      </c>
      <c r="CE168">
        <v>2</v>
      </c>
      <c r="CI168" t="s">
        <v>164</v>
      </c>
      <c r="CJ168">
        <v>2.5</v>
      </c>
      <c r="CK168">
        <v>2.5</v>
      </c>
      <c r="CL168">
        <v>2.5</v>
      </c>
      <c r="CM168">
        <v>2.5</v>
      </c>
      <c r="CN168">
        <v>2.5</v>
      </c>
      <c r="CO168">
        <v>2.5</v>
      </c>
    </row>
    <row r="169" spans="49:93" x14ac:dyDescent="0.2">
      <c r="BW169" s="8" t="s">
        <v>165</v>
      </c>
      <c r="BX169" s="8" t="s">
        <v>169</v>
      </c>
      <c r="BY169">
        <v>1.6</v>
      </c>
      <c r="BZ169">
        <v>2.2000000000000002</v>
      </c>
      <c r="CA169">
        <v>0.7</v>
      </c>
      <c r="CB169">
        <v>1.3</v>
      </c>
      <c r="CC169">
        <v>1.8</v>
      </c>
      <c r="CD169">
        <v>0.7</v>
      </c>
      <c r="CE169">
        <v>3</v>
      </c>
      <c r="CI169" t="s">
        <v>165</v>
      </c>
      <c r="CJ169">
        <v>1.6</v>
      </c>
      <c r="CK169">
        <v>1.6</v>
      </c>
      <c r="CL169">
        <v>1.6</v>
      </c>
      <c r="CM169">
        <v>1.6</v>
      </c>
      <c r="CN169">
        <v>1.6</v>
      </c>
      <c r="CO169">
        <v>1.6</v>
      </c>
    </row>
    <row r="170" spans="49:93" x14ac:dyDescent="0.2">
      <c r="BW170" s="8" t="s">
        <v>166</v>
      </c>
      <c r="BX170" s="8" t="s">
        <v>169</v>
      </c>
      <c r="BY170">
        <v>1.7</v>
      </c>
      <c r="BZ170">
        <v>1.7</v>
      </c>
      <c r="CA170">
        <v>0.9</v>
      </c>
      <c r="CB170">
        <v>0.8</v>
      </c>
      <c r="CC170">
        <v>1</v>
      </c>
      <c r="CD170">
        <v>1.2</v>
      </c>
      <c r="CE170">
        <v>4</v>
      </c>
      <c r="CI170" t="s">
        <v>166</v>
      </c>
      <c r="CJ170">
        <v>1.7</v>
      </c>
      <c r="CK170">
        <v>1.7</v>
      </c>
      <c r="CL170">
        <v>1.7</v>
      </c>
      <c r="CM170">
        <v>1.7</v>
      </c>
      <c r="CN170">
        <v>1.7</v>
      </c>
      <c r="CO170">
        <v>1.7</v>
      </c>
    </row>
    <row r="171" spans="49:93" x14ac:dyDescent="0.2">
      <c r="BW171" s="8" t="s">
        <v>163</v>
      </c>
      <c r="BX171" s="8" t="s">
        <v>171</v>
      </c>
      <c r="BY171">
        <v>2.9</v>
      </c>
      <c r="BZ171">
        <v>1.5</v>
      </c>
      <c r="CA171">
        <v>4</v>
      </c>
      <c r="CB171">
        <v>2.5</v>
      </c>
      <c r="CC171">
        <v>3.2</v>
      </c>
      <c r="CD171">
        <v>3.5</v>
      </c>
      <c r="CE171">
        <v>1</v>
      </c>
      <c r="CH171" t="s">
        <v>174</v>
      </c>
      <c r="CI171" t="s">
        <v>163</v>
      </c>
      <c r="CJ171">
        <v>1.5</v>
      </c>
      <c r="CK171">
        <v>1.5</v>
      </c>
      <c r="CL171">
        <v>1.5</v>
      </c>
      <c r="CM171">
        <v>1.5</v>
      </c>
      <c r="CN171">
        <v>1.5</v>
      </c>
      <c r="CO171">
        <v>1.5</v>
      </c>
    </row>
    <row r="172" spans="49:93" x14ac:dyDescent="0.2">
      <c r="AW172" t="e" cm="1">
        <f t="array" ref="AW172">#REF!</f>
        <v>#REF!</v>
      </c>
      <c r="BW172" s="8" t="s">
        <v>164</v>
      </c>
      <c r="BX172" s="8" t="s">
        <v>171</v>
      </c>
      <c r="BY172">
        <v>2.5</v>
      </c>
      <c r="BZ172">
        <v>2</v>
      </c>
      <c r="CA172">
        <v>2.5</v>
      </c>
      <c r="CB172">
        <v>2.5</v>
      </c>
      <c r="CC172">
        <v>3</v>
      </c>
      <c r="CD172">
        <v>1.5</v>
      </c>
      <c r="CE172">
        <v>2</v>
      </c>
      <c r="CI172" t="s">
        <v>164</v>
      </c>
      <c r="CJ172">
        <v>2</v>
      </c>
      <c r="CK172">
        <v>2</v>
      </c>
      <c r="CL172">
        <v>2</v>
      </c>
      <c r="CM172">
        <v>2</v>
      </c>
      <c r="CN172">
        <v>2</v>
      </c>
      <c r="CO172">
        <v>2</v>
      </c>
    </row>
    <row r="173" spans="49:93" x14ac:dyDescent="0.2">
      <c r="AW173" t="str" cm="1">
        <f t="array" ref="AW173:BE173">QueryW[#Headers]</f>
        <v>Season</v>
      </c>
      <c r="AX173" t="str">
        <v>Class</v>
      </c>
      <c r="AY173" t="str">
        <v>ACT/NSW</v>
      </c>
      <c r="AZ173" t="str">
        <v>QLD</v>
      </c>
      <c r="BA173" t="str">
        <v>SA</v>
      </c>
      <c r="BB173" t="str">
        <v>TAS</v>
      </c>
      <c r="BC173" t="str">
        <v>VIC</v>
      </c>
      <c r="BD173" t="str">
        <v>WA</v>
      </c>
      <c r="BE173" t="str">
        <v>SeasonOrder</v>
      </c>
      <c r="BW173" s="8" t="s">
        <v>165</v>
      </c>
      <c r="BX173" s="8" t="s">
        <v>171</v>
      </c>
      <c r="BY173">
        <v>1.6</v>
      </c>
      <c r="BZ173">
        <v>2.2000000000000002</v>
      </c>
      <c r="CA173">
        <v>0.7</v>
      </c>
      <c r="CB173">
        <v>1.3</v>
      </c>
      <c r="CC173">
        <v>1.8</v>
      </c>
      <c r="CD173">
        <v>0.7</v>
      </c>
      <c r="CE173">
        <v>3</v>
      </c>
      <c r="CI173" t="s">
        <v>165</v>
      </c>
      <c r="CJ173">
        <v>2.2000000000000002</v>
      </c>
      <c r="CK173">
        <v>2.2000000000000002</v>
      </c>
      <c r="CL173">
        <v>2.2000000000000002</v>
      </c>
      <c r="CM173">
        <v>2.2000000000000002</v>
      </c>
      <c r="CN173">
        <v>2.2000000000000002</v>
      </c>
      <c r="CO173">
        <v>2.2000000000000002</v>
      </c>
    </row>
    <row r="174" spans="49:93" x14ac:dyDescent="0.2">
      <c r="AW174" t="str" cm="1">
        <f t="array" ref="AW174:BB174">QueryW[[#Headers],[ACT/NSW]:[WA]]</f>
        <v>ACT/NSW</v>
      </c>
      <c r="AX174" t="str">
        <v>QLD</v>
      </c>
      <c r="AY174" t="str">
        <v>SA</v>
      </c>
      <c r="AZ174" t="str">
        <v>TAS</v>
      </c>
      <c r="BA174" t="str">
        <v>VIC</v>
      </c>
      <c r="BB174" t="str">
        <v>WA</v>
      </c>
      <c r="BW174" s="8" t="s">
        <v>166</v>
      </c>
      <c r="BX174" s="8" t="s">
        <v>171</v>
      </c>
      <c r="BY174">
        <v>1.7</v>
      </c>
      <c r="BZ174">
        <v>1.7</v>
      </c>
      <c r="CA174">
        <v>0.9</v>
      </c>
      <c r="CB174">
        <v>0.8</v>
      </c>
      <c r="CC174">
        <v>1</v>
      </c>
      <c r="CD174">
        <v>1.2</v>
      </c>
      <c r="CE174">
        <v>4</v>
      </c>
      <c r="CI174" t="s">
        <v>166</v>
      </c>
      <c r="CJ174">
        <v>1.7</v>
      </c>
      <c r="CK174">
        <v>1.7</v>
      </c>
      <c r="CL174">
        <v>1.7</v>
      </c>
      <c r="CM174">
        <v>1.7</v>
      </c>
      <c r="CN174">
        <v>1.7</v>
      </c>
      <c r="CO174">
        <v>1.7</v>
      </c>
    </row>
    <row r="175" spans="49:93" x14ac:dyDescent="0.2">
      <c r="BW175" s="8" t="s">
        <v>163</v>
      </c>
      <c r="BX175" s="8" t="s">
        <v>168</v>
      </c>
      <c r="BY175">
        <v>2.9</v>
      </c>
      <c r="BZ175">
        <v>1.5</v>
      </c>
      <c r="CA175">
        <v>4</v>
      </c>
      <c r="CB175">
        <v>2.5</v>
      </c>
      <c r="CC175">
        <v>3.2</v>
      </c>
      <c r="CD175">
        <v>3.5</v>
      </c>
      <c r="CE175">
        <v>1</v>
      </c>
      <c r="CH175" t="s">
        <v>175</v>
      </c>
      <c r="CI175" t="s">
        <v>163</v>
      </c>
      <c r="CJ175">
        <v>4</v>
      </c>
      <c r="CK175">
        <v>4</v>
      </c>
      <c r="CL175">
        <v>4</v>
      </c>
      <c r="CM175">
        <v>4</v>
      </c>
      <c r="CN175">
        <v>4</v>
      </c>
      <c r="CO175">
        <v>4</v>
      </c>
    </row>
    <row r="176" spans="49:93" x14ac:dyDescent="0.2">
      <c r="AW176" t="e" cm="1">
        <f t="array" ref="AW176">#REF!</f>
        <v>#REF!</v>
      </c>
      <c r="BW176" s="8" t="s">
        <v>164</v>
      </c>
      <c r="BX176" s="8" t="s">
        <v>168</v>
      </c>
      <c r="BY176">
        <v>2.5</v>
      </c>
      <c r="BZ176">
        <v>2</v>
      </c>
      <c r="CA176">
        <v>2.5</v>
      </c>
      <c r="CB176">
        <v>2.5</v>
      </c>
      <c r="CC176">
        <v>3</v>
      </c>
      <c r="CD176">
        <v>1.5</v>
      </c>
      <c r="CE176">
        <v>2</v>
      </c>
      <c r="CI176" t="s">
        <v>164</v>
      </c>
      <c r="CJ176">
        <v>2.5</v>
      </c>
      <c r="CK176">
        <v>2.5</v>
      </c>
      <c r="CL176">
        <v>2.5</v>
      </c>
      <c r="CM176">
        <v>2.5</v>
      </c>
      <c r="CN176">
        <v>2.5</v>
      </c>
      <c r="CO176">
        <v>2.5</v>
      </c>
    </row>
    <row r="177" spans="75:93" x14ac:dyDescent="0.2">
      <c r="BW177" s="8" t="s">
        <v>165</v>
      </c>
      <c r="BX177" s="8" t="s">
        <v>168</v>
      </c>
      <c r="BY177">
        <v>1.6</v>
      </c>
      <c r="BZ177">
        <v>2.2000000000000002</v>
      </c>
      <c r="CA177">
        <v>0.7</v>
      </c>
      <c r="CB177">
        <v>1.3</v>
      </c>
      <c r="CC177">
        <v>1.8</v>
      </c>
      <c r="CD177">
        <v>0.7</v>
      </c>
      <c r="CE177">
        <v>3</v>
      </c>
      <c r="CI177" t="s">
        <v>165</v>
      </c>
      <c r="CJ177">
        <v>0.7</v>
      </c>
      <c r="CK177">
        <v>0.7</v>
      </c>
      <c r="CL177">
        <v>0.7</v>
      </c>
      <c r="CM177">
        <v>0.7</v>
      </c>
      <c r="CN177">
        <v>0.7</v>
      </c>
      <c r="CO177">
        <v>0.7</v>
      </c>
    </row>
    <row r="178" spans="75:93" x14ac:dyDescent="0.2">
      <c r="BW178" s="8" t="s">
        <v>166</v>
      </c>
      <c r="BX178" s="8" t="s">
        <v>168</v>
      </c>
      <c r="BY178">
        <v>1.7</v>
      </c>
      <c r="BZ178">
        <v>1.7</v>
      </c>
      <c r="CA178">
        <v>0.9</v>
      </c>
      <c r="CB178">
        <v>0.8</v>
      </c>
      <c r="CC178">
        <v>1</v>
      </c>
      <c r="CD178">
        <v>1.2</v>
      </c>
      <c r="CE178">
        <v>4</v>
      </c>
      <c r="CI178" t="s">
        <v>166</v>
      </c>
      <c r="CJ178">
        <v>0.9</v>
      </c>
      <c r="CK178">
        <v>0.9</v>
      </c>
      <c r="CL178">
        <v>0.9</v>
      </c>
      <c r="CM178">
        <v>0.9</v>
      </c>
      <c r="CN178">
        <v>0.9</v>
      </c>
      <c r="CO178">
        <v>0.9</v>
      </c>
    </row>
    <row r="179" spans="75:93" x14ac:dyDescent="0.2">
      <c r="BW179" s="8" t="s">
        <v>163</v>
      </c>
      <c r="BX179" s="8" t="s">
        <v>170</v>
      </c>
      <c r="BY179">
        <v>2.9</v>
      </c>
      <c r="BZ179">
        <v>1.5</v>
      </c>
      <c r="CA179">
        <v>4</v>
      </c>
      <c r="CB179">
        <v>2.5</v>
      </c>
      <c r="CC179">
        <v>3.2</v>
      </c>
      <c r="CD179">
        <v>3.5</v>
      </c>
      <c r="CE179">
        <v>1</v>
      </c>
      <c r="CH179" t="s">
        <v>176</v>
      </c>
      <c r="CI179" t="s">
        <v>163</v>
      </c>
      <c r="CJ179">
        <v>2.5</v>
      </c>
      <c r="CK179">
        <v>2.5</v>
      </c>
      <c r="CL179">
        <v>2.5</v>
      </c>
      <c r="CM179">
        <v>2.5</v>
      </c>
      <c r="CN179">
        <v>2.5</v>
      </c>
      <c r="CO179">
        <v>2.5</v>
      </c>
    </row>
    <row r="180" spans="75:93" x14ac:dyDescent="0.2">
      <c r="BW180" s="8" t="s">
        <v>164</v>
      </c>
      <c r="BX180" s="8" t="s">
        <v>170</v>
      </c>
      <c r="BY180">
        <v>2.5</v>
      </c>
      <c r="BZ180">
        <v>2</v>
      </c>
      <c r="CA180">
        <v>2.5</v>
      </c>
      <c r="CB180">
        <v>2.5</v>
      </c>
      <c r="CC180">
        <v>3</v>
      </c>
      <c r="CD180">
        <v>1.5</v>
      </c>
      <c r="CE180">
        <v>2</v>
      </c>
      <c r="CI180" t="s">
        <v>164</v>
      </c>
      <c r="CJ180">
        <v>2.5</v>
      </c>
      <c r="CK180">
        <v>2.5</v>
      </c>
      <c r="CL180">
        <v>2.5</v>
      </c>
      <c r="CM180">
        <v>2.5</v>
      </c>
      <c r="CN180">
        <v>2.5</v>
      </c>
      <c r="CO180">
        <v>2.5</v>
      </c>
    </row>
    <row r="181" spans="75:93" x14ac:dyDescent="0.2">
      <c r="BW181" s="8" t="s">
        <v>165</v>
      </c>
      <c r="BX181" s="8" t="s">
        <v>170</v>
      </c>
      <c r="BY181">
        <v>1.6</v>
      </c>
      <c r="BZ181">
        <v>2.2000000000000002</v>
      </c>
      <c r="CA181">
        <v>0.7</v>
      </c>
      <c r="CB181">
        <v>1.3</v>
      </c>
      <c r="CC181">
        <v>1.8</v>
      </c>
      <c r="CD181">
        <v>0.7</v>
      </c>
      <c r="CE181">
        <v>3</v>
      </c>
      <c r="CI181" t="s">
        <v>165</v>
      </c>
      <c r="CJ181">
        <v>1.3</v>
      </c>
      <c r="CK181">
        <v>1.3</v>
      </c>
      <c r="CL181">
        <v>1.3</v>
      </c>
      <c r="CM181">
        <v>1.3</v>
      </c>
      <c r="CN181">
        <v>1.3</v>
      </c>
      <c r="CO181">
        <v>1.3</v>
      </c>
    </row>
    <row r="182" spans="75:93" x14ac:dyDescent="0.2">
      <c r="BW182" s="8" t="s">
        <v>166</v>
      </c>
      <c r="BX182" s="8" t="s">
        <v>170</v>
      </c>
      <c r="BY182">
        <v>1.7</v>
      </c>
      <c r="BZ182">
        <v>1.7</v>
      </c>
      <c r="CA182">
        <v>0.9</v>
      </c>
      <c r="CB182">
        <v>0.8</v>
      </c>
      <c r="CC182">
        <v>1</v>
      </c>
      <c r="CD182">
        <v>1.2</v>
      </c>
      <c r="CE182">
        <v>4</v>
      </c>
      <c r="CI182" t="s">
        <v>166</v>
      </c>
      <c r="CJ182">
        <v>0.8</v>
      </c>
      <c r="CK182">
        <v>0.8</v>
      </c>
      <c r="CL182">
        <v>0.8</v>
      </c>
      <c r="CM182">
        <v>0.8</v>
      </c>
      <c r="CN182">
        <v>0.8</v>
      </c>
      <c r="CO182">
        <v>0.8</v>
      </c>
    </row>
    <row r="183" spans="75:93" x14ac:dyDescent="0.2">
      <c r="BW183" s="8" t="s">
        <v>163</v>
      </c>
      <c r="BX183" s="8" t="s">
        <v>162</v>
      </c>
      <c r="BY183">
        <v>2.9</v>
      </c>
      <c r="BZ183">
        <v>1.5</v>
      </c>
      <c r="CA183">
        <v>4</v>
      </c>
      <c r="CB183">
        <v>2.5</v>
      </c>
      <c r="CC183">
        <v>3.2</v>
      </c>
      <c r="CD183">
        <v>3.5</v>
      </c>
      <c r="CE183">
        <v>1</v>
      </c>
      <c r="CH183" t="s">
        <v>177</v>
      </c>
      <c r="CI183" t="s">
        <v>163</v>
      </c>
      <c r="CJ183">
        <v>3.2</v>
      </c>
      <c r="CK183">
        <v>3.2</v>
      </c>
      <c r="CL183">
        <v>3.2</v>
      </c>
      <c r="CM183">
        <v>3.2</v>
      </c>
      <c r="CN183">
        <v>3.2</v>
      </c>
      <c r="CO183">
        <v>3.2</v>
      </c>
    </row>
    <row r="184" spans="75:93" x14ac:dyDescent="0.2">
      <c r="BW184" s="8" t="s">
        <v>164</v>
      </c>
      <c r="BX184" s="8" t="s">
        <v>162</v>
      </c>
      <c r="BY184">
        <v>2.5</v>
      </c>
      <c r="BZ184">
        <v>2</v>
      </c>
      <c r="CA184">
        <v>2.5</v>
      </c>
      <c r="CB184">
        <v>2.5</v>
      </c>
      <c r="CC184">
        <v>3</v>
      </c>
      <c r="CD184">
        <v>1.5</v>
      </c>
      <c r="CE184">
        <v>2</v>
      </c>
      <c r="CI184" t="s">
        <v>164</v>
      </c>
      <c r="CJ184">
        <v>3</v>
      </c>
      <c r="CK184">
        <v>3</v>
      </c>
      <c r="CL184">
        <v>3</v>
      </c>
      <c r="CM184">
        <v>3</v>
      </c>
      <c r="CN184">
        <v>3</v>
      </c>
      <c r="CO184">
        <v>3</v>
      </c>
    </row>
    <row r="185" spans="75:93" x14ac:dyDescent="0.2">
      <c r="BW185" s="8" t="s">
        <v>165</v>
      </c>
      <c r="BX185" s="8" t="s">
        <v>162</v>
      </c>
      <c r="BY185">
        <v>1.6</v>
      </c>
      <c r="BZ185">
        <v>2.2000000000000002</v>
      </c>
      <c r="CA185">
        <v>0.7</v>
      </c>
      <c r="CB185">
        <v>1.3</v>
      </c>
      <c r="CC185">
        <v>1.8</v>
      </c>
      <c r="CD185">
        <v>0.7</v>
      </c>
      <c r="CE185">
        <v>3</v>
      </c>
      <c r="CI185" t="s">
        <v>165</v>
      </c>
      <c r="CJ185">
        <v>1.8</v>
      </c>
      <c r="CK185">
        <v>1.8</v>
      </c>
      <c r="CL185">
        <v>1.8</v>
      </c>
      <c r="CM185">
        <v>1.8</v>
      </c>
      <c r="CN185">
        <v>1.8</v>
      </c>
      <c r="CO185">
        <v>1.8</v>
      </c>
    </row>
    <row r="186" spans="75:93" x14ac:dyDescent="0.2">
      <c r="BW186" s="8" t="s">
        <v>166</v>
      </c>
      <c r="BX186" s="8" t="s">
        <v>162</v>
      </c>
      <c r="BY186">
        <v>1.7</v>
      </c>
      <c r="BZ186">
        <v>1.7</v>
      </c>
      <c r="CA186">
        <v>0.9</v>
      </c>
      <c r="CB186">
        <v>0.8</v>
      </c>
      <c r="CC186">
        <v>1</v>
      </c>
      <c r="CD186">
        <v>1.2</v>
      </c>
      <c r="CE186">
        <v>4</v>
      </c>
      <c r="CI186" t="s">
        <v>166</v>
      </c>
      <c r="CJ186">
        <v>1</v>
      </c>
      <c r="CK186">
        <v>1</v>
      </c>
      <c r="CL186">
        <v>1</v>
      </c>
      <c r="CM186">
        <v>1</v>
      </c>
      <c r="CN186">
        <v>1</v>
      </c>
      <c r="CO186">
        <v>1</v>
      </c>
    </row>
    <row r="187" spans="75:93" x14ac:dyDescent="0.2">
      <c r="BW187" s="8" t="s">
        <v>163</v>
      </c>
      <c r="BX187" s="8" t="s">
        <v>167</v>
      </c>
      <c r="BY187">
        <v>2.9</v>
      </c>
      <c r="BZ187">
        <v>1.5</v>
      </c>
      <c r="CA187">
        <v>4</v>
      </c>
      <c r="CB187">
        <v>2.5</v>
      </c>
      <c r="CC187">
        <v>3.2</v>
      </c>
      <c r="CD187">
        <v>3.5</v>
      </c>
      <c r="CE187">
        <v>1</v>
      </c>
      <c r="CH187" t="s">
        <v>178</v>
      </c>
      <c r="CI187" t="s">
        <v>163</v>
      </c>
      <c r="CJ187">
        <v>3.5</v>
      </c>
      <c r="CK187">
        <v>3.5</v>
      </c>
      <c r="CL187">
        <v>3.5</v>
      </c>
      <c r="CM187">
        <v>3.5</v>
      </c>
      <c r="CN187">
        <v>3.5</v>
      </c>
      <c r="CO187">
        <v>3.5</v>
      </c>
    </row>
    <row r="188" spans="75:93" x14ac:dyDescent="0.2">
      <c r="BW188" s="8" t="s">
        <v>164</v>
      </c>
      <c r="BX188" s="8" t="s">
        <v>167</v>
      </c>
      <c r="BY188">
        <v>2.5</v>
      </c>
      <c r="BZ188">
        <v>2</v>
      </c>
      <c r="CA188">
        <v>2.5</v>
      </c>
      <c r="CB188">
        <v>2.5</v>
      </c>
      <c r="CC188">
        <v>3</v>
      </c>
      <c r="CD188">
        <v>1.5</v>
      </c>
      <c r="CE188">
        <v>2</v>
      </c>
      <c r="CI188" t="s">
        <v>164</v>
      </c>
      <c r="CJ188">
        <v>1.5</v>
      </c>
      <c r="CK188">
        <v>1.5</v>
      </c>
      <c r="CL188">
        <v>1.5</v>
      </c>
      <c r="CM188">
        <v>1.5</v>
      </c>
      <c r="CN188">
        <v>1.5</v>
      </c>
      <c r="CO188">
        <v>1.5</v>
      </c>
    </row>
    <row r="189" spans="75:93" x14ac:dyDescent="0.2">
      <c r="BW189" s="8" t="s">
        <v>165</v>
      </c>
      <c r="BX189" s="8" t="s">
        <v>167</v>
      </c>
      <c r="BY189">
        <v>1.6</v>
      </c>
      <c r="BZ189">
        <v>2.2000000000000002</v>
      </c>
      <c r="CA189">
        <v>0.7</v>
      </c>
      <c r="CB189">
        <v>1.3</v>
      </c>
      <c r="CC189">
        <v>1.8</v>
      </c>
      <c r="CD189">
        <v>0.7</v>
      </c>
      <c r="CE189">
        <v>3</v>
      </c>
      <c r="CI189" t="s">
        <v>165</v>
      </c>
      <c r="CJ189">
        <v>0.7</v>
      </c>
      <c r="CK189">
        <v>0.7</v>
      </c>
      <c r="CL189">
        <v>0.7</v>
      </c>
      <c r="CM189">
        <v>0.7</v>
      </c>
      <c r="CN189">
        <v>0.7</v>
      </c>
      <c r="CO189">
        <v>0.7</v>
      </c>
    </row>
    <row r="190" spans="75:93" x14ac:dyDescent="0.2">
      <c r="BW190" s="8" t="s">
        <v>166</v>
      </c>
      <c r="BX190" s="8" t="s">
        <v>167</v>
      </c>
      <c r="BY190">
        <v>1.7</v>
      </c>
      <c r="BZ190">
        <v>1.7</v>
      </c>
      <c r="CA190">
        <v>0.9</v>
      </c>
      <c r="CB190">
        <v>0.8</v>
      </c>
      <c r="CC190">
        <v>1</v>
      </c>
      <c r="CD190">
        <v>1.2</v>
      </c>
      <c r="CE190">
        <v>4</v>
      </c>
      <c r="CI190" t="s">
        <v>166</v>
      </c>
      <c r="CJ190">
        <v>1.2</v>
      </c>
      <c r="CK190">
        <v>1.2</v>
      </c>
      <c r="CL190">
        <v>1.2</v>
      </c>
      <c r="CM190">
        <v>1.2</v>
      </c>
      <c r="CN190">
        <v>1.2</v>
      </c>
      <c r="CO190">
        <v>1.2</v>
      </c>
    </row>
  </sheetData>
  <pageMargins left="0.7" right="0.7" top="0.75" bottom="0.75" header="0.3" footer="0.3"/>
  <ignoredErrors>
    <ignoredError sqref="O2:S10 BJ2:BL11 W2:W9 AD11:AF11 J2:L10 AH11 AJ11 AU2:AU10 AL11 AX11 BD2:BD10 X2:AN10 AW2:BA9 AW10:AZ10" numberStoredAsText="1"/>
  </ignoredErrors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3DD8-C28C-9341-9269-6D44499D5015}">
  <dimension ref="A1:CO190"/>
  <sheetViews>
    <sheetView topLeftCell="AY1" workbookViewId="0">
      <selection activeCell="A12" sqref="A12"/>
    </sheetView>
  </sheetViews>
  <sheetFormatPr baseColWidth="10" defaultRowHeight="16" x14ac:dyDescent="0.2"/>
  <cols>
    <col min="4" max="7" width="16.83203125" customWidth="1"/>
    <col min="8" max="8" width="13.5" customWidth="1"/>
    <col min="10" max="10" width="11.83203125" customWidth="1"/>
    <col min="11" max="11" width="13.1640625" customWidth="1"/>
    <col min="38" max="38" width="17.83203125" customWidth="1"/>
    <col min="48" max="48" width="16.83203125" customWidth="1"/>
    <col min="62" max="62" width="17.83203125" customWidth="1"/>
    <col min="69" max="69" width="11" customWidth="1"/>
    <col min="70" max="70" width="35.83203125" bestFit="1" customWidth="1"/>
    <col min="71" max="74" width="11" customWidth="1"/>
    <col min="75" max="75" width="9.6640625" bestFit="1" customWidth="1"/>
    <col min="76" max="76" width="16.5" bestFit="1" customWidth="1"/>
    <col min="77" max="77" width="11.6640625" bestFit="1" customWidth="1"/>
    <col min="78" max="78" width="13.5" bestFit="1" customWidth="1"/>
    <col min="79" max="79" width="16.1640625" bestFit="1" customWidth="1"/>
    <col min="80" max="80" width="11.6640625" bestFit="1" customWidth="1"/>
    <col min="81" max="81" width="10.1640625" bestFit="1" customWidth="1"/>
    <col min="82" max="82" width="18.5" bestFit="1" customWidth="1"/>
    <col min="83" max="83" width="14.33203125" bestFit="1" customWidth="1"/>
    <col min="86" max="90" width="12" customWidth="1"/>
    <col min="91" max="93" width="11" customWidth="1"/>
  </cols>
  <sheetData>
    <row r="1" spans="1:93" x14ac:dyDescent="0.2">
      <c r="M1" t="s">
        <v>238</v>
      </c>
      <c r="N1" t="s">
        <v>238</v>
      </c>
      <c r="AC1" t="s">
        <v>239</v>
      </c>
      <c r="AP1" t="s">
        <v>238</v>
      </c>
      <c r="AS1" t="s">
        <v>238</v>
      </c>
      <c r="AT1" t="s">
        <v>238</v>
      </c>
      <c r="AU1" t="s">
        <v>256</v>
      </c>
      <c r="BQ1">
        <v>1084</v>
      </c>
      <c r="BR1" t="s">
        <v>257</v>
      </c>
      <c r="BS1">
        <v>0.24</v>
      </c>
      <c r="BU1" t="s">
        <v>265</v>
      </c>
      <c r="BV1">
        <v>1.3</v>
      </c>
    </row>
    <row r="2" spans="1:93" x14ac:dyDescent="0.2">
      <c r="AD2" t="s">
        <v>2</v>
      </c>
      <c r="AE2" t="s">
        <v>3</v>
      </c>
      <c r="AF2" t="s">
        <v>4</v>
      </c>
      <c r="AH2" t="s">
        <v>5</v>
      </c>
      <c r="AJ2" t="s">
        <v>6</v>
      </c>
      <c r="AK2" t="s">
        <v>8</v>
      </c>
      <c r="AL2" t="s">
        <v>9</v>
      </c>
      <c r="AV2" t="s">
        <v>7</v>
      </c>
      <c r="AX2" t="s">
        <v>11</v>
      </c>
      <c r="BA2" t="s">
        <v>12</v>
      </c>
      <c r="BC2" t="s">
        <v>12</v>
      </c>
      <c r="BD2" t="s">
        <v>13</v>
      </c>
      <c r="BF2" t="s">
        <v>10</v>
      </c>
      <c r="BH2" t="s">
        <v>1</v>
      </c>
      <c r="BI2" t="s">
        <v>0</v>
      </c>
      <c r="BJ2" t="s">
        <v>14</v>
      </c>
      <c r="BK2" t="s">
        <v>15</v>
      </c>
      <c r="BL2" t="s">
        <v>16</v>
      </c>
      <c r="BQ2">
        <v>1087</v>
      </c>
      <c r="BR2" t="s">
        <v>152</v>
      </c>
      <c r="BS2">
        <v>0.08</v>
      </c>
    </row>
    <row r="3" spans="1:93" x14ac:dyDescent="0.2">
      <c r="J3" t="s">
        <v>17</v>
      </c>
      <c r="K3" t="s">
        <v>18</v>
      </c>
      <c r="L3" t="s">
        <v>19</v>
      </c>
      <c r="M3">
        <v>342</v>
      </c>
      <c r="N3">
        <v>323</v>
      </c>
      <c r="O3" t="s">
        <v>20</v>
      </c>
      <c r="P3" t="s">
        <v>21</v>
      </c>
      <c r="Q3" t="s">
        <v>22</v>
      </c>
      <c r="R3" t="s">
        <v>23</v>
      </c>
      <c r="S3" t="s">
        <v>24</v>
      </c>
      <c r="U3" t="s">
        <v>51</v>
      </c>
      <c r="W3" t="s">
        <v>25</v>
      </c>
      <c r="X3" t="s">
        <v>26</v>
      </c>
      <c r="Y3" t="s">
        <v>27</v>
      </c>
      <c r="Z3" t="s">
        <v>29</v>
      </c>
      <c r="AA3" t="s">
        <v>30</v>
      </c>
      <c r="AB3" t="s">
        <v>32</v>
      </c>
      <c r="AC3" t="s">
        <v>33</v>
      </c>
      <c r="AD3" t="s">
        <v>34</v>
      </c>
      <c r="AE3" t="s">
        <v>35</v>
      </c>
      <c r="AF3" t="s">
        <v>36</v>
      </c>
      <c r="AG3" t="s">
        <v>37</v>
      </c>
      <c r="AH3" t="s">
        <v>38</v>
      </c>
      <c r="AI3" t="s">
        <v>39</v>
      </c>
      <c r="AJ3" t="s">
        <v>40</v>
      </c>
      <c r="AK3" t="s">
        <v>42</v>
      </c>
      <c r="AL3" t="s">
        <v>43</v>
      </c>
      <c r="AM3" t="s">
        <v>45</v>
      </c>
      <c r="AN3" t="s">
        <v>46</v>
      </c>
      <c r="AO3">
        <v>351</v>
      </c>
      <c r="AP3">
        <v>314</v>
      </c>
      <c r="AQ3">
        <v>302</v>
      </c>
      <c r="AR3">
        <v>349</v>
      </c>
      <c r="AS3">
        <v>308</v>
      </c>
      <c r="AT3">
        <v>296</v>
      </c>
      <c r="AU3" t="s">
        <v>47</v>
      </c>
      <c r="AV3" t="s">
        <v>41</v>
      </c>
      <c r="AW3" t="s">
        <v>48</v>
      </c>
      <c r="AX3" t="s">
        <v>49</v>
      </c>
      <c r="AY3" t="s">
        <v>50</v>
      </c>
      <c r="AZ3" t="s">
        <v>52</v>
      </c>
      <c r="BA3" t="s">
        <v>53</v>
      </c>
      <c r="BC3" t="s">
        <v>53</v>
      </c>
      <c r="BD3" t="s">
        <v>54</v>
      </c>
      <c r="BF3" t="s">
        <v>44</v>
      </c>
      <c r="BH3" t="s">
        <v>31</v>
      </c>
      <c r="BI3" t="s">
        <v>28</v>
      </c>
      <c r="BJ3" t="s">
        <v>55</v>
      </c>
      <c r="BK3" t="s">
        <v>56</v>
      </c>
      <c r="BL3" t="s">
        <v>57</v>
      </c>
      <c r="BR3" t="s">
        <v>125</v>
      </c>
      <c r="BS3">
        <v>91.25</v>
      </c>
    </row>
    <row r="4" spans="1:93" x14ac:dyDescent="0.2">
      <c r="J4" t="s">
        <v>58</v>
      </c>
      <c r="K4" t="s">
        <v>58</v>
      </c>
      <c r="L4" t="s">
        <v>58</v>
      </c>
      <c r="O4" t="s">
        <v>59</v>
      </c>
      <c r="P4" t="s">
        <v>59</v>
      </c>
      <c r="Q4" t="s">
        <v>59</v>
      </c>
      <c r="R4" t="s">
        <v>59</v>
      </c>
      <c r="S4" t="s">
        <v>59</v>
      </c>
      <c r="U4" t="s">
        <v>59</v>
      </c>
      <c r="W4" t="s">
        <v>59</v>
      </c>
      <c r="X4" t="s">
        <v>59</v>
      </c>
      <c r="Y4" t="s">
        <v>59</v>
      </c>
      <c r="Z4" t="s">
        <v>59</v>
      </c>
      <c r="AA4" t="s">
        <v>59</v>
      </c>
      <c r="AB4" t="s">
        <v>59</v>
      </c>
      <c r="AC4" t="s">
        <v>59</v>
      </c>
      <c r="AD4" t="s">
        <v>60</v>
      </c>
      <c r="AE4" t="s">
        <v>60</v>
      </c>
      <c r="AF4" t="s">
        <v>60</v>
      </c>
      <c r="AG4" t="s">
        <v>59</v>
      </c>
      <c r="AH4" t="s">
        <v>60</v>
      </c>
      <c r="AI4" t="s">
        <v>60</v>
      </c>
      <c r="AJ4" t="s">
        <v>60</v>
      </c>
      <c r="AK4" t="s">
        <v>60</v>
      </c>
      <c r="AL4" t="s">
        <v>60</v>
      </c>
      <c r="AM4" t="s">
        <v>59</v>
      </c>
      <c r="AN4" t="s">
        <v>59</v>
      </c>
      <c r="AO4" t="s">
        <v>59</v>
      </c>
      <c r="AP4" t="s">
        <v>60</v>
      </c>
      <c r="AQ4" t="s">
        <v>60</v>
      </c>
      <c r="AR4" t="s">
        <v>59</v>
      </c>
      <c r="AS4" t="s">
        <v>60</v>
      </c>
      <c r="AT4" t="s">
        <v>60</v>
      </c>
      <c r="AU4" t="s">
        <v>60</v>
      </c>
      <c r="AV4" t="s">
        <v>60</v>
      </c>
      <c r="AW4" t="s">
        <v>59</v>
      </c>
      <c r="AX4" t="s">
        <v>60</v>
      </c>
      <c r="AY4" t="s">
        <v>59</v>
      </c>
      <c r="AZ4" t="s">
        <v>59</v>
      </c>
      <c r="BA4" t="s">
        <v>60</v>
      </c>
      <c r="BC4" t="s">
        <v>60</v>
      </c>
      <c r="BD4" t="s">
        <v>60</v>
      </c>
      <c r="BF4" t="s">
        <v>60</v>
      </c>
      <c r="BH4" t="s">
        <v>60</v>
      </c>
      <c r="BI4" t="s">
        <v>60</v>
      </c>
      <c r="BJ4" t="s">
        <v>60</v>
      </c>
      <c r="BK4" t="s">
        <v>60</v>
      </c>
      <c r="BL4" t="s">
        <v>60</v>
      </c>
      <c r="BQ4">
        <v>1094</v>
      </c>
      <c r="BR4" t="s">
        <v>131</v>
      </c>
      <c r="BS4">
        <v>0.24</v>
      </c>
    </row>
    <row r="5" spans="1:93" x14ac:dyDescent="0.2">
      <c r="J5" t="s">
        <v>61</v>
      </c>
      <c r="K5" t="s">
        <v>61</v>
      </c>
      <c r="L5" t="s">
        <v>61</v>
      </c>
      <c r="O5" t="s">
        <v>58</v>
      </c>
      <c r="P5" t="s">
        <v>58</v>
      </c>
      <c r="Q5" t="s">
        <v>58</v>
      </c>
      <c r="R5" t="s">
        <v>58</v>
      </c>
      <c r="S5" t="s">
        <v>58</v>
      </c>
      <c r="U5" t="s">
        <v>61</v>
      </c>
      <c r="W5" t="s">
        <v>58</v>
      </c>
      <c r="X5" t="s">
        <v>61</v>
      </c>
      <c r="Y5" t="s">
        <v>61</v>
      </c>
      <c r="Z5" t="s">
        <v>61</v>
      </c>
      <c r="AA5" t="s">
        <v>61</v>
      </c>
      <c r="AB5" t="s">
        <v>61</v>
      </c>
      <c r="AC5" t="s">
        <v>61</v>
      </c>
      <c r="AD5" t="s">
        <v>61</v>
      </c>
      <c r="AE5" t="s">
        <v>61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R5" t="s">
        <v>58</v>
      </c>
      <c r="AU5" t="s">
        <v>61</v>
      </c>
      <c r="AV5" t="s">
        <v>61</v>
      </c>
      <c r="AW5" t="s">
        <v>61</v>
      </c>
      <c r="AX5" t="s">
        <v>61</v>
      </c>
      <c r="AY5" t="s">
        <v>61</v>
      </c>
      <c r="AZ5" t="s">
        <v>61</v>
      </c>
      <c r="BA5" t="s">
        <v>61</v>
      </c>
      <c r="BC5" t="s">
        <v>61</v>
      </c>
      <c r="BD5" t="s">
        <v>61</v>
      </c>
      <c r="BF5" t="s">
        <v>61</v>
      </c>
      <c r="BH5" t="s">
        <v>61</v>
      </c>
      <c r="BI5" t="s">
        <v>61</v>
      </c>
      <c r="BJ5" t="s">
        <v>61</v>
      </c>
      <c r="BK5" t="s">
        <v>61</v>
      </c>
      <c r="BL5" t="s">
        <v>61</v>
      </c>
      <c r="BQ5">
        <v>1093</v>
      </c>
      <c r="BR5" t="s">
        <v>219</v>
      </c>
      <c r="BS5">
        <v>0.21</v>
      </c>
      <c r="BW5" t="s">
        <v>172</v>
      </c>
      <c r="BX5" t="s">
        <v>126</v>
      </c>
    </row>
    <row r="6" spans="1:93" ht="17" thickBot="1" x14ac:dyDescent="0.25">
      <c r="BQ6">
        <v>1095</v>
      </c>
      <c r="BR6" t="s">
        <v>220</v>
      </c>
      <c r="BS6">
        <v>1.0999999999999999E-2</v>
      </c>
      <c r="BW6" t="s">
        <v>180</v>
      </c>
      <c r="BX6" t="s">
        <v>161</v>
      </c>
      <c r="BY6" t="s">
        <v>173</v>
      </c>
      <c r="BZ6" t="s">
        <v>174</v>
      </c>
      <c r="CA6" t="s">
        <v>175</v>
      </c>
      <c r="CB6" t="s">
        <v>176</v>
      </c>
      <c r="CC6" t="s">
        <v>177</v>
      </c>
      <c r="CD6" t="s">
        <v>178</v>
      </c>
      <c r="CE6" t="s">
        <v>189</v>
      </c>
      <c r="CH6" t="s">
        <v>181</v>
      </c>
      <c r="CI6" t="s">
        <v>182</v>
      </c>
      <c r="CJ6" t="s">
        <v>183</v>
      </c>
      <c r="CK6" t="s">
        <v>184</v>
      </c>
      <c r="CL6" t="s">
        <v>185</v>
      </c>
      <c r="CM6" t="s">
        <v>186</v>
      </c>
      <c r="CN6" t="s">
        <v>187</v>
      </c>
      <c r="CO6" t="s">
        <v>188</v>
      </c>
    </row>
    <row r="7" spans="1:93" ht="17" thickTop="1" x14ac:dyDescent="0.2">
      <c r="BQ7">
        <v>1088</v>
      </c>
      <c r="BR7" t="s">
        <v>150</v>
      </c>
      <c r="BS7">
        <f>44/28</f>
        <v>1.5714285714285714</v>
      </c>
      <c r="BW7" s="8" t="s">
        <v>163</v>
      </c>
      <c r="BX7" s="8" t="s">
        <v>169</v>
      </c>
      <c r="BY7">
        <v>0.04</v>
      </c>
      <c r="BZ7">
        <v>-0.02</v>
      </c>
      <c r="CA7">
        <v>0</v>
      </c>
      <c r="CB7">
        <v>-0.02</v>
      </c>
      <c r="CC7">
        <v>0.11</v>
      </c>
      <c r="CD7">
        <v>0.05</v>
      </c>
      <c r="CE7">
        <v>1</v>
      </c>
      <c r="CH7" t="s">
        <v>179</v>
      </c>
      <c r="CI7" t="s">
        <v>180</v>
      </c>
      <c r="CJ7" t="s">
        <v>162</v>
      </c>
      <c r="CK7" t="s">
        <v>167</v>
      </c>
      <c r="CL7" t="s">
        <v>168</v>
      </c>
      <c r="CM7" t="s">
        <v>169</v>
      </c>
      <c r="CN7" t="s">
        <v>170</v>
      </c>
      <c r="CO7" s="6" t="s">
        <v>171</v>
      </c>
    </row>
    <row r="8" spans="1:93" x14ac:dyDescent="0.2">
      <c r="J8" t="s">
        <v>62</v>
      </c>
      <c r="K8" t="s">
        <v>63</v>
      </c>
      <c r="L8" t="s">
        <v>64</v>
      </c>
      <c r="O8" t="s">
        <v>65</v>
      </c>
      <c r="P8" t="s">
        <v>66</v>
      </c>
      <c r="Q8" t="s">
        <v>63</v>
      </c>
      <c r="R8" t="s">
        <v>63</v>
      </c>
      <c r="S8" t="s">
        <v>66</v>
      </c>
      <c r="U8" t="s">
        <v>63</v>
      </c>
      <c r="W8" t="s">
        <v>63</v>
      </c>
      <c r="X8" t="s">
        <v>63</v>
      </c>
      <c r="Y8" t="s">
        <v>63</v>
      </c>
      <c r="Z8" t="s">
        <v>68</v>
      </c>
      <c r="AA8" t="s">
        <v>69</v>
      </c>
      <c r="AB8" t="s">
        <v>70</v>
      </c>
      <c r="AC8" t="s">
        <v>63</v>
      </c>
      <c r="AD8" t="s">
        <v>71</v>
      </c>
      <c r="AE8" t="s">
        <v>71</v>
      </c>
      <c r="AF8" t="s">
        <v>66</v>
      </c>
      <c r="AG8" t="s">
        <v>66</v>
      </c>
      <c r="AH8" t="s">
        <v>63</v>
      </c>
      <c r="AI8" t="s">
        <v>63</v>
      </c>
      <c r="AJ8" t="s">
        <v>72</v>
      </c>
      <c r="AK8" t="s">
        <v>73</v>
      </c>
      <c r="AL8" t="s">
        <v>73</v>
      </c>
      <c r="AM8" t="s">
        <v>74</v>
      </c>
      <c r="AN8" t="s">
        <v>63</v>
      </c>
      <c r="AU8" t="s">
        <v>75</v>
      </c>
      <c r="AV8" t="s">
        <v>71</v>
      </c>
      <c r="AW8" t="s">
        <v>63</v>
      </c>
      <c r="AX8" t="s">
        <v>71</v>
      </c>
      <c r="AY8" t="s">
        <v>76</v>
      </c>
      <c r="AZ8" t="s">
        <v>77</v>
      </c>
      <c r="BA8" t="s">
        <v>78</v>
      </c>
      <c r="BC8" t="s">
        <v>78</v>
      </c>
      <c r="BD8" t="s">
        <v>79</v>
      </c>
      <c r="BF8" t="s">
        <v>67</v>
      </c>
      <c r="BH8" t="s">
        <v>67</v>
      </c>
      <c r="BI8" t="s">
        <v>67</v>
      </c>
      <c r="BJ8" t="s">
        <v>80</v>
      </c>
      <c r="BK8" t="s">
        <v>80</v>
      </c>
      <c r="BL8" t="s">
        <v>80</v>
      </c>
      <c r="BW8" s="8" t="s">
        <v>164</v>
      </c>
      <c r="BX8" s="8" t="s">
        <v>169</v>
      </c>
      <c r="BY8">
        <v>-0.05</v>
      </c>
      <c r="BZ8">
        <v>0.05</v>
      </c>
      <c r="CA8">
        <v>0</v>
      </c>
      <c r="CB8">
        <v>0</v>
      </c>
      <c r="CC8">
        <v>-0.05</v>
      </c>
      <c r="CD8">
        <v>-0.05</v>
      </c>
      <c r="CE8">
        <v>2</v>
      </c>
      <c r="CH8" t="s">
        <v>173</v>
      </c>
      <c r="CI8" t="s">
        <v>163</v>
      </c>
      <c r="CJ8">
        <v>7.0000000000000007E-2</v>
      </c>
      <c r="CK8">
        <v>0.08</v>
      </c>
      <c r="CL8">
        <v>7.0000000000000007E-2</v>
      </c>
      <c r="CM8">
        <v>0.04</v>
      </c>
      <c r="CN8">
        <v>0.05</v>
      </c>
      <c r="CO8">
        <v>0.16</v>
      </c>
    </row>
    <row r="9" spans="1:93" x14ac:dyDescent="0.2">
      <c r="J9" t="s">
        <v>81</v>
      </c>
      <c r="K9" t="s">
        <v>82</v>
      </c>
      <c r="L9" t="s">
        <v>83</v>
      </c>
      <c r="M9" t="s">
        <v>236</v>
      </c>
      <c r="N9" t="s">
        <v>237</v>
      </c>
      <c r="O9" t="s">
        <v>84</v>
      </c>
      <c r="P9" t="s">
        <v>85</v>
      </c>
      <c r="Q9" t="s">
        <v>86</v>
      </c>
      <c r="R9" t="s">
        <v>87</v>
      </c>
      <c r="S9" t="s">
        <v>88</v>
      </c>
      <c r="U9" t="s">
        <v>115</v>
      </c>
      <c r="W9" t="s">
        <v>89</v>
      </c>
      <c r="X9" t="s">
        <v>90</v>
      </c>
      <c r="Y9" t="s">
        <v>91</v>
      </c>
      <c r="Z9" t="s">
        <v>93</v>
      </c>
      <c r="AA9" t="s">
        <v>94</v>
      </c>
      <c r="AB9" t="s">
        <v>96</v>
      </c>
      <c r="AC9" t="s">
        <v>97</v>
      </c>
      <c r="AD9" t="s">
        <v>98</v>
      </c>
      <c r="AE9" t="s">
        <v>99</v>
      </c>
      <c r="AF9" t="s">
        <v>100</v>
      </c>
      <c r="AG9" t="s">
        <v>101</v>
      </c>
      <c r="AH9" t="s">
        <v>102</v>
      </c>
      <c r="AI9" t="s">
        <v>103</v>
      </c>
      <c r="AJ9" t="s">
        <v>104</v>
      </c>
      <c r="AK9" t="s">
        <v>106</v>
      </c>
      <c r="AL9" t="s">
        <v>107</v>
      </c>
      <c r="AM9" t="s">
        <v>109</v>
      </c>
      <c r="AN9" t="s">
        <v>110</v>
      </c>
      <c r="AU9" t="s">
        <v>111</v>
      </c>
      <c r="AV9" t="s">
        <v>105</v>
      </c>
      <c r="AW9" t="s">
        <v>112</v>
      </c>
      <c r="AX9" t="s">
        <v>113</v>
      </c>
      <c r="AY9" t="s">
        <v>114</v>
      </c>
      <c r="AZ9" t="s">
        <v>116</v>
      </c>
      <c r="BA9" t="s">
        <v>117</v>
      </c>
      <c r="BC9" t="s">
        <v>117</v>
      </c>
      <c r="BD9" t="s">
        <v>118</v>
      </c>
      <c r="BF9" t="s">
        <v>108</v>
      </c>
      <c r="BH9" t="s">
        <v>95</v>
      </c>
      <c r="BI9" t="s">
        <v>92</v>
      </c>
      <c r="BJ9" t="s">
        <v>119</v>
      </c>
      <c r="BK9" t="s">
        <v>120</v>
      </c>
      <c r="BL9" t="s">
        <v>121</v>
      </c>
      <c r="BS9" t="s">
        <v>200</v>
      </c>
      <c r="BU9" t="s">
        <v>201</v>
      </c>
      <c r="BW9" s="8" t="s">
        <v>165</v>
      </c>
      <c r="BX9" s="8" t="s">
        <v>169</v>
      </c>
      <c r="BY9">
        <v>0.01</v>
      </c>
      <c r="BZ9">
        <v>0</v>
      </c>
      <c r="CA9">
        <v>0</v>
      </c>
      <c r="CB9">
        <v>0</v>
      </c>
      <c r="CC9">
        <v>-0.02</v>
      </c>
      <c r="CD9">
        <v>-0.05</v>
      </c>
      <c r="CE9">
        <v>3</v>
      </c>
      <c r="CI9" t="s">
        <v>164</v>
      </c>
      <c r="CJ9">
        <v>0</v>
      </c>
      <c r="CK9">
        <v>-0.08</v>
      </c>
      <c r="CL9">
        <v>0</v>
      </c>
      <c r="CM9">
        <v>-0.05</v>
      </c>
      <c r="CN9">
        <v>-0.05</v>
      </c>
      <c r="CO9">
        <v>0.08</v>
      </c>
    </row>
    <row r="10" spans="1:93" ht="17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s="1" t="s">
        <v>218</v>
      </c>
      <c r="F10" s="1" t="s">
        <v>221</v>
      </c>
      <c r="G10" s="1" t="s">
        <v>253</v>
      </c>
      <c r="H10" t="s">
        <v>161</v>
      </c>
      <c r="J10" s="1" t="s">
        <v>122</v>
      </c>
      <c r="K10" s="1" t="s">
        <v>123</v>
      </c>
      <c r="L10" s="1" t="s">
        <v>124</v>
      </c>
      <c r="M10" s="1" t="s">
        <v>235</v>
      </c>
      <c r="N10" s="1" t="s">
        <v>240</v>
      </c>
      <c r="O10" t="s">
        <v>125</v>
      </c>
      <c r="P10" t="s">
        <v>126</v>
      </c>
      <c r="Q10" t="s">
        <v>127</v>
      </c>
      <c r="R10" t="s">
        <v>128</v>
      </c>
      <c r="S10" t="s">
        <v>129</v>
      </c>
      <c r="T10" t="s">
        <v>215</v>
      </c>
      <c r="U10" t="s">
        <v>214</v>
      </c>
      <c r="V10" t="s">
        <v>217</v>
      </c>
      <c r="W10" t="s">
        <v>216</v>
      </c>
      <c r="X10" t="s">
        <v>130</v>
      </c>
      <c r="Y10" t="s">
        <v>131</v>
      </c>
      <c r="Z10" t="s">
        <v>133</v>
      </c>
      <c r="AA10" t="s">
        <v>134</v>
      </c>
      <c r="AB10" t="s">
        <v>136</v>
      </c>
      <c r="AC10" t="s">
        <v>137</v>
      </c>
      <c r="AD10" t="s">
        <v>138</v>
      </c>
      <c r="AE10" t="s">
        <v>139</v>
      </c>
      <c r="AF10" t="s">
        <v>140</v>
      </c>
      <c r="AG10" t="s">
        <v>141</v>
      </c>
      <c r="AH10" t="s">
        <v>142</v>
      </c>
      <c r="AI10" t="s">
        <v>143</v>
      </c>
      <c r="AJ10" t="s">
        <v>144</v>
      </c>
      <c r="AK10" t="s">
        <v>146</v>
      </c>
      <c r="AL10" t="s">
        <v>147</v>
      </c>
      <c r="AM10" t="s">
        <v>149</v>
      </c>
      <c r="AN10" t="s">
        <v>150</v>
      </c>
      <c r="AO10" t="s">
        <v>265</v>
      </c>
      <c r="AP10" t="s">
        <v>261</v>
      </c>
      <c r="AQ10" t="s">
        <v>264</v>
      </c>
      <c r="AR10" t="s">
        <v>262</v>
      </c>
      <c r="AS10" t="s">
        <v>260</v>
      </c>
      <c r="AT10" t="s">
        <v>259</v>
      </c>
      <c r="AU10" t="s">
        <v>151</v>
      </c>
      <c r="AV10" t="s">
        <v>145</v>
      </c>
      <c r="AW10" t="s">
        <v>152</v>
      </c>
      <c r="AX10" t="s">
        <v>153</v>
      </c>
      <c r="AY10" t="s">
        <v>154</v>
      </c>
      <c r="AZ10" t="s">
        <v>155</v>
      </c>
      <c r="BA10" t="s">
        <v>266</v>
      </c>
      <c r="BB10" t="s">
        <v>267</v>
      </c>
      <c r="BC10" t="s">
        <v>268</v>
      </c>
      <c r="BD10" t="s">
        <v>156</v>
      </c>
      <c r="BE10" s="28" t="s">
        <v>156</v>
      </c>
      <c r="BF10" t="s">
        <v>148</v>
      </c>
      <c r="BG10" t="s">
        <v>148</v>
      </c>
      <c r="BH10" t="s">
        <v>135</v>
      </c>
      <c r="BI10" t="s">
        <v>132</v>
      </c>
      <c r="BJ10" s="28" t="s">
        <v>157</v>
      </c>
      <c r="BK10" s="28" t="s">
        <v>158</v>
      </c>
      <c r="BL10" s="28" t="s">
        <v>159</v>
      </c>
      <c r="BR10" t="s">
        <v>202</v>
      </c>
      <c r="BS10">
        <v>4.7000000000000002E-3</v>
      </c>
      <c r="BT10" s="14" t="s">
        <v>193</v>
      </c>
      <c r="BU10" s="14">
        <v>0.72</v>
      </c>
      <c r="BW10" s="8" t="s">
        <v>166</v>
      </c>
      <c r="BX10" s="8" t="s">
        <v>169</v>
      </c>
      <c r="BY10">
        <v>0</v>
      </c>
      <c r="BZ10">
        <v>-0.03</v>
      </c>
      <c r="CA10">
        <v>0</v>
      </c>
      <c r="CB10">
        <v>0.02</v>
      </c>
      <c r="CC10">
        <v>-0.03</v>
      </c>
      <c r="CD10">
        <v>0.05</v>
      </c>
      <c r="CE10">
        <v>4</v>
      </c>
      <c r="CI10" t="s">
        <v>165</v>
      </c>
      <c r="CJ10">
        <v>-7.0000000000000007E-2</v>
      </c>
      <c r="CK10">
        <v>0</v>
      </c>
      <c r="CL10">
        <v>0</v>
      </c>
      <c r="CM10">
        <v>0.01</v>
      </c>
      <c r="CN10">
        <v>-0.01</v>
      </c>
      <c r="CO10">
        <v>0.05</v>
      </c>
    </row>
    <row r="11" spans="1:93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t="s">
        <v>213</v>
      </c>
      <c r="F11" s="14" t="s">
        <v>224</v>
      </c>
      <c r="G11" s="14" t="s">
        <v>254</v>
      </c>
      <c r="H11" s="12" t="s">
        <v>169</v>
      </c>
      <c r="I11" t="s">
        <v>163</v>
      </c>
      <c r="J11">
        <v>4</v>
      </c>
      <c r="K11">
        <v>0.65</v>
      </c>
      <c r="L11">
        <v>100</v>
      </c>
      <c r="M11">
        <v>95</v>
      </c>
      <c r="N11">
        <v>90</v>
      </c>
      <c r="O11">
        <f>$BS$3</f>
        <v>91.25</v>
      </c>
      <c r="P11" cm="1">
        <f t="array" ref="P11:P34">_xlfn.DROP(_xlfn.XLOOKUP($C11,TableLWG2_136[[#Headers],[ACT/NSW]:[Western Australia]],TableLWG2_136[[#All],[ACT/NSW]:[Western Australia]]),1)</f>
        <v>0.04</v>
      </c>
      <c r="Q11" cm="1">
        <f t="array" ref="Q11:Q34">_xlfn.DROP(_xlfn.XLOOKUP($C11,QueryCP37[[#Headers],[ACT/NSW]:[Western Australia]],QueryCP37[[#All],[ACT/NSW]:[Western Australia]]),1)</f>
        <v>0.2</v>
      </c>
      <c r="R11" cm="1">
        <f t="array" ref="R11:R34">_xlfn.DROP(_xlfn.XLOOKUP($C11,QueryDMD44[[#Headers],[ACT/NSW]:[Western Australia]],QueryDMD44[[#All],[ACT/NSW]:[Western Australia]]),1)</f>
        <v>0.75</v>
      </c>
      <c r="S11" cm="1">
        <f t="array" ref="S11:S34">_xlfn.DROP(_xlfn.XLOOKUP($C11,QueryW40[[#Headers],[ACT/NSW]:[Western Australia]],QueryW40[[#All],[ACT/NSW]:[Western Australia]]),1)</f>
        <v>54</v>
      </c>
      <c r="T11">
        <f>1-U11</f>
        <v>0</v>
      </c>
      <c r="U11">
        <f>IF($D$11="yes", 1, VLOOKUP(B11, $BR$26:$BT$32, 1))</f>
        <v>1</v>
      </c>
      <c r="V11">
        <f>VLOOKUP($B$11,$BT$10:$BU$16, 2, FALSE)</f>
        <v>0.72</v>
      </c>
      <c r="W11">
        <f>$BS$10</f>
        <v>4.7000000000000002E-3</v>
      </c>
      <c r="X11">
        <f>IF(E11="yes",1,0)</f>
        <v>1</v>
      </c>
      <c r="Y11">
        <f>$BS$4</f>
        <v>0.24</v>
      </c>
      <c r="Z11">
        <f>$BS$6</f>
        <v>1.0999999999999999E-2</v>
      </c>
      <c r="AA11">
        <f>$BS$5</f>
        <v>0.21</v>
      </c>
      <c r="AB11">
        <f>VLOOKUP($F$11,$BR$37:$BS$49,2,FALSE)</f>
        <v>5.8999999999999999E-3</v>
      </c>
      <c r="AC11">
        <f>(M11/100)*(MIN(N11,100)/100)</f>
        <v>0.85499999999999998</v>
      </c>
      <c r="AD11">
        <f>AC11 * 1.6</f>
        <v>1.3680000000000001</v>
      </c>
      <c r="AE11">
        <f>J11 * K11 / 365</f>
        <v>7.1232876712328773E-3</v>
      </c>
      <c r="AF11">
        <f>P11 * 0.92</f>
        <v>3.6799999999999999E-2</v>
      </c>
      <c r="AG11" cm="1">
        <f t="array" ref="AG11:AG34">_xlfn.DROP(_xlfn.XLOOKUP($C11,QuerySRW45[[#Headers],[ACT/NSW]:[Western Australia]],QuerySRW45[[#All],[ACT/NSW]:[Western Australia]]),1)</f>
        <v>57</v>
      </c>
      <c r="AH11">
        <f>S11 / AG11</f>
        <v>0.94736842105263153</v>
      </c>
      <c r="AI11">
        <v>0</v>
      </c>
      <c r="AJ11">
        <f>1.6 * AI11</f>
        <v>0</v>
      </c>
      <c r="AK11">
        <f>(0.045*AD11+AE11*0.84+
      (AF11*
          (
              (212 - 4*(AF11*1000/(4*AG11^0.75)-1))-((140 - 4 * (AF11*1000/(4*AG11^0.75)-1))/(1+EXP(-6*(AH11-0.4))))
          )
      )*10^-3
)/6.25</f>
        <v>1.1261151088387938E-2</v>
      </c>
      <c r="AL11">
        <f>(AV11 / 6.25 ) - AK11</f>
        <v>3.9886829165220503E-2</v>
      </c>
      <c r="AM11">
        <f>IF($G$11="wet",$BU$18,$BU$19)</f>
        <v>6.0000000000000001E-3</v>
      </c>
      <c r="AN11">
        <f>$BS$7</f>
        <v>1.5714285714285714</v>
      </c>
      <c r="AO11">
        <f>$BV$1</f>
        <v>1.3</v>
      </c>
      <c r="AP11">
        <f>AC11*AO11+(1-AC11)</f>
        <v>1.2565</v>
      </c>
      <c r="AQ11">
        <f>(0.795*R11)-0.0014</f>
        <v>0.5948500000000001</v>
      </c>
      <c r="AR11" cm="1">
        <f t="array" ref="AR11:AR34">_xlfn.DROP(_xlfn.XLOOKUP($C11,QueryDMA43[[#Headers],[ACT/NSW]:[Western Australia]],QueryDMA43[[#All],[ACT/NSW]:[Western Australia]]),1)</f>
        <v>2.9</v>
      </c>
      <c r="AS11">
        <f>1 - EXP(-2*(AR11^2))</f>
        <v>0.9999999504359468</v>
      </c>
      <c r="AT11">
        <f>(104.7*AQ11+0.307*S11-15)*(S11^0.75)*10^-3</f>
        <v>1.2720847291262878</v>
      </c>
      <c r="AU11">
        <f>AT11*AS11*AP11</f>
        <v>1.5983743829252637</v>
      </c>
      <c r="AV11">
        <f>(AU11 * Q11) + (0.045 * AJ11)</f>
        <v>0.31967487658505278</v>
      </c>
      <c r="AW11">
        <f>$BS$2</f>
        <v>0.08</v>
      </c>
      <c r="AX11">
        <f>(AU11 * ((1 - R11) + (0.04 * AU11))) * ( 1 - AW11 )</f>
        <v>0.46164277265490583</v>
      </c>
      <c r="AY11">
        <f>$BS$1</f>
        <v>0.24</v>
      </c>
      <c r="AZ11">
        <f>$BT$20</f>
        <v>0.6784</v>
      </c>
      <c r="BA11">
        <f>AX11 * AY11 * T11 * V11 * AZ11</f>
        <v>0</v>
      </c>
      <c r="BB11">
        <f>AX11*AY11*U11*W11*AZ11</f>
        <v>3.5326529946113142E-4</v>
      </c>
      <c r="BC11">
        <f>BA11+BB11</f>
        <v>3.5326529946113142E-4</v>
      </c>
      <c r="BD11">
        <f>L11*BC11*O11</f>
        <v>3.223545857582824</v>
      </c>
      <c r="BE11">
        <f>SUM(BD11:BD34)*10^-3</f>
        <v>6.8147172064674369E-2</v>
      </c>
      <c r="BF11">
        <f>L11*AL11*O11</f>
        <v>363.96731613263705</v>
      </c>
      <c r="BG11">
        <f>SUM(BF11:BF34)</f>
        <v>6370.0482375534466</v>
      </c>
      <c r="BH11">
        <f>BF11 * AA11</f>
        <v>76.433136387853779</v>
      </c>
      <c r="BI11">
        <f>BF11 * X11 * Y11</f>
        <v>87.352155871832892</v>
      </c>
      <c r="BJ11">
        <f>BF11 * AM11 * AN11 * 10^-3</f>
        <v>3.4316918378220064E-3</v>
      </c>
      <c r="BK11">
        <f>BH11 * AB11 * AN11 * 10^-3</f>
        <v>7.0864436451024428E-4</v>
      </c>
      <c r="BL11">
        <f>BI11 * Z11 * AN11 * 10^-3</f>
        <v>1.5099444086416828E-3</v>
      </c>
      <c r="BT11" s="14" t="s">
        <v>194</v>
      </c>
      <c r="BU11" s="14">
        <v>0.75</v>
      </c>
      <c r="BW11" s="8" t="s">
        <v>163</v>
      </c>
      <c r="BX11" s="6" t="s">
        <v>171</v>
      </c>
      <c r="BY11">
        <v>0.16</v>
      </c>
      <c r="BZ11">
        <v>0.2</v>
      </c>
      <c r="CA11">
        <v>0.11</v>
      </c>
      <c r="CB11">
        <v>0.15</v>
      </c>
      <c r="CC11">
        <v>0.15</v>
      </c>
      <c r="CD11">
        <v>0.11</v>
      </c>
      <c r="CE11">
        <v>1</v>
      </c>
      <c r="CI11" t="s">
        <v>166</v>
      </c>
      <c r="CJ11">
        <v>0</v>
      </c>
      <c r="CK11">
        <v>0</v>
      </c>
      <c r="CL11">
        <v>0.02</v>
      </c>
      <c r="CM11">
        <v>0</v>
      </c>
      <c r="CN11">
        <v>0.01</v>
      </c>
      <c r="CO11">
        <v>0.04</v>
      </c>
    </row>
    <row r="12" spans="1:93" ht="18" thickTop="1" thickBot="1" x14ac:dyDescent="0.25">
      <c r="H12" s="13"/>
      <c r="I12" t="s">
        <v>164</v>
      </c>
      <c r="J12">
        <f>J11</f>
        <v>4</v>
      </c>
      <c r="K12">
        <f>K11</f>
        <v>0.65</v>
      </c>
      <c r="L12">
        <v>70</v>
      </c>
      <c r="M12">
        <v>0</v>
      </c>
      <c r="N12">
        <v>0</v>
      </c>
      <c r="O12">
        <f>$BS$3</f>
        <v>91.25</v>
      </c>
      <c r="P12">
        <v>-0.05</v>
      </c>
      <c r="Q12">
        <v>0.1</v>
      </c>
      <c r="R12">
        <v>0.61</v>
      </c>
      <c r="S12">
        <v>49</v>
      </c>
      <c r="T12">
        <f t="shared" ref="T12:T34" si="0">1-U12</f>
        <v>0</v>
      </c>
      <c r="U12">
        <f t="shared" ref="U12:U34" si="1">IF($D$11="yes", 1, VLOOKUP(B12, $BR$26:$BT$32, 1))</f>
        <v>1</v>
      </c>
      <c r="V12">
        <f t="shared" ref="V12:V34" si="2">VLOOKUP($B$11,$BT$10:$BU$16, 2, FALSE)</f>
        <v>0.72</v>
      </c>
      <c r="W12">
        <f>$BS$10</f>
        <v>4.7000000000000002E-3</v>
      </c>
      <c r="X12">
        <f t="shared" ref="X12:X34" si="3">IF(E12="yes",1,0)</f>
        <v>0</v>
      </c>
      <c r="Y12">
        <f>$BS$4</f>
        <v>0.24</v>
      </c>
      <c r="Z12">
        <f>$BS$6</f>
        <v>1.0999999999999999E-2</v>
      </c>
      <c r="AA12">
        <f>$BS$5</f>
        <v>0.21</v>
      </c>
      <c r="AB12">
        <f t="shared" ref="AB12:AB34" si="4">VLOOKUP($F$11,$BR$37:$BS$49,2,FALSE)</f>
        <v>5.8999999999999999E-3</v>
      </c>
      <c r="AC12">
        <f>(M12/100)*(MIN(N12,100)/100)</f>
        <v>0</v>
      </c>
      <c r="AD12">
        <f t="shared" ref="AD12:AD34" si="5">AC12 * 1.6</f>
        <v>0</v>
      </c>
      <c r="AE12">
        <f>J12 * K12 / 365</f>
        <v>7.1232876712328773E-3</v>
      </c>
      <c r="AF12">
        <f>P12 * 0.92</f>
        <v>-4.6000000000000006E-2</v>
      </c>
      <c r="AG12">
        <v>57</v>
      </c>
      <c r="AH12">
        <f>S12 / AG12</f>
        <v>0.85964912280701755</v>
      </c>
      <c r="AI12">
        <v>0</v>
      </c>
      <c r="AJ12">
        <f t="shared" ref="AJ12:AJ34" si="6">1.6 * AI12</f>
        <v>0</v>
      </c>
      <c r="AK12">
        <f t="shared" ref="AK12:AK34" si="7">(0.045*AD12+AE12*0.84+
      (AF12*
          (
              (212 - 4*(AF12*1000/(4*AG12^0.75)-1))-((140 - 4 * (AF12*1000/(4*AG12^0.75)-1))/(1+EXP(-6*(AH12-0.4))))
          )
      )*10^-3
)/6.25</f>
        <v>3.6326515165143006E-4</v>
      </c>
      <c r="AL12">
        <f>(AV12 / 6.25 ) - AK12</f>
        <v>1.4651626395231406E-2</v>
      </c>
      <c r="AM12">
        <f>IF($G$11="wet",$BU$18,$BU$19)</f>
        <v>6.0000000000000001E-3</v>
      </c>
      <c r="AN12">
        <f t="shared" ref="AN12:AN34" si="8">$BS$7</f>
        <v>1.5714285714285714</v>
      </c>
      <c r="AO12">
        <f t="shared" ref="AO12:AO34" si="9">$BV$1</f>
        <v>1.3</v>
      </c>
      <c r="AP12">
        <f t="shared" ref="AP12:AP34" si="10">AC12*AO12+(1-AC12)</f>
        <v>1</v>
      </c>
      <c r="AQ12">
        <f>(0.795*R12)-0.0014</f>
        <v>0.48354999999999998</v>
      </c>
      <c r="AR12">
        <v>2.5</v>
      </c>
      <c r="AS12">
        <f t="shared" ref="AS12:AS34" si="11">1 - EXP(-2*(AR12^2))</f>
        <v>0.99999627334682795</v>
      </c>
      <c r="AT12">
        <f>(104.7*AQ12+0.307*S12-15)*(S12^0.75)*10^-3</f>
        <v>0.93843421889903578</v>
      </c>
      <c r="AU12">
        <f t="shared" ref="AU12:AU34" si="12">AT12*AS12*AP12</f>
        <v>0.93843072168017716</v>
      </c>
      <c r="AV12">
        <f>(AU12 * Q12) + (0.045 * AJ12)</f>
        <v>9.3843072168017724E-2</v>
      </c>
      <c r="AW12">
        <f t="shared" ref="AW12:AW34" si="13">$BS$2</f>
        <v>0.08</v>
      </c>
      <c r="AX12">
        <f>(AU12 * ((1 - R12) + (0.04 * AU12))) * ( 1 - AW12 )</f>
        <v>0.3691169446125166</v>
      </c>
      <c r="AY12">
        <f t="shared" ref="AY12:AY34" si="14">$BS$1</f>
        <v>0.24</v>
      </c>
      <c r="AZ12">
        <f t="shared" ref="AZ12:AZ34" si="15">$BT$20</f>
        <v>0.6784</v>
      </c>
      <c r="BA12">
        <f>AX12 * AY12 * T12 * V12 * AZ12</f>
        <v>0</v>
      </c>
      <c r="BB12">
        <f t="shared" ref="BB12:BB34" si="16">AX12*AY12*U12*W12*AZ12</f>
        <v>2.8246127893394806E-4</v>
      </c>
      <c r="BC12">
        <f t="shared" ref="BC12:BC34" si="17">BA12+BB12</f>
        <v>2.8246127893394806E-4</v>
      </c>
      <c r="BD12">
        <f t="shared" ref="BD12:BD34" si="18">L12*BC12*O12</f>
        <v>1.8042214191905934</v>
      </c>
      <c r="BF12">
        <f>L12*AL12*O12</f>
        <v>93.587263599540606</v>
      </c>
      <c r="BT12" s="14" t="s">
        <v>195</v>
      </c>
      <c r="BU12" s="14">
        <v>0.78</v>
      </c>
      <c r="BW12" s="8" t="s">
        <v>164</v>
      </c>
      <c r="BX12" s="6" t="s">
        <v>171</v>
      </c>
      <c r="BY12">
        <v>0.08</v>
      </c>
      <c r="BZ12">
        <v>0.05</v>
      </c>
      <c r="CA12">
        <v>0.05</v>
      </c>
      <c r="CB12">
        <v>0.11</v>
      </c>
      <c r="CC12">
        <v>7.0000000000000007E-2</v>
      </c>
      <c r="CD12">
        <v>0</v>
      </c>
      <c r="CE12">
        <v>2</v>
      </c>
      <c r="CH12" t="s">
        <v>174</v>
      </c>
      <c r="CI12" t="s">
        <v>163</v>
      </c>
      <c r="CJ12">
        <v>-0.02</v>
      </c>
      <c r="CK12">
        <v>0</v>
      </c>
      <c r="CL12">
        <v>0</v>
      </c>
      <c r="CM12">
        <v>-0.02</v>
      </c>
      <c r="CN12">
        <v>-0.03</v>
      </c>
      <c r="CO12">
        <v>0.2</v>
      </c>
    </row>
    <row r="13" spans="1:93" ht="18" thickTop="1" thickBot="1" x14ac:dyDescent="0.25">
      <c r="H13" s="12"/>
      <c r="I13" t="s">
        <v>165</v>
      </c>
      <c r="J13">
        <f t="shared" ref="J13:J14" si="19">J12</f>
        <v>4</v>
      </c>
      <c r="K13">
        <f>K11</f>
        <v>0.65</v>
      </c>
      <c r="L13">
        <v>65</v>
      </c>
      <c r="M13">
        <v>0</v>
      </c>
      <c r="N13">
        <v>0</v>
      </c>
      <c r="O13">
        <f>$BS$3</f>
        <v>91.25</v>
      </c>
      <c r="P13">
        <v>0.01</v>
      </c>
      <c r="Q13">
        <v>0.12</v>
      </c>
      <c r="R13">
        <v>0.64</v>
      </c>
      <c r="S13">
        <v>50</v>
      </c>
      <c r="T13">
        <f t="shared" si="0"/>
        <v>0</v>
      </c>
      <c r="U13">
        <f t="shared" si="1"/>
        <v>1</v>
      </c>
      <c r="V13">
        <f t="shared" si="2"/>
        <v>0.72</v>
      </c>
      <c r="W13">
        <f>$BS$10</f>
        <v>4.7000000000000002E-3</v>
      </c>
      <c r="X13">
        <f t="shared" si="3"/>
        <v>0</v>
      </c>
      <c r="Y13">
        <f>$BS$4</f>
        <v>0.24</v>
      </c>
      <c r="Z13">
        <f>$BS$6</f>
        <v>1.0999999999999999E-2</v>
      </c>
      <c r="AA13">
        <f>$BS$5</f>
        <v>0.21</v>
      </c>
      <c r="AB13">
        <f t="shared" si="4"/>
        <v>5.8999999999999999E-3</v>
      </c>
      <c r="AC13">
        <f>(M13/100)*(MIN(N13,100)/100)</f>
        <v>0</v>
      </c>
      <c r="AD13">
        <f t="shared" si="5"/>
        <v>0</v>
      </c>
      <c r="AE13">
        <f>J13 * K13 / 365</f>
        <v>7.1232876712328773E-3</v>
      </c>
      <c r="AF13">
        <f>P13 * 0.92</f>
        <v>9.1999999999999998E-3</v>
      </c>
      <c r="AG13">
        <v>57</v>
      </c>
      <c r="AH13">
        <f>S13 / AG13</f>
        <v>0.8771929824561403</v>
      </c>
      <c r="AI13">
        <v>0</v>
      </c>
      <c r="AJ13">
        <f t="shared" si="6"/>
        <v>0</v>
      </c>
      <c r="AK13">
        <f t="shared" si="7"/>
        <v>1.0747659693624819E-3</v>
      </c>
      <c r="AL13">
        <f>(AV13 / 6.25 ) - AK13</f>
        <v>1.811521741614671E-2</v>
      </c>
      <c r="AM13">
        <f>IF($G$11="wet",$BU$18,$BU$19)</f>
        <v>6.0000000000000001E-3</v>
      </c>
      <c r="AN13">
        <f t="shared" si="8"/>
        <v>1.5714285714285714</v>
      </c>
      <c r="AO13">
        <f t="shared" si="9"/>
        <v>1.3</v>
      </c>
      <c r="AP13">
        <f t="shared" si="10"/>
        <v>1</v>
      </c>
      <c r="AQ13">
        <f>(0.795*R13)-0.0014</f>
        <v>0.50740000000000007</v>
      </c>
      <c r="AR13">
        <v>1.6</v>
      </c>
      <c r="AS13">
        <f t="shared" si="11"/>
        <v>0.99402397710499402</v>
      </c>
      <c r="AT13">
        <f>(104.7*AQ13+0.307*S13-15)*(S13^0.75)*10^-3</f>
        <v>1.0054871153505722</v>
      </c>
      <c r="AU13">
        <f t="shared" si="12"/>
        <v>0.99947830132860371</v>
      </c>
      <c r="AV13">
        <f>(AU13 * Q13) + (0.045 * AJ13)</f>
        <v>0.11993739615943244</v>
      </c>
      <c r="AW13">
        <f t="shared" si="13"/>
        <v>0.08</v>
      </c>
      <c r="AX13">
        <f>(AU13 * ((1 - R13) + (0.04 * AU13))) * ( 1 - AW13 )</f>
        <v>0.36778882639365651</v>
      </c>
      <c r="AY13">
        <f t="shared" si="14"/>
        <v>0.24</v>
      </c>
      <c r="AZ13">
        <f t="shared" si="15"/>
        <v>0.6784</v>
      </c>
      <c r="BA13">
        <f t="shared" ref="BA13:BA34" si="20">AX13 * AY13 * T13 * V13 * AZ13</f>
        <v>0</v>
      </c>
      <c r="BB13">
        <f t="shared" si="16"/>
        <v>2.8144495612311498E-4</v>
      </c>
      <c r="BC13">
        <f t="shared" si="17"/>
        <v>2.8144495612311498E-4</v>
      </c>
      <c r="BD13">
        <f t="shared" si="18"/>
        <v>1.6693203960052256</v>
      </c>
      <c r="BF13">
        <f>L13*AL13*O13</f>
        <v>107.44588329952018</v>
      </c>
      <c r="BT13" s="14" t="s">
        <v>196</v>
      </c>
      <c r="BU13" s="14">
        <v>0.74</v>
      </c>
      <c r="BW13" s="8" t="s">
        <v>165</v>
      </c>
      <c r="BX13" s="6" t="s">
        <v>171</v>
      </c>
      <c r="BY13">
        <v>0.05</v>
      </c>
      <c r="BZ13">
        <v>0.2</v>
      </c>
      <c r="CA13">
        <v>0.16</v>
      </c>
      <c r="CB13">
        <v>0.13</v>
      </c>
      <c r="CC13">
        <v>0.05</v>
      </c>
      <c r="CD13">
        <v>0.11</v>
      </c>
      <c r="CE13">
        <v>3</v>
      </c>
      <c r="CI13" t="s">
        <v>164</v>
      </c>
      <c r="CJ13">
        <v>0.03</v>
      </c>
      <c r="CK13">
        <v>0.05</v>
      </c>
      <c r="CL13">
        <v>0.05</v>
      </c>
      <c r="CM13">
        <v>0.05</v>
      </c>
      <c r="CN13">
        <v>0.05</v>
      </c>
      <c r="CO13">
        <v>0.05</v>
      </c>
    </row>
    <row r="14" spans="1:93" ht="17" thickTop="1" x14ac:dyDescent="0.2">
      <c r="H14" s="13"/>
      <c r="I14" t="s">
        <v>166</v>
      </c>
      <c r="J14">
        <f t="shared" si="19"/>
        <v>4</v>
      </c>
      <c r="K14">
        <f>K11</f>
        <v>0.65</v>
      </c>
      <c r="L14">
        <v>80</v>
      </c>
      <c r="M14">
        <v>0</v>
      </c>
      <c r="N14">
        <v>0</v>
      </c>
      <c r="O14">
        <f>$BS$3</f>
        <v>91.25</v>
      </c>
      <c r="P14">
        <v>0</v>
      </c>
      <c r="Q14">
        <v>0.18</v>
      </c>
      <c r="R14">
        <v>0.72</v>
      </c>
      <c r="S14">
        <v>50</v>
      </c>
      <c r="T14">
        <f t="shared" si="0"/>
        <v>0</v>
      </c>
      <c r="U14">
        <f t="shared" si="1"/>
        <v>1</v>
      </c>
      <c r="V14">
        <f t="shared" si="2"/>
        <v>0.72</v>
      </c>
      <c r="W14">
        <f>$BS$10</f>
        <v>4.7000000000000002E-3</v>
      </c>
      <c r="X14">
        <f t="shared" si="3"/>
        <v>0</v>
      </c>
      <c r="Y14">
        <f>$BS$4</f>
        <v>0.24</v>
      </c>
      <c r="Z14">
        <f>$BS$6</f>
        <v>1.0999999999999999E-2</v>
      </c>
      <c r="AA14">
        <f>$BS$5</f>
        <v>0.21</v>
      </c>
      <c r="AB14">
        <f t="shared" si="4"/>
        <v>5.8999999999999999E-3</v>
      </c>
      <c r="AC14">
        <f>(M14/100)*(MIN(N14,100)/100)</f>
        <v>0</v>
      </c>
      <c r="AD14">
        <f t="shared" si="5"/>
        <v>0</v>
      </c>
      <c r="AE14">
        <f>J14 * K14 / 365</f>
        <v>7.1232876712328773E-3</v>
      </c>
      <c r="AF14">
        <f>P14 * 0.92</f>
        <v>0</v>
      </c>
      <c r="AG14">
        <v>57</v>
      </c>
      <c r="AH14">
        <f>S14 / AG14</f>
        <v>0.8771929824561403</v>
      </c>
      <c r="AI14">
        <v>0</v>
      </c>
      <c r="AJ14">
        <f t="shared" si="6"/>
        <v>0</v>
      </c>
      <c r="AK14">
        <f t="shared" si="7"/>
        <v>9.5736986301369871E-4</v>
      </c>
      <c r="AL14">
        <f>(AV14 / 6.25 ) - AK14</f>
        <v>3.1506062032197808E-2</v>
      </c>
      <c r="AM14">
        <f>IF($G$11="wet",$BU$18,$BU$19)</f>
        <v>6.0000000000000001E-3</v>
      </c>
      <c r="AN14">
        <f t="shared" si="8"/>
        <v>1.5714285714285714</v>
      </c>
      <c r="AO14">
        <f t="shared" si="9"/>
        <v>1.3</v>
      </c>
      <c r="AP14">
        <f t="shared" si="10"/>
        <v>1</v>
      </c>
      <c r="AQ14">
        <f>(0.795*R14)-0.0014</f>
        <v>0.57100000000000006</v>
      </c>
      <c r="AR14">
        <v>1.7</v>
      </c>
      <c r="AS14">
        <f t="shared" si="11"/>
        <v>0.99691128459176326</v>
      </c>
      <c r="AT14">
        <f>(104.7*AQ14+0.307*S14-15)*(S14^0.75)*10^-3</f>
        <v>1.1306948910936463</v>
      </c>
      <c r="AU14">
        <f t="shared" si="12"/>
        <v>1.1272024963615108</v>
      </c>
      <c r="AV14">
        <f>(AU14 * Q14) + (0.045 * AJ14)</f>
        <v>0.20289644934507195</v>
      </c>
      <c r="AW14">
        <f t="shared" si="13"/>
        <v>0.08</v>
      </c>
      <c r="AX14">
        <f>(AU14 * ((1 - R14) + (0.04 * AU14))) * ( 1 - AW14 )</f>
        <v>0.33712490827789848</v>
      </c>
      <c r="AY14">
        <f t="shared" si="14"/>
        <v>0.24</v>
      </c>
      <c r="AZ14">
        <f t="shared" si="15"/>
        <v>0.6784</v>
      </c>
      <c r="BA14">
        <f t="shared" si="20"/>
        <v>0</v>
      </c>
      <c r="BB14">
        <f t="shared" si="16"/>
        <v>2.5797984661101933E-4</v>
      </c>
      <c r="BC14">
        <f t="shared" si="17"/>
        <v>2.5797984661101933E-4</v>
      </c>
      <c r="BD14">
        <f t="shared" si="18"/>
        <v>1.8832528802604411</v>
      </c>
      <c r="BF14">
        <f>L14*AL14*O14</f>
        <v>229.99425283504399</v>
      </c>
      <c r="BT14" s="14" t="s">
        <v>197</v>
      </c>
      <c r="BU14" s="14">
        <v>0.69</v>
      </c>
      <c r="BW14" s="8" t="s">
        <v>166</v>
      </c>
      <c r="BX14" s="6" t="s">
        <v>171</v>
      </c>
      <c r="BY14">
        <v>0.04</v>
      </c>
      <c r="BZ14">
        <v>0.05</v>
      </c>
      <c r="CA14">
        <v>0.16</v>
      </c>
      <c r="CB14">
        <v>7.0000000000000007E-2</v>
      </c>
      <c r="CC14">
        <v>0.02</v>
      </c>
      <c r="CD14">
        <v>0.11</v>
      </c>
      <c r="CE14">
        <v>4</v>
      </c>
      <c r="CI14" t="s">
        <v>165</v>
      </c>
      <c r="CJ14">
        <v>0.02</v>
      </c>
      <c r="CK14">
        <v>0</v>
      </c>
      <c r="CL14">
        <v>0</v>
      </c>
      <c r="CM14">
        <v>0</v>
      </c>
      <c r="CN14">
        <v>0</v>
      </c>
      <c r="CO14">
        <v>0.2</v>
      </c>
    </row>
    <row r="15" spans="1:93" x14ac:dyDescent="0.2">
      <c r="H15" s="12" t="s">
        <v>171</v>
      </c>
      <c r="I15" t="s">
        <v>163</v>
      </c>
      <c r="J15">
        <v>3</v>
      </c>
      <c r="K15">
        <v>0.6</v>
      </c>
      <c r="L15">
        <v>200</v>
      </c>
      <c r="M15">
        <v>0</v>
      </c>
      <c r="N15">
        <v>0</v>
      </c>
      <c r="O15">
        <f>$BS$3</f>
        <v>91.25</v>
      </c>
      <c r="P15">
        <v>0.16</v>
      </c>
      <c r="Q15">
        <v>0.2</v>
      </c>
      <c r="R15">
        <v>0.75</v>
      </c>
      <c r="S15">
        <v>20</v>
      </c>
      <c r="T15">
        <f t="shared" si="0"/>
        <v>0</v>
      </c>
      <c r="U15">
        <f t="shared" si="1"/>
        <v>1</v>
      </c>
      <c r="V15">
        <f t="shared" si="2"/>
        <v>0.72</v>
      </c>
      <c r="W15">
        <f>$BS$10</f>
        <v>4.7000000000000002E-3</v>
      </c>
      <c r="X15">
        <f t="shared" si="3"/>
        <v>0</v>
      </c>
      <c r="Y15">
        <f>$BS$4</f>
        <v>0.24</v>
      </c>
      <c r="Z15">
        <f>$BS$6</f>
        <v>1.0999999999999999E-2</v>
      </c>
      <c r="AA15">
        <f>$BS$5</f>
        <v>0.21</v>
      </c>
      <c r="AB15">
        <f t="shared" si="4"/>
        <v>5.8999999999999999E-3</v>
      </c>
      <c r="AC15">
        <f>(M15/100)*(MIN(N15,100)/100)</f>
        <v>0</v>
      </c>
      <c r="AD15">
        <f t="shared" si="5"/>
        <v>0</v>
      </c>
      <c r="AE15">
        <f>J15 * K15 / 365</f>
        <v>4.9315068493150684E-3</v>
      </c>
      <c r="AF15">
        <f>P15 * 0.92</f>
        <v>0.1472</v>
      </c>
      <c r="AG15">
        <v>60</v>
      </c>
      <c r="AH15">
        <f>S15 / AG15</f>
        <v>0.33333333333333331</v>
      </c>
      <c r="AI15">
        <v>1</v>
      </c>
      <c r="AJ15">
        <f t="shared" si="6"/>
        <v>1.6</v>
      </c>
      <c r="AK15">
        <f t="shared" si="7"/>
        <v>4.2927035527562628E-3</v>
      </c>
      <c r="AL15">
        <f>(AV15 / 6.25 ) - AK15</f>
        <v>2.3394421603544668E-2</v>
      </c>
      <c r="AM15">
        <f>IF($G$11="wet",$BU$18,$BU$19)</f>
        <v>6.0000000000000001E-3</v>
      </c>
      <c r="AN15">
        <f t="shared" si="8"/>
        <v>1.5714285714285714</v>
      </c>
      <c r="AO15">
        <f t="shared" si="9"/>
        <v>1.3</v>
      </c>
      <c r="AP15">
        <f t="shared" si="10"/>
        <v>1</v>
      </c>
      <c r="AQ15">
        <f>(0.795*R15)-0.0014</f>
        <v>0.5948500000000001</v>
      </c>
      <c r="AR15">
        <v>2.9</v>
      </c>
      <c r="AS15">
        <f t="shared" si="11"/>
        <v>0.9999999504359468</v>
      </c>
      <c r="AT15">
        <f>(104.7*AQ15+0.307*S15-15)*(S15^0.75)*10^-3</f>
        <v>0.5052226861752882</v>
      </c>
      <c r="AU15">
        <f t="shared" si="12"/>
        <v>0.50522266113440406</v>
      </c>
      <c r="AV15">
        <f>(AU15 * Q15) + (0.045 * AJ15)</f>
        <v>0.17304453222688082</v>
      </c>
      <c r="AW15">
        <f t="shared" si="13"/>
        <v>0.08</v>
      </c>
      <c r="AX15">
        <f>(AU15 * ((1 - R15) + (0.04 * AU15))) * ( 1 - AW15 )</f>
        <v>0.12559440975442615</v>
      </c>
      <c r="AY15">
        <f t="shared" si="14"/>
        <v>0.24</v>
      </c>
      <c r="AZ15">
        <f t="shared" si="15"/>
        <v>0.6784</v>
      </c>
      <c r="BA15">
        <f t="shared" si="20"/>
        <v>0</v>
      </c>
      <c r="BB15">
        <f t="shared" si="16"/>
        <v>9.6109263267310253E-5</v>
      </c>
      <c r="BC15">
        <f t="shared" si="17"/>
        <v>9.6109263267310253E-5</v>
      </c>
      <c r="BD15">
        <f t="shared" si="18"/>
        <v>1.7539940546284121</v>
      </c>
      <c r="BF15">
        <f>L15*AL15*O15</f>
        <v>426.94819426469013</v>
      </c>
      <c r="BT15" s="14" t="s">
        <v>198</v>
      </c>
      <c r="BU15" s="14">
        <v>0.73</v>
      </c>
      <c r="BW15" s="8" t="s">
        <v>163</v>
      </c>
      <c r="BX15" s="8" t="s">
        <v>168</v>
      </c>
      <c r="BY15">
        <v>7.0000000000000007E-2</v>
      </c>
      <c r="BZ15">
        <v>0</v>
      </c>
      <c r="CA15">
        <v>0</v>
      </c>
      <c r="CB15">
        <v>0.03</v>
      </c>
      <c r="CC15">
        <v>0.16</v>
      </c>
      <c r="CD15">
        <v>0.05</v>
      </c>
      <c r="CE15">
        <v>1</v>
      </c>
      <c r="CI15" t="s">
        <v>166</v>
      </c>
      <c r="CJ15">
        <v>-0.03</v>
      </c>
      <c r="CK15">
        <v>-0.05</v>
      </c>
      <c r="CL15">
        <v>-0.05</v>
      </c>
      <c r="CM15">
        <v>-0.03</v>
      </c>
      <c r="CN15">
        <v>-0.02</v>
      </c>
      <c r="CO15">
        <v>0.05</v>
      </c>
    </row>
    <row r="16" spans="1:93" x14ac:dyDescent="0.2">
      <c r="H16" s="13"/>
      <c r="I16" t="s">
        <v>164</v>
      </c>
      <c r="J16">
        <f>J15</f>
        <v>3</v>
      </c>
      <c r="K16">
        <f>K15</f>
        <v>0.6</v>
      </c>
      <c r="L16">
        <v>210</v>
      </c>
      <c r="M16">
        <v>0</v>
      </c>
      <c r="N16">
        <v>0</v>
      </c>
      <c r="O16">
        <f>$BS$3</f>
        <v>91.25</v>
      </c>
      <c r="P16">
        <v>0.08</v>
      </c>
      <c r="Q16">
        <v>0.1</v>
      </c>
      <c r="R16">
        <v>0.61</v>
      </c>
      <c r="S16">
        <v>27</v>
      </c>
      <c r="T16">
        <f t="shared" si="0"/>
        <v>0</v>
      </c>
      <c r="U16">
        <f t="shared" si="1"/>
        <v>1</v>
      </c>
      <c r="V16">
        <f t="shared" si="2"/>
        <v>0.72</v>
      </c>
      <c r="W16">
        <f>$BS$10</f>
        <v>4.7000000000000002E-3</v>
      </c>
      <c r="X16">
        <f t="shared" si="3"/>
        <v>0</v>
      </c>
      <c r="Y16">
        <f>$BS$4</f>
        <v>0.24</v>
      </c>
      <c r="Z16">
        <f>$BS$6</f>
        <v>1.0999999999999999E-2</v>
      </c>
      <c r="AA16">
        <f>$BS$5</f>
        <v>0.21</v>
      </c>
      <c r="AB16">
        <f t="shared" si="4"/>
        <v>5.8999999999999999E-3</v>
      </c>
      <c r="AC16">
        <f>(M16/100)*(MIN(N16,100)/100)</f>
        <v>0</v>
      </c>
      <c r="AD16">
        <f t="shared" si="5"/>
        <v>0</v>
      </c>
      <c r="AE16">
        <f>J16 * K16 / 365</f>
        <v>4.9315068493150684E-3</v>
      </c>
      <c r="AF16">
        <f>P16 * 0.92</f>
        <v>7.3599999999999999E-2</v>
      </c>
      <c r="AG16">
        <v>61</v>
      </c>
      <c r="AH16">
        <f>S16 / AG16</f>
        <v>0.44262295081967212</v>
      </c>
      <c r="AI16">
        <v>0</v>
      </c>
      <c r="AJ16">
        <f t="shared" si="6"/>
        <v>0</v>
      </c>
      <c r="AK16">
        <f t="shared" si="7"/>
        <v>2.233380100205178E-3</v>
      </c>
      <c r="AL16">
        <f>(AV16 / 6.25 ) - AK16</f>
        <v>6.0894444157458105E-3</v>
      </c>
      <c r="AM16">
        <f>IF($G$11="wet",$BU$18,$BU$19)</f>
        <v>6.0000000000000001E-3</v>
      </c>
      <c r="AN16">
        <f t="shared" si="8"/>
        <v>1.5714285714285714</v>
      </c>
      <c r="AO16">
        <f t="shared" si="9"/>
        <v>1.3</v>
      </c>
      <c r="AP16">
        <f t="shared" si="10"/>
        <v>1</v>
      </c>
      <c r="AQ16">
        <f>(0.795*R16)-0.0014</f>
        <v>0.48354999999999998</v>
      </c>
      <c r="AR16">
        <v>2.5</v>
      </c>
      <c r="AS16">
        <f t="shared" si="11"/>
        <v>0.99999627334682795</v>
      </c>
      <c r="AT16">
        <f>(104.7*AQ16+0.307*S16-15)*(S16^0.75)*10^-3</f>
        <v>0.52017847077168489</v>
      </c>
      <c r="AU16">
        <f t="shared" si="12"/>
        <v>0.52017653224693672</v>
      </c>
      <c r="AV16">
        <f>(AU16 * Q16) + (0.045 * AJ16)</f>
        <v>5.2017653224693677E-2</v>
      </c>
      <c r="AW16">
        <f t="shared" si="13"/>
        <v>0.08</v>
      </c>
      <c r="AX16">
        <f>(AU16 * ((1 - R16) + (0.04 * AU16))) * ( 1 - AW16 )</f>
        <v>0.1965968171591774</v>
      </c>
      <c r="AY16">
        <f t="shared" si="14"/>
        <v>0.24</v>
      </c>
      <c r="AZ16">
        <f t="shared" si="15"/>
        <v>0.6784</v>
      </c>
      <c r="BA16">
        <f t="shared" si="20"/>
        <v>0</v>
      </c>
      <c r="BB16">
        <f t="shared" si="16"/>
        <v>1.5044280469816656E-4</v>
      </c>
      <c r="BC16">
        <f t="shared" si="17"/>
        <v>1.5044280469816656E-4</v>
      </c>
      <c r="BD16">
        <f t="shared" si="18"/>
        <v>2.8828602450286169</v>
      </c>
      <c r="BF16">
        <f>L16*AL16*O16</f>
        <v>116.6889786167291</v>
      </c>
      <c r="BT16" s="14" t="s">
        <v>199</v>
      </c>
      <c r="BU16" s="14">
        <v>0.76</v>
      </c>
      <c r="BW16" s="8" t="s">
        <v>164</v>
      </c>
      <c r="BX16" s="8" t="s">
        <v>168</v>
      </c>
      <c r="BY16">
        <v>0</v>
      </c>
      <c r="BZ16">
        <v>0.05</v>
      </c>
      <c r="CA16">
        <v>0</v>
      </c>
      <c r="CB16">
        <v>0</v>
      </c>
      <c r="CC16">
        <v>-0.05</v>
      </c>
      <c r="CD16">
        <v>-0.05</v>
      </c>
      <c r="CE16">
        <v>2</v>
      </c>
      <c r="CH16" t="s">
        <v>175</v>
      </c>
      <c r="CI16" t="s">
        <v>163</v>
      </c>
      <c r="CJ16">
        <v>0.11</v>
      </c>
      <c r="CK16">
        <v>0.11</v>
      </c>
      <c r="CL16">
        <v>0</v>
      </c>
      <c r="CM16">
        <v>0</v>
      </c>
      <c r="CN16">
        <v>0</v>
      </c>
      <c r="CO16">
        <v>0.11</v>
      </c>
    </row>
    <row r="17" spans="8:93" x14ac:dyDescent="0.2">
      <c r="H17" s="12"/>
      <c r="I17" t="s">
        <v>165</v>
      </c>
      <c r="J17">
        <f t="shared" ref="J17:K18" si="21">J16</f>
        <v>3</v>
      </c>
      <c r="K17">
        <f t="shared" si="21"/>
        <v>0.6</v>
      </c>
      <c r="L17">
        <v>170</v>
      </c>
      <c r="M17">
        <v>0</v>
      </c>
      <c r="N17">
        <v>0</v>
      </c>
      <c r="O17">
        <f>$BS$3</f>
        <v>91.25</v>
      </c>
      <c r="P17">
        <v>0.05</v>
      </c>
      <c r="Q17">
        <v>0.12</v>
      </c>
      <c r="R17">
        <v>0.64</v>
      </c>
      <c r="S17">
        <v>32</v>
      </c>
      <c r="T17">
        <f t="shared" si="0"/>
        <v>0</v>
      </c>
      <c r="U17">
        <f t="shared" si="1"/>
        <v>1</v>
      </c>
      <c r="V17">
        <f t="shared" si="2"/>
        <v>0.72</v>
      </c>
      <c r="W17">
        <f>$BS$10</f>
        <v>4.7000000000000002E-3</v>
      </c>
      <c r="X17">
        <f t="shared" si="3"/>
        <v>0</v>
      </c>
      <c r="Y17">
        <f>$BS$4</f>
        <v>0.24</v>
      </c>
      <c r="Z17">
        <f>$BS$6</f>
        <v>1.0999999999999999E-2</v>
      </c>
      <c r="AA17">
        <f>$BS$5</f>
        <v>0.21</v>
      </c>
      <c r="AB17">
        <f t="shared" si="4"/>
        <v>5.8999999999999999E-3</v>
      </c>
      <c r="AC17">
        <f>(M17/100)*(MIN(N17,100)/100)</f>
        <v>0</v>
      </c>
      <c r="AD17">
        <f t="shared" si="5"/>
        <v>0</v>
      </c>
      <c r="AE17">
        <f>J17 * K17 / 365</f>
        <v>4.9315068493150684E-3</v>
      </c>
      <c r="AF17">
        <f>P17 * 0.92</f>
        <v>4.6000000000000006E-2</v>
      </c>
      <c r="AG17">
        <v>62</v>
      </c>
      <c r="AH17">
        <f>S17 / AG17</f>
        <v>0.5161290322580645</v>
      </c>
      <c r="AI17">
        <v>0</v>
      </c>
      <c r="AJ17">
        <f t="shared" si="6"/>
        <v>0</v>
      </c>
      <c r="AK17">
        <f t="shared" si="7"/>
        <v>1.5400455022570668E-3</v>
      </c>
      <c r="AL17">
        <f>(AV17 / 6.25 ) - AK17</f>
        <v>1.077222459730026E-2</v>
      </c>
      <c r="AM17">
        <f>IF($G$11="wet",$BU$18,$BU$19)</f>
        <v>6.0000000000000001E-3</v>
      </c>
      <c r="AN17">
        <f t="shared" si="8"/>
        <v>1.5714285714285714</v>
      </c>
      <c r="AO17">
        <f t="shared" si="9"/>
        <v>1.3</v>
      </c>
      <c r="AP17">
        <f t="shared" si="10"/>
        <v>1</v>
      </c>
      <c r="AQ17">
        <f>(0.795*R17)-0.0014</f>
        <v>0.50740000000000007</v>
      </c>
      <c r="AR17">
        <v>1.6</v>
      </c>
      <c r="AS17">
        <f t="shared" si="11"/>
        <v>0.99402397710499402</v>
      </c>
      <c r="AT17">
        <f>(104.7*AQ17+0.307*S17-15)*(S17^0.75)*10^-3</f>
        <v>0.64511931548462409</v>
      </c>
      <c r="AU17">
        <f t="shared" si="12"/>
        <v>0.64126406768527744</v>
      </c>
      <c r="AV17">
        <f>(AU17 * Q17) + (0.045 * AJ17)</f>
        <v>7.6951688122233283E-2</v>
      </c>
      <c r="AW17">
        <f t="shared" si="13"/>
        <v>0.08</v>
      </c>
      <c r="AX17">
        <f>(AU17 * ((1 - R17) + (0.04 * AU17))) * ( 1 - AW17 )</f>
        <v>0.22751954066312097</v>
      </c>
      <c r="AY17">
        <f t="shared" si="14"/>
        <v>0.24</v>
      </c>
      <c r="AZ17">
        <f t="shared" si="15"/>
        <v>0.6784</v>
      </c>
      <c r="BA17">
        <f t="shared" si="20"/>
        <v>0</v>
      </c>
      <c r="BB17">
        <f t="shared" si="16"/>
        <v>1.7410596120325152E-4</v>
      </c>
      <c r="BC17">
        <f t="shared" si="17"/>
        <v>1.7410596120325152E-4</v>
      </c>
      <c r="BD17">
        <f t="shared" si="18"/>
        <v>2.700818723165439</v>
      </c>
      <c r="BF17">
        <f>L17*AL17*O17</f>
        <v>167.10413406562029</v>
      </c>
      <c r="BW17" s="8" t="s">
        <v>165</v>
      </c>
      <c r="BX17" s="8" t="s">
        <v>168</v>
      </c>
      <c r="BY17">
        <v>0</v>
      </c>
      <c r="BZ17">
        <v>0</v>
      </c>
      <c r="CA17">
        <v>0</v>
      </c>
      <c r="CB17">
        <v>0</v>
      </c>
      <c r="CC17">
        <v>-0.02</v>
      </c>
      <c r="CD17">
        <v>0.11</v>
      </c>
      <c r="CE17">
        <v>3</v>
      </c>
      <c r="CI17" t="s">
        <v>164</v>
      </c>
      <c r="CJ17">
        <v>-0.1</v>
      </c>
      <c r="CK17">
        <v>-0.1</v>
      </c>
      <c r="CL17">
        <v>0</v>
      </c>
      <c r="CM17">
        <v>0</v>
      </c>
      <c r="CN17">
        <v>0</v>
      </c>
      <c r="CO17">
        <v>0.05</v>
      </c>
    </row>
    <row r="18" spans="8:93" x14ac:dyDescent="0.2">
      <c r="H18" s="13"/>
      <c r="I18" t="s">
        <v>166</v>
      </c>
      <c r="J18">
        <f t="shared" si="21"/>
        <v>3</v>
      </c>
      <c r="K18">
        <f t="shared" si="21"/>
        <v>0.6</v>
      </c>
      <c r="L18">
        <v>200</v>
      </c>
      <c r="M18">
        <v>0</v>
      </c>
      <c r="N18">
        <v>0</v>
      </c>
      <c r="O18">
        <f>$BS$3</f>
        <v>91.25</v>
      </c>
      <c r="P18">
        <v>0.04</v>
      </c>
      <c r="Q18">
        <v>0.18</v>
      </c>
      <c r="R18">
        <v>0.72</v>
      </c>
      <c r="S18">
        <v>34</v>
      </c>
      <c r="T18">
        <f t="shared" si="0"/>
        <v>0</v>
      </c>
      <c r="U18">
        <f t="shared" si="1"/>
        <v>1</v>
      </c>
      <c r="V18">
        <f t="shared" si="2"/>
        <v>0.72</v>
      </c>
      <c r="W18">
        <f>$BS$10</f>
        <v>4.7000000000000002E-3</v>
      </c>
      <c r="X18">
        <f t="shared" si="3"/>
        <v>0</v>
      </c>
      <c r="Y18">
        <f>$BS$4</f>
        <v>0.24</v>
      </c>
      <c r="Z18">
        <f>$BS$6</f>
        <v>1.0999999999999999E-2</v>
      </c>
      <c r="AA18">
        <f>$BS$5</f>
        <v>0.21</v>
      </c>
      <c r="AB18">
        <f t="shared" si="4"/>
        <v>5.8999999999999999E-3</v>
      </c>
      <c r="AC18">
        <f>(M18/100)*(MIN(N18,100)/100)</f>
        <v>0</v>
      </c>
      <c r="AD18">
        <f t="shared" si="5"/>
        <v>0</v>
      </c>
      <c r="AE18">
        <f>J18 * K18 / 365</f>
        <v>4.9315068493150684E-3</v>
      </c>
      <c r="AF18">
        <f>P18 * 0.92</f>
        <v>3.6799999999999999E-2</v>
      </c>
      <c r="AG18">
        <v>63</v>
      </c>
      <c r="AH18">
        <f>S18 / AG18</f>
        <v>0.53968253968253965</v>
      </c>
      <c r="AI18">
        <v>0</v>
      </c>
      <c r="AJ18">
        <f t="shared" si="6"/>
        <v>0</v>
      </c>
      <c r="AK18">
        <f t="shared" si="7"/>
        <v>1.3398080165132112E-3</v>
      </c>
      <c r="AL18">
        <f>(AV18 / 6.25 ) - AK18</f>
        <v>2.098398359742434E-2</v>
      </c>
      <c r="AM18">
        <f>IF($G$11="wet",$BU$18,$BU$19)</f>
        <v>6.0000000000000001E-3</v>
      </c>
      <c r="AN18">
        <f t="shared" si="8"/>
        <v>1.5714285714285714</v>
      </c>
      <c r="AO18">
        <f t="shared" si="9"/>
        <v>1.3</v>
      </c>
      <c r="AP18">
        <f t="shared" si="10"/>
        <v>1</v>
      </c>
      <c r="AQ18">
        <f>(0.795*R18)-0.0014</f>
        <v>0.57100000000000006</v>
      </c>
      <c r="AR18">
        <v>1.7</v>
      </c>
      <c r="AS18">
        <f t="shared" si="11"/>
        <v>0.99691128459176326</v>
      </c>
      <c r="AT18">
        <f>(104.7*AQ18+0.307*S18-15)*(S18^0.75)*10^-3</f>
        <v>0.77753323213623582</v>
      </c>
      <c r="AU18">
        <f t="shared" si="12"/>
        <v>0.77513165326172051</v>
      </c>
      <c r="AV18">
        <f>(AU18 * Q18) + (0.045 * AJ18)</f>
        <v>0.1395236975871097</v>
      </c>
      <c r="AW18">
        <f t="shared" si="13"/>
        <v>0.08</v>
      </c>
      <c r="AX18">
        <f>(AU18 * ((1 - R18) + (0.04 * AU18))) * ( 1 - AW18 )</f>
        <v>0.22178442402010679</v>
      </c>
      <c r="AY18">
        <f t="shared" si="14"/>
        <v>0.24</v>
      </c>
      <c r="AZ18">
        <f t="shared" si="15"/>
        <v>0.6784</v>
      </c>
      <c r="BA18">
        <f t="shared" si="20"/>
        <v>0</v>
      </c>
      <c r="BB18">
        <f t="shared" si="16"/>
        <v>1.6971724807191121E-4</v>
      </c>
      <c r="BC18">
        <f t="shared" si="17"/>
        <v>1.6971724807191121E-4</v>
      </c>
      <c r="BD18">
        <f t="shared" si="18"/>
        <v>3.0973397773123792</v>
      </c>
      <c r="BF18">
        <f>L18*AL18*O18</f>
        <v>382.95770065299422</v>
      </c>
      <c r="BS18" t="s">
        <v>149</v>
      </c>
      <c r="BT18" s="14" t="s">
        <v>254</v>
      </c>
      <c r="BU18" s="14">
        <v>6.0000000000000001E-3</v>
      </c>
      <c r="BW18" s="8" t="s">
        <v>166</v>
      </c>
      <c r="BX18" s="8" t="s">
        <v>168</v>
      </c>
      <c r="BY18">
        <v>0.02</v>
      </c>
      <c r="BZ18">
        <v>-0.05</v>
      </c>
      <c r="CA18">
        <v>0</v>
      </c>
      <c r="CB18">
        <v>0.5</v>
      </c>
      <c r="CC18">
        <v>-0.03</v>
      </c>
      <c r="CD18">
        <v>0.05</v>
      </c>
      <c r="CE18">
        <v>4</v>
      </c>
      <c r="CI18" t="s">
        <v>165</v>
      </c>
      <c r="CJ18">
        <v>0</v>
      </c>
      <c r="CK18">
        <v>-0.1</v>
      </c>
      <c r="CL18">
        <v>0</v>
      </c>
      <c r="CM18">
        <v>0</v>
      </c>
      <c r="CN18">
        <v>0</v>
      </c>
      <c r="CO18">
        <v>0.16</v>
      </c>
    </row>
    <row r="19" spans="8:93" x14ac:dyDescent="0.2">
      <c r="H19" s="12" t="s">
        <v>168</v>
      </c>
      <c r="I19" t="s">
        <v>163</v>
      </c>
      <c r="J19">
        <v>2</v>
      </c>
      <c r="K19">
        <v>0.65</v>
      </c>
      <c r="L19">
        <v>100</v>
      </c>
      <c r="M19">
        <v>95</v>
      </c>
      <c r="N19">
        <v>105</v>
      </c>
      <c r="O19">
        <f>$BS$3</f>
        <v>91.25</v>
      </c>
      <c r="P19">
        <v>7.0000000000000007E-2</v>
      </c>
      <c r="Q19">
        <v>0.2</v>
      </c>
      <c r="R19">
        <v>0.75</v>
      </c>
      <c r="S19">
        <v>44</v>
      </c>
      <c r="T19">
        <f t="shared" si="0"/>
        <v>0</v>
      </c>
      <c r="U19">
        <f t="shared" si="1"/>
        <v>1</v>
      </c>
      <c r="V19">
        <f t="shared" si="2"/>
        <v>0.72</v>
      </c>
      <c r="W19">
        <f>$BS$10</f>
        <v>4.7000000000000002E-3</v>
      </c>
      <c r="X19">
        <f t="shared" si="3"/>
        <v>0</v>
      </c>
      <c r="Y19">
        <f>$BS$4</f>
        <v>0.24</v>
      </c>
      <c r="Z19">
        <f>$BS$6</f>
        <v>1.0999999999999999E-2</v>
      </c>
      <c r="AA19">
        <f>$BS$5</f>
        <v>0.21</v>
      </c>
      <c r="AB19">
        <f t="shared" si="4"/>
        <v>5.8999999999999999E-3</v>
      </c>
      <c r="AC19">
        <f>(M19/100)*(MIN(N19,100)/100)</f>
        <v>0.95</v>
      </c>
      <c r="AD19">
        <f t="shared" si="5"/>
        <v>1.52</v>
      </c>
      <c r="AE19">
        <f>J19 * K19 / 365</f>
        <v>3.5616438356164386E-3</v>
      </c>
      <c r="AF19">
        <f>P19 * 0.92</f>
        <v>6.4400000000000013E-2</v>
      </c>
      <c r="AG19">
        <v>57</v>
      </c>
      <c r="AH19">
        <f>S19 / AG19</f>
        <v>0.77192982456140347</v>
      </c>
      <c r="AI19">
        <v>0</v>
      </c>
      <c r="AJ19">
        <f t="shared" si="6"/>
        <v>0</v>
      </c>
      <c r="AK19">
        <f t="shared" si="7"/>
        <v>1.2305324245694275E-2</v>
      </c>
      <c r="AL19">
        <f>(AV19 / 6.25 ) - AK19</f>
        <v>3.0398436809107053E-2</v>
      </c>
      <c r="AM19">
        <f>IF($G$11="wet",$BU$18,$BU$19)</f>
        <v>6.0000000000000001E-3</v>
      </c>
      <c r="AN19">
        <f t="shared" si="8"/>
        <v>1.5714285714285714</v>
      </c>
      <c r="AO19">
        <f t="shared" si="9"/>
        <v>1.3</v>
      </c>
      <c r="AP19">
        <f t="shared" si="10"/>
        <v>1.2849999999999999</v>
      </c>
      <c r="AQ19">
        <f>(0.795*R19)-0.0014</f>
        <v>0.5948500000000001</v>
      </c>
      <c r="AR19">
        <v>2.9</v>
      </c>
      <c r="AS19">
        <f t="shared" si="11"/>
        <v>0.9999999504359468</v>
      </c>
      <c r="AT19">
        <f>(104.7*AQ19+0.307*S19-15)*(S19^0.75)*10^-3</f>
        <v>1.0385156413271623</v>
      </c>
      <c r="AU19">
        <f t="shared" si="12"/>
        <v>1.3344925329625414</v>
      </c>
      <c r="AV19">
        <f>(AU19 * Q19) + (0.045 * AJ19)</f>
        <v>0.2668985065925083</v>
      </c>
      <c r="AW19">
        <f t="shared" si="13"/>
        <v>0.08</v>
      </c>
      <c r="AX19">
        <f>(AU19 * ((1 - R19) + (0.04 * AU19))) * ( 1 - AW19 )</f>
        <v>0.37246931037699088</v>
      </c>
      <c r="AY19">
        <f t="shared" si="14"/>
        <v>0.24</v>
      </c>
      <c r="AZ19">
        <f t="shared" si="15"/>
        <v>0.6784</v>
      </c>
      <c r="BA19">
        <f t="shared" si="20"/>
        <v>0</v>
      </c>
      <c r="BB19">
        <f t="shared" si="16"/>
        <v>2.850266272201987E-4</v>
      </c>
      <c r="BC19">
        <f t="shared" si="17"/>
        <v>2.850266272201987E-4</v>
      </c>
      <c r="BD19">
        <f t="shared" si="18"/>
        <v>2.6008679733843132</v>
      </c>
      <c r="BF19">
        <f>L19*AL19*O19</f>
        <v>277.38573588310186</v>
      </c>
      <c r="BT19" s="14" t="s">
        <v>255</v>
      </c>
      <c r="BU19" s="14">
        <v>2E-3</v>
      </c>
      <c r="BW19" s="8" t="s">
        <v>163</v>
      </c>
      <c r="BX19" s="8" t="s">
        <v>170</v>
      </c>
      <c r="BY19">
        <v>0.05</v>
      </c>
      <c r="BZ19">
        <v>-0.03</v>
      </c>
      <c r="CA19">
        <v>0</v>
      </c>
      <c r="CB19">
        <v>0</v>
      </c>
      <c r="CC19">
        <v>0</v>
      </c>
      <c r="CD19">
        <v>0.05</v>
      </c>
      <c r="CE19">
        <v>1</v>
      </c>
      <c r="CI19" t="s">
        <v>166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0.16</v>
      </c>
    </row>
    <row r="20" spans="8:93" x14ac:dyDescent="0.2">
      <c r="H20" s="13"/>
      <c r="I20" t="s">
        <v>164</v>
      </c>
      <c r="J20">
        <f>J19</f>
        <v>2</v>
      </c>
      <c r="K20">
        <f>K19</f>
        <v>0.65</v>
      </c>
      <c r="L20">
        <v>140</v>
      </c>
      <c r="M20">
        <v>0</v>
      </c>
      <c r="N20">
        <v>0</v>
      </c>
      <c r="O20">
        <f>$BS$3</f>
        <v>91.25</v>
      </c>
      <c r="P20">
        <v>0</v>
      </c>
      <c r="Q20">
        <v>0.1</v>
      </c>
      <c r="R20">
        <v>0.61</v>
      </c>
      <c r="S20">
        <v>42</v>
      </c>
      <c r="T20">
        <f t="shared" si="0"/>
        <v>0</v>
      </c>
      <c r="U20">
        <f t="shared" si="1"/>
        <v>1</v>
      </c>
      <c r="V20">
        <f t="shared" si="2"/>
        <v>0.72</v>
      </c>
      <c r="W20">
        <f>$BS$10</f>
        <v>4.7000000000000002E-3</v>
      </c>
      <c r="X20">
        <f t="shared" si="3"/>
        <v>0</v>
      </c>
      <c r="Y20">
        <f>$BS$4</f>
        <v>0.24</v>
      </c>
      <c r="Z20">
        <f>$BS$6</f>
        <v>1.0999999999999999E-2</v>
      </c>
      <c r="AA20">
        <f>$BS$5</f>
        <v>0.21</v>
      </c>
      <c r="AB20">
        <f t="shared" si="4"/>
        <v>5.8999999999999999E-3</v>
      </c>
      <c r="AC20">
        <f>(M20/100)*(MIN(N20,100)/100)</f>
        <v>0</v>
      </c>
      <c r="AD20">
        <f t="shared" si="5"/>
        <v>0</v>
      </c>
      <c r="AE20">
        <f>J20 * K20 / 365</f>
        <v>3.5616438356164386E-3</v>
      </c>
      <c r="AF20">
        <f>P20 * 0.92</f>
        <v>0</v>
      </c>
      <c r="AG20">
        <v>57</v>
      </c>
      <c r="AH20">
        <f>S20 / AG20</f>
        <v>0.73684210526315785</v>
      </c>
      <c r="AI20">
        <v>0</v>
      </c>
      <c r="AJ20">
        <f t="shared" si="6"/>
        <v>0</v>
      </c>
      <c r="AK20">
        <f t="shared" si="7"/>
        <v>4.7868493150684936E-4</v>
      </c>
      <c r="AL20">
        <f>(AV20 / 6.25 ) - AK20</f>
        <v>1.2329606659197917E-2</v>
      </c>
      <c r="AM20">
        <f>IF($G$11="wet",$BU$18,$BU$19)</f>
        <v>6.0000000000000001E-3</v>
      </c>
      <c r="AN20">
        <f t="shared" si="8"/>
        <v>1.5714285714285714</v>
      </c>
      <c r="AO20">
        <f t="shared" si="9"/>
        <v>1.3</v>
      </c>
      <c r="AP20">
        <f t="shared" si="10"/>
        <v>1</v>
      </c>
      <c r="AQ20">
        <f>(0.795*R20)-0.0014</f>
        <v>0.48354999999999998</v>
      </c>
      <c r="AR20">
        <v>2.5</v>
      </c>
      <c r="AS20">
        <f t="shared" si="11"/>
        <v>0.99999627334682795</v>
      </c>
      <c r="AT20">
        <f>(104.7*AQ20+0.307*S20-15)*(S20^0.75)*10^-3</f>
        <v>0.80052120768394575</v>
      </c>
      <c r="AU20">
        <f t="shared" si="12"/>
        <v>0.80051822441904785</v>
      </c>
      <c r="AV20">
        <f>(AU20 * Q20) + (0.045 * AJ20)</f>
        <v>8.0051822441904785E-2</v>
      </c>
      <c r="AW20">
        <f t="shared" si="13"/>
        <v>0.08</v>
      </c>
      <c r="AX20">
        <f>(AU20 * ((1 - R20) + (0.04 * AU20))) * ( 1 - AW20 )</f>
        <v>0.31080846185822891</v>
      </c>
      <c r="AY20">
        <f t="shared" si="14"/>
        <v>0.24</v>
      </c>
      <c r="AZ20">
        <f t="shared" si="15"/>
        <v>0.6784</v>
      </c>
      <c r="BA20">
        <f t="shared" si="20"/>
        <v>0</v>
      </c>
      <c r="BB20">
        <f t="shared" si="16"/>
        <v>2.3784157547177418E-4</v>
      </c>
      <c r="BC20">
        <f t="shared" si="17"/>
        <v>2.3784157547177418E-4</v>
      </c>
      <c r="BD20">
        <f t="shared" si="18"/>
        <v>3.0384261266519155</v>
      </c>
      <c r="BF20">
        <f>L20*AL20*O20</f>
        <v>157.51072507125338</v>
      </c>
      <c r="BS20" t="s">
        <v>258</v>
      </c>
      <c r="BT20">
        <v>0.6784</v>
      </c>
      <c r="BW20" s="8" t="s">
        <v>164</v>
      </c>
      <c r="BX20" s="8" t="s">
        <v>170</v>
      </c>
      <c r="BY20">
        <v>-0.05</v>
      </c>
      <c r="BZ20">
        <v>0.05</v>
      </c>
      <c r="CA20">
        <v>0</v>
      </c>
      <c r="CB20">
        <v>0</v>
      </c>
      <c r="CC20">
        <v>0</v>
      </c>
      <c r="CD20">
        <v>-0.05</v>
      </c>
      <c r="CE20">
        <v>2</v>
      </c>
      <c r="CH20" t="s">
        <v>176</v>
      </c>
      <c r="CI20" t="s">
        <v>163</v>
      </c>
      <c r="CJ20">
        <v>0.16</v>
      </c>
      <c r="CK20">
        <v>0.11</v>
      </c>
      <c r="CL20">
        <v>0.03</v>
      </c>
      <c r="CM20">
        <v>-0.02</v>
      </c>
      <c r="CN20">
        <v>0</v>
      </c>
      <c r="CO20">
        <v>0.15</v>
      </c>
    </row>
    <row r="21" spans="8:93" x14ac:dyDescent="0.2">
      <c r="H21" s="12"/>
      <c r="I21" t="s">
        <v>165</v>
      </c>
      <c r="J21">
        <f t="shared" ref="J21:K22" si="22">J20</f>
        <v>2</v>
      </c>
      <c r="K21">
        <f t="shared" si="22"/>
        <v>0.65</v>
      </c>
      <c r="L21">
        <v>135</v>
      </c>
      <c r="M21">
        <v>0</v>
      </c>
      <c r="N21">
        <v>0</v>
      </c>
      <c r="O21">
        <f>$BS$3</f>
        <v>91.25</v>
      </c>
      <c r="P21">
        <v>0</v>
      </c>
      <c r="Q21">
        <v>0.12</v>
      </c>
      <c r="R21">
        <v>0.64</v>
      </c>
      <c r="S21">
        <v>43</v>
      </c>
      <c r="T21">
        <f t="shared" si="0"/>
        <v>0</v>
      </c>
      <c r="U21">
        <f t="shared" si="1"/>
        <v>1</v>
      </c>
      <c r="V21">
        <f t="shared" si="2"/>
        <v>0.72</v>
      </c>
      <c r="W21">
        <f>$BS$10</f>
        <v>4.7000000000000002E-3</v>
      </c>
      <c r="X21">
        <f t="shared" si="3"/>
        <v>0</v>
      </c>
      <c r="Y21">
        <f>$BS$4</f>
        <v>0.24</v>
      </c>
      <c r="Z21">
        <f>$BS$6</f>
        <v>1.0999999999999999E-2</v>
      </c>
      <c r="AA21">
        <f>$BS$5</f>
        <v>0.21</v>
      </c>
      <c r="AB21">
        <f t="shared" si="4"/>
        <v>5.8999999999999999E-3</v>
      </c>
      <c r="AC21">
        <f>(M21/100)*(MIN(N21,100)/100)</f>
        <v>0</v>
      </c>
      <c r="AD21">
        <f t="shared" si="5"/>
        <v>0</v>
      </c>
      <c r="AE21">
        <f>J21 * K21 / 365</f>
        <v>3.5616438356164386E-3</v>
      </c>
      <c r="AF21">
        <f>P21 * 0.92</f>
        <v>0</v>
      </c>
      <c r="AG21">
        <v>57</v>
      </c>
      <c r="AH21">
        <f>S21 / AG21</f>
        <v>0.75438596491228072</v>
      </c>
      <c r="AI21">
        <v>0</v>
      </c>
      <c r="AJ21">
        <f t="shared" si="6"/>
        <v>0</v>
      </c>
      <c r="AK21">
        <f t="shared" si="7"/>
        <v>4.7868493150684936E-4</v>
      </c>
      <c r="AL21">
        <f>(AV21 / 6.25 ) - AK21</f>
        <v>1.5970144180934887E-2</v>
      </c>
      <c r="AM21">
        <f>IF($G$11="wet",$BU$18,$BU$19)</f>
        <v>6.0000000000000001E-3</v>
      </c>
      <c r="AN21">
        <f t="shared" si="8"/>
        <v>1.5714285714285714</v>
      </c>
      <c r="AO21">
        <f t="shared" si="9"/>
        <v>1.3</v>
      </c>
      <c r="AP21">
        <f t="shared" si="10"/>
        <v>1</v>
      </c>
      <c r="AQ21">
        <f>(0.795*R21)-0.0014</f>
        <v>0.50740000000000007</v>
      </c>
      <c r="AR21">
        <v>1.6</v>
      </c>
      <c r="AS21">
        <f t="shared" si="11"/>
        <v>0.99402397710499402</v>
      </c>
      <c r="AT21">
        <f>(104.7*AQ21+0.307*S21-15)*(S21^0.75)*10^-3</f>
        <v>0.86186034677094148</v>
      </c>
      <c r="AU21">
        <f t="shared" si="12"/>
        <v>0.85670984960634056</v>
      </c>
      <c r="AV21">
        <f>(AU21 * Q21) + (0.045 * AJ21)</f>
        <v>0.10280518195276087</v>
      </c>
      <c r="AW21">
        <f t="shared" si="13"/>
        <v>0.08</v>
      </c>
      <c r="AX21">
        <f>(AU21 * ((1 - R21) + (0.04 * AU21))) * ( 1 - AW21 )</f>
        <v>0.31075172719360067</v>
      </c>
      <c r="AY21">
        <f t="shared" si="14"/>
        <v>0.24</v>
      </c>
      <c r="AZ21">
        <f t="shared" si="15"/>
        <v>0.6784</v>
      </c>
      <c r="BA21">
        <f t="shared" si="20"/>
        <v>0</v>
      </c>
      <c r="BB21">
        <f t="shared" si="16"/>
        <v>2.3779816010934047E-4</v>
      </c>
      <c r="BC21">
        <f t="shared" si="17"/>
        <v>2.3779816010934047E-4</v>
      </c>
      <c r="BD21">
        <f t="shared" si="18"/>
        <v>2.9293760848469379</v>
      </c>
      <c r="BF21">
        <f>L21*AL21*O21</f>
        <v>196.73221362889163</v>
      </c>
      <c r="BW21" s="8" t="s">
        <v>165</v>
      </c>
      <c r="BX21" s="8" t="s">
        <v>170</v>
      </c>
      <c r="BY21">
        <v>-0.01</v>
      </c>
      <c r="BZ21">
        <v>0</v>
      </c>
      <c r="CA21">
        <v>0</v>
      </c>
      <c r="CB21">
        <v>0</v>
      </c>
      <c r="CC21">
        <v>0</v>
      </c>
      <c r="CD21">
        <v>-0.05</v>
      </c>
      <c r="CE21">
        <v>3</v>
      </c>
      <c r="CI21" t="s">
        <v>164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0.11</v>
      </c>
    </row>
    <row r="22" spans="8:93" x14ac:dyDescent="0.2">
      <c r="H22" s="13"/>
      <c r="I22" t="s">
        <v>166</v>
      </c>
      <c r="J22">
        <f t="shared" si="22"/>
        <v>2</v>
      </c>
      <c r="K22">
        <f t="shared" si="22"/>
        <v>0.65</v>
      </c>
      <c r="L22">
        <v>130</v>
      </c>
      <c r="M22">
        <v>0</v>
      </c>
      <c r="N22">
        <v>0</v>
      </c>
      <c r="O22">
        <f>$BS$3</f>
        <v>91.25</v>
      </c>
      <c r="P22">
        <v>0.02</v>
      </c>
      <c r="Q22">
        <v>0.18</v>
      </c>
      <c r="R22">
        <v>0.72</v>
      </c>
      <c r="S22">
        <v>45</v>
      </c>
      <c r="T22">
        <f t="shared" si="0"/>
        <v>0</v>
      </c>
      <c r="U22">
        <f t="shared" si="1"/>
        <v>1</v>
      </c>
      <c r="V22">
        <f t="shared" si="2"/>
        <v>0.72</v>
      </c>
      <c r="W22">
        <f>$BS$10</f>
        <v>4.7000000000000002E-3</v>
      </c>
      <c r="X22">
        <f t="shared" si="3"/>
        <v>0</v>
      </c>
      <c r="Y22">
        <f>$BS$4</f>
        <v>0.24</v>
      </c>
      <c r="Z22">
        <f>$BS$6</f>
        <v>1.0999999999999999E-2</v>
      </c>
      <c r="AA22">
        <f>$BS$5</f>
        <v>0.21</v>
      </c>
      <c r="AB22">
        <f t="shared" si="4"/>
        <v>5.8999999999999999E-3</v>
      </c>
      <c r="AC22">
        <f>(M22/100)*(MIN(N22,100)/100)</f>
        <v>0</v>
      </c>
      <c r="AD22">
        <f t="shared" si="5"/>
        <v>0</v>
      </c>
      <c r="AE22">
        <f>J22 * K22 / 365</f>
        <v>3.5616438356164386E-3</v>
      </c>
      <c r="AF22">
        <f>P22 * 0.92</f>
        <v>1.84E-2</v>
      </c>
      <c r="AG22">
        <v>57</v>
      </c>
      <c r="AH22">
        <f>S22 / AG22</f>
        <v>0.78947368421052633</v>
      </c>
      <c r="AI22">
        <v>0</v>
      </c>
      <c r="AJ22">
        <f t="shared" si="6"/>
        <v>0</v>
      </c>
      <c r="AK22">
        <f t="shared" si="7"/>
        <v>7.2777894310489225E-4</v>
      </c>
      <c r="AL22">
        <f>(AV22 / 6.25 ) - AK22</f>
        <v>2.8503402354687943E-2</v>
      </c>
      <c r="AM22">
        <f>IF($G$11="wet",$BU$18,$BU$19)</f>
        <v>6.0000000000000001E-3</v>
      </c>
      <c r="AN22">
        <f t="shared" si="8"/>
        <v>1.5714285714285714</v>
      </c>
      <c r="AO22">
        <f t="shared" si="9"/>
        <v>1.3</v>
      </c>
      <c r="AP22">
        <f t="shared" si="10"/>
        <v>1</v>
      </c>
      <c r="AQ22">
        <f>(0.795*R22)-0.0014</f>
        <v>0.57100000000000006</v>
      </c>
      <c r="AR22">
        <v>1.7</v>
      </c>
      <c r="AS22">
        <f t="shared" si="11"/>
        <v>0.99691128459176326</v>
      </c>
      <c r="AT22">
        <f>(104.7*AQ22+0.307*S22-15)*(S22^0.75)*10^-3</f>
        <v>1.0181162441707754</v>
      </c>
      <c r="AU22">
        <f t="shared" si="12"/>
        <v>1.014971572840029</v>
      </c>
      <c r="AV22">
        <f>(AU22 * Q22) + (0.045 * AJ22)</f>
        <v>0.18269488311120521</v>
      </c>
      <c r="AW22">
        <f t="shared" si="13"/>
        <v>0.08</v>
      </c>
      <c r="AX22">
        <f>(AU22 * ((1 - R22) + (0.04 * AU22))) * ( 1 - AW22 )</f>
        <v>0.29936683357077126</v>
      </c>
      <c r="AY22">
        <f t="shared" si="14"/>
        <v>0.24</v>
      </c>
      <c r="AZ22">
        <f t="shared" si="15"/>
        <v>0.6784</v>
      </c>
      <c r="BA22">
        <f t="shared" si="20"/>
        <v>0</v>
      </c>
      <c r="BB22">
        <f t="shared" si="16"/>
        <v>2.2908603876089584E-4</v>
      </c>
      <c r="BC22">
        <f t="shared" si="17"/>
        <v>2.2908603876089584E-4</v>
      </c>
      <c r="BD22">
        <f t="shared" si="18"/>
        <v>2.7175331348011267</v>
      </c>
      <c r="BF22">
        <f>L22*AL22*O22</f>
        <v>338.12161043248574</v>
      </c>
      <c r="BW22" s="8" t="s">
        <v>166</v>
      </c>
      <c r="BX22" s="8" t="s">
        <v>170</v>
      </c>
      <c r="BY22">
        <v>0.01</v>
      </c>
      <c r="BZ22">
        <v>-0.02</v>
      </c>
      <c r="CA22">
        <v>0</v>
      </c>
      <c r="CB22">
        <v>0</v>
      </c>
      <c r="CC22">
        <v>0</v>
      </c>
      <c r="CD22">
        <v>0.05</v>
      </c>
      <c r="CE22">
        <v>4</v>
      </c>
      <c r="CI22" t="s">
        <v>165</v>
      </c>
      <c r="CJ22">
        <v>-0.2</v>
      </c>
      <c r="CK22">
        <v>-0.1</v>
      </c>
      <c r="CL22">
        <v>0</v>
      </c>
      <c r="CM22">
        <v>0</v>
      </c>
      <c r="CN22">
        <v>0</v>
      </c>
      <c r="CO22">
        <v>0.13</v>
      </c>
    </row>
    <row r="23" spans="8:93" x14ac:dyDescent="0.2">
      <c r="H23" s="12" t="s">
        <v>170</v>
      </c>
      <c r="I23" t="s">
        <v>163</v>
      </c>
      <c r="J23">
        <v>2</v>
      </c>
      <c r="K23">
        <v>0.7</v>
      </c>
      <c r="L23">
        <v>200</v>
      </c>
      <c r="M23">
        <v>0</v>
      </c>
      <c r="N23">
        <v>0</v>
      </c>
      <c r="O23">
        <f>$BS$3</f>
        <v>91.25</v>
      </c>
      <c r="P23">
        <v>0.05</v>
      </c>
      <c r="Q23">
        <v>0.2</v>
      </c>
      <c r="R23">
        <v>0.75</v>
      </c>
      <c r="S23">
        <v>56</v>
      </c>
      <c r="T23">
        <f t="shared" si="0"/>
        <v>0</v>
      </c>
      <c r="U23">
        <f t="shared" si="1"/>
        <v>1</v>
      </c>
      <c r="V23">
        <f t="shared" si="2"/>
        <v>0.72</v>
      </c>
      <c r="W23">
        <f>$BS$10</f>
        <v>4.7000000000000002E-3</v>
      </c>
      <c r="X23">
        <f t="shared" si="3"/>
        <v>0</v>
      </c>
      <c r="Y23">
        <f>$BS$4</f>
        <v>0.24</v>
      </c>
      <c r="Z23">
        <f>$BS$6</f>
        <v>1.0999999999999999E-2</v>
      </c>
      <c r="AA23">
        <f>$BS$5</f>
        <v>0.21</v>
      </c>
      <c r="AB23">
        <f t="shared" si="4"/>
        <v>5.8999999999999999E-3</v>
      </c>
      <c r="AC23">
        <f>(M23/100)*(MIN(N23,100)/100)</f>
        <v>0</v>
      </c>
      <c r="AD23">
        <f t="shared" si="5"/>
        <v>0</v>
      </c>
      <c r="AE23">
        <f>J23 * K23 / 365</f>
        <v>3.8356164383561643E-3</v>
      </c>
      <c r="AF23">
        <f>P23 * 0.92</f>
        <v>4.6000000000000006E-2</v>
      </c>
      <c r="AG23">
        <v>57</v>
      </c>
      <c r="AH23">
        <f>S23 / AG23</f>
        <v>0.98245614035087714</v>
      </c>
      <c r="AI23">
        <v>0</v>
      </c>
      <c r="AJ23">
        <f t="shared" si="6"/>
        <v>0</v>
      </c>
      <c r="AK23">
        <f t="shared" si="7"/>
        <v>1.0761713957214488E-3</v>
      </c>
      <c r="AL23">
        <f>(AV23 / 6.25 ) - AK23</f>
        <v>4.1158340075111606E-2</v>
      </c>
      <c r="AM23">
        <f>IF($G$11="wet",$BU$18,$BU$19)</f>
        <v>6.0000000000000001E-3</v>
      </c>
      <c r="AN23">
        <f t="shared" si="8"/>
        <v>1.5714285714285714</v>
      </c>
      <c r="AO23">
        <f t="shared" si="9"/>
        <v>1.3</v>
      </c>
      <c r="AP23">
        <f t="shared" si="10"/>
        <v>1</v>
      </c>
      <c r="AQ23">
        <f>(0.795*R23)-0.0014</f>
        <v>0.5948500000000001</v>
      </c>
      <c r="AR23">
        <v>2.9</v>
      </c>
      <c r="AS23">
        <f t="shared" si="11"/>
        <v>0.9999999504359468</v>
      </c>
      <c r="AT23">
        <f>(104.7*AQ23+0.307*S23-15)*(S23^0.75)*10^-3</f>
        <v>1.3198285488795851</v>
      </c>
      <c r="AU23">
        <f t="shared" si="12"/>
        <v>1.3198284834635328</v>
      </c>
      <c r="AV23">
        <f>(AU23 * Q23) + (0.045 * AJ23)</f>
        <v>0.26396569669270659</v>
      </c>
      <c r="AW23">
        <f t="shared" si="13"/>
        <v>0.08</v>
      </c>
      <c r="AX23">
        <f>(AU23 * ((1 - R23) + (0.04 * AU23))) * ( 1 - AW23 )</f>
        <v>0.3676642091046412</v>
      </c>
      <c r="AY23">
        <f t="shared" si="14"/>
        <v>0.24</v>
      </c>
      <c r="AZ23">
        <f t="shared" si="15"/>
        <v>0.6784</v>
      </c>
      <c r="BA23">
        <f t="shared" si="20"/>
        <v>0</v>
      </c>
      <c r="BB23">
        <f t="shared" si="16"/>
        <v>2.8134959458703197E-4</v>
      </c>
      <c r="BC23">
        <f t="shared" si="17"/>
        <v>2.8134959458703197E-4</v>
      </c>
      <c r="BD23">
        <f t="shared" si="18"/>
        <v>5.1346301012133333</v>
      </c>
      <c r="BF23">
        <f>L23*AL23*O23</f>
        <v>751.13970637078694</v>
      </c>
      <c r="BW23" s="8" t="s">
        <v>163</v>
      </c>
      <c r="BX23" s="8" t="s">
        <v>162</v>
      </c>
      <c r="BY23">
        <v>7.0000000000000007E-2</v>
      </c>
      <c r="BZ23">
        <v>-0.02</v>
      </c>
      <c r="CA23">
        <v>0.11</v>
      </c>
      <c r="CB23">
        <v>0.16</v>
      </c>
      <c r="CC23">
        <v>0.11</v>
      </c>
      <c r="CD23">
        <v>0.11</v>
      </c>
      <c r="CE23">
        <v>1</v>
      </c>
      <c r="CI23" t="s">
        <v>166</v>
      </c>
      <c r="CJ23">
        <v>0</v>
      </c>
      <c r="CK23">
        <v>-0.1</v>
      </c>
      <c r="CL23">
        <v>0.5</v>
      </c>
      <c r="CM23">
        <v>0.02</v>
      </c>
      <c r="CN23">
        <v>0</v>
      </c>
      <c r="CO23">
        <v>7.0000000000000007E-2</v>
      </c>
    </row>
    <row r="24" spans="8:93" x14ac:dyDescent="0.2">
      <c r="H24" s="13"/>
      <c r="I24" t="s">
        <v>164</v>
      </c>
      <c r="J24">
        <f>J23</f>
        <v>2</v>
      </c>
      <c r="K24">
        <f>K23</f>
        <v>0.7</v>
      </c>
      <c r="L24">
        <v>210</v>
      </c>
      <c r="M24">
        <v>0</v>
      </c>
      <c r="N24">
        <v>0</v>
      </c>
      <c r="O24">
        <f>$BS$3</f>
        <v>91.25</v>
      </c>
      <c r="P24">
        <v>-0.05</v>
      </c>
      <c r="Q24">
        <v>0.1</v>
      </c>
      <c r="R24">
        <v>0.61</v>
      </c>
      <c r="S24">
        <v>51</v>
      </c>
      <c r="T24">
        <f t="shared" si="0"/>
        <v>0</v>
      </c>
      <c r="U24">
        <f t="shared" si="1"/>
        <v>1</v>
      </c>
      <c r="V24">
        <f t="shared" si="2"/>
        <v>0.72</v>
      </c>
      <c r="W24">
        <f>$BS$10</f>
        <v>4.7000000000000002E-3</v>
      </c>
      <c r="X24">
        <f t="shared" si="3"/>
        <v>0</v>
      </c>
      <c r="Y24">
        <f>$BS$4</f>
        <v>0.24</v>
      </c>
      <c r="Z24">
        <f>$BS$6</f>
        <v>1.0999999999999999E-2</v>
      </c>
      <c r="AA24">
        <f>$BS$5</f>
        <v>0.21</v>
      </c>
      <c r="AB24">
        <f t="shared" si="4"/>
        <v>5.8999999999999999E-3</v>
      </c>
      <c r="AC24">
        <f>(M24/100)*(MIN(N24,100)/100)</f>
        <v>0</v>
      </c>
      <c r="AD24">
        <f t="shared" si="5"/>
        <v>0</v>
      </c>
      <c r="AE24">
        <f>J24 * K24 / 365</f>
        <v>3.8356164383561643E-3</v>
      </c>
      <c r="AF24">
        <f>P24 * 0.92</f>
        <v>-4.6000000000000006E-2</v>
      </c>
      <c r="AG24">
        <v>57</v>
      </c>
      <c r="AH24">
        <f>S24 / AG24</f>
        <v>0.89473684210526316</v>
      </c>
      <c r="AI24">
        <v>0</v>
      </c>
      <c r="AJ24">
        <f t="shared" si="6"/>
        <v>0</v>
      </c>
      <c r="AK24">
        <f t="shared" si="7"/>
        <v>-6.7008407966660379E-5</v>
      </c>
      <c r="AL24">
        <f>(AV24 / 6.25 ) - AK24</f>
        <v>1.5726717450560028E-2</v>
      </c>
      <c r="AM24">
        <f>IF($G$11="wet",$BU$18,$BU$19)</f>
        <v>6.0000000000000001E-3</v>
      </c>
      <c r="AN24">
        <f t="shared" si="8"/>
        <v>1.5714285714285714</v>
      </c>
      <c r="AO24">
        <f t="shared" si="9"/>
        <v>1.3</v>
      </c>
      <c r="AP24">
        <f t="shared" si="10"/>
        <v>1</v>
      </c>
      <c r="AQ24">
        <f>(0.795*R24)-0.0014</f>
        <v>0.48354999999999998</v>
      </c>
      <c r="AR24">
        <v>2.5</v>
      </c>
      <c r="AS24">
        <f t="shared" si="11"/>
        <v>0.99999627334682795</v>
      </c>
      <c r="AT24">
        <f>(104.7*AQ24+0.307*S24-15)*(S24^0.75)*10^-3</f>
        <v>0.97873546256970145</v>
      </c>
      <c r="AU24">
        <f t="shared" si="12"/>
        <v>0.97873181516208529</v>
      </c>
      <c r="AV24">
        <f>(AU24 * Q24) + (0.045 * AJ24)</f>
        <v>9.7873181516208538E-2</v>
      </c>
      <c r="AW24">
        <f t="shared" si="13"/>
        <v>0.08</v>
      </c>
      <c r="AX24">
        <f>(AU24 * ((1 - R24) + (0.04 * AU24))) * ( 1 - AW24 )</f>
        <v>0.38642028282934154</v>
      </c>
      <c r="AY24">
        <f t="shared" si="14"/>
        <v>0.24</v>
      </c>
      <c r="AZ24">
        <f t="shared" si="15"/>
        <v>0.6784</v>
      </c>
      <c r="BA24">
        <f t="shared" si="20"/>
        <v>0</v>
      </c>
      <c r="BB24">
        <f t="shared" si="16"/>
        <v>2.9570240241496779E-4</v>
      </c>
      <c r="BC24">
        <f t="shared" si="17"/>
        <v>2.9570240241496779E-4</v>
      </c>
      <c r="BD24">
        <f t="shared" si="18"/>
        <v>5.6663972862768199</v>
      </c>
      <c r="BF24">
        <f>L24*AL24*O24</f>
        <v>301.36322314635652</v>
      </c>
      <c r="BW24" s="8" t="s">
        <v>164</v>
      </c>
      <c r="BX24" s="8" t="s">
        <v>162</v>
      </c>
      <c r="BY24">
        <v>0</v>
      </c>
      <c r="BZ24">
        <v>0.03</v>
      </c>
      <c r="CA24">
        <v>-0.1</v>
      </c>
      <c r="CB24">
        <v>0</v>
      </c>
      <c r="CC24">
        <v>-0.05</v>
      </c>
      <c r="CD24">
        <v>-0.11</v>
      </c>
      <c r="CE24">
        <v>2</v>
      </c>
      <c r="CH24" t="s">
        <v>177</v>
      </c>
      <c r="CI24" t="s">
        <v>163</v>
      </c>
      <c r="CJ24">
        <v>0.11</v>
      </c>
      <c r="CK24">
        <v>0.11</v>
      </c>
      <c r="CL24">
        <v>0.16</v>
      </c>
      <c r="CM24">
        <v>0.11</v>
      </c>
      <c r="CN24">
        <v>0</v>
      </c>
      <c r="CO24">
        <v>0.15</v>
      </c>
    </row>
    <row r="25" spans="8:93" x14ac:dyDescent="0.2">
      <c r="H25" s="12"/>
      <c r="I25" t="s">
        <v>165</v>
      </c>
      <c r="J25">
        <f t="shared" ref="J25:K26" si="23">J24</f>
        <v>2</v>
      </c>
      <c r="K25">
        <f t="shared" si="23"/>
        <v>0.7</v>
      </c>
      <c r="L25">
        <v>190</v>
      </c>
      <c r="M25">
        <v>0</v>
      </c>
      <c r="N25">
        <v>0</v>
      </c>
      <c r="O25">
        <f>$BS$3</f>
        <v>91.25</v>
      </c>
      <c r="P25">
        <v>-0.01</v>
      </c>
      <c r="Q25">
        <v>0.12</v>
      </c>
      <c r="R25">
        <v>0.64</v>
      </c>
      <c r="S25">
        <v>50</v>
      </c>
      <c r="T25">
        <f t="shared" si="0"/>
        <v>0</v>
      </c>
      <c r="U25">
        <f t="shared" si="1"/>
        <v>1</v>
      </c>
      <c r="V25">
        <f t="shared" si="2"/>
        <v>0.72</v>
      </c>
      <c r="W25">
        <f>$BS$10</f>
        <v>4.7000000000000002E-3</v>
      </c>
      <c r="X25">
        <f t="shared" si="3"/>
        <v>0</v>
      </c>
      <c r="Y25">
        <f>$BS$4</f>
        <v>0.24</v>
      </c>
      <c r="Z25">
        <f>$BS$6</f>
        <v>1.0999999999999999E-2</v>
      </c>
      <c r="AA25">
        <f>$BS$5</f>
        <v>0.21</v>
      </c>
      <c r="AB25">
        <f t="shared" si="4"/>
        <v>5.8999999999999999E-3</v>
      </c>
      <c r="AC25">
        <f>(M25/100)*(MIN(N25,100)/100)</f>
        <v>0</v>
      </c>
      <c r="AD25">
        <f t="shared" si="5"/>
        <v>0</v>
      </c>
      <c r="AE25">
        <f>J25 * K25 / 365</f>
        <v>3.8356164383561643E-3</v>
      </c>
      <c r="AF25">
        <f>P25 * 0.92</f>
        <v>-9.1999999999999998E-3</v>
      </c>
      <c r="AG25">
        <v>57</v>
      </c>
      <c r="AH25">
        <f>S25 / AG25</f>
        <v>0.8771929824561403</v>
      </c>
      <c r="AI25">
        <v>0</v>
      </c>
      <c r="AJ25">
        <f t="shared" si="6"/>
        <v>0</v>
      </c>
      <c r="AK25">
        <f t="shared" si="7"/>
        <v>3.9804023233659479E-4</v>
      </c>
      <c r="AL25">
        <f>(AV25 / 6.25 ) - AK25</f>
        <v>1.8791943153172598E-2</v>
      </c>
      <c r="AM25">
        <f>IF($G$11="wet",$BU$18,$BU$19)</f>
        <v>6.0000000000000001E-3</v>
      </c>
      <c r="AN25">
        <f t="shared" si="8"/>
        <v>1.5714285714285714</v>
      </c>
      <c r="AO25">
        <f t="shared" si="9"/>
        <v>1.3</v>
      </c>
      <c r="AP25">
        <f t="shared" si="10"/>
        <v>1</v>
      </c>
      <c r="AQ25">
        <f>(0.795*R25)-0.0014</f>
        <v>0.50740000000000007</v>
      </c>
      <c r="AR25">
        <v>1.6</v>
      </c>
      <c r="AS25">
        <f t="shared" si="11"/>
        <v>0.99402397710499402</v>
      </c>
      <c r="AT25">
        <f>(104.7*AQ25+0.307*S25-15)*(S25^0.75)*10^-3</f>
        <v>1.0054871153505722</v>
      </c>
      <c r="AU25">
        <f t="shared" si="12"/>
        <v>0.99947830132860371</v>
      </c>
      <c r="AV25">
        <f>(AU25 * Q25) + (0.045 * AJ25)</f>
        <v>0.11993739615943244</v>
      </c>
      <c r="AW25">
        <f t="shared" si="13"/>
        <v>0.08</v>
      </c>
      <c r="AX25">
        <f>(AU25 * ((1 - R25) + (0.04 * AU25))) * ( 1 - AW25 )</f>
        <v>0.36778882639365651</v>
      </c>
      <c r="AY25">
        <f t="shared" si="14"/>
        <v>0.24</v>
      </c>
      <c r="AZ25">
        <f t="shared" si="15"/>
        <v>0.6784</v>
      </c>
      <c r="BA25">
        <f t="shared" si="20"/>
        <v>0</v>
      </c>
      <c r="BB25">
        <f t="shared" si="16"/>
        <v>2.8144495612311498E-4</v>
      </c>
      <c r="BC25">
        <f t="shared" si="17"/>
        <v>2.8144495612311498E-4</v>
      </c>
      <c r="BD25">
        <f t="shared" si="18"/>
        <v>4.8795519267845062</v>
      </c>
      <c r="BF25">
        <f>L25*AL25*O25</f>
        <v>325.80531441812991</v>
      </c>
      <c r="BR25" t="s">
        <v>211</v>
      </c>
      <c r="BW25" s="8" t="s">
        <v>165</v>
      </c>
      <c r="BX25" s="8" t="s">
        <v>162</v>
      </c>
      <c r="BY25">
        <v>-7.0000000000000007E-2</v>
      </c>
      <c r="BZ25">
        <v>0.02</v>
      </c>
      <c r="CA25">
        <v>0</v>
      </c>
      <c r="CB25">
        <v>-0.2</v>
      </c>
      <c r="CC25">
        <v>0</v>
      </c>
      <c r="CD25">
        <v>0</v>
      </c>
      <c r="CE25">
        <v>3</v>
      </c>
      <c r="CI25" t="s">
        <v>164</v>
      </c>
      <c r="CJ25">
        <v>-0.05</v>
      </c>
      <c r="CK25">
        <v>-0.05</v>
      </c>
      <c r="CL25">
        <v>-0.05</v>
      </c>
      <c r="CM25">
        <v>-0.05</v>
      </c>
      <c r="CN25">
        <v>0</v>
      </c>
      <c r="CO25">
        <v>7.0000000000000007E-2</v>
      </c>
    </row>
    <row r="26" spans="8:93" x14ac:dyDescent="0.2">
      <c r="H26" s="13"/>
      <c r="I26" t="s">
        <v>166</v>
      </c>
      <c r="J26">
        <f t="shared" si="23"/>
        <v>2</v>
      </c>
      <c r="K26">
        <f t="shared" si="23"/>
        <v>0.7</v>
      </c>
      <c r="L26">
        <v>180</v>
      </c>
      <c r="M26">
        <v>0</v>
      </c>
      <c r="N26">
        <v>0</v>
      </c>
      <c r="O26">
        <f>$BS$3</f>
        <v>91.25</v>
      </c>
      <c r="P26">
        <v>0.01</v>
      </c>
      <c r="Q26">
        <v>0.18</v>
      </c>
      <c r="R26">
        <v>0.72</v>
      </c>
      <c r="S26">
        <v>51</v>
      </c>
      <c r="T26">
        <f t="shared" si="0"/>
        <v>0</v>
      </c>
      <c r="U26">
        <f t="shared" si="1"/>
        <v>1</v>
      </c>
      <c r="V26">
        <f t="shared" si="2"/>
        <v>0.72</v>
      </c>
      <c r="W26">
        <f>$BS$10</f>
        <v>4.7000000000000002E-3</v>
      </c>
      <c r="X26">
        <f t="shared" si="3"/>
        <v>0</v>
      </c>
      <c r="Y26">
        <f>$BS$4</f>
        <v>0.24</v>
      </c>
      <c r="Z26">
        <f>$BS$6</f>
        <v>1.0999999999999999E-2</v>
      </c>
      <c r="AA26">
        <f>$BS$5</f>
        <v>0.21</v>
      </c>
      <c r="AB26">
        <f t="shared" si="4"/>
        <v>5.8999999999999999E-3</v>
      </c>
      <c r="AC26">
        <f>(M26/100)*(MIN(N26,100)/100)</f>
        <v>0</v>
      </c>
      <c r="AD26">
        <f t="shared" si="5"/>
        <v>0</v>
      </c>
      <c r="AE26">
        <f>J26 * K26 / 365</f>
        <v>3.8356164383561643E-3</v>
      </c>
      <c r="AF26">
        <f>P26 * 0.92</f>
        <v>9.1999999999999998E-3</v>
      </c>
      <c r="AG26">
        <v>57</v>
      </c>
      <c r="AH26">
        <f>S26 / AG26</f>
        <v>0.89473684210526316</v>
      </c>
      <c r="AI26">
        <v>0</v>
      </c>
      <c r="AJ26">
        <f t="shared" si="6"/>
        <v>0</v>
      </c>
      <c r="AK26">
        <f t="shared" si="7"/>
        <v>6.3181847062017697E-4</v>
      </c>
      <c r="AL26">
        <f>(AV26 / 6.25 ) - AK26</f>
        <v>3.2485572667811859E-2</v>
      </c>
      <c r="AM26">
        <f>IF($G$11="wet",$BU$18,$BU$19)</f>
        <v>6.0000000000000001E-3</v>
      </c>
      <c r="AN26">
        <f t="shared" si="8"/>
        <v>1.5714285714285714</v>
      </c>
      <c r="AO26">
        <f t="shared" si="9"/>
        <v>1.3</v>
      </c>
      <c r="AP26">
        <f t="shared" si="10"/>
        <v>1</v>
      </c>
      <c r="AQ26">
        <f>(0.795*R26)-0.0014</f>
        <v>0.57100000000000006</v>
      </c>
      <c r="AR26">
        <v>1.7</v>
      </c>
      <c r="AS26">
        <f t="shared" si="11"/>
        <v>0.99691128459176326</v>
      </c>
      <c r="AT26">
        <f>(104.7*AQ26+0.307*S26-15)*(S26^0.75)*10^-3</f>
        <v>1.1534721617679149</v>
      </c>
      <c r="AU26">
        <f t="shared" si="12"/>
        <v>1.1499094145288902</v>
      </c>
      <c r="AV26">
        <f>(AU26 * Q26) + (0.045 * AJ26)</f>
        <v>0.20698369461520022</v>
      </c>
      <c r="AW26">
        <f t="shared" si="13"/>
        <v>0.08</v>
      </c>
      <c r="AX26">
        <f>(AU26 * ((1 - R26) + (0.04 * AU26))) * ( 1 - AW26 )</f>
        <v>0.34487699833033825</v>
      </c>
      <c r="AY26">
        <f t="shared" si="14"/>
        <v>0.24</v>
      </c>
      <c r="AZ26">
        <f t="shared" si="15"/>
        <v>0.6784</v>
      </c>
      <c r="BA26">
        <f t="shared" si="20"/>
        <v>0</v>
      </c>
      <c r="BB26">
        <f t="shared" si="16"/>
        <v>2.6391201879271607E-4</v>
      </c>
      <c r="BC26">
        <f t="shared" si="17"/>
        <v>2.6391201879271607E-4</v>
      </c>
      <c r="BD26">
        <f t="shared" si="18"/>
        <v>4.3347549086703614</v>
      </c>
      <c r="BF26">
        <f>L26*AL26*O26</f>
        <v>533.57553106880982</v>
      </c>
      <c r="BR26" s="14" t="s">
        <v>203</v>
      </c>
      <c r="BS26" s="14" t="s">
        <v>204</v>
      </c>
      <c r="BT26" s="14">
        <v>0.75</v>
      </c>
      <c r="BW26" s="8" t="s">
        <v>166</v>
      </c>
      <c r="BX26" s="8" t="s">
        <v>162</v>
      </c>
      <c r="BY26">
        <v>0</v>
      </c>
      <c r="BZ26">
        <v>-0.03</v>
      </c>
      <c r="CA26">
        <v>0</v>
      </c>
      <c r="CB26">
        <v>0</v>
      </c>
      <c r="CC26">
        <v>-0.05</v>
      </c>
      <c r="CD26">
        <v>0</v>
      </c>
      <c r="CE26">
        <v>4</v>
      </c>
      <c r="CI26" t="s">
        <v>165</v>
      </c>
      <c r="CJ26">
        <v>0</v>
      </c>
      <c r="CK26">
        <v>-0.03</v>
      </c>
      <c r="CL26">
        <v>-0.02</v>
      </c>
      <c r="CM26">
        <v>-0.02</v>
      </c>
      <c r="CN26">
        <v>0</v>
      </c>
      <c r="CO26">
        <v>0.05</v>
      </c>
    </row>
    <row r="27" spans="8:93" x14ac:dyDescent="0.2">
      <c r="H27" s="12" t="s">
        <v>162</v>
      </c>
      <c r="I27" t="s">
        <v>163</v>
      </c>
      <c r="J27">
        <v>1</v>
      </c>
      <c r="K27">
        <v>0.65</v>
      </c>
      <c r="L27">
        <v>50</v>
      </c>
      <c r="M27">
        <v>0</v>
      </c>
      <c r="N27">
        <v>0</v>
      </c>
      <c r="O27">
        <f>$BS$3</f>
        <v>91.25</v>
      </c>
      <c r="P27">
        <v>7.0000000000000007E-2</v>
      </c>
      <c r="Q27">
        <v>0.2</v>
      </c>
      <c r="R27">
        <v>0.75</v>
      </c>
      <c r="S27">
        <v>75</v>
      </c>
      <c r="T27">
        <f t="shared" si="0"/>
        <v>0</v>
      </c>
      <c r="U27">
        <f t="shared" si="1"/>
        <v>1</v>
      </c>
      <c r="V27">
        <f t="shared" si="2"/>
        <v>0.72</v>
      </c>
      <c r="W27">
        <f>$BS$10</f>
        <v>4.7000000000000002E-3</v>
      </c>
      <c r="X27">
        <f t="shared" si="3"/>
        <v>0</v>
      </c>
      <c r="Y27">
        <f>$BS$4</f>
        <v>0.24</v>
      </c>
      <c r="Z27">
        <f>$BS$6</f>
        <v>1.0999999999999999E-2</v>
      </c>
      <c r="AA27">
        <f>$BS$5</f>
        <v>0.21</v>
      </c>
      <c r="AB27">
        <f t="shared" si="4"/>
        <v>5.8999999999999999E-3</v>
      </c>
      <c r="AC27">
        <f>(M27/100)*(MIN(N27,100)/100)</f>
        <v>0</v>
      </c>
      <c r="AD27">
        <f t="shared" si="5"/>
        <v>0</v>
      </c>
      <c r="AE27">
        <f>J27 * K27 / 365</f>
        <v>1.7808219178082193E-3</v>
      </c>
      <c r="AF27">
        <f>P27 * 0.92</f>
        <v>6.4400000000000013E-2</v>
      </c>
      <c r="AG27">
        <v>78</v>
      </c>
      <c r="AH27">
        <f>S27 / AG27</f>
        <v>0.96153846153846156</v>
      </c>
      <c r="AI27">
        <v>0</v>
      </c>
      <c r="AJ27">
        <f t="shared" si="6"/>
        <v>0</v>
      </c>
      <c r="AK27">
        <f t="shared" si="7"/>
        <v>1.0297560621526452E-3</v>
      </c>
      <c r="AL27">
        <f>(AV27 / 6.25 ) - AK27</f>
        <v>5.6307516155572376E-2</v>
      </c>
      <c r="AM27">
        <f>IF($G$11="wet",$BU$18,$BU$19)</f>
        <v>6.0000000000000001E-3</v>
      </c>
      <c r="AN27">
        <f t="shared" si="8"/>
        <v>1.5714285714285714</v>
      </c>
      <c r="AO27">
        <f t="shared" si="9"/>
        <v>1.3</v>
      </c>
      <c r="AP27">
        <f t="shared" si="10"/>
        <v>1</v>
      </c>
      <c r="AQ27">
        <f>(0.795*R27)-0.0014</f>
        <v>0.5948500000000001</v>
      </c>
      <c r="AR27">
        <v>2.9</v>
      </c>
      <c r="AS27">
        <f t="shared" si="11"/>
        <v>0.9999999504359468</v>
      </c>
      <c r="AT27">
        <f>(104.7*AQ27+0.307*S27-15)*(S27^0.75)*10^-3</f>
        <v>1.7917898456122741</v>
      </c>
      <c r="AU27">
        <f t="shared" si="12"/>
        <v>1.7917897568039067</v>
      </c>
      <c r="AV27">
        <f>(AU27 * Q27) + (0.045 * AJ27)</f>
        <v>0.35835795136078136</v>
      </c>
      <c r="AW27">
        <f t="shared" si="13"/>
        <v>0.08</v>
      </c>
      <c r="AX27">
        <f>(AU27 * ((1 - R27) + (0.04 * AU27))) * ( 1 - AW27 )</f>
        <v>0.53025843166411502</v>
      </c>
      <c r="AY27">
        <f t="shared" si="14"/>
        <v>0.24</v>
      </c>
      <c r="AZ27">
        <f t="shared" si="15"/>
        <v>0.6784</v>
      </c>
      <c r="BA27">
        <f t="shared" si="20"/>
        <v>0</v>
      </c>
      <c r="BB27">
        <f t="shared" si="16"/>
        <v>4.057724170061754E-4</v>
      </c>
      <c r="BC27">
        <f t="shared" si="17"/>
        <v>4.057724170061754E-4</v>
      </c>
      <c r="BD27">
        <f t="shared" si="18"/>
        <v>1.8513366525906754</v>
      </c>
      <c r="BF27">
        <f>L27*AL27*O27</f>
        <v>256.90304245979894</v>
      </c>
      <c r="BR27" s="14" t="s">
        <v>194</v>
      </c>
      <c r="BS27" s="14" t="s">
        <v>205</v>
      </c>
      <c r="BT27" s="14">
        <v>0.45</v>
      </c>
      <c r="BW27" s="8" t="s">
        <v>163</v>
      </c>
      <c r="BX27" s="8" t="s">
        <v>167</v>
      </c>
      <c r="BY27">
        <v>0.08</v>
      </c>
      <c r="BZ27">
        <v>0</v>
      </c>
      <c r="CA27">
        <v>0.11</v>
      </c>
      <c r="CB27">
        <v>0.11</v>
      </c>
      <c r="CC27">
        <v>0.11</v>
      </c>
      <c r="CD27">
        <v>0.13</v>
      </c>
      <c r="CE27">
        <v>1</v>
      </c>
      <c r="CI27" t="s">
        <v>166</v>
      </c>
      <c r="CJ27">
        <v>-0.05</v>
      </c>
      <c r="CK27">
        <v>-0.02</v>
      </c>
      <c r="CL27">
        <v>-0.03</v>
      </c>
      <c r="CM27">
        <v>-0.03</v>
      </c>
      <c r="CN27">
        <v>0</v>
      </c>
      <c r="CO27">
        <v>0.02</v>
      </c>
    </row>
    <row r="28" spans="8:93" x14ac:dyDescent="0.2">
      <c r="H28" s="13"/>
      <c r="I28" t="s">
        <v>164</v>
      </c>
      <c r="J28">
        <f>J27</f>
        <v>1</v>
      </c>
      <c r="K28">
        <f>K27</f>
        <v>0.65</v>
      </c>
      <c r="L28">
        <v>55</v>
      </c>
      <c r="M28">
        <v>0</v>
      </c>
      <c r="N28">
        <v>0</v>
      </c>
      <c r="O28">
        <f>$BS$3</f>
        <v>91.25</v>
      </c>
      <c r="P28">
        <v>0</v>
      </c>
      <c r="Q28">
        <v>0.1</v>
      </c>
      <c r="R28">
        <v>0.61</v>
      </c>
      <c r="S28">
        <v>75</v>
      </c>
      <c r="T28">
        <f t="shared" si="0"/>
        <v>0</v>
      </c>
      <c r="U28">
        <f t="shared" si="1"/>
        <v>1</v>
      </c>
      <c r="V28">
        <f t="shared" si="2"/>
        <v>0.72</v>
      </c>
      <c r="W28">
        <f>$BS$10</f>
        <v>4.7000000000000002E-3</v>
      </c>
      <c r="X28">
        <f t="shared" si="3"/>
        <v>0</v>
      </c>
      <c r="Y28">
        <f>$BS$4</f>
        <v>0.24</v>
      </c>
      <c r="Z28">
        <f>$BS$6</f>
        <v>1.0999999999999999E-2</v>
      </c>
      <c r="AA28">
        <f>$BS$5</f>
        <v>0.21</v>
      </c>
      <c r="AB28">
        <f t="shared" si="4"/>
        <v>5.8999999999999999E-3</v>
      </c>
      <c r="AC28">
        <f>(M28/100)*(MIN(N28,100)/100)</f>
        <v>0</v>
      </c>
      <c r="AD28">
        <f t="shared" si="5"/>
        <v>0</v>
      </c>
      <c r="AE28">
        <f>J28 * K28 / 365</f>
        <v>1.7808219178082193E-3</v>
      </c>
      <c r="AF28">
        <f>P28 * 0.92</f>
        <v>0</v>
      </c>
      <c r="AG28">
        <v>78</v>
      </c>
      <c r="AH28">
        <f>S28 / AG28</f>
        <v>0.96153846153846156</v>
      </c>
      <c r="AI28">
        <v>0</v>
      </c>
      <c r="AJ28">
        <f t="shared" si="6"/>
        <v>0</v>
      </c>
      <c r="AK28">
        <f t="shared" si="7"/>
        <v>2.3934246575342468E-4</v>
      </c>
      <c r="AL28">
        <f>(AV28 / 6.25 ) - AK28</f>
        <v>2.3677410059052224E-2</v>
      </c>
      <c r="AM28">
        <f>IF($G$11="wet",$BU$18,$BU$19)</f>
        <v>6.0000000000000001E-3</v>
      </c>
      <c r="AN28">
        <f t="shared" si="8"/>
        <v>1.5714285714285714</v>
      </c>
      <c r="AO28">
        <f t="shared" si="9"/>
        <v>1.3</v>
      </c>
      <c r="AP28">
        <f t="shared" si="10"/>
        <v>1</v>
      </c>
      <c r="AQ28">
        <f>(0.795*R28)-0.0014</f>
        <v>0.48354999999999998</v>
      </c>
      <c r="AR28">
        <v>2.5</v>
      </c>
      <c r="AS28">
        <f t="shared" si="11"/>
        <v>0.99999627334682795</v>
      </c>
      <c r="AT28">
        <f>(104.7*AQ28+0.307*S28-15)*(S28^0.75)*10^-3</f>
        <v>1.4948026034112167</v>
      </c>
      <c r="AU28">
        <f t="shared" si="12"/>
        <v>1.494797032800353</v>
      </c>
      <c r="AV28">
        <f>(AU28 * Q28) + (0.045 * AJ28)</f>
        <v>0.14947970328003532</v>
      </c>
      <c r="AW28">
        <f t="shared" si="13"/>
        <v>0.08</v>
      </c>
      <c r="AX28">
        <f>(AU28 * ((1 - R28) + (0.04 * AU28))) * ( 1 - AW28 )</f>
        <v>0.61855976399785639</v>
      </c>
      <c r="AY28">
        <f t="shared" si="14"/>
        <v>0.24</v>
      </c>
      <c r="AZ28">
        <f t="shared" si="15"/>
        <v>0.6784</v>
      </c>
      <c r="BA28">
        <f t="shared" si="20"/>
        <v>0</v>
      </c>
      <c r="BB28">
        <f t="shared" si="16"/>
        <v>4.7334370471485243E-4</v>
      </c>
      <c r="BC28">
        <f t="shared" si="17"/>
        <v>4.7334370471485243E-4</v>
      </c>
      <c r="BD28">
        <f t="shared" si="18"/>
        <v>2.3755937180376656</v>
      </c>
      <c r="BF28">
        <f>L28*AL28*O28</f>
        <v>118.83100173386836</v>
      </c>
      <c r="BR28" s="14" t="s">
        <v>195</v>
      </c>
      <c r="BS28" s="14" t="s">
        <v>206</v>
      </c>
      <c r="BT28" s="14">
        <v>0.09</v>
      </c>
      <c r="BW28" s="8" t="s">
        <v>164</v>
      </c>
      <c r="BX28" s="8" t="s">
        <v>167</v>
      </c>
      <c r="BY28">
        <v>-0.08</v>
      </c>
      <c r="BZ28">
        <v>0.05</v>
      </c>
      <c r="CA28">
        <v>-0.1</v>
      </c>
      <c r="CB28">
        <v>0</v>
      </c>
      <c r="CC28">
        <v>-0.05</v>
      </c>
      <c r="CD28">
        <v>-0.05</v>
      </c>
      <c r="CE28">
        <v>2</v>
      </c>
      <c r="CH28" t="s">
        <v>178</v>
      </c>
      <c r="CI28" t="s">
        <v>163</v>
      </c>
      <c r="CJ28">
        <v>0.11</v>
      </c>
      <c r="CK28">
        <v>0.13</v>
      </c>
      <c r="CL28">
        <v>0.05</v>
      </c>
      <c r="CM28">
        <v>0.05</v>
      </c>
      <c r="CN28">
        <v>0.05</v>
      </c>
      <c r="CO28">
        <v>0.11</v>
      </c>
    </row>
    <row r="29" spans="8:93" x14ac:dyDescent="0.2">
      <c r="H29" s="12"/>
      <c r="I29" t="s">
        <v>165</v>
      </c>
      <c r="J29">
        <f t="shared" ref="J29:K30" si="24">J28</f>
        <v>1</v>
      </c>
      <c r="K29">
        <f t="shared" si="24"/>
        <v>0.65</v>
      </c>
      <c r="L29">
        <v>60</v>
      </c>
      <c r="M29">
        <v>0</v>
      </c>
      <c r="N29">
        <v>0</v>
      </c>
      <c r="O29">
        <f>$BS$3</f>
        <v>91.25</v>
      </c>
      <c r="P29">
        <v>-7.0000000000000007E-2</v>
      </c>
      <c r="Q29">
        <v>0.12</v>
      </c>
      <c r="R29">
        <v>0.64</v>
      </c>
      <c r="S29">
        <v>69</v>
      </c>
      <c r="T29">
        <f t="shared" si="0"/>
        <v>0</v>
      </c>
      <c r="U29">
        <f t="shared" si="1"/>
        <v>1</v>
      </c>
      <c r="V29">
        <f t="shared" si="2"/>
        <v>0.72</v>
      </c>
      <c r="W29">
        <f>$BS$10</f>
        <v>4.7000000000000002E-3</v>
      </c>
      <c r="X29">
        <f t="shared" si="3"/>
        <v>0</v>
      </c>
      <c r="Y29">
        <f>$BS$4</f>
        <v>0.24</v>
      </c>
      <c r="Z29">
        <f>$BS$6</f>
        <v>1.0999999999999999E-2</v>
      </c>
      <c r="AA29">
        <f>$BS$5</f>
        <v>0.21</v>
      </c>
      <c r="AB29">
        <f t="shared" si="4"/>
        <v>5.8999999999999999E-3</v>
      </c>
      <c r="AC29">
        <f>(M29/100)*(MIN(N29,100)/100)</f>
        <v>0</v>
      </c>
      <c r="AD29">
        <f t="shared" si="5"/>
        <v>0</v>
      </c>
      <c r="AE29">
        <f>J29 * K29 / 365</f>
        <v>1.7808219178082193E-3</v>
      </c>
      <c r="AF29">
        <f>P29 * 0.92</f>
        <v>-6.4400000000000013E-2</v>
      </c>
      <c r="AG29">
        <v>78</v>
      </c>
      <c r="AH29">
        <f>S29 / AG29</f>
        <v>0.88461538461538458</v>
      </c>
      <c r="AI29">
        <v>0</v>
      </c>
      <c r="AJ29">
        <f t="shared" si="6"/>
        <v>0</v>
      </c>
      <c r="AK29">
        <f t="shared" si="7"/>
        <v>-5.8067645512978143E-4</v>
      </c>
      <c r="AL29">
        <f>(AV29 / 6.25 ) - AK29</f>
        <v>2.7679259014053301E-2</v>
      </c>
      <c r="AM29">
        <f>IF($G$11="wet",$BU$18,$BU$19)</f>
        <v>6.0000000000000001E-3</v>
      </c>
      <c r="AN29">
        <f t="shared" si="8"/>
        <v>1.5714285714285714</v>
      </c>
      <c r="AO29">
        <f t="shared" si="9"/>
        <v>1.3</v>
      </c>
      <c r="AP29">
        <f t="shared" si="10"/>
        <v>1</v>
      </c>
      <c r="AQ29">
        <f>(0.795*R29)-0.0014</f>
        <v>0.50740000000000007</v>
      </c>
      <c r="AR29">
        <v>1.6</v>
      </c>
      <c r="AS29">
        <f t="shared" si="11"/>
        <v>0.99402397710499402</v>
      </c>
      <c r="AT29">
        <f>(104.7*AQ29+0.307*S29-15)*(S29^0.75)*10^-3</f>
        <v>1.4198696820048529</v>
      </c>
      <c r="AU29">
        <f t="shared" si="12"/>
        <v>1.4113845082772669</v>
      </c>
      <c r="AV29">
        <f>(AU29 * Q29) + (0.045 * AJ29)</f>
        <v>0.16936614099327202</v>
      </c>
      <c r="AW29">
        <f t="shared" si="13"/>
        <v>0.08</v>
      </c>
      <c r="AX29">
        <f>(AU29 * ((1 - R29) + (0.04 * AU29))) * ( 1 - AW29 )</f>
        <v>0.54075637841297708</v>
      </c>
      <c r="AY29">
        <f t="shared" si="14"/>
        <v>0.24</v>
      </c>
      <c r="AZ29">
        <f t="shared" si="15"/>
        <v>0.6784</v>
      </c>
      <c r="BA29">
        <f t="shared" si="20"/>
        <v>0</v>
      </c>
      <c r="BB29">
        <f t="shared" si="16"/>
        <v>4.138058153861302E-4</v>
      </c>
      <c r="BC29">
        <f t="shared" si="17"/>
        <v>4.138058153861302E-4</v>
      </c>
      <c r="BD29">
        <f t="shared" si="18"/>
        <v>2.265586839239063</v>
      </c>
      <c r="BF29">
        <f>L29*AL29*O29</f>
        <v>151.54394310194181</v>
      </c>
      <c r="BR29" s="14" t="s">
        <v>196</v>
      </c>
      <c r="BS29" s="14" t="s">
        <v>207</v>
      </c>
      <c r="BT29" s="14">
        <v>0.26</v>
      </c>
      <c r="BW29" s="8" t="s">
        <v>165</v>
      </c>
      <c r="BX29" s="8" t="s">
        <v>167</v>
      </c>
      <c r="BY29">
        <v>0</v>
      </c>
      <c r="BZ29">
        <v>0</v>
      </c>
      <c r="CA29">
        <v>-0.1</v>
      </c>
      <c r="CB29">
        <v>-0.1</v>
      </c>
      <c r="CC29">
        <v>-0.03</v>
      </c>
      <c r="CD29">
        <v>-0.08</v>
      </c>
      <c r="CE29">
        <v>3</v>
      </c>
      <c r="CI29" t="s">
        <v>164</v>
      </c>
      <c r="CJ29">
        <v>-0.11</v>
      </c>
      <c r="CK29">
        <v>-0.05</v>
      </c>
      <c r="CL29">
        <v>-0.05</v>
      </c>
      <c r="CM29">
        <v>-0.05</v>
      </c>
      <c r="CN29">
        <v>-0.05</v>
      </c>
      <c r="CO29">
        <v>0</v>
      </c>
    </row>
    <row r="30" spans="8:93" x14ac:dyDescent="0.2">
      <c r="H30" s="13"/>
      <c r="I30" t="s">
        <v>166</v>
      </c>
      <c r="J30">
        <f t="shared" si="24"/>
        <v>1</v>
      </c>
      <c r="K30">
        <f t="shared" si="24"/>
        <v>0.65</v>
      </c>
      <c r="L30">
        <v>65</v>
      </c>
      <c r="M30">
        <v>0</v>
      </c>
      <c r="N30">
        <v>0</v>
      </c>
      <c r="O30">
        <f>$BS$3</f>
        <v>91.25</v>
      </c>
      <c r="P30">
        <v>0</v>
      </c>
      <c r="Q30">
        <v>0.18</v>
      </c>
      <c r="R30">
        <v>0.72</v>
      </c>
      <c r="S30">
        <v>69</v>
      </c>
      <c r="T30">
        <f t="shared" si="0"/>
        <v>0</v>
      </c>
      <c r="U30">
        <f t="shared" si="1"/>
        <v>1</v>
      </c>
      <c r="V30">
        <f t="shared" si="2"/>
        <v>0.72</v>
      </c>
      <c r="W30">
        <f>$BS$10</f>
        <v>4.7000000000000002E-3</v>
      </c>
      <c r="X30">
        <f t="shared" si="3"/>
        <v>0</v>
      </c>
      <c r="Y30">
        <f>$BS$4</f>
        <v>0.24</v>
      </c>
      <c r="Z30">
        <f>$BS$6</f>
        <v>1.0999999999999999E-2</v>
      </c>
      <c r="AA30">
        <f>$BS$5</f>
        <v>0.21</v>
      </c>
      <c r="AB30">
        <f t="shared" si="4"/>
        <v>5.8999999999999999E-3</v>
      </c>
      <c r="AC30">
        <f>(M30/100)*(MIN(N30,100)/100)</f>
        <v>0</v>
      </c>
      <c r="AD30">
        <f t="shared" si="5"/>
        <v>0</v>
      </c>
      <c r="AE30">
        <f>J30 * K30 / 365</f>
        <v>1.7808219178082193E-3</v>
      </c>
      <c r="AF30">
        <f>P30 * 0.92</f>
        <v>0</v>
      </c>
      <c r="AG30">
        <v>78</v>
      </c>
      <c r="AH30">
        <f>S30 / AG30</f>
        <v>0.88461538461538458</v>
      </c>
      <c r="AI30">
        <v>0</v>
      </c>
      <c r="AJ30">
        <f t="shared" si="6"/>
        <v>0</v>
      </c>
      <c r="AK30">
        <f t="shared" si="7"/>
        <v>2.3934246575342468E-4</v>
      </c>
      <c r="AL30">
        <f>(AV30 / 6.25 ) - AK30</f>
        <v>4.5103691581787016E-2</v>
      </c>
      <c r="AM30">
        <f>IF($G$11="wet",$BU$18,$BU$19)</f>
        <v>6.0000000000000001E-3</v>
      </c>
      <c r="AN30">
        <f t="shared" si="8"/>
        <v>1.5714285714285714</v>
      </c>
      <c r="AO30">
        <f t="shared" si="9"/>
        <v>1.3</v>
      </c>
      <c r="AP30">
        <f t="shared" si="10"/>
        <v>1</v>
      </c>
      <c r="AQ30">
        <f>(0.795*R30)-0.0014</f>
        <v>0.57100000000000006</v>
      </c>
      <c r="AR30">
        <v>1.7</v>
      </c>
      <c r="AS30">
        <f t="shared" si="11"/>
        <v>0.99691128459176326</v>
      </c>
      <c r="AT30">
        <f>(104.7*AQ30+0.307*S30-15)*(S30^0.75)*10^-3</f>
        <v>1.5792888783210146</v>
      </c>
      <c r="AU30">
        <f t="shared" si="12"/>
        <v>1.5744109044284875</v>
      </c>
      <c r="AV30">
        <f>(AU30 * Q30) + (0.045 * AJ30)</f>
        <v>0.28339396279712775</v>
      </c>
      <c r="AW30">
        <f t="shared" si="13"/>
        <v>0.08</v>
      </c>
      <c r="AX30">
        <f>(AU30 * ((1 - R30) + (0.04 * AU30))) * ( 1 - AW30 )</f>
        <v>0.49678697379296494</v>
      </c>
      <c r="AY30">
        <f t="shared" si="14"/>
        <v>0.24</v>
      </c>
      <c r="AZ30">
        <f t="shared" si="15"/>
        <v>0.6784</v>
      </c>
      <c r="BA30">
        <f t="shared" si="20"/>
        <v>0</v>
      </c>
      <c r="BB30">
        <f t="shared" si="16"/>
        <v>3.8015887924785428E-4</v>
      </c>
      <c r="BC30">
        <f t="shared" si="17"/>
        <v>3.8015887924785428E-4</v>
      </c>
      <c r="BD30">
        <f t="shared" si="18"/>
        <v>2.2548173525388355</v>
      </c>
      <c r="BF30">
        <f>L30*AL30*O30</f>
        <v>267.52127069447425</v>
      </c>
      <c r="BR30" s="14" t="s">
        <v>197</v>
      </c>
      <c r="BS30" s="14" t="s">
        <v>208</v>
      </c>
      <c r="BT30" s="14">
        <v>0.5</v>
      </c>
      <c r="BW30" s="8" t="s">
        <v>166</v>
      </c>
      <c r="BX30" s="8" t="s">
        <v>167</v>
      </c>
      <c r="BY30">
        <v>0</v>
      </c>
      <c r="BZ30">
        <v>-0.05</v>
      </c>
      <c r="CA30">
        <v>0</v>
      </c>
      <c r="CB30">
        <v>-0.1</v>
      </c>
      <c r="CC30">
        <v>-0.02</v>
      </c>
      <c r="CD30">
        <v>0</v>
      </c>
      <c r="CE30">
        <v>4</v>
      </c>
      <c r="CI30" t="s">
        <v>165</v>
      </c>
      <c r="CJ30">
        <v>0</v>
      </c>
      <c r="CK30">
        <v>-0.08</v>
      </c>
      <c r="CL30">
        <v>0.11</v>
      </c>
      <c r="CM30">
        <v>-0.05</v>
      </c>
      <c r="CN30">
        <v>-0.05</v>
      </c>
      <c r="CO30">
        <v>0.11</v>
      </c>
    </row>
    <row r="31" spans="8:93" x14ac:dyDescent="0.2">
      <c r="H31" s="12" t="s">
        <v>167</v>
      </c>
      <c r="I31" t="s">
        <v>163</v>
      </c>
      <c r="J31">
        <v>0.5</v>
      </c>
      <c r="K31">
        <v>0.65</v>
      </c>
      <c r="L31">
        <v>50</v>
      </c>
      <c r="M31">
        <v>0</v>
      </c>
      <c r="N31">
        <v>0</v>
      </c>
      <c r="O31">
        <f>$BS$3</f>
        <v>91.25</v>
      </c>
      <c r="P31">
        <v>0.08</v>
      </c>
      <c r="Q31">
        <v>0.2</v>
      </c>
      <c r="R31">
        <v>0.75</v>
      </c>
      <c r="S31">
        <v>62</v>
      </c>
      <c r="T31">
        <f t="shared" si="0"/>
        <v>0</v>
      </c>
      <c r="U31">
        <f t="shared" si="1"/>
        <v>1</v>
      </c>
      <c r="V31">
        <f t="shared" si="2"/>
        <v>0.72</v>
      </c>
      <c r="W31">
        <f>$BS$10</f>
        <v>4.7000000000000002E-3</v>
      </c>
      <c r="X31">
        <f t="shared" si="3"/>
        <v>0</v>
      </c>
      <c r="Y31">
        <f>$BS$4</f>
        <v>0.24</v>
      </c>
      <c r="Z31">
        <f>$BS$6</f>
        <v>1.0999999999999999E-2</v>
      </c>
      <c r="AA31">
        <f>$BS$5</f>
        <v>0.21</v>
      </c>
      <c r="AB31">
        <f t="shared" si="4"/>
        <v>5.8999999999999999E-3</v>
      </c>
      <c r="AC31">
        <f>(M31/100)*(MIN(N31,100)/100)</f>
        <v>0</v>
      </c>
      <c r="AD31">
        <f t="shared" si="5"/>
        <v>0</v>
      </c>
      <c r="AE31">
        <f>J31 * K31 / 365</f>
        <v>8.9041095890410966E-4</v>
      </c>
      <c r="AF31">
        <f>P31 * 0.92</f>
        <v>7.3599999999999999E-2</v>
      </c>
      <c r="AG31">
        <v>62</v>
      </c>
      <c r="AH31">
        <f>S31 / AG31</f>
        <v>1</v>
      </c>
      <c r="AI31">
        <v>0</v>
      </c>
      <c r="AJ31">
        <f t="shared" si="6"/>
        <v>0</v>
      </c>
      <c r="AK31">
        <f t="shared" si="7"/>
        <v>1.0116016126962319E-3</v>
      </c>
      <c r="AL31">
        <f>(AV31 / 6.25 ) - AK31</f>
        <v>4.58755829416546E-2</v>
      </c>
      <c r="AM31">
        <f>IF($G$11="wet",$BU$18,$BU$19)</f>
        <v>6.0000000000000001E-3</v>
      </c>
      <c r="AN31">
        <f t="shared" si="8"/>
        <v>1.5714285714285714</v>
      </c>
      <c r="AO31">
        <f t="shared" si="9"/>
        <v>1.3</v>
      </c>
      <c r="AP31">
        <f t="shared" si="10"/>
        <v>1</v>
      </c>
      <c r="AQ31">
        <f>(0.795*R31)-0.0014</f>
        <v>0.5948500000000001</v>
      </c>
      <c r="AR31">
        <v>2.9</v>
      </c>
      <c r="AS31">
        <f t="shared" si="11"/>
        <v>0.9999999504359468</v>
      </c>
      <c r="AT31">
        <f>(104.7*AQ31+0.307*S31-15)*(S31^0.75)*10^-3</f>
        <v>1.4652245899459331</v>
      </c>
      <c r="AU31">
        <f t="shared" si="12"/>
        <v>1.4652245173234635</v>
      </c>
      <c r="AV31">
        <f>(AU31 * Q31) + (0.045 * AJ31)</f>
        <v>0.2930449034646927</v>
      </c>
      <c r="AW31">
        <f t="shared" si="13"/>
        <v>0.08</v>
      </c>
      <c r="AX31">
        <f>(AU31 * ((1 - R31) + (0.04 * AU31))) * ( 1 - AW31 )</f>
        <v>0.41600692919529714</v>
      </c>
      <c r="AY31">
        <f t="shared" si="14"/>
        <v>0.24</v>
      </c>
      <c r="AZ31">
        <f t="shared" si="15"/>
        <v>0.6784</v>
      </c>
      <c r="BA31">
        <f t="shared" si="20"/>
        <v>0</v>
      </c>
      <c r="BB31">
        <f t="shared" si="16"/>
        <v>3.1834314566414905E-4</v>
      </c>
      <c r="BC31">
        <f t="shared" si="17"/>
        <v>3.1834314566414905E-4</v>
      </c>
      <c r="BD31">
        <f t="shared" si="18"/>
        <v>1.4524406020926799</v>
      </c>
      <c r="BF31">
        <f>L31*AL31*O31</f>
        <v>209.30734717129909</v>
      </c>
      <c r="BR31" s="14" t="s">
        <v>198</v>
      </c>
      <c r="BS31" s="14" t="s">
        <v>209</v>
      </c>
      <c r="BT31" s="14">
        <v>0.83</v>
      </c>
      <c r="CI31" t="s">
        <v>166</v>
      </c>
      <c r="CJ31">
        <v>0</v>
      </c>
      <c r="CK31">
        <v>0</v>
      </c>
      <c r="CL31">
        <v>0.05</v>
      </c>
      <c r="CM31">
        <v>0.05</v>
      </c>
      <c r="CN31">
        <v>0.05</v>
      </c>
      <c r="CO31">
        <v>0.11</v>
      </c>
    </row>
    <row r="32" spans="8:93" x14ac:dyDescent="0.2">
      <c r="H32" s="13"/>
      <c r="I32" t="s">
        <v>164</v>
      </c>
      <c r="J32">
        <f>J31</f>
        <v>0.5</v>
      </c>
      <c r="K32">
        <f>K31</f>
        <v>0.65</v>
      </c>
      <c r="L32">
        <v>100</v>
      </c>
      <c r="M32">
        <v>0</v>
      </c>
      <c r="N32">
        <v>0</v>
      </c>
      <c r="O32">
        <f>$BS$3</f>
        <v>91.25</v>
      </c>
      <c r="P32">
        <v>-0.08</v>
      </c>
      <c r="Q32">
        <v>0.1</v>
      </c>
      <c r="R32">
        <v>0.61</v>
      </c>
      <c r="S32">
        <v>55</v>
      </c>
      <c r="T32">
        <f t="shared" si="0"/>
        <v>0</v>
      </c>
      <c r="U32">
        <f t="shared" si="1"/>
        <v>1</v>
      </c>
      <c r="V32">
        <f t="shared" si="2"/>
        <v>0.72</v>
      </c>
      <c r="W32">
        <f>$BS$10</f>
        <v>4.7000000000000002E-3</v>
      </c>
      <c r="X32">
        <f t="shared" si="3"/>
        <v>0</v>
      </c>
      <c r="Y32">
        <f>$BS$4</f>
        <v>0.24</v>
      </c>
      <c r="Z32">
        <f>$BS$6</f>
        <v>1.0999999999999999E-2</v>
      </c>
      <c r="AA32">
        <f>$BS$5</f>
        <v>0.21</v>
      </c>
      <c r="AB32">
        <f t="shared" si="4"/>
        <v>5.8999999999999999E-3</v>
      </c>
      <c r="AC32">
        <f>(M32/100)*(MIN(N32,100)/100)</f>
        <v>0</v>
      </c>
      <c r="AD32">
        <f t="shared" si="5"/>
        <v>0</v>
      </c>
      <c r="AE32">
        <f>J32 * K32 / 365</f>
        <v>8.9041095890410966E-4</v>
      </c>
      <c r="AF32">
        <f>P32 * 0.92</f>
        <v>-7.3599999999999999E-2</v>
      </c>
      <c r="AG32">
        <v>62</v>
      </c>
      <c r="AH32">
        <f>S32 / AG32</f>
        <v>0.88709677419354838</v>
      </c>
      <c r="AI32">
        <v>0</v>
      </c>
      <c r="AJ32">
        <f t="shared" si="6"/>
        <v>0</v>
      </c>
      <c r="AK32">
        <f t="shared" si="7"/>
        <v>-8.1676849356428693E-4</v>
      </c>
      <c r="AL32">
        <f>(AV32 / 6.25 ) - AK32</f>
        <v>1.7785704265871654E-2</v>
      </c>
      <c r="AM32">
        <f>IF($G$11="wet",$BU$18,$BU$19)</f>
        <v>6.0000000000000001E-3</v>
      </c>
      <c r="AN32">
        <f t="shared" si="8"/>
        <v>1.5714285714285714</v>
      </c>
      <c r="AO32">
        <f t="shared" si="9"/>
        <v>1.3</v>
      </c>
      <c r="AP32">
        <f t="shared" si="10"/>
        <v>1</v>
      </c>
      <c r="AQ32">
        <f>(0.795*R32)-0.0014</f>
        <v>0.48354999999999998</v>
      </c>
      <c r="AR32">
        <v>2.5</v>
      </c>
      <c r="AS32">
        <f t="shared" si="11"/>
        <v>0.99999627334682795</v>
      </c>
      <c r="AT32">
        <f>(104.7*AQ32+0.307*S32-15)*(S32^0.75)*10^-3</f>
        <v>1.0605624381175847</v>
      </c>
      <c r="AU32">
        <f t="shared" si="12"/>
        <v>1.0605584857692105</v>
      </c>
      <c r="AV32">
        <f>(AU32 * Q32) + (0.045 * AJ32)</f>
        <v>0.10605584857692106</v>
      </c>
      <c r="AW32">
        <f t="shared" si="13"/>
        <v>0.08</v>
      </c>
      <c r="AX32">
        <f>(AU32 * ((1 - R32) + (0.04 * AU32))) * ( 1 - AW32 )</f>
        <v>0.42192044699791736</v>
      </c>
      <c r="AY32">
        <f t="shared" si="14"/>
        <v>0.24</v>
      </c>
      <c r="AZ32">
        <f t="shared" si="15"/>
        <v>0.6784</v>
      </c>
      <c r="BA32">
        <f t="shared" si="20"/>
        <v>0</v>
      </c>
      <c r="BB32">
        <f t="shared" si="16"/>
        <v>3.2286837764254069E-4</v>
      </c>
      <c r="BC32">
        <f t="shared" si="17"/>
        <v>3.2286837764254069E-4</v>
      </c>
      <c r="BD32">
        <f t="shared" si="18"/>
        <v>2.9461739459881837</v>
      </c>
      <c r="BF32">
        <f>L32*AL32*O32</f>
        <v>162.29455142607884</v>
      </c>
      <c r="BR32" s="14" t="s">
        <v>199</v>
      </c>
      <c r="BS32" s="14" t="s">
        <v>210</v>
      </c>
      <c r="BT32" s="14">
        <v>0.41</v>
      </c>
    </row>
    <row r="33" spans="8:93" x14ac:dyDescent="0.2">
      <c r="H33" s="12"/>
      <c r="I33" t="s">
        <v>165</v>
      </c>
      <c r="J33">
        <f t="shared" ref="J33:K34" si="25">J32</f>
        <v>0.5</v>
      </c>
      <c r="K33">
        <f t="shared" si="25"/>
        <v>0.65</v>
      </c>
      <c r="L33">
        <v>90</v>
      </c>
      <c r="M33">
        <v>0</v>
      </c>
      <c r="N33">
        <v>0</v>
      </c>
      <c r="O33">
        <f>$BS$3</f>
        <v>91.25</v>
      </c>
      <c r="P33">
        <v>0</v>
      </c>
      <c r="Q33">
        <v>0.12</v>
      </c>
      <c r="R33">
        <v>0.64</v>
      </c>
      <c r="S33">
        <v>55</v>
      </c>
      <c r="T33">
        <f t="shared" si="0"/>
        <v>0</v>
      </c>
      <c r="U33">
        <f t="shared" si="1"/>
        <v>1</v>
      </c>
      <c r="V33">
        <f t="shared" si="2"/>
        <v>0.72</v>
      </c>
      <c r="W33">
        <f>$BS$10</f>
        <v>4.7000000000000002E-3</v>
      </c>
      <c r="X33">
        <f t="shared" si="3"/>
        <v>0</v>
      </c>
      <c r="Y33">
        <f>$BS$4</f>
        <v>0.24</v>
      </c>
      <c r="Z33">
        <f>$BS$6</f>
        <v>1.0999999999999999E-2</v>
      </c>
      <c r="AA33">
        <f>$BS$5</f>
        <v>0.21</v>
      </c>
      <c r="AB33">
        <f t="shared" si="4"/>
        <v>5.8999999999999999E-3</v>
      </c>
      <c r="AC33">
        <f>(M33/100)*(MIN(N33,100)/100)</f>
        <v>0</v>
      </c>
      <c r="AD33">
        <f t="shared" si="5"/>
        <v>0</v>
      </c>
      <c r="AE33">
        <f>J33 * K33 / 365</f>
        <v>8.9041095890410966E-4</v>
      </c>
      <c r="AF33">
        <f>P33 * 0.92</f>
        <v>0</v>
      </c>
      <c r="AG33">
        <v>62</v>
      </c>
      <c r="AH33">
        <f>S33 / AG33</f>
        <v>0.88709677419354838</v>
      </c>
      <c r="AI33">
        <v>0</v>
      </c>
      <c r="AJ33">
        <f t="shared" si="6"/>
        <v>0</v>
      </c>
      <c r="AK33">
        <f t="shared" si="7"/>
        <v>1.1967123287671234E-4</v>
      </c>
      <c r="AL33">
        <f>(AV33 / 6.25 ) - AK33</f>
        <v>2.1083948851597697E-2</v>
      </c>
      <c r="AM33">
        <f>IF($G$11="wet",$BU$18,$BU$19)</f>
        <v>6.0000000000000001E-3</v>
      </c>
      <c r="AN33">
        <f t="shared" si="8"/>
        <v>1.5714285714285714</v>
      </c>
      <c r="AO33">
        <f t="shared" si="9"/>
        <v>1.3</v>
      </c>
      <c r="AP33">
        <f t="shared" si="10"/>
        <v>1</v>
      </c>
      <c r="AQ33">
        <f>(0.795*R33)-0.0014</f>
        <v>0.50740000000000007</v>
      </c>
      <c r="AR33">
        <v>1.6</v>
      </c>
      <c r="AS33">
        <f t="shared" si="11"/>
        <v>0.99402397710499402</v>
      </c>
      <c r="AT33">
        <f>(104.7*AQ33+0.307*S33-15)*(S33^0.75)*10^-3</f>
        <v>1.1109945415495692</v>
      </c>
      <c r="AU33">
        <f t="shared" si="12"/>
        <v>1.1043552127330423</v>
      </c>
      <c r="AV33">
        <f>(AU33 * Q33) + (0.045 * AJ33)</f>
        <v>0.13252262552796507</v>
      </c>
      <c r="AW33">
        <f t="shared" si="13"/>
        <v>0.08</v>
      </c>
      <c r="AX33">
        <f>(AU33 * ((1 - R33) + (0.04 * AU33))) * ( 1 - AW33 )</f>
        <v>0.41064374249795926</v>
      </c>
      <c r="AY33">
        <f t="shared" si="14"/>
        <v>0.24</v>
      </c>
      <c r="AZ33">
        <f t="shared" si="15"/>
        <v>0.6784</v>
      </c>
      <c r="BA33">
        <f t="shared" si="20"/>
        <v>0</v>
      </c>
      <c r="BB33">
        <f t="shared" si="16"/>
        <v>3.1423904641917434E-4</v>
      </c>
      <c r="BC33">
        <f t="shared" si="17"/>
        <v>3.1423904641917434E-4</v>
      </c>
      <c r="BD33">
        <f t="shared" si="18"/>
        <v>2.5806881687174696</v>
      </c>
      <c r="BF33">
        <f>L33*AL33*O33</f>
        <v>173.1519299437461</v>
      </c>
    </row>
    <row r="34" spans="8:93" x14ac:dyDescent="0.2">
      <c r="H34" s="13"/>
      <c r="I34" t="s">
        <v>166</v>
      </c>
      <c r="J34">
        <f t="shared" si="25"/>
        <v>0.5</v>
      </c>
      <c r="K34">
        <f t="shared" si="25"/>
        <v>0.65</v>
      </c>
      <c r="L34">
        <v>80</v>
      </c>
      <c r="M34">
        <v>0</v>
      </c>
      <c r="N34">
        <v>0</v>
      </c>
      <c r="O34">
        <f>$BS$3</f>
        <v>91.25</v>
      </c>
      <c r="P34">
        <v>0</v>
      </c>
      <c r="Q34">
        <v>0.18</v>
      </c>
      <c r="R34">
        <v>0.72</v>
      </c>
      <c r="S34">
        <v>55</v>
      </c>
      <c r="T34">
        <f t="shared" si="0"/>
        <v>0</v>
      </c>
      <c r="U34">
        <f t="shared" si="1"/>
        <v>1</v>
      </c>
      <c r="V34">
        <f t="shared" si="2"/>
        <v>0.72</v>
      </c>
      <c r="W34">
        <f>$BS$10</f>
        <v>4.7000000000000002E-3</v>
      </c>
      <c r="X34">
        <f t="shared" si="3"/>
        <v>0</v>
      </c>
      <c r="Y34">
        <f>$BS$4</f>
        <v>0.24</v>
      </c>
      <c r="Z34">
        <f>$BS$6</f>
        <v>1.0999999999999999E-2</v>
      </c>
      <c r="AA34">
        <f>$BS$5</f>
        <v>0.21</v>
      </c>
      <c r="AB34">
        <f t="shared" si="4"/>
        <v>5.8999999999999999E-3</v>
      </c>
      <c r="AC34">
        <f>(M34/100)*(MIN(N34,100)/100)</f>
        <v>0</v>
      </c>
      <c r="AD34">
        <f t="shared" si="5"/>
        <v>0</v>
      </c>
      <c r="AE34">
        <f>J34 * K34 / 365</f>
        <v>8.9041095890410966E-4</v>
      </c>
      <c r="AF34">
        <f>P34 * 0.92</f>
        <v>0</v>
      </c>
      <c r="AG34">
        <v>62</v>
      </c>
      <c r="AH34">
        <f>S34 / AG34</f>
        <v>0.88709677419354838</v>
      </c>
      <c r="AI34">
        <v>0</v>
      </c>
      <c r="AJ34">
        <f t="shared" si="6"/>
        <v>0</v>
      </c>
      <c r="AK34">
        <f t="shared" si="7"/>
        <v>1.1967123287671234E-4</v>
      </c>
      <c r="AL34">
        <f>(AV34 / 6.25 ) - AK34</f>
        <v>3.5639365415842103E-2</v>
      </c>
      <c r="AM34">
        <f>IF($G$11="wet",$BU$18,$BU$19)</f>
        <v>6.0000000000000001E-3</v>
      </c>
      <c r="AN34">
        <f t="shared" si="8"/>
        <v>1.5714285714285714</v>
      </c>
      <c r="AO34">
        <f t="shared" si="9"/>
        <v>1.3</v>
      </c>
      <c r="AP34">
        <f t="shared" si="10"/>
        <v>1</v>
      </c>
      <c r="AQ34">
        <f>(0.795*R34)-0.0014</f>
        <v>0.57100000000000006</v>
      </c>
      <c r="AR34">
        <v>1.7</v>
      </c>
      <c r="AS34">
        <f t="shared" si="11"/>
        <v>0.99691128459176326</v>
      </c>
      <c r="AT34">
        <f>(104.7*AQ34+0.307*S34-15)*(S34^0.75)*10^-3</f>
        <v>1.2454801507015281</v>
      </c>
      <c r="AU34">
        <f t="shared" si="12"/>
        <v>1.2416332169694033</v>
      </c>
      <c r="AV34">
        <f>(AU34 * Q34) + (0.045 * AJ34)</f>
        <v>0.22349397905449259</v>
      </c>
      <c r="AW34">
        <f t="shared" si="13"/>
        <v>0.08</v>
      </c>
      <c r="AX34">
        <f>(AU34 * ((1 - R34) + (0.04 * AU34))) * ( 1 - AW34 )</f>
        <v>0.37657754876504823</v>
      </c>
      <c r="AY34">
        <f t="shared" si="14"/>
        <v>0.24</v>
      </c>
      <c r="AZ34">
        <f t="shared" si="15"/>
        <v>0.6784</v>
      </c>
      <c r="BA34">
        <f t="shared" si="20"/>
        <v>0</v>
      </c>
      <c r="BB34">
        <f t="shared" si="16"/>
        <v>2.8817039584473142E-4</v>
      </c>
      <c r="BC34">
        <f t="shared" si="17"/>
        <v>2.8817039584473142E-4</v>
      </c>
      <c r="BD34">
        <f t="shared" si="18"/>
        <v>2.1036438896665395</v>
      </c>
      <c r="BF34">
        <f>L34*AL34*O34</f>
        <v>260.16736753564737</v>
      </c>
    </row>
    <row r="36" spans="8:93" x14ac:dyDescent="0.2">
      <c r="BR36" t="s">
        <v>136</v>
      </c>
      <c r="BW36" t="s">
        <v>190</v>
      </c>
      <c r="BX36" t="s">
        <v>127</v>
      </c>
    </row>
    <row r="37" spans="8:93" ht="17" thickBot="1" x14ac:dyDescent="0.25">
      <c r="BR37" s="14" t="s">
        <v>224</v>
      </c>
      <c r="BS37" s="14">
        <v>5.8999999999999999E-3</v>
      </c>
      <c r="BW37" t="s">
        <v>180</v>
      </c>
      <c r="BX37" t="s">
        <v>161</v>
      </c>
      <c r="BY37" t="s">
        <v>173</v>
      </c>
      <c r="BZ37" t="s">
        <v>174</v>
      </c>
      <c r="CA37" t="s">
        <v>175</v>
      </c>
      <c r="CB37" t="s">
        <v>176</v>
      </c>
      <c r="CC37" t="s">
        <v>177</v>
      </c>
      <c r="CD37" t="s">
        <v>178</v>
      </c>
      <c r="CE37" t="s">
        <v>189</v>
      </c>
      <c r="CH37" s="9" t="s">
        <v>181</v>
      </c>
      <c r="CI37" s="10" t="s">
        <v>182</v>
      </c>
      <c r="CJ37" s="10" t="s">
        <v>183</v>
      </c>
      <c r="CK37" s="10" t="s">
        <v>184</v>
      </c>
      <c r="CL37" s="10" t="s">
        <v>185</v>
      </c>
      <c r="CM37" s="10" t="s">
        <v>186</v>
      </c>
      <c r="CN37" s="10" t="s">
        <v>187</v>
      </c>
      <c r="CO37" s="11" t="s">
        <v>188</v>
      </c>
    </row>
    <row r="38" spans="8:93" ht="17" thickTop="1" x14ac:dyDescent="0.2">
      <c r="BR38" s="14" t="s">
        <v>225</v>
      </c>
      <c r="BS38" s="14">
        <v>7.0000000000000001E-3</v>
      </c>
      <c r="BW38" s="8" t="s">
        <v>163</v>
      </c>
      <c r="BX38" s="8" t="s">
        <v>169</v>
      </c>
      <c r="BY38">
        <v>0.2</v>
      </c>
      <c r="BZ38">
        <v>0.08</v>
      </c>
      <c r="CA38">
        <v>0.16</v>
      </c>
      <c r="CB38">
        <v>0.2</v>
      </c>
      <c r="CC38">
        <v>0.16</v>
      </c>
      <c r="CD38">
        <v>0.18</v>
      </c>
      <c r="CE38">
        <v>1</v>
      </c>
      <c r="CH38" s="2" t="s">
        <v>179</v>
      </c>
      <c r="CI38" s="3" t="s">
        <v>180</v>
      </c>
      <c r="CJ38" s="3" t="s">
        <v>162</v>
      </c>
      <c r="CK38" s="3" t="s">
        <v>167</v>
      </c>
      <c r="CL38" s="3" t="s">
        <v>168</v>
      </c>
      <c r="CM38" s="3" t="s">
        <v>169</v>
      </c>
      <c r="CN38" s="3" t="s">
        <v>170</v>
      </c>
      <c r="CO38" s="6" t="s">
        <v>171</v>
      </c>
    </row>
    <row r="39" spans="8:93" x14ac:dyDescent="0.2">
      <c r="BR39" s="14" t="s">
        <v>226</v>
      </c>
      <c r="BS39" s="14">
        <v>1.8E-3</v>
      </c>
      <c r="BW39" s="8" t="s">
        <v>164</v>
      </c>
      <c r="BX39" s="8" t="s">
        <v>169</v>
      </c>
      <c r="BY39">
        <v>0.1</v>
      </c>
      <c r="BZ39">
        <v>0.1</v>
      </c>
      <c r="CA39">
        <v>7.0000000000000007E-2</v>
      </c>
      <c r="CB39">
        <v>7.0000000000000007E-2</v>
      </c>
      <c r="CC39">
        <v>7.0000000000000007E-2</v>
      </c>
      <c r="CD39">
        <v>0.06</v>
      </c>
      <c r="CE39">
        <v>2</v>
      </c>
      <c r="CH39" s="4" t="s">
        <v>173</v>
      </c>
      <c r="CI39" t="s">
        <v>163</v>
      </c>
      <c r="CJ39">
        <v>0.2</v>
      </c>
      <c r="CK39">
        <v>0.2</v>
      </c>
      <c r="CL39">
        <v>0.2</v>
      </c>
      <c r="CM39">
        <v>0.2</v>
      </c>
      <c r="CN39">
        <v>0.2</v>
      </c>
      <c r="CO39">
        <v>0.2</v>
      </c>
    </row>
    <row r="40" spans="8:93" x14ac:dyDescent="0.2">
      <c r="BR40" s="14" t="s">
        <v>227</v>
      </c>
      <c r="BS40" s="14">
        <v>2.8999999999999998E-3</v>
      </c>
      <c r="BW40" s="8" t="s">
        <v>165</v>
      </c>
      <c r="BX40" s="8" t="s">
        <v>169</v>
      </c>
      <c r="BY40">
        <v>0.12</v>
      </c>
      <c r="BZ40">
        <v>0.09</v>
      </c>
      <c r="CA40">
        <v>0.09</v>
      </c>
      <c r="CB40">
        <v>0.14000000000000001</v>
      </c>
      <c r="CC40">
        <v>0.13</v>
      </c>
      <c r="CD40">
        <v>0.16</v>
      </c>
      <c r="CE40">
        <v>3</v>
      </c>
      <c r="CH40" s="2"/>
      <c r="CI40" t="s">
        <v>164</v>
      </c>
      <c r="CJ40">
        <v>0.1</v>
      </c>
      <c r="CK40">
        <v>0.1</v>
      </c>
      <c r="CL40">
        <v>0.1</v>
      </c>
      <c r="CM40">
        <v>0.1</v>
      </c>
      <c r="CN40">
        <v>0.1</v>
      </c>
      <c r="CO40">
        <v>0.1</v>
      </c>
    </row>
    <row r="41" spans="8:93" ht="17" thickBot="1" x14ac:dyDescent="0.25">
      <c r="BR41" s="14" t="s">
        <v>228</v>
      </c>
      <c r="BS41" s="14">
        <v>8.0000000000000002E-3</v>
      </c>
      <c r="BW41" s="8" t="s">
        <v>166</v>
      </c>
      <c r="BX41" s="8" t="s">
        <v>169</v>
      </c>
      <c r="BY41">
        <v>0.18</v>
      </c>
      <c r="BZ41">
        <v>7.0000000000000007E-2</v>
      </c>
      <c r="CA41">
        <v>0.2</v>
      </c>
      <c r="CB41">
        <v>0.16</v>
      </c>
      <c r="CC41">
        <v>0.1</v>
      </c>
      <c r="CD41">
        <v>0.21</v>
      </c>
      <c r="CE41">
        <v>4</v>
      </c>
      <c r="CH41" s="4"/>
      <c r="CI41" t="s">
        <v>165</v>
      </c>
      <c r="CJ41">
        <v>0.12</v>
      </c>
      <c r="CK41">
        <v>0.12</v>
      </c>
      <c r="CL41">
        <v>0.12</v>
      </c>
      <c r="CM41">
        <v>0.12</v>
      </c>
      <c r="CN41">
        <v>0.12</v>
      </c>
      <c r="CO41">
        <v>0.12</v>
      </c>
    </row>
    <row r="42" spans="8:93" ht="18" thickTop="1" thickBot="1" x14ac:dyDescent="0.25">
      <c r="BR42" s="14" t="s">
        <v>229</v>
      </c>
      <c r="BS42" s="14">
        <v>1.9900000000000001E-2</v>
      </c>
      <c r="BW42" s="8" t="s">
        <v>163</v>
      </c>
      <c r="BX42" s="6" t="s">
        <v>171</v>
      </c>
      <c r="BY42">
        <v>0.2</v>
      </c>
      <c r="BZ42">
        <v>0.08</v>
      </c>
      <c r="CA42">
        <v>0.16</v>
      </c>
      <c r="CB42">
        <v>0.2</v>
      </c>
      <c r="CC42">
        <v>0.16</v>
      </c>
      <c r="CD42">
        <v>0.18</v>
      </c>
      <c r="CE42">
        <v>1</v>
      </c>
      <c r="CH42" s="2"/>
      <c r="CI42" t="s">
        <v>166</v>
      </c>
      <c r="CJ42">
        <v>0.18</v>
      </c>
      <c r="CK42">
        <v>0.18</v>
      </c>
      <c r="CL42">
        <v>0.18</v>
      </c>
      <c r="CM42">
        <v>0.18</v>
      </c>
      <c r="CN42">
        <v>0.18</v>
      </c>
      <c r="CO42">
        <v>0.18</v>
      </c>
    </row>
    <row r="43" spans="8:93" ht="18" thickTop="1" thickBot="1" x14ac:dyDescent="0.25">
      <c r="BR43" s="14" t="s">
        <v>230</v>
      </c>
      <c r="BS43" s="14">
        <v>5.3E-3</v>
      </c>
      <c r="BW43" s="8" t="s">
        <v>164</v>
      </c>
      <c r="BX43" s="6" t="s">
        <v>171</v>
      </c>
      <c r="BY43">
        <v>0.1</v>
      </c>
      <c r="BZ43">
        <v>0.1</v>
      </c>
      <c r="CA43">
        <v>7.0000000000000007E-2</v>
      </c>
      <c r="CB43">
        <v>7.0000000000000007E-2</v>
      </c>
      <c r="CC43">
        <v>7.0000000000000007E-2</v>
      </c>
      <c r="CD43">
        <v>0.06</v>
      </c>
      <c r="CE43">
        <v>2</v>
      </c>
      <c r="CH43" s="4" t="s">
        <v>174</v>
      </c>
      <c r="CI43" t="s">
        <v>163</v>
      </c>
      <c r="CJ43">
        <v>0.08</v>
      </c>
      <c r="CK43">
        <v>0.08</v>
      </c>
      <c r="CL43">
        <v>0.08</v>
      </c>
      <c r="CM43">
        <v>0.08</v>
      </c>
      <c r="CN43">
        <v>0.08</v>
      </c>
      <c r="CO43">
        <v>0.08</v>
      </c>
    </row>
    <row r="44" spans="8:93" ht="18" thickTop="1" thickBot="1" x14ac:dyDescent="0.25">
      <c r="BR44" s="14" t="s">
        <v>231</v>
      </c>
      <c r="BS44" s="14">
        <v>6.4000000000000003E-3</v>
      </c>
      <c r="BW44" s="8" t="s">
        <v>165</v>
      </c>
      <c r="BX44" s="6" t="s">
        <v>171</v>
      </c>
      <c r="BY44">
        <v>0.12</v>
      </c>
      <c r="BZ44">
        <v>0.09</v>
      </c>
      <c r="CA44">
        <v>0.09</v>
      </c>
      <c r="CB44">
        <v>0.14000000000000001</v>
      </c>
      <c r="CC44">
        <v>0.13</v>
      </c>
      <c r="CD44">
        <v>0.16</v>
      </c>
      <c r="CE44">
        <v>3</v>
      </c>
      <c r="CH44" s="2"/>
      <c r="CI44" t="s">
        <v>164</v>
      </c>
      <c r="CJ44">
        <v>0.1</v>
      </c>
      <c r="CK44">
        <v>0.1</v>
      </c>
      <c r="CL44">
        <v>0.1</v>
      </c>
      <c r="CM44">
        <v>0.1</v>
      </c>
      <c r="CN44">
        <v>0.1</v>
      </c>
      <c r="CO44">
        <v>0.1</v>
      </c>
    </row>
    <row r="45" spans="8:93" ht="17" thickTop="1" x14ac:dyDescent="0.2">
      <c r="BR45" s="14" t="s">
        <v>222</v>
      </c>
      <c r="BS45" s="14">
        <v>2.5999999999999999E-3</v>
      </c>
      <c r="BW45" s="8" t="s">
        <v>166</v>
      </c>
      <c r="BX45" s="6" t="s">
        <v>171</v>
      </c>
      <c r="BY45">
        <v>0.18</v>
      </c>
      <c r="BZ45">
        <v>7.0000000000000007E-2</v>
      </c>
      <c r="CA45">
        <v>0.2</v>
      </c>
      <c r="CB45">
        <v>0.16</v>
      </c>
      <c r="CC45">
        <v>0.1</v>
      </c>
      <c r="CD45">
        <v>0.21</v>
      </c>
      <c r="CE45">
        <v>4</v>
      </c>
      <c r="CH45" s="4"/>
      <c r="CI45" t="s">
        <v>165</v>
      </c>
      <c r="CJ45">
        <v>0.09</v>
      </c>
      <c r="CK45">
        <v>0.09</v>
      </c>
      <c r="CL45">
        <v>0.09</v>
      </c>
      <c r="CM45">
        <v>0.09</v>
      </c>
      <c r="CN45">
        <v>0.09</v>
      </c>
      <c r="CO45">
        <v>0.09</v>
      </c>
    </row>
    <row r="46" spans="8:93" x14ac:dyDescent="0.2">
      <c r="BR46" s="14" t="s">
        <v>232</v>
      </c>
      <c r="BS46" s="14">
        <v>3.0000000000000001E-3</v>
      </c>
      <c r="BW46" s="8" t="s">
        <v>163</v>
      </c>
      <c r="BX46" s="8" t="s">
        <v>168</v>
      </c>
      <c r="BY46">
        <v>0.2</v>
      </c>
      <c r="BZ46">
        <v>0.08</v>
      </c>
      <c r="CA46">
        <v>0.16</v>
      </c>
      <c r="CB46">
        <v>0.2</v>
      </c>
      <c r="CC46">
        <v>0.16</v>
      </c>
      <c r="CD46">
        <v>0.18</v>
      </c>
      <c r="CE46">
        <v>1</v>
      </c>
      <c r="CH46" s="2"/>
      <c r="CI46" t="s">
        <v>166</v>
      </c>
      <c r="CJ46">
        <v>7.0000000000000007E-2</v>
      </c>
      <c r="CK46">
        <v>7.0000000000000007E-2</v>
      </c>
      <c r="CL46">
        <v>7.0000000000000007E-2</v>
      </c>
      <c r="CM46">
        <v>7.0000000000000007E-2</v>
      </c>
      <c r="CN46">
        <v>7.0000000000000007E-2</v>
      </c>
      <c r="CO46">
        <v>7.0000000000000007E-2</v>
      </c>
    </row>
    <row r="47" spans="8:93" x14ac:dyDescent="0.2">
      <c r="BR47" s="14" t="s">
        <v>233</v>
      </c>
      <c r="BS47" s="14">
        <v>5.0000000000000001E-3</v>
      </c>
      <c r="BW47" s="8" t="s">
        <v>164</v>
      </c>
      <c r="BX47" s="8" t="s">
        <v>168</v>
      </c>
      <c r="BY47">
        <v>0.1</v>
      </c>
      <c r="BZ47">
        <v>0.1</v>
      </c>
      <c r="CA47">
        <v>7.0000000000000007E-2</v>
      </c>
      <c r="CB47">
        <v>7.0000000000000007E-2</v>
      </c>
      <c r="CC47">
        <v>7.0000000000000007E-2</v>
      </c>
      <c r="CD47">
        <v>0.06</v>
      </c>
      <c r="CE47">
        <v>2</v>
      </c>
      <c r="CH47" s="4" t="s">
        <v>175</v>
      </c>
      <c r="CI47" t="s">
        <v>163</v>
      </c>
      <c r="CJ47">
        <v>0.16</v>
      </c>
      <c r="CK47">
        <v>0.16</v>
      </c>
      <c r="CL47">
        <v>0.16</v>
      </c>
      <c r="CM47">
        <v>0.16</v>
      </c>
      <c r="CN47">
        <v>0.16</v>
      </c>
      <c r="CO47">
        <v>0.16</v>
      </c>
    </row>
    <row r="48" spans="8:93" x14ac:dyDescent="0.2">
      <c r="BR48" s="14" t="s">
        <v>223</v>
      </c>
      <c r="BS48" s="14">
        <v>2.5999999999999999E-3</v>
      </c>
      <c r="BW48" s="8" t="s">
        <v>165</v>
      </c>
      <c r="BX48" s="8" t="s">
        <v>168</v>
      </c>
      <c r="BY48">
        <v>0.12</v>
      </c>
      <c r="BZ48">
        <v>0.09</v>
      </c>
      <c r="CA48">
        <v>0.09</v>
      </c>
      <c r="CB48">
        <v>0.14000000000000001</v>
      </c>
      <c r="CC48">
        <v>0.13</v>
      </c>
      <c r="CD48">
        <v>0.16</v>
      </c>
      <c r="CE48">
        <v>3</v>
      </c>
      <c r="CH48" s="2"/>
      <c r="CI48" t="s">
        <v>164</v>
      </c>
      <c r="CJ48">
        <v>7.0000000000000007E-2</v>
      </c>
      <c r="CK48">
        <v>7.0000000000000007E-2</v>
      </c>
      <c r="CL48">
        <v>7.0000000000000007E-2</v>
      </c>
      <c r="CM48">
        <v>7.0000000000000007E-2</v>
      </c>
      <c r="CN48">
        <v>7.0000000000000007E-2</v>
      </c>
      <c r="CO48">
        <v>7.0000000000000007E-2</v>
      </c>
    </row>
    <row r="49" spans="70:93" x14ac:dyDescent="0.2">
      <c r="BR49" s="14" t="s">
        <v>234</v>
      </c>
      <c r="BS49" s="14">
        <v>1.8E-3</v>
      </c>
      <c r="BW49" s="8" t="s">
        <v>166</v>
      </c>
      <c r="BX49" s="8" t="s">
        <v>168</v>
      </c>
      <c r="BY49">
        <v>0.18</v>
      </c>
      <c r="BZ49">
        <v>7.0000000000000007E-2</v>
      </c>
      <c r="CA49">
        <v>0.2</v>
      </c>
      <c r="CB49">
        <v>0.16</v>
      </c>
      <c r="CC49">
        <v>0.1</v>
      </c>
      <c r="CD49">
        <v>0.21</v>
      </c>
      <c r="CE49">
        <v>4</v>
      </c>
      <c r="CH49" s="4"/>
      <c r="CI49" t="s">
        <v>165</v>
      </c>
      <c r="CJ49">
        <v>0.09</v>
      </c>
      <c r="CK49">
        <v>0.09</v>
      </c>
      <c r="CL49">
        <v>0.09</v>
      </c>
      <c r="CM49">
        <v>0.09</v>
      </c>
      <c r="CN49">
        <v>0.09</v>
      </c>
      <c r="CO49">
        <v>0.09</v>
      </c>
    </row>
    <row r="50" spans="70:93" x14ac:dyDescent="0.2">
      <c r="BW50" s="8" t="s">
        <v>163</v>
      </c>
      <c r="BX50" s="8" t="s">
        <v>170</v>
      </c>
      <c r="BY50">
        <v>0.2</v>
      </c>
      <c r="BZ50">
        <v>0.08</v>
      </c>
      <c r="CA50">
        <v>0.16</v>
      </c>
      <c r="CB50">
        <v>0.2</v>
      </c>
      <c r="CC50">
        <v>0.16</v>
      </c>
      <c r="CD50">
        <v>0.18</v>
      </c>
      <c r="CE50">
        <v>1</v>
      </c>
      <c r="CH50" s="2"/>
      <c r="CI50" t="s">
        <v>166</v>
      </c>
      <c r="CJ50">
        <v>0.2</v>
      </c>
      <c r="CK50">
        <v>0.2</v>
      </c>
      <c r="CL50">
        <v>0.2</v>
      </c>
      <c r="CM50">
        <v>0.2</v>
      </c>
      <c r="CN50">
        <v>0.2</v>
      </c>
      <c r="CO50">
        <v>0.2</v>
      </c>
    </row>
    <row r="51" spans="70:93" x14ac:dyDescent="0.2">
      <c r="BW51" s="8" t="s">
        <v>164</v>
      </c>
      <c r="BX51" s="8" t="s">
        <v>170</v>
      </c>
      <c r="BY51">
        <v>0.1</v>
      </c>
      <c r="BZ51">
        <v>0.1</v>
      </c>
      <c r="CA51">
        <v>7.0000000000000007E-2</v>
      </c>
      <c r="CB51">
        <v>7.0000000000000007E-2</v>
      </c>
      <c r="CC51">
        <v>7.0000000000000007E-2</v>
      </c>
      <c r="CD51">
        <v>0.06</v>
      </c>
      <c r="CE51">
        <v>2</v>
      </c>
      <c r="CH51" s="4" t="s">
        <v>176</v>
      </c>
      <c r="CI51" t="s">
        <v>163</v>
      </c>
      <c r="CJ51">
        <v>0.2</v>
      </c>
      <c r="CK51">
        <v>0.2</v>
      </c>
      <c r="CL51">
        <v>0.2</v>
      </c>
      <c r="CM51">
        <v>0.2</v>
      </c>
      <c r="CN51">
        <v>0.2</v>
      </c>
      <c r="CO51">
        <v>0.2</v>
      </c>
    </row>
    <row r="52" spans="70:93" x14ac:dyDescent="0.2">
      <c r="BW52" s="8" t="s">
        <v>165</v>
      </c>
      <c r="BX52" s="8" t="s">
        <v>170</v>
      </c>
      <c r="BY52">
        <v>0.12</v>
      </c>
      <c r="BZ52">
        <v>0.09</v>
      </c>
      <c r="CA52">
        <v>0.09</v>
      </c>
      <c r="CB52">
        <v>0.14000000000000001</v>
      </c>
      <c r="CC52">
        <v>0.13</v>
      </c>
      <c r="CD52">
        <v>0.06</v>
      </c>
      <c r="CE52">
        <v>3</v>
      </c>
      <c r="CH52" s="2"/>
      <c r="CI52" t="s">
        <v>164</v>
      </c>
      <c r="CJ52">
        <v>7.0000000000000007E-2</v>
      </c>
      <c r="CK52">
        <v>7.0000000000000007E-2</v>
      </c>
      <c r="CL52">
        <v>7.0000000000000007E-2</v>
      </c>
      <c r="CM52">
        <v>7.0000000000000007E-2</v>
      </c>
      <c r="CN52">
        <v>7.0000000000000007E-2</v>
      </c>
      <c r="CO52">
        <v>7.0000000000000007E-2</v>
      </c>
    </row>
    <row r="53" spans="70:93" x14ac:dyDescent="0.2">
      <c r="BW53" s="8" t="s">
        <v>166</v>
      </c>
      <c r="BX53" s="8" t="s">
        <v>170</v>
      </c>
      <c r="BY53">
        <v>0.18</v>
      </c>
      <c r="BZ53">
        <v>7.0000000000000007E-2</v>
      </c>
      <c r="CA53">
        <v>0.2</v>
      </c>
      <c r="CB53">
        <v>0.16</v>
      </c>
      <c r="CC53">
        <v>0.1</v>
      </c>
      <c r="CD53">
        <v>0.21</v>
      </c>
      <c r="CE53">
        <v>4</v>
      </c>
      <c r="CH53" s="4"/>
      <c r="CI53" t="s">
        <v>165</v>
      </c>
      <c r="CJ53">
        <v>0.14000000000000001</v>
      </c>
      <c r="CK53">
        <v>0.14000000000000001</v>
      </c>
      <c r="CL53">
        <v>0.14000000000000001</v>
      </c>
      <c r="CM53">
        <v>0.14000000000000001</v>
      </c>
      <c r="CN53">
        <v>0.14000000000000001</v>
      </c>
      <c r="CO53">
        <v>0.14000000000000001</v>
      </c>
    </row>
    <row r="54" spans="70:93" x14ac:dyDescent="0.2">
      <c r="BW54" s="8" t="s">
        <v>163</v>
      </c>
      <c r="BX54" s="8" t="s">
        <v>162</v>
      </c>
      <c r="BY54">
        <v>0.2</v>
      </c>
      <c r="BZ54">
        <v>0.08</v>
      </c>
      <c r="CA54">
        <v>0.16</v>
      </c>
      <c r="CB54">
        <v>0.2</v>
      </c>
      <c r="CC54">
        <v>0.16</v>
      </c>
      <c r="CD54">
        <v>0.18</v>
      </c>
      <c r="CE54">
        <v>1</v>
      </c>
      <c r="CH54" s="2"/>
      <c r="CI54" t="s">
        <v>166</v>
      </c>
      <c r="CJ54">
        <v>0.16</v>
      </c>
      <c r="CK54">
        <v>0.16</v>
      </c>
      <c r="CL54">
        <v>0.16</v>
      </c>
      <c r="CM54">
        <v>0.16</v>
      </c>
      <c r="CN54">
        <v>0.16</v>
      </c>
      <c r="CO54">
        <v>0.16</v>
      </c>
    </row>
    <row r="55" spans="70:93" x14ac:dyDescent="0.2">
      <c r="BW55" s="8" t="s">
        <v>164</v>
      </c>
      <c r="BX55" s="8" t="s">
        <v>162</v>
      </c>
      <c r="BY55">
        <v>0.1</v>
      </c>
      <c r="BZ55">
        <v>0.1</v>
      </c>
      <c r="CA55">
        <v>7.0000000000000007E-2</v>
      </c>
      <c r="CB55">
        <v>7.0000000000000007E-2</v>
      </c>
      <c r="CC55">
        <v>7.0000000000000007E-2</v>
      </c>
      <c r="CD55">
        <v>0.06</v>
      </c>
      <c r="CE55">
        <v>2</v>
      </c>
      <c r="CH55" s="4" t="s">
        <v>177</v>
      </c>
      <c r="CI55" t="s">
        <v>163</v>
      </c>
      <c r="CJ55">
        <v>0.16</v>
      </c>
      <c r="CK55">
        <v>0.16</v>
      </c>
      <c r="CL55">
        <v>0.16</v>
      </c>
      <c r="CM55">
        <v>0.16</v>
      </c>
      <c r="CN55">
        <v>0.16</v>
      </c>
      <c r="CO55">
        <v>0.16</v>
      </c>
    </row>
    <row r="56" spans="70:93" x14ac:dyDescent="0.2">
      <c r="BW56" s="8" t="s">
        <v>165</v>
      </c>
      <c r="BX56" s="8" t="s">
        <v>162</v>
      </c>
      <c r="BY56">
        <v>0.12</v>
      </c>
      <c r="BZ56">
        <v>0.09</v>
      </c>
      <c r="CA56">
        <v>0.09</v>
      </c>
      <c r="CB56">
        <v>0.14000000000000001</v>
      </c>
      <c r="CC56">
        <v>0.13</v>
      </c>
      <c r="CD56">
        <v>0.06</v>
      </c>
      <c r="CE56">
        <v>3</v>
      </c>
      <c r="CH56" s="2"/>
      <c r="CI56" t="s">
        <v>164</v>
      </c>
      <c r="CJ56">
        <v>7.0000000000000007E-2</v>
      </c>
      <c r="CK56">
        <v>7.0000000000000007E-2</v>
      </c>
      <c r="CL56">
        <v>7.0000000000000007E-2</v>
      </c>
      <c r="CM56">
        <v>7.0000000000000007E-2</v>
      </c>
      <c r="CN56">
        <v>7.0000000000000007E-2</v>
      </c>
      <c r="CO56">
        <v>7.0000000000000007E-2</v>
      </c>
    </row>
    <row r="57" spans="70:93" x14ac:dyDescent="0.2">
      <c r="BW57" s="8" t="s">
        <v>166</v>
      </c>
      <c r="BX57" s="8" t="s">
        <v>162</v>
      </c>
      <c r="BY57">
        <v>0.18</v>
      </c>
      <c r="BZ57">
        <v>7.0000000000000007E-2</v>
      </c>
      <c r="CA57">
        <v>0.2</v>
      </c>
      <c r="CB57">
        <v>0.16</v>
      </c>
      <c r="CC57">
        <v>0.1</v>
      </c>
      <c r="CD57">
        <v>0.21</v>
      </c>
      <c r="CE57">
        <v>4</v>
      </c>
      <c r="CH57" s="4"/>
      <c r="CI57" t="s">
        <v>165</v>
      </c>
      <c r="CJ57">
        <v>0.13</v>
      </c>
      <c r="CK57">
        <v>0.13</v>
      </c>
      <c r="CL57">
        <v>0.13</v>
      </c>
      <c r="CM57">
        <v>0.13</v>
      </c>
      <c r="CN57">
        <v>0.13</v>
      </c>
      <c r="CO57">
        <v>0.13</v>
      </c>
    </row>
    <row r="58" spans="70:93" x14ac:dyDescent="0.2">
      <c r="BW58" s="8" t="s">
        <v>163</v>
      </c>
      <c r="BX58" s="8" t="s">
        <v>167</v>
      </c>
      <c r="BY58">
        <v>0.2</v>
      </c>
      <c r="BZ58">
        <v>0.08</v>
      </c>
      <c r="CA58">
        <v>0.16</v>
      </c>
      <c r="CB58">
        <v>0.2</v>
      </c>
      <c r="CC58">
        <v>0.16</v>
      </c>
      <c r="CD58">
        <v>0.18</v>
      </c>
      <c r="CE58">
        <v>1</v>
      </c>
      <c r="CH58" s="2"/>
      <c r="CI58" t="s">
        <v>166</v>
      </c>
      <c r="CJ58">
        <v>0.1</v>
      </c>
      <c r="CK58">
        <v>0.1</v>
      </c>
      <c r="CL58">
        <v>0.1</v>
      </c>
      <c r="CM58">
        <v>0.1</v>
      </c>
      <c r="CN58">
        <v>0.1</v>
      </c>
      <c r="CO58">
        <v>0.1</v>
      </c>
    </row>
    <row r="59" spans="70:93" x14ac:dyDescent="0.2">
      <c r="BW59" s="8" t="s">
        <v>164</v>
      </c>
      <c r="BX59" s="8" t="s">
        <v>167</v>
      </c>
      <c r="BY59">
        <v>0.1</v>
      </c>
      <c r="BZ59">
        <v>0.1</v>
      </c>
      <c r="CA59">
        <v>7.0000000000000007E-2</v>
      </c>
      <c r="CB59">
        <v>7.0000000000000007E-2</v>
      </c>
      <c r="CC59">
        <v>7.0000000000000007E-2</v>
      </c>
      <c r="CD59">
        <v>0.06</v>
      </c>
      <c r="CE59">
        <v>2</v>
      </c>
      <c r="CH59" s="4" t="s">
        <v>178</v>
      </c>
      <c r="CI59" t="s">
        <v>163</v>
      </c>
      <c r="CJ59">
        <v>0.18</v>
      </c>
      <c r="CK59">
        <v>0.18</v>
      </c>
      <c r="CL59">
        <v>0.18</v>
      </c>
      <c r="CM59">
        <v>0.18</v>
      </c>
      <c r="CN59">
        <v>0.18</v>
      </c>
      <c r="CO59">
        <v>0.18</v>
      </c>
    </row>
    <row r="60" spans="70:93" x14ac:dyDescent="0.2">
      <c r="BW60" s="8" t="s">
        <v>165</v>
      </c>
      <c r="BX60" s="8" t="s">
        <v>167</v>
      </c>
      <c r="BY60">
        <v>0.12</v>
      </c>
      <c r="BZ60">
        <v>0.09</v>
      </c>
      <c r="CA60">
        <v>0.09</v>
      </c>
      <c r="CB60">
        <v>0.14000000000000001</v>
      </c>
      <c r="CC60">
        <v>0.13</v>
      </c>
      <c r="CD60">
        <v>0.06</v>
      </c>
      <c r="CE60">
        <v>3</v>
      </c>
      <c r="CH60" s="2"/>
      <c r="CI60" t="s">
        <v>164</v>
      </c>
      <c r="CJ60">
        <v>0.06</v>
      </c>
      <c r="CK60">
        <v>0.06</v>
      </c>
      <c r="CL60">
        <v>0.06</v>
      </c>
      <c r="CM60">
        <v>0.06</v>
      </c>
      <c r="CN60">
        <v>0.06</v>
      </c>
      <c r="CO60">
        <v>0.06</v>
      </c>
    </row>
    <row r="61" spans="70:93" x14ac:dyDescent="0.2">
      <c r="BW61" s="8" t="s">
        <v>166</v>
      </c>
      <c r="BX61" s="8" t="s">
        <v>167</v>
      </c>
      <c r="BY61">
        <v>0.18</v>
      </c>
      <c r="BZ61">
        <v>7.0000000000000007E-2</v>
      </c>
      <c r="CA61">
        <v>0.2</v>
      </c>
      <c r="CB61">
        <v>0.16</v>
      </c>
      <c r="CC61">
        <v>0.1</v>
      </c>
      <c r="CD61">
        <v>0.21</v>
      </c>
      <c r="CE61">
        <v>4</v>
      </c>
      <c r="CH61" s="4"/>
      <c r="CI61" t="s">
        <v>165</v>
      </c>
      <c r="CJ61">
        <v>0.06</v>
      </c>
      <c r="CK61">
        <v>0.06</v>
      </c>
      <c r="CL61">
        <v>0.16</v>
      </c>
      <c r="CM61">
        <v>0.16</v>
      </c>
      <c r="CN61">
        <v>0.06</v>
      </c>
      <c r="CO61">
        <v>0.16</v>
      </c>
    </row>
    <row r="62" spans="70:93" x14ac:dyDescent="0.2">
      <c r="CH62" s="7"/>
      <c r="CI62" t="s">
        <v>166</v>
      </c>
      <c r="CJ62">
        <v>0.21</v>
      </c>
      <c r="CK62">
        <v>0.21</v>
      </c>
      <c r="CL62">
        <v>0.21</v>
      </c>
      <c r="CM62">
        <v>0.21</v>
      </c>
      <c r="CN62">
        <v>0.21</v>
      </c>
      <c r="CO62">
        <v>0.21</v>
      </c>
    </row>
    <row r="66" spans="62:93" ht="17" thickBot="1" x14ac:dyDescent="0.25">
      <c r="BW66" t="s">
        <v>191</v>
      </c>
      <c r="BX66" t="s">
        <v>128</v>
      </c>
      <c r="CH66" s="9" t="s">
        <v>181</v>
      </c>
      <c r="CI66" s="10" t="s">
        <v>182</v>
      </c>
      <c r="CJ66" s="10" t="s">
        <v>183</v>
      </c>
      <c r="CK66" s="10" t="s">
        <v>184</v>
      </c>
      <c r="CL66" s="10" t="s">
        <v>185</v>
      </c>
      <c r="CM66" s="10" t="s">
        <v>186</v>
      </c>
      <c r="CN66" s="10" t="s">
        <v>187</v>
      </c>
      <c r="CO66" s="11" t="s">
        <v>188</v>
      </c>
    </row>
    <row r="67" spans="62:93" ht="17" thickTop="1" x14ac:dyDescent="0.2">
      <c r="BW67" t="s">
        <v>180</v>
      </c>
      <c r="BX67" t="s">
        <v>161</v>
      </c>
      <c r="BY67" t="s">
        <v>173</v>
      </c>
      <c r="BZ67" t="s">
        <v>174</v>
      </c>
      <c r="CA67" t="s">
        <v>175</v>
      </c>
      <c r="CB67" t="s">
        <v>176</v>
      </c>
      <c r="CC67" t="s">
        <v>177</v>
      </c>
      <c r="CD67" t="s">
        <v>178</v>
      </c>
      <c r="CE67" t="s">
        <v>189</v>
      </c>
      <c r="CH67" s="2" t="s">
        <v>179</v>
      </c>
      <c r="CI67" s="3" t="s">
        <v>180</v>
      </c>
      <c r="CJ67" s="3" t="s">
        <v>162</v>
      </c>
      <c r="CK67" s="3" t="s">
        <v>167</v>
      </c>
      <c r="CL67" s="3" t="s">
        <v>168</v>
      </c>
      <c r="CM67" s="3" t="s">
        <v>169</v>
      </c>
      <c r="CN67" s="3" t="s">
        <v>170</v>
      </c>
      <c r="CO67" s="6" t="s">
        <v>171</v>
      </c>
    </row>
    <row r="68" spans="62:93" x14ac:dyDescent="0.2">
      <c r="BJ68" s="8"/>
      <c r="BK68" s="8"/>
      <c r="BW68" s="8" t="s">
        <v>163</v>
      </c>
      <c r="BX68" s="8" t="s">
        <v>169</v>
      </c>
      <c r="BY68">
        <v>0.75</v>
      </c>
      <c r="BZ68">
        <v>0.51</v>
      </c>
      <c r="CA68">
        <v>0.7</v>
      </c>
      <c r="CB68">
        <v>0.75</v>
      </c>
      <c r="CC68">
        <v>0.7</v>
      </c>
      <c r="CD68">
        <v>0.73</v>
      </c>
      <c r="CE68">
        <v>1</v>
      </c>
      <c r="CH68" s="4" t="s">
        <v>173</v>
      </c>
      <c r="CI68" s="14" t="s">
        <v>163</v>
      </c>
      <c r="CJ68" s="14">
        <v>0.75</v>
      </c>
      <c r="CK68" s="14">
        <v>0.75</v>
      </c>
      <c r="CL68" s="14">
        <v>0.75</v>
      </c>
      <c r="CM68" s="14">
        <v>0.75</v>
      </c>
      <c r="CN68" s="14">
        <v>0.75</v>
      </c>
      <c r="CO68" s="14">
        <v>0.75</v>
      </c>
    </row>
    <row r="69" spans="62:93" x14ac:dyDescent="0.2">
      <c r="BJ69" s="8"/>
      <c r="BK69" s="8"/>
      <c r="BW69" s="8" t="s">
        <v>164</v>
      </c>
      <c r="BX69" s="8" t="s">
        <v>169</v>
      </c>
      <c r="BY69">
        <v>0.61</v>
      </c>
      <c r="BZ69">
        <v>0.55000000000000004</v>
      </c>
      <c r="CA69">
        <v>0.55000000000000004</v>
      </c>
      <c r="CB69">
        <v>0.55000000000000004</v>
      </c>
      <c r="CC69">
        <v>0.55000000000000004</v>
      </c>
      <c r="CD69">
        <v>0.55000000000000004</v>
      </c>
      <c r="CE69">
        <v>2</v>
      </c>
      <c r="CH69" s="2"/>
      <c r="CI69" s="14" t="s">
        <v>164</v>
      </c>
      <c r="CJ69" s="14">
        <v>0.61</v>
      </c>
      <c r="CK69" s="14">
        <v>0.61</v>
      </c>
      <c r="CL69" s="14">
        <v>0.61</v>
      </c>
      <c r="CM69" s="14">
        <v>0.61</v>
      </c>
      <c r="CN69" s="14">
        <v>0.61</v>
      </c>
      <c r="CO69">
        <v>0.61</v>
      </c>
    </row>
    <row r="70" spans="62:93" x14ac:dyDescent="0.2">
      <c r="BJ70" s="8"/>
      <c r="BK70" s="8"/>
      <c r="BW70" s="8" t="s">
        <v>165</v>
      </c>
      <c r="BX70" s="8" t="s">
        <v>169</v>
      </c>
      <c r="BY70">
        <v>0.64</v>
      </c>
      <c r="BZ70">
        <v>0.59</v>
      </c>
      <c r="CA70">
        <v>0.55000000000000004</v>
      </c>
      <c r="CB70">
        <v>0.67</v>
      </c>
      <c r="CC70">
        <v>0.65</v>
      </c>
      <c r="CD70">
        <v>0.7</v>
      </c>
      <c r="CE70">
        <v>3</v>
      </c>
      <c r="CH70" s="4"/>
      <c r="CI70" s="14" t="s">
        <v>165</v>
      </c>
      <c r="CJ70" s="14">
        <v>0.64</v>
      </c>
      <c r="CK70" s="14">
        <v>0.64</v>
      </c>
      <c r="CL70" s="14">
        <v>0.64</v>
      </c>
      <c r="CM70" s="14">
        <v>0.64</v>
      </c>
      <c r="CN70" s="14">
        <v>0.64</v>
      </c>
      <c r="CO70">
        <v>0.64</v>
      </c>
    </row>
    <row r="71" spans="62:93" ht="17" thickBot="1" x14ac:dyDescent="0.25">
      <c r="BJ71" s="8"/>
      <c r="BK71" s="8"/>
      <c r="BW71" s="8" t="s">
        <v>166</v>
      </c>
      <c r="BX71" s="8" t="s">
        <v>169</v>
      </c>
      <c r="BY71">
        <v>0.72</v>
      </c>
      <c r="BZ71">
        <v>0.57999999999999996</v>
      </c>
      <c r="CA71">
        <v>0.75</v>
      </c>
      <c r="CB71">
        <v>0.7</v>
      </c>
      <c r="CC71">
        <v>0.6</v>
      </c>
      <c r="CD71">
        <v>0.76</v>
      </c>
      <c r="CE71">
        <v>4</v>
      </c>
      <c r="CH71" s="2"/>
      <c r="CI71" s="14" t="s">
        <v>166</v>
      </c>
      <c r="CJ71" s="14">
        <v>0.72</v>
      </c>
      <c r="CK71" s="14">
        <v>0.72</v>
      </c>
      <c r="CL71" s="14">
        <v>0.72</v>
      </c>
      <c r="CM71" s="14">
        <v>0.72</v>
      </c>
      <c r="CN71" s="14">
        <v>0.72</v>
      </c>
      <c r="CO71">
        <v>0.72</v>
      </c>
    </row>
    <row r="72" spans="62:93" ht="18" thickTop="1" thickBot="1" x14ac:dyDescent="0.25">
      <c r="BJ72" s="8"/>
      <c r="BK72" s="6"/>
      <c r="BW72" s="8" t="s">
        <v>163</v>
      </c>
      <c r="BX72" s="8" t="s">
        <v>171</v>
      </c>
      <c r="BY72">
        <v>0.75</v>
      </c>
      <c r="BZ72">
        <v>0.51</v>
      </c>
      <c r="CA72">
        <v>0.7</v>
      </c>
      <c r="CB72">
        <v>0.75</v>
      </c>
      <c r="CC72">
        <v>0.7</v>
      </c>
      <c r="CD72">
        <v>0.73</v>
      </c>
      <c r="CE72">
        <v>1</v>
      </c>
      <c r="CH72" s="4" t="s">
        <v>174</v>
      </c>
      <c r="CI72" s="14" t="s">
        <v>163</v>
      </c>
      <c r="CJ72" s="14">
        <v>0.51</v>
      </c>
      <c r="CK72" s="14">
        <v>0.51</v>
      </c>
      <c r="CL72" s="14">
        <v>0.51</v>
      </c>
      <c r="CM72" s="14">
        <v>0.51</v>
      </c>
      <c r="CN72" s="14">
        <v>0.51</v>
      </c>
      <c r="CO72" s="14">
        <v>0.51</v>
      </c>
    </row>
    <row r="73" spans="62:93" ht="18" thickTop="1" thickBot="1" x14ac:dyDescent="0.25">
      <c r="BJ73" s="8"/>
      <c r="BK73" s="6"/>
      <c r="BW73" s="8" t="s">
        <v>164</v>
      </c>
      <c r="BX73" s="8" t="s">
        <v>171</v>
      </c>
      <c r="BY73">
        <v>0.61</v>
      </c>
      <c r="BZ73">
        <v>0.55000000000000004</v>
      </c>
      <c r="CA73">
        <v>0.55000000000000004</v>
      </c>
      <c r="CB73">
        <v>0.55000000000000004</v>
      </c>
      <c r="CC73">
        <v>0.55000000000000004</v>
      </c>
      <c r="CD73">
        <v>0.55000000000000004</v>
      </c>
      <c r="CE73">
        <v>2</v>
      </c>
      <c r="CH73" s="2"/>
      <c r="CI73" s="14" t="s">
        <v>164</v>
      </c>
      <c r="CJ73" s="14">
        <v>0.55000000000000004</v>
      </c>
      <c r="CK73" s="14">
        <v>0.55000000000000004</v>
      </c>
      <c r="CL73" s="14">
        <v>0.55000000000000004</v>
      </c>
      <c r="CM73" s="14">
        <v>0.55000000000000004</v>
      </c>
      <c r="CN73" s="14">
        <v>0.55000000000000004</v>
      </c>
      <c r="CO73">
        <v>0.55000000000000004</v>
      </c>
    </row>
    <row r="74" spans="62:93" ht="18" thickTop="1" thickBot="1" x14ac:dyDescent="0.25">
      <c r="BJ74" s="8"/>
      <c r="BK74" s="6"/>
      <c r="BW74" s="8" t="s">
        <v>165</v>
      </c>
      <c r="BX74" s="8" t="s">
        <v>171</v>
      </c>
      <c r="BY74">
        <v>0.64</v>
      </c>
      <c r="BZ74">
        <v>0.59</v>
      </c>
      <c r="CA74">
        <v>0.55000000000000004</v>
      </c>
      <c r="CB74">
        <v>0.67</v>
      </c>
      <c r="CC74">
        <v>0.65</v>
      </c>
      <c r="CD74">
        <v>0.7</v>
      </c>
      <c r="CE74">
        <v>3</v>
      </c>
      <c r="CH74" s="4"/>
      <c r="CI74" s="14" t="s">
        <v>165</v>
      </c>
      <c r="CJ74" s="14">
        <v>0.59</v>
      </c>
      <c r="CK74" s="14">
        <v>0.59</v>
      </c>
      <c r="CL74" s="14">
        <v>0.59</v>
      </c>
      <c r="CM74" s="14">
        <v>0.59</v>
      </c>
      <c r="CN74" s="14">
        <v>0.59</v>
      </c>
      <c r="CO74">
        <v>0.59</v>
      </c>
    </row>
    <row r="75" spans="62:93" ht="17" thickTop="1" x14ac:dyDescent="0.2">
      <c r="BJ75" s="8"/>
      <c r="BK75" s="6"/>
      <c r="BW75" s="8" t="s">
        <v>166</v>
      </c>
      <c r="BX75" s="8" t="s">
        <v>171</v>
      </c>
      <c r="BY75">
        <v>0.72</v>
      </c>
      <c r="BZ75">
        <v>0.57999999999999996</v>
      </c>
      <c r="CA75">
        <v>0.75</v>
      </c>
      <c r="CB75">
        <v>0.7</v>
      </c>
      <c r="CC75">
        <v>0.6</v>
      </c>
      <c r="CD75">
        <v>0.76</v>
      </c>
      <c r="CE75">
        <v>4</v>
      </c>
      <c r="CH75" s="2"/>
      <c r="CI75" s="14" t="s">
        <v>166</v>
      </c>
      <c r="CJ75" s="14">
        <v>0.57999999999999996</v>
      </c>
      <c r="CK75" s="14">
        <v>0.57999999999999996</v>
      </c>
      <c r="CL75" s="14">
        <v>0.57999999999999996</v>
      </c>
      <c r="CM75" s="14">
        <v>0.57999999999999996</v>
      </c>
      <c r="CN75" s="14">
        <v>0.57999999999999996</v>
      </c>
      <c r="CO75">
        <v>0.57999999999999996</v>
      </c>
    </row>
    <row r="76" spans="62:93" x14ac:dyDescent="0.2">
      <c r="BJ76" s="8"/>
      <c r="BK76" s="8"/>
      <c r="BW76" s="8" t="s">
        <v>163</v>
      </c>
      <c r="BX76" s="8" t="s">
        <v>168</v>
      </c>
      <c r="BY76">
        <v>0.75</v>
      </c>
      <c r="BZ76">
        <v>0.51</v>
      </c>
      <c r="CA76">
        <v>0.7</v>
      </c>
      <c r="CB76">
        <v>0.75</v>
      </c>
      <c r="CC76">
        <v>0.7</v>
      </c>
      <c r="CD76">
        <v>0.73</v>
      </c>
      <c r="CE76">
        <v>1</v>
      </c>
      <c r="CH76" s="4" t="s">
        <v>175</v>
      </c>
      <c r="CI76" s="14" t="s">
        <v>163</v>
      </c>
      <c r="CJ76" s="14">
        <v>0.7</v>
      </c>
      <c r="CK76" s="14">
        <v>0.7</v>
      </c>
      <c r="CL76" s="14">
        <v>0.7</v>
      </c>
      <c r="CM76" s="14">
        <v>0.7</v>
      </c>
      <c r="CN76" s="14">
        <v>0.7</v>
      </c>
      <c r="CO76" s="14">
        <v>0.7</v>
      </c>
    </row>
    <row r="77" spans="62:93" x14ac:dyDescent="0.2">
      <c r="BJ77" s="8"/>
      <c r="BK77" s="8"/>
      <c r="BW77" s="8" t="s">
        <v>164</v>
      </c>
      <c r="BX77" s="8" t="s">
        <v>168</v>
      </c>
      <c r="BY77">
        <v>0.61</v>
      </c>
      <c r="BZ77">
        <v>0.55000000000000004</v>
      </c>
      <c r="CA77">
        <v>0.55000000000000004</v>
      </c>
      <c r="CB77">
        <v>0.55000000000000004</v>
      </c>
      <c r="CC77">
        <v>0.55000000000000004</v>
      </c>
      <c r="CD77">
        <v>0.55000000000000004</v>
      </c>
      <c r="CE77">
        <v>2</v>
      </c>
      <c r="CH77" s="2"/>
      <c r="CI77" s="14" t="s">
        <v>164</v>
      </c>
      <c r="CJ77" s="14">
        <v>0.55000000000000004</v>
      </c>
      <c r="CK77" s="14">
        <v>0.55000000000000004</v>
      </c>
      <c r="CL77" s="14">
        <v>0.55000000000000004</v>
      </c>
      <c r="CM77" s="14">
        <v>0.55000000000000004</v>
      </c>
      <c r="CN77" s="14">
        <v>0.55000000000000004</v>
      </c>
      <c r="CO77">
        <v>0.55000000000000004</v>
      </c>
    </row>
    <row r="78" spans="62:93" x14ac:dyDescent="0.2">
      <c r="BJ78" s="8"/>
      <c r="BK78" s="8"/>
      <c r="BW78" s="8" t="s">
        <v>165</v>
      </c>
      <c r="BX78" s="8" t="s">
        <v>168</v>
      </c>
      <c r="BY78">
        <v>0.64</v>
      </c>
      <c r="BZ78">
        <v>0.59</v>
      </c>
      <c r="CA78">
        <v>0.55000000000000004</v>
      </c>
      <c r="CB78">
        <v>0.67</v>
      </c>
      <c r="CC78">
        <v>0.65</v>
      </c>
      <c r="CD78">
        <v>0.7</v>
      </c>
      <c r="CE78">
        <v>3</v>
      </c>
      <c r="CH78" s="4"/>
      <c r="CI78" s="14" t="s">
        <v>165</v>
      </c>
      <c r="CJ78" s="14">
        <v>0.55000000000000004</v>
      </c>
      <c r="CK78" s="14">
        <v>0.55000000000000004</v>
      </c>
      <c r="CL78" s="14">
        <v>0.55000000000000004</v>
      </c>
      <c r="CM78" s="14">
        <v>0.55000000000000004</v>
      </c>
      <c r="CN78" s="14">
        <v>0.55000000000000004</v>
      </c>
      <c r="CO78">
        <v>0.55000000000000004</v>
      </c>
    </row>
    <row r="79" spans="62:93" x14ac:dyDescent="0.2">
      <c r="BJ79" s="8"/>
      <c r="BK79" s="8"/>
      <c r="BW79" s="8" t="s">
        <v>166</v>
      </c>
      <c r="BX79" s="8" t="s">
        <v>168</v>
      </c>
      <c r="BY79">
        <v>0.72</v>
      </c>
      <c r="BZ79">
        <v>0.57999999999999996</v>
      </c>
      <c r="CA79">
        <v>0.75</v>
      </c>
      <c r="CB79">
        <v>0.7</v>
      </c>
      <c r="CC79">
        <v>0.6</v>
      </c>
      <c r="CD79">
        <v>0.76</v>
      </c>
      <c r="CE79">
        <v>4</v>
      </c>
      <c r="CH79" s="2"/>
      <c r="CI79" s="14" t="s">
        <v>166</v>
      </c>
      <c r="CJ79" s="14">
        <v>0.75</v>
      </c>
      <c r="CK79" s="14">
        <v>0.75</v>
      </c>
      <c r="CL79" s="14">
        <v>0.75</v>
      </c>
      <c r="CM79" s="14">
        <v>0.75</v>
      </c>
      <c r="CN79" s="14">
        <v>0.75</v>
      </c>
      <c r="CO79">
        <v>0.75</v>
      </c>
    </row>
    <row r="80" spans="62:93" x14ac:dyDescent="0.2">
      <c r="BJ80" s="8"/>
      <c r="BK80" s="8"/>
      <c r="BW80" s="8" t="s">
        <v>163</v>
      </c>
      <c r="BX80" s="8" t="s">
        <v>170</v>
      </c>
      <c r="BY80">
        <v>0.75</v>
      </c>
      <c r="BZ80">
        <v>0.51</v>
      </c>
      <c r="CA80">
        <v>0.7</v>
      </c>
      <c r="CB80">
        <v>0.75</v>
      </c>
      <c r="CC80">
        <v>0.7</v>
      </c>
      <c r="CD80">
        <v>0.73</v>
      </c>
      <c r="CE80">
        <v>1</v>
      </c>
      <c r="CH80" s="4" t="s">
        <v>176</v>
      </c>
      <c r="CI80" s="14" t="s">
        <v>163</v>
      </c>
      <c r="CJ80" s="14">
        <v>0.75</v>
      </c>
      <c r="CK80" s="14">
        <v>0.75</v>
      </c>
      <c r="CL80" s="14">
        <v>0.75</v>
      </c>
      <c r="CM80" s="14">
        <v>0.75</v>
      </c>
      <c r="CN80" s="14">
        <v>0.75</v>
      </c>
      <c r="CO80" s="14">
        <v>0.75</v>
      </c>
    </row>
    <row r="81" spans="62:93" x14ac:dyDescent="0.2">
      <c r="BJ81" s="8"/>
      <c r="BK81" s="8"/>
      <c r="BW81" s="8" t="s">
        <v>164</v>
      </c>
      <c r="BX81" s="8" t="s">
        <v>170</v>
      </c>
      <c r="BY81">
        <v>0.61</v>
      </c>
      <c r="BZ81">
        <v>0.55000000000000004</v>
      </c>
      <c r="CA81">
        <v>0.55000000000000004</v>
      </c>
      <c r="CB81">
        <v>0.55000000000000004</v>
      </c>
      <c r="CC81">
        <v>0.55000000000000004</v>
      </c>
      <c r="CD81">
        <v>0.55000000000000004</v>
      </c>
      <c r="CE81">
        <v>2</v>
      </c>
      <c r="CH81" s="2"/>
      <c r="CI81" s="14" t="s">
        <v>164</v>
      </c>
      <c r="CJ81" s="14">
        <v>0.55000000000000004</v>
      </c>
      <c r="CK81" s="14">
        <v>0.55000000000000004</v>
      </c>
      <c r="CL81" s="14">
        <v>0.55000000000000004</v>
      </c>
      <c r="CM81" s="14">
        <v>0.55000000000000004</v>
      </c>
      <c r="CN81" s="14">
        <v>0.55000000000000004</v>
      </c>
      <c r="CO81">
        <v>0.55000000000000004</v>
      </c>
    </row>
    <row r="82" spans="62:93" x14ac:dyDescent="0.2">
      <c r="BJ82" s="8"/>
      <c r="BK82" s="8"/>
      <c r="BW82" s="8" t="s">
        <v>165</v>
      </c>
      <c r="BX82" s="8" t="s">
        <v>170</v>
      </c>
      <c r="BY82">
        <v>0.64</v>
      </c>
      <c r="BZ82">
        <v>0.59</v>
      </c>
      <c r="CA82">
        <v>0.55000000000000004</v>
      </c>
      <c r="CB82">
        <v>0.67</v>
      </c>
      <c r="CC82">
        <v>0.65</v>
      </c>
      <c r="CD82">
        <v>0.5</v>
      </c>
      <c r="CE82">
        <v>3</v>
      </c>
      <c r="CH82" s="4"/>
      <c r="CI82" s="14" t="s">
        <v>165</v>
      </c>
      <c r="CJ82" s="14">
        <v>0.67</v>
      </c>
      <c r="CK82" s="14">
        <v>0.67</v>
      </c>
      <c r="CL82" s="14">
        <v>0.67</v>
      </c>
      <c r="CM82" s="14">
        <v>0.67</v>
      </c>
      <c r="CN82" s="14">
        <v>0.67</v>
      </c>
      <c r="CO82">
        <v>0.67</v>
      </c>
    </row>
    <row r="83" spans="62:93" x14ac:dyDescent="0.2">
      <c r="BJ83" s="8"/>
      <c r="BK83" s="8"/>
      <c r="BW83" s="8" t="s">
        <v>166</v>
      </c>
      <c r="BX83" s="8" t="s">
        <v>170</v>
      </c>
      <c r="BY83">
        <v>0.72</v>
      </c>
      <c r="BZ83">
        <v>0.57999999999999996</v>
      </c>
      <c r="CA83">
        <v>0.75</v>
      </c>
      <c r="CB83">
        <v>0.7</v>
      </c>
      <c r="CC83">
        <v>0.6</v>
      </c>
      <c r="CD83">
        <v>0.76</v>
      </c>
      <c r="CE83">
        <v>4</v>
      </c>
      <c r="CH83" s="2"/>
      <c r="CI83" s="14" t="s">
        <v>166</v>
      </c>
      <c r="CJ83" s="14">
        <v>0.7</v>
      </c>
      <c r="CK83" s="14">
        <v>0.7</v>
      </c>
      <c r="CL83" s="14">
        <v>0.7</v>
      </c>
      <c r="CM83" s="14">
        <v>0.7</v>
      </c>
      <c r="CN83" s="14">
        <v>0.7</v>
      </c>
      <c r="CO83">
        <v>0.7</v>
      </c>
    </row>
    <row r="84" spans="62:93" x14ac:dyDescent="0.2">
      <c r="BJ84" s="8"/>
      <c r="BK84" s="8"/>
      <c r="BW84" s="8" t="s">
        <v>163</v>
      </c>
      <c r="BX84" s="8" t="s">
        <v>162</v>
      </c>
      <c r="BY84">
        <v>0.75</v>
      </c>
      <c r="BZ84">
        <v>0.51</v>
      </c>
      <c r="CA84">
        <v>0.7</v>
      </c>
      <c r="CB84">
        <v>0.75</v>
      </c>
      <c r="CC84">
        <v>0.7</v>
      </c>
      <c r="CD84">
        <v>0.73</v>
      </c>
      <c r="CE84">
        <v>1</v>
      </c>
      <c r="CH84" s="4" t="s">
        <v>177</v>
      </c>
      <c r="CI84" s="14" t="s">
        <v>163</v>
      </c>
      <c r="CJ84" s="14">
        <v>0.7</v>
      </c>
      <c r="CK84" s="14">
        <v>0.7</v>
      </c>
      <c r="CL84" s="14">
        <v>0.7</v>
      </c>
      <c r="CM84" s="14">
        <v>0.7</v>
      </c>
      <c r="CN84" s="14">
        <v>0.7</v>
      </c>
      <c r="CO84" s="14">
        <v>0.7</v>
      </c>
    </row>
    <row r="85" spans="62:93" x14ac:dyDescent="0.2">
      <c r="BJ85" s="8"/>
      <c r="BK85" s="8"/>
      <c r="BW85" s="8" t="s">
        <v>164</v>
      </c>
      <c r="BX85" s="8" t="s">
        <v>162</v>
      </c>
      <c r="BY85">
        <v>0.61</v>
      </c>
      <c r="BZ85">
        <v>0.55000000000000004</v>
      </c>
      <c r="CA85">
        <v>0.55000000000000004</v>
      </c>
      <c r="CB85">
        <v>0.55000000000000004</v>
      </c>
      <c r="CC85">
        <v>0.55000000000000004</v>
      </c>
      <c r="CD85">
        <v>0.55000000000000004</v>
      </c>
      <c r="CE85">
        <v>2</v>
      </c>
      <c r="CH85" s="2"/>
      <c r="CI85" s="14" t="s">
        <v>164</v>
      </c>
      <c r="CJ85" s="14">
        <v>0.55000000000000004</v>
      </c>
      <c r="CK85" s="14">
        <v>0.55000000000000004</v>
      </c>
      <c r="CL85" s="14">
        <v>0.55000000000000004</v>
      </c>
      <c r="CM85" s="14">
        <v>0.55000000000000004</v>
      </c>
      <c r="CN85" s="14">
        <v>0.55000000000000004</v>
      </c>
      <c r="CO85">
        <v>0.55000000000000004</v>
      </c>
    </row>
    <row r="86" spans="62:93" x14ac:dyDescent="0.2">
      <c r="BJ86" s="8"/>
      <c r="BK86" s="8"/>
      <c r="BW86" s="8" t="s">
        <v>165</v>
      </c>
      <c r="BX86" s="8" t="s">
        <v>162</v>
      </c>
      <c r="BY86">
        <v>0.64</v>
      </c>
      <c r="BZ86">
        <v>0.59</v>
      </c>
      <c r="CA86">
        <v>0.55000000000000004</v>
      </c>
      <c r="CB86">
        <v>0.67</v>
      </c>
      <c r="CC86">
        <v>0.65</v>
      </c>
      <c r="CD86">
        <v>0.5</v>
      </c>
      <c r="CE86">
        <v>3</v>
      </c>
      <c r="CH86" s="4"/>
      <c r="CI86" s="14" t="s">
        <v>165</v>
      </c>
      <c r="CJ86" s="14">
        <v>0.65</v>
      </c>
      <c r="CK86" s="14">
        <v>0.65</v>
      </c>
      <c r="CL86" s="14">
        <v>0.65</v>
      </c>
      <c r="CM86" s="14">
        <v>0.65</v>
      </c>
      <c r="CN86" s="14">
        <v>0.65</v>
      </c>
      <c r="CO86">
        <v>0.65</v>
      </c>
    </row>
    <row r="87" spans="62:93" x14ac:dyDescent="0.2">
      <c r="BJ87" s="8"/>
      <c r="BK87" s="8"/>
      <c r="BW87" s="8" t="s">
        <v>166</v>
      </c>
      <c r="BX87" s="8" t="s">
        <v>162</v>
      </c>
      <c r="BY87">
        <v>0.72</v>
      </c>
      <c r="BZ87">
        <v>0.57999999999999996</v>
      </c>
      <c r="CA87">
        <v>0.75</v>
      </c>
      <c r="CB87">
        <v>0.7</v>
      </c>
      <c r="CC87">
        <v>0.6</v>
      </c>
      <c r="CD87">
        <v>0.76</v>
      </c>
      <c r="CE87">
        <v>4</v>
      </c>
      <c r="CH87" s="2"/>
      <c r="CI87" s="14" t="s">
        <v>166</v>
      </c>
      <c r="CJ87" s="14">
        <v>0.6</v>
      </c>
      <c r="CK87" s="14">
        <v>0.6</v>
      </c>
      <c r="CL87" s="14">
        <v>0.6</v>
      </c>
      <c r="CM87" s="14">
        <v>0.6</v>
      </c>
      <c r="CN87" s="14">
        <v>0.6</v>
      </c>
      <c r="CO87">
        <v>0.6</v>
      </c>
    </row>
    <row r="88" spans="62:93" x14ac:dyDescent="0.2">
      <c r="BJ88" s="8"/>
      <c r="BK88" s="8"/>
      <c r="BW88" s="8" t="s">
        <v>163</v>
      </c>
      <c r="BX88" s="8" t="s">
        <v>167</v>
      </c>
      <c r="BY88">
        <v>0.75</v>
      </c>
      <c r="BZ88">
        <v>0.51</v>
      </c>
      <c r="CA88">
        <v>0.7</v>
      </c>
      <c r="CB88">
        <v>0.75</v>
      </c>
      <c r="CC88">
        <v>0.7</v>
      </c>
      <c r="CD88">
        <v>0.73</v>
      </c>
      <c r="CE88">
        <v>1</v>
      </c>
      <c r="CH88" s="4" t="s">
        <v>178</v>
      </c>
      <c r="CI88" s="14" t="s">
        <v>163</v>
      </c>
      <c r="CJ88" s="14">
        <v>0.73</v>
      </c>
      <c r="CK88" s="14">
        <v>0.73</v>
      </c>
      <c r="CL88" s="14">
        <v>0.73</v>
      </c>
      <c r="CM88" s="14">
        <v>0.73</v>
      </c>
      <c r="CN88" s="14">
        <v>0.73</v>
      </c>
      <c r="CO88" s="14">
        <v>0.73</v>
      </c>
    </row>
    <row r="89" spans="62:93" x14ac:dyDescent="0.2">
      <c r="BJ89" s="8"/>
      <c r="BK89" s="8"/>
      <c r="BW89" s="8" t="s">
        <v>164</v>
      </c>
      <c r="BX89" s="8" t="s">
        <v>167</v>
      </c>
      <c r="BY89">
        <v>0.61</v>
      </c>
      <c r="BZ89">
        <v>0.55000000000000004</v>
      </c>
      <c r="CA89">
        <v>0.55000000000000004</v>
      </c>
      <c r="CB89">
        <v>0.55000000000000004</v>
      </c>
      <c r="CC89">
        <v>0.55000000000000004</v>
      </c>
      <c r="CD89">
        <v>0.55000000000000004</v>
      </c>
      <c r="CE89">
        <v>2</v>
      </c>
      <c r="CH89" s="2"/>
      <c r="CI89" s="14" t="s">
        <v>164</v>
      </c>
      <c r="CJ89" s="14">
        <v>0.55000000000000004</v>
      </c>
      <c r="CK89" s="14">
        <v>0.55000000000000004</v>
      </c>
      <c r="CL89" s="14">
        <v>0.55000000000000004</v>
      </c>
      <c r="CM89" s="14">
        <v>0.55000000000000004</v>
      </c>
      <c r="CN89" s="14">
        <v>0.55000000000000004</v>
      </c>
      <c r="CO89">
        <v>0.55000000000000004</v>
      </c>
    </row>
    <row r="90" spans="62:93" x14ac:dyDescent="0.2">
      <c r="BJ90" s="8"/>
      <c r="BK90" s="8"/>
      <c r="BW90" s="8" t="s">
        <v>165</v>
      </c>
      <c r="BX90" s="8" t="s">
        <v>167</v>
      </c>
      <c r="BY90">
        <v>0.64</v>
      </c>
      <c r="BZ90">
        <v>0.59</v>
      </c>
      <c r="CA90">
        <v>0.55000000000000004</v>
      </c>
      <c r="CB90">
        <v>0.67</v>
      </c>
      <c r="CC90">
        <v>0.65</v>
      </c>
      <c r="CD90">
        <v>0.5</v>
      </c>
      <c r="CE90">
        <v>3</v>
      </c>
      <c r="CH90" s="4"/>
      <c r="CI90" s="14" t="s">
        <v>165</v>
      </c>
      <c r="CJ90" s="14">
        <v>0.5</v>
      </c>
      <c r="CK90" s="14">
        <v>0.5</v>
      </c>
      <c r="CL90" s="14">
        <v>0.7</v>
      </c>
      <c r="CM90" s="14">
        <v>0.7</v>
      </c>
      <c r="CN90" s="14">
        <v>0.5</v>
      </c>
      <c r="CO90">
        <v>0.7</v>
      </c>
    </row>
    <row r="91" spans="62:93" x14ac:dyDescent="0.2">
      <c r="BJ91" s="8"/>
      <c r="BK91" s="8"/>
      <c r="BW91" s="8" t="s">
        <v>166</v>
      </c>
      <c r="BX91" s="8" t="s">
        <v>167</v>
      </c>
      <c r="BY91">
        <v>0.72</v>
      </c>
      <c r="BZ91">
        <v>0.57999999999999996</v>
      </c>
      <c r="CA91">
        <v>0.75</v>
      </c>
      <c r="CB91">
        <v>0.7</v>
      </c>
      <c r="CC91">
        <v>0.6</v>
      </c>
      <c r="CD91">
        <v>0.76</v>
      </c>
      <c r="CE91">
        <v>4</v>
      </c>
      <c r="CH91" s="7"/>
      <c r="CI91" s="14" t="s">
        <v>166</v>
      </c>
      <c r="CJ91" s="14">
        <v>0.76</v>
      </c>
      <c r="CK91" s="14">
        <v>0.76</v>
      </c>
      <c r="CL91" s="14">
        <v>0.76</v>
      </c>
      <c r="CM91" s="14">
        <v>0.76</v>
      </c>
      <c r="CN91" s="14">
        <v>0.76</v>
      </c>
      <c r="CO91">
        <v>0.76</v>
      </c>
    </row>
    <row r="94" spans="62:93" x14ac:dyDescent="0.2">
      <c r="BW94" t="s">
        <v>192</v>
      </c>
      <c r="BX94" t="s">
        <v>129</v>
      </c>
    </row>
    <row r="95" spans="62:93" ht="17" thickBot="1" x14ac:dyDescent="0.25">
      <c r="BW95" t="s">
        <v>180</v>
      </c>
      <c r="BX95" t="s">
        <v>161</v>
      </c>
      <c r="BY95" t="s">
        <v>173</v>
      </c>
      <c r="BZ95" t="s">
        <v>174</v>
      </c>
      <c r="CA95" t="s">
        <v>175</v>
      </c>
      <c r="CB95" t="s">
        <v>176</v>
      </c>
      <c r="CC95" t="s">
        <v>177</v>
      </c>
      <c r="CD95" t="s">
        <v>178</v>
      </c>
      <c r="CE95" t="s">
        <v>189</v>
      </c>
      <c r="CH95" s="9" t="s">
        <v>181</v>
      </c>
      <c r="CI95" s="10" t="s">
        <v>182</v>
      </c>
      <c r="CJ95" s="10" t="s">
        <v>183</v>
      </c>
      <c r="CK95" s="10" t="s">
        <v>184</v>
      </c>
      <c r="CL95" s="10" t="s">
        <v>185</v>
      </c>
      <c r="CM95" s="10" t="s">
        <v>186</v>
      </c>
      <c r="CN95" s="10" t="s">
        <v>187</v>
      </c>
      <c r="CO95" s="11" t="s">
        <v>188</v>
      </c>
    </row>
    <row r="96" spans="62:93" ht="17" thickTop="1" x14ac:dyDescent="0.2">
      <c r="BW96" s="8" t="s">
        <v>163</v>
      </c>
      <c r="BX96" s="8" t="s">
        <v>169</v>
      </c>
      <c r="BY96">
        <v>54</v>
      </c>
      <c r="BZ96">
        <v>40</v>
      </c>
      <c r="CA96">
        <v>55</v>
      </c>
      <c r="CB96">
        <v>50</v>
      </c>
      <c r="CC96">
        <v>55</v>
      </c>
      <c r="CD96">
        <v>55</v>
      </c>
      <c r="CE96">
        <v>1</v>
      </c>
      <c r="CH96" s="2" t="s">
        <v>179</v>
      </c>
      <c r="CI96" s="3" t="s">
        <v>180</v>
      </c>
      <c r="CJ96" s="3" t="s">
        <v>162</v>
      </c>
      <c r="CK96" s="3" t="s">
        <v>167</v>
      </c>
      <c r="CL96" s="3" t="s">
        <v>168</v>
      </c>
      <c r="CM96" s="3" t="s">
        <v>169</v>
      </c>
      <c r="CN96" s="3" t="s">
        <v>170</v>
      </c>
      <c r="CO96" s="6" t="s">
        <v>171</v>
      </c>
    </row>
    <row r="97" spans="75:93" x14ac:dyDescent="0.2">
      <c r="BW97" s="8" t="s">
        <v>164</v>
      </c>
      <c r="BX97" s="8" t="s">
        <v>169</v>
      </c>
      <c r="BY97">
        <v>49</v>
      </c>
      <c r="BZ97">
        <v>45</v>
      </c>
      <c r="CA97">
        <v>55</v>
      </c>
      <c r="CB97">
        <v>50</v>
      </c>
      <c r="CC97">
        <v>50</v>
      </c>
      <c r="CD97">
        <v>50</v>
      </c>
      <c r="CE97">
        <v>2</v>
      </c>
      <c r="CH97" s="4" t="s">
        <v>173</v>
      </c>
      <c r="CI97" t="s">
        <v>163</v>
      </c>
      <c r="CJ97">
        <v>75</v>
      </c>
      <c r="CK97">
        <v>62</v>
      </c>
      <c r="CL97">
        <v>44</v>
      </c>
      <c r="CM97">
        <v>54</v>
      </c>
      <c r="CN97">
        <v>56</v>
      </c>
      <c r="CO97">
        <v>20</v>
      </c>
    </row>
    <row r="98" spans="75:93" x14ac:dyDescent="0.2">
      <c r="BW98" s="8" t="s">
        <v>165</v>
      </c>
      <c r="BX98" s="8" t="s">
        <v>169</v>
      </c>
      <c r="BY98">
        <v>50</v>
      </c>
      <c r="BZ98">
        <v>45</v>
      </c>
      <c r="CA98">
        <v>55</v>
      </c>
      <c r="CB98">
        <v>50</v>
      </c>
      <c r="CC98">
        <v>48</v>
      </c>
      <c r="CD98">
        <v>45</v>
      </c>
      <c r="CE98">
        <v>3</v>
      </c>
      <c r="CH98" s="2"/>
      <c r="CI98" t="s">
        <v>164</v>
      </c>
      <c r="CJ98">
        <v>75</v>
      </c>
      <c r="CK98">
        <v>55</v>
      </c>
      <c r="CL98">
        <v>42</v>
      </c>
      <c r="CM98">
        <v>49</v>
      </c>
      <c r="CN98">
        <v>51</v>
      </c>
      <c r="CO98">
        <v>27</v>
      </c>
    </row>
    <row r="99" spans="75:93" ht="17" thickBot="1" x14ac:dyDescent="0.25">
      <c r="BW99" s="8" t="s">
        <v>166</v>
      </c>
      <c r="BX99" s="8" t="s">
        <v>169</v>
      </c>
      <c r="BY99">
        <v>50</v>
      </c>
      <c r="BZ99">
        <v>42</v>
      </c>
      <c r="CA99">
        <v>55</v>
      </c>
      <c r="CB99">
        <v>55</v>
      </c>
      <c r="CC99">
        <v>45</v>
      </c>
      <c r="CD99">
        <v>50</v>
      </c>
      <c r="CE99">
        <v>4</v>
      </c>
      <c r="CH99" s="4"/>
      <c r="CI99" t="s">
        <v>165</v>
      </c>
      <c r="CJ99">
        <v>69</v>
      </c>
      <c r="CK99">
        <v>55</v>
      </c>
      <c r="CL99">
        <v>43</v>
      </c>
      <c r="CM99">
        <v>50</v>
      </c>
      <c r="CN99">
        <v>50</v>
      </c>
      <c r="CO99">
        <v>32</v>
      </c>
    </row>
    <row r="100" spans="75:93" ht="18" thickTop="1" thickBot="1" x14ac:dyDescent="0.25">
      <c r="BW100" s="8" t="s">
        <v>163</v>
      </c>
      <c r="BX100" s="6" t="s">
        <v>171</v>
      </c>
      <c r="BY100">
        <v>20</v>
      </c>
      <c r="BZ100">
        <v>20</v>
      </c>
      <c r="CA100">
        <v>40</v>
      </c>
      <c r="CB100">
        <v>14</v>
      </c>
      <c r="CC100">
        <v>22</v>
      </c>
      <c r="CD100">
        <v>30</v>
      </c>
      <c r="CE100">
        <v>1</v>
      </c>
      <c r="CH100" s="2"/>
      <c r="CI100" t="s">
        <v>166</v>
      </c>
      <c r="CJ100">
        <v>69</v>
      </c>
      <c r="CK100">
        <v>55</v>
      </c>
      <c r="CL100">
        <v>45</v>
      </c>
      <c r="CM100">
        <v>50</v>
      </c>
      <c r="CN100">
        <v>51</v>
      </c>
      <c r="CO100">
        <v>34</v>
      </c>
    </row>
    <row r="101" spans="75:93" ht="18" thickTop="1" thickBot="1" x14ac:dyDescent="0.25">
      <c r="BW101" s="8" t="s">
        <v>164</v>
      </c>
      <c r="BX101" s="6" t="s">
        <v>171</v>
      </c>
      <c r="BY101">
        <v>27</v>
      </c>
      <c r="BZ101">
        <v>25</v>
      </c>
      <c r="CA101">
        <v>45</v>
      </c>
      <c r="CB101">
        <v>24</v>
      </c>
      <c r="CC101">
        <v>28</v>
      </c>
      <c r="CD101">
        <v>30</v>
      </c>
      <c r="CE101">
        <v>2</v>
      </c>
      <c r="CH101" s="4" t="s">
        <v>174</v>
      </c>
      <c r="CI101" t="s">
        <v>163</v>
      </c>
      <c r="CJ101">
        <v>58</v>
      </c>
      <c r="CK101">
        <v>50</v>
      </c>
      <c r="CL101">
        <v>35</v>
      </c>
      <c r="CM101">
        <v>40</v>
      </c>
      <c r="CN101">
        <v>45</v>
      </c>
      <c r="CO101">
        <v>20</v>
      </c>
    </row>
    <row r="102" spans="75:93" ht="18" thickTop="1" thickBot="1" x14ac:dyDescent="0.25">
      <c r="BW102" s="8" t="s">
        <v>165</v>
      </c>
      <c r="BX102" s="6" t="s">
        <v>171</v>
      </c>
      <c r="BY102">
        <v>32</v>
      </c>
      <c r="BZ102">
        <v>20</v>
      </c>
      <c r="CA102">
        <v>20</v>
      </c>
      <c r="CB102">
        <v>36</v>
      </c>
      <c r="CC102">
        <v>33</v>
      </c>
      <c r="CD102">
        <v>10</v>
      </c>
      <c r="CE102">
        <v>3</v>
      </c>
      <c r="CH102" s="2"/>
      <c r="CI102" t="s">
        <v>164</v>
      </c>
      <c r="CJ102">
        <v>61</v>
      </c>
      <c r="CK102">
        <v>55</v>
      </c>
      <c r="CL102">
        <v>40</v>
      </c>
      <c r="CM102">
        <v>45</v>
      </c>
      <c r="CN102">
        <v>50</v>
      </c>
      <c r="CO102">
        <v>25</v>
      </c>
    </row>
    <row r="103" spans="75:93" ht="17" thickTop="1" x14ac:dyDescent="0.2">
      <c r="BW103" s="8" t="s">
        <v>166</v>
      </c>
      <c r="BX103" s="6" t="s">
        <v>171</v>
      </c>
      <c r="BY103">
        <v>34</v>
      </c>
      <c r="BZ103">
        <v>25</v>
      </c>
      <c r="CA103">
        <v>30</v>
      </c>
      <c r="CB103">
        <v>42</v>
      </c>
      <c r="CC103">
        <v>35</v>
      </c>
      <c r="CD103">
        <v>20</v>
      </c>
      <c r="CE103">
        <v>4</v>
      </c>
      <c r="CH103" s="4"/>
      <c r="CI103" t="s">
        <v>165</v>
      </c>
      <c r="CJ103">
        <v>63</v>
      </c>
      <c r="CK103">
        <v>55</v>
      </c>
      <c r="CL103">
        <v>40</v>
      </c>
      <c r="CM103">
        <v>45</v>
      </c>
      <c r="CN103">
        <v>50</v>
      </c>
      <c r="CO103">
        <v>20</v>
      </c>
    </row>
    <row r="104" spans="75:93" x14ac:dyDescent="0.2">
      <c r="BW104" s="8" t="s">
        <v>163</v>
      </c>
      <c r="BX104" s="8" t="s">
        <v>168</v>
      </c>
      <c r="BY104">
        <v>44</v>
      </c>
      <c r="BZ104">
        <v>35</v>
      </c>
      <c r="CA104">
        <v>52</v>
      </c>
      <c r="CB104">
        <v>45</v>
      </c>
      <c r="CC104">
        <v>50</v>
      </c>
      <c r="CD104">
        <v>50</v>
      </c>
      <c r="CE104">
        <v>1</v>
      </c>
      <c r="CH104" s="2"/>
      <c r="CI104" t="s">
        <v>166</v>
      </c>
      <c r="CJ104">
        <v>60</v>
      </c>
      <c r="CK104">
        <v>50</v>
      </c>
      <c r="CL104">
        <v>35</v>
      </c>
      <c r="CM104">
        <v>42</v>
      </c>
      <c r="CN104">
        <v>48</v>
      </c>
      <c r="CO104">
        <v>25</v>
      </c>
    </row>
    <row r="105" spans="75:93" x14ac:dyDescent="0.2">
      <c r="BW105" s="8" t="s">
        <v>164</v>
      </c>
      <c r="BX105" s="8" t="s">
        <v>168</v>
      </c>
      <c r="BY105">
        <v>42</v>
      </c>
      <c r="BZ105">
        <v>40</v>
      </c>
      <c r="CA105">
        <v>52</v>
      </c>
      <c r="CB105">
        <v>45</v>
      </c>
      <c r="CC105">
        <v>45</v>
      </c>
      <c r="CD105">
        <v>45</v>
      </c>
      <c r="CE105">
        <v>2</v>
      </c>
      <c r="CH105" s="4" t="s">
        <v>175</v>
      </c>
      <c r="CI105" t="s">
        <v>163</v>
      </c>
      <c r="CJ105">
        <v>80</v>
      </c>
      <c r="CK105">
        <v>70</v>
      </c>
      <c r="CL105">
        <v>52</v>
      </c>
      <c r="CM105">
        <v>55</v>
      </c>
      <c r="CN105">
        <v>55</v>
      </c>
      <c r="CO105">
        <v>40</v>
      </c>
    </row>
    <row r="106" spans="75:93" x14ac:dyDescent="0.2">
      <c r="BW106" s="8" t="s">
        <v>165</v>
      </c>
      <c r="BX106" s="8" t="s">
        <v>168</v>
      </c>
      <c r="BY106">
        <v>43</v>
      </c>
      <c r="BZ106">
        <v>40</v>
      </c>
      <c r="CA106">
        <v>52</v>
      </c>
      <c r="CB106">
        <v>45</v>
      </c>
      <c r="CC106">
        <v>43</v>
      </c>
      <c r="CD106">
        <v>40</v>
      </c>
      <c r="CE106">
        <v>3</v>
      </c>
      <c r="CH106" s="2"/>
      <c r="CI106" t="s">
        <v>164</v>
      </c>
      <c r="CJ106">
        <v>70</v>
      </c>
      <c r="CK106">
        <v>65</v>
      </c>
      <c r="CL106">
        <v>52</v>
      </c>
      <c r="CM106">
        <v>55</v>
      </c>
      <c r="CN106">
        <v>55</v>
      </c>
      <c r="CO106">
        <v>45</v>
      </c>
    </row>
    <row r="107" spans="75:93" x14ac:dyDescent="0.2">
      <c r="BW107" s="8" t="s">
        <v>166</v>
      </c>
      <c r="BX107" s="8" t="s">
        <v>168</v>
      </c>
      <c r="BY107">
        <v>45</v>
      </c>
      <c r="BZ107">
        <v>35</v>
      </c>
      <c r="CA107">
        <v>52</v>
      </c>
      <c r="CB107">
        <v>50</v>
      </c>
      <c r="CC107">
        <v>40</v>
      </c>
      <c r="CD107">
        <v>45</v>
      </c>
      <c r="CE107">
        <v>4</v>
      </c>
      <c r="CH107" s="4"/>
      <c r="CI107" t="s">
        <v>165</v>
      </c>
      <c r="CJ107">
        <v>70</v>
      </c>
      <c r="CK107">
        <v>60</v>
      </c>
      <c r="CL107">
        <v>52</v>
      </c>
      <c r="CM107">
        <v>55</v>
      </c>
      <c r="CN107">
        <v>55</v>
      </c>
      <c r="CO107">
        <v>20</v>
      </c>
    </row>
    <row r="108" spans="75:93" x14ac:dyDescent="0.2">
      <c r="BW108" s="8" t="s">
        <v>163</v>
      </c>
      <c r="BX108" s="8" t="s">
        <v>170</v>
      </c>
      <c r="BY108">
        <v>56</v>
      </c>
      <c r="BZ108">
        <v>45</v>
      </c>
      <c r="CA108">
        <v>55</v>
      </c>
      <c r="CB108">
        <v>50</v>
      </c>
      <c r="CC108">
        <v>50</v>
      </c>
      <c r="CD108">
        <v>55</v>
      </c>
      <c r="CE108">
        <v>1</v>
      </c>
      <c r="CH108" s="2"/>
      <c r="CI108" t="s">
        <v>166</v>
      </c>
      <c r="CJ108">
        <v>70</v>
      </c>
      <c r="CK108">
        <v>60</v>
      </c>
      <c r="CL108">
        <v>52</v>
      </c>
      <c r="CM108">
        <v>55</v>
      </c>
      <c r="CN108">
        <v>55</v>
      </c>
      <c r="CO108">
        <v>30</v>
      </c>
    </row>
    <row r="109" spans="75:93" x14ac:dyDescent="0.2">
      <c r="BW109" s="8" t="s">
        <v>164</v>
      </c>
      <c r="BX109" s="8" t="s">
        <v>170</v>
      </c>
      <c r="BY109">
        <v>51</v>
      </c>
      <c r="BZ109">
        <v>50</v>
      </c>
      <c r="CA109">
        <v>55</v>
      </c>
      <c r="CB109">
        <v>50</v>
      </c>
      <c r="CC109">
        <v>50</v>
      </c>
      <c r="CD109">
        <v>50</v>
      </c>
      <c r="CE109">
        <v>2</v>
      </c>
      <c r="CH109" s="4" t="s">
        <v>176</v>
      </c>
      <c r="CI109" t="s">
        <v>163</v>
      </c>
      <c r="CJ109">
        <v>90</v>
      </c>
      <c r="CK109">
        <v>55</v>
      </c>
      <c r="CL109">
        <v>45</v>
      </c>
      <c r="CM109">
        <v>50</v>
      </c>
      <c r="CN109">
        <v>50</v>
      </c>
      <c r="CO109">
        <v>14</v>
      </c>
    </row>
    <row r="110" spans="75:93" x14ac:dyDescent="0.2">
      <c r="BW110" s="8" t="s">
        <v>165</v>
      </c>
      <c r="BX110" s="8" t="s">
        <v>170</v>
      </c>
      <c r="BY110">
        <v>50</v>
      </c>
      <c r="BZ110">
        <v>50</v>
      </c>
      <c r="CA110">
        <v>55</v>
      </c>
      <c r="CB110">
        <v>50</v>
      </c>
      <c r="CC110">
        <v>50</v>
      </c>
      <c r="CD110">
        <v>45</v>
      </c>
      <c r="CE110">
        <v>3</v>
      </c>
      <c r="CH110" s="2"/>
      <c r="CI110" t="s">
        <v>164</v>
      </c>
      <c r="CJ110">
        <v>90</v>
      </c>
      <c r="CK110">
        <v>55</v>
      </c>
      <c r="CL110">
        <v>45</v>
      </c>
      <c r="CM110">
        <v>50</v>
      </c>
      <c r="CN110">
        <v>50</v>
      </c>
      <c r="CO110">
        <v>24</v>
      </c>
    </row>
    <row r="111" spans="75:93" x14ac:dyDescent="0.2">
      <c r="BW111" s="8" t="s">
        <v>166</v>
      </c>
      <c r="BX111" s="8" t="s">
        <v>170</v>
      </c>
      <c r="BY111">
        <v>51</v>
      </c>
      <c r="BZ111">
        <v>48</v>
      </c>
      <c r="CA111">
        <v>55</v>
      </c>
      <c r="CB111">
        <v>50</v>
      </c>
      <c r="CC111">
        <v>50</v>
      </c>
      <c r="CD111">
        <v>50</v>
      </c>
      <c r="CE111">
        <v>4</v>
      </c>
      <c r="CH111" s="4"/>
      <c r="CI111" t="s">
        <v>165</v>
      </c>
      <c r="CJ111">
        <v>75</v>
      </c>
      <c r="CK111">
        <v>50</v>
      </c>
      <c r="CL111">
        <v>45</v>
      </c>
      <c r="CM111">
        <v>50</v>
      </c>
      <c r="CN111">
        <v>50</v>
      </c>
      <c r="CO111">
        <v>36</v>
      </c>
    </row>
    <row r="112" spans="75:93" x14ac:dyDescent="0.2">
      <c r="BW112" s="8" t="s">
        <v>163</v>
      </c>
      <c r="BX112" s="8" t="s">
        <v>162</v>
      </c>
      <c r="BY112">
        <v>75</v>
      </c>
      <c r="BZ112">
        <v>58</v>
      </c>
      <c r="CA112">
        <v>80</v>
      </c>
      <c r="CB112">
        <v>90</v>
      </c>
      <c r="CC112">
        <v>70</v>
      </c>
      <c r="CD112">
        <v>75</v>
      </c>
      <c r="CE112">
        <v>1</v>
      </c>
      <c r="CH112" s="2"/>
      <c r="CI112" t="s">
        <v>166</v>
      </c>
      <c r="CJ112">
        <v>75</v>
      </c>
      <c r="CK112">
        <v>45</v>
      </c>
      <c r="CL112">
        <v>50</v>
      </c>
      <c r="CM112">
        <v>55</v>
      </c>
      <c r="CN112">
        <v>50</v>
      </c>
      <c r="CO112">
        <v>42</v>
      </c>
    </row>
    <row r="113" spans="75:93" x14ac:dyDescent="0.2">
      <c r="BW113" s="8" t="s">
        <v>164</v>
      </c>
      <c r="BX113" s="8" t="s">
        <v>162</v>
      </c>
      <c r="BY113">
        <v>75</v>
      </c>
      <c r="BZ113">
        <v>61</v>
      </c>
      <c r="CA113">
        <v>70</v>
      </c>
      <c r="CB113">
        <v>90</v>
      </c>
      <c r="CC113">
        <v>65</v>
      </c>
      <c r="CD113">
        <v>65</v>
      </c>
      <c r="CE113">
        <v>2</v>
      </c>
      <c r="CH113" s="4" t="s">
        <v>177</v>
      </c>
      <c r="CI113" t="s">
        <v>163</v>
      </c>
      <c r="CJ113">
        <v>70</v>
      </c>
      <c r="CK113">
        <v>60</v>
      </c>
      <c r="CL113">
        <v>50</v>
      </c>
      <c r="CM113">
        <v>55</v>
      </c>
      <c r="CN113">
        <v>50</v>
      </c>
      <c r="CO113">
        <v>22</v>
      </c>
    </row>
    <row r="114" spans="75:93" x14ac:dyDescent="0.2">
      <c r="BW114" s="8" t="s">
        <v>165</v>
      </c>
      <c r="BX114" s="8" t="s">
        <v>162</v>
      </c>
      <c r="BY114">
        <v>69</v>
      </c>
      <c r="BZ114">
        <v>63</v>
      </c>
      <c r="CA114">
        <v>70</v>
      </c>
      <c r="CB114">
        <v>75</v>
      </c>
      <c r="CC114">
        <v>65</v>
      </c>
      <c r="CD114">
        <v>65</v>
      </c>
      <c r="CE114">
        <v>3</v>
      </c>
      <c r="CH114" s="2"/>
      <c r="CI114" t="s">
        <v>164</v>
      </c>
      <c r="CJ114">
        <v>65</v>
      </c>
      <c r="CK114">
        <v>55</v>
      </c>
      <c r="CL114">
        <v>45</v>
      </c>
      <c r="CM114">
        <v>50</v>
      </c>
      <c r="CN114">
        <v>50</v>
      </c>
      <c r="CO114">
        <v>28</v>
      </c>
    </row>
    <row r="115" spans="75:93" x14ac:dyDescent="0.2">
      <c r="BW115" s="8" t="s">
        <v>166</v>
      </c>
      <c r="BX115" s="8" t="s">
        <v>162</v>
      </c>
      <c r="BY115">
        <v>69</v>
      </c>
      <c r="BZ115">
        <v>60</v>
      </c>
      <c r="CA115">
        <v>70</v>
      </c>
      <c r="CB115">
        <v>75</v>
      </c>
      <c r="CC115">
        <v>60</v>
      </c>
      <c r="CD115">
        <v>65</v>
      </c>
      <c r="CE115">
        <v>4</v>
      </c>
      <c r="CH115" s="4"/>
      <c r="CI115" t="s">
        <v>165</v>
      </c>
      <c r="CJ115">
        <v>65</v>
      </c>
      <c r="CK115">
        <v>52</v>
      </c>
      <c r="CL115">
        <v>43</v>
      </c>
      <c r="CM115">
        <v>48</v>
      </c>
      <c r="CN115">
        <v>50</v>
      </c>
      <c r="CO115">
        <v>33</v>
      </c>
    </row>
    <row r="116" spans="75:93" x14ac:dyDescent="0.2">
      <c r="BW116" s="8" t="s">
        <v>163</v>
      </c>
      <c r="BX116" s="8" t="s">
        <v>167</v>
      </c>
      <c r="BY116">
        <v>62</v>
      </c>
      <c r="BZ116">
        <v>50</v>
      </c>
      <c r="CA116">
        <v>70</v>
      </c>
      <c r="CB116">
        <v>55</v>
      </c>
      <c r="CC116">
        <v>60</v>
      </c>
      <c r="CD116">
        <v>60</v>
      </c>
      <c r="CE116">
        <v>1</v>
      </c>
      <c r="CH116" s="2"/>
      <c r="CI116" t="s">
        <v>166</v>
      </c>
      <c r="CJ116">
        <v>60</v>
      </c>
      <c r="CK116">
        <v>50</v>
      </c>
      <c r="CL116">
        <v>40</v>
      </c>
      <c r="CM116">
        <v>45</v>
      </c>
      <c r="CN116">
        <v>50</v>
      </c>
      <c r="CO116">
        <v>35</v>
      </c>
    </row>
    <row r="117" spans="75:93" x14ac:dyDescent="0.2">
      <c r="BW117" s="8" t="s">
        <v>164</v>
      </c>
      <c r="BX117" s="8" t="s">
        <v>167</v>
      </c>
      <c r="BY117">
        <v>55</v>
      </c>
      <c r="BZ117">
        <v>55</v>
      </c>
      <c r="CA117">
        <v>65</v>
      </c>
      <c r="CB117">
        <v>55</v>
      </c>
      <c r="CC117">
        <v>55</v>
      </c>
      <c r="CD117">
        <v>55</v>
      </c>
      <c r="CE117">
        <v>2</v>
      </c>
      <c r="CH117" s="4" t="s">
        <v>178</v>
      </c>
      <c r="CI117" t="s">
        <v>163</v>
      </c>
      <c r="CJ117">
        <v>75</v>
      </c>
      <c r="CK117">
        <v>60</v>
      </c>
      <c r="CL117">
        <v>50</v>
      </c>
      <c r="CM117">
        <v>55</v>
      </c>
      <c r="CN117">
        <v>55</v>
      </c>
      <c r="CO117">
        <v>30</v>
      </c>
    </row>
    <row r="118" spans="75:93" x14ac:dyDescent="0.2">
      <c r="BW118" s="8" t="s">
        <v>165</v>
      </c>
      <c r="BX118" s="8" t="s">
        <v>167</v>
      </c>
      <c r="BY118">
        <v>55</v>
      </c>
      <c r="BZ118">
        <v>55</v>
      </c>
      <c r="CA118">
        <v>60</v>
      </c>
      <c r="CB118">
        <v>50</v>
      </c>
      <c r="CC118">
        <v>52</v>
      </c>
      <c r="CD118">
        <v>48</v>
      </c>
      <c r="CE118">
        <v>3</v>
      </c>
      <c r="CH118" s="2"/>
      <c r="CI118" t="s">
        <v>164</v>
      </c>
      <c r="CJ118">
        <v>65</v>
      </c>
      <c r="CK118">
        <v>55</v>
      </c>
      <c r="CL118">
        <v>45</v>
      </c>
      <c r="CM118">
        <v>50</v>
      </c>
      <c r="CN118">
        <v>50</v>
      </c>
      <c r="CO118">
        <v>30</v>
      </c>
    </row>
    <row r="119" spans="75:93" x14ac:dyDescent="0.2">
      <c r="BW119" s="8" t="s">
        <v>166</v>
      </c>
      <c r="BX119" s="8" t="s">
        <v>167</v>
      </c>
      <c r="BY119">
        <v>55</v>
      </c>
      <c r="BZ119">
        <v>50</v>
      </c>
      <c r="CA119">
        <v>60</v>
      </c>
      <c r="CB119">
        <v>45</v>
      </c>
      <c r="CC119">
        <v>50</v>
      </c>
      <c r="CD119">
        <v>48</v>
      </c>
      <c r="CE119">
        <v>4</v>
      </c>
      <c r="CH119" s="4"/>
      <c r="CI119" t="s">
        <v>165</v>
      </c>
      <c r="CJ119">
        <v>65</v>
      </c>
      <c r="CK119">
        <v>48</v>
      </c>
      <c r="CL119">
        <v>40</v>
      </c>
      <c r="CM119">
        <v>45</v>
      </c>
      <c r="CN119">
        <v>45</v>
      </c>
      <c r="CO119">
        <v>10</v>
      </c>
    </row>
    <row r="120" spans="75:93" x14ac:dyDescent="0.2">
      <c r="CH120" s="7"/>
      <c r="CI120" t="s">
        <v>166</v>
      </c>
      <c r="CJ120">
        <v>65</v>
      </c>
      <c r="CK120">
        <v>48</v>
      </c>
      <c r="CL120">
        <v>45</v>
      </c>
      <c r="CM120">
        <v>50</v>
      </c>
      <c r="CN120">
        <v>50</v>
      </c>
      <c r="CO120">
        <v>20</v>
      </c>
    </row>
    <row r="127" spans="75:93" x14ac:dyDescent="0.2">
      <c r="CK127" s="14"/>
      <c r="CL127" s="14"/>
      <c r="CM127" s="14"/>
      <c r="CN127" s="14"/>
    </row>
    <row r="128" spans="75:93" x14ac:dyDescent="0.2">
      <c r="CH128" s="14" t="s">
        <v>252</v>
      </c>
      <c r="CI128" s="14" t="s">
        <v>141</v>
      </c>
      <c r="CJ128" s="14"/>
      <c r="CK128" s="14"/>
      <c r="CL128" s="14"/>
      <c r="CM128" s="14"/>
      <c r="CN128" s="14"/>
    </row>
    <row r="129" spans="49:93" ht="17" thickBot="1" x14ac:dyDescent="0.25">
      <c r="CH129" s="21"/>
      <c r="CJ129" s="22"/>
      <c r="CK129" s="22"/>
      <c r="CL129" s="22"/>
      <c r="CM129" s="5"/>
      <c r="CN129" s="5"/>
      <c r="CO129" s="5"/>
    </row>
    <row r="130" spans="49:93" ht="18" thickTop="1" thickBot="1" x14ac:dyDescent="0.25">
      <c r="AW130" t="str" cm="1">
        <f t="array" ref="AW130:BE153">QueryW40[]</f>
        <v>Spring</v>
      </c>
      <c r="AX130" t="str">
        <v>Breeding ewes</v>
      </c>
      <c r="AY130">
        <v>54</v>
      </c>
      <c r="AZ130">
        <v>40</v>
      </c>
      <c r="BA130">
        <v>55</v>
      </c>
      <c r="BB130">
        <v>50</v>
      </c>
      <c r="BC130">
        <v>55</v>
      </c>
      <c r="BD130">
        <v>55</v>
      </c>
      <c r="BE130">
        <v>1</v>
      </c>
      <c r="BW130" t="s">
        <v>180</v>
      </c>
      <c r="BX130" t="s">
        <v>161</v>
      </c>
      <c r="BY130" t="s">
        <v>173</v>
      </c>
      <c r="BZ130" t="s">
        <v>174</v>
      </c>
      <c r="CA130" t="s">
        <v>175</v>
      </c>
      <c r="CB130" t="s">
        <v>176</v>
      </c>
      <c r="CC130" t="s">
        <v>177</v>
      </c>
      <c r="CD130" t="s">
        <v>178</v>
      </c>
      <c r="CE130" t="s">
        <v>189</v>
      </c>
      <c r="CH130" s="23" t="s">
        <v>181</v>
      </c>
      <c r="CI130" t="s">
        <v>182</v>
      </c>
      <c r="CJ130" s="24" t="s">
        <v>183</v>
      </c>
      <c r="CK130" s="24" t="s">
        <v>184</v>
      </c>
      <c r="CL130" s="24" t="s">
        <v>185</v>
      </c>
      <c r="CM130" s="6" t="s">
        <v>186</v>
      </c>
      <c r="CN130" s="6" t="s">
        <v>187</v>
      </c>
      <c r="CO130" s="6" t="s">
        <v>188</v>
      </c>
    </row>
    <row r="131" spans="49:93" ht="17" thickTop="1" x14ac:dyDescent="0.2">
      <c r="AW131" t="str">
        <v>Summer</v>
      </c>
      <c r="AX131" t="str">
        <v>Breeding ewes</v>
      </c>
      <c r="AY131">
        <v>49</v>
      </c>
      <c r="AZ131">
        <v>45</v>
      </c>
      <c r="BA131">
        <v>55</v>
      </c>
      <c r="BB131">
        <v>50</v>
      </c>
      <c r="BC131">
        <v>50</v>
      </c>
      <c r="BD131">
        <v>50</v>
      </c>
      <c r="BE131">
        <v>2</v>
      </c>
      <c r="BW131" s="8" t="s">
        <v>163</v>
      </c>
      <c r="BX131" s="8" t="s">
        <v>169</v>
      </c>
      <c r="BY131">
        <v>57</v>
      </c>
      <c r="BZ131">
        <v>50</v>
      </c>
      <c r="CA131">
        <v>60</v>
      </c>
      <c r="CB131">
        <v>55</v>
      </c>
      <c r="CC131">
        <v>50</v>
      </c>
      <c r="CD131">
        <v>60</v>
      </c>
      <c r="CE131">
        <v>1</v>
      </c>
      <c r="CH131" s="23" t="s">
        <v>179</v>
      </c>
      <c r="CI131" t="s">
        <v>180</v>
      </c>
      <c r="CJ131" s="24" t="s">
        <v>162</v>
      </c>
      <c r="CK131" s="24" t="s">
        <v>167</v>
      </c>
      <c r="CL131" s="24" t="s">
        <v>168</v>
      </c>
      <c r="CM131" s="6" t="s">
        <v>169</v>
      </c>
      <c r="CN131" s="6" t="s">
        <v>170</v>
      </c>
      <c r="CO131" s="6" t="s">
        <v>171</v>
      </c>
    </row>
    <row r="132" spans="49:93" x14ac:dyDescent="0.2">
      <c r="AW132" t="str">
        <v>Autumn</v>
      </c>
      <c r="AX132" t="str">
        <v>Breeding ewes</v>
      </c>
      <c r="AY132">
        <v>50</v>
      </c>
      <c r="AZ132">
        <v>45</v>
      </c>
      <c r="BA132">
        <v>55</v>
      </c>
      <c r="BB132">
        <v>50</v>
      </c>
      <c r="BC132">
        <v>48</v>
      </c>
      <c r="BD132">
        <v>45</v>
      </c>
      <c r="BE132">
        <v>3</v>
      </c>
      <c r="BW132" s="8" t="s">
        <v>164</v>
      </c>
      <c r="BX132" s="8" t="s">
        <v>169</v>
      </c>
      <c r="BY132">
        <v>57</v>
      </c>
      <c r="BZ132">
        <v>50</v>
      </c>
      <c r="CA132">
        <v>60</v>
      </c>
      <c r="CB132">
        <v>55</v>
      </c>
      <c r="CC132">
        <v>50</v>
      </c>
      <c r="CD132">
        <v>60</v>
      </c>
      <c r="CE132">
        <v>2</v>
      </c>
      <c r="CH132" s="25" t="s">
        <v>173</v>
      </c>
      <c r="CI132" t="s">
        <v>163</v>
      </c>
      <c r="CJ132" s="26" t="s">
        <v>241</v>
      </c>
      <c r="CK132" s="26" t="s">
        <v>242</v>
      </c>
      <c r="CL132" s="26" t="s">
        <v>243</v>
      </c>
      <c r="CM132" s="26" t="s">
        <v>243</v>
      </c>
      <c r="CN132" s="26" t="s">
        <v>243</v>
      </c>
      <c r="CO132" s="26">
        <v>60</v>
      </c>
    </row>
    <row r="133" spans="49:93" x14ac:dyDescent="0.2">
      <c r="AW133" t="str">
        <v>Winter</v>
      </c>
      <c r="AX133" t="str">
        <v>Breeding ewes</v>
      </c>
      <c r="AY133">
        <v>50</v>
      </c>
      <c r="AZ133">
        <v>42</v>
      </c>
      <c r="BA133">
        <v>55</v>
      </c>
      <c r="BB133">
        <v>55</v>
      </c>
      <c r="BC133">
        <v>45</v>
      </c>
      <c r="BD133">
        <v>50</v>
      </c>
      <c r="BE133">
        <v>4</v>
      </c>
      <c r="BW133" s="8" t="s">
        <v>165</v>
      </c>
      <c r="BX133" s="8" t="s">
        <v>169</v>
      </c>
      <c r="BY133">
        <v>57</v>
      </c>
      <c r="BZ133">
        <v>50</v>
      </c>
      <c r="CA133">
        <v>60</v>
      </c>
      <c r="CB133">
        <v>55</v>
      </c>
      <c r="CC133">
        <v>50</v>
      </c>
      <c r="CD133">
        <v>60</v>
      </c>
      <c r="CE133">
        <v>3</v>
      </c>
      <c r="CH133" s="25" t="s">
        <v>173</v>
      </c>
      <c r="CI133" t="s">
        <v>164</v>
      </c>
      <c r="CJ133" s="26" t="s">
        <v>241</v>
      </c>
      <c r="CK133" s="26" t="s">
        <v>242</v>
      </c>
      <c r="CL133" s="26" t="s">
        <v>243</v>
      </c>
      <c r="CM133" s="26" t="s">
        <v>243</v>
      </c>
      <c r="CN133" s="26" t="s">
        <v>243</v>
      </c>
      <c r="CO133" s="26">
        <v>61</v>
      </c>
    </row>
    <row r="134" spans="49:93" x14ac:dyDescent="0.2">
      <c r="AW134" t="str">
        <v>Spring</v>
      </c>
      <c r="AX134" t="str">
        <v>Lambs and hoggets</v>
      </c>
      <c r="AY134">
        <v>20</v>
      </c>
      <c r="AZ134">
        <v>20</v>
      </c>
      <c r="BA134">
        <v>40</v>
      </c>
      <c r="BB134">
        <v>14</v>
      </c>
      <c r="BC134">
        <v>22</v>
      </c>
      <c r="BD134">
        <v>30</v>
      </c>
      <c r="BE134">
        <v>1</v>
      </c>
      <c r="BW134" s="8" t="s">
        <v>166</v>
      </c>
      <c r="BX134" s="8" t="s">
        <v>169</v>
      </c>
      <c r="BY134">
        <v>57</v>
      </c>
      <c r="BZ134">
        <v>50</v>
      </c>
      <c r="CA134">
        <v>60</v>
      </c>
      <c r="CB134">
        <v>55</v>
      </c>
      <c r="CC134">
        <v>50</v>
      </c>
      <c r="CD134">
        <v>60</v>
      </c>
      <c r="CE134">
        <v>4</v>
      </c>
      <c r="CH134" s="25" t="s">
        <v>173</v>
      </c>
      <c r="CI134" t="s">
        <v>165</v>
      </c>
      <c r="CJ134" s="26" t="s">
        <v>241</v>
      </c>
      <c r="CK134" s="26" t="s">
        <v>242</v>
      </c>
      <c r="CL134" s="26" t="s">
        <v>243</v>
      </c>
      <c r="CM134" s="26" t="s">
        <v>243</v>
      </c>
      <c r="CN134" s="26" t="s">
        <v>243</v>
      </c>
      <c r="CO134" s="26">
        <v>62</v>
      </c>
    </row>
    <row r="135" spans="49:93" x14ac:dyDescent="0.2">
      <c r="AW135" t="str">
        <v>Summer</v>
      </c>
      <c r="AX135" t="str">
        <v>Lambs and hoggets</v>
      </c>
      <c r="AY135">
        <v>27</v>
      </c>
      <c r="AZ135">
        <v>25</v>
      </c>
      <c r="BA135">
        <v>45</v>
      </c>
      <c r="BB135">
        <v>24</v>
      </c>
      <c r="BC135">
        <v>28</v>
      </c>
      <c r="BD135">
        <v>30</v>
      </c>
      <c r="BE135">
        <v>2</v>
      </c>
      <c r="BW135" s="8" t="s">
        <v>163</v>
      </c>
      <c r="BX135" s="8" t="s">
        <v>171</v>
      </c>
      <c r="BY135">
        <v>60</v>
      </c>
      <c r="BZ135">
        <v>55</v>
      </c>
      <c r="CA135">
        <v>66</v>
      </c>
      <c r="CB135">
        <v>60</v>
      </c>
      <c r="CC135">
        <v>55</v>
      </c>
      <c r="CD135">
        <v>66</v>
      </c>
      <c r="CE135">
        <v>1</v>
      </c>
      <c r="CH135" s="25" t="s">
        <v>173</v>
      </c>
      <c r="CI135" t="s">
        <v>166</v>
      </c>
      <c r="CJ135" s="26" t="s">
        <v>241</v>
      </c>
      <c r="CK135" s="26" t="s">
        <v>242</v>
      </c>
      <c r="CL135" s="26" t="s">
        <v>243</v>
      </c>
      <c r="CM135" s="26" t="s">
        <v>243</v>
      </c>
      <c r="CN135" s="26" t="s">
        <v>243</v>
      </c>
      <c r="CO135" s="26">
        <v>63</v>
      </c>
    </row>
    <row r="136" spans="49:93" x14ac:dyDescent="0.2">
      <c r="AW136" t="str">
        <v>Autumn</v>
      </c>
      <c r="AX136" t="str">
        <v>Lambs and hoggets</v>
      </c>
      <c r="AY136">
        <v>32</v>
      </c>
      <c r="AZ136">
        <v>20</v>
      </c>
      <c r="BA136">
        <v>20</v>
      </c>
      <c r="BB136">
        <v>36</v>
      </c>
      <c r="BC136">
        <v>33</v>
      </c>
      <c r="BD136">
        <v>10</v>
      </c>
      <c r="BE136">
        <v>3</v>
      </c>
      <c r="BW136" s="8" t="s">
        <v>164</v>
      </c>
      <c r="BX136" s="8" t="s">
        <v>171</v>
      </c>
      <c r="BY136">
        <v>61</v>
      </c>
      <c r="BZ136">
        <v>56</v>
      </c>
      <c r="CA136">
        <v>67</v>
      </c>
      <c r="CB136">
        <v>61</v>
      </c>
      <c r="CC136">
        <v>56</v>
      </c>
      <c r="CD136">
        <v>67</v>
      </c>
      <c r="CE136">
        <v>2</v>
      </c>
      <c r="CH136" s="27" t="s">
        <v>174</v>
      </c>
      <c r="CI136" t="s">
        <v>163</v>
      </c>
      <c r="CJ136" s="20" t="s">
        <v>244</v>
      </c>
      <c r="CK136" s="20" t="s">
        <v>245</v>
      </c>
      <c r="CL136" s="20" t="s">
        <v>246</v>
      </c>
      <c r="CM136" s="20" t="s">
        <v>246</v>
      </c>
      <c r="CN136" s="20" t="s">
        <v>246</v>
      </c>
      <c r="CO136" s="20">
        <v>55</v>
      </c>
    </row>
    <row r="137" spans="49:93" x14ac:dyDescent="0.2">
      <c r="AW137" t="str">
        <v>Winter</v>
      </c>
      <c r="AX137" t="str">
        <v>Lambs and hoggets</v>
      </c>
      <c r="AY137">
        <v>34</v>
      </c>
      <c r="AZ137">
        <v>25</v>
      </c>
      <c r="BA137">
        <v>30</v>
      </c>
      <c r="BB137">
        <v>42</v>
      </c>
      <c r="BC137">
        <v>35</v>
      </c>
      <c r="BD137">
        <v>20</v>
      </c>
      <c r="BE137">
        <v>4</v>
      </c>
      <c r="BW137" s="8" t="s">
        <v>165</v>
      </c>
      <c r="BX137" s="8" t="s">
        <v>171</v>
      </c>
      <c r="BY137">
        <v>62</v>
      </c>
      <c r="BZ137">
        <v>57</v>
      </c>
      <c r="CA137">
        <v>68</v>
      </c>
      <c r="CB137">
        <v>62</v>
      </c>
      <c r="CC137">
        <v>57</v>
      </c>
      <c r="CD137">
        <v>68</v>
      </c>
      <c r="CE137">
        <v>3</v>
      </c>
      <c r="CH137" s="27" t="s">
        <v>174</v>
      </c>
      <c r="CI137" t="s">
        <v>164</v>
      </c>
      <c r="CJ137" s="20" t="s">
        <v>244</v>
      </c>
      <c r="CK137" s="20" t="s">
        <v>245</v>
      </c>
      <c r="CL137" s="20" t="s">
        <v>246</v>
      </c>
      <c r="CM137" s="20" t="s">
        <v>246</v>
      </c>
      <c r="CN137" s="20" t="s">
        <v>246</v>
      </c>
      <c r="CO137" s="20">
        <v>56</v>
      </c>
    </row>
    <row r="138" spans="49:93" x14ac:dyDescent="0.2">
      <c r="AW138" t="str">
        <v>Spring</v>
      </c>
      <c r="AX138" t="str">
        <v>Maiden ewes</v>
      </c>
      <c r="AY138">
        <v>44</v>
      </c>
      <c r="AZ138">
        <v>35</v>
      </c>
      <c r="BA138">
        <v>52</v>
      </c>
      <c r="BB138">
        <v>45</v>
      </c>
      <c r="BC138">
        <v>50</v>
      </c>
      <c r="BD138">
        <v>50</v>
      </c>
      <c r="BE138">
        <v>1</v>
      </c>
      <c r="BW138" s="8" t="s">
        <v>166</v>
      </c>
      <c r="BX138" s="8" t="s">
        <v>171</v>
      </c>
      <c r="BY138">
        <v>63</v>
      </c>
      <c r="BZ138">
        <v>58</v>
      </c>
      <c r="CA138">
        <v>69</v>
      </c>
      <c r="CB138">
        <v>63</v>
      </c>
      <c r="CC138">
        <v>58</v>
      </c>
      <c r="CD138">
        <v>69</v>
      </c>
      <c r="CE138">
        <v>4</v>
      </c>
      <c r="CH138" s="27" t="s">
        <v>174</v>
      </c>
      <c r="CI138" t="s">
        <v>165</v>
      </c>
      <c r="CJ138" s="20" t="s">
        <v>244</v>
      </c>
      <c r="CK138" s="20" t="s">
        <v>245</v>
      </c>
      <c r="CL138" s="20" t="s">
        <v>246</v>
      </c>
      <c r="CM138" s="20" t="s">
        <v>246</v>
      </c>
      <c r="CN138" s="20" t="s">
        <v>246</v>
      </c>
      <c r="CO138" s="20">
        <v>57</v>
      </c>
    </row>
    <row r="139" spans="49:93" x14ac:dyDescent="0.2">
      <c r="AW139" t="str">
        <v>Summer</v>
      </c>
      <c r="AX139" t="str">
        <v>Maiden ewes</v>
      </c>
      <c r="AY139">
        <v>42</v>
      </c>
      <c r="AZ139">
        <v>40</v>
      </c>
      <c r="BA139">
        <v>52</v>
      </c>
      <c r="BB139">
        <v>45</v>
      </c>
      <c r="BC139">
        <v>45</v>
      </c>
      <c r="BD139">
        <v>45</v>
      </c>
      <c r="BE139">
        <v>2</v>
      </c>
      <c r="BW139" s="8" t="s">
        <v>163</v>
      </c>
      <c r="BX139" s="8" t="s">
        <v>168</v>
      </c>
      <c r="BY139">
        <v>57</v>
      </c>
      <c r="BZ139">
        <v>50</v>
      </c>
      <c r="CA139">
        <v>60</v>
      </c>
      <c r="CB139">
        <v>55</v>
      </c>
      <c r="CC139">
        <v>50</v>
      </c>
      <c r="CD139">
        <v>60</v>
      </c>
      <c r="CE139">
        <v>1</v>
      </c>
      <c r="CH139" s="27" t="s">
        <v>174</v>
      </c>
      <c r="CI139" t="s">
        <v>166</v>
      </c>
      <c r="CJ139" s="20" t="s">
        <v>244</v>
      </c>
      <c r="CK139" s="20" t="s">
        <v>245</v>
      </c>
      <c r="CL139" s="20" t="s">
        <v>246</v>
      </c>
      <c r="CM139" s="20" t="s">
        <v>246</v>
      </c>
      <c r="CN139" s="20" t="s">
        <v>246</v>
      </c>
      <c r="CO139" s="20">
        <v>58</v>
      </c>
    </row>
    <row r="140" spans="49:93" x14ac:dyDescent="0.2">
      <c r="AW140" t="str">
        <v>Autumn</v>
      </c>
      <c r="AX140" t="str">
        <v>Maiden ewes</v>
      </c>
      <c r="AY140">
        <v>43</v>
      </c>
      <c r="AZ140">
        <v>40</v>
      </c>
      <c r="BA140">
        <v>52</v>
      </c>
      <c r="BB140">
        <v>45</v>
      </c>
      <c r="BC140">
        <v>43</v>
      </c>
      <c r="BD140">
        <v>40</v>
      </c>
      <c r="BE140">
        <v>3</v>
      </c>
      <c r="BW140" s="8" t="s">
        <v>164</v>
      </c>
      <c r="BX140" s="8" t="s">
        <v>168</v>
      </c>
      <c r="BY140">
        <v>57</v>
      </c>
      <c r="BZ140">
        <v>50</v>
      </c>
      <c r="CA140">
        <v>60</v>
      </c>
      <c r="CB140">
        <v>55</v>
      </c>
      <c r="CC140">
        <v>50</v>
      </c>
      <c r="CD140">
        <v>60</v>
      </c>
      <c r="CE140">
        <v>2</v>
      </c>
      <c r="CH140" s="27" t="s">
        <v>175</v>
      </c>
      <c r="CI140" t="s">
        <v>163</v>
      </c>
      <c r="CJ140" s="20" t="s">
        <v>247</v>
      </c>
      <c r="CK140" s="20" t="s">
        <v>248</v>
      </c>
      <c r="CL140" s="20" t="s">
        <v>245</v>
      </c>
      <c r="CM140" s="20" t="s">
        <v>245</v>
      </c>
      <c r="CN140" s="20" t="s">
        <v>245</v>
      </c>
      <c r="CO140" s="20">
        <v>66</v>
      </c>
    </row>
    <row r="141" spans="49:93" x14ac:dyDescent="0.2">
      <c r="AW141" t="str">
        <v>Winter</v>
      </c>
      <c r="AX141" t="str">
        <v>Maiden ewes</v>
      </c>
      <c r="AY141">
        <v>45</v>
      </c>
      <c r="AZ141">
        <v>35</v>
      </c>
      <c r="BA141">
        <v>52</v>
      </c>
      <c r="BB141">
        <v>50</v>
      </c>
      <c r="BC141">
        <v>40</v>
      </c>
      <c r="BD141">
        <v>45</v>
      </c>
      <c r="BE141">
        <v>4</v>
      </c>
      <c r="BW141" s="8" t="s">
        <v>165</v>
      </c>
      <c r="BX141" s="8" t="s">
        <v>168</v>
      </c>
      <c r="BY141">
        <v>57</v>
      </c>
      <c r="BZ141">
        <v>50</v>
      </c>
      <c r="CA141">
        <v>60</v>
      </c>
      <c r="CB141">
        <v>55</v>
      </c>
      <c r="CC141">
        <v>50</v>
      </c>
      <c r="CD141">
        <v>60</v>
      </c>
      <c r="CE141">
        <v>3</v>
      </c>
      <c r="CH141" s="27" t="s">
        <v>175</v>
      </c>
      <c r="CI141" t="s">
        <v>164</v>
      </c>
      <c r="CJ141" s="20" t="s">
        <v>247</v>
      </c>
      <c r="CK141" s="20" t="s">
        <v>248</v>
      </c>
      <c r="CL141" s="20" t="s">
        <v>245</v>
      </c>
      <c r="CM141" s="20" t="s">
        <v>245</v>
      </c>
      <c r="CN141" s="20" t="s">
        <v>245</v>
      </c>
      <c r="CO141" s="20">
        <v>67</v>
      </c>
    </row>
    <row r="142" spans="49:93" x14ac:dyDescent="0.2">
      <c r="AW142" t="str">
        <v>Spring</v>
      </c>
      <c r="AX142" t="str">
        <v>Other ewes</v>
      </c>
      <c r="AY142">
        <v>56</v>
      </c>
      <c r="AZ142">
        <v>45</v>
      </c>
      <c r="BA142">
        <v>55</v>
      </c>
      <c r="BB142">
        <v>50</v>
      </c>
      <c r="BC142">
        <v>50</v>
      </c>
      <c r="BD142">
        <v>55</v>
      </c>
      <c r="BE142">
        <v>1</v>
      </c>
      <c r="BW142" s="8" t="s">
        <v>166</v>
      </c>
      <c r="BX142" s="8" t="s">
        <v>168</v>
      </c>
      <c r="BY142">
        <v>57</v>
      </c>
      <c r="BZ142">
        <v>50</v>
      </c>
      <c r="CA142">
        <v>60</v>
      </c>
      <c r="CB142">
        <v>55</v>
      </c>
      <c r="CC142">
        <v>50</v>
      </c>
      <c r="CD142">
        <v>60</v>
      </c>
      <c r="CE142">
        <v>4</v>
      </c>
      <c r="CH142" s="27" t="s">
        <v>175</v>
      </c>
      <c r="CI142" t="s">
        <v>165</v>
      </c>
      <c r="CJ142" s="20" t="s">
        <v>247</v>
      </c>
      <c r="CK142" s="20" t="s">
        <v>248</v>
      </c>
      <c r="CL142" s="20" t="s">
        <v>245</v>
      </c>
      <c r="CM142" s="20" t="s">
        <v>245</v>
      </c>
      <c r="CN142" s="20" t="s">
        <v>245</v>
      </c>
      <c r="CO142" s="20">
        <v>68</v>
      </c>
    </row>
    <row r="143" spans="49:93" x14ac:dyDescent="0.2">
      <c r="AW143" t="str">
        <v>Summer</v>
      </c>
      <c r="AX143" t="str">
        <v>Other ewes</v>
      </c>
      <c r="AY143">
        <v>51</v>
      </c>
      <c r="AZ143">
        <v>50</v>
      </c>
      <c r="BA143">
        <v>55</v>
      </c>
      <c r="BB143">
        <v>50</v>
      </c>
      <c r="BC143">
        <v>50</v>
      </c>
      <c r="BD143">
        <v>50</v>
      </c>
      <c r="BE143">
        <v>2</v>
      </c>
      <c r="BW143" s="8" t="s">
        <v>163</v>
      </c>
      <c r="BX143" s="8" t="s">
        <v>170</v>
      </c>
      <c r="BY143">
        <v>57</v>
      </c>
      <c r="BZ143">
        <v>50</v>
      </c>
      <c r="CA143">
        <v>60</v>
      </c>
      <c r="CB143">
        <v>55</v>
      </c>
      <c r="CC143">
        <v>50</v>
      </c>
      <c r="CD143">
        <v>60</v>
      </c>
      <c r="CE143">
        <v>1</v>
      </c>
      <c r="CH143" s="27" t="s">
        <v>175</v>
      </c>
      <c r="CI143" t="s">
        <v>166</v>
      </c>
      <c r="CJ143" s="20" t="s">
        <v>247</v>
      </c>
      <c r="CK143" s="20" t="s">
        <v>248</v>
      </c>
      <c r="CL143" s="20" t="s">
        <v>245</v>
      </c>
      <c r="CM143" s="20" t="s">
        <v>245</v>
      </c>
      <c r="CN143" s="20" t="s">
        <v>245</v>
      </c>
      <c r="CO143" s="20">
        <v>69</v>
      </c>
    </row>
    <row r="144" spans="49:93" x14ac:dyDescent="0.2">
      <c r="AW144" t="str">
        <v>Autumn</v>
      </c>
      <c r="AX144" t="str">
        <v>Other ewes</v>
      </c>
      <c r="AY144">
        <v>50</v>
      </c>
      <c r="AZ144">
        <v>50</v>
      </c>
      <c r="BA144">
        <v>55</v>
      </c>
      <c r="BB144">
        <v>50</v>
      </c>
      <c r="BC144">
        <v>50</v>
      </c>
      <c r="BD144">
        <v>45</v>
      </c>
      <c r="BE144">
        <v>3</v>
      </c>
      <c r="BW144" s="8" t="s">
        <v>164</v>
      </c>
      <c r="BX144" s="8" t="s">
        <v>170</v>
      </c>
      <c r="BY144">
        <v>57</v>
      </c>
      <c r="BZ144">
        <v>50</v>
      </c>
      <c r="CA144">
        <v>60</v>
      </c>
      <c r="CB144">
        <v>55</v>
      </c>
      <c r="CC144">
        <v>50</v>
      </c>
      <c r="CD144">
        <v>60</v>
      </c>
      <c r="CE144">
        <v>2</v>
      </c>
      <c r="CH144" s="27" t="s">
        <v>176</v>
      </c>
      <c r="CI144" t="s">
        <v>163</v>
      </c>
      <c r="CJ144" s="20" t="s">
        <v>249</v>
      </c>
      <c r="CK144" s="20" t="s">
        <v>250</v>
      </c>
      <c r="CL144" s="20" t="s">
        <v>251</v>
      </c>
      <c r="CM144" s="20" t="s">
        <v>251</v>
      </c>
      <c r="CN144" s="20" t="s">
        <v>251</v>
      </c>
      <c r="CO144" s="20">
        <v>60</v>
      </c>
    </row>
    <row r="145" spans="49:93" x14ac:dyDescent="0.2">
      <c r="AW145" t="str">
        <v>Winter</v>
      </c>
      <c r="AX145" t="str">
        <v>Other ewes</v>
      </c>
      <c r="AY145">
        <v>51</v>
      </c>
      <c r="AZ145">
        <v>48</v>
      </c>
      <c r="BA145">
        <v>55</v>
      </c>
      <c r="BB145">
        <v>50</v>
      </c>
      <c r="BC145">
        <v>50</v>
      </c>
      <c r="BD145">
        <v>50</v>
      </c>
      <c r="BE145">
        <v>4</v>
      </c>
      <c r="BW145" s="8" t="s">
        <v>165</v>
      </c>
      <c r="BX145" s="8" t="s">
        <v>170</v>
      </c>
      <c r="BY145">
        <v>57</v>
      </c>
      <c r="BZ145">
        <v>50</v>
      </c>
      <c r="CA145">
        <v>60</v>
      </c>
      <c r="CB145">
        <v>55</v>
      </c>
      <c r="CC145">
        <v>50</v>
      </c>
      <c r="CD145">
        <v>60</v>
      </c>
      <c r="CE145">
        <v>3</v>
      </c>
      <c r="CH145" s="27" t="s">
        <v>176</v>
      </c>
      <c r="CI145" t="s">
        <v>164</v>
      </c>
      <c r="CJ145" s="20" t="s">
        <v>249</v>
      </c>
      <c r="CK145" s="20" t="s">
        <v>250</v>
      </c>
      <c r="CL145" s="20" t="s">
        <v>251</v>
      </c>
      <c r="CM145" s="20" t="s">
        <v>251</v>
      </c>
      <c r="CN145" s="20" t="s">
        <v>251</v>
      </c>
      <c r="CO145" s="20">
        <v>61</v>
      </c>
    </row>
    <row r="146" spans="49:93" x14ac:dyDescent="0.2">
      <c r="AW146" t="str">
        <v>Spring</v>
      </c>
      <c r="AX146" t="str">
        <v>Rams</v>
      </c>
      <c r="AY146">
        <v>75</v>
      </c>
      <c r="AZ146">
        <v>58</v>
      </c>
      <c r="BA146">
        <v>80</v>
      </c>
      <c r="BB146">
        <v>90</v>
      </c>
      <c r="BC146">
        <v>70</v>
      </c>
      <c r="BD146">
        <v>75</v>
      </c>
      <c r="BE146">
        <v>1</v>
      </c>
      <c r="BW146" s="8" t="s">
        <v>166</v>
      </c>
      <c r="BX146" s="8" t="s">
        <v>170</v>
      </c>
      <c r="BY146">
        <v>57</v>
      </c>
      <c r="BZ146">
        <v>50</v>
      </c>
      <c r="CA146">
        <v>60</v>
      </c>
      <c r="CB146">
        <v>55</v>
      </c>
      <c r="CC146">
        <v>50</v>
      </c>
      <c r="CD146">
        <v>60</v>
      </c>
      <c r="CE146">
        <v>4</v>
      </c>
      <c r="CH146" s="27" t="s">
        <v>176</v>
      </c>
      <c r="CI146" t="s">
        <v>165</v>
      </c>
      <c r="CJ146" s="20" t="s">
        <v>249</v>
      </c>
      <c r="CK146" s="20" t="s">
        <v>250</v>
      </c>
      <c r="CL146" s="20" t="s">
        <v>251</v>
      </c>
      <c r="CM146" s="20" t="s">
        <v>251</v>
      </c>
      <c r="CN146" s="20" t="s">
        <v>251</v>
      </c>
      <c r="CO146" s="20">
        <v>62</v>
      </c>
    </row>
    <row r="147" spans="49:93" x14ac:dyDescent="0.2">
      <c r="AW147" t="str">
        <v>Summer</v>
      </c>
      <c r="AX147" t="str">
        <v>Rams</v>
      </c>
      <c r="AY147">
        <v>75</v>
      </c>
      <c r="AZ147">
        <v>61</v>
      </c>
      <c r="BA147">
        <v>70</v>
      </c>
      <c r="BB147">
        <v>90</v>
      </c>
      <c r="BC147">
        <v>65</v>
      </c>
      <c r="BD147">
        <v>65</v>
      </c>
      <c r="BE147">
        <v>2</v>
      </c>
      <c r="BW147" s="8" t="s">
        <v>163</v>
      </c>
      <c r="BX147" s="8" t="s">
        <v>162</v>
      </c>
      <c r="BY147">
        <v>78</v>
      </c>
      <c r="BZ147">
        <v>70</v>
      </c>
      <c r="CA147">
        <v>84</v>
      </c>
      <c r="CB147">
        <v>77</v>
      </c>
      <c r="CC147">
        <v>70</v>
      </c>
      <c r="CD147">
        <v>84</v>
      </c>
      <c r="CE147">
        <v>1</v>
      </c>
      <c r="CH147" s="27" t="s">
        <v>176</v>
      </c>
      <c r="CI147" t="s">
        <v>166</v>
      </c>
      <c r="CJ147" s="20" t="s">
        <v>249</v>
      </c>
      <c r="CK147" s="20" t="s">
        <v>250</v>
      </c>
      <c r="CL147" s="20" t="s">
        <v>251</v>
      </c>
      <c r="CM147" s="20" t="s">
        <v>251</v>
      </c>
      <c r="CN147" s="20" t="s">
        <v>251</v>
      </c>
      <c r="CO147" s="20">
        <v>63</v>
      </c>
    </row>
    <row r="148" spans="49:93" x14ac:dyDescent="0.2">
      <c r="AW148" t="str">
        <v>Autumn</v>
      </c>
      <c r="AX148" t="str">
        <v>Rams</v>
      </c>
      <c r="AY148">
        <v>69</v>
      </c>
      <c r="AZ148">
        <v>63</v>
      </c>
      <c r="BA148">
        <v>70</v>
      </c>
      <c r="BB148">
        <v>75</v>
      </c>
      <c r="BC148">
        <v>65</v>
      </c>
      <c r="BD148">
        <v>65</v>
      </c>
      <c r="BE148">
        <v>3</v>
      </c>
      <c r="BW148" s="8" t="s">
        <v>164</v>
      </c>
      <c r="BX148" s="8" t="s">
        <v>162</v>
      </c>
      <c r="BY148">
        <v>78</v>
      </c>
      <c r="BZ148">
        <v>70</v>
      </c>
      <c r="CA148">
        <v>84</v>
      </c>
      <c r="CB148">
        <v>77</v>
      </c>
      <c r="CC148">
        <v>70</v>
      </c>
      <c r="CD148">
        <v>84</v>
      </c>
      <c r="CE148">
        <v>2</v>
      </c>
      <c r="CH148" s="15" t="s">
        <v>177</v>
      </c>
      <c r="CI148" t="s">
        <v>163</v>
      </c>
      <c r="CJ148" s="16" t="s">
        <v>244</v>
      </c>
      <c r="CK148" s="16" t="s">
        <v>245</v>
      </c>
      <c r="CL148" s="16" t="s">
        <v>246</v>
      </c>
      <c r="CM148" s="16" t="s">
        <v>246</v>
      </c>
      <c r="CN148" s="16" t="s">
        <v>246</v>
      </c>
      <c r="CO148" s="17">
        <v>55</v>
      </c>
    </row>
    <row r="149" spans="49:93" x14ac:dyDescent="0.2">
      <c r="AW149" t="str">
        <v>Winter</v>
      </c>
      <c r="AX149" t="str">
        <v>Rams</v>
      </c>
      <c r="AY149">
        <v>69</v>
      </c>
      <c r="AZ149">
        <v>60</v>
      </c>
      <c r="BA149">
        <v>70</v>
      </c>
      <c r="BB149">
        <v>75</v>
      </c>
      <c r="BC149">
        <v>60</v>
      </c>
      <c r="BD149">
        <v>65</v>
      </c>
      <c r="BE149">
        <v>4</v>
      </c>
      <c r="BW149" s="8" t="s">
        <v>165</v>
      </c>
      <c r="BX149" s="8" t="s">
        <v>162</v>
      </c>
      <c r="BY149">
        <v>78</v>
      </c>
      <c r="BZ149">
        <v>70</v>
      </c>
      <c r="CA149">
        <v>84</v>
      </c>
      <c r="CB149">
        <v>77</v>
      </c>
      <c r="CC149">
        <v>70</v>
      </c>
      <c r="CD149">
        <v>84</v>
      </c>
      <c r="CE149">
        <v>3</v>
      </c>
      <c r="CH149" s="15" t="s">
        <v>177</v>
      </c>
      <c r="CI149" t="s">
        <v>164</v>
      </c>
      <c r="CJ149" s="16" t="s">
        <v>244</v>
      </c>
      <c r="CK149" s="16" t="s">
        <v>245</v>
      </c>
      <c r="CL149" s="16" t="s">
        <v>246</v>
      </c>
      <c r="CM149" s="16" t="s">
        <v>246</v>
      </c>
      <c r="CN149" s="16" t="s">
        <v>246</v>
      </c>
      <c r="CO149" s="17">
        <v>56</v>
      </c>
    </row>
    <row r="150" spans="49:93" x14ac:dyDescent="0.2">
      <c r="AW150" t="str">
        <v>Spring</v>
      </c>
      <c r="AX150" t="str">
        <v>Wethers</v>
      </c>
      <c r="AY150">
        <v>62</v>
      </c>
      <c r="AZ150">
        <v>50</v>
      </c>
      <c r="BA150">
        <v>70</v>
      </c>
      <c r="BB150">
        <v>55</v>
      </c>
      <c r="BC150">
        <v>60</v>
      </c>
      <c r="BD150">
        <v>60</v>
      </c>
      <c r="BE150">
        <v>1</v>
      </c>
      <c r="BW150" s="8" t="s">
        <v>166</v>
      </c>
      <c r="BX150" s="8" t="s">
        <v>162</v>
      </c>
      <c r="BY150">
        <v>78</v>
      </c>
      <c r="BZ150">
        <v>70</v>
      </c>
      <c r="CA150">
        <v>84</v>
      </c>
      <c r="CB150">
        <v>77</v>
      </c>
      <c r="CC150">
        <v>70</v>
      </c>
      <c r="CD150">
        <v>84</v>
      </c>
      <c r="CE150">
        <v>4</v>
      </c>
      <c r="CH150" s="15" t="s">
        <v>177</v>
      </c>
      <c r="CI150" t="s">
        <v>165</v>
      </c>
      <c r="CJ150" s="16" t="s">
        <v>244</v>
      </c>
      <c r="CK150" s="16" t="s">
        <v>245</v>
      </c>
      <c r="CL150" s="16" t="s">
        <v>246</v>
      </c>
      <c r="CM150" s="16" t="s">
        <v>246</v>
      </c>
      <c r="CN150" s="16" t="s">
        <v>246</v>
      </c>
      <c r="CO150" s="17">
        <v>57</v>
      </c>
    </row>
    <row r="151" spans="49:93" x14ac:dyDescent="0.2">
      <c r="AW151" t="str">
        <v>Summer</v>
      </c>
      <c r="AX151" t="str">
        <v>Wethers</v>
      </c>
      <c r="AY151">
        <v>55</v>
      </c>
      <c r="AZ151">
        <v>55</v>
      </c>
      <c r="BA151">
        <v>65</v>
      </c>
      <c r="BB151">
        <v>55</v>
      </c>
      <c r="BC151">
        <v>55</v>
      </c>
      <c r="BD151">
        <v>55</v>
      </c>
      <c r="BE151">
        <v>2</v>
      </c>
      <c r="BW151" s="8" t="s">
        <v>163</v>
      </c>
      <c r="BX151" s="8" t="s">
        <v>167</v>
      </c>
      <c r="BY151">
        <v>62</v>
      </c>
      <c r="BZ151">
        <v>60</v>
      </c>
      <c r="CA151">
        <v>72</v>
      </c>
      <c r="CB151">
        <v>66</v>
      </c>
      <c r="CC151">
        <v>60</v>
      </c>
      <c r="CD151">
        <v>72</v>
      </c>
      <c r="CE151">
        <v>1</v>
      </c>
      <c r="CH151" s="15" t="s">
        <v>177</v>
      </c>
      <c r="CI151" t="s">
        <v>166</v>
      </c>
      <c r="CJ151" s="16" t="s">
        <v>244</v>
      </c>
      <c r="CK151" s="16" t="s">
        <v>245</v>
      </c>
      <c r="CL151" s="16" t="s">
        <v>246</v>
      </c>
      <c r="CM151" s="16" t="s">
        <v>246</v>
      </c>
      <c r="CN151" s="16" t="s">
        <v>246</v>
      </c>
      <c r="CO151" s="17">
        <v>58</v>
      </c>
    </row>
    <row r="152" spans="49:93" x14ac:dyDescent="0.2">
      <c r="AW152" t="str">
        <v>Autumn</v>
      </c>
      <c r="AX152" t="str">
        <v>Wethers</v>
      </c>
      <c r="AY152">
        <v>55</v>
      </c>
      <c r="AZ152">
        <v>55</v>
      </c>
      <c r="BA152">
        <v>60</v>
      </c>
      <c r="BB152">
        <v>50</v>
      </c>
      <c r="BC152">
        <v>52</v>
      </c>
      <c r="BD152">
        <v>48</v>
      </c>
      <c r="BE152">
        <v>3</v>
      </c>
      <c r="BW152" s="8" t="s">
        <v>164</v>
      </c>
      <c r="BX152" s="8" t="s">
        <v>167</v>
      </c>
      <c r="BY152">
        <v>62</v>
      </c>
      <c r="BZ152">
        <v>60</v>
      </c>
      <c r="CA152">
        <v>72</v>
      </c>
      <c r="CB152">
        <v>66</v>
      </c>
      <c r="CC152">
        <v>60</v>
      </c>
      <c r="CD152">
        <v>72</v>
      </c>
      <c r="CE152">
        <v>2</v>
      </c>
      <c r="CH152" s="18" t="s">
        <v>178</v>
      </c>
      <c r="CI152" t="s">
        <v>163</v>
      </c>
      <c r="CJ152" s="19" t="s">
        <v>247</v>
      </c>
      <c r="CK152" s="19" t="s">
        <v>248</v>
      </c>
      <c r="CL152" s="19" t="s">
        <v>245</v>
      </c>
      <c r="CM152" s="19" t="s">
        <v>245</v>
      </c>
      <c r="CN152" s="19" t="s">
        <v>245</v>
      </c>
      <c r="CO152" s="20">
        <v>66</v>
      </c>
    </row>
    <row r="153" spans="49:93" x14ac:dyDescent="0.2">
      <c r="AW153" t="str">
        <v>Winter</v>
      </c>
      <c r="AX153" t="str">
        <v>Wethers</v>
      </c>
      <c r="AY153">
        <v>55</v>
      </c>
      <c r="AZ153">
        <v>50</v>
      </c>
      <c r="BA153">
        <v>60</v>
      </c>
      <c r="BB153">
        <v>45</v>
      </c>
      <c r="BC153">
        <v>50</v>
      </c>
      <c r="BD153">
        <v>48</v>
      </c>
      <c r="BE153">
        <v>4</v>
      </c>
      <c r="BW153" s="8" t="s">
        <v>165</v>
      </c>
      <c r="BX153" s="8" t="s">
        <v>167</v>
      </c>
      <c r="BY153">
        <v>62</v>
      </c>
      <c r="BZ153">
        <v>60</v>
      </c>
      <c r="CA153">
        <v>72</v>
      </c>
      <c r="CB153">
        <v>66</v>
      </c>
      <c r="CC153">
        <v>60</v>
      </c>
      <c r="CD153">
        <v>72</v>
      </c>
      <c r="CE153">
        <v>3</v>
      </c>
      <c r="CH153" s="18" t="s">
        <v>178</v>
      </c>
      <c r="CI153" t="s">
        <v>164</v>
      </c>
      <c r="CJ153" s="19" t="s">
        <v>247</v>
      </c>
      <c r="CK153" s="19" t="s">
        <v>248</v>
      </c>
      <c r="CL153" s="19" t="s">
        <v>245</v>
      </c>
      <c r="CM153" s="19" t="s">
        <v>245</v>
      </c>
      <c r="CN153" s="19" t="s">
        <v>245</v>
      </c>
      <c r="CO153" s="20">
        <v>67</v>
      </c>
    </row>
    <row r="154" spans="49:93" x14ac:dyDescent="0.2">
      <c r="BW154" s="8" t="s">
        <v>166</v>
      </c>
      <c r="BX154" s="8" t="s">
        <v>167</v>
      </c>
      <c r="BY154">
        <v>62</v>
      </c>
      <c r="BZ154">
        <v>60</v>
      </c>
      <c r="CA154">
        <v>72</v>
      </c>
      <c r="CB154">
        <v>66</v>
      </c>
      <c r="CC154">
        <v>60</v>
      </c>
      <c r="CD154">
        <v>72</v>
      </c>
      <c r="CE154">
        <v>4</v>
      </c>
      <c r="CH154" s="18" t="s">
        <v>178</v>
      </c>
      <c r="CI154" t="s">
        <v>165</v>
      </c>
      <c r="CJ154" s="19" t="s">
        <v>247</v>
      </c>
      <c r="CK154" s="19" t="s">
        <v>248</v>
      </c>
      <c r="CL154" s="19" t="s">
        <v>245</v>
      </c>
      <c r="CM154" s="19" t="s">
        <v>245</v>
      </c>
      <c r="CN154" s="19" t="s">
        <v>245</v>
      </c>
      <c r="CO154" s="20">
        <v>68</v>
      </c>
    </row>
    <row r="155" spans="49:93" x14ac:dyDescent="0.2">
      <c r="BW155" s="8"/>
      <c r="BX155" s="8"/>
      <c r="CH155" s="18" t="s">
        <v>178</v>
      </c>
      <c r="CI155" t="s">
        <v>166</v>
      </c>
      <c r="CJ155" s="19" t="s">
        <v>247</v>
      </c>
      <c r="CK155" s="19" t="s">
        <v>248</v>
      </c>
      <c r="CL155" s="19" t="s">
        <v>245</v>
      </c>
      <c r="CM155" s="19" t="s">
        <v>245</v>
      </c>
      <c r="CN155" s="19" t="s">
        <v>245</v>
      </c>
      <c r="CO155" s="20">
        <v>69</v>
      </c>
    </row>
    <row r="156" spans="49:93" x14ac:dyDescent="0.2">
      <c r="AW156" t="str" cm="1">
        <f t="array" ref="AW156:BB156">QueryW40[[#Headers],[ACT/NSW]:[Western Australia]]</f>
        <v>ACT/NSW</v>
      </c>
      <c r="AX156" t="str">
        <v>Queensland</v>
      </c>
      <c r="AY156" t="str">
        <v>South Australia</v>
      </c>
      <c r="AZ156" t="str">
        <v>Tasmania</v>
      </c>
      <c r="BA156" t="str">
        <v>Victoria</v>
      </c>
      <c r="BB156" t="str">
        <v>Western Australia</v>
      </c>
    </row>
    <row r="163" spans="49:93" x14ac:dyDescent="0.2">
      <c r="CH163" t="s">
        <v>263</v>
      </c>
    </row>
    <row r="164" spans="49:93" x14ac:dyDescent="0.2">
      <c r="CH164" t="s">
        <v>262</v>
      </c>
    </row>
    <row r="165" spans="49:93" x14ac:dyDescent="0.2">
      <c r="CH165" t="s">
        <v>181</v>
      </c>
      <c r="CI165" t="s">
        <v>182</v>
      </c>
      <c r="CJ165" t="s">
        <v>183</v>
      </c>
      <c r="CK165" t="s">
        <v>184</v>
      </c>
      <c r="CL165" t="s">
        <v>185</v>
      </c>
      <c r="CM165" t="s">
        <v>186</v>
      </c>
      <c r="CN165" t="s">
        <v>187</v>
      </c>
      <c r="CO165" t="s">
        <v>188</v>
      </c>
    </row>
    <row r="166" spans="49:93" x14ac:dyDescent="0.2">
      <c r="BW166" t="s">
        <v>180</v>
      </c>
      <c r="BX166" t="s">
        <v>161</v>
      </c>
      <c r="BY166" t="s">
        <v>173</v>
      </c>
      <c r="BZ166" t="s">
        <v>174</v>
      </c>
      <c r="CA166" t="s">
        <v>175</v>
      </c>
      <c r="CB166" t="s">
        <v>176</v>
      </c>
      <c r="CC166" t="s">
        <v>177</v>
      </c>
      <c r="CD166" t="s">
        <v>178</v>
      </c>
      <c r="CE166" t="s">
        <v>189</v>
      </c>
      <c r="CH166" t="s">
        <v>179</v>
      </c>
      <c r="CI166" t="s">
        <v>180</v>
      </c>
      <c r="CJ166" t="s">
        <v>162</v>
      </c>
      <c r="CK166" t="s">
        <v>167</v>
      </c>
      <c r="CL166" t="s">
        <v>168</v>
      </c>
      <c r="CM166" t="s">
        <v>169</v>
      </c>
      <c r="CN166" t="s">
        <v>170</v>
      </c>
      <c r="CO166" t="s">
        <v>171</v>
      </c>
    </row>
    <row r="167" spans="49:93" x14ac:dyDescent="0.2">
      <c r="BW167" s="8" t="s">
        <v>163</v>
      </c>
      <c r="BX167" s="8" t="s">
        <v>169</v>
      </c>
      <c r="BY167">
        <v>2.9</v>
      </c>
      <c r="BZ167">
        <v>1.5</v>
      </c>
      <c r="CA167">
        <v>4</v>
      </c>
      <c r="CB167">
        <v>2.5</v>
      </c>
      <c r="CC167">
        <v>3.2</v>
      </c>
      <c r="CD167">
        <v>3.5</v>
      </c>
      <c r="CE167">
        <v>1</v>
      </c>
      <c r="CH167" t="s">
        <v>173</v>
      </c>
      <c r="CI167" t="s">
        <v>163</v>
      </c>
      <c r="CJ167">
        <v>2.9</v>
      </c>
      <c r="CK167">
        <v>2.9</v>
      </c>
      <c r="CL167">
        <v>2.9</v>
      </c>
      <c r="CM167">
        <v>2.9</v>
      </c>
      <c r="CN167">
        <v>2.9</v>
      </c>
      <c r="CO167">
        <v>2.9</v>
      </c>
    </row>
    <row r="168" spans="49:93" x14ac:dyDescent="0.2">
      <c r="BW168" s="8" t="s">
        <v>164</v>
      </c>
      <c r="BX168" s="8" t="s">
        <v>169</v>
      </c>
      <c r="BY168">
        <v>2.5</v>
      </c>
      <c r="BZ168">
        <v>2</v>
      </c>
      <c r="CA168">
        <v>2.5</v>
      </c>
      <c r="CB168">
        <v>2.5</v>
      </c>
      <c r="CC168">
        <v>3</v>
      </c>
      <c r="CD168">
        <v>1.5</v>
      </c>
      <c r="CE168">
        <v>2</v>
      </c>
      <c r="CI168" t="s">
        <v>164</v>
      </c>
      <c r="CJ168">
        <v>2.5</v>
      </c>
      <c r="CK168">
        <v>2.5</v>
      </c>
      <c r="CL168">
        <v>2.5</v>
      </c>
      <c r="CM168">
        <v>2.5</v>
      </c>
      <c r="CN168">
        <v>2.5</v>
      </c>
      <c r="CO168">
        <v>2.5</v>
      </c>
    </row>
    <row r="169" spans="49:93" x14ac:dyDescent="0.2">
      <c r="BW169" s="8" t="s">
        <v>165</v>
      </c>
      <c r="BX169" s="8" t="s">
        <v>169</v>
      </c>
      <c r="BY169">
        <v>1.6</v>
      </c>
      <c r="BZ169">
        <v>2.2000000000000002</v>
      </c>
      <c r="CA169">
        <v>0.7</v>
      </c>
      <c r="CB169">
        <v>1.3</v>
      </c>
      <c r="CC169">
        <v>1.8</v>
      </c>
      <c r="CD169">
        <v>0.7</v>
      </c>
      <c r="CE169">
        <v>3</v>
      </c>
      <c r="CI169" t="s">
        <v>165</v>
      </c>
      <c r="CJ169">
        <v>1.6</v>
      </c>
      <c r="CK169">
        <v>1.6</v>
      </c>
      <c r="CL169">
        <v>1.6</v>
      </c>
      <c r="CM169">
        <v>1.6</v>
      </c>
      <c r="CN169">
        <v>1.6</v>
      </c>
      <c r="CO169">
        <v>1.6</v>
      </c>
    </row>
    <row r="170" spans="49:93" x14ac:dyDescent="0.2">
      <c r="BW170" s="8" t="s">
        <v>166</v>
      </c>
      <c r="BX170" s="8" t="s">
        <v>169</v>
      </c>
      <c r="BY170">
        <v>1.7</v>
      </c>
      <c r="BZ170">
        <v>1.7</v>
      </c>
      <c r="CA170">
        <v>0.9</v>
      </c>
      <c r="CB170">
        <v>0.8</v>
      </c>
      <c r="CC170">
        <v>1</v>
      </c>
      <c r="CD170">
        <v>1.2</v>
      </c>
      <c r="CE170">
        <v>4</v>
      </c>
      <c r="CI170" t="s">
        <v>166</v>
      </c>
      <c r="CJ170">
        <v>1.7</v>
      </c>
      <c r="CK170">
        <v>1.7</v>
      </c>
      <c r="CL170">
        <v>1.7</v>
      </c>
      <c r="CM170">
        <v>1.7</v>
      </c>
      <c r="CN170">
        <v>1.7</v>
      </c>
      <c r="CO170">
        <v>1.7</v>
      </c>
    </row>
    <row r="171" spans="49:93" x14ac:dyDescent="0.2">
      <c r="BW171" s="8" t="s">
        <v>163</v>
      </c>
      <c r="BX171" s="8" t="s">
        <v>171</v>
      </c>
      <c r="BY171">
        <v>2.9</v>
      </c>
      <c r="BZ171">
        <v>1.5</v>
      </c>
      <c r="CA171">
        <v>4</v>
      </c>
      <c r="CB171">
        <v>2.5</v>
      </c>
      <c r="CC171">
        <v>3.2</v>
      </c>
      <c r="CD171">
        <v>3.5</v>
      </c>
      <c r="CE171">
        <v>1</v>
      </c>
      <c r="CH171" t="s">
        <v>174</v>
      </c>
      <c r="CI171" t="s">
        <v>163</v>
      </c>
      <c r="CJ171">
        <v>1.5</v>
      </c>
      <c r="CK171">
        <v>1.5</v>
      </c>
      <c r="CL171">
        <v>1.5</v>
      </c>
      <c r="CM171">
        <v>1.5</v>
      </c>
      <c r="CN171">
        <v>1.5</v>
      </c>
      <c r="CO171">
        <v>1.5</v>
      </c>
    </row>
    <row r="172" spans="49:93" x14ac:dyDescent="0.2">
      <c r="AW172" t="e" cm="1">
        <f t="array" ref="AW172">#REF!</f>
        <v>#REF!</v>
      </c>
      <c r="BW172" s="8" t="s">
        <v>164</v>
      </c>
      <c r="BX172" s="8" t="s">
        <v>171</v>
      </c>
      <c r="BY172">
        <v>2.5</v>
      </c>
      <c r="BZ172">
        <v>2</v>
      </c>
      <c r="CA172">
        <v>2.5</v>
      </c>
      <c r="CB172">
        <v>2.5</v>
      </c>
      <c r="CC172">
        <v>3</v>
      </c>
      <c r="CD172">
        <v>1.5</v>
      </c>
      <c r="CE172">
        <v>2</v>
      </c>
      <c r="CI172" t="s">
        <v>164</v>
      </c>
      <c r="CJ172">
        <v>2</v>
      </c>
      <c r="CK172">
        <v>2</v>
      </c>
      <c r="CL172">
        <v>2</v>
      </c>
      <c r="CM172">
        <v>2</v>
      </c>
      <c r="CN172">
        <v>2</v>
      </c>
      <c r="CO172">
        <v>2</v>
      </c>
    </row>
    <row r="173" spans="49:93" x14ac:dyDescent="0.2">
      <c r="AW173" t="str" cm="1">
        <f t="array" ref="AW173:BE173">QueryW40[#Headers]</f>
        <v>Season</v>
      </c>
      <c r="AX173" t="str">
        <v>Class</v>
      </c>
      <c r="AY173" t="str">
        <v>ACT/NSW</v>
      </c>
      <c r="AZ173" t="str">
        <v>Queensland</v>
      </c>
      <c r="BA173" t="str">
        <v>South Australia</v>
      </c>
      <c r="BB173" t="str">
        <v>Tasmania</v>
      </c>
      <c r="BC173" t="str">
        <v>Victoria</v>
      </c>
      <c r="BD173" t="str">
        <v>Western Australia</v>
      </c>
      <c r="BE173" t="str">
        <v>SeasonOrder</v>
      </c>
      <c r="BW173" s="8" t="s">
        <v>165</v>
      </c>
      <c r="BX173" s="8" t="s">
        <v>171</v>
      </c>
      <c r="BY173">
        <v>1.6</v>
      </c>
      <c r="BZ173">
        <v>2.2000000000000002</v>
      </c>
      <c r="CA173">
        <v>0.7</v>
      </c>
      <c r="CB173">
        <v>1.3</v>
      </c>
      <c r="CC173">
        <v>1.8</v>
      </c>
      <c r="CD173">
        <v>0.7</v>
      </c>
      <c r="CE173">
        <v>3</v>
      </c>
      <c r="CI173" t="s">
        <v>165</v>
      </c>
      <c r="CJ173">
        <v>2.2000000000000002</v>
      </c>
      <c r="CK173">
        <v>2.2000000000000002</v>
      </c>
      <c r="CL173">
        <v>2.2000000000000002</v>
      </c>
      <c r="CM173">
        <v>2.2000000000000002</v>
      </c>
      <c r="CN173">
        <v>2.2000000000000002</v>
      </c>
      <c r="CO173">
        <v>2.2000000000000002</v>
      </c>
    </row>
    <row r="174" spans="49:93" x14ac:dyDescent="0.2">
      <c r="AW174" t="str" cm="1">
        <f t="array" ref="AW174:BB174">QueryW40[[#Headers],[ACT/NSW]:[Western Australia]]</f>
        <v>ACT/NSW</v>
      </c>
      <c r="AX174" t="str">
        <v>Queensland</v>
      </c>
      <c r="AY174" t="str">
        <v>South Australia</v>
      </c>
      <c r="AZ174" t="str">
        <v>Tasmania</v>
      </c>
      <c r="BA174" t="str">
        <v>Victoria</v>
      </c>
      <c r="BB174" t="str">
        <v>Western Australia</v>
      </c>
      <c r="BW174" s="8" t="s">
        <v>166</v>
      </c>
      <c r="BX174" s="8" t="s">
        <v>171</v>
      </c>
      <c r="BY174">
        <v>1.7</v>
      </c>
      <c r="BZ174">
        <v>1.7</v>
      </c>
      <c r="CA174">
        <v>0.9</v>
      </c>
      <c r="CB174">
        <v>0.8</v>
      </c>
      <c r="CC174">
        <v>1</v>
      </c>
      <c r="CD174">
        <v>1.2</v>
      </c>
      <c r="CE174">
        <v>4</v>
      </c>
      <c r="CI174" t="s">
        <v>166</v>
      </c>
      <c r="CJ174">
        <v>1.7</v>
      </c>
      <c r="CK174">
        <v>1.7</v>
      </c>
      <c r="CL174">
        <v>1.7</v>
      </c>
      <c r="CM174">
        <v>1.7</v>
      </c>
      <c r="CN174">
        <v>1.7</v>
      </c>
      <c r="CO174">
        <v>1.7</v>
      </c>
    </row>
    <row r="175" spans="49:93" x14ac:dyDescent="0.2">
      <c r="BW175" s="8" t="s">
        <v>163</v>
      </c>
      <c r="BX175" s="8" t="s">
        <v>168</v>
      </c>
      <c r="BY175">
        <v>2.9</v>
      </c>
      <c r="BZ175">
        <v>1.5</v>
      </c>
      <c r="CA175">
        <v>4</v>
      </c>
      <c r="CB175">
        <v>2.5</v>
      </c>
      <c r="CC175">
        <v>3.2</v>
      </c>
      <c r="CD175">
        <v>3.5</v>
      </c>
      <c r="CE175">
        <v>1</v>
      </c>
      <c r="CH175" t="s">
        <v>175</v>
      </c>
      <c r="CI175" t="s">
        <v>163</v>
      </c>
      <c r="CJ175">
        <v>4</v>
      </c>
      <c r="CK175">
        <v>4</v>
      </c>
      <c r="CL175">
        <v>4</v>
      </c>
      <c r="CM175">
        <v>4</v>
      </c>
      <c r="CN175">
        <v>4</v>
      </c>
      <c r="CO175">
        <v>4</v>
      </c>
    </row>
    <row r="176" spans="49:93" x14ac:dyDescent="0.2">
      <c r="AW176" t="e" cm="1">
        <f t="array" ref="AW176">#REF!</f>
        <v>#REF!</v>
      </c>
      <c r="BW176" s="8" t="s">
        <v>164</v>
      </c>
      <c r="BX176" s="8" t="s">
        <v>168</v>
      </c>
      <c r="BY176">
        <v>2.5</v>
      </c>
      <c r="BZ176">
        <v>2</v>
      </c>
      <c r="CA176">
        <v>2.5</v>
      </c>
      <c r="CB176">
        <v>2.5</v>
      </c>
      <c r="CC176">
        <v>3</v>
      </c>
      <c r="CD176">
        <v>1.5</v>
      </c>
      <c r="CE176">
        <v>2</v>
      </c>
      <c r="CI176" t="s">
        <v>164</v>
      </c>
      <c r="CJ176">
        <v>2.5</v>
      </c>
      <c r="CK176">
        <v>2.5</v>
      </c>
      <c r="CL176">
        <v>2.5</v>
      </c>
      <c r="CM176">
        <v>2.5</v>
      </c>
      <c r="CN176">
        <v>2.5</v>
      </c>
      <c r="CO176">
        <v>2.5</v>
      </c>
    </row>
    <row r="177" spans="75:93" x14ac:dyDescent="0.2">
      <c r="BW177" s="8" t="s">
        <v>165</v>
      </c>
      <c r="BX177" s="8" t="s">
        <v>168</v>
      </c>
      <c r="BY177">
        <v>1.6</v>
      </c>
      <c r="BZ177">
        <v>2.2000000000000002</v>
      </c>
      <c r="CA177">
        <v>0.7</v>
      </c>
      <c r="CB177">
        <v>1.3</v>
      </c>
      <c r="CC177">
        <v>1.8</v>
      </c>
      <c r="CD177">
        <v>0.7</v>
      </c>
      <c r="CE177">
        <v>3</v>
      </c>
      <c r="CI177" t="s">
        <v>165</v>
      </c>
      <c r="CJ177">
        <v>0.7</v>
      </c>
      <c r="CK177">
        <v>0.7</v>
      </c>
      <c r="CL177">
        <v>0.7</v>
      </c>
      <c r="CM177">
        <v>0.7</v>
      </c>
      <c r="CN177">
        <v>0.7</v>
      </c>
      <c r="CO177">
        <v>0.7</v>
      </c>
    </row>
    <row r="178" spans="75:93" x14ac:dyDescent="0.2">
      <c r="BW178" s="8" t="s">
        <v>166</v>
      </c>
      <c r="BX178" s="8" t="s">
        <v>168</v>
      </c>
      <c r="BY178">
        <v>1.7</v>
      </c>
      <c r="BZ178">
        <v>1.7</v>
      </c>
      <c r="CA178">
        <v>0.9</v>
      </c>
      <c r="CB178">
        <v>0.8</v>
      </c>
      <c r="CC178">
        <v>1</v>
      </c>
      <c r="CD178">
        <v>1.2</v>
      </c>
      <c r="CE178">
        <v>4</v>
      </c>
      <c r="CI178" t="s">
        <v>166</v>
      </c>
      <c r="CJ178">
        <v>0.9</v>
      </c>
      <c r="CK178">
        <v>0.9</v>
      </c>
      <c r="CL178">
        <v>0.9</v>
      </c>
      <c r="CM178">
        <v>0.9</v>
      </c>
      <c r="CN178">
        <v>0.9</v>
      </c>
      <c r="CO178">
        <v>0.9</v>
      </c>
    </row>
    <row r="179" spans="75:93" x14ac:dyDescent="0.2">
      <c r="BW179" s="8" t="s">
        <v>163</v>
      </c>
      <c r="BX179" s="8" t="s">
        <v>170</v>
      </c>
      <c r="BY179">
        <v>2.9</v>
      </c>
      <c r="BZ179">
        <v>1.5</v>
      </c>
      <c r="CA179">
        <v>4</v>
      </c>
      <c r="CB179">
        <v>2.5</v>
      </c>
      <c r="CC179">
        <v>3.2</v>
      </c>
      <c r="CD179">
        <v>3.5</v>
      </c>
      <c r="CE179">
        <v>1</v>
      </c>
      <c r="CH179" t="s">
        <v>176</v>
      </c>
      <c r="CI179" t="s">
        <v>163</v>
      </c>
      <c r="CJ179">
        <v>2.5</v>
      </c>
      <c r="CK179">
        <v>2.5</v>
      </c>
      <c r="CL179">
        <v>2.5</v>
      </c>
      <c r="CM179">
        <v>2.5</v>
      </c>
      <c r="CN179">
        <v>2.5</v>
      </c>
      <c r="CO179">
        <v>2.5</v>
      </c>
    </row>
    <row r="180" spans="75:93" x14ac:dyDescent="0.2">
      <c r="BW180" s="8" t="s">
        <v>164</v>
      </c>
      <c r="BX180" s="8" t="s">
        <v>170</v>
      </c>
      <c r="BY180">
        <v>2.5</v>
      </c>
      <c r="BZ180">
        <v>2</v>
      </c>
      <c r="CA180">
        <v>2.5</v>
      </c>
      <c r="CB180">
        <v>2.5</v>
      </c>
      <c r="CC180">
        <v>3</v>
      </c>
      <c r="CD180">
        <v>1.5</v>
      </c>
      <c r="CE180">
        <v>2</v>
      </c>
      <c r="CI180" t="s">
        <v>164</v>
      </c>
      <c r="CJ180">
        <v>2.5</v>
      </c>
      <c r="CK180">
        <v>2.5</v>
      </c>
      <c r="CL180">
        <v>2.5</v>
      </c>
      <c r="CM180">
        <v>2.5</v>
      </c>
      <c r="CN180">
        <v>2.5</v>
      </c>
      <c r="CO180">
        <v>2.5</v>
      </c>
    </row>
    <row r="181" spans="75:93" x14ac:dyDescent="0.2">
      <c r="BW181" s="8" t="s">
        <v>165</v>
      </c>
      <c r="BX181" s="8" t="s">
        <v>170</v>
      </c>
      <c r="BY181">
        <v>1.6</v>
      </c>
      <c r="BZ181">
        <v>2.2000000000000002</v>
      </c>
      <c r="CA181">
        <v>0.7</v>
      </c>
      <c r="CB181">
        <v>1.3</v>
      </c>
      <c r="CC181">
        <v>1.8</v>
      </c>
      <c r="CD181">
        <v>0.7</v>
      </c>
      <c r="CE181">
        <v>3</v>
      </c>
      <c r="CI181" t="s">
        <v>165</v>
      </c>
      <c r="CJ181">
        <v>1.3</v>
      </c>
      <c r="CK181">
        <v>1.3</v>
      </c>
      <c r="CL181">
        <v>1.3</v>
      </c>
      <c r="CM181">
        <v>1.3</v>
      </c>
      <c r="CN181">
        <v>1.3</v>
      </c>
      <c r="CO181">
        <v>1.3</v>
      </c>
    </row>
    <row r="182" spans="75:93" x14ac:dyDescent="0.2">
      <c r="BW182" s="8" t="s">
        <v>166</v>
      </c>
      <c r="BX182" s="8" t="s">
        <v>170</v>
      </c>
      <c r="BY182">
        <v>1.7</v>
      </c>
      <c r="BZ182">
        <v>1.7</v>
      </c>
      <c r="CA182">
        <v>0.9</v>
      </c>
      <c r="CB182">
        <v>0.8</v>
      </c>
      <c r="CC182">
        <v>1</v>
      </c>
      <c r="CD182">
        <v>1.2</v>
      </c>
      <c r="CE182">
        <v>4</v>
      </c>
      <c r="CI182" t="s">
        <v>166</v>
      </c>
      <c r="CJ182">
        <v>0.8</v>
      </c>
      <c r="CK182">
        <v>0.8</v>
      </c>
      <c r="CL182">
        <v>0.8</v>
      </c>
      <c r="CM182">
        <v>0.8</v>
      </c>
      <c r="CN182">
        <v>0.8</v>
      </c>
      <c r="CO182">
        <v>0.8</v>
      </c>
    </row>
    <row r="183" spans="75:93" x14ac:dyDescent="0.2">
      <c r="BW183" s="8" t="s">
        <v>163</v>
      </c>
      <c r="BX183" s="8" t="s">
        <v>162</v>
      </c>
      <c r="BY183">
        <v>2.9</v>
      </c>
      <c r="BZ183">
        <v>1.5</v>
      </c>
      <c r="CA183">
        <v>4</v>
      </c>
      <c r="CB183">
        <v>2.5</v>
      </c>
      <c r="CC183">
        <v>3.2</v>
      </c>
      <c r="CD183">
        <v>3.5</v>
      </c>
      <c r="CE183">
        <v>1</v>
      </c>
      <c r="CH183" t="s">
        <v>177</v>
      </c>
      <c r="CI183" t="s">
        <v>163</v>
      </c>
      <c r="CJ183">
        <v>3.2</v>
      </c>
      <c r="CK183">
        <v>3.2</v>
      </c>
      <c r="CL183">
        <v>3.2</v>
      </c>
      <c r="CM183">
        <v>3.2</v>
      </c>
      <c r="CN183">
        <v>3.2</v>
      </c>
      <c r="CO183">
        <v>3.2</v>
      </c>
    </row>
    <row r="184" spans="75:93" x14ac:dyDescent="0.2">
      <c r="BW184" s="8" t="s">
        <v>164</v>
      </c>
      <c r="BX184" s="8" t="s">
        <v>162</v>
      </c>
      <c r="BY184">
        <v>2.5</v>
      </c>
      <c r="BZ184">
        <v>2</v>
      </c>
      <c r="CA184">
        <v>2.5</v>
      </c>
      <c r="CB184">
        <v>2.5</v>
      </c>
      <c r="CC184">
        <v>3</v>
      </c>
      <c r="CD184">
        <v>1.5</v>
      </c>
      <c r="CE184">
        <v>2</v>
      </c>
      <c r="CI184" t="s">
        <v>164</v>
      </c>
      <c r="CJ184">
        <v>3</v>
      </c>
      <c r="CK184">
        <v>3</v>
      </c>
      <c r="CL184">
        <v>3</v>
      </c>
      <c r="CM184">
        <v>3</v>
      </c>
      <c r="CN184">
        <v>3</v>
      </c>
      <c r="CO184">
        <v>3</v>
      </c>
    </row>
    <row r="185" spans="75:93" x14ac:dyDescent="0.2">
      <c r="BW185" s="8" t="s">
        <v>165</v>
      </c>
      <c r="BX185" s="8" t="s">
        <v>162</v>
      </c>
      <c r="BY185">
        <v>1.6</v>
      </c>
      <c r="BZ185">
        <v>2.2000000000000002</v>
      </c>
      <c r="CA185">
        <v>0.7</v>
      </c>
      <c r="CB185">
        <v>1.3</v>
      </c>
      <c r="CC185">
        <v>1.8</v>
      </c>
      <c r="CD185">
        <v>0.7</v>
      </c>
      <c r="CE185">
        <v>3</v>
      </c>
      <c r="CI185" t="s">
        <v>165</v>
      </c>
      <c r="CJ185">
        <v>1.8</v>
      </c>
      <c r="CK185">
        <v>1.8</v>
      </c>
      <c r="CL185">
        <v>1.8</v>
      </c>
      <c r="CM185">
        <v>1.8</v>
      </c>
      <c r="CN185">
        <v>1.8</v>
      </c>
      <c r="CO185">
        <v>1.8</v>
      </c>
    </row>
    <row r="186" spans="75:93" x14ac:dyDescent="0.2">
      <c r="BW186" s="8" t="s">
        <v>166</v>
      </c>
      <c r="BX186" s="8" t="s">
        <v>162</v>
      </c>
      <c r="BY186">
        <v>1.7</v>
      </c>
      <c r="BZ186">
        <v>1.7</v>
      </c>
      <c r="CA186">
        <v>0.9</v>
      </c>
      <c r="CB186">
        <v>0.8</v>
      </c>
      <c r="CC186">
        <v>1</v>
      </c>
      <c r="CD186">
        <v>1.2</v>
      </c>
      <c r="CE186">
        <v>4</v>
      </c>
      <c r="CI186" t="s">
        <v>166</v>
      </c>
      <c r="CJ186">
        <v>1</v>
      </c>
      <c r="CK186">
        <v>1</v>
      </c>
      <c r="CL186">
        <v>1</v>
      </c>
      <c r="CM186">
        <v>1</v>
      </c>
      <c r="CN186">
        <v>1</v>
      </c>
      <c r="CO186">
        <v>1</v>
      </c>
    </row>
    <row r="187" spans="75:93" x14ac:dyDescent="0.2">
      <c r="BW187" s="8" t="s">
        <v>163</v>
      </c>
      <c r="BX187" s="8" t="s">
        <v>167</v>
      </c>
      <c r="BY187">
        <v>2.9</v>
      </c>
      <c r="BZ187">
        <v>1.5</v>
      </c>
      <c r="CA187">
        <v>4</v>
      </c>
      <c r="CB187">
        <v>2.5</v>
      </c>
      <c r="CC187">
        <v>3.2</v>
      </c>
      <c r="CD187">
        <v>3.5</v>
      </c>
      <c r="CE187">
        <v>1</v>
      </c>
      <c r="CH187" t="s">
        <v>178</v>
      </c>
      <c r="CI187" t="s">
        <v>163</v>
      </c>
      <c r="CJ187">
        <v>3.5</v>
      </c>
      <c r="CK187">
        <v>3.5</v>
      </c>
      <c r="CL187">
        <v>3.5</v>
      </c>
      <c r="CM187">
        <v>3.5</v>
      </c>
      <c r="CN187">
        <v>3.5</v>
      </c>
      <c r="CO187">
        <v>3.5</v>
      </c>
    </row>
    <row r="188" spans="75:93" x14ac:dyDescent="0.2">
      <c r="BW188" s="8" t="s">
        <v>164</v>
      </c>
      <c r="BX188" s="8" t="s">
        <v>167</v>
      </c>
      <c r="BY188">
        <v>2.5</v>
      </c>
      <c r="BZ188">
        <v>2</v>
      </c>
      <c r="CA188">
        <v>2.5</v>
      </c>
      <c r="CB188">
        <v>2.5</v>
      </c>
      <c r="CC188">
        <v>3</v>
      </c>
      <c r="CD188">
        <v>1.5</v>
      </c>
      <c r="CE188">
        <v>2</v>
      </c>
      <c r="CI188" t="s">
        <v>164</v>
      </c>
      <c r="CJ188">
        <v>1.5</v>
      </c>
      <c r="CK188">
        <v>1.5</v>
      </c>
      <c r="CL188">
        <v>1.5</v>
      </c>
      <c r="CM188">
        <v>1.5</v>
      </c>
      <c r="CN188">
        <v>1.5</v>
      </c>
      <c r="CO188">
        <v>1.5</v>
      </c>
    </row>
    <row r="189" spans="75:93" x14ac:dyDescent="0.2">
      <c r="BW189" s="8" t="s">
        <v>165</v>
      </c>
      <c r="BX189" s="8" t="s">
        <v>167</v>
      </c>
      <c r="BY189">
        <v>1.6</v>
      </c>
      <c r="BZ189">
        <v>2.2000000000000002</v>
      </c>
      <c r="CA189">
        <v>0.7</v>
      </c>
      <c r="CB189">
        <v>1.3</v>
      </c>
      <c r="CC189">
        <v>1.8</v>
      </c>
      <c r="CD189">
        <v>0.7</v>
      </c>
      <c r="CE189">
        <v>3</v>
      </c>
      <c r="CI189" t="s">
        <v>165</v>
      </c>
      <c r="CJ189">
        <v>0.7</v>
      </c>
      <c r="CK189">
        <v>0.7</v>
      </c>
      <c r="CL189">
        <v>0.7</v>
      </c>
      <c r="CM189">
        <v>0.7</v>
      </c>
      <c r="CN189">
        <v>0.7</v>
      </c>
      <c r="CO189">
        <v>0.7</v>
      </c>
    </row>
    <row r="190" spans="75:93" x14ac:dyDescent="0.2">
      <c r="BW190" s="8" t="s">
        <v>166</v>
      </c>
      <c r="BX190" s="8" t="s">
        <v>167</v>
      </c>
      <c r="BY190">
        <v>1.7</v>
      </c>
      <c r="BZ190">
        <v>1.7</v>
      </c>
      <c r="CA190">
        <v>0.9</v>
      </c>
      <c r="CB190">
        <v>0.8</v>
      </c>
      <c r="CC190">
        <v>1</v>
      </c>
      <c r="CD190">
        <v>1.2</v>
      </c>
      <c r="CE190">
        <v>4</v>
      </c>
      <c r="CI190" t="s">
        <v>166</v>
      </c>
      <c r="CJ190">
        <v>1.2</v>
      </c>
      <c r="CK190">
        <v>1.2</v>
      </c>
      <c r="CL190">
        <v>1.2</v>
      </c>
      <c r="CM190">
        <v>1.2</v>
      </c>
      <c r="CN190">
        <v>1.2</v>
      </c>
      <c r="CO190">
        <v>1.2</v>
      </c>
    </row>
  </sheetData>
  <pageMargins left="0.7" right="0.7" top="0.75" bottom="0.75" header="0.3" footer="0.3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98ECA6-F998-D345-BD7A-5F4995DA72E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4.4.1.1</vt:lpstr>
      <vt:lpstr>Tables</vt:lpstr>
      <vt:lpstr>Backup</vt:lpstr>
      <vt:lpstr>Backup!TableLWG</vt:lpstr>
      <vt:lpstr>TableLWG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2026-05-06T08:28:28Z</dcterms:created>
  <dcterms:modified xsi:type="dcterms:W3CDTF">2026-05-08T23:55:46Z</dcterms:modified>
</cp:coreProperties>
</file>