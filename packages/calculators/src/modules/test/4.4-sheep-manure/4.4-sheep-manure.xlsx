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A687724A-F341-CA47-A947-DDE6CAF41578}" xr6:coauthVersionLast="47" xr6:coauthVersionMax="47" xr10:uidLastSave="{00000000-0000-0000-0000-000000000000}"/>
  <bookViews>
    <workbookView visibility="hidden" xWindow="340" yWindow="3160" windowWidth="39620" windowHeight="24160" xr2:uid="{00000000-000D-0000-FFFF-FFFF00000000}"/>
  </bookViews>
  <sheets>
    <sheet name="4.4.1.1" sheetId="11" r:id="rId1"/>
    <sheet name="Tables" sheetId="1" r:id="rId2"/>
    <sheet name="Backup" sheetId="12" r:id="rId3"/>
  </sheets>
  <definedNames>
    <definedName name="ExternalData_1" localSheetId="2" hidden="1">Backup!$BW$6:$CE$30</definedName>
    <definedName name="ExternalData_1" localSheetId="1" hidden="1">Tables!$BW$6:$CE$30</definedName>
    <definedName name="ExternalData_2" localSheetId="2" hidden="1">Backup!$BW$37:$CE$61</definedName>
    <definedName name="ExternalData_2" localSheetId="1" hidden="1">Tables!$BW$37:$CE$61</definedName>
    <definedName name="ExternalData_4" localSheetId="2" hidden="1">Backup!$BW$95:$CE$119</definedName>
    <definedName name="ExternalData_4" localSheetId="1" hidden="1">Tables!$BW$95:$CE$119</definedName>
    <definedName name="ExternalData_5" localSheetId="2" hidden="1">Backup!$BW$130:$CE$154</definedName>
    <definedName name="ExternalData_5" localSheetId="1" hidden="1">Tables!$BW$130:$CE$154</definedName>
    <definedName name="ExternalData_7" localSheetId="2" hidden="1">Backup!$BW$166:$CE$190</definedName>
    <definedName name="ExternalData_7" localSheetId="1" hidden="1">Tables!$BW$166:$CE$190</definedName>
    <definedName name="ExternalData_8" localSheetId="2" hidden="1">Backup!$BW$67:$CE$91</definedName>
    <definedName name="ExternalData_8" localSheetId="1" hidden="1">Tables!$BW$67:$CE$91</definedName>
    <definedName name="TableLWG" localSheetId="0">#REF!</definedName>
    <definedName name="TableLWG" localSheetId="2">TableLWG235[]</definedName>
    <definedName name="TableLWG">TableLWG2[]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1" l="1"/>
  <c r="O55" i="11" s="1"/>
  <c r="N55" i="11" s="1"/>
  <c r="P212" i="11"/>
  <c r="P191" i="11"/>
  <c r="P214" i="11" s="1"/>
  <c r="O191" i="11"/>
  <c r="O214" i="11" s="1"/>
  <c r="N214" i="11" s="1"/>
  <c r="P183" i="11"/>
  <c r="P182" i="11"/>
  <c r="O181" i="11"/>
  <c r="P180" i="11"/>
  <c r="P176" i="11"/>
  <c r="P174" i="11"/>
  <c r="P170" i="11"/>
  <c r="P168" i="11"/>
  <c r="P164" i="11"/>
  <c r="P162" i="11"/>
  <c r="P161" i="11"/>
  <c r="P184" i="11" s="1"/>
  <c r="O161" i="11"/>
  <c r="O184" i="11" s="1"/>
  <c r="N184" i="11" s="1"/>
  <c r="P152" i="11"/>
  <c r="P146" i="11"/>
  <c r="P140" i="11"/>
  <c r="P134" i="11"/>
  <c r="P131" i="11"/>
  <c r="P154" i="11" s="1"/>
  <c r="O131" i="11"/>
  <c r="O154" i="11" s="1"/>
  <c r="N154" i="11" s="1"/>
  <c r="P101" i="11"/>
  <c r="P124" i="11" s="1"/>
  <c r="O101" i="11"/>
  <c r="O124" i="11" s="1"/>
  <c r="N124" i="11" s="1"/>
  <c r="P92" i="11"/>
  <c r="P71" i="11"/>
  <c r="P94" i="11" s="1"/>
  <c r="O71" i="11"/>
  <c r="O87" i="11" s="1"/>
  <c r="P49" i="11"/>
  <c r="P48" i="11"/>
  <c r="P41" i="11"/>
  <c r="P64" i="11" s="1"/>
  <c r="AF214" i="11"/>
  <c r="AE214" i="11"/>
  <c r="AC214" i="11"/>
  <c r="U214" i="11"/>
  <c r="T214" i="11"/>
  <c r="R214" i="11"/>
  <c r="V214" i="11" s="1"/>
  <c r="Q214" i="11"/>
  <c r="J214" i="11"/>
  <c r="AF213" i="11"/>
  <c r="AE213" i="11"/>
  <c r="AC213" i="11"/>
  <c r="V213" i="11"/>
  <c r="U213" i="11"/>
  <c r="T213" i="11"/>
  <c r="R213" i="11"/>
  <c r="Q213" i="11"/>
  <c r="J213" i="11"/>
  <c r="AF212" i="11"/>
  <c r="AE212" i="11"/>
  <c r="AC212" i="11"/>
  <c r="U212" i="11"/>
  <c r="V212" i="11" s="1"/>
  <c r="T212" i="11"/>
  <c r="R212" i="11"/>
  <c r="Q212" i="11"/>
  <c r="J212" i="11"/>
  <c r="AF211" i="11"/>
  <c r="AE211" i="11"/>
  <c r="AC211" i="11"/>
  <c r="U211" i="11"/>
  <c r="T211" i="11"/>
  <c r="R211" i="11"/>
  <c r="V211" i="11" s="1"/>
  <c r="Q211" i="11"/>
  <c r="J211" i="11"/>
  <c r="AF210" i="11"/>
  <c r="AE210" i="11"/>
  <c r="AC210" i="11"/>
  <c r="U210" i="11"/>
  <c r="T210" i="11"/>
  <c r="R210" i="11"/>
  <c r="V210" i="11" s="1"/>
  <c r="Q210" i="11"/>
  <c r="J210" i="11"/>
  <c r="AF209" i="11"/>
  <c r="AE209" i="11"/>
  <c r="AC209" i="11"/>
  <c r="V209" i="11"/>
  <c r="U209" i="11"/>
  <c r="T209" i="11"/>
  <c r="R209" i="11"/>
  <c r="Q209" i="11"/>
  <c r="J209" i="11"/>
  <c r="AF208" i="11"/>
  <c r="AE208" i="11"/>
  <c r="AC208" i="11"/>
  <c r="Y208" i="11"/>
  <c r="U208" i="11"/>
  <c r="T208" i="11"/>
  <c r="R208" i="11"/>
  <c r="V208" i="11" s="1"/>
  <c r="Q208" i="11"/>
  <c r="J208" i="11"/>
  <c r="AF207" i="11"/>
  <c r="AE207" i="11"/>
  <c r="AC207" i="11"/>
  <c r="Y207" i="11"/>
  <c r="V207" i="11"/>
  <c r="U207" i="11"/>
  <c r="T207" i="11"/>
  <c r="R207" i="11"/>
  <c r="Q207" i="11"/>
  <c r="J207" i="11"/>
  <c r="AF206" i="11"/>
  <c r="AE206" i="11"/>
  <c r="AC206" i="11"/>
  <c r="U206" i="11"/>
  <c r="V206" i="11" s="1"/>
  <c r="T206" i="11"/>
  <c r="R206" i="11"/>
  <c r="Q206" i="11"/>
  <c r="J206" i="11"/>
  <c r="AF205" i="11"/>
  <c r="AE205" i="11"/>
  <c r="AC205" i="11"/>
  <c r="U205" i="11"/>
  <c r="T205" i="11"/>
  <c r="R205" i="11"/>
  <c r="V205" i="11" s="1"/>
  <c r="Q205" i="11"/>
  <c r="J205" i="11"/>
  <c r="AF204" i="11"/>
  <c r="AE204" i="11"/>
  <c r="AC204" i="11"/>
  <c r="U204" i="11"/>
  <c r="T204" i="11"/>
  <c r="R204" i="11"/>
  <c r="V204" i="11" s="1"/>
  <c r="Q204" i="11"/>
  <c r="J204" i="11"/>
  <c r="AF203" i="11"/>
  <c r="AE203" i="11"/>
  <c r="AC203" i="11"/>
  <c r="V203" i="11"/>
  <c r="U203" i="11"/>
  <c r="T203" i="11"/>
  <c r="R203" i="11"/>
  <c r="Q203" i="11"/>
  <c r="J203" i="11"/>
  <c r="AF202" i="11"/>
  <c r="AE202" i="11"/>
  <c r="AC202" i="11"/>
  <c r="U202" i="11"/>
  <c r="T202" i="11"/>
  <c r="R202" i="11"/>
  <c r="V202" i="11" s="1"/>
  <c r="Q202" i="11"/>
  <c r="J202" i="11"/>
  <c r="AF201" i="11"/>
  <c r="AE201" i="11"/>
  <c r="AC201" i="11"/>
  <c r="V201" i="11"/>
  <c r="U201" i="11"/>
  <c r="T201" i="11"/>
  <c r="R201" i="11"/>
  <c r="Q201" i="11"/>
  <c r="J201" i="11"/>
  <c r="AF200" i="11"/>
  <c r="AE200" i="11"/>
  <c r="AC200" i="11"/>
  <c r="U200" i="11"/>
  <c r="V200" i="11" s="1"/>
  <c r="T200" i="11"/>
  <c r="R200" i="11"/>
  <c r="Q200" i="11"/>
  <c r="J200" i="11"/>
  <c r="AF199" i="11"/>
  <c r="AE199" i="11"/>
  <c r="AC199" i="11"/>
  <c r="U199" i="11"/>
  <c r="T199" i="11"/>
  <c r="R199" i="11"/>
  <c r="V199" i="11" s="1"/>
  <c r="Q199" i="11"/>
  <c r="J199" i="11"/>
  <c r="AF198" i="11"/>
  <c r="AE198" i="11"/>
  <c r="AC198" i="11"/>
  <c r="Y198" i="11"/>
  <c r="U198" i="11"/>
  <c r="T198" i="11"/>
  <c r="R198" i="11"/>
  <c r="V198" i="11" s="1"/>
  <c r="Q198" i="11"/>
  <c r="J198" i="11"/>
  <c r="AF197" i="11"/>
  <c r="AE197" i="11"/>
  <c r="AC197" i="11"/>
  <c r="V197" i="11"/>
  <c r="U197" i="11"/>
  <c r="T197" i="11"/>
  <c r="R197" i="11"/>
  <c r="Q197" i="11"/>
  <c r="J197" i="11"/>
  <c r="AF196" i="11"/>
  <c r="AE196" i="11"/>
  <c r="AC196" i="11"/>
  <c r="Y196" i="11"/>
  <c r="U196" i="11"/>
  <c r="T196" i="11"/>
  <c r="R196" i="11"/>
  <c r="V196" i="11" s="1"/>
  <c r="Q196" i="11"/>
  <c r="J196" i="11"/>
  <c r="AF195" i="11"/>
  <c r="AE195" i="11"/>
  <c r="AC195" i="11"/>
  <c r="Y195" i="11"/>
  <c r="V195" i="11"/>
  <c r="U195" i="11"/>
  <c r="T195" i="11"/>
  <c r="R195" i="11"/>
  <c r="Q195" i="11"/>
  <c r="J195" i="11"/>
  <c r="AF194" i="11"/>
  <c r="AE194" i="11"/>
  <c r="AC194" i="11"/>
  <c r="U194" i="11"/>
  <c r="V194" i="11" s="1"/>
  <c r="T194" i="11"/>
  <c r="R194" i="11"/>
  <c r="Q194" i="11"/>
  <c r="J194" i="11"/>
  <c r="AF193" i="11"/>
  <c r="AE193" i="11"/>
  <c r="AC193" i="11"/>
  <c r="U193" i="11"/>
  <c r="T193" i="11"/>
  <c r="R193" i="11"/>
  <c r="V193" i="11" s="1"/>
  <c r="Q193" i="11"/>
  <c r="J193" i="11"/>
  <c r="AF192" i="11"/>
  <c r="AE192" i="11"/>
  <c r="AC192" i="11"/>
  <c r="U192" i="11"/>
  <c r="T192" i="11"/>
  <c r="R192" i="11"/>
  <c r="V192" i="11" s="1"/>
  <c r="Q192" i="11"/>
  <c r="J192" i="11"/>
  <c r="AF191" i="11"/>
  <c r="AE191" i="11"/>
  <c r="AC191" i="11"/>
  <c r="X191" i="11" a="1"/>
  <c r="Y209" i="11" s="1"/>
  <c r="U191" i="11"/>
  <c r="T191" i="11"/>
  <c r="R191" i="11"/>
  <c r="V191" i="11" s="1"/>
  <c r="Q191" i="11"/>
  <c r="M191" i="11" a="1"/>
  <c r="M191" i="11" s="1"/>
  <c r="L191" i="11" a="1"/>
  <c r="W214" i="11" s="1"/>
  <c r="Z214" i="11" s="1"/>
  <c r="K191" i="11" a="1"/>
  <c r="K191" i="11" s="1"/>
  <c r="J191" i="11"/>
  <c r="AF184" i="11"/>
  <c r="AE184" i="11"/>
  <c r="AC184" i="11"/>
  <c r="U184" i="11"/>
  <c r="T184" i="11"/>
  <c r="R184" i="11"/>
  <c r="V184" i="11" s="1"/>
  <c r="Q184" i="11"/>
  <c r="J184" i="11"/>
  <c r="AF183" i="11"/>
  <c r="AE183" i="11"/>
  <c r="AC183" i="11"/>
  <c r="U183" i="11"/>
  <c r="T183" i="11"/>
  <c r="R183" i="11"/>
  <c r="V183" i="11" s="1"/>
  <c r="Q183" i="11"/>
  <c r="J183" i="11"/>
  <c r="AF182" i="11"/>
  <c r="AE182" i="11"/>
  <c r="AC182" i="11"/>
  <c r="U182" i="11"/>
  <c r="V182" i="11" s="1"/>
  <c r="T182" i="11"/>
  <c r="R182" i="11"/>
  <c r="Q182" i="11"/>
  <c r="J182" i="11"/>
  <c r="AF181" i="11"/>
  <c r="AE181" i="11"/>
  <c r="AC181" i="11"/>
  <c r="U181" i="11"/>
  <c r="V181" i="11" s="1"/>
  <c r="T181" i="11"/>
  <c r="R181" i="11"/>
  <c r="Q181" i="11"/>
  <c r="J181" i="11"/>
  <c r="AF180" i="11"/>
  <c r="AE180" i="11"/>
  <c r="AC180" i="11"/>
  <c r="U180" i="11"/>
  <c r="T180" i="11"/>
  <c r="R180" i="11"/>
  <c r="V180" i="11" s="1"/>
  <c r="Q180" i="11"/>
  <c r="J180" i="11"/>
  <c r="AF179" i="11"/>
  <c r="AE179" i="11"/>
  <c r="AC179" i="11"/>
  <c r="V179" i="11"/>
  <c r="U179" i="11"/>
  <c r="T179" i="11"/>
  <c r="R179" i="11"/>
  <c r="Q179" i="11"/>
  <c r="J179" i="11"/>
  <c r="AF178" i="11"/>
  <c r="AE178" i="11"/>
  <c r="AC178" i="11"/>
  <c r="U178" i="11"/>
  <c r="T178" i="11"/>
  <c r="R178" i="11"/>
  <c r="V178" i="11" s="1"/>
  <c r="Q178" i="11"/>
  <c r="J178" i="11"/>
  <c r="AF177" i="11"/>
  <c r="AE177" i="11"/>
  <c r="AC177" i="11"/>
  <c r="U177" i="11"/>
  <c r="T177" i="11"/>
  <c r="R177" i="11"/>
  <c r="V177" i="11" s="1"/>
  <c r="Q177" i="11"/>
  <c r="J177" i="11"/>
  <c r="AF176" i="11"/>
  <c r="AE176" i="11"/>
  <c r="AC176" i="11"/>
  <c r="U176" i="11"/>
  <c r="V176" i="11" s="1"/>
  <c r="T176" i="11"/>
  <c r="R176" i="11"/>
  <c r="Q176" i="11"/>
  <c r="J176" i="11"/>
  <c r="AF175" i="11"/>
  <c r="AE175" i="11"/>
  <c r="AC175" i="11"/>
  <c r="U175" i="11"/>
  <c r="V175" i="11" s="1"/>
  <c r="T175" i="11"/>
  <c r="R175" i="11"/>
  <c r="Q175" i="11"/>
  <c r="J175" i="11"/>
  <c r="AF174" i="11"/>
  <c r="AE174" i="11"/>
  <c r="AC174" i="11"/>
  <c r="U174" i="11"/>
  <c r="T174" i="11"/>
  <c r="R174" i="11"/>
  <c r="V174" i="11" s="1"/>
  <c r="Q174" i="11"/>
  <c r="J174" i="11"/>
  <c r="AF173" i="11"/>
  <c r="AE173" i="11"/>
  <c r="AC173" i="11"/>
  <c r="U173" i="11"/>
  <c r="V173" i="11" s="1"/>
  <c r="T173" i="11"/>
  <c r="R173" i="11"/>
  <c r="Q173" i="11"/>
  <c r="J173" i="11"/>
  <c r="AF172" i="11"/>
  <c r="AE172" i="11"/>
  <c r="AC172" i="11"/>
  <c r="U172" i="11"/>
  <c r="T172" i="11"/>
  <c r="R172" i="11"/>
  <c r="V172" i="11" s="1"/>
  <c r="Q172" i="11"/>
  <c r="J172" i="11"/>
  <c r="AF171" i="11"/>
  <c r="AE171" i="11"/>
  <c r="AC171" i="11"/>
  <c r="U171" i="11"/>
  <c r="T171" i="11"/>
  <c r="R171" i="11"/>
  <c r="V171" i="11" s="1"/>
  <c r="Q171" i="11"/>
  <c r="J171" i="11"/>
  <c r="AF170" i="11"/>
  <c r="AE170" i="11"/>
  <c r="AC170" i="11"/>
  <c r="U170" i="11"/>
  <c r="V170" i="11" s="1"/>
  <c r="T170" i="11"/>
  <c r="R170" i="11"/>
  <c r="Q170" i="11"/>
  <c r="J170" i="11"/>
  <c r="AF169" i="11"/>
  <c r="AE169" i="11"/>
  <c r="AC169" i="11"/>
  <c r="U169" i="11"/>
  <c r="V169" i="11" s="1"/>
  <c r="T169" i="11"/>
  <c r="R169" i="11"/>
  <c r="Q169" i="11"/>
  <c r="J169" i="11"/>
  <c r="AF168" i="11"/>
  <c r="AE168" i="11"/>
  <c r="AC168" i="11"/>
  <c r="U168" i="11"/>
  <c r="T168" i="11"/>
  <c r="R168" i="11"/>
  <c r="V168" i="11" s="1"/>
  <c r="Q168" i="11"/>
  <c r="J168" i="11"/>
  <c r="AF167" i="11"/>
  <c r="AE167" i="11"/>
  <c r="AC167" i="11"/>
  <c r="U167" i="11"/>
  <c r="V167" i="11" s="1"/>
  <c r="T167" i="11"/>
  <c r="R167" i="11"/>
  <c r="Q167" i="11"/>
  <c r="J167" i="11"/>
  <c r="AF166" i="11"/>
  <c r="AE166" i="11"/>
  <c r="AC166" i="11"/>
  <c r="U166" i="11"/>
  <c r="T166" i="11"/>
  <c r="R166" i="11"/>
  <c r="V166" i="11" s="1"/>
  <c r="Q166" i="11"/>
  <c r="J166" i="11"/>
  <c r="AF165" i="11"/>
  <c r="AE165" i="11"/>
  <c r="AC165" i="11"/>
  <c r="U165" i="11"/>
  <c r="T165" i="11"/>
  <c r="R165" i="11"/>
  <c r="V165" i="11" s="1"/>
  <c r="Q165" i="11"/>
  <c r="J165" i="11"/>
  <c r="AF164" i="11"/>
  <c r="AE164" i="11"/>
  <c r="AC164" i="11"/>
  <c r="U164" i="11"/>
  <c r="V164" i="11" s="1"/>
  <c r="T164" i="11"/>
  <c r="R164" i="11"/>
  <c r="Q164" i="11"/>
  <c r="J164" i="11"/>
  <c r="AF163" i="11"/>
  <c r="AE163" i="11"/>
  <c r="AC163" i="11"/>
  <c r="U163" i="11"/>
  <c r="V163" i="11" s="1"/>
  <c r="T163" i="11"/>
  <c r="R163" i="11"/>
  <c r="Q163" i="11"/>
  <c r="J163" i="11"/>
  <c r="AF162" i="11"/>
  <c r="AE162" i="11"/>
  <c r="AC162" i="11"/>
  <c r="U162" i="11"/>
  <c r="T162" i="11"/>
  <c r="R162" i="11"/>
  <c r="V162" i="11" s="1"/>
  <c r="Q162" i="11"/>
  <c r="J162" i="11"/>
  <c r="AF161" i="11"/>
  <c r="AE161" i="11"/>
  <c r="AC161" i="11"/>
  <c r="X161" i="11" a="1"/>
  <c r="Y181" i="11" s="1"/>
  <c r="U161" i="11"/>
  <c r="T161" i="11"/>
  <c r="R161" i="11"/>
  <c r="V161" i="11" s="1"/>
  <c r="Q161" i="11"/>
  <c r="M161" i="11" a="1"/>
  <c r="M161" i="11" s="1"/>
  <c r="L161" i="11" a="1"/>
  <c r="W184" i="11" s="1"/>
  <c r="K161" i="11" a="1"/>
  <c r="K161" i="11" s="1"/>
  <c r="J161" i="11"/>
  <c r="AF154" i="11"/>
  <c r="AE154" i="11"/>
  <c r="AC154" i="11"/>
  <c r="U154" i="11"/>
  <c r="T154" i="11"/>
  <c r="R154" i="11"/>
  <c r="V154" i="11" s="1"/>
  <c r="Q154" i="11"/>
  <c r="J154" i="11"/>
  <c r="AF153" i="11"/>
  <c r="AE153" i="11"/>
  <c r="AC153" i="11"/>
  <c r="Y153" i="11"/>
  <c r="U153" i="11"/>
  <c r="T153" i="11"/>
  <c r="R153" i="11"/>
  <c r="V153" i="11" s="1"/>
  <c r="Q153" i="11"/>
  <c r="J153" i="11"/>
  <c r="AF152" i="11"/>
  <c r="AE152" i="11"/>
  <c r="AC152" i="11"/>
  <c r="V152" i="11"/>
  <c r="U152" i="11"/>
  <c r="T152" i="11"/>
  <c r="R152" i="11"/>
  <c r="Q152" i="11"/>
  <c r="J152" i="11"/>
  <c r="AF151" i="11"/>
  <c r="AE151" i="11"/>
  <c r="AC151" i="11"/>
  <c r="Y151" i="11"/>
  <c r="U151" i="11"/>
  <c r="T151" i="11"/>
  <c r="R151" i="11"/>
  <c r="V151" i="11" s="1"/>
  <c r="Q151" i="11"/>
  <c r="J151" i="11"/>
  <c r="AF150" i="11"/>
  <c r="AE150" i="11"/>
  <c r="AC150" i="11"/>
  <c r="V150" i="11"/>
  <c r="U150" i="11"/>
  <c r="T150" i="11"/>
  <c r="R150" i="11"/>
  <c r="Q150" i="11"/>
  <c r="J150" i="11"/>
  <c r="AF149" i="11"/>
  <c r="AE149" i="11"/>
  <c r="AC149" i="11"/>
  <c r="U149" i="11"/>
  <c r="V149" i="11" s="1"/>
  <c r="T149" i="11"/>
  <c r="R149" i="11"/>
  <c r="Q149" i="11"/>
  <c r="J149" i="11"/>
  <c r="AF148" i="11"/>
  <c r="AE148" i="11"/>
  <c r="AC148" i="11"/>
  <c r="U148" i="11"/>
  <c r="T148" i="11"/>
  <c r="R148" i="11"/>
  <c r="V148" i="11" s="1"/>
  <c r="Q148" i="11"/>
  <c r="J148" i="11"/>
  <c r="AF147" i="11"/>
  <c r="AE147" i="11"/>
  <c r="AC147" i="11"/>
  <c r="V147" i="11"/>
  <c r="U147" i="11"/>
  <c r="T147" i="11"/>
  <c r="R147" i="11"/>
  <c r="Q147" i="11"/>
  <c r="J147" i="11"/>
  <c r="AF146" i="11"/>
  <c r="AE146" i="11"/>
  <c r="AC146" i="11"/>
  <c r="V146" i="11"/>
  <c r="U146" i="11"/>
  <c r="T146" i="11"/>
  <c r="R146" i="11"/>
  <c r="Q146" i="11"/>
  <c r="J146" i="11"/>
  <c r="AF145" i="11"/>
  <c r="AE145" i="11"/>
  <c r="AC145" i="11"/>
  <c r="U145" i="11"/>
  <c r="T145" i="11"/>
  <c r="R145" i="11"/>
  <c r="V145" i="11" s="1"/>
  <c r="Q145" i="11"/>
  <c r="J145" i="11"/>
  <c r="AF144" i="11"/>
  <c r="AE144" i="11"/>
  <c r="AC144" i="11"/>
  <c r="V144" i="11"/>
  <c r="U144" i="11"/>
  <c r="T144" i="11"/>
  <c r="R144" i="11"/>
  <c r="Q144" i="11"/>
  <c r="J144" i="11"/>
  <c r="AF143" i="11"/>
  <c r="AE143" i="11"/>
  <c r="AC143" i="11"/>
  <c r="U143" i="11"/>
  <c r="V143" i="11" s="1"/>
  <c r="T143" i="11"/>
  <c r="R143" i="11"/>
  <c r="Q143" i="11"/>
  <c r="J143" i="11"/>
  <c r="AF142" i="11"/>
  <c r="AE142" i="11"/>
  <c r="AC142" i="11"/>
  <c r="U142" i="11"/>
  <c r="T142" i="11"/>
  <c r="R142" i="11"/>
  <c r="V142" i="11" s="1"/>
  <c r="Q142" i="11"/>
  <c r="J142" i="11"/>
  <c r="AF141" i="11"/>
  <c r="AE141" i="11"/>
  <c r="AC141" i="11"/>
  <c r="V141" i="11"/>
  <c r="U141" i="11"/>
  <c r="T141" i="11"/>
  <c r="R141" i="11"/>
  <c r="Q141" i="11"/>
  <c r="J141" i="11"/>
  <c r="AF140" i="11"/>
  <c r="AE140" i="11"/>
  <c r="AC140" i="11"/>
  <c r="V140" i="11"/>
  <c r="U140" i="11"/>
  <c r="T140" i="11"/>
  <c r="R140" i="11"/>
  <c r="Q140" i="11"/>
  <c r="J140" i="11"/>
  <c r="AF139" i="11"/>
  <c r="AE139" i="11"/>
  <c r="AC139" i="11"/>
  <c r="U139" i="11"/>
  <c r="T139" i="11"/>
  <c r="R139" i="11"/>
  <c r="V139" i="11" s="1"/>
  <c r="Q139" i="11"/>
  <c r="J139" i="11"/>
  <c r="AF138" i="11"/>
  <c r="AE138" i="11"/>
  <c r="AC138" i="11"/>
  <c r="V138" i="11"/>
  <c r="U138" i="11"/>
  <c r="T138" i="11"/>
  <c r="R138" i="11"/>
  <c r="Q138" i="11"/>
  <c r="J138" i="11"/>
  <c r="AF137" i="11"/>
  <c r="AE137" i="11"/>
  <c r="AC137" i="11"/>
  <c r="U137" i="11"/>
  <c r="V137" i="11" s="1"/>
  <c r="T137" i="11"/>
  <c r="R137" i="11"/>
  <c r="Q137" i="11"/>
  <c r="J137" i="11"/>
  <c r="AF136" i="11"/>
  <c r="AE136" i="11"/>
  <c r="AC136" i="11"/>
  <c r="U136" i="11"/>
  <c r="T136" i="11"/>
  <c r="R136" i="11"/>
  <c r="V136" i="11" s="1"/>
  <c r="Q136" i="11"/>
  <c r="J136" i="11"/>
  <c r="AF135" i="11"/>
  <c r="AE135" i="11"/>
  <c r="AC135" i="11"/>
  <c r="Y135" i="11"/>
  <c r="V135" i="11"/>
  <c r="U135" i="11"/>
  <c r="T135" i="11"/>
  <c r="R135" i="11"/>
  <c r="Q135" i="11"/>
  <c r="J135" i="11"/>
  <c r="AF134" i="11"/>
  <c r="AE134" i="11"/>
  <c r="AC134" i="11"/>
  <c r="V134" i="11"/>
  <c r="U134" i="11"/>
  <c r="T134" i="11"/>
  <c r="R134" i="11"/>
  <c r="Q134" i="11"/>
  <c r="J134" i="11"/>
  <c r="AF133" i="11"/>
  <c r="AE133" i="11"/>
  <c r="AC133" i="11"/>
  <c r="Y133" i="11"/>
  <c r="U133" i="11"/>
  <c r="T133" i="11"/>
  <c r="R133" i="11"/>
  <c r="V133" i="11" s="1"/>
  <c r="Q133" i="11"/>
  <c r="J133" i="11"/>
  <c r="AF132" i="11"/>
  <c r="AE132" i="11"/>
  <c r="AC132" i="11"/>
  <c r="V132" i="11"/>
  <c r="U132" i="11"/>
  <c r="T132" i="11"/>
  <c r="R132" i="11"/>
  <c r="Q132" i="11"/>
  <c r="J132" i="11"/>
  <c r="AF131" i="11"/>
  <c r="AE131" i="11"/>
  <c r="AC131" i="11"/>
  <c r="X131" i="11" a="1"/>
  <c r="Y149" i="11" s="1"/>
  <c r="U131" i="11"/>
  <c r="T131" i="11"/>
  <c r="R131" i="11"/>
  <c r="V131" i="11" s="1"/>
  <c r="Q131" i="11"/>
  <c r="M131" i="11" a="1"/>
  <c r="M131" i="11" s="1"/>
  <c r="L131" i="11" a="1"/>
  <c r="W154" i="11" s="1"/>
  <c r="Z154" i="11" s="1"/>
  <c r="K131" i="11" a="1"/>
  <c r="K131" i="11" s="1"/>
  <c r="J131" i="11"/>
  <c r="AF124" i="11"/>
  <c r="AE124" i="11"/>
  <c r="AC124" i="11"/>
  <c r="U124" i="11"/>
  <c r="T124" i="11"/>
  <c r="R124" i="11"/>
  <c r="V124" i="11" s="1"/>
  <c r="Q124" i="11"/>
  <c r="J124" i="11"/>
  <c r="AF123" i="11"/>
  <c r="AE123" i="11"/>
  <c r="AC123" i="11"/>
  <c r="V123" i="11"/>
  <c r="U123" i="11"/>
  <c r="T123" i="11"/>
  <c r="R123" i="11"/>
  <c r="Q123" i="11"/>
  <c r="J123" i="11"/>
  <c r="AF122" i="11"/>
  <c r="AE122" i="11"/>
  <c r="AC122" i="11"/>
  <c r="V122" i="11"/>
  <c r="U122" i="11"/>
  <c r="T122" i="11"/>
  <c r="R122" i="11"/>
  <c r="Q122" i="11"/>
  <c r="J122" i="11"/>
  <c r="AF121" i="11"/>
  <c r="AE121" i="11"/>
  <c r="AC121" i="11"/>
  <c r="V121" i="11"/>
  <c r="U121" i="11"/>
  <c r="T121" i="11"/>
  <c r="R121" i="11"/>
  <c r="Q121" i="11"/>
  <c r="J121" i="11"/>
  <c r="AF120" i="11"/>
  <c r="AE120" i="11"/>
  <c r="AC120" i="11"/>
  <c r="U120" i="11"/>
  <c r="T120" i="11"/>
  <c r="R120" i="11"/>
  <c r="V120" i="11" s="1"/>
  <c r="Q120" i="11"/>
  <c r="J120" i="11"/>
  <c r="AF119" i="11"/>
  <c r="AE119" i="11"/>
  <c r="AC119" i="11"/>
  <c r="U119" i="11"/>
  <c r="T119" i="11"/>
  <c r="R119" i="11"/>
  <c r="V119" i="11" s="1"/>
  <c r="Q119" i="11"/>
  <c r="J119" i="11"/>
  <c r="AF118" i="11"/>
  <c r="AE118" i="11"/>
  <c r="AC118" i="11"/>
  <c r="U118" i="11"/>
  <c r="T118" i="11"/>
  <c r="R118" i="11"/>
  <c r="V118" i="11" s="1"/>
  <c r="Q118" i="11"/>
  <c r="J118" i="11"/>
  <c r="AF117" i="11"/>
  <c r="AE117" i="11"/>
  <c r="AC117" i="11"/>
  <c r="V117" i="11"/>
  <c r="U117" i="11"/>
  <c r="T117" i="11"/>
  <c r="R117" i="11"/>
  <c r="Q117" i="11"/>
  <c r="J117" i="11"/>
  <c r="AF116" i="11"/>
  <c r="AE116" i="11"/>
  <c r="AC116" i="11"/>
  <c r="V116" i="11"/>
  <c r="U116" i="11"/>
  <c r="T116" i="11"/>
  <c r="R116" i="11"/>
  <c r="Q116" i="11"/>
  <c r="J116" i="11"/>
  <c r="AF115" i="11"/>
  <c r="AE115" i="11"/>
  <c r="AC115" i="11"/>
  <c r="V115" i="11"/>
  <c r="U115" i="11"/>
  <c r="T115" i="11"/>
  <c r="R115" i="11"/>
  <c r="Q115" i="11"/>
  <c r="J115" i="11"/>
  <c r="AF114" i="11"/>
  <c r="AE114" i="11"/>
  <c r="AC114" i="11"/>
  <c r="U114" i="11"/>
  <c r="T114" i="11"/>
  <c r="R114" i="11"/>
  <c r="V114" i="11" s="1"/>
  <c r="Q114" i="11"/>
  <c r="J114" i="11"/>
  <c r="AF113" i="11"/>
  <c r="AE113" i="11"/>
  <c r="AC113" i="11"/>
  <c r="U113" i="11"/>
  <c r="T113" i="11"/>
  <c r="R113" i="11"/>
  <c r="V113" i="11" s="1"/>
  <c r="Q113" i="11"/>
  <c r="J113" i="11"/>
  <c r="AF112" i="11"/>
  <c r="AE112" i="11"/>
  <c r="AC112" i="11"/>
  <c r="U112" i="11"/>
  <c r="T112" i="11"/>
  <c r="R112" i="11"/>
  <c r="V112" i="11" s="1"/>
  <c r="Q112" i="11"/>
  <c r="J112" i="11"/>
  <c r="AF111" i="11"/>
  <c r="AE111" i="11"/>
  <c r="AC111" i="11"/>
  <c r="V111" i="11"/>
  <c r="U111" i="11"/>
  <c r="T111" i="11"/>
  <c r="R111" i="11"/>
  <c r="Q111" i="11"/>
  <c r="J111" i="11"/>
  <c r="AF110" i="11"/>
  <c r="AE110" i="11"/>
  <c r="AC110" i="11"/>
  <c r="V110" i="11"/>
  <c r="U110" i="11"/>
  <c r="T110" i="11"/>
  <c r="R110" i="11"/>
  <c r="Q110" i="11"/>
  <c r="J110" i="11"/>
  <c r="AF109" i="11"/>
  <c r="AE109" i="11"/>
  <c r="AC109" i="11"/>
  <c r="V109" i="11"/>
  <c r="U109" i="11"/>
  <c r="T109" i="11"/>
  <c r="R109" i="11"/>
  <c r="Q109" i="11"/>
  <c r="J109" i="11"/>
  <c r="AF108" i="11"/>
  <c r="AE108" i="11"/>
  <c r="AC108" i="11"/>
  <c r="U108" i="11"/>
  <c r="T108" i="11"/>
  <c r="R108" i="11"/>
  <c r="V108" i="11" s="1"/>
  <c r="Q108" i="11"/>
  <c r="J108" i="11"/>
  <c r="AF107" i="11"/>
  <c r="AE107" i="11"/>
  <c r="AC107" i="11"/>
  <c r="U107" i="11"/>
  <c r="T107" i="11"/>
  <c r="R107" i="11"/>
  <c r="V107" i="11" s="1"/>
  <c r="Q107" i="11"/>
  <c r="J107" i="11"/>
  <c r="AF106" i="11"/>
  <c r="AE106" i="11"/>
  <c r="AC106" i="11"/>
  <c r="U106" i="11"/>
  <c r="T106" i="11"/>
  <c r="R106" i="11"/>
  <c r="V106" i="11" s="1"/>
  <c r="Q106" i="11"/>
  <c r="J106" i="11"/>
  <c r="AF105" i="11"/>
  <c r="AE105" i="11"/>
  <c r="AC105" i="11"/>
  <c r="V105" i="11"/>
  <c r="U105" i="11"/>
  <c r="T105" i="11"/>
  <c r="R105" i="11"/>
  <c r="Q105" i="11"/>
  <c r="J105" i="11"/>
  <c r="AF104" i="11"/>
  <c r="AE104" i="11"/>
  <c r="AC104" i="11"/>
  <c r="V104" i="11"/>
  <c r="U104" i="11"/>
  <c r="T104" i="11"/>
  <c r="R104" i="11"/>
  <c r="Q104" i="11"/>
  <c r="J104" i="11"/>
  <c r="AF103" i="11"/>
  <c r="AE103" i="11"/>
  <c r="AC103" i="11"/>
  <c r="V103" i="11"/>
  <c r="U103" i="11"/>
  <c r="T103" i="11"/>
  <c r="R103" i="11"/>
  <c r="Q103" i="11"/>
  <c r="J103" i="11"/>
  <c r="AF102" i="11"/>
  <c r="AE102" i="11"/>
  <c r="AC102" i="11"/>
  <c r="U102" i="11"/>
  <c r="T102" i="11"/>
  <c r="R102" i="11"/>
  <c r="V102" i="11" s="1"/>
  <c r="Q102" i="11"/>
  <c r="J102" i="11"/>
  <c r="AF101" i="11"/>
  <c r="AE101" i="11"/>
  <c r="AC101" i="11"/>
  <c r="X101" i="11" a="1"/>
  <c r="Y114" i="11" s="1"/>
  <c r="V101" i="11"/>
  <c r="U101" i="11"/>
  <c r="T101" i="11"/>
  <c r="R101" i="11"/>
  <c r="Q101" i="11"/>
  <c r="M101" i="11" a="1"/>
  <c r="M101" i="11" s="1"/>
  <c r="L101" i="11" a="1"/>
  <c r="W124" i="11" s="1"/>
  <c r="Z124" i="11" s="1"/>
  <c r="K101" i="11" a="1"/>
  <c r="K101" i="11" s="1"/>
  <c r="J101" i="11"/>
  <c r="AF94" i="11"/>
  <c r="AE94" i="11"/>
  <c r="AC94" i="11"/>
  <c r="U94" i="11"/>
  <c r="T94" i="11"/>
  <c r="R94" i="11"/>
  <c r="V94" i="11" s="1"/>
  <c r="Q94" i="11"/>
  <c r="J94" i="11"/>
  <c r="AF93" i="11"/>
  <c r="AE93" i="11"/>
  <c r="AC93" i="11"/>
  <c r="U93" i="11"/>
  <c r="T93" i="11"/>
  <c r="R93" i="11"/>
  <c r="V93" i="11" s="1"/>
  <c r="Q93" i="11"/>
  <c r="J93" i="11"/>
  <c r="AF92" i="11"/>
  <c r="AE92" i="11"/>
  <c r="AC92" i="11"/>
  <c r="U92" i="11"/>
  <c r="V92" i="11" s="1"/>
  <c r="T92" i="11"/>
  <c r="R92" i="11"/>
  <c r="Q92" i="11"/>
  <c r="J92" i="11"/>
  <c r="AF91" i="11"/>
  <c r="AE91" i="11"/>
  <c r="AC91" i="11"/>
  <c r="U91" i="11"/>
  <c r="T91" i="11"/>
  <c r="R91" i="11"/>
  <c r="V91" i="11" s="1"/>
  <c r="Q91" i="11"/>
  <c r="J91" i="11"/>
  <c r="AF90" i="11"/>
  <c r="AE90" i="11"/>
  <c r="AC90" i="11"/>
  <c r="U90" i="11"/>
  <c r="T90" i="11"/>
  <c r="R90" i="11"/>
  <c r="V90" i="11" s="1"/>
  <c r="Q90" i="11"/>
  <c r="J90" i="11"/>
  <c r="AF89" i="11"/>
  <c r="AE89" i="11"/>
  <c r="AC89" i="11"/>
  <c r="U89" i="11"/>
  <c r="T89" i="11"/>
  <c r="R89" i="11"/>
  <c r="V89" i="11" s="1"/>
  <c r="Q89" i="11"/>
  <c r="J89" i="11"/>
  <c r="AF88" i="11"/>
  <c r="AE88" i="11"/>
  <c r="AC88" i="11"/>
  <c r="U88" i="11"/>
  <c r="T88" i="11"/>
  <c r="R88" i="11"/>
  <c r="V88" i="11" s="1"/>
  <c r="Q88" i="11"/>
  <c r="J88" i="11"/>
  <c r="AF87" i="11"/>
  <c r="AE87" i="11"/>
  <c r="AC87" i="11"/>
  <c r="U87" i="11"/>
  <c r="T87" i="11"/>
  <c r="R87" i="11"/>
  <c r="V87" i="11" s="1"/>
  <c r="Q87" i="11"/>
  <c r="J87" i="11"/>
  <c r="AF86" i="11"/>
  <c r="AE86" i="11"/>
  <c r="AC86" i="11"/>
  <c r="U86" i="11"/>
  <c r="V86" i="11" s="1"/>
  <c r="T86" i="11"/>
  <c r="R86" i="11"/>
  <c r="Q86" i="11"/>
  <c r="J86" i="11"/>
  <c r="AF85" i="11"/>
  <c r="AE85" i="11"/>
  <c r="AC85" i="11"/>
  <c r="U85" i="11"/>
  <c r="T85" i="11"/>
  <c r="R85" i="11"/>
  <c r="V85" i="11" s="1"/>
  <c r="Q85" i="11"/>
  <c r="J85" i="11"/>
  <c r="AF84" i="11"/>
  <c r="AE84" i="11"/>
  <c r="AC84" i="11"/>
  <c r="U84" i="11"/>
  <c r="T84" i="11"/>
  <c r="R84" i="11"/>
  <c r="V84" i="11" s="1"/>
  <c r="Q84" i="11"/>
  <c r="J84" i="11"/>
  <c r="AF83" i="11"/>
  <c r="AE83" i="11"/>
  <c r="AC83" i="11"/>
  <c r="U83" i="11"/>
  <c r="T83" i="11"/>
  <c r="R83" i="11"/>
  <c r="V83" i="11" s="1"/>
  <c r="Q83" i="11"/>
  <c r="J83" i="11"/>
  <c r="AF82" i="11"/>
  <c r="AE82" i="11"/>
  <c r="AC82" i="11"/>
  <c r="U82" i="11"/>
  <c r="T82" i="11"/>
  <c r="R82" i="11"/>
  <c r="V82" i="11" s="1"/>
  <c r="Q82" i="11"/>
  <c r="J82" i="11"/>
  <c r="AF81" i="11"/>
  <c r="AE81" i="11"/>
  <c r="AC81" i="11"/>
  <c r="U81" i="11"/>
  <c r="T81" i="11"/>
  <c r="R81" i="11"/>
  <c r="V81" i="11" s="1"/>
  <c r="Q81" i="11"/>
  <c r="J81" i="11"/>
  <c r="AF80" i="11"/>
  <c r="AE80" i="11"/>
  <c r="AC80" i="11"/>
  <c r="U80" i="11"/>
  <c r="V80" i="11" s="1"/>
  <c r="T80" i="11"/>
  <c r="R80" i="11"/>
  <c r="Q80" i="11"/>
  <c r="J80" i="11"/>
  <c r="AF79" i="11"/>
  <c r="AE79" i="11"/>
  <c r="AC79" i="11"/>
  <c r="U79" i="11"/>
  <c r="T79" i="11"/>
  <c r="R79" i="11"/>
  <c r="V79" i="11" s="1"/>
  <c r="Q79" i="11"/>
  <c r="J79" i="11"/>
  <c r="AF78" i="11"/>
  <c r="AE78" i="11"/>
  <c r="AC78" i="11"/>
  <c r="U78" i="11"/>
  <c r="T78" i="11"/>
  <c r="R78" i="11"/>
  <c r="V78" i="11" s="1"/>
  <c r="Q78" i="11"/>
  <c r="J78" i="11"/>
  <c r="AF77" i="11"/>
  <c r="AE77" i="11"/>
  <c r="AC77" i="11"/>
  <c r="U77" i="11"/>
  <c r="T77" i="11"/>
  <c r="R77" i="11"/>
  <c r="V77" i="11" s="1"/>
  <c r="Q77" i="11"/>
  <c r="J77" i="11"/>
  <c r="AF76" i="11"/>
  <c r="AE76" i="11"/>
  <c r="AC76" i="11"/>
  <c r="U76" i="11"/>
  <c r="T76" i="11"/>
  <c r="R76" i="11"/>
  <c r="V76" i="11" s="1"/>
  <c r="Q76" i="11"/>
  <c r="J76" i="11"/>
  <c r="AF75" i="11"/>
  <c r="AE75" i="11"/>
  <c r="AC75" i="11"/>
  <c r="U75" i="11"/>
  <c r="T75" i="11"/>
  <c r="R75" i="11"/>
  <c r="V75" i="11" s="1"/>
  <c r="Q75" i="11"/>
  <c r="J75" i="11"/>
  <c r="AF74" i="11"/>
  <c r="AE74" i="11"/>
  <c r="AC74" i="11"/>
  <c r="U74" i="11"/>
  <c r="V74" i="11" s="1"/>
  <c r="T74" i="11"/>
  <c r="R74" i="11"/>
  <c r="Q74" i="11"/>
  <c r="J74" i="11"/>
  <c r="AF73" i="11"/>
  <c r="AE73" i="11"/>
  <c r="AC73" i="11"/>
  <c r="U73" i="11"/>
  <c r="T73" i="11"/>
  <c r="R73" i="11"/>
  <c r="V73" i="11" s="1"/>
  <c r="Q73" i="11"/>
  <c r="J73" i="11"/>
  <c r="AF72" i="11"/>
  <c r="AE72" i="11"/>
  <c r="AC72" i="11"/>
  <c r="U72" i="11"/>
  <c r="T72" i="11"/>
  <c r="R72" i="11"/>
  <c r="V72" i="11" s="1"/>
  <c r="Q72" i="11"/>
  <c r="J72" i="11"/>
  <c r="AF71" i="11"/>
  <c r="AE71" i="11"/>
  <c r="AC71" i="11"/>
  <c r="X71" i="11" a="1"/>
  <c r="Y89" i="11" s="1"/>
  <c r="U71" i="11"/>
  <c r="T71" i="11"/>
  <c r="R71" i="11"/>
  <c r="V71" i="11" s="1"/>
  <c r="Q71" i="11"/>
  <c r="M71" i="11" a="1"/>
  <c r="M71" i="11" s="1"/>
  <c r="L71" i="11" a="1"/>
  <c r="K71" i="11" a="1"/>
  <c r="K71" i="11" s="1"/>
  <c r="J71" i="11"/>
  <c r="AF64" i="11"/>
  <c r="AE64" i="11"/>
  <c r="AC64" i="11"/>
  <c r="U64" i="11"/>
  <c r="T64" i="11"/>
  <c r="R64" i="11"/>
  <c r="V64" i="11" s="1"/>
  <c r="Q64" i="11"/>
  <c r="J64" i="11"/>
  <c r="AF63" i="11"/>
  <c r="AE63" i="11"/>
  <c r="AC63" i="11"/>
  <c r="V63" i="11"/>
  <c r="U63" i="11"/>
  <c r="T63" i="11"/>
  <c r="R63" i="11"/>
  <c r="Q63" i="11"/>
  <c r="J63" i="11"/>
  <c r="AF62" i="11"/>
  <c r="AE62" i="11"/>
  <c r="AC62" i="11"/>
  <c r="U62" i="11"/>
  <c r="V62" i="11" s="1"/>
  <c r="T62" i="11"/>
  <c r="R62" i="11"/>
  <c r="Q62" i="11"/>
  <c r="J62" i="11"/>
  <c r="AF61" i="11"/>
  <c r="AE61" i="11"/>
  <c r="AC61" i="11"/>
  <c r="U61" i="11"/>
  <c r="T61" i="11"/>
  <c r="R61" i="11"/>
  <c r="V61" i="11" s="1"/>
  <c r="Q61" i="11"/>
  <c r="J61" i="11"/>
  <c r="AF60" i="11"/>
  <c r="AE60" i="11"/>
  <c r="AC60" i="11"/>
  <c r="U60" i="11"/>
  <c r="V60" i="11" s="1"/>
  <c r="T60" i="11"/>
  <c r="R60" i="11"/>
  <c r="Q60" i="11"/>
  <c r="J60" i="11"/>
  <c r="AF59" i="11"/>
  <c r="AE59" i="11"/>
  <c r="AC59" i="11"/>
  <c r="U59" i="11"/>
  <c r="T59" i="11"/>
  <c r="R59" i="11"/>
  <c r="V59" i="11" s="1"/>
  <c r="Q59" i="11"/>
  <c r="J59" i="11"/>
  <c r="AF58" i="11"/>
  <c r="AE58" i="11"/>
  <c r="AC58" i="11"/>
  <c r="U58" i="11"/>
  <c r="T58" i="11"/>
  <c r="R58" i="11"/>
  <c r="V58" i="11" s="1"/>
  <c r="Q58" i="11"/>
  <c r="J58" i="11"/>
  <c r="AF57" i="11"/>
  <c r="AE57" i="11"/>
  <c r="AC57" i="11"/>
  <c r="U57" i="11"/>
  <c r="T57" i="11"/>
  <c r="R57" i="11"/>
  <c r="V57" i="11" s="1"/>
  <c r="Q57" i="11"/>
  <c r="J57" i="11"/>
  <c r="AF56" i="11"/>
  <c r="AE56" i="11"/>
  <c r="AC56" i="11"/>
  <c r="U56" i="11"/>
  <c r="T56" i="11"/>
  <c r="R56" i="11"/>
  <c r="V56" i="11" s="1"/>
  <c r="Q56" i="11"/>
  <c r="J56" i="11"/>
  <c r="AF55" i="11"/>
  <c r="AE55" i="11"/>
  <c r="AC55" i="11"/>
  <c r="U55" i="11"/>
  <c r="T55" i="11"/>
  <c r="R55" i="11"/>
  <c r="V55" i="11" s="1"/>
  <c r="Q55" i="11"/>
  <c r="J55" i="11"/>
  <c r="AF54" i="11"/>
  <c r="AE54" i="11"/>
  <c r="AC54" i="11"/>
  <c r="U54" i="11"/>
  <c r="T54" i="11"/>
  <c r="R54" i="11"/>
  <c r="V54" i="11" s="1"/>
  <c r="Q54" i="11"/>
  <c r="J54" i="11"/>
  <c r="AF53" i="11"/>
  <c r="AE53" i="11"/>
  <c r="AC53" i="11"/>
  <c r="U53" i="11"/>
  <c r="T53" i="11"/>
  <c r="R53" i="11"/>
  <c r="V53" i="11" s="1"/>
  <c r="Q53" i="11"/>
  <c r="J53" i="11"/>
  <c r="AF52" i="11"/>
  <c r="AE52" i="11"/>
  <c r="AC52" i="11"/>
  <c r="U52" i="11"/>
  <c r="T52" i="11"/>
  <c r="R52" i="11"/>
  <c r="V52" i="11" s="1"/>
  <c r="Q52" i="11"/>
  <c r="J52" i="11"/>
  <c r="AF51" i="11"/>
  <c r="AE51" i="11"/>
  <c r="AC51" i="11"/>
  <c r="U51" i="11"/>
  <c r="T51" i="11"/>
  <c r="R51" i="11"/>
  <c r="V51" i="11" s="1"/>
  <c r="Q51" i="11"/>
  <c r="J51" i="11"/>
  <c r="AF50" i="11"/>
  <c r="AE50" i="11"/>
  <c r="AC50" i="11"/>
  <c r="U50" i="11"/>
  <c r="T50" i="11"/>
  <c r="R50" i="11"/>
  <c r="V50" i="11" s="1"/>
  <c r="Q50" i="11"/>
  <c r="J50" i="11"/>
  <c r="AF49" i="11"/>
  <c r="AE49" i="11"/>
  <c r="AC49" i="11"/>
  <c r="U49" i="11"/>
  <c r="T49" i="11"/>
  <c r="R49" i="11"/>
  <c r="V49" i="11" s="1"/>
  <c r="Q49" i="11"/>
  <c r="J49" i="11"/>
  <c r="AF48" i="11"/>
  <c r="AE48" i="11"/>
  <c r="AC48" i="11"/>
  <c r="U48" i="11"/>
  <c r="T48" i="11"/>
  <c r="R48" i="11"/>
  <c r="V48" i="11" s="1"/>
  <c r="Q48" i="11"/>
  <c r="J48" i="11"/>
  <c r="AF47" i="11"/>
  <c r="AE47" i="11"/>
  <c r="AC47" i="11"/>
  <c r="U47" i="11"/>
  <c r="T47" i="11"/>
  <c r="R47" i="11"/>
  <c r="V47" i="11" s="1"/>
  <c r="Q47" i="11"/>
  <c r="J47" i="11"/>
  <c r="AF46" i="11"/>
  <c r="AE46" i="11"/>
  <c r="AC46" i="11"/>
  <c r="U46" i="11"/>
  <c r="T46" i="11"/>
  <c r="R46" i="11"/>
  <c r="V46" i="11" s="1"/>
  <c r="Q46" i="11"/>
  <c r="J46" i="11"/>
  <c r="AF45" i="11"/>
  <c r="AE45" i="11"/>
  <c r="AC45" i="11"/>
  <c r="U45" i="11"/>
  <c r="T45" i="11"/>
  <c r="R45" i="11"/>
  <c r="V45" i="11" s="1"/>
  <c r="Q45" i="11"/>
  <c r="J45" i="11"/>
  <c r="AF44" i="11"/>
  <c r="AE44" i="11"/>
  <c r="AC44" i="11"/>
  <c r="U44" i="11"/>
  <c r="T44" i="11"/>
  <c r="R44" i="11"/>
  <c r="V44" i="11" s="1"/>
  <c r="Q44" i="11"/>
  <c r="J44" i="11"/>
  <c r="AF43" i="11"/>
  <c r="AE43" i="11"/>
  <c r="AC43" i="11"/>
  <c r="U43" i="11"/>
  <c r="T43" i="11"/>
  <c r="R43" i="11"/>
  <c r="V43" i="11" s="1"/>
  <c r="Q43" i="11"/>
  <c r="J43" i="11"/>
  <c r="AF42" i="11"/>
  <c r="AE42" i="11"/>
  <c r="AC42" i="11"/>
  <c r="U42" i="11"/>
  <c r="T42" i="11"/>
  <c r="R42" i="11"/>
  <c r="V42" i="11" s="1"/>
  <c r="Q42" i="11"/>
  <c r="J42" i="11"/>
  <c r="AF41" i="11"/>
  <c r="AE41" i="11"/>
  <c r="AC41" i="11"/>
  <c r="X41" i="11" a="1"/>
  <c r="Y59" i="11" s="1"/>
  <c r="V41" i="11"/>
  <c r="U41" i="11"/>
  <c r="T41" i="11"/>
  <c r="R41" i="11"/>
  <c r="Q41" i="11"/>
  <c r="M41" i="11" a="1"/>
  <c r="M41" i="11" s="1"/>
  <c r="L41" i="11" a="1"/>
  <c r="W64" i="11" s="1"/>
  <c r="Z64" i="11" s="1"/>
  <c r="K41" i="11" a="1"/>
  <c r="K41" i="11" s="1"/>
  <c r="J41" i="11"/>
  <c r="O182" i="11" l="1"/>
  <c r="O194" i="11"/>
  <c r="O200" i="11"/>
  <c r="O104" i="11"/>
  <c r="O206" i="11"/>
  <c r="N206" i="11" s="1"/>
  <c r="O93" i="11"/>
  <c r="N93" i="11" s="1"/>
  <c r="O165" i="11"/>
  <c r="N165" i="11" s="1"/>
  <c r="O212" i="11"/>
  <c r="N212" i="11" s="1"/>
  <c r="W61" i="11"/>
  <c r="Z61" i="11" s="1"/>
  <c r="W47" i="11"/>
  <c r="Z47" i="11" s="1"/>
  <c r="W51" i="11"/>
  <c r="Z51" i="11" s="1"/>
  <c r="W55" i="11"/>
  <c r="Z55" i="11" s="1"/>
  <c r="L41" i="11"/>
  <c r="W41" i="11" s="1"/>
  <c r="W58" i="11"/>
  <c r="Z58" i="11" s="1"/>
  <c r="W46" i="11"/>
  <c r="Z46" i="11" s="1"/>
  <c r="W50" i="11"/>
  <c r="Z50" i="11" s="1"/>
  <c r="W54" i="11"/>
  <c r="Z54" i="11" s="1"/>
  <c r="W45" i="11"/>
  <c r="Z45" i="11" s="1"/>
  <c r="AA45" i="11" s="1"/>
  <c r="W49" i="11"/>
  <c r="Z49" i="11" s="1"/>
  <c r="W53" i="11"/>
  <c r="Z53" i="11" s="1"/>
  <c r="W48" i="11"/>
  <c r="Z48" i="11" s="1"/>
  <c r="W52" i="11"/>
  <c r="Z52" i="11" s="1"/>
  <c r="P51" i="11"/>
  <c r="P54" i="11"/>
  <c r="P55" i="11"/>
  <c r="P56" i="11"/>
  <c r="P57" i="11"/>
  <c r="P60" i="11"/>
  <c r="P43" i="11"/>
  <c r="P61" i="11"/>
  <c r="P44" i="11"/>
  <c r="P62" i="11"/>
  <c r="P50" i="11"/>
  <c r="P42" i="11"/>
  <c r="P45" i="11"/>
  <c r="P63" i="11"/>
  <c r="O63" i="11"/>
  <c r="N63" i="11" s="1"/>
  <c r="O169" i="11"/>
  <c r="N169" i="11" s="1"/>
  <c r="O170" i="11"/>
  <c r="N170" i="11" s="1"/>
  <c r="O183" i="11"/>
  <c r="N183" i="11" s="1"/>
  <c r="O171" i="11"/>
  <c r="N171" i="11" s="1"/>
  <c r="O175" i="11"/>
  <c r="N175" i="11" s="1"/>
  <c r="O176" i="11"/>
  <c r="N176" i="11" s="1"/>
  <c r="O163" i="11"/>
  <c r="N163" i="11" s="1"/>
  <c r="O164" i="11"/>
  <c r="O177" i="11"/>
  <c r="N177" i="11" s="1"/>
  <c r="O105" i="11"/>
  <c r="N105" i="11" s="1"/>
  <c r="O110" i="11"/>
  <c r="N110" i="11" s="1"/>
  <c r="O111" i="11"/>
  <c r="N111" i="11" s="1"/>
  <c r="O116" i="11"/>
  <c r="N116" i="11" s="1"/>
  <c r="O117" i="11"/>
  <c r="N117" i="11" s="1"/>
  <c r="O122" i="11"/>
  <c r="N122" i="11" s="1"/>
  <c r="O123" i="11"/>
  <c r="N123" i="11" s="1"/>
  <c r="O197" i="11"/>
  <c r="O203" i="11"/>
  <c r="O209" i="11"/>
  <c r="N209" i="11" s="1"/>
  <c r="P197" i="11"/>
  <c r="P203" i="11"/>
  <c r="P209" i="11"/>
  <c r="O192" i="11"/>
  <c r="N192" i="11" s="1"/>
  <c r="O198" i="11"/>
  <c r="N198" i="11" s="1"/>
  <c r="O204" i="11"/>
  <c r="N204" i="11" s="1"/>
  <c r="O210" i="11"/>
  <c r="N210" i="11" s="1"/>
  <c r="P192" i="11"/>
  <c r="P198" i="11"/>
  <c r="P204" i="11"/>
  <c r="P210" i="11"/>
  <c r="O193" i="11"/>
  <c r="O199" i="11"/>
  <c r="N199" i="11" s="1"/>
  <c r="O205" i="11"/>
  <c r="N205" i="11" s="1"/>
  <c r="O211" i="11"/>
  <c r="N211" i="11" s="1"/>
  <c r="P193" i="11"/>
  <c r="P199" i="11"/>
  <c r="P205" i="11"/>
  <c r="P211" i="11"/>
  <c r="O195" i="11"/>
  <c r="N195" i="11" s="1"/>
  <c r="O201" i="11"/>
  <c r="N201" i="11" s="1"/>
  <c r="O207" i="11"/>
  <c r="O213" i="11"/>
  <c r="P195" i="11"/>
  <c r="P201" i="11"/>
  <c r="P207" i="11"/>
  <c r="P213" i="11"/>
  <c r="P194" i="11"/>
  <c r="P200" i="11"/>
  <c r="O196" i="11"/>
  <c r="N196" i="11" s="1"/>
  <c r="O202" i="11"/>
  <c r="N202" i="11" s="1"/>
  <c r="O208" i="11"/>
  <c r="N208" i="11" s="1"/>
  <c r="P206" i="11"/>
  <c r="P196" i="11"/>
  <c r="P202" i="11"/>
  <c r="P208" i="11"/>
  <c r="O167" i="11"/>
  <c r="O173" i="11"/>
  <c r="N173" i="11" s="1"/>
  <c r="O179" i="11"/>
  <c r="N179" i="11" s="1"/>
  <c r="P167" i="11"/>
  <c r="P173" i="11"/>
  <c r="P179" i="11"/>
  <c r="O162" i="11"/>
  <c r="N162" i="11" s="1"/>
  <c r="O168" i="11"/>
  <c r="N168" i="11" s="1"/>
  <c r="O174" i="11"/>
  <c r="N174" i="11" s="1"/>
  <c r="O180" i="11"/>
  <c r="N180" i="11" s="1"/>
  <c r="P163" i="11"/>
  <c r="P169" i="11"/>
  <c r="P175" i="11"/>
  <c r="P181" i="11"/>
  <c r="P165" i="11"/>
  <c r="P171" i="11"/>
  <c r="P177" i="11"/>
  <c r="O166" i="11"/>
  <c r="N166" i="11" s="1"/>
  <c r="O172" i="11"/>
  <c r="N172" i="11" s="1"/>
  <c r="O178" i="11"/>
  <c r="N178" i="11" s="1"/>
  <c r="P166" i="11"/>
  <c r="P172" i="11"/>
  <c r="P178" i="11"/>
  <c r="O137" i="11"/>
  <c r="N137" i="11" s="1"/>
  <c r="O143" i="11"/>
  <c r="N143" i="11" s="1"/>
  <c r="O149" i="11"/>
  <c r="N149" i="11" s="1"/>
  <c r="P137" i="11"/>
  <c r="P143" i="11"/>
  <c r="P149" i="11"/>
  <c r="O132" i="11"/>
  <c r="N132" i="11" s="1"/>
  <c r="O138" i="11"/>
  <c r="N138" i="11" s="1"/>
  <c r="O150" i="11"/>
  <c r="N150" i="11" s="1"/>
  <c r="O144" i="11"/>
  <c r="N144" i="11" s="1"/>
  <c r="P132" i="11"/>
  <c r="P138" i="11"/>
  <c r="P144" i="11"/>
  <c r="P150" i="11"/>
  <c r="O133" i="11"/>
  <c r="N133" i="11" s="1"/>
  <c r="O139" i="11"/>
  <c r="N139" i="11" s="1"/>
  <c r="O145" i="11"/>
  <c r="N145" i="11" s="1"/>
  <c r="O151" i="11"/>
  <c r="N151" i="11" s="1"/>
  <c r="P133" i="11"/>
  <c r="P139" i="11"/>
  <c r="P145" i="11"/>
  <c r="P151" i="11"/>
  <c r="O134" i="11"/>
  <c r="N134" i="11" s="1"/>
  <c r="O140" i="11"/>
  <c r="N140" i="11" s="1"/>
  <c r="O146" i="11"/>
  <c r="O152" i="11"/>
  <c r="N152" i="11" s="1"/>
  <c r="O135" i="11"/>
  <c r="N135" i="11" s="1"/>
  <c r="O141" i="11"/>
  <c r="N141" i="11" s="1"/>
  <c r="O147" i="11"/>
  <c r="N147" i="11" s="1"/>
  <c r="O153" i="11"/>
  <c r="N153" i="11" s="1"/>
  <c r="P153" i="11"/>
  <c r="P141" i="11"/>
  <c r="O136" i="11"/>
  <c r="N136" i="11" s="1"/>
  <c r="O142" i="11"/>
  <c r="N142" i="11" s="1"/>
  <c r="O148" i="11"/>
  <c r="N148" i="11" s="1"/>
  <c r="P135" i="11"/>
  <c r="P147" i="11"/>
  <c r="P136" i="11"/>
  <c r="P142" i="11"/>
  <c r="P148" i="11"/>
  <c r="O107" i="11"/>
  <c r="N107" i="11" s="1"/>
  <c r="O113" i="11"/>
  <c r="N113" i="11" s="1"/>
  <c r="O119" i="11"/>
  <c r="N119" i="11" s="1"/>
  <c r="P107" i="11"/>
  <c r="P119" i="11"/>
  <c r="P113" i="11"/>
  <c r="O102" i="11"/>
  <c r="N102" i="11" s="1"/>
  <c r="O108" i="11"/>
  <c r="N108" i="11" s="1"/>
  <c r="O114" i="11"/>
  <c r="N114" i="11" s="1"/>
  <c r="O120" i="11"/>
  <c r="N120" i="11" s="1"/>
  <c r="P120" i="11"/>
  <c r="P102" i="11"/>
  <c r="P114" i="11"/>
  <c r="O103" i="11"/>
  <c r="N103" i="11" s="1"/>
  <c r="O109" i="11"/>
  <c r="N109" i="11" s="1"/>
  <c r="O115" i="11"/>
  <c r="N115" i="11" s="1"/>
  <c r="O121" i="11"/>
  <c r="N121" i="11" s="1"/>
  <c r="P108" i="11"/>
  <c r="P103" i="11"/>
  <c r="P109" i="11"/>
  <c r="P115" i="11"/>
  <c r="P121" i="11"/>
  <c r="P104" i="11"/>
  <c r="P110" i="11"/>
  <c r="P116" i="11"/>
  <c r="P122" i="11"/>
  <c r="P105" i="11"/>
  <c r="P111" i="11"/>
  <c r="P117" i="11"/>
  <c r="P123" i="11"/>
  <c r="O106" i="11"/>
  <c r="N106" i="11" s="1"/>
  <c r="O112" i="11"/>
  <c r="N112" i="11" s="1"/>
  <c r="O118" i="11"/>
  <c r="N118" i="11" s="1"/>
  <c r="P106" i="11"/>
  <c r="P112" i="11"/>
  <c r="P118" i="11"/>
  <c r="P77" i="11"/>
  <c r="P72" i="11"/>
  <c r="P78" i="11"/>
  <c r="P84" i="11"/>
  <c r="P90" i="11"/>
  <c r="P89" i="11"/>
  <c r="O85" i="11"/>
  <c r="N85" i="11" s="1"/>
  <c r="O72" i="11"/>
  <c r="N72" i="11" s="1"/>
  <c r="O78" i="11"/>
  <c r="N78" i="11" s="1"/>
  <c r="O84" i="11"/>
  <c r="N84" i="11" s="1"/>
  <c r="O90" i="11"/>
  <c r="N90" i="11" s="1"/>
  <c r="O73" i="11"/>
  <c r="N73" i="11" s="1"/>
  <c r="O79" i="11"/>
  <c r="N79" i="11" s="1"/>
  <c r="O91" i="11"/>
  <c r="N91" i="11" s="1"/>
  <c r="P73" i="11"/>
  <c r="P79" i="11"/>
  <c r="P85" i="11"/>
  <c r="P91" i="11"/>
  <c r="P83" i="11"/>
  <c r="O74" i="11"/>
  <c r="N74" i="11" s="1"/>
  <c r="O80" i="11"/>
  <c r="N80" i="11" s="1"/>
  <c r="O86" i="11"/>
  <c r="N86" i="11" s="1"/>
  <c r="O92" i="11"/>
  <c r="N92" i="11" s="1"/>
  <c r="O83" i="11"/>
  <c r="N83" i="11" s="1"/>
  <c r="P75" i="11"/>
  <c r="P93" i="11"/>
  <c r="O89" i="11"/>
  <c r="N89" i="11" s="1"/>
  <c r="P80" i="11"/>
  <c r="O81" i="11"/>
  <c r="N81" i="11" s="1"/>
  <c r="P87" i="11"/>
  <c r="O76" i="11"/>
  <c r="N76" i="11" s="1"/>
  <c r="O82" i="11"/>
  <c r="N82" i="11" s="1"/>
  <c r="O88" i="11"/>
  <c r="N88" i="11" s="1"/>
  <c r="O94" i="11"/>
  <c r="N94" i="11" s="1"/>
  <c r="O77" i="11"/>
  <c r="N77" i="11" s="1"/>
  <c r="P74" i="11"/>
  <c r="P86" i="11"/>
  <c r="O75" i="11"/>
  <c r="N75" i="11" s="1"/>
  <c r="P81" i="11"/>
  <c r="P76" i="11"/>
  <c r="P82" i="11"/>
  <c r="P88" i="11"/>
  <c r="O61" i="11"/>
  <c r="N61" i="11" s="1"/>
  <c r="O43" i="11"/>
  <c r="N43" i="11" s="1"/>
  <c r="O57" i="11"/>
  <c r="N57" i="11" s="1"/>
  <c r="O45" i="11"/>
  <c r="N45" i="11" s="1"/>
  <c r="N164" i="11"/>
  <c r="N146" i="11"/>
  <c r="O47" i="11"/>
  <c r="N47" i="11" s="1"/>
  <c r="O49" i="11"/>
  <c r="N49" i="11" s="1"/>
  <c r="N71" i="11"/>
  <c r="N194" i="11"/>
  <c r="N191" i="11"/>
  <c r="N200" i="11"/>
  <c r="O64" i="11"/>
  <c r="N64" i="11" s="1"/>
  <c r="N182" i="11"/>
  <c r="O51" i="11"/>
  <c r="N51" i="11" s="1"/>
  <c r="O53" i="11"/>
  <c r="N53" i="11" s="1"/>
  <c r="O59" i="11"/>
  <c r="N59" i="11" s="1"/>
  <c r="N41" i="11"/>
  <c r="P47" i="11"/>
  <c r="P53" i="11"/>
  <c r="P59" i="11"/>
  <c r="O42" i="11"/>
  <c r="N42" i="11" s="1"/>
  <c r="O48" i="11"/>
  <c r="N48" i="11" s="1"/>
  <c r="O54" i="11"/>
  <c r="N54" i="11" s="1"/>
  <c r="O60" i="11"/>
  <c r="N60" i="11" s="1"/>
  <c r="O44" i="11"/>
  <c r="N44" i="11" s="1"/>
  <c r="O50" i="11"/>
  <c r="N50" i="11" s="1"/>
  <c r="O56" i="11"/>
  <c r="N56" i="11" s="1"/>
  <c r="O62" i="11"/>
  <c r="N62" i="11" s="1"/>
  <c r="O46" i="11"/>
  <c r="N46" i="11" s="1"/>
  <c r="O52" i="11"/>
  <c r="N52" i="11" s="1"/>
  <c r="O58" i="11"/>
  <c r="N58" i="11" s="1"/>
  <c r="P46" i="11"/>
  <c r="P52" i="11"/>
  <c r="P58" i="11"/>
  <c r="N203" i="11"/>
  <c r="N197" i="11"/>
  <c r="N193" i="11"/>
  <c r="N207" i="11"/>
  <c r="N213" i="11"/>
  <c r="N167" i="11"/>
  <c r="N181" i="11"/>
  <c r="N161" i="11"/>
  <c r="N131" i="11"/>
  <c r="N101" i="11"/>
  <c r="N104" i="11"/>
  <c r="N87" i="11"/>
  <c r="W201" i="11"/>
  <c r="Z201" i="11" s="1"/>
  <c r="AA201" i="11" s="1"/>
  <c r="Y201" i="11"/>
  <c r="Y202" i="11"/>
  <c r="W195" i="11"/>
  <c r="Z195" i="11" s="1"/>
  <c r="AA195" i="11" s="1"/>
  <c r="W213" i="11"/>
  <c r="Z213" i="11" s="1"/>
  <c r="AA213" i="11" s="1"/>
  <c r="Y213" i="11"/>
  <c r="Y214" i="11"/>
  <c r="AA214" i="11" s="1"/>
  <c r="Y192" i="11"/>
  <c r="X191" i="11"/>
  <c r="Y191" i="11" s="1"/>
  <c r="W207" i="11"/>
  <c r="Z207" i="11" s="1"/>
  <c r="AA207" i="11" s="1"/>
  <c r="AD207" i="11" s="1"/>
  <c r="Z184" i="11"/>
  <c r="Y139" i="11"/>
  <c r="Y141" i="11"/>
  <c r="Y145" i="11"/>
  <c r="Y147" i="11"/>
  <c r="AD201" i="11"/>
  <c r="AB201" i="11"/>
  <c r="AD195" i="11"/>
  <c r="AB195" i="11"/>
  <c r="AD213" i="11"/>
  <c r="AB213" i="11"/>
  <c r="W194" i="11"/>
  <c r="Z194" i="11" s="1"/>
  <c r="W200" i="11"/>
  <c r="Z200" i="11" s="1"/>
  <c r="W206" i="11"/>
  <c r="Z206" i="11" s="1"/>
  <c r="W212" i="11"/>
  <c r="Z212" i="11" s="1"/>
  <c r="Y194" i="11"/>
  <c r="Y200" i="11"/>
  <c r="Y206" i="11"/>
  <c r="Y212" i="11"/>
  <c r="W193" i="11"/>
  <c r="Z193" i="11" s="1"/>
  <c r="W199" i="11"/>
  <c r="Z199" i="11" s="1"/>
  <c r="W205" i="11"/>
  <c r="Z205" i="11" s="1"/>
  <c r="W211" i="11"/>
  <c r="Z211" i="11" s="1"/>
  <c r="Y193" i="11"/>
  <c r="Y199" i="11"/>
  <c r="Y205" i="11"/>
  <c r="Y211" i="11"/>
  <c r="L191" i="11"/>
  <c r="W191" i="11" s="1"/>
  <c r="Z191" i="11" s="1"/>
  <c r="W192" i="11"/>
  <c r="Z192" i="11" s="1"/>
  <c r="W198" i="11"/>
  <c r="Z198" i="11" s="1"/>
  <c r="AA198" i="11" s="1"/>
  <c r="W204" i="11"/>
  <c r="Z204" i="11" s="1"/>
  <c r="W210" i="11"/>
  <c r="Z210" i="11" s="1"/>
  <c r="Y204" i="11"/>
  <c r="Y210" i="11"/>
  <c r="W197" i="11"/>
  <c r="Z197" i="11" s="1"/>
  <c r="W203" i="11"/>
  <c r="Z203" i="11" s="1"/>
  <c r="W209" i="11"/>
  <c r="Z209" i="11" s="1"/>
  <c r="AA209" i="11" s="1"/>
  <c r="Y197" i="11"/>
  <c r="Y203" i="11"/>
  <c r="W196" i="11"/>
  <c r="Z196" i="11" s="1"/>
  <c r="AA196" i="11" s="1"/>
  <c r="W202" i="11"/>
  <c r="Z202" i="11" s="1"/>
  <c r="AA202" i="11" s="1"/>
  <c r="W208" i="11"/>
  <c r="Z208" i="11" s="1"/>
  <c r="AA208" i="11" s="1"/>
  <c r="W182" i="11"/>
  <c r="Z182" i="11" s="1"/>
  <c r="Y169" i="11"/>
  <c r="Y166" i="11"/>
  <c r="Y172" i="11"/>
  <c r="Y178" i="11"/>
  <c r="Y184" i="11"/>
  <c r="AA184" i="11" s="1"/>
  <c r="W165" i="11"/>
  <c r="Z165" i="11" s="1"/>
  <c r="W171" i="11"/>
  <c r="Z171" i="11" s="1"/>
  <c r="W177" i="11"/>
  <c r="Z177" i="11" s="1"/>
  <c r="W183" i="11"/>
  <c r="Z183" i="11" s="1"/>
  <c r="Y165" i="11"/>
  <c r="Y171" i="11"/>
  <c r="Y177" i="11"/>
  <c r="Y183" i="11"/>
  <c r="Y182" i="11"/>
  <c r="Y164" i="11"/>
  <c r="Y170" i="11"/>
  <c r="Y176" i="11"/>
  <c r="W163" i="11"/>
  <c r="Z163" i="11" s="1"/>
  <c r="AA163" i="11" s="1"/>
  <c r="W169" i="11"/>
  <c r="Z169" i="11" s="1"/>
  <c r="W175" i="11"/>
  <c r="Z175" i="11" s="1"/>
  <c r="AA175" i="11" s="1"/>
  <c r="W181" i="11"/>
  <c r="Z181" i="11" s="1"/>
  <c r="AA181" i="11" s="1"/>
  <c r="W162" i="11"/>
  <c r="Z162" i="11" s="1"/>
  <c r="AA162" i="11" s="1"/>
  <c r="W168" i="11"/>
  <c r="Z168" i="11" s="1"/>
  <c r="W174" i="11"/>
  <c r="Z174" i="11" s="1"/>
  <c r="W180" i="11"/>
  <c r="Z180" i="11" s="1"/>
  <c r="Y174" i="11"/>
  <c r="Y168" i="11"/>
  <c r="W167" i="11"/>
  <c r="Z167" i="11" s="1"/>
  <c r="W173" i="11"/>
  <c r="Z173" i="11" s="1"/>
  <c r="W179" i="11"/>
  <c r="Z179" i="11" s="1"/>
  <c r="X161" i="11"/>
  <c r="Y161" i="11" s="1"/>
  <c r="Y162" i="11"/>
  <c r="Y180" i="11"/>
  <c r="Y167" i="11"/>
  <c r="Y173" i="11"/>
  <c r="Y179" i="11"/>
  <c r="W164" i="11"/>
  <c r="Z164" i="11" s="1"/>
  <c r="AA164" i="11" s="1"/>
  <c r="W170" i="11"/>
  <c r="Z170" i="11" s="1"/>
  <c r="W176" i="11"/>
  <c r="Z176" i="11" s="1"/>
  <c r="Y163" i="11"/>
  <c r="Y175" i="11"/>
  <c r="L161" i="11"/>
  <c r="W161" i="11" s="1"/>
  <c r="Z161" i="11" s="1"/>
  <c r="W166" i="11"/>
  <c r="Z166" i="11" s="1"/>
  <c r="AA166" i="11" s="1"/>
  <c r="W172" i="11"/>
  <c r="Z172" i="11" s="1"/>
  <c r="AA172" i="11" s="1"/>
  <c r="W178" i="11"/>
  <c r="Z178" i="11" s="1"/>
  <c r="AA178" i="11" s="1"/>
  <c r="Y136" i="11"/>
  <c r="Y142" i="11"/>
  <c r="Y148" i="11"/>
  <c r="Y154" i="11"/>
  <c r="AA154" i="11" s="1"/>
  <c r="W135" i="11"/>
  <c r="Z135" i="11" s="1"/>
  <c r="AA135" i="11" s="1"/>
  <c r="W141" i="11"/>
  <c r="Z141" i="11" s="1"/>
  <c r="AA141" i="11" s="1"/>
  <c r="W147" i="11"/>
  <c r="Z147" i="11" s="1"/>
  <c r="W153" i="11"/>
  <c r="Z153" i="11" s="1"/>
  <c r="AA153" i="11" s="1"/>
  <c r="W152" i="11"/>
  <c r="Z152" i="11" s="1"/>
  <c r="W134" i="11"/>
  <c r="Z134" i="11" s="1"/>
  <c r="W140" i="11"/>
  <c r="Z140" i="11" s="1"/>
  <c r="W146" i="11"/>
  <c r="Z146" i="11" s="1"/>
  <c r="Y134" i="11"/>
  <c r="Y140" i="11"/>
  <c r="Y146" i="11"/>
  <c r="Y152" i="11"/>
  <c r="W133" i="11"/>
  <c r="Z133" i="11" s="1"/>
  <c r="AA133" i="11" s="1"/>
  <c r="W139" i="11"/>
  <c r="Z139" i="11" s="1"/>
  <c r="AA139" i="11" s="1"/>
  <c r="W145" i="11"/>
  <c r="Z145" i="11" s="1"/>
  <c r="AA145" i="11" s="1"/>
  <c r="W151" i="11"/>
  <c r="Z151" i="11" s="1"/>
  <c r="AA151" i="11" s="1"/>
  <c r="W132" i="11"/>
  <c r="Z132" i="11" s="1"/>
  <c r="W138" i="11"/>
  <c r="Z138" i="11" s="1"/>
  <c r="W144" i="11"/>
  <c r="Z144" i="11" s="1"/>
  <c r="W150" i="11"/>
  <c r="Z150" i="11" s="1"/>
  <c r="X131" i="11"/>
  <c r="Y131" i="11" s="1"/>
  <c r="Y132" i="11"/>
  <c r="Y138" i="11"/>
  <c r="Y144" i="11"/>
  <c r="Y150" i="11"/>
  <c r="Y137" i="11"/>
  <c r="Y143" i="11"/>
  <c r="L131" i="11"/>
  <c r="W131" i="11" s="1"/>
  <c r="Z131" i="11" s="1"/>
  <c r="W137" i="11"/>
  <c r="Z137" i="11" s="1"/>
  <c r="AA137" i="11" s="1"/>
  <c r="W143" i="11"/>
  <c r="Z143" i="11" s="1"/>
  <c r="AA143" i="11" s="1"/>
  <c r="W149" i="11"/>
  <c r="Z149" i="11" s="1"/>
  <c r="AA149" i="11" s="1"/>
  <c r="W136" i="11"/>
  <c r="Z136" i="11" s="1"/>
  <c r="W142" i="11"/>
  <c r="Z142" i="11" s="1"/>
  <c r="W148" i="11"/>
  <c r="Z148" i="11" s="1"/>
  <c r="W103" i="11"/>
  <c r="Z103" i="11" s="1"/>
  <c r="W109" i="11"/>
  <c r="Z109" i="11" s="1"/>
  <c r="W117" i="11"/>
  <c r="Z117" i="11" s="1"/>
  <c r="W104" i="11"/>
  <c r="Z104" i="11" s="1"/>
  <c r="W111" i="11"/>
  <c r="Z111" i="11" s="1"/>
  <c r="L101" i="11"/>
  <c r="W101" i="11" s="1"/>
  <c r="Z101" i="11" s="1"/>
  <c r="W105" i="11"/>
  <c r="Z105" i="11" s="1"/>
  <c r="W120" i="11"/>
  <c r="Z120" i="11" s="1"/>
  <c r="AA120" i="11" s="1"/>
  <c r="W121" i="11"/>
  <c r="Z121" i="11" s="1"/>
  <c r="W114" i="11"/>
  <c r="Z114" i="11" s="1"/>
  <c r="AA114" i="11" s="1"/>
  <c r="W115" i="11"/>
  <c r="Z115" i="11" s="1"/>
  <c r="W123" i="11"/>
  <c r="Z123" i="11" s="1"/>
  <c r="AA123" i="11" s="1"/>
  <c r="W102" i="11"/>
  <c r="Z102" i="11" s="1"/>
  <c r="W108" i="11"/>
  <c r="Z108" i="11" s="1"/>
  <c r="AA109" i="11"/>
  <c r="AA111" i="11"/>
  <c r="Y106" i="11"/>
  <c r="Y112" i="11"/>
  <c r="Y118" i="11"/>
  <c r="Y124" i="11"/>
  <c r="AA124" i="11" s="1"/>
  <c r="Y105" i="11"/>
  <c r="Y117" i="11"/>
  <c r="AA117" i="11" s="1"/>
  <c r="Y123" i="11"/>
  <c r="Y111" i="11"/>
  <c r="W110" i="11"/>
  <c r="Z110" i="11" s="1"/>
  <c r="W116" i="11"/>
  <c r="Z116" i="11" s="1"/>
  <c r="W122" i="11"/>
  <c r="Z122" i="11" s="1"/>
  <c r="Y104" i="11"/>
  <c r="AA104" i="11" s="1"/>
  <c r="Y110" i="11"/>
  <c r="Y116" i="11"/>
  <c r="Y122" i="11"/>
  <c r="Y103" i="11"/>
  <c r="AA103" i="11" s="1"/>
  <c r="Y109" i="11"/>
  <c r="Y115" i="11"/>
  <c r="Y121" i="11"/>
  <c r="X101" i="11"/>
  <c r="Y101" i="11" s="1"/>
  <c r="Y102" i="11"/>
  <c r="AA102" i="11" s="1"/>
  <c r="Y120" i="11"/>
  <c r="W107" i="11"/>
  <c r="Z107" i="11" s="1"/>
  <c r="W113" i="11"/>
  <c r="Z113" i="11" s="1"/>
  <c r="W119" i="11"/>
  <c r="Z119" i="11" s="1"/>
  <c r="Y107" i="11"/>
  <c r="Y113" i="11"/>
  <c r="Y119" i="11"/>
  <c r="Y108" i="11"/>
  <c r="AA108" i="11" s="1"/>
  <c r="W106" i="11"/>
  <c r="Z106" i="11" s="1"/>
  <c r="W112" i="11"/>
  <c r="Z112" i="11" s="1"/>
  <c r="W118" i="11"/>
  <c r="Z118" i="11" s="1"/>
  <c r="Z41" i="11"/>
  <c r="W42" i="11"/>
  <c r="Z42" i="11" s="1"/>
  <c r="W43" i="11"/>
  <c r="Z43" i="11" s="1"/>
  <c r="W44" i="11"/>
  <c r="Z44" i="11" s="1"/>
  <c r="W94" i="11"/>
  <c r="Z94" i="11" s="1"/>
  <c r="W89" i="11"/>
  <c r="Z89" i="11" s="1"/>
  <c r="L71" i="11"/>
  <c r="W71" i="11" s="1"/>
  <c r="Z71" i="11" s="1"/>
  <c r="W86" i="11"/>
  <c r="Z86" i="11" s="1"/>
  <c r="W87" i="11"/>
  <c r="Z87" i="11" s="1"/>
  <c r="W84" i="11"/>
  <c r="Z84" i="11" s="1"/>
  <c r="W83" i="11"/>
  <c r="Z83" i="11" s="1"/>
  <c r="W80" i="11"/>
  <c r="Z80" i="11" s="1"/>
  <c r="W81" i="11"/>
  <c r="Z81" i="11" s="1"/>
  <c r="W78" i="11"/>
  <c r="Z78" i="11" s="1"/>
  <c r="AA78" i="11" s="1"/>
  <c r="W77" i="11"/>
  <c r="Z77" i="11" s="1"/>
  <c r="W74" i="11"/>
  <c r="Z74" i="11" s="1"/>
  <c r="W75" i="11"/>
  <c r="Z75" i="11" s="1"/>
  <c r="W72" i="11"/>
  <c r="Z72" i="11" s="1"/>
  <c r="W92" i="11"/>
  <c r="Z92" i="11" s="1"/>
  <c r="W93" i="11"/>
  <c r="Z93" i="11" s="1"/>
  <c r="W90" i="11"/>
  <c r="Z90" i="11" s="1"/>
  <c r="AA92" i="11"/>
  <c r="AA93" i="11"/>
  <c r="AA89" i="11"/>
  <c r="Y76" i="11"/>
  <c r="Y82" i="11"/>
  <c r="Y88" i="11"/>
  <c r="Y94" i="11"/>
  <c r="AA94" i="11" s="1"/>
  <c r="Y93" i="11"/>
  <c r="Y74" i="11"/>
  <c r="Y80" i="11"/>
  <c r="Y86" i="11"/>
  <c r="AA86" i="11" s="1"/>
  <c r="Y92" i="11"/>
  <c r="W73" i="11"/>
  <c r="Z73" i="11" s="1"/>
  <c r="W79" i="11"/>
  <c r="Z79" i="11" s="1"/>
  <c r="W85" i="11"/>
  <c r="Z85" i="11" s="1"/>
  <c r="W91" i="11"/>
  <c r="Z91" i="11" s="1"/>
  <c r="AA91" i="11" s="1"/>
  <c r="Y75" i="11"/>
  <c r="AA75" i="11" s="1"/>
  <c r="Y81" i="11"/>
  <c r="Y87" i="11"/>
  <c r="AA87" i="11" s="1"/>
  <c r="Y73" i="11"/>
  <c r="Y79" i="11"/>
  <c r="Y85" i="11"/>
  <c r="Y91" i="11"/>
  <c r="X71" i="11"/>
  <c r="Y71" i="11" s="1"/>
  <c r="Y72" i="11"/>
  <c r="AA72" i="11" s="1"/>
  <c r="Y78" i="11"/>
  <c r="Y84" i="11"/>
  <c r="AA84" i="11" s="1"/>
  <c r="Y90" i="11"/>
  <c r="AA90" i="11" s="1"/>
  <c r="Y77" i="11"/>
  <c r="Y83" i="11"/>
  <c r="W76" i="11"/>
  <c r="Z76" i="11" s="1"/>
  <c r="W82" i="11"/>
  <c r="Z82" i="11" s="1"/>
  <c r="AA82" i="11" s="1"/>
  <c r="W88" i="11"/>
  <c r="Z88" i="11" s="1"/>
  <c r="AA88" i="11" s="1"/>
  <c r="AA51" i="11"/>
  <c r="AA61" i="11"/>
  <c r="Y46" i="11"/>
  <c r="AA46" i="11" s="1"/>
  <c r="Y52" i="11"/>
  <c r="AA52" i="11" s="1"/>
  <c r="Y58" i="11"/>
  <c r="AA58" i="11" s="1"/>
  <c r="Y64" i="11"/>
  <c r="AA64" i="11" s="1"/>
  <c r="W63" i="11"/>
  <c r="Z63" i="11" s="1"/>
  <c r="W57" i="11"/>
  <c r="Z57" i="11" s="1"/>
  <c r="Y45" i="11"/>
  <c r="Y51" i="11"/>
  <c r="Y57" i="11"/>
  <c r="Y63" i="11"/>
  <c r="W62" i="11"/>
  <c r="Z62" i="11" s="1"/>
  <c r="W56" i="11"/>
  <c r="Z56" i="11" s="1"/>
  <c r="Y44" i="11"/>
  <c r="AA44" i="11" s="1"/>
  <c r="Y50" i="11"/>
  <c r="AA50" i="11" s="1"/>
  <c r="Y56" i="11"/>
  <c r="Y62" i="11"/>
  <c r="Y43" i="11"/>
  <c r="Y49" i="11"/>
  <c r="Y55" i="11"/>
  <c r="Y61" i="11"/>
  <c r="W60" i="11"/>
  <c r="Z60" i="11" s="1"/>
  <c r="X41" i="11"/>
  <c r="Y41" i="11" s="1"/>
  <c r="Y42" i="11"/>
  <c r="Y48" i="11"/>
  <c r="AA48" i="11" s="1"/>
  <c r="Y54" i="11"/>
  <c r="Y60" i="11"/>
  <c r="W59" i="11"/>
  <c r="Z59" i="11" s="1"/>
  <c r="AA59" i="11" s="1"/>
  <c r="Y47" i="11"/>
  <c r="AA47" i="11" s="1"/>
  <c r="Y53" i="11"/>
  <c r="AA49" i="11" l="1"/>
  <c r="AA53" i="11"/>
  <c r="AA54" i="11"/>
  <c r="AD54" i="11" s="1"/>
  <c r="AA43" i="11"/>
  <c r="AB43" i="11" s="1"/>
  <c r="AA42" i="11"/>
  <c r="AD42" i="11" s="1"/>
  <c r="AA55" i="11"/>
  <c r="AD214" i="11"/>
  <c r="AB214" i="11"/>
  <c r="AA191" i="11"/>
  <c r="AA200" i="11"/>
  <c r="AB200" i="11" s="1"/>
  <c r="AA203" i="11"/>
  <c r="AA194" i="11"/>
  <c r="AB194" i="11" s="1"/>
  <c r="AA197" i="11"/>
  <c r="AD197" i="11" s="1"/>
  <c r="AA211" i="11"/>
  <c r="AD211" i="11" s="1"/>
  <c r="AB207" i="11"/>
  <c r="AA192" i="11"/>
  <c r="AD192" i="11" s="1"/>
  <c r="AA205" i="11"/>
  <c r="AD205" i="11" s="1"/>
  <c r="AA183" i="11"/>
  <c r="AA177" i="11"/>
  <c r="AA169" i="11"/>
  <c r="AA161" i="11"/>
  <c r="AA179" i="11"/>
  <c r="AD179" i="11" s="1"/>
  <c r="AA171" i="11"/>
  <c r="AA173" i="11"/>
  <c r="AA148" i="11"/>
  <c r="AA138" i="11"/>
  <c r="AA132" i="11"/>
  <c r="AD132" i="11" s="1"/>
  <c r="AA152" i="11"/>
  <c r="AB152" i="11" s="1"/>
  <c r="AA142" i="11"/>
  <c r="AA140" i="11"/>
  <c r="AA131" i="11"/>
  <c r="AD131" i="11" s="1"/>
  <c r="AA147" i="11"/>
  <c r="AD147" i="11" s="1"/>
  <c r="AA136" i="11"/>
  <c r="AD136" i="11" s="1"/>
  <c r="AA144" i="11"/>
  <c r="AA134" i="11"/>
  <c r="AB134" i="11" s="1"/>
  <c r="AB203" i="11"/>
  <c r="AD203" i="11"/>
  <c r="AB211" i="11"/>
  <c r="AB205" i="11"/>
  <c r="AD200" i="11"/>
  <c r="AH213" i="11"/>
  <c r="AG213" i="11"/>
  <c r="AI213" i="11" s="1"/>
  <c r="AJ213" i="11" s="1"/>
  <c r="AA204" i="11"/>
  <c r="AA193" i="11"/>
  <c r="AD208" i="11"/>
  <c r="AB208" i="11"/>
  <c r="AB198" i="11"/>
  <c r="AD198" i="11"/>
  <c r="AH195" i="11"/>
  <c r="AG195" i="11"/>
  <c r="AI195" i="11" s="1"/>
  <c r="AJ195" i="11" s="1"/>
  <c r="AD194" i="11"/>
  <c r="AA199" i="11"/>
  <c r="AD202" i="11"/>
  <c r="AB202" i="11"/>
  <c r="AA210" i="11"/>
  <c r="AD196" i="11"/>
  <c r="AB196" i="11"/>
  <c r="AB191" i="11"/>
  <c r="AD191" i="11"/>
  <c r="AH201" i="11"/>
  <c r="AG201" i="11"/>
  <c r="AH207" i="11"/>
  <c r="AG207" i="11"/>
  <c r="AA212" i="11"/>
  <c r="AB209" i="11"/>
  <c r="AD209" i="11"/>
  <c r="AA206" i="11"/>
  <c r="AH214" i="11"/>
  <c r="AG214" i="11"/>
  <c r="AD184" i="11"/>
  <c r="AB184" i="11"/>
  <c r="AB178" i="11"/>
  <c r="AD178" i="11"/>
  <c r="AD161" i="11"/>
  <c r="AB161" i="11"/>
  <c r="AA167" i="11"/>
  <c r="AD183" i="11"/>
  <c r="AB183" i="11"/>
  <c r="AD169" i="11"/>
  <c r="AB169" i="11"/>
  <c r="AA176" i="11"/>
  <c r="AD175" i="11"/>
  <c r="AB175" i="11"/>
  <c r="AA170" i="11"/>
  <c r="AD172" i="11"/>
  <c r="AB172" i="11"/>
  <c r="AB166" i="11"/>
  <c r="AD166" i="11"/>
  <c r="AD163" i="11"/>
  <c r="AB163" i="11"/>
  <c r="AD173" i="11"/>
  <c r="AB173" i="11"/>
  <c r="AD164" i="11"/>
  <c r="AB164" i="11"/>
  <c r="AA180" i="11"/>
  <c r="AD177" i="11"/>
  <c r="AB177" i="11"/>
  <c r="AD171" i="11"/>
  <c r="AB171" i="11"/>
  <c r="AA165" i="11"/>
  <c r="AA174" i="11"/>
  <c r="AA182" i="11"/>
  <c r="AB162" i="11"/>
  <c r="AD162" i="11"/>
  <c r="AD181" i="11"/>
  <c r="AB181" i="11"/>
  <c r="AA168" i="11"/>
  <c r="AD154" i="11"/>
  <c r="AB154" i="11"/>
  <c r="AD152" i="11"/>
  <c r="AD139" i="11"/>
  <c r="AB139" i="11"/>
  <c r="AD141" i="11"/>
  <c r="AB141" i="11"/>
  <c r="AD133" i="11"/>
  <c r="AB133" i="11"/>
  <c r="AD135" i="11"/>
  <c r="AB135" i="11"/>
  <c r="AD149" i="11"/>
  <c r="AB149" i="11"/>
  <c r="AB132" i="11"/>
  <c r="AB138" i="11"/>
  <c r="AD138" i="11"/>
  <c r="AD140" i="11"/>
  <c r="AB140" i="11"/>
  <c r="AD143" i="11"/>
  <c r="AB143" i="11"/>
  <c r="AD137" i="11"/>
  <c r="AB137" i="11"/>
  <c r="AD145" i="11"/>
  <c r="AB145" i="11"/>
  <c r="AD148" i="11"/>
  <c r="AB148" i="11"/>
  <c r="AD153" i="11"/>
  <c r="AB153" i="11"/>
  <c r="AD142" i="11"/>
  <c r="AB142" i="11"/>
  <c r="AB144" i="11"/>
  <c r="AD144" i="11"/>
  <c r="AD134" i="11"/>
  <c r="AD151" i="11"/>
  <c r="AB151" i="11"/>
  <c r="AA150" i="11"/>
  <c r="AA146" i="11"/>
  <c r="AA110" i="11"/>
  <c r="AA118" i="11"/>
  <c r="AA101" i="11"/>
  <c r="AA112" i="11"/>
  <c r="AA121" i="11"/>
  <c r="AD121" i="11" s="1"/>
  <c r="AA106" i="11"/>
  <c r="AD106" i="11" s="1"/>
  <c r="AA115" i="11"/>
  <c r="AA105" i="11"/>
  <c r="AD105" i="11" s="1"/>
  <c r="AD115" i="11"/>
  <c r="AB115" i="11"/>
  <c r="AB108" i="11"/>
  <c r="AD108" i="11"/>
  <c r="AD124" i="11"/>
  <c r="AB124" i="11"/>
  <c r="AD104" i="11"/>
  <c r="AB104" i="11"/>
  <c r="AD117" i="11"/>
  <c r="AB117" i="11"/>
  <c r="AB102" i="11"/>
  <c r="AD102" i="11"/>
  <c r="AD101" i="11"/>
  <c r="AB101" i="11"/>
  <c r="AD103" i="11"/>
  <c r="AB103" i="11"/>
  <c r="AD118" i="11"/>
  <c r="AB118" i="11"/>
  <c r="AD112" i="11"/>
  <c r="AB112" i="11"/>
  <c r="AD110" i="11"/>
  <c r="AB110" i="11"/>
  <c r="AD109" i="11"/>
  <c r="AB109" i="11"/>
  <c r="AA119" i="11"/>
  <c r="AA113" i="11"/>
  <c r="AB114" i="11"/>
  <c r="AD114" i="11"/>
  <c r="AB120" i="11"/>
  <c r="AD120" i="11"/>
  <c r="AA107" i="11"/>
  <c r="AA122" i="11"/>
  <c r="AD111" i="11"/>
  <c r="AB111" i="11"/>
  <c r="AD123" i="11"/>
  <c r="AB123" i="11"/>
  <c r="AA116" i="11"/>
  <c r="AA57" i="11"/>
  <c r="AB57" i="11" s="1"/>
  <c r="AA63" i="11"/>
  <c r="AD63" i="11" s="1"/>
  <c r="AA41" i="11"/>
  <c r="AB41" i="11" s="1"/>
  <c r="AA71" i="11"/>
  <c r="AD71" i="11" s="1"/>
  <c r="AA80" i="11"/>
  <c r="AA74" i="11"/>
  <c r="AA76" i="11"/>
  <c r="AA83" i="11"/>
  <c r="AB83" i="11" s="1"/>
  <c r="AA81" i="11"/>
  <c r="AA77" i="11"/>
  <c r="AD77" i="11" s="1"/>
  <c r="AD87" i="11"/>
  <c r="AB87" i="11"/>
  <c r="AD81" i="11"/>
  <c r="AB81" i="11"/>
  <c r="AB74" i="11"/>
  <c r="AD74" i="11"/>
  <c r="AD94" i="11"/>
  <c r="AB94" i="11"/>
  <c r="AD83" i="11"/>
  <c r="AB75" i="11"/>
  <c r="AD75" i="11"/>
  <c r="AB90" i="11"/>
  <c r="AD90" i="11"/>
  <c r="AB84" i="11"/>
  <c r="AD84" i="11"/>
  <c r="AB80" i="11"/>
  <c r="AD80" i="11"/>
  <c r="AB72" i="11"/>
  <c r="AD72" i="11"/>
  <c r="AD76" i="11"/>
  <c r="AB76" i="11"/>
  <c r="AD89" i="11"/>
  <c r="AB89" i="11"/>
  <c r="AD82" i="11"/>
  <c r="AB82" i="11"/>
  <c r="AD91" i="11"/>
  <c r="AB91" i="11"/>
  <c r="AD88" i="11"/>
  <c r="AB88" i="11"/>
  <c r="AB78" i="11"/>
  <c r="AD78" i="11"/>
  <c r="AA73" i="11"/>
  <c r="AD93" i="11"/>
  <c r="AB93" i="11"/>
  <c r="AD92" i="11"/>
  <c r="AB92" i="11"/>
  <c r="AA85" i="11"/>
  <c r="AA79" i="11"/>
  <c r="AD86" i="11"/>
  <c r="AB86" i="11"/>
  <c r="AB49" i="11"/>
  <c r="AD49" i="11"/>
  <c r="AD47" i="11"/>
  <c r="AB47" i="11"/>
  <c r="AD64" i="11"/>
  <c r="AB64" i="11"/>
  <c r="AD58" i="11"/>
  <c r="AB58" i="11"/>
  <c r="AD50" i="11"/>
  <c r="AB50" i="11"/>
  <c r="AB54" i="11"/>
  <c r="AD53" i="11"/>
  <c r="AB53" i="11"/>
  <c r="AD52" i="11"/>
  <c r="AB52" i="11"/>
  <c r="AB48" i="11"/>
  <c r="AD48" i="11"/>
  <c r="AB55" i="11"/>
  <c r="AD55" i="11"/>
  <c r="AD57" i="11"/>
  <c r="AD46" i="11"/>
  <c r="AB46" i="11"/>
  <c r="AD61" i="11"/>
  <c r="AB61" i="11"/>
  <c r="AA62" i="11"/>
  <c r="AD45" i="11"/>
  <c r="AB45" i="11"/>
  <c r="AD44" i="11"/>
  <c r="AB44" i="11"/>
  <c r="AD59" i="11"/>
  <c r="AB59" i="11"/>
  <c r="AA56" i="11"/>
  <c r="AD51" i="11"/>
  <c r="AB51" i="11"/>
  <c r="AA60" i="11"/>
  <c r="AI214" i="11" l="1"/>
  <c r="AJ214" i="11" s="1"/>
  <c r="AI207" i="11"/>
  <c r="AJ207" i="11" s="1"/>
  <c r="AD41" i="11"/>
  <c r="AB63" i="11"/>
  <c r="AD43" i="11"/>
  <c r="AH43" i="11" s="1"/>
  <c r="AB42" i="11"/>
  <c r="AB192" i="11"/>
  <c r="AB197" i="11"/>
  <c r="AI201" i="11"/>
  <c r="AJ201" i="11" s="1"/>
  <c r="AB179" i="11"/>
  <c r="AB147" i="11"/>
  <c r="AB136" i="11"/>
  <c r="AB131" i="11"/>
  <c r="AG194" i="11"/>
  <c r="AH194" i="11"/>
  <c r="AD199" i="11"/>
  <c r="AB199" i="11"/>
  <c r="AH197" i="11"/>
  <c r="AG197" i="11"/>
  <c r="AG205" i="11"/>
  <c r="AH205" i="11"/>
  <c r="AD206" i="11"/>
  <c r="AB206" i="11"/>
  <c r="AH198" i="11"/>
  <c r="AG198" i="11"/>
  <c r="AD193" i="11"/>
  <c r="AB193" i="11"/>
  <c r="AG200" i="11"/>
  <c r="AH200" i="11"/>
  <c r="AG211" i="11"/>
  <c r="AH211" i="11"/>
  <c r="AH202" i="11"/>
  <c r="AG202" i="11"/>
  <c r="AH191" i="11"/>
  <c r="AG191" i="11"/>
  <c r="AH196" i="11"/>
  <c r="AG196" i="11"/>
  <c r="AB210" i="11"/>
  <c r="AD210" i="11"/>
  <c r="AH203" i="11"/>
  <c r="AG203" i="11"/>
  <c r="AB204" i="11"/>
  <c r="AD204" i="11"/>
  <c r="AH209" i="11"/>
  <c r="AG209" i="11"/>
  <c r="AD212" i="11"/>
  <c r="AB212" i="11"/>
  <c r="AH192" i="11"/>
  <c r="AG192" i="11"/>
  <c r="AH208" i="11"/>
  <c r="AG208" i="11"/>
  <c r="AG181" i="11"/>
  <c r="AH181" i="11"/>
  <c r="AB174" i="11"/>
  <c r="AD174" i="11"/>
  <c r="AH166" i="11"/>
  <c r="AG166" i="11"/>
  <c r="AH171" i="11"/>
  <c r="AG171" i="11"/>
  <c r="AI171" i="11" s="1"/>
  <c r="AJ171" i="11" s="1"/>
  <c r="AG161" i="11"/>
  <c r="AH161" i="11"/>
  <c r="AH162" i="11"/>
  <c r="AG162" i="11"/>
  <c r="AD182" i="11"/>
  <c r="AB182" i="11"/>
  <c r="AD167" i="11"/>
  <c r="AB167" i="11"/>
  <c r="AB168" i="11"/>
  <c r="AD168" i="11"/>
  <c r="AH172" i="11"/>
  <c r="AG172" i="11"/>
  <c r="AI172" i="11" s="1"/>
  <c r="AJ172" i="11" s="1"/>
  <c r="AH178" i="11"/>
  <c r="AG178" i="11"/>
  <c r="AH177" i="11"/>
  <c r="AG177" i="11"/>
  <c r="AD170" i="11"/>
  <c r="AB170" i="11"/>
  <c r="AH164" i="11"/>
  <c r="AG164" i="11"/>
  <c r="AH169" i="11"/>
  <c r="AG169" i="11"/>
  <c r="AH183" i="11"/>
  <c r="AG183" i="11"/>
  <c r="AD165" i="11"/>
  <c r="AB165" i="11"/>
  <c r="AG179" i="11"/>
  <c r="AH179" i="11"/>
  <c r="AB180" i="11"/>
  <c r="AD180" i="11"/>
  <c r="AD176" i="11"/>
  <c r="AB176" i="11"/>
  <c r="AG173" i="11"/>
  <c r="AH173" i="11"/>
  <c r="AH163" i="11"/>
  <c r="AG163" i="11"/>
  <c r="AH175" i="11"/>
  <c r="AG175" i="11"/>
  <c r="AH184" i="11"/>
  <c r="AG184" i="11"/>
  <c r="AH135" i="11"/>
  <c r="AG135" i="11"/>
  <c r="AH138" i="11"/>
  <c r="AG138" i="11"/>
  <c r="AH142" i="11"/>
  <c r="AG142" i="11"/>
  <c r="AD146" i="11"/>
  <c r="AB146" i="11"/>
  <c r="AH131" i="11"/>
  <c r="AG131" i="11"/>
  <c r="AH151" i="11"/>
  <c r="AG151" i="11"/>
  <c r="AH139" i="11"/>
  <c r="AG139" i="11"/>
  <c r="AG143" i="11"/>
  <c r="AH143" i="11"/>
  <c r="AB150" i="11"/>
  <c r="AD150" i="11"/>
  <c r="AH132" i="11"/>
  <c r="AG132" i="11"/>
  <c r="AH147" i="11"/>
  <c r="AG147" i="11"/>
  <c r="AH153" i="11"/>
  <c r="AG153" i="11"/>
  <c r="AH134" i="11"/>
  <c r="AG134" i="11"/>
  <c r="AH152" i="11"/>
  <c r="AG152" i="11"/>
  <c r="AH140" i="11"/>
  <c r="AG140" i="11"/>
  <c r="AH141" i="11"/>
  <c r="AG141" i="11"/>
  <c r="AH144" i="11"/>
  <c r="AG144" i="11"/>
  <c r="AH133" i="11"/>
  <c r="AG133" i="11"/>
  <c r="AH136" i="11"/>
  <c r="AG136" i="11"/>
  <c r="AH148" i="11"/>
  <c r="AG148" i="11"/>
  <c r="AH145" i="11"/>
  <c r="AG145" i="11"/>
  <c r="AG137" i="11"/>
  <c r="AH137" i="11"/>
  <c r="AG149" i="11"/>
  <c r="AH149" i="11"/>
  <c r="AH154" i="11"/>
  <c r="AG154" i="11"/>
  <c r="AB105" i="11"/>
  <c r="AB106" i="11"/>
  <c r="AB121" i="11"/>
  <c r="AH120" i="11"/>
  <c r="AG120" i="11"/>
  <c r="AH114" i="11"/>
  <c r="AG114" i="11"/>
  <c r="AG112" i="11"/>
  <c r="AH112" i="11"/>
  <c r="AH105" i="11"/>
  <c r="AG105" i="11"/>
  <c r="AH117" i="11"/>
  <c r="AG117" i="11"/>
  <c r="AG106" i="11"/>
  <c r="AH106" i="11"/>
  <c r="AG118" i="11"/>
  <c r="AH118" i="11"/>
  <c r="AD113" i="11"/>
  <c r="AB113" i="11"/>
  <c r="AH108" i="11"/>
  <c r="AG108" i="11"/>
  <c r="AD119" i="11"/>
  <c r="AB119" i="11"/>
  <c r="AH104" i="11"/>
  <c r="AG104" i="11"/>
  <c r="AH123" i="11"/>
  <c r="AG123" i="11"/>
  <c r="AH121" i="11"/>
  <c r="AG121" i="11"/>
  <c r="AI121" i="11" s="1"/>
  <c r="AJ121" i="11" s="1"/>
  <c r="AH109" i="11"/>
  <c r="AG109" i="11"/>
  <c r="AD122" i="11"/>
  <c r="AB122" i="11"/>
  <c r="AH102" i="11"/>
  <c r="AG102" i="11"/>
  <c r="AD116" i="11"/>
  <c r="AB116" i="11"/>
  <c r="AH103" i="11"/>
  <c r="AG103" i="11"/>
  <c r="AH124" i="11"/>
  <c r="AG124" i="11"/>
  <c r="AI124" i="11" s="1"/>
  <c r="AJ124" i="11" s="1"/>
  <c r="AH111" i="11"/>
  <c r="AG111" i="11"/>
  <c r="AH101" i="11"/>
  <c r="AG101" i="11"/>
  <c r="AD107" i="11"/>
  <c r="AB107" i="11"/>
  <c r="AH110" i="11"/>
  <c r="AG110" i="11"/>
  <c r="AH115" i="11"/>
  <c r="AG115" i="11"/>
  <c r="AB71" i="11"/>
  <c r="AB77" i="11"/>
  <c r="AH78" i="11"/>
  <c r="AG78" i="11"/>
  <c r="AH72" i="11"/>
  <c r="AG72" i="11"/>
  <c r="AI72" i="11" s="1"/>
  <c r="AJ72" i="11" s="1"/>
  <c r="AH80" i="11"/>
  <c r="AG80" i="11"/>
  <c r="AI80" i="11" s="1"/>
  <c r="AJ80" i="11" s="1"/>
  <c r="AG86" i="11"/>
  <c r="AH86" i="11"/>
  <c r="AH91" i="11"/>
  <c r="AG91" i="11"/>
  <c r="AH94" i="11"/>
  <c r="AG94" i="11"/>
  <c r="AD85" i="11"/>
  <c r="AB85" i="11"/>
  <c r="AH84" i="11"/>
  <c r="AG84" i="11"/>
  <c r="AI84" i="11" s="1"/>
  <c r="AJ84" i="11" s="1"/>
  <c r="AH82" i="11"/>
  <c r="AG82" i="11"/>
  <c r="AI82" i="11" s="1"/>
  <c r="AJ82" i="11" s="1"/>
  <c r="AH90" i="11"/>
  <c r="AG90" i="11"/>
  <c r="AH93" i="11"/>
  <c r="AG93" i="11"/>
  <c r="AG77" i="11"/>
  <c r="AH77" i="11"/>
  <c r="AH83" i="11"/>
  <c r="AG83" i="11"/>
  <c r="AH88" i="11"/>
  <c r="AG88" i="11"/>
  <c r="AI88" i="11" s="1"/>
  <c r="AJ88" i="11" s="1"/>
  <c r="AD79" i="11"/>
  <c r="AB79" i="11"/>
  <c r="AH71" i="11"/>
  <c r="AG71" i="11"/>
  <c r="AH74" i="11"/>
  <c r="AG74" i="11"/>
  <c r="AH92" i="11"/>
  <c r="AG92" i="11"/>
  <c r="AH89" i="11"/>
  <c r="AG89" i="11"/>
  <c r="AH81" i="11"/>
  <c r="AG81" i="11"/>
  <c r="AI81" i="11" s="1"/>
  <c r="AJ81" i="11" s="1"/>
  <c r="AH75" i="11"/>
  <c r="AG75" i="11"/>
  <c r="AD73" i="11"/>
  <c r="AB73" i="11"/>
  <c r="AH76" i="11"/>
  <c r="AG76" i="11"/>
  <c r="AH87" i="11"/>
  <c r="AG87" i="11"/>
  <c r="AH55" i="11"/>
  <c r="AG55" i="11"/>
  <c r="AH50" i="11"/>
  <c r="AG50" i="11"/>
  <c r="AH48" i="11"/>
  <c r="AG48" i="11"/>
  <c r="AH61" i="11"/>
  <c r="AG61" i="11"/>
  <c r="AG51" i="11"/>
  <c r="AH51" i="11"/>
  <c r="AH52" i="11"/>
  <c r="AG52" i="11"/>
  <c r="AD56" i="11"/>
  <c r="AB56" i="11"/>
  <c r="AH63" i="11"/>
  <c r="AG63" i="11"/>
  <c r="AH47" i="11"/>
  <c r="AG47" i="11"/>
  <c r="AG43" i="11"/>
  <c r="AH44" i="11"/>
  <c r="AG44" i="11"/>
  <c r="AH54" i="11"/>
  <c r="AG54" i="11"/>
  <c r="AH49" i="11"/>
  <c r="AG49" i="11"/>
  <c r="AG45" i="11"/>
  <c r="AH45" i="11"/>
  <c r="AD62" i="11"/>
  <c r="AB62" i="11"/>
  <c r="AB60" i="11"/>
  <c r="AD60" i="11"/>
  <c r="AH58" i="11"/>
  <c r="AG58" i="11"/>
  <c r="AH41" i="11"/>
  <c r="AG41" i="11"/>
  <c r="AH64" i="11"/>
  <c r="AG64" i="11"/>
  <c r="AH53" i="11"/>
  <c r="AG53" i="11"/>
  <c r="AH59" i="11"/>
  <c r="AG59" i="11"/>
  <c r="AH42" i="11"/>
  <c r="AG42" i="11"/>
  <c r="AH46" i="11"/>
  <c r="AG46" i="11"/>
  <c r="AG57" i="11"/>
  <c r="AH57" i="11"/>
  <c r="O12" i="11"/>
  <c r="O13" i="11"/>
  <c r="N13" i="11" s="1"/>
  <c r="O14" i="11"/>
  <c r="N14" i="11" s="1"/>
  <c r="O15" i="11"/>
  <c r="N15" i="11" s="1"/>
  <c r="O16" i="11"/>
  <c r="N16" i="11" s="1"/>
  <c r="O17" i="11"/>
  <c r="N17" i="11" s="1"/>
  <c r="O18" i="11"/>
  <c r="N18" i="11" s="1"/>
  <c r="O19" i="11"/>
  <c r="N19" i="11" s="1"/>
  <c r="O20" i="11"/>
  <c r="O21" i="11"/>
  <c r="N21" i="11" s="1"/>
  <c r="O22" i="11"/>
  <c r="N22" i="11" s="1"/>
  <c r="O23" i="11"/>
  <c r="O24" i="11"/>
  <c r="N24" i="11" s="1"/>
  <c r="O25" i="11"/>
  <c r="N25" i="11" s="1"/>
  <c r="O26" i="11"/>
  <c r="N26" i="11" s="1"/>
  <c r="O27" i="11"/>
  <c r="N27" i="11" s="1"/>
  <c r="O28" i="11"/>
  <c r="N28" i="11" s="1"/>
  <c r="O29" i="11"/>
  <c r="N29" i="11" s="1"/>
  <c r="O30" i="11"/>
  <c r="N30" i="11" s="1"/>
  <c r="O31" i="11"/>
  <c r="N31" i="11" s="1"/>
  <c r="O32" i="11"/>
  <c r="N32" i="11" s="1"/>
  <c r="O33" i="11"/>
  <c r="N33" i="11" s="1"/>
  <c r="O34" i="11"/>
  <c r="N34" i="11" s="1"/>
  <c r="O11" i="11"/>
  <c r="N11" i="11" s="1"/>
  <c r="X11" i="11" a="1"/>
  <c r="X11" i="11" s="1"/>
  <c r="M11" i="11" a="1"/>
  <c r="M11" i="11" s="1"/>
  <c r="L11" i="11" a="1"/>
  <c r="L11" i="11" s="1"/>
  <c r="W11" i="11" s="1"/>
  <c r="K11" i="11" a="1"/>
  <c r="K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F34" i="11"/>
  <c r="AE34" i="11"/>
  <c r="AC34" i="11"/>
  <c r="U34" i="11"/>
  <c r="T34" i="11"/>
  <c r="R34" i="11"/>
  <c r="Q34" i="11"/>
  <c r="P34" i="11"/>
  <c r="J34" i="11"/>
  <c r="AF33" i="11"/>
  <c r="AE33" i="11"/>
  <c r="AC33" i="11"/>
  <c r="U33" i="11"/>
  <c r="T33" i="11"/>
  <c r="R33" i="11"/>
  <c r="Q33" i="11"/>
  <c r="P33" i="11"/>
  <c r="J33" i="11"/>
  <c r="AF32" i="11"/>
  <c r="AE32" i="11"/>
  <c r="AC32" i="11"/>
  <c r="U32" i="11"/>
  <c r="T32" i="11"/>
  <c r="R32" i="11"/>
  <c r="Q32" i="11"/>
  <c r="P32" i="11"/>
  <c r="J32" i="11"/>
  <c r="AF31" i="11"/>
  <c r="AE31" i="11"/>
  <c r="AC31" i="11"/>
  <c r="U31" i="11"/>
  <c r="T31" i="11"/>
  <c r="R31" i="11"/>
  <c r="Q31" i="11"/>
  <c r="P31" i="11"/>
  <c r="J31" i="11"/>
  <c r="AF30" i="11"/>
  <c r="AE30" i="11"/>
  <c r="AC30" i="11"/>
  <c r="U30" i="11"/>
  <c r="T30" i="11"/>
  <c r="R30" i="11"/>
  <c r="Q30" i="11"/>
  <c r="P30" i="11"/>
  <c r="J30" i="11"/>
  <c r="AF29" i="11"/>
  <c r="AE29" i="11"/>
  <c r="AC29" i="11"/>
  <c r="U29" i="11"/>
  <c r="T29" i="11"/>
  <c r="R29" i="11"/>
  <c r="Q29" i="11"/>
  <c r="P29" i="11"/>
  <c r="J29" i="11"/>
  <c r="AF28" i="11"/>
  <c r="AE28" i="11"/>
  <c r="AC28" i="11"/>
  <c r="U28" i="11"/>
  <c r="T28" i="11"/>
  <c r="R28" i="11"/>
  <c r="Q28" i="11"/>
  <c r="P28" i="11"/>
  <c r="J28" i="11"/>
  <c r="AF27" i="11"/>
  <c r="AE27" i="11"/>
  <c r="AC27" i="11"/>
  <c r="U27" i="11"/>
  <c r="T27" i="11"/>
  <c r="R27" i="11"/>
  <c r="Q27" i="11"/>
  <c r="P27" i="11"/>
  <c r="J27" i="11"/>
  <c r="AF26" i="11"/>
  <c r="AE26" i="11"/>
  <c r="AC26" i="11"/>
  <c r="U26" i="11"/>
  <c r="T26" i="11"/>
  <c r="R26" i="11"/>
  <c r="Q26" i="11"/>
  <c r="P26" i="11"/>
  <c r="J26" i="11"/>
  <c r="AF25" i="11"/>
  <c r="AE25" i="11"/>
  <c r="AC25" i="11"/>
  <c r="U25" i="11"/>
  <c r="T25" i="11"/>
  <c r="R25" i="11"/>
  <c r="Q25" i="11"/>
  <c r="P25" i="11"/>
  <c r="J25" i="11"/>
  <c r="AF24" i="11"/>
  <c r="AE24" i="11"/>
  <c r="AC24" i="11"/>
  <c r="U24" i="11"/>
  <c r="T24" i="11"/>
  <c r="R24" i="11"/>
  <c r="Q24" i="11"/>
  <c r="P24" i="11"/>
  <c r="J24" i="11"/>
  <c r="AF23" i="11"/>
  <c r="AE23" i="11"/>
  <c r="AC23" i="11"/>
  <c r="U23" i="11"/>
  <c r="T23" i="11"/>
  <c r="R23" i="11"/>
  <c r="Q23" i="11"/>
  <c r="P23" i="11"/>
  <c r="N23" i="11"/>
  <c r="J23" i="11"/>
  <c r="AF22" i="11"/>
  <c r="AE22" i="11"/>
  <c r="AC22" i="11"/>
  <c r="U22" i="11"/>
  <c r="T22" i="11"/>
  <c r="R22" i="11"/>
  <c r="Q22" i="11"/>
  <c r="P22" i="11"/>
  <c r="J22" i="11"/>
  <c r="AF21" i="11"/>
  <c r="AE21" i="11"/>
  <c r="AC21" i="11"/>
  <c r="U21" i="11"/>
  <c r="T21" i="11"/>
  <c r="R21" i="11"/>
  <c r="Q21" i="11"/>
  <c r="P21" i="11"/>
  <c r="J21" i="11"/>
  <c r="AF20" i="11"/>
  <c r="AE20" i="11"/>
  <c r="AC20" i="11"/>
  <c r="U20" i="11"/>
  <c r="T20" i="11"/>
  <c r="R20" i="11"/>
  <c r="Q20" i="11"/>
  <c r="P20" i="11"/>
  <c r="N20" i="11"/>
  <c r="J20" i="11"/>
  <c r="AF19" i="11"/>
  <c r="AE19" i="11"/>
  <c r="AC19" i="11"/>
  <c r="U19" i="11"/>
  <c r="T19" i="11"/>
  <c r="R19" i="11"/>
  <c r="Q19" i="11"/>
  <c r="P19" i="11"/>
  <c r="J19" i="11"/>
  <c r="AF18" i="11"/>
  <c r="AE18" i="11"/>
  <c r="AC18" i="11"/>
  <c r="U18" i="11"/>
  <c r="T18" i="11"/>
  <c r="R18" i="11"/>
  <c r="Q18" i="11"/>
  <c r="P18" i="11"/>
  <c r="J18" i="11"/>
  <c r="AF17" i="11"/>
  <c r="AE17" i="11"/>
  <c r="AC17" i="11"/>
  <c r="U17" i="11"/>
  <c r="T17" i="11"/>
  <c r="R17" i="11"/>
  <c r="Q17" i="11"/>
  <c r="P17" i="11"/>
  <c r="J17" i="11"/>
  <c r="AF16" i="11"/>
  <c r="AE16" i="11"/>
  <c r="AC16" i="11"/>
  <c r="U16" i="11"/>
  <c r="T16" i="11"/>
  <c r="R16" i="11"/>
  <c r="Q16" i="11"/>
  <c r="P16" i="11"/>
  <c r="J16" i="11"/>
  <c r="AF15" i="11"/>
  <c r="AE15" i="11"/>
  <c r="AC15" i="11"/>
  <c r="U15" i="11"/>
  <c r="T15" i="11"/>
  <c r="R15" i="11"/>
  <c r="Q15" i="11"/>
  <c r="P15" i="11"/>
  <c r="J15" i="11"/>
  <c r="AF14" i="11"/>
  <c r="AE14" i="11"/>
  <c r="AC14" i="11"/>
  <c r="U14" i="11"/>
  <c r="T14" i="11"/>
  <c r="R14" i="11"/>
  <c r="Q14" i="11"/>
  <c r="P14" i="11"/>
  <c r="J14" i="11"/>
  <c r="AF13" i="11"/>
  <c r="AE13" i="11"/>
  <c r="AC13" i="11"/>
  <c r="U13" i="11"/>
  <c r="T13" i="11"/>
  <c r="R13" i="11"/>
  <c r="Q13" i="11"/>
  <c r="P13" i="11"/>
  <c r="J13" i="11"/>
  <c r="AF12" i="11"/>
  <c r="AE12" i="11"/>
  <c r="AC12" i="11"/>
  <c r="U12" i="11"/>
  <c r="T12" i="11"/>
  <c r="R12" i="11"/>
  <c r="Q12" i="11"/>
  <c r="P12" i="11"/>
  <c r="N12" i="11"/>
  <c r="J12" i="11"/>
  <c r="AF11" i="11"/>
  <c r="AE11" i="11"/>
  <c r="AC11" i="11"/>
  <c r="U11" i="11"/>
  <c r="T11" i="11"/>
  <c r="R11" i="11"/>
  <c r="Q11" i="11"/>
  <c r="P11" i="11"/>
  <c r="J11" i="11"/>
  <c r="AQ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I59" i="11" l="1"/>
  <c r="AJ59" i="11" s="1"/>
  <c r="AI144" i="11"/>
  <c r="AJ144" i="11" s="1"/>
  <c r="AI147" i="11"/>
  <c r="AJ147" i="11" s="1"/>
  <c r="AI131" i="11"/>
  <c r="AJ131" i="11" s="1"/>
  <c r="AI175" i="11"/>
  <c r="AJ175" i="11" s="1"/>
  <c r="AI178" i="11"/>
  <c r="AJ178" i="11" s="1"/>
  <c r="AI145" i="11"/>
  <c r="AJ145" i="11" s="1"/>
  <c r="AI140" i="11"/>
  <c r="AJ140" i="11" s="1"/>
  <c r="AI142" i="11"/>
  <c r="AJ142" i="11" s="1"/>
  <c r="AI169" i="11"/>
  <c r="AJ169" i="11" s="1"/>
  <c r="AI166" i="11"/>
  <c r="AJ166" i="11" s="1"/>
  <c r="AI90" i="11"/>
  <c r="AJ90" i="11" s="1"/>
  <c r="AI184" i="11"/>
  <c r="AJ184" i="11" s="1"/>
  <c r="AI177" i="11"/>
  <c r="AJ177" i="11" s="1"/>
  <c r="AI162" i="11"/>
  <c r="AJ162" i="11" s="1"/>
  <c r="AI208" i="11"/>
  <c r="AJ208" i="11" s="1"/>
  <c r="AI101" i="11"/>
  <c r="AJ101" i="11" s="1"/>
  <c r="AI115" i="11"/>
  <c r="AJ115" i="11" s="1"/>
  <c r="AI103" i="11"/>
  <c r="AJ103" i="11" s="1"/>
  <c r="AI123" i="11"/>
  <c r="AJ123" i="11" s="1"/>
  <c r="AI120" i="11"/>
  <c r="AJ120" i="11" s="1"/>
  <c r="AI136" i="11"/>
  <c r="AJ136" i="11" s="1"/>
  <c r="AI134" i="11"/>
  <c r="AJ134" i="11" s="1"/>
  <c r="AI139" i="11"/>
  <c r="AJ139" i="11" s="1"/>
  <c r="AI135" i="11"/>
  <c r="AJ135" i="11" s="1"/>
  <c r="AI49" i="11"/>
  <c r="AJ49" i="11" s="1"/>
  <c r="AI55" i="11"/>
  <c r="AJ55" i="11" s="1"/>
  <c r="AI89" i="11"/>
  <c r="AJ89" i="11" s="1"/>
  <c r="AI83" i="11"/>
  <c r="AJ83" i="11" s="1"/>
  <c r="AI78" i="11"/>
  <c r="AJ78" i="11" s="1"/>
  <c r="AI53" i="11"/>
  <c r="AJ53" i="11" s="1"/>
  <c r="AI63" i="11"/>
  <c r="AJ63" i="11" s="1"/>
  <c r="AI64" i="11"/>
  <c r="AJ64" i="11" s="1"/>
  <c r="AI50" i="11"/>
  <c r="AJ50" i="11" s="1"/>
  <c r="AI192" i="11"/>
  <c r="AJ192" i="11" s="1"/>
  <c r="AI196" i="11"/>
  <c r="AJ196" i="11" s="1"/>
  <c r="AI198" i="11"/>
  <c r="AJ198" i="11" s="1"/>
  <c r="AI164" i="11"/>
  <c r="AJ164" i="11" s="1"/>
  <c r="AI148" i="11"/>
  <c r="AJ148" i="11" s="1"/>
  <c r="AI152" i="11"/>
  <c r="AJ152" i="11" s="1"/>
  <c r="AI138" i="11"/>
  <c r="AJ138" i="11" s="1"/>
  <c r="AI102" i="11"/>
  <c r="AJ102" i="11" s="1"/>
  <c r="AI76" i="11"/>
  <c r="AJ76" i="11" s="1"/>
  <c r="AI74" i="11"/>
  <c r="AJ74" i="11" s="1"/>
  <c r="AI93" i="11"/>
  <c r="AJ93" i="11" s="1"/>
  <c r="AI91" i="11"/>
  <c r="AJ91" i="11" s="1"/>
  <c r="AI75" i="11"/>
  <c r="AJ75" i="11" s="1"/>
  <c r="AI47" i="11"/>
  <c r="AJ47" i="11" s="1"/>
  <c r="AI48" i="11"/>
  <c r="AJ48" i="11" s="1"/>
  <c r="AI200" i="11"/>
  <c r="AJ200" i="11" s="1"/>
  <c r="AI205" i="11"/>
  <c r="AJ205" i="11" s="1"/>
  <c r="AI197" i="11"/>
  <c r="AJ197" i="11" s="1"/>
  <c r="AI141" i="11"/>
  <c r="AJ141" i="11" s="1"/>
  <c r="AI132" i="11"/>
  <c r="AJ132" i="11" s="1"/>
  <c r="AI191" i="11"/>
  <c r="AJ191" i="11" s="1"/>
  <c r="AH212" i="11"/>
  <c r="AG212" i="11"/>
  <c r="AG206" i="11"/>
  <c r="AH206" i="11"/>
  <c r="AI209" i="11"/>
  <c r="AJ209" i="11" s="1"/>
  <c r="AI202" i="11"/>
  <c r="AJ202" i="11" s="1"/>
  <c r="AH204" i="11"/>
  <c r="AG204" i="11"/>
  <c r="AI204" i="11" s="1"/>
  <c r="AJ204" i="11" s="1"/>
  <c r="AI211" i="11"/>
  <c r="AJ211" i="11" s="1"/>
  <c r="AI203" i="11"/>
  <c r="AJ203" i="11" s="1"/>
  <c r="AG199" i="11"/>
  <c r="AH199" i="11"/>
  <c r="AH210" i="11"/>
  <c r="AG210" i="11"/>
  <c r="AI210" i="11" s="1"/>
  <c r="AJ210" i="11" s="1"/>
  <c r="AG193" i="11"/>
  <c r="AH193" i="11"/>
  <c r="AI194" i="11"/>
  <c r="AJ194" i="11" s="1"/>
  <c r="AI179" i="11"/>
  <c r="AJ179" i="11" s="1"/>
  <c r="AH165" i="11"/>
  <c r="AG165" i="11"/>
  <c r="AI165" i="11" s="1"/>
  <c r="AJ165" i="11" s="1"/>
  <c r="AI161" i="11"/>
  <c r="AJ161" i="11" s="1"/>
  <c r="AI163" i="11"/>
  <c r="AJ163" i="11" s="1"/>
  <c r="AI183" i="11"/>
  <c r="AJ183" i="11" s="1"/>
  <c r="AH168" i="11"/>
  <c r="AG168" i="11"/>
  <c r="AI173" i="11"/>
  <c r="AJ173" i="11" s="1"/>
  <c r="AH174" i="11"/>
  <c r="AG174" i="11"/>
  <c r="AI174" i="11" s="1"/>
  <c r="AJ174" i="11" s="1"/>
  <c r="AH176" i="11"/>
  <c r="AG176" i="11"/>
  <c r="AH167" i="11"/>
  <c r="AG167" i="11"/>
  <c r="AI167" i="11" s="1"/>
  <c r="AJ167" i="11" s="1"/>
  <c r="AH180" i="11"/>
  <c r="AG180" i="11"/>
  <c r="AH170" i="11"/>
  <c r="AG170" i="11"/>
  <c r="AH182" i="11"/>
  <c r="AG182" i="11"/>
  <c r="AI182" i="11" s="1"/>
  <c r="AJ182" i="11" s="1"/>
  <c r="AI181" i="11"/>
  <c r="AJ181" i="11" s="1"/>
  <c r="AI154" i="11"/>
  <c r="AJ154" i="11" s="1"/>
  <c r="AI133" i="11"/>
  <c r="AJ133" i="11" s="1"/>
  <c r="AI153" i="11"/>
  <c r="AJ153" i="11" s="1"/>
  <c r="AI151" i="11"/>
  <c r="AJ151" i="11" s="1"/>
  <c r="AI149" i="11"/>
  <c r="AJ149" i="11" s="1"/>
  <c r="AH150" i="11"/>
  <c r="AG150" i="11"/>
  <c r="AI137" i="11"/>
  <c r="AJ137" i="11" s="1"/>
  <c r="AI143" i="11"/>
  <c r="AJ143" i="11" s="1"/>
  <c r="AH146" i="11"/>
  <c r="AG146" i="11"/>
  <c r="AI112" i="11"/>
  <c r="AJ112" i="11" s="1"/>
  <c r="AI110" i="11"/>
  <c r="AJ110" i="11" s="1"/>
  <c r="AI104" i="11"/>
  <c r="AJ104" i="11" s="1"/>
  <c r="AI117" i="11"/>
  <c r="AJ117" i="11" s="1"/>
  <c r="AI106" i="11"/>
  <c r="AJ106" i="11" s="1"/>
  <c r="AI105" i="11"/>
  <c r="AJ105" i="11" s="1"/>
  <c r="AH116" i="11"/>
  <c r="AG116" i="11"/>
  <c r="AH107" i="11"/>
  <c r="AG107" i="11"/>
  <c r="AH119" i="11"/>
  <c r="AG119" i="11"/>
  <c r="AI119" i="11" s="1"/>
  <c r="AJ119" i="11" s="1"/>
  <c r="AI108" i="11"/>
  <c r="AJ108" i="11" s="1"/>
  <c r="AH122" i="11"/>
  <c r="AG122" i="11"/>
  <c r="AI111" i="11"/>
  <c r="AJ111" i="11" s="1"/>
  <c r="AI109" i="11"/>
  <c r="AJ109" i="11" s="1"/>
  <c r="AI114" i="11"/>
  <c r="AJ114" i="11" s="1"/>
  <c r="AH113" i="11"/>
  <c r="AG113" i="11"/>
  <c r="AI118" i="11"/>
  <c r="AJ118" i="11" s="1"/>
  <c r="AS13" i="12"/>
  <c r="AS29" i="12"/>
  <c r="AR11" i="12"/>
  <c r="AS11" i="12" s="1"/>
  <c r="Y34" i="11"/>
  <c r="AS21" i="12"/>
  <c r="AH16" i="12"/>
  <c r="AT23" i="12"/>
  <c r="AT30" i="12"/>
  <c r="AI42" i="11"/>
  <c r="AJ42" i="11" s="1"/>
  <c r="AI61" i="11"/>
  <c r="AJ61" i="11" s="1"/>
  <c r="AI71" i="11"/>
  <c r="AJ71" i="11" s="1"/>
  <c r="AT15" i="12"/>
  <c r="AT22" i="12"/>
  <c r="AT14" i="12"/>
  <c r="AT29" i="12"/>
  <c r="AU29" i="12" s="1"/>
  <c r="AX29" i="12" s="1"/>
  <c r="AI46" i="11"/>
  <c r="AJ46" i="11" s="1"/>
  <c r="AI58" i="11"/>
  <c r="AJ58" i="11" s="1"/>
  <c r="AI44" i="11"/>
  <c r="AJ44" i="11" s="1"/>
  <c r="AI43" i="11"/>
  <c r="AJ43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I41" i="11"/>
  <c r="AJ41" i="11" s="1"/>
  <c r="AI54" i="11"/>
  <c r="AJ54" i="11" s="1"/>
  <c r="AI52" i="11"/>
  <c r="AJ52" i="11" s="1"/>
  <c r="AF12" i="12"/>
  <c r="AF28" i="12"/>
  <c r="AF20" i="12"/>
  <c r="AI87" i="11"/>
  <c r="AJ87" i="11" s="1"/>
  <c r="AI92" i="11"/>
  <c r="AJ92" i="11" s="1"/>
  <c r="AI94" i="11"/>
  <c r="AJ94" i="11" s="1"/>
  <c r="AI77" i="11"/>
  <c r="AJ77" i="11" s="1"/>
  <c r="AI86" i="11"/>
  <c r="AJ86" i="11" s="1"/>
  <c r="AH73" i="11"/>
  <c r="AG73" i="11"/>
  <c r="AH79" i="11"/>
  <c r="AG79" i="11"/>
  <c r="AG85" i="11"/>
  <c r="AH85" i="11"/>
  <c r="AI57" i="11"/>
  <c r="AJ57" i="11" s="1"/>
  <c r="AH62" i="11"/>
  <c r="AG62" i="11"/>
  <c r="AH60" i="11"/>
  <c r="AG60" i="11"/>
  <c r="AI45" i="11"/>
  <c r="AJ45" i="11" s="1"/>
  <c r="AI51" i="11"/>
  <c r="AJ51" i="11" s="1"/>
  <c r="AH56" i="11"/>
  <c r="AG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V12" i="11"/>
  <c r="V11" i="11"/>
  <c r="W33" i="11"/>
  <c r="V28" i="11"/>
  <c r="W31" i="11"/>
  <c r="Z31" i="11" s="1"/>
  <c r="W32" i="11"/>
  <c r="Z32" i="11" s="1"/>
  <c r="W30" i="11"/>
  <c r="Z30" i="11" s="1"/>
  <c r="W29" i="11"/>
  <c r="Z29" i="11" s="1"/>
  <c r="W28" i="11"/>
  <c r="Z28" i="11" s="1"/>
  <c r="W23" i="11"/>
  <c r="Z23" i="11" s="1"/>
  <c r="V19" i="11"/>
  <c r="W22" i="11"/>
  <c r="Z22" i="11" s="1"/>
  <c r="W24" i="11"/>
  <c r="Z24" i="11" s="1"/>
  <c r="W25" i="11"/>
  <c r="Z25" i="11" s="1"/>
  <c r="V26" i="11"/>
  <c r="W20" i="11"/>
  <c r="Z20" i="11" s="1"/>
  <c r="W21" i="11"/>
  <c r="Z21" i="11" s="1"/>
  <c r="Z33" i="11"/>
  <c r="V20" i="11"/>
  <c r="W12" i="11"/>
  <c r="Z12" i="11" s="1"/>
  <c r="W15" i="11"/>
  <c r="Z15" i="11" s="1"/>
  <c r="V18" i="11"/>
  <c r="W13" i="11"/>
  <c r="Z13" i="11" s="1"/>
  <c r="W14" i="11"/>
  <c r="Z14" i="11" s="1"/>
  <c r="W16" i="11"/>
  <c r="Z16" i="11" s="1"/>
  <c r="W17" i="11"/>
  <c r="Z17" i="11" s="1"/>
  <c r="Z11" i="11"/>
  <c r="Y12" i="11"/>
  <c r="V13" i="11"/>
  <c r="Y20" i="11"/>
  <c r="V21" i="11"/>
  <c r="Y28" i="11"/>
  <c r="V29" i="11"/>
  <c r="Y11" i="11"/>
  <c r="Y13" i="11"/>
  <c r="V14" i="11"/>
  <c r="V15" i="11"/>
  <c r="Y21" i="11"/>
  <c r="V22" i="11"/>
  <c r="V23" i="11"/>
  <c r="Y29" i="11"/>
  <c r="V30" i="11"/>
  <c r="V31" i="11"/>
  <c r="Y14" i="11"/>
  <c r="Y15" i="11"/>
  <c r="V16" i="11"/>
  <c r="Y22" i="11"/>
  <c r="Y23" i="11"/>
  <c r="V24" i="11"/>
  <c r="Y30" i="11"/>
  <c r="Y31" i="11"/>
  <c r="V32" i="11"/>
  <c r="Y16" i="11"/>
  <c r="V17" i="11"/>
  <c r="Y24" i="11"/>
  <c r="V25" i="11"/>
  <c r="Y32" i="11"/>
  <c r="V33" i="11"/>
  <c r="Y17" i="11"/>
  <c r="Y25" i="11"/>
  <c r="V27" i="11"/>
  <c r="Y33" i="11"/>
  <c r="V34" i="11"/>
  <c r="W18" i="11"/>
  <c r="Z18" i="11" s="1"/>
  <c r="W19" i="11"/>
  <c r="Z19" i="11" s="1"/>
  <c r="W26" i="11"/>
  <c r="Z26" i="11" s="1"/>
  <c r="W27" i="11"/>
  <c r="Z27" i="11" s="1"/>
  <c r="W34" i="11"/>
  <c r="Z34" i="11" s="1"/>
  <c r="AA34" i="11" s="1"/>
  <c r="Y18" i="11"/>
  <c r="Y19" i="11"/>
  <c r="Y26" i="11"/>
  <c r="Y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I107" i="11" l="1"/>
  <c r="AJ107" i="11" s="1"/>
  <c r="AI170" i="11"/>
  <c r="AJ170" i="11" s="1"/>
  <c r="AI146" i="11"/>
  <c r="AJ146" i="11" s="1"/>
  <c r="AI73" i="11"/>
  <c r="AJ73" i="11" s="1"/>
  <c r="AI113" i="11"/>
  <c r="AJ113" i="11" s="1"/>
  <c r="AI116" i="11"/>
  <c r="AJ116" i="11" s="1"/>
  <c r="AI212" i="11"/>
  <c r="AJ212" i="11" s="1"/>
  <c r="AI168" i="11"/>
  <c r="AJ168" i="11" s="1"/>
  <c r="AI79" i="11"/>
  <c r="AJ79" i="11" s="1"/>
  <c r="AI56" i="11"/>
  <c r="AJ56" i="11" s="1"/>
  <c r="AI62" i="11"/>
  <c r="AJ62" i="11" s="1"/>
  <c r="AI60" i="11"/>
  <c r="AJ60" i="11" s="1"/>
  <c r="AK41" i="11" s="1"/>
  <c r="AI193" i="11"/>
  <c r="AJ193" i="11" s="1"/>
  <c r="AI199" i="11"/>
  <c r="AJ199" i="11" s="1"/>
  <c r="AI180" i="11"/>
  <c r="AJ180" i="11" s="1"/>
  <c r="AI150" i="11"/>
  <c r="AJ150" i="11" s="1"/>
  <c r="AK131" i="11" s="1"/>
  <c r="AI206" i="11"/>
  <c r="AJ206" i="11" s="1"/>
  <c r="AI176" i="11"/>
  <c r="AJ176" i="11" s="1"/>
  <c r="AI122" i="11"/>
  <c r="AJ122" i="11" s="1"/>
  <c r="AK101" i="1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I85" i="11"/>
  <c r="AJ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A16" i="11"/>
  <c r="AD16" i="11" s="1"/>
  <c r="AA11" i="11"/>
  <c r="AD11" i="11" s="1"/>
  <c r="AA17" i="11"/>
  <c r="AA13" i="11"/>
  <c r="AB13" i="11" s="1"/>
  <c r="AA25" i="11"/>
  <c r="AD25" i="11" s="1"/>
  <c r="AA21" i="11"/>
  <c r="AD21" i="11" s="1"/>
  <c r="AA33" i="11"/>
  <c r="AB33" i="11" s="1"/>
  <c r="AA31" i="11"/>
  <c r="AB31" i="11" s="1"/>
  <c r="AA30" i="11"/>
  <c r="AB30" i="11" s="1"/>
  <c r="AA32" i="11"/>
  <c r="AB32" i="11" s="1"/>
  <c r="AA15" i="11"/>
  <c r="AD15" i="11" s="1"/>
  <c r="AA23" i="11"/>
  <c r="AB23" i="11" s="1"/>
  <c r="AA22" i="11"/>
  <c r="AB22" i="11" s="1"/>
  <c r="AA14" i="11"/>
  <c r="AD14" i="11" s="1"/>
  <c r="AA29" i="11"/>
  <c r="AD29" i="11" s="1"/>
  <c r="AA20" i="11"/>
  <c r="AB20" i="11" s="1"/>
  <c r="AD17" i="11"/>
  <c r="AB17" i="11"/>
  <c r="AA26" i="11"/>
  <c r="AD34" i="11"/>
  <c r="AB34" i="11"/>
  <c r="AA12" i="11"/>
  <c r="AA19" i="11"/>
  <c r="AA18" i="11"/>
  <c r="AA28" i="11"/>
  <c r="AA27" i="11"/>
  <c r="AA24" i="11"/>
  <c r="AK191" i="11" l="1"/>
  <c r="AK161" i="11"/>
  <c r="AK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B16" i="11"/>
  <c r="AL21" i="12"/>
  <c r="BF21" i="12" s="1"/>
  <c r="BC21" i="12"/>
  <c r="BD21" i="12" s="1"/>
  <c r="AL34" i="12"/>
  <c r="BF34" i="12" s="1"/>
  <c r="AX16" i="12"/>
  <c r="BA16" i="12" s="1"/>
  <c r="AD13" i="11"/>
  <c r="AG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B11" i="11"/>
  <c r="AB21" i="11"/>
  <c r="AB25" i="11"/>
  <c r="AD33" i="11"/>
  <c r="AH33" i="11" s="1"/>
  <c r="AD32" i="11"/>
  <c r="AH32" i="11" s="1"/>
  <c r="AD31" i="11"/>
  <c r="AH31" i="11" s="1"/>
  <c r="AB29" i="11"/>
  <c r="AB14" i="11"/>
  <c r="AD30" i="11"/>
  <c r="AH30" i="11" s="1"/>
  <c r="AD20" i="11"/>
  <c r="AH20" i="11" s="1"/>
  <c r="AB15" i="11"/>
  <c r="AD23" i="11"/>
  <c r="AH23" i="11" s="1"/>
  <c r="AD22" i="11"/>
  <c r="AG22" i="11" s="1"/>
  <c r="AH25" i="11"/>
  <c r="AG25" i="11"/>
  <c r="AD12" i="11"/>
  <c r="AB12" i="11"/>
  <c r="AG29" i="11"/>
  <c r="AH29" i="11"/>
  <c r="AH14" i="11"/>
  <c r="AG14" i="11"/>
  <c r="AB24" i="11"/>
  <c r="AD24" i="11"/>
  <c r="AH17" i="11"/>
  <c r="AG17" i="11"/>
  <c r="AB19" i="11"/>
  <c r="AD19" i="11"/>
  <c r="AH11" i="11"/>
  <c r="AG11" i="11"/>
  <c r="AB26" i="11"/>
  <c r="AD26" i="11"/>
  <c r="AH16" i="11"/>
  <c r="AG16" i="11"/>
  <c r="AH13" i="11"/>
  <c r="AB27" i="11"/>
  <c r="AD27" i="11"/>
  <c r="AH15" i="11"/>
  <c r="AG15" i="11"/>
  <c r="AD28" i="11"/>
  <c r="AB28" i="11"/>
  <c r="AB18" i="11"/>
  <c r="AD18" i="11"/>
  <c r="AH34" i="11"/>
  <c r="AG34" i="11"/>
  <c r="AG21" i="11"/>
  <c r="AH21" i="11"/>
  <c r="AZ11" i="1"/>
  <c r="AY11" i="1"/>
  <c r="AW11" i="1"/>
  <c r="BS7" i="1"/>
  <c r="AI34" i="11" l="1"/>
  <c r="AJ34" i="11" s="1"/>
  <c r="BC15" i="12"/>
  <c r="BD15" i="12" s="1"/>
  <c r="BH11" i="12"/>
  <c r="BK11" i="12" s="1"/>
  <c r="BJ11" i="12"/>
  <c r="BB16" i="12"/>
  <c r="BC16" i="12" s="1"/>
  <c r="BD16" i="12" s="1"/>
  <c r="AI11" i="11"/>
  <c r="AJ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I15" i="11"/>
  <c r="AJ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G20" i="11"/>
  <c r="AI20" i="11" s="1"/>
  <c r="AJ20" i="11" s="1"/>
  <c r="AG32" i="11"/>
  <c r="AI32" i="11" s="1"/>
  <c r="AJ32" i="11" s="1"/>
  <c r="AG30" i="11"/>
  <c r="AI30" i="11" s="1"/>
  <c r="AJ30" i="11" s="1"/>
  <c r="AG31" i="11"/>
  <c r="AI31" i="11" s="1"/>
  <c r="AJ31" i="11" s="1"/>
  <c r="AG33" i="11"/>
  <c r="AI33" i="11" s="1"/>
  <c r="AJ33" i="11" s="1"/>
  <c r="AG23" i="11"/>
  <c r="AI23" i="11" s="1"/>
  <c r="AJ23" i="11" s="1"/>
  <c r="AI25" i="11"/>
  <c r="AJ25" i="11" s="1"/>
  <c r="AH22" i="11"/>
  <c r="AI22" i="11" s="1"/>
  <c r="AJ22" i="11" s="1"/>
  <c r="AI17" i="11"/>
  <c r="AJ17" i="11" s="1"/>
  <c r="AH28" i="11"/>
  <c r="AG28" i="11"/>
  <c r="AH27" i="11"/>
  <c r="AG27" i="11"/>
  <c r="AI21" i="11"/>
  <c r="AJ21" i="11" s="1"/>
  <c r="AH26" i="11"/>
  <c r="AG26" i="11"/>
  <c r="AH12" i="11"/>
  <c r="AG12" i="11"/>
  <c r="AI29" i="11"/>
  <c r="AJ29" i="11" s="1"/>
  <c r="AH24" i="11"/>
  <c r="AG24" i="11"/>
  <c r="AH19" i="11"/>
  <c r="AG19" i="11"/>
  <c r="AI13" i="11"/>
  <c r="AJ13" i="11" s="1"/>
  <c r="AH18" i="11"/>
  <c r="AG18" i="11"/>
  <c r="AI16" i="11"/>
  <c r="AJ16" i="11" s="1"/>
  <c r="AI14" i="11"/>
  <c r="AJ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I28" i="11"/>
  <c r="AJ28" i="11" s="1"/>
  <c r="AI27" i="11"/>
  <c r="AJ27" i="11" s="1"/>
  <c r="AI18" i="11"/>
  <c r="AJ18" i="11" s="1"/>
  <c r="AI26" i="11"/>
  <c r="AJ26" i="11" s="1"/>
  <c r="AI12" i="11"/>
  <c r="AJ12" i="11" s="1"/>
  <c r="AI19" i="11"/>
  <c r="AJ19" i="11" s="1"/>
  <c r="AI24" i="11"/>
  <c r="AJ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K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<sst xmlns="http://schemas.openxmlformats.org/spreadsheetml/2006/main" count="2761" uniqueCount="277">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</sst>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M214"/>
  <sheetViews>
    <sheetView tabSelected="1" workbookViewId="0">
      <selection activeCell="A22" sqref="A22:XFD22"/>
    </sheetView>
  </sheetViews>
  <sheetFormatPr baseColWidth="10" defaultRowHeight="16" x14ac:dyDescent="0.2"/>
  <cols>
    <col min="4" max="4" width="16.83203125" customWidth="1"/>
    <col min="5" max="5" width="13.5" customWidth="1"/>
    <col min="28" max="28" width="16.83203125" customWidth="1"/>
    <col min="41" max="41" width="11" customWidth="1"/>
    <col min="42" max="42" width="35.83203125" bestFit="1" customWidth="1"/>
    <col min="43" max="46" width="11" customWidth="1"/>
    <col min="47" max="47" width="9.6640625" bestFit="1" customWidth="1"/>
    <col min="48" max="48" width="16.5" bestFit="1" customWidth="1"/>
    <col min="49" max="49" width="11.6640625" bestFit="1" customWidth="1"/>
    <col min="50" max="50" width="13.5" bestFit="1" customWidth="1"/>
    <col min="51" max="51" width="16.1640625" bestFit="1" customWidth="1"/>
    <col min="52" max="52" width="11.6640625" bestFit="1" customWidth="1"/>
    <col min="53" max="53" width="10.1640625" bestFit="1" customWidth="1"/>
    <col min="54" max="54" width="18.5" bestFit="1" customWidth="1"/>
    <col min="55" max="55" width="14.33203125" bestFit="1" customWidth="1"/>
    <col min="58" max="62" width="12" customWidth="1"/>
    <col min="63" max="65" width="11" customWidth="1"/>
  </cols>
  <sheetData>
    <row r="1" spans="1:65" x14ac:dyDescent="0.2">
      <c r="H1" t="s">
        <v>238</v>
      </c>
      <c r="I1" t="s">
        <v>238</v>
      </c>
      <c r="R1" t="s">
        <v>239</v>
      </c>
      <c r="V1" t="s">
        <v>238</v>
      </c>
      <c r="Y1" t="s">
        <v>238</v>
      </c>
      <c r="Z1" t="s">
        <v>238</v>
      </c>
      <c r="AA1" t="s">
        <v>256</v>
      </c>
      <c r="AO1">
        <v>1084</v>
      </c>
      <c r="AP1" t="s">
        <v>257</v>
      </c>
      <c r="AQ1">
        <v>0.19</v>
      </c>
      <c r="AS1" t="s">
        <v>265</v>
      </c>
      <c r="AT1">
        <v>1.3</v>
      </c>
    </row>
    <row r="2" spans="1:65" x14ac:dyDescent="0.2">
      <c r="T2" t="s">
        <v>6</v>
      </c>
      <c r="AB2" t="s">
        <v>7</v>
      </c>
      <c r="AD2" t="s">
        <v>11</v>
      </c>
      <c r="AG2" t="s">
        <v>12</v>
      </c>
      <c r="AI2" t="s">
        <v>12</v>
      </c>
      <c r="AJ2" t="s">
        <v>13</v>
      </c>
      <c r="AO2">
        <v>1087</v>
      </c>
      <c r="AP2" t="s">
        <v>152</v>
      </c>
      <c r="AQ2">
        <v>0.08</v>
      </c>
    </row>
    <row r="3" spans="1:65" x14ac:dyDescent="0.2">
      <c r="G3" t="s">
        <v>19</v>
      </c>
      <c r="H3">
        <v>342</v>
      </c>
      <c r="I3">
        <v>323</v>
      </c>
      <c r="J3" t="s">
        <v>20</v>
      </c>
      <c r="K3" t="s">
        <v>22</v>
      </c>
      <c r="L3" t="s">
        <v>23</v>
      </c>
      <c r="M3" t="s">
        <v>24</v>
      </c>
      <c r="O3" t="s">
        <v>51</v>
      </c>
      <c r="Q3" t="s">
        <v>25</v>
      </c>
      <c r="R3" t="s">
        <v>33</v>
      </c>
      <c r="S3" t="s">
        <v>39</v>
      </c>
      <c r="T3" t="s">
        <v>40</v>
      </c>
      <c r="U3">
        <v>351</v>
      </c>
      <c r="V3">
        <v>314</v>
      </c>
      <c r="W3">
        <v>302</v>
      </c>
      <c r="X3">
        <v>349</v>
      </c>
      <c r="Y3">
        <v>308</v>
      </c>
      <c r="Z3">
        <v>296</v>
      </c>
      <c r="AA3" t="s">
        <v>47</v>
      </c>
      <c r="AB3" t="s">
        <v>41</v>
      </c>
      <c r="AC3" t="s">
        <v>48</v>
      </c>
      <c r="AD3" t="s">
        <v>49</v>
      </c>
      <c r="AE3" t="s">
        <v>50</v>
      </c>
      <c r="AF3" t="s">
        <v>52</v>
      </c>
      <c r="AG3" t="s">
        <v>53</v>
      </c>
      <c r="AI3" t="s">
        <v>53</v>
      </c>
      <c r="AJ3" t="s">
        <v>54</v>
      </c>
      <c r="AP3" t="s">
        <v>125</v>
      </c>
      <c r="AQ3">
        <v>91.25</v>
      </c>
    </row>
    <row r="4" spans="1:65" x14ac:dyDescent="0.2">
      <c r="G4" t="s">
        <v>58</v>
      </c>
      <c r="J4" t="s">
        <v>59</v>
      </c>
      <c r="K4" t="s">
        <v>59</v>
      </c>
      <c r="L4" t="s">
        <v>59</v>
      </c>
      <c r="M4" t="s">
        <v>59</v>
      </c>
      <c r="O4" t="s">
        <v>59</v>
      </c>
      <c r="Q4" t="s">
        <v>59</v>
      </c>
      <c r="R4" t="s">
        <v>59</v>
      </c>
      <c r="S4" t="s">
        <v>60</v>
      </c>
      <c r="T4" t="s">
        <v>60</v>
      </c>
      <c r="U4" t="s">
        <v>59</v>
      </c>
      <c r="V4" t="s">
        <v>60</v>
      </c>
      <c r="W4" t="s">
        <v>60</v>
      </c>
      <c r="X4" t="s">
        <v>59</v>
      </c>
      <c r="Y4" t="s">
        <v>60</v>
      </c>
      <c r="Z4" t="s">
        <v>60</v>
      </c>
      <c r="AA4" t="s">
        <v>60</v>
      </c>
      <c r="AB4" t="s">
        <v>60</v>
      </c>
      <c r="AC4" t="s">
        <v>59</v>
      </c>
      <c r="AD4" t="s">
        <v>60</v>
      </c>
      <c r="AE4" t="s">
        <v>59</v>
      </c>
      <c r="AF4" t="s">
        <v>59</v>
      </c>
      <c r="AG4" t="s">
        <v>60</v>
      </c>
      <c r="AI4" t="s">
        <v>60</v>
      </c>
      <c r="AJ4" t="s">
        <v>60</v>
      </c>
      <c r="AO4">
        <v>1094</v>
      </c>
      <c r="AP4" t="s">
        <v>131</v>
      </c>
      <c r="AQ4">
        <v>0.24</v>
      </c>
    </row>
    <row r="5" spans="1:65" x14ac:dyDescent="0.2">
      <c r="G5" t="s">
        <v>61</v>
      </c>
      <c r="J5" t="s">
        <v>58</v>
      </c>
      <c r="K5" t="s">
        <v>58</v>
      </c>
      <c r="L5" t="s">
        <v>58</v>
      </c>
      <c r="M5" t="s">
        <v>58</v>
      </c>
      <c r="O5" t="s">
        <v>61</v>
      </c>
      <c r="Q5" t="s">
        <v>58</v>
      </c>
      <c r="R5" t="s">
        <v>61</v>
      </c>
      <c r="S5" t="s">
        <v>61</v>
      </c>
      <c r="T5" t="s">
        <v>61</v>
      </c>
      <c r="X5" t="s">
        <v>58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I5" t="s">
        <v>61</v>
      </c>
      <c r="AJ5" t="s">
        <v>61</v>
      </c>
      <c r="AO5">
        <v>1093</v>
      </c>
      <c r="AP5" t="s">
        <v>219</v>
      </c>
      <c r="AQ5">
        <v>0.21</v>
      </c>
    </row>
    <row r="6" spans="1:65" ht="17" thickBot="1" x14ac:dyDescent="0.25">
      <c r="AO6">
        <v>1095</v>
      </c>
      <c r="AP6" t="s">
        <v>220</v>
      </c>
      <c r="AQ6">
        <v>1.0999999999999999E-2</v>
      </c>
    </row>
    <row r="7" spans="1:65" ht="17" thickTop="1" x14ac:dyDescent="0.2">
      <c r="AO7">
        <v>1088</v>
      </c>
      <c r="AP7" t="s">
        <v>150</v>
      </c>
      <c r="AQ7">
        <f>44/28</f>
        <v>1.5714285714285714</v>
      </c>
      <c r="BM7" s="6"/>
    </row>
    <row r="8" spans="1:65" x14ac:dyDescent="0.2">
      <c r="G8" t="s">
        <v>64</v>
      </c>
      <c r="J8" t="s">
        <v>65</v>
      </c>
      <c r="K8" t="s">
        <v>63</v>
      </c>
      <c r="L8" t="s">
        <v>63</v>
      </c>
      <c r="M8" t="s">
        <v>66</v>
      </c>
      <c r="O8" t="s">
        <v>63</v>
      </c>
      <c r="Q8" t="s">
        <v>63</v>
      </c>
      <c r="R8" t="s">
        <v>63</v>
      </c>
      <c r="S8" t="s">
        <v>63</v>
      </c>
      <c r="T8" t="s">
        <v>72</v>
      </c>
      <c r="AA8" t="s">
        <v>75</v>
      </c>
      <c r="AB8" t="s">
        <v>71</v>
      </c>
      <c r="AC8" t="s">
        <v>63</v>
      </c>
      <c r="AD8" t="s">
        <v>71</v>
      </c>
      <c r="AE8" t="s">
        <v>76</v>
      </c>
      <c r="AF8" t="s">
        <v>77</v>
      </c>
      <c r="AG8" t="s">
        <v>78</v>
      </c>
      <c r="AI8" t="s">
        <v>78</v>
      </c>
      <c r="AJ8" t="s">
        <v>79</v>
      </c>
    </row>
    <row r="9" spans="1:65" x14ac:dyDescent="0.2">
      <c r="G9" t="s">
        <v>83</v>
      </c>
      <c r="H9" t="s">
        <v>236</v>
      </c>
      <c r="I9" t="s">
        <v>237</v>
      </c>
      <c r="J9" t="s">
        <v>84</v>
      </c>
      <c r="K9" t="s">
        <v>86</v>
      </c>
      <c r="L9" t="s">
        <v>87</v>
      </c>
      <c r="M9" t="s">
        <v>88</v>
      </c>
      <c r="O9" t="s">
        <v>115</v>
      </c>
      <c r="Q9" t="s">
        <v>89</v>
      </c>
      <c r="R9" t="s">
        <v>97</v>
      </c>
      <c r="S9" t="s">
        <v>103</v>
      </c>
      <c r="T9" t="s">
        <v>104</v>
      </c>
      <c r="AA9" t="s">
        <v>111</v>
      </c>
      <c r="AB9" t="s">
        <v>105</v>
      </c>
      <c r="AC9" t="s">
        <v>112</v>
      </c>
      <c r="AD9" t="s">
        <v>113</v>
      </c>
      <c r="AE9" t="s">
        <v>114</v>
      </c>
      <c r="AF9" t="s">
        <v>116</v>
      </c>
      <c r="AG9" t="s">
        <v>117</v>
      </c>
      <c r="AI9" t="s">
        <v>117</v>
      </c>
      <c r="AJ9" t="s">
        <v>118</v>
      </c>
      <c r="AQ9" t="s">
        <v>200</v>
      </c>
      <c r="AS9" t="s">
        <v>201</v>
      </c>
    </row>
    <row r="10" spans="1:65" ht="17" customHeight="1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s="1" t="s">
        <v>124</v>
      </c>
      <c r="H10" s="1" t="s">
        <v>235</v>
      </c>
      <c r="I10" s="1" t="s">
        <v>240</v>
      </c>
      <c r="J10" t="s">
        <v>125</v>
      </c>
      <c r="K10" t="s">
        <v>127</v>
      </c>
      <c r="L10" t="s">
        <v>128</v>
      </c>
      <c r="M10" t="s">
        <v>129</v>
      </c>
      <c r="N10" t="s">
        <v>215</v>
      </c>
      <c r="O10" t="s">
        <v>214</v>
      </c>
      <c r="P10" t="s">
        <v>217</v>
      </c>
      <c r="Q10" t="s">
        <v>216</v>
      </c>
      <c r="R10" t="s">
        <v>137</v>
      </c>
      <c r="S10" t="s">
        <v>143</v>
      </c>
      <c r="T10" t="s">
        <v>144</v>
      </c>
      <c r="U10" t="s">
        <v>265</v>
      </c>
      <c r="V10" t="s">
        <v>261</v>
      </c>
      <c r="W10" t="s">
        <v>264</v>
      </c>
      <c r="X10" t="s">
        <v>262</v>
      </c>
      <c r="Y10" t="s">
        <v>260</v>
      </c>
      <c r="Z10" t="s">
        <v>259</v>
      </c>
      <c r="AA10" t="s">
        <v>151</v>
      </c>
      <c r="AB10" t="s">
        <v>145</v>
      </c>
      <c r="AC10" t="s">
        <v>152</v>
      </c>
      <c r="AD10" t="s">
        <v>153</v>
      </c>
      <c r="AE10" t="s">
        <v>154</v>
      </c>
      <c r="AF10" t="s">
        <v>155</v>
      </c>
      <c r="AG10" t="s">
        <v>266</v>
      </c>
      <c r="AH10" t="s">
        <v>267</v>
      </c>
      <c r="AI10" t="s">
        <v>268</v>
      </c>
      <c r="AJ10" t="s">
        <v>156</v>
      </c>
      <c r="AK10" s="27" t="s">
        <v>156</v>
      </c>
      <c r="AP10" t="s">
        <v>202</v>
      </c>
      <c r="AQ10">
        <v>4.7000000000000002E-3</v>
      </c>
      <c r="AR10" s="13" t="s">
        <v>193</v>
      </c>
      <c r="AS10" s="13">
        <v>0.72</v>
      </c>
    </row>
    <row r="11" spans="1:65" ht="17" hidden="1" thickTop="1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G11">
        <v>100</v>
      </c>
      <c r="H11">
        <v>95</v>
      </c>
      <c r="I11">
        <v>90</v>
      </c>
      <c r="J11">
        <f t="shared" ref="J11:J34" si="0">$AQ$3</f>
        <v>91.25</v>
      </c>
      <c r="K11" cm="1">
        <f t="array" ref="K11:K34">_xlfn.DROP(_xlfn.XLOOKUP($C11,QueryCP[[#Headers],[ACT/NSW]:[WA]],QueryCP[[#All],[ACT/NSW]:[WA]]),1)</f>
        <v>0.2</v>
      </c>
      <c r="L11" cm="1">
        <f t="array" ref="L11:L34">_xlfn.DROP(_xlfn.XLOOKUP($C11,QueryDMD[[#Headers],[ACT/NSW]:[WA]],QueryDMD[[#All],[ACT/NSW]:[WA]]),1)</f>
        <v>0.75</v>
      </c>
      <c r="M11" cm="1">
        <f t="array" ref="M11:M34">_xlfn.DROP(_xlfn.XLOOKUP($C11,QueryW[[#Headers],[ACT/NSW]:[WA]],QueryW[[#All],[ACT/NSW]:[WA]]),1)</f>
        <v>54</v>
      </c>
      <c r="N11">
        <f>1-O11</f>
        <v>0</v>
      </c>
      <c r="O11">
        <f>IF($D$11="yes", 1, VLOOKUP($B$11, $AP$26:$AR$32, 1))</f>
        <v>1</v>
      </c>
      <c r="P11">
        <f t="shared" ref="P11:P34" si="1">VLOOKUP($B$11,$AR$10:$AS$16, 2, FALSE)</f>
        <v>0.72</v>
      </c>
      <c r="Q11">
        <f t="shared" ref="Q11:Q34" si="2">$AQ$10</f>
        <v>4.7000000000000002E-3</v>
      </c>
      <c r="R11">
        <f t="shared" ref="R11:R34" si="3">(H11/100)*(MIN(I11,100)/100)</f>
        <v>0.85499999999999998</v>
      </c>
      <c r="S11">
        <v>0</v>
      </c>
      <c r="T11">
        <f>1.6 * S11</f>
        <v>0</v>
      </c>
      <c r="U11">
        <f t="shared" ref="U11:U34" si="4">$AT$1</f>
        <v>1.3</v>
      </c>
      <c r="V11">
        <f t="shared" ref="V11:V34" si="5">R11*U11+(1-R11)</f>
        <v>1.2565</v>
      </c>
      <c r="W11">
        <f t="shared" ref="W11:W34" si="6">(0.795*L11)-0.0014</f>
        <v>0.5948500000000001</v>
      </c>
      <c r="X11" cm="1">
        <f t="array" ref="X11:X34">_xlfn.DROP(_xlfn.XLOOKUP($C11,QueryDMA[[#Headers],[ACT/NSW]:[WA]],QueryDMA[[#All],[ACT/NSW]:[WA]]),1)</f>
        <v>2.9</v>
      </c>
      <c r="Y11">
        <f>1 - EXP(-2*(X11^2))</f>
        <v>0.9999999504359468</v>
      </c>
      <c r="Z11">
        <f t="shared" ref="Z11:Z34" si="7">(104.7*W11+0.307*M11-15)*(M11^0.75)*10^-3</f>
        <v>1.2720847291262878</v>
      </c>
      <c r="AA11">
        <f>Z11*Y11*V11</f>
        <v>1.5983743829252637</v>
      </c>
      <c r="AB11">
        <f t="shared" ref="AB11:AB34" si="8">(AA11 * K11) + (0.045 * T11)</f>
        <v>0.31967487658505278</v>
      </c>
      <c r="AC11">
        <f t="shared" ref="AC11:AC34" si="9">$AQ$2</f>
        <v>0.08</v>
      </c>
      <c r="AD11">
        <f t="shared" ref="AD11:AD34" si="10">(AA11 * ((1 - L11) + (0.04 * AA11))) * ( 1 - AC11 )</f>
        <v>0.46164277265490583</v>
      </c>
      <c r="AE11">
        <f t="shared" ref="AE11:AE34" si="11">$AQ$1</f>
        <v>0.19</v>
      </c>
      <c r="AF11">
        <f t="shared" ref="AF11:AF34" si="12">$AR$20</f>
        <v>0.6784</v>
      </c>
      <c r="AG11">
        <f t="shared" ref="AG11:AG34" si="13">AD11 * AE11 * N11 * P11 * AF11</f>
        <v>0</v>
      </c>
      <c r="AH11">
        <f t="shared" ref="AH11:AH34" si="14">AD11*AE11*O11*Q11*AF11</f>
        <v>2.7966836207339569E-4</v>
      </c>
      <c r="AI11">
        <f>AG11+AH11</f>
        <v>2.7966836207339569E-4</v>
      </c>
      <c r="AJ11">
        <f t="shared" ref="AJ11:AJ34" si="15">G11*AI11*J11</f>
        <v>2.5519738039197355</v>
      </c>
      <c r="AK11">
        <f>SUM(AJ11:AJ34)*10^-3</f>
        <v>5.3906996922269038E-2</v>
      </c>
      <c r="AR11" s="13" t="s">
        <v>270</v>
      </c>
      <c r="AS11" s="13">
        <v>0.75</v>
      </c>
      <c r="AV11" s="6"/>
    </row>
    <row r="12" spans="1:65" ht="17" hidden="1" thickTop="1" x14ac:dyDescent="0.2">
      <c r="E12" s="12"/>
      <c r="F12" t="s">
        <v>164</v>
      </c>
      <c r="G12">
        <v>70</v>
      </c>
      <c r="H12">
        <v>0</v>
      </c>
      <c r="I12">
        <v>0</v>
      </c>
      <c r="J12">
        <f t="shared" si="0"/>
        <v>91.25</v>
      </c>
      <c r="K12">
        <v>0.1</v>
      </c>
      <c r="L12">
        <v>0.61</v>
      </c>
      <c r="M12">
        <v>49</v>
      </c>
      <c r="N12">
        <f t="shared" ref="N12:N34" si="16">1-O12</f>
        <v>0</v>
      </c>
      <c r="O12">
        <f t="shared" ref="O12:O34" si="17">IF($D$11="yes", 1, VLOOKUP($B$11, $AP$26:$AR$32, 1))</f>
        <v>1</v>
      </c>
      <c r="P12">
        <f t="shared" si="1"/>
        <v>0.72</v>
      </c>
      <c r="Q12">
        <f t="shared" si="2"/>
        <v>4.7000000000000002E-3</v>
      </c>
      <c r="R12">
        <f t="shared" si="3"/>
        <v>0</v>
      </c>
      <c r="S12">
        <v>0</v>
      </c>
      <c r="T12">
        <f t="shared" ref="T12:T34" si="18">1.6 * S12</f>
        <v>0</v>
      </c>
      <c r="U12">
        <f t="shared" si="4"/>
        <v>1.3</v>
      </c>
      <c r="V12">
        <f t="shared" si="5"/>
        <v>1</v>
      </c>
      <c r="W12">
        <f t="shared" si="6"/>
        <v>0.48354999999999998</v>
      </c>
      <c r="X12">
        <v>2.5</v>
      </c>
      <c r="Y12">
        <f t="shared" ref="Y12:Y34" si="19">1 - EXP(-2*(X12^2))</f>
        <v>0.99999627334682795</v>
      </c>
      <c r="Z12">
        <f t="shared" si="7"/>
        <v>0.93843421889903578</v>
      </c>
      <c r="AA12">
        <f t="shared" ref="AA12:AA34" si="20">Z12*Y12*V12</f>
        <v>0.93843072168017716</v>
      </c>
      <c r="AB12">
        <f t="shared" si="8"/>
        <v>9.3843072168017724E-2</v>
      </c>
      <c r="AC12">
        <f t="shared" si="9"/>
        <v>0.08</v>
      </c>
      <c r="AD12">
        <f t="shared" si="10"/>
        <v>0.3691169446125166</v>
      </c>
      <c r="AE12">
        <f t="shared" si="11"/>
        <v>0.19</v>
      </c>
      <c r="AF12">
        <f t="shared" si="12"/>
        <v>0.6784</v>
      </c>
      <c r="AG12">
        <f t="shared" si="13"/>
        <v>0</v>
      </c>
      <c r="AH12">
        <f t="shared" si="14"/>
        <v>2.2361517915604222E-4</v>
      </c>
      <c r="AI12">
        <f t="shared" ref="AI12:AI34" si="21">AG12+AH12</f>
        <v>2.2361517915604222E-4</v>
      </c>
      <c r="AJ12">
        <f t="shared" si="15"/>
        <v>1.4283419568592195</v>
      </c>
      <c r="AR12" s="13" t="s">
        <v>271</v>
      </c>
      <c r="AS12" s="13">
        <v>0.78</v>
      </c>
      <c r="AV12" s="6"/>
    </row>
    <row r="13" spans="1:65" ht="17" hidden="1" thickTop="1" x14ac:dyDescent="0.2">
      <c r="E13" s="11"/>
      <c r="F13" t="s">
        <v>165</v>
      </c>
      <c r="G13">
        <v>65</v>
      </c>
      <c r="H13">
        <v>0</v>
      </c>
      <c r="I13">
        <v>0</v>
      </c>
      <c r="J13">
        <f t="shared" si="0"/>
        <v>91.25</v>
      </c>
      <c r="K13">
        <v>0.12</v>
      </c>
      <c r="L13">
        <v>0.64</v>
      </c>
      <c r="M13">
        <v>50</v>
      </c>
      <c r="N13">
        <f t="shared" si="16"/>
        <v>0</v>
      </c>
      <c r="O13">
        <f t="shared" si="17"/>
        <v>1</v>
      </c>
      <c r="P13">
        <f t="shared" si="1"/>
        <v>0.72</v>
      </c>
      <c r="Q13">
        <f t="shared" si="2"/>
        <v>4.7000000000000002E-3</v>
      </c>
      <c r="R13">
        <f t="shared" si="3"/>
        <v>0</v>
      </c>
      <c r="S13">
        <v>0</v>
      </c>
      <c r="T13">
        <f t="shared" si="18"/>
        <v>0</v>
      </c>
      <c r="U13">
        <f t="shared" si="4"/>
        <v>1.3</v>
      </c>
      <c r="V13">
        <f t="shared" si="5"/>
        <v>1</v>
      </c>
      <c r="W13">
        <f t="shared" si="6"/>
        <v>0.50740000000000007</v>
      </c>
      <c r="X13">
        <v>1.6</v>
      </c>
      <c r="Y13">
        <f t="shared" si="19"/>
        <v>0.99402397710499402</v>
      </c>
      <c r="Z13">
        <f t="shared" si="7"/>
        <v>1.0054871153505722</v>
      </c>
      <c r="AA13">
        <f t="shared" si="20"/>
        <v>0.99947830132860371</v>
      </c>
      <c r="AB13">
        <f t="shared" si="8"/>
        <v>0.11993739615943244</v>
      </c>
      <c r="AC13">
        <f t="shared" si="9"/>
        <v>0.08</v>
      </c>
      <c r="AD13">
        <f t="shared" si="10"/>
        <v>0.36778882639365651</v>
      </c>
      <c r="AE13">
        <f t="shared" si="11"/>
        <v>0.19</v>
      </c>
      <c r="AF13">
        <f t="shared" si="12"/>
        <v>0.6784</v>
      </c>
      <c r="AG13">
        <f t="shared" si="13"/>
        <v>0</v>
      </c>
      <c r="AH13">
        <f t="shared" si="14"/>
        <v>2.2281059026413275E-4</v>
      </c>
      <c r="AI13">
        <f t="shared" si="21"/>
        <v>2.2281059026413275E-4</v>
      </c>
      <c r="AJ13">
        <f t="shared" si="15"/>
        <v>1.3215453135041375</v>
      </c>
      <c r="AR13" s="13" t="s">
        <v>272</v>
      </c>
      <c r="AS13" s="13">
        <v>0.74</v>
      </c>
      <c r="AV13" s="6"/>
    </row>
    <row r="14" spans="1:65" ht="17" hidden="1" thickTop="1" x14ac:dyDescent="0.2">
      <c r="E14" s="12"/>
      <c r="F14" t="s">
        <v>166</v>
      </c>
      <c r="G14">
        <v>80</v>
      </c>
      <c r="H14">
        <v>0</v>
      </c>
      <c r="I14">
        <v>0</v>
      </c>
      <c r="J14">
        <f t="shared" si="0"/>
        <v>91.25</v>
      </c>
      <c r="K14">
        <v>0.18</v>
      </c>
      <c r="L14">
        <v>0.72</v>
      </c>
      <c r="M14">
        <v>50</v>
      </c>
      <c r="N14">
        <f t="shared" si="16"/>
        <v>0</v>
      </c>
      <c r="O14">
        <f t="shared" si="17"/>
        <v>1</v>
      </c>
      <c r="P14">
        <f t="shared" si="1"/>
        <v>0.72</v>
      </c>
      <c r="Q14">
        <f t="shared" si="2"/>
        <v>4.7000000000000002E-3</v>
      </c>
      <c r="R14">
        <f t="shared" si="3"/>
        <v>0</v>
      </c>
      <c r="S14">
        <v>0</v>
      </c>
      <c r="T14">
        <f t="shared" si="18"/>
        <v>0</v>
      </c>
      <c r="U14">
        <f t="shared" si="4"/>
        <v>1.3</v>
      </c>
      <c r="V14">
        <f t="shared" si="5"/>
        <v>1</v>
      </c>
      <c r="W14">
        <f t="shared" si="6"/>
        <v>0.57100000000000006</v>
      </c>
      <c r="X14">
        <v>1.7</v>
      </c>
      <c r="Y14">
        <f t="shared" si="19"/>
        <v>0.99691128459176326</v>
      </c>
      <c r="Z14">
        <f t="shared" si="7"/>
        <v>1.1306948910936463</v>
      </c>
      <c r="AA14">
        <f t="shared" si="20"/>
        <v>1.1272024963615108</v>
      </c>
      <c r="AB14">
        <f t="shared" si="8"/>
        <v>0.20289644934507195</v>
      </c>
      <c r="AC14">
        <f t="shared" si="9"/>
        <v>0.08</v>
      </c>
      <c r="AD14">
        <f t="shared" si="10"/>
        <v>0.33712490827789848</v>
      </c>
      <c r="AE14">
        <f t="shared" si="11"/>
        <v>0.19</v>
      </c>
      <c r="AF14">
        <f t="shared" si="12"/>
        <v>0.6784</v>
      </c>
      <c r="AG14">
        <f t="shared" si="13"/>
        <v>0</v>
      </c>
      <c r="AH14">
        <f t="shared" si="14"/>
        <v>2.0423404523372364E-4</v>
      </c>
      <c r="AI14">
        <f t="shared" si="21"/>
        <v>2.0423404523372364E-4</v>
      </c>
      <c r="AJ14">
        <f t="shared" si="15"/>
        <v>1.4909085302061826</v>
      </c>
      <c r="AR14" s="13" t="s">
        <v>273</v>
      </c>
      <c r="AS14" s="13">
        <v>0.69</v>
      </c>
      <c r="AV14" s="6"/>
    </row>
    <row r="15" spans="1:65" hidden="1" x14ac:dyDescent="0.2">
      <c r="E15" s="11" t="s">
        <v>171</v>
      </c>
      <c r="F15" t="s">
        <v>163</v>
      </c>
      <c r="G15">
        <v>200</v>
      </c>
      <c r="H15">
        <v>0</v>
      </c>
      <c r="I15">
        <v>0</v>
      </c>
      <c r="J15">
        <f t="shared" si="0"/>
        <v>91.25</v>
      </c>
      <c r="K15">
        <v>0.2</v>
      </c>
      <c r="L15">
        <v>0.75</v>
      </c>
      <c r="M15">
        <v>20</v>
      </c>
      <c r="N15">
        <f t="shared" si="16"/>
        <v>0</v>
      </c>
      <c r="O15">
        <f t="shared" si="17"/>
        <v>1</v>
      </c>
      <c r="P15">
        <f t="shared" si="1"/>
        <v>0.72</v>
      </c>
      <c r="Q15">
        <f t="shared" si="2"/>
        <v>4.7000000000000002E-3</v>
      </c>
      <c r="R15">
        <f t="shared" si="3"/>
        <v>0</v>
      </c>
      <c r="S15">
        <v>1</v>
      </c>
      <c r="T15">
        <f t="shared" si="18"/>
        <v>1.6</v>
      </c>
      <c r="U15">
        <f t="shared" si="4"/>
        <v>1.3</v>
      </c>
      <c r="V15">
        <f t="shared" si="5"/>
        <v>1</v>
      </c>
      <c r="W15">
        <f t="shared" si="6"/>
        <v>0.5948500000000001</v>
      </c>
      <c r="X15">
        <v>2.9</v>
      </c>
      <c r="Y15">
        <f t="shared" si="19"/>
        <v>0.9999999504359468</v>
      </c>
      <c r="Z15">
        <f t="shared" si="7"/>
        <v>0.5052226861752882</v>
      </c>
      <c r="AA15">
        <f t="shared" si="20"/>
        <v>0.50522266113440406</v>
      </c>
      <c r="AB15">
        <f t="shared" si="8"/>
        <v>0.17304453222688082</v>
      </c>
      <c r="AC15">
        <f t="shared" si="9"/>
        <v>0.08</v>
      </c>
      <c r="AD15">
        <f t="shared" si="10"/>
        <v>0.12559440975442615</v>
      </c>
      <c r="AE15">
        <f t="shared" si="11"/>
        <v>0.19</v>
      </c>
      <c r="AF15">
        <f t="shared" si="12"/>
        <v>0.6784</v>
      </c>
      <c r="AG15">
        <f t="shared" si="13"/>
        <v>0</v>
      </c>
      <c r="AH15">
        <f t="shared" si="14"/>
        <v>7.6086500086620609E-5</v>
      </c>
      <c r="AI15">
        <f t="shared" si="21"/>
        <v>7.6086500086620609E-5</v>
      </c>
      <c r="AJ15">
        <f t="shared" si="15"/>
        <v>1.388578626580826</v>
      </c>
      <c r="AR15" s="13" t="s">
        <v>274</v>
      </c>
      <c r="AS15" s="13">
        <v>0.73</v>
      </c>
    </row>
    <row r="16" spans="1:65" hidden="1" x14ac:dyDescent="0.2">
      <c r="E16" s="12"/>
      <c r="F16" t="s">
        <v>164</v>
      </c>
      <c r="G16">
        <v>210</v>
      </c>
      <c r="H16">
        <v>0</v>
      </c>
      <c r="I16">
        <v>0</v>
      </c>
      <c r="J16">
        <f t="shared" si="0"/>
        <v>91.25</v>
      </c>
      <c r="K16">
        <v>0.1</v>
      </c>
      <c r="L16">
        <v>0.61</v>
      </c>
      <c r="M16">
        <v>27</v>
      </c>
      <c r="N16">
        <f t="shared" si="16"/>
        <v>0</v>
      </c>
      <c r="O16">
        <f t="shared" si="17"/>
        <v>1</v>
      </c>
      <c r="P16">
        <f t="shared" si="1"/>
        <v>0.72</v>
      </c>
      <c r="Q16">
        <f t="shared" si="2"/>
        <v>4.7000000000000002E-3</v>
      </c>
      <c r="R16">
        <f t="shared" si="3"/>
        <v>0</v>
      </c>
      <c r="S16">
        <v>0</v>
      </c>
      <c r="T16">
        <f t="shared" si="18"/>
        <v>0</v>
      </c>
      <c r="U16">
        <f t="shared" si="4"/>
        <v>1.3</v>
      </c>
      <c r="V16">
        <f t="shared" si="5"/>
        <v>1</v>
      </c>
      <c r="W16">
        <f t="shared" si="6"/>
        <v>0.48354999999999998</v>
      </c>
      <c r="X16">
        <v>2.5</v>
      </c>
      <c r="Y16">
        <f t="shared" si="19"/>
        <v>0.99999627334682795</v>
      </c>
      <c r="Z16">
        <f t="shared" si="7"/>
        <v>0.52017847077168489</v>
      </c>
      <c r="AA16">
        <f t="shared" si="20"/>
        <v>0.52017653224693672</v>
      </c>
      <c r="AB16">
        <f t="shared" si="8"/>
        <v>5.2017653224693677E-2</v>
      </c>
      <c r="AC16">
        <f t="shared" si="9"/>
        <v>0.08</v>
      </c>
      <c r="AD16">
        <f t="shared" si="10"/>
        <v>0.1965968171591774</v>
      </c>
      <c r="AE16">
        <f t="shared" si="11"/>
        <v>0.19</v>
      </c>
      <c r="AF16">
        <f t="shared" si="12"/>
        <v>0.6784</v>
      </c>
      <c r="AG16">
        <f t="shared" si="13"/>
        <v>0</v>
      </c>
      <c r="AH16">
        <f t="shared" si="14"/>
        <v>1.1910055371938185E-4</v>
      </c>
      <c r="AI16">
        <f t="shared" si="21"/>
        <v>1.1910055371938185E-4</v>
      </c>
      <c r="AJ16">
        <f t="shared" si="15"/>
        <v>2.2822643606476545</v>
      </c>
      <c r="AR16" s="13" t="s">
        <v>275</v>
      </c>
      <c r="AS16" s="13">
        <v>0.76</v>
      </c>
    </row>
    <row r="17" spans="5:45" hidden="1" x14ac:dyDescent="0.2">
      <c r="E17" s="11"/>
      <c r="F17" t="s">
        <v>165</v>
      </c>
      <c r="G17">
        <v>170</v>
      </c>
      <c r="H17">
        <v>0</v>
      </c>
      <c r="I17">
        <v>0</v>
      </c>
      <c r="J17">
        <f t="shared" si="0"/>
        <v>91.25</v>
      </c>
      <c r="K17">
        <v>0.12</v>
      </c>
      <c r="L17">
        <v>0.64</v>
      </c>
      <c r="M17">
        <v>32</v>
      </c>
      <c r="N17">
        <f t="shared" si="16"/>
        <v>0</v>
      </c>
      <c r="O17">
        <f t="shared" si="17"/>
        <v>1</v>
      </c>
      <c r="P17">
        <f t="shared" si="1"/>
        <v>0.72</v>
      </c>
      <c r="Q17">
        <f t="shared" si="2"/>
        <v>4.7000000000000002E-3</v>
      </c>
      <c r="R17">
        <f t="shared" si="3"/>
        <v>0</v>
      </c>
      <c r="S17">
        <v>0</v>
      </c>
      <c r="T17">
        <f t="shared" si="18"/>
        <v>0</v>
      </c>
      <c r="U17">
        <f t="shared" si="4"/>
        <v>1.3</v>
      </c>
      <c r="V17">
        <f t="shared" si="5"/>
        <v>1</v>
      </c>
      <c r="W17">
        <f t="shared" si="6"/>
        <v>0.50740000000000007</v>
      </c>
      <c r="X17">
        <v>1.6</v>
      </c>
      <c r="Y17">
        <f t="shared" si="19"/>
        <v>0.99402397710499402</v>
      </c>
      <c r="Z17">
        <f t="shared" si="7"/>
        <v>0.64511931548462409</v>
      </c>
      <c r="AA17">
        <f t="shared" si="20"/>
        <v>0.64126406768527744</v>
      </c>
      <c r="AB17">
        <f t="shared" si="8"/>
        <v>7.6951688122233283E-2</v>
      </c>
      <c r="AC17">
        <f t="shared" si="9"/>
        <v>0.08</v>
      </c>
      <c r="AD17">
        <f t="shared" si="10"/>
        <v>0.22751954066312097</v>
      </c>
      <c r="AE17">
        <f t="shared" si="11"/>
        <v>0.19</v>
      </c>
      <c r="AF17">
        <f t="shared" si="12"/>
        <v>0.6784</v>
      </c>
      <c r="AG17">
        <f t="shared" si="13"/>
        <v>0</v>
      </c>
      <c r="AH17">
        <f t="shared" si="14"/>
        <v>1.378338859525741E-4</v>
      </c>
      <c r="AI17">
        <f t="shared" si="21"/>
        <v>1.378338859525741E-4</v>
      </c>
      <c r="AJ17">
        <f t="shared" si="15"/>
        <v>2.1381481558393056</v>
      </c>
    </row>
    <row r="18" spans="5:45" hidden="1" x14ac:dyDescent="0.2">
      <c r="E18" s="12"/>
      <c r="F18" t="s">
        <v>166</v>
      </c>
      <c r="G18">
        <v>200</v>
      </c>
      <c r="H18">
        <v>0</v>
      </c>
      <c r="I18">
        <v>0</v>
      </c>
      <c r="J18">
        <f t="shared" si="0"/>
        <v>91.25</v>
      </c>
      <c r="K18">
        <v>0.18</v>
      </c>
      <c r="L18">
        <v>0.72</v>
      </c>
      <c r="M18">
        <v>34</v>
      </c>
      <c r="N18">
        <f t="shared" si="16"/>
        <v>0</v>
      </c>
      <c r="O18">
        <f t="shared" si="17"/>
        <v>1</v>
      </c>
      <c r="P18">
        <f t="shared" si="1"/>
        <v>0.72</v>
      </c>
      <c r="Q18">
        <f t="shared" si="2"/>
        <v>4.7000000000000002E-3</v>
      </c>
      <c r="R18">
        <f t="shared" si="3"/>
        <v>0</v>
      </c>
      <c r="S18">
        <v>0</v>
      </c>
      <c r="T18">
        <f t="shared" si="18"/>
        <v>0</v>
      </c>
      <c r="U18">
        <f t="shared" si="4"/>
        <v>1.3</v>
      </c>
      <c r="V18">
        <f t="shared" si="5"/>
        <v>1</v>
      </c>
      <c r="W18">
        <f t="shared" si="6"/>
        <v>0.57100000000000006</v>
      </c>
      <c r="X18">
        <v>1.7</v>
      </c>
      <c r="Y18">
        <f t="shared" si="19"/>
        <v>0.99691128459176326</v>
      </c>
      <c r="Z18">
        <f t="shared" si="7"/>
        <v>0.77753323213623582</v>
      </c>
      <c r="AA18">
        <f t="shared" si="20"/>
        <v>0.77513165326172051</v>
      </c>
      <c r="AB18">
        <f t="shared" si="8"/>
        <v>0.1395236975871097</v>
      </c>
      <c r="AC18">
        <f t="shared" si="9"/>
        <v>0.08</v>
      </c>
      <c r="AD18">
        <f t="shared" si="10"/>
        <v>0.22178442402010679</v>
      </c>
      <c r="AE18">
        <f t="shared" si="11"/>
        <v>0.19</v>
      </c>
      <c r="AF18">
        <f t="shared" si="12"/>
        <v>0.6784</v>
      </c>
      <c r="AG18">
        <f t="shared" si="13"/>
        <v>0</v>
      </c>
      <c r="AH18">
        <f t="shared" si="14"/>
        <v>1.3435948805692974E-4</v>
      </c>
      <c r="AI18">
        <f t="shared" si="21"/>
        <v>1.3435948805692974E-4</v>
      </c>
      <c r="AJ18">
        <f t="shared" si="15"/>
        <v>2.4520606570389676</v>
      </c>
      <c r="AQ18" t="s">
        <v>149</v>
      </c>
      <c r="AR18" s="13" t="s">
        <v>254</v>
      </c>
      <c r="AS18" s="13">
        <v>6.0000000000000001E-3</v>
      </c>
    </row>
    <row r="19" spans="5:45" hidden="1" x14ac:dyDescent="0.2">
      <c r="E19" s="11" t="s">
        <v>168</v>
      </c>
      <c r="F19" t="s">
        <v>163</v>
      </c>
      <c r="G19">
        <v>100</v>
      </c>
      <c r="H19">
        <v>95</v>
      </c>
      <c r="I19">
        <v>92</v>
      </c>
      <c r="J19">
        <f t="shared" si="0"/>
        <v>91.25</v>
      </c>
      <c r="K19">
        <v>0.2</v>
      </c>
      <c r="L19">
        <v>0.75</v>
      </c>
      <c r="M19">
        <v>44</v>
      </c>
      <c r="N19">
        <f t="shared" si="16"/>
        <v>0</v>
      </c>
      <c r="O19">
        <f t="shared" si="17"/>
        <v>1</v>
      </c>
      <c r="P19">
        <f t="shared" si="1"/>
        <v>0.72</v>
      </c>
      <c r="Q19">
        <f t="shared" si="2"/>
        <v>4.7000000000000002E-3</v>
      </c>
      <c r="R19">
        <f t="shared" si="3"/>
        <v>0.874</v>
      </c>
      <c r="S19">
        <v>0</v>
      </c>
      <c r="T19">
        <f t="shared" si="18"/>
        <v>0</v>
      </c>
      <c r="U19">
        <f t="shared" si="4"/>
        <v>1.3</v>
      </c>
      <c r="V19">
        <f t="shared" si="5"/>
        <v>1.2622</v>
      </c>
      <c r="W19">
        <f t="shared" si="6"/>
        <v>0.5948500000000001</v>
      </c>
      <c r="X19">
        <v>2.9</v>
      </c>
      <c r="Y19">
        <f t="shared" si="19"/>
        <v>0.9999999504359468</v>
      </c>
      <c r="Z19">
        <f t="shared" si="7"/>
        <v>1.0385156413271623</v>
      </c>
      <c r="AA19">
        <f t="shared" si="20"/>
        <v>1.3108143775138676</v>
      </c>
      <c r="AB19">
        <f t="shared" si="8"/>
        <v>0.26216287550277356</v>
      </c>
      <c r="AC19">
        <f t="shared" si="9"/>
        <v>0.08</v>
      </c>
      <c r="AD19">
        <f t="shared" si="10"/>
        <v>0.36471833025672168</v>
      </c>
      <c r="AE19">
        <f t="shared" si="11"/>
        <v>0.19</v>
      </c>
      <c r="AF19">
        <f t="shared" si="12"/>
        <v>0.6784</v>
      </c>
      <c r="AG19">
        <f t="shared" si="13"/>
        <v>0</v>
      </c>
      <c r="AH19">
        <f t="shared" si="14"/>
        <v>2.2095044931482087E-4</v>
      </c>
      <c r="AI19">
        <f t="shared" si="21"/>
        <v>2.2095044931482087E-4</v>
      </c>
      <c r="AJ19">
        <f t="shared" si="15"/>
        <v>2.0161728499977403</v>
      </c>
      <c r="AR19" s="13" t="s">
        <v>255</v>
      </c>
      <c r="AS19" s="13">
        <v>2E-3</v>
      </c>
    </row>
    <row r="20" spans="5:45" hidden="1" x14ac:dyDescent="0.2">
      <c r="E20" s="12"/>
      <c r="F20" t="s">
        <v>164</v>
      </c>
      <c r="G20">
        <v>140</v>
      </c>
      <c r="H20">
        <v>0</v>
      </c>
      <c r="I20">
        <v>0</v>
      </c>
      <c r="J20">
        <f t="shared" si="0"/>
        <v>91.25</v>
      </c>
      <c r="K20">
        <v>0.1</v>
      </c>
      <c r="L20">
        <v>0.61</v>
      </c>
      <c r="M20">
        <v>42</v>
      </c>
      <c r="N20">
        <f t="shared" si="16"/>
        <v>0</v>
      </c>
      <c r="O20">
        <f t="shared" si="17"/>
        <v>1</v>
      </c>
      <c r="P20">
        <f t="shared" si="1"/>
        <v>0.72</v>
      </c>
      <c r="Q20">
        <f t="shared" si="2"/>
        <v>4.7000000000000002E-3</v>
      </c>
      <c r="R20">
        <f t="shared" si="3"/>
        <v>0</v>
      </c>
      <c r="S20">
        <v>0</v>
      </c>
      <c r="T20">
        <f t="shared" si="18"/>
        <v>0</v>
      </c>
      <c r="U20">
        <f t="shared" si="4"/>
        <v>1.3</v>
      </c>
      <c r="V20">
        <f t="shared" si="5"/>
        <v>1</v>
      </c>
      <c r="W20">
        <f t="shared" si="6"/>
        <v>0.48354999999999998</v>
      </c>
      <c r="X20">
        <v>2.5</v>
      </c>
      <c r="Y20">
        <f t="shared" si="19"/>
        <v>0.99999627334682795</v>
      </c>
      <c r="Z20">
        <f t="shared" si="7"/>
        <v>0.80052120768394575</v>
      </c>
      <c r="AA20">
        <f t="shared" si="20"/>
        <v>0.80051822441904785</v>
      </c>
      <c r="AB20">
        <f t="shared" si="8"/>
        <v>8.0051822441904785E-2</v>
      </c>
      <c r="AC20">
        <f t="shared" si="9"/>
        <v>0.08</v>
      </c>
      <c r="AD20">
        <f t="shared" si="10"/>
        <v>0.31080846185822891</v>
      </c>
      <c r="AE20">
        <f t="shared" si="11"/>
        <v>0.19</v>
      </c>
      <c r="AF20">
        <f t="shared" si="12"/>
        <v>0.6784</v>
      </c>
      <c r="AG20">
        <f t="shared" si="13"/>
        <v>0</v>
      </c>
      <c r="AH20">
        <f t="shared" si="14"/>
        <v>1.8829124724848792E-4</v>
      </c>
      <c r="AI20">
        <f t="shared" si="21"/>
        <v>1.8829124724848792E-4</v>
      </c>
      <c r="AJ20">
        <f t="shared" si="15"/>
        <v>2.4054206835994334</v>
      </c>
      <c r="AQ20" t="s">
        <v>258</v>
      </c>
      <c r="AR20">
        <v>0.6784</v>
      </c>
    </row>
    <row r="21" spans="5:45" hidden="1" x14ac:dyDescent="0.2">
      <c r="E21" s="11"/>
      <c r="F21" t="s">
        <v>165</v>
      </c>
      <c r="G21">
        <v>135</v>
      </c>
      <c r="H21">
        <v>0</v>
      </c>
      <c r="I21">
        <v>0</v>
      </c>
      <c r="J21">
        <f t="shared" si="0"/>
        <v>91.25</v>
      </c>
      <c r="K21">
        <v>0.12</v>
      </c>
      <c r="L21">
        <v>0.64</v>
      </c>
      <c r="M21">
        <v>43</v>
      </c>
      <c r="N21">
        <f t="shared" si="16"/>
        <v>0</v>
      </c>
      <c r="O21">
        <f t="shared" si="17"/>
        <v>1</v>
      </c>
      <c r="P21">
        <f t="shared" si="1"/>
        <v>0.72</v>
      </c>
      <c r="Q21">
        <f t="shared" si="2"/>
        <v>4.7000000000000002E-3</v>
      </c>
      <c r="R21">
        <f t="shared" si="3"/>
        <v>0</v>
      </c>
      <c r="S21">
        <v>0</v>
      </c>
      <c r="T21">
        <f t="shared" si="18"/>
        <v>0</v>
      </c>
      <c r="U21">
        <f t="shared" si="4"/>
        <v>1.3</v>
      </c>
      <c r="V21">
        <f t="shared" si="5"/>
        <v>1</v>
      </c>
      <c r="W21">
        <f t="shared" si="6"/>
        <v>0.50740000000000007</v>
      </c>
      <c r="X21">
        <v>1.6</v>
      </c>
      <c r="Y21">
        <f t="shared" si="19"/>
        <v>0.99402397710499402</v>
      </c>
      <c r="Z21">
        <f t="shared" si="7"/>
        <v>0.86186034677094148</v>
      </c>
      <c r="AA21">
        <f t="shared" si="20"/>
        <v>0.85670984960634056</v>
      </c>
      <c r="AB21">
        <f t="shared" si="8"/>
        <v>0.10280518195276087</v>
      </c>
      <c r="AC21">
        <f t="shared" si="9"/>
        <v>0.08</v>
      </c>
      <c r="AD21">
        <f t="shared" si="10"/>
        <v>0.31075172719360067</v>
      </c>
      <c r="AE21">
        <f t="shared" si="11"/>
        <v>0.19</v>
      </c>
      <c r="AF21">
        <f t="shared" si="12"/>
        <v>0.6784</v>
      </c>
      <c r="AG21">
        <f t="shared" si="13"/>
        <v>0</v>
      </c>
      <c r="AH21">
        <f t="shared" si="14"/>
        <v>1.8825687675322786E-4</v>
      </c>
      <c r="AI21">
        <f t="shared" si="21"/>
        <v>1.8825687675322786E-4</v>
      </c>
      <c r="AJ21">
        <f t="shared" si="15"/>
        <v>2.3190894005038256</v>
      </c>
    </row>
    <row r="22" spans="5:45" x14ac:dyDescent="0.2">
      <c r="E22" s="12"/>
      <c r="F22" t="s">
        <v>166</v>
      </c>
      <c r="G22">
        <v>130</v>
      </c>
      <c r="H22">
        <v>0</v>
      </c>
      <c r="I22">
        <v>0</v>
      </c>
      <c r="J22">
        <f t="shared" si="0"/>
        <v>91.25</v>
      </c>
      <c r="K22">
        <v>0.18</v>
      </c>
      <c r="L22">
        <v>0.72</v>
      </c>
      <c r="M22">
        <v>45</v>
      </c>
      <c r="N22">
        <f t="shared" si="16"/>
        <v>0</v>
      </c>
      <c r="O22">
        <f t="shared" si="17"/>
        <v>1</v>
      </c>
      <c r="P22">
        <f t="shared" si="1"/>
        <v>0.72</v>
      </c>
      <c r="Q22">
        <f t="shared" si="2"/>
        <v>4.7000000000000002E-3</v>
      </c>
      <c r="R22">
        <f t="shared" si="3"/>
        <v>0</v>
      </c>
      <c r="S22">
        <v>0</v>
      </c>
      <c r="T22">
        <f t="shared" si="18"/>
        <v>0</v>
      </c>
      <c r="U22">
        <f t="shared" si="4"/>
        <v>1.3</v>
      </c>
      <c r="V22">
        <f t="shared" si="5"/>
        <v>1</v>
      </c>
      <c r="W22">
        <f t="shared" si="6"/>
        <v>0.57100000000000006</v>
      </c>
      <c r="X22">
        <v>1.7</v>
      </c>
      <c r="Y22">
        <f t="shared" si="19"/>
        <v>0.99691128459176326</v>
      </c>
      <c r="Z22">
        <f t="shared" si="7"/>
        <v>1.0181162441707754</v>
      </c>
      <c r="AA22">
        <f t="shared" si="20"/>
        <v>1.014971572840029</v>
      </c>
      <c r="AB22">
        <f t="shared" si="8"/>
        <v>0.18269488311120521</v>
      </c>
      <c r="AC22">
        <f t="shared" si="9"/>
        <v>0.08</v>
      </c>
      <c r="AD22">
        <f t="shared" si="10"/>
        <v>0.29936683357077126</v>
      </c>
      <c r="AE22">
        <f t="shared" si="11"/>
        <v>0.19</v>
      </c>
      <c r="AF22">
        <f t="shared" si="12"/>
        <v>0.6784</v>
      </c>
      <c r="AG22">
        <f t="shared" si="13"/>
        <v>0</v>
      </c>
      <c r="AH22">
        <f t="shared" si="14"/>
        <v>1.8135978068570922E-4</v>
      </c>
      <c r="AI22">
        <f t="shared" si="21"/>
        <v>1.8135978068570922E-4</v>
      </c>
      <c r="AJ22">
        <f t="shared" si="15"/>
        <v>2.1513803983842257</v>
      </c>
    </row>
    <row r="23" spans="5:45" x14ac:dyDescent="0.2">
      <c r="E23" s="11" t="s">
        <v>170</v>
      </c>
      <c r="F23" t="s">
        <v>163</v>
      </c>
      <c r="G23">
        <v>200</v>
      </c>
      <c r="H23">
        <v>0</v>
      </c>
      <c r="I23">
        <v>0</v>
      </c>
      <c r="J23">
        <f t="shared" si="0"/>
        <v>91.25</v>
      </c>
      <c r="K23">
        <v>0.2</v>
      </c>
      <c r="L23">
        <v>0.75</v>
      </c>
      <c r="M23">
        <v>56</v>
      </c>
      <c r="N23">
        <f t="shared" si="16"/>
        <v>0</v>
      </c>
      <c r="O23">
        <f t="shared" si="17"/>
        <v>1</v>
      </c>
      <c r="P23">
        <f t="shared" si="1"/>
        <v>0.72</v>
      </c>
      <c r="Q23">
        <f t="shared" si="2"/>
        <v>4.7000000000000002E-3</v>
      </c>
      <c r="R23">
        <f t="shared" si="3"/>
        <v>0</v>
      </c>
      <c r="S23">
        <v>0</v>
      </c>
      <c r="T23">
        <f t="shared" si="18"/>
        <v>0</v>
      </c>
      <c r="U23">
        <f t="shared" si="4"/>
        <v>1.3</v>
      </c>
      <c r="V23">
        <f t="shared" si="5"/>
        <v>1</v>
      </c>
      <c r="W23">
        <f t="shared" si="6"/>
        <v>0.5948500000000001</v>
      </c>
      <c r="X23">
        <v>2.9</v>
      </c>
      <c r="Y23">
        <f t="shared" si="19"/>
        <v>0.9999999504359468</v>
      </c>
      <c r="Z23">
        <f t="shared" si="7"/>
        <v>1.3198285488795851</v>
      </c>
      <c r="AA23">
        <f t="shared" si="20"/>
        <v>1.3198284834635328</v>
      </c>
      <c r="AB23">
        <f t="shared" si="8"/>
        <v>0.26396569669270659</v>
      </c>
      <c r="AC23">
        <f t="shared" si="9"/>
        <v>0.08</v>
      </c>
      <c r="AD23">
        <f t="shared" si="10"/>
        <v>0.3676642091046412</v>
      </c>
      <c r="AE23">
        <f t="shared" si="11"/>
        <v>0.19</v>
      </c>
      <c r="AF23">
        <f t="shared" si="12"/>
        <v>0.6784</v>
      </c>
      <c r="AG23">
        <f t="shared" si="13"/>
        <v>0</v>
      </c>
      <c r="AH23">
        <f t="shared" si="14"/>
        <v>2.2273509571473364E-4</v>
      </c>
      <c r="AI23">
        <f t="shared" si="21"/>
        <v>2.2273509571473364E-4</v>
      </c>
      <c r="AJ23">
        <f t="shared" si="15"/>
        <v>4.0649154967938896</v>
      </c>
    </row>
    <row r="24" spans="5:45" x14ac:dyDescent="0.2">
      <c r="E24" s="12"/>
      <c r="F24" t="s">
        <v>164</v>
      </c>
      <c r="G24">
        <v>210</v>
      </c>
      <c r="H24">
        <v>0</v>
      </c>
      <c r="I24">
        <v>0</v>
      </c>
      <c r="J24">
        <f t="shared" si="0"/>
        <v>91.25</v>
      </c>
      <c r="K24">
        <v>0.1</v>
      </c>
      <c r="L24">
        <v>0.61</v>
      </c>
      <c r="M24">
        <v>51</v>
      </c>
      <c r="N24">
        <f t="shared" si="16"/>
        <v>0</v>
      </c>
      <c r="O24">
        <f t="shared" si="17"/>
        <v>1</v>
      </c>
      <c r="P24">
        <f t="shared" si="1"/>
        <v>0.72</v>
      </c>
      <c r="Q24">
        <f t="shared" si="2"/>
        <v>4.7000000000000002E-3</v>
      </c>
      <c r="R24">
        <f t="shared" si="3"/>
        <v>0</v>
      </c>
      <c r="S24">
        <v>0</v>
      </c>
      <c r="T24">
        <f t="shared" si="18"/>
        <v>0</v>
      </c>
      <c r="U24">
        <f t="shared" si="4"/>
        <v>1.3</v>
      </c>
      <c r="V24">
        <f t="shared" si="5"/>
        <v>1</v>
      </c>
      <c r="W24">
        <f t="shared" si="6"/>
        <v>0.48354999999999998</v>
      </c>
      <c r="X24">
        <v>2.5</v>
      </c>
      <c r="Y24">
        <f t="shared" si="19"/>
        <v>0.99999627334682795</v>
      </c>
      <c r="Z24">
        <f t="shared" si="7"/>
        <v>0.97873546256970145</v>
      </c>
      <c r="AA24">
        <f t="shared" si="20"/>
        <v>0.97873181516208529</v>
      </c>
      <c r="AB24">
        <f t="shared" si="8"/>
        <v>9.7873181516208538E-2</v>
      </c>
      <c r="AC24">
        <f t="shared" si="9"/>
        <v>0.08</v>
      </c>
      <c r="AD24">
        <f t="shared" si="10"/>
        <v>0.38642028282934154</v>
      </c>
      <c r="AE24">
        <f t="shared" si="11"/>
        <v>0.19</v>
      </c>
      <c r="AF24">
        <f t="shared" si="12"/>
        <v>0.6784</v>
      </c>
      <c r="AG24">
        <f t="shared" si="13"/>
        <v>0</v>
      </c>
      <c r="AH24">
        <f t="shared" si="14"/>
        <v>2.3409773524518283E-4</v>
      </c>
      <c r="AI24">
        <f t="shared" si="21"/>
        <v>2.3409773524518283E-4</v>
      </c>
      <c r="AJ24">
        <f t="shared" si="15"/>
        <v>4.4858978516358157</v>
      </c>
    </row>
    <row r="25" spans="5:45" x14ac:dyDescent="0.2">
      <c r="E25" s="11"/>
      <c r="F25" t="s">
        <v>165</v>
      </c>
      <c r="G25">
        <v>190</v>
      </c>
      <c r="H25">
        <v>0</v>
      </c>
      <c r="I25">
        <v>0</v>
      </c>
      <c r="J25">
        <f t="shared" si="0"/>
        <v>91.25</v>
      </c>
      <c r="K25">
        <v>0.12</v>
      </c>
      <c r="L25">
        <v>0.64</v>
      </c>
      <c r="M25">
        <v>50</v>
      </c>
      <c r="N25">
        <f t="shared" si="16"/>
        <v>0</v>
      </c>
      <c r="O25">
        <f t="shared" si="17"/>
        <v>1</v>
      </c>
      <c r="P25">
        <f t="shared" si="1"/>
        <v>0.72</v>
      </c>
      <c r="Q25">
        <f t="shared" si="2"/>
        <v>4.7000000000000002E-3</v>
      </c>
      <c r="R25">
        <f t="shared" si="3"/>
        <v>0</v>
      </c>
      <c r="S25">
        <v>0</v>
      </c>
      <c r="T25">
        <f t="shared" si="18"/>
        <v>0</v>
      </c>
      <c r="U25">
        <f t="shared" si="4"/>
        <v>1.3</v>
      </c>
      <c r="V25">
        <f t="shared" si="5"/>
        <v>1</v>
      </c>
      <c r="W25">
        <f t="shared" si="6"/>
        <v>0.50740000000000007</v>
      </c>
      <c r="X25">
        <v>1.6</v>
      </c>
      <c r="Y25">
        <f t="shared" si="19"/>
        <v>0.99402397710499402</v>
      </c>
      <c r="Z25">
        <f t="shared" si="7"/>
        <v>1.0054871153505722</v>
      </c>
      <c r="AA25">
        <f t="shared" si="20"/>
        <v>0.99947830132860371</v>
      </c>
      <c r="AB25">
        <f t="shared" si="8"/>
        <v>0.11993739615943244</v>
      </c>
      <c r="AC25">
        <f t="shared" si="9"/>
        <v>0.08</v>
      </c>
      <c r="AD25">
        <f t="shared" si="10"/>
        <v>0.36778882639365651</v>
      </c>
      <c r="AE25">
        <f t="shared" si="11"/>
        <v>0.19</v>
      </c>
      <c r="AF25">
        <f t="shared" si="12"/>
        <v>0.6784</v>
      </c>
      <c r="AG25">
        <f t="shared" si="13"/>
        <v>0</v>
      </c>
      <c r="AH25">
        <f t="shared" si="14"/>
        <v>2.2281059026413275E-4</v>
      </c>
      <c r="AI25">
        <f t="shared" si="21"/>
        <v>2.2281059026413275E-4</v>
      </c>
      <c r="AJ25">
        <f t="shared" si="15"/>
        <v>3.8629786087044016</v>
      </c>
      <c r="AP25" t="s">
        <v>211</v>
      </c>
    </row>
    <row r="26" spans="5:45" x14ac:dyDescent="0.2">
      <c r="E26" s="12"/>
      <c r="F26" t="s">
        <v>166</v>
      </c>
      <c r="G26">
        <v>180</v>
      </c>
      <c r="H26">
        <v>0</v>
      </c>
      <c r="I26">
        <v>0</v>
      </c>
      <c r="J26">
        <f t="shared" si="0"/>
        <v>91.25</v>
      </c>
      <c r="K26">
        <v>0.18</v>
      </c>
      <c r="L26">
        <v>0.72</v>
      </c>
      <c r="M26">
        <v>51</v>
      </c>
      <c r="N26">
        <f t="shared" si="16"/>
        <v>0</v>
      </c>
      <c r="O26">
        <f t="shared" si="17"/>
        <v>1</v>
      </c>
      <c r="P26">
        <f t="shared" si="1"/>
        <v>0.72</v>
      </c>
      <c r="Q26">
        <f t="shared" si="2"/>
        <v>4.7000000000000002E-3</v>
      </c>
      <c r="R26">
        <f t="shared" si="3"/>
        <v>0</v>
      </c>
      <c r="S26">
        <v>0</v>
      </c>
      <c r="T26">
        <f t="shared" si="18"/>
        <v>0</v>
      </c>
      <c r="U26">
        <f t="shared" si="4"/>
        <v>1.3</v>
      </c>
      <c r="V26">
        <f t="shared" si="5"/>
        <v>1</v>
      </c>
      <c r="W26">
        <f t="shared" si="6"/>
        <v>0.57100000000000006</v>
      </c>
      <c r="X26">
        <v>1.7</v>
      </c>
      <c r="Y26">
        <f t="shared" si="19"/>
        <v>0.99691128459176326</v>
      </c>
      <c r="Z26">
        <f t="shared" si="7"/>
        <v>1.1534721617679149</v>
      </c>
      <c r="AA26">
        <f t="shared" si="20"/>
        <v>1.1499094145288902</v>
      </c>
      <c r="AB26">
        <f t="shared" si="8"/>
        <v>0.20698369461520022</v>
      </c>
      <c r="AC26">
        <f t="shared" si="9"/>
        <v>0.08</v>
      </c>
      <c r="AD26">
        <f t="shared" si="10"/>
        <v>0.34487699833033825</v>
      </c>
      <c r="AE26">
        <f t="shared" si="11"/>
        <v>0.19</v>
      </c>
      <c r="AF26">
        <f t="shared" si="12"/>
        <v>0.6784</v>
      </c>
      <c r="AG26">
        <f t="shared" si="13"/>
        <v>0</v>
      </c>
      <c r="AH26">
        <f t="shared" si="14"/>
        <v>2.0893034821090021E-4</v>
      </c>
      <c r="AI26">
        <f t="shared" si="21"/>
        <v>2.0893034821090021E-4</v>
      </c>
      <c r="AJ26">
        <f t="shared" si="15"/>
        <v>3.4316809693640358</v>
      </c>
      <c r="AP26" s="13" t="s">
        <v>193</v>
      </c>
      <c r="AQ26" s="13">
        <v>99.25</v>
      </c>
      <c r="AR26" s="13">
        <v>0.75</v>
      </c>
    </row>
    <row r="27" spans="5:45" x14ac:dyDescent="0.2">
      <c r="E27" s="11" t="s">
        <v>162</v>
      </c>
      <c r="F27" t="s">
        <v>163</v>
      </c>
      <c r="G27">
        <v>50</v>
      </c>
      <c r="H27">
        <v>0</v>
      </c>
      <c r="I27">
        <v>0</v>
      </c>
      <c r="J27">
        <f t="shared" si="0"/>
        <v>91.25</v>
      </c>
      <c r="K27">
        <v>0.2</v>
      </c>
      <c r="L27">
        <v>0.75</v>
      </c>
      <c r="M27">
        <v>75</v>
      </c>
      <c r="N27">
        <f t="shared" si="16"/>
        <v>0</v>
      </c>
      <c r="O27">
        <f t="shared" si="17"/>
        <v>1</v>
      </c>
      <c r="P27">
        <f t="shared" si="1"/>
        <v>0.72</v>
      </c>
      <c r="Q27">
        <f t="shared" si="2"/>
        <v>4.7000000000000002E-3</v>
      </c>
      <c r="R27">
        <f t="shared" si="3"/>
        <v>0</v>
      </c>
      <c r="S27">
        <v>0</v>
      </c>
      <c r="T27">
        <f t="shared" si="18"/>
        <v>0</v>
      </c>
      <c r="U27">
        <f t="shared" si="4"/>
        <v>1.3</v>
      </c>
      <c r="V27">
        <f t="shared" si="5"/>
        <v>1</v>
      </c>
      <c r="W27">
        <f t="shared" si="6"/>
        <v>0.5948500000000001</v>
      </c>
      <c r="X27">
        <v>2.9</v>
      </c>
      <c r="Y27">
        <f t="shared" si="19"/>
        <v>0.9999999504359468</v>
      </c>
      <c r="Z27">
        <f t="shared" si="7"/>
        <v>1.7917898456122741</v>
      </c>
      <c r="AA27">
        <f t="shared" si="20"/>
        <v>1.7917897568039067</v>
      </c>
      <c r="AB27">
        <f t="shared" si="8"/>
        <v>0.35835795136078136</v>
      </c>
      <c r="AC27">
        <f t="shared" si="9"/>
        <v>0.08</v>
      </c>
      <c r="AD27">
        <f t="shared" si="10"/>
        <v>0.53025843166411502</v>
      </c>
      <c r="AE27">
        <f t="shared" si="11"/>
        <v>0.19</v>
      </c>
      <c r="AF27">
        <f t="shared" si="12"/>
        <v>0.6784</v>
      </c>
      <c r="AG27">
        <f t="shared" si="13"/>
        <v>0</v>
      </c>
      <c r="AH27">
        <f t="shared" si="14"/>
        <v>3.2123649679655553E-4</v>
      </c>
      <c r="AI27">
        <f t="shared" si="21"/>
        <v>3.2123649679655553E-4</v>
      </c>
      <c r="AJ27">
        <f t="shared" si="15"/>
        <v>1.4656415166342844</v>
      </c>
      <c r="AP27" s="13" t="s">
        <v>270</v>
      </c>
      <c r="AQ27" s="13">
        <v>99.55</v>
      </c>
      <c r="AR27" s="13">
        <v>0.45</v>
      </c>
    </row>
    <row r="28" spans="5:45" x14ac:dyDescent="0.2">
      <c r="E28" s="12"/>
      <c r="F28" t="s">
        <v>164</v>
      </c>
      <c r="G28">
        <v>55</v>
      </c>
      <c r="H28">
        <v>0</v>
      </c>
      <c r="I28">
        <v>0</v>
      </c>
      <c r="J28">
        <f t="shared" si="0"/>
        <v>91.25</v>
      </c>
      <c r="K28">
        <v>0.1</v>
      </c>
      <c r="L28">
        <v>0.61</v>
      </c>
      <c r="M28">
        <v>75</v>
      </c>
      <c r="N28">
        <f t="shared" si="16"/>
        <v>0</v>
      </c>
      <c r="O28">
        <f t="shared" si="17"/>
        <v>1</v>
      </c>
      <c r="P28">
        <f t="shared" si="1"/>
        <v>0.72</v>
      </c>
      <c r="Q28">
        <f t="shared" si="2"/>
        <v>4.7000000000000002E-3</v>
      </c>
      <c r="R28">
        <f t="shared" si="3"/>
        <v>0</v>
      </c>
      <c r="S28">
        <v>0</v>
      </c>
      <c r="T28">
        <f t="shared" si="18"/>
        <v>0</v>
      </c>
      <c r="U28">
        <f t="shared" si="4"/>
        <v>1.3</v>
      </c>
      <c r="V28">
        <f t="shared" si="5"/>
        <v>1</v>
      </c>
      <c r="W28">
        <f t="shared" si="6"/>
        <v>0.48354999999999998</v>
      </c>
      <c r="X28">
        <v>2.5</v>
      </c>
      <c r="Y28">
        <f t="shared" si="19"/>
        <v>0.99999627334682795</v>
      </c>
      <c r="Z28">
        <f t="shared" si="7"/>
        <v>1.4948026034112167</v>
      </c>
      <c r="AA28">
        <f t="shared" si="20"/>
        <v>1.494797032800353</v>
      </c>
      <c r="AB28">
        <f t="shared" si="8"/>
        <v>0.14947970328003532</v>
      </c>
      <c r="AC28">
        <f t="shared" si="9"/>
        <v>0.08</v>
      </c>
      <c r="AD28">
        <f t="shared" si="10"/>
        <v>0.61855976399785639</v>
      </c>
      <c r="AE28">
        <f t="shared" si="11"/>
        <v>0.19</v>
      </c>
      <c r="AF28">
        <f t="shared" si="12"/>
        <v>0.6784</v>
      </c>
      <c r="AG28">
        <f t="shared" si="13"/>
        <v>0</v>
      </c>
      <c r="AH28">
        <f t="shared" si="14"/>
        <v>3.7473043289925815E-4</v>
      </c>
      <c r="AI28">
        <f t="shared" si="21"/>
        <v>3.7473043289925815E-4</v>
      </c>
      <c r="AJ28">
        <f t="shared" si="15"/>
        <v>1.8806783601131516</v>
      </c>
      <c r="AP28" s="13" t="s">
        <v>271</v>
      </c>
      <c r="AQ28" s="13">
        <v>99.91</v>
      </c>
      <c r="AR28" s="13">
        <v>0.09</v>
      </c>
    </row>
    <row r="29" spans="5:45" x14ac:dyDescent="0.2">
      <c r="E29" s="11"/>
      <c r="F29" t="s">
        <v>165</v>
      </c>
      <c r="G29">
        <v>60</v>
      </c>
      <c r="H29">
        <v>0</v>
      </c>
      <c r="I29">
        <v>0</v>
      </c>
      <c r="J29">
        <f t="shared" si="0"/>
        <v>91.25</v>
      </c>
      <c r="K29">
        <v>0.12</v>
      </c>
      <c r="L29">
        <v>0.64</v>
      </c>
      <c r="M29">
        <v>69</v>
      </c>
      <c r="N29">
        <f t="shared" si="16"/>
        <v>0</v>
      </c>
      <c r="O29">
        <f t="shared" si="17"/>
        <v>1</v>
      </c>
      <c r="P29">
        <f t="shared" si="1"/>
        <v>0.72</v>
      </c>
      <c r="Q29">
        <f t="shared" si="2"/>
        <v>4.7000000000000002E-3</v>
      </c>
      <c r="R29">
        <f t="shared" si="3"/>
        <v>0</v>
      </c>
      <c r="S29">
        <v>0</v>
      </c>
      <c r="T29">
        <f t="shared" si="18"/>
        <v>0</v>
      </c>
      <c r="U29">
        <f t="shared" si="4"/>
        <v>1.3</v>
      </c>
      <c r="V29">
        <f t="shared" si="5"/>
        <v>1</v>
      </c>
      <c r="W29">
        <f t="shared" si="6"/>
        <v>0.50740000000000007</v>
      </c>
      <c r="X29">
        <v>1.6</v>
      </c>
      <c r="Y29">
        <f t="shared" si="19"/>
        <v>0.99402397710499402</v>
      </c>
      <c r="Z29">
        <f t="shared" si="7"/>
        <v>1.4198696820048529</v>
      </c>
      <c r="AA29">
        <f t="shared" si="20"/>
        <v>1.4113845082772669</v>
      </c>
      <c r="AB29">
        <f t="shared" si="8"/>
        <v>0.16936614099327202</v>
      </c>
      <c r="AC29">
        <f t="shared" si="9"/>
        <v>0.08</v>
      </c>
      <c r="AD29">
        <f t="shared" si="10"/>
        <v>0.54075637841297708</v>
      </c>
      <c r="AE29">
        <f t="shared" si="11"/>
        <v>0.19</v>
      </c>
      <c r="AF29">
        <f t="shared" si="12"/>
        <v>0.6784</v>
      </c>
      <c r="AG29">
        <f t="shared" si="13"/>
        <v>0</v>
      </c>
      <c r="AH29">
        <f t="shared" si="14"/>
        <v>3.2759627051401975E-4</v>
      </c>
      <c r="AI29">
        <f t="shared" si="21"/>
        <v>3.2759627051401975E-4</v>
      </c>
      <c r="AJ29">
        <f t="shared" si="15"/>
        <v>1.7935895810642581</v>
      </c>
      <c r="AP29" s="13" t="s">
        <v>272</v>
      </c>
      <c r="AQ29" s="13">
        <v>99.74</v>
      </c>
      <c r="AR29" s="13">
        <v>0.26</v>
      </c>
    </row>
    <row r="30" spans="5:45" x14ac:dyDescent="0.2">
      <c r="E30" s="12"/>
      <c r="F30" t="s">
        <v>166</v>
      </c>
      <c r="G30">
        <v>65</v>
      </c>
      <c r="H30">
        <v>0</v>
      </c>
      <c r="I30">
        <v>0</v>
      </c>
      <c r="J30">
        <f t="shared" si="0"/>
        <v>91.25</v>
      </c>
      <c r="K30">
        <v>0.18</v>
      </c>
      <c r="L30">
        <v>0.72</v>
      </c>
      <c r="M30">
        <v>69</v>
      </c>
      <c r="N30">
        <f t="shared" si="16"/>
        <v>0</v>
      </c>
      <c r="O30">
        <f t="shared" si="17"/>
        <v>1</v>
      </c>
      <c r="P30">
        <f t="shared" si="1"/>
        <v>0.72</v>
      </c>
      <c r="Q30">
        <f t="shared" si="2"/>
        <v>4.7000000000000002E-3</v>
      </c>
      <c r="R30">
        <f t="shared" si="3"/>
        <v>0</v>
      </c>
      <c r="S30">
        <v>0</v>
      </c>
      <c r="T30">
        <f t="shared" si="18"/>
        <v>0</v>
      </c>
      <c r="U30">
        <f t="shared" si="4"/>
        <v>1.3</v>
      </c>
      <c r="V30">
        <f t="shared" si="5"/>
        <v>1</v>
      </c>
      <c r="W30">
        <f t="shared" si="6"/>
        <v>0.57100000000000006</v>
      </c>
      <c r="X30">
        <v>1.7</v>
      </c>
      <c r="Y30">
        <f t="shared" si="19"/>
        <v>0.99691128459176326</v>
      </c>
      <c r="Z30">
        <f t="shared" si="7"/>
        <v>1.5792888783210146</v>
      </c>
      <c r="AA30">
        <f t="shared" si="20"/>
        <v>1.5744109044284875</v>
      </c>
      <c r="AB30">
        <f t="shared" si="8"/>
        <v>0.28339396279712775</v>
      </c>
      <c r="AC30">
        <f t="shared" si="9"/>
        <v>0.08</v>
      </c>
      <c r="AD30">
        <f t="shared" si="10"/>
        <v>0.49678697379296494</v>
      </c>
      <c r="AE30">
        <f t="shared" si="11"/>
        <v>0.19</v>
      </c>
      <c r="AF30">
        <f t="shared" si="12"/>
        <v>0.6784</v>
      </c>
      <c r="AG30">
        <f t="shared" si="13"/>
        <v>0</v>
      </c>
      <c r="AH30">
        <f t="shared" si="14"/>
        <v>3.0095911273788462E-4</v>
      </c>
      <c r="AI30">
        <f t="shared" si="21"/>
        <v>3.0095911273788462E-4</v>
      </c>
      <c r="AJ30">
        <f t="shared" si="15"/>
        <v>1.7850637374265781</v>
      </c>
      <c r="AP30" s="13" t="s">
        <v>273</v>
      </c>
      <c r="AQ30" s="13">
        <v>99.5</v>
      </c>
      <c r="AR30" s="13">
        <v>0.5</v>
      </c>
    </row>
    <row r="31" spans="5:45" x14ac:dyDescent="0.2">
      <c r="E31" s="11" t="s">
        <v>167</v>
      </c>
      <c r="F31" t="s">
        <v>163</v>
      </c>
      <c r="G31">
        <v>50</v>
      </c>
      <c r="H31">
        <v>0</v>
      </c>
      <c r="I31">
        <v>0</v>
      </c>
      <c r="J31">
        <f t="shared" si="0"/>
        <v>91.25</v>
      </c>
      <c r="K31">
        <v>0.2</v>
      </c>
      <c r="L31">
        <v>0.75</v>
      </c>
      <c r="M31">
        <v>62</v>
      </c>
      <c r="N31">
        <f t="shared" si="16"/>
        <v>0</v>
      </c>
      <c r="O31">
        <f t="shared" si="17"/>
        <v>1</v>
      </c>
      <c r="P31">
        <f t="shared" si="1"/>
        <v>0.72</v>
      </c>
      <c r="Q31">
        <f t="shared" si="2"/>
        <v>4.7000000000000002E-3</v>
      </c>
      <c r="R31">
        <f t="shared" si="3"/>
        <v>0</v>
      </c>
      <c r="S31">
        <v>0</v>
      </c>
      <c r="T31">
        <f t="shared" si="18"/>
        <v>0</v>
      </c>
      <c r="U31">
        <f t="shared" si="4"/>
        <v>1.3</v>
      </c>
      <c r="V31">
        <f t="shared" si="5"/>
        <v>1</v>
      </c>
      <c r="W31">
        <f t="shared" si="6"/>
        <v>0.5948500000000001</v>
      </c>
      <c r="X31">
        <v>2.9</v>
      </c>
      <c r="Y31">
        <f t="shared" si="19"/>
        <v>0.9999999504359468</v>
      </c>
      <c r="Z31">
        <f t="shared" si="7"/>
        <v>1.4652245899459331</v>
      </c>
      <c r="AA31">
        <f t="shared" si="20"/>
        <v>1.4652245173234635</v>
      </c>
      <c r="AB31">
        <f t="shared" si="8"/>
        <v>0.2930449034646927</v>
      </c>
      <c r="AC31">
        <f t="shared" si="9"/>
        <v>0.08</v>
      </c>
      <c r="AD31">
        <f t="shared" si="10"/>
        <v>0.41600692919529714</v>
      </c>
      <c r="AE31">
        <f t="shared" si="11"/>
        <v>0.19</v>
      </c>
      <c r="AF31">
        <f t="shared" si="12"/>
        <v>0.6784</v>
      </c>
      <c r="AG31">
        <f t="shared" si="13"/>
        <v>0</v>
      </c>
      <c r="AH31">
        <f t="shared" si="14"/>
        <v>2.5202165698411799E-4</v>
      </c>
      <c r="AI31">
        <f t="shared" si="21"/>
        <v>2.5202165698411799E-4</v>
      </c>
      <c r="AJ31">
        <f t="shared" si="15"/>
        <v>1.1498488099900384</v>
      </c>
      <c r="AP31" s="13" t="s">
        <v>274</v>
      </c>
      <c r="AQ31" s="13">
        <v>99.17</v>
      </c>
      <c r="AR31" s="13">
        <v>0.83</v>
      </c>
    </row>
    <row r="32" spans="5:45" x14ac:dyDescent="0.2">
      <c r="E32" s="12"/>
      <c r="F32" t="s">
        <v>164</v>
      </c>
      <c r="G32">
        <v>100</v>
      </c>
      <c r="H32">
        <v>0</v>
      </c>
      <c r="I32">
        <v>0</v>
      </c>
      <c r="J32">
        <f t="shared" si="0"/>
        <v>91.25</v>
      </c>
      <c r="K32">
        <v>0.1</v>
      </c>
      <c r="L32">
        <v>0.61</v>
      </c>
      <c r="M32">
        <v>55</v>
      </c>
      <c r="N32">
        <f t="shared" si="16"/>
        <v>0</v>
      </c>
      <c r="O32">
        <f t="shared" si="17"/>
        <v>1</v>
      </c>
      <c r="P32">
        <f t="shared" si="1"/>
        <v>0.72</v>
      </c>
      <c r="Q32">
        <f t="shared" si="2"/>
        <v>4.7000000000000002E-3</v>
      </c>
      <c r="R32">
        <f t="shared" si="3"/>
        <v>0</v>
      </c>
      <c r="S32">
        <v>0</v>
      </c>
      <c r="T32">
        <f t="shared" si="18"/>
        <v>0</v>
      </c>
      <c r="U32">
        <f t="shared" si="4"/>
        <v>1.3</v>
      </c>
      <c r="V32">
        <f t="shared" si="5"/>
        <v>1</v>
      </c>
      <c r="W32">
        <f t="shared" si="6"/>
        <v>0.48354999999999998</v>
      </c>
      <c r="X32">
        <v>2.5</v>
      </c>
      <c r="Y32">
        <f t="shared" si="19"/>
        <v>0.99999627334682795</v>
      </c>
      <c r="Z32">
        <f t="shared" si="7"/>
        <v>1.0605624381175847</v>
      </c>
      <c r="AA32">
        <f t="shared" si="20"/>
        <v>1.0605584857692105</v>
      </c>
      <c r="AB32">
        <f t="shared" si="8"/>
        <v>0.10605584857692106</v>
      </c>
      <c r="AC32">
        <f t="shared" si="9"/>
        <v>0.08</v>
      </c>
      <c r="AD32">
        <f t="shared" si="10"/>
        <v>0.42192044699791736</v>
      </c>
      <c r="AE32">
        <f t="shared" si="11"/>
        <v>0.19</v>
      </c>
      <c r="AF32">
        <f t="shared" si="12"/>
        <v>0.6784</v>
      </c>
      <c r="AG32">
        <f t="shared" si="13"/>
        <v>0</v>
      </c>
      <c r="AH32">
        <f t="shared" si="14"/>
        <v>2.5560413230034477E-4</v>
      </c>
      <c r="AI32">
        <f t="shared" si="21"/>
        <v>2.5560413230034477E-4</v>
      </c>
      <c r="AJ32">
        <f t="shared" si="15"/>
        <v>2.3323877072406463</v>
      </c>
      <c r="AP32" s="13" t="s">
        <v>275</v>
      </c>
      <c r="AQ32" s="13">
        <v>99.59</v>
      </c>
      <c r="AR32" s="13">
        <v>0.41</v>
      </c>
    </row>
    <row r="33" spans="1:65" x14ac:dyDescent="0.2">
      <c r="E33" s="11"/>
      <c r="F33" t="s">
        <v>165</v>
      </c>
      <c r="G33">
        <v>90</v>
      </c>
      <c r="H33">
        <v>0</v>
      </c>
      <c r="I33">
        <v>0</v>
      </c>
      <c r="J33">
        <f t="shared" si="0"/>
        <v>91.25</v>
      </c>
      <c r="K33">
        <v>0.12</v>
      </c>
      <c r="L33">
        <v>0.64</v>
      </c>
      <c r="M33">
        <v>55</v>
      </c>
      <c r="N33">
        <f t="shared" si="16"/>
        <v>0</v>
      </c>
      <c r="O33">
        <f t="shared" si="17"/>
        <v>1</v>
      </c>
      <c r="P33">
        <f t="shared" si="1"/>
        <v>0.72</v>
      </c>
      <c r="Q33">
        <f t="shared" si="2"/>
        <v>4.7000000000000002E-3</v>
      </c>
      <c r="R33">
        <f t="shared" si="3"/>
        <v>0</v>
      </c>
      <c r="S33">
        <v>0</v>
      </c>
      <c r="T33">
        <f t="shared" si="18"/>
        <v>0</v>
      </c>
      <c r="U33">
        <f t="shared" si="4"/>
        <v>1.3</v>
      </c>
      <c r="V33">
        <f t="shared" si="5"/>
        <v>1</v>
      </c>
      <c r="W33">
        <f t="shared" si="6"/>
        <v>0.50740000000000007</v>
      </c>
      <c r="X33">
        <v>1.6</v>
      </c>
      <c r="Y33">
        <f t="shared" si="19"/>
        <v>0.99402397710499402</v>
      </c>
      <c r="Z33">
        <f t="shared" si="7"/>
        <v>1.1109945415495692</v>
      </c>
      <c r="AA33">
        <f t="shared" si="20"/>
        <v>1.1043552127330423</v>
      </c>
      <c r="AB33">
        <f t="shared" si="8"/>
        <v>0.13252262552796507</v>
      </c>
      <c r="AC33">
        <f t="shared" si="9"/>
        <v>0.08</v>
      </c>
      <c r="AD33">
        <f t="shared" si="10"/>
        <v>0.41064374249795926</v>
      </c>
      <c r="AE33">
        <f t="shared" si="11"/>
        <v>0.19</v>
      </c>
      <c r="AF33">
        <f t="shared" si="12"/>
        <v>0.6784</v>
      </c>
      <c r="AG33">
        <f t="shared" si="13"/>
        <v>0</v>
      </c>
      <c r="AH33">
        <f t="shared" si="14"/>
        <v>2.4877257841517971E-4</v>
      </c>
      <c r="AI33">
        <f t="shared" si="21"/>
        <v>2.4877257841517971E-4</v>
      </c>
      <c r="AJ33">
        <f t="shared" si="15"/>
        <v>2.0430448002346635</v>
      </c>
    </row>
    <row r="34" spans="1:65" x14ac:dyDescent="0.2">
      <c r="E34" s="12"/>
      <c r="F34" t="s">
        <v>166</v>
      </c>
      <c r="G34">
        <v>80</v>
      </c>
      <c r="H34">
        <v>0</v>
      </c>
      <c r="I34">
        <v>0</v>
      </c>
      <c r="J34">
        <f t="shared" si="0"/>
        <v>91.25</v>
      </c>
      <c r="K34">
        <v>0.18</v>
      </c>
      <c r="L34">
        <v>0.72</v>
      </c>
      <c r="M34">
        <v>55</v>
      </c>
      <c r="N34">
        <f t="shared" si="16"/>
        <v>0</v>
      </c>
      <c r="O34">
        <f t="shared" si="17"/>
        <v>1</v>
      </c>
      <c r="P34">
        <f t="shared" si="1"/>
        <v>0.72</v>
      </c>
      <c r="Q34">
        <f t="shared" si="2"/>
        <v>4.7000000000000002E-3</v>
      </c>
      <c r="R34">
        <f t="shared" si="3"/>
        <v>0</v>
      </c>
      <c r="S34">
        <v>0</v>
      </c>
      <c r="T34">
        <f t="shared" si="18"/>
        <v>0</v>
      </c>
      <c r="U34">
        <f t="shared" si="4"/>
        <v>1.3</v>
      </c>
      <c r="V34">
        <f t="shared" si="5"/>
        <v>1</v>
      </c>
      <c r="W34">
        <f t="shared" si="6"/>
        <v>0.57100000000000006</v>
      </c>
      <c r="X34">
        <v>1.7</v>
      </c>
      <c r="Y34">
        <f t="shared" si="19"/>
        <v>0.99691128459176326</v>
      </c>
      <c r="Z34">
        <f t="shared" si="7"/>
        <v>1.2454801507015281</v>
      </c>
      <c r="AA34">
        <f t="shared" si="20"/>
        <v>1.2416332169694033</v>
      </c>
      <c r="AB34">
        <f t="shared" si="8"/>
        <v>0.22349397905449259</v>
      </c>
      <c r="AC34">
        <f t="shared" si="9"/>
        <v>0.08</v>
      </c>
      <c r="AD34">
        <f t="shared" si="10"/>
        <v>0.37657754876504823</v>
      </c>
      <c r="AE34">
        <f t="shared" si="11"/>
        <v>0.19</v>
      </c>
      <c r="AF34">
        <f t="shared" si="12"/>
        <v>0.6784</v>
      </c>
      <c r="AG34">
        <f t="shared" si="13"/>
        <v>0</v>
      </c>
      <c r="AH34">
        <f t="shared" si="14"/>
        <v>2.2813489671041239E-4</v>
      </c>
      <c r="AI34">
        <f t="shared" si="21"/>
        <v>2.2813489671041239E-4</v>
      </c>
      <c r="AJ34">
        <f t="shared" si="15"/>
        <v>1.6653847459860105</v>
      </c>
    </row>
    <row r="36" spans="1:65" x14ac:dyDescent="0.2">
      <c r="AP36" t="s">
        <v>136</v>
      </c>
    </row>
    <row r="37" spans="1:65" ht="17" thickBot="1" x14ac:dyDescent="0.25">
      <c r="AP37" s="13" t="s">
        <v>224</v>
      </c>
      <c r="AQ37" s="13">
        <v>5.8999999999999999E-3</v>
      </c>
      <c r="BF37" s="8"/>
      <c r="BG37" s="9"/>
      <c r="BH37" s="9"/>
      <c r="BI37" s="9"/>
      <c r="BJ37" s="9"/>
      <c r="BK37" s="9"/>
      <c r="BL37" s="9"/>
      <c r="BM37" s="10"/>
    </row>
    <row r="38" spans="1:65" ht="17" thickTop="1" x14ac:dyDescent="0.2">
      <c r="AP38" s="13" t="s">
        <v>225</v>
      </c>
      <c r="AQ38" s="13">
        <v>7.0000000000000001E-3</v>
      </c>
      <c r="BF38" s="2"/>
      <c r="BG38" s="3"/>
      <c r="BH38" s="3"/>
      <c r="BI38" s="3"/>
      <c r="BJ38" s="3"/>
      <c r="BK38" s="3"/>
      <c r="BL38" s="3"/>
      <c r="BM38" s="6"/>
    </row>
    <row r="39" spans="1:65" x14ac:dyDescent="0.2">
      <c r="AP39" s="13" t="s">
        <v>226</v>
      </c>
      <c r="AQ39" s="13">
        <v>1.8E-3</v>
      </c>
      <c r="BF39" s="4"/>
    </row>
    <row r="40" spans="1:65" x14ac:dyDescent="0.2">
      <c r="AP40" s="13" t="s">
        <v>227</v>
      </c>
      <c r="AQ40" s="13">
        <v>2.8999999999999998E-3</v>
      </c>
      <c r="BF40" s="2"/>
    </row>
    <row r="41" spans="1:65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G41">
        <v>100</v>
      </c>
      <c r="H41">
        <v>95</v>
      </c>
      <c r="I41">
        <v>90</v>
      </c>
      <c r="J41">
        <f t="shared" ref="J41:J64" si="22">$AQ$3</f>
        <v>91.25</v>
      </c>
      <c r="K41" cm="1">
        <f t="array" ref="K41:K64">_xlfn.DROP(_xlfn.XLOOKUP($C41,QueryCP[[#Headers],[ACT/NSW]:[WA]],QueryCP[[#All],[ACT/NSW]:[WA]]),1)</f>
        <v>0.2</v>
      </c>
      <c r="L41" cm="1">
        <f t="array" ref="L41:L64">_xlfn.DROP(_xlfn.XLOOKUP($C41,QueryDMD[[#Headers],[ACT/NSW]:[WA]],QueryDMD[[#All],[ACT/NSW]:[WA]]),1)</f>
        <v>0.75</v>
      </c>
      <c r="M41" cm="1">
        <f t="array" ref="M41:M64">_xlfn.DROP(_xlfn.XLOOKUP($C41,QueryW[[#Headers],[ACT/NSW]:[WA]],QueryW[[#All],[ACT/NSW]:[WA]]),1)</f>
        <v>54</v>
      </c>
      <c r="N41">
        <f>1-O41</f>
        <v>4.5000000000000595E-3</v>
      </c>
      <c r="O41">
        <f>IF($D41="yes", 1, VLOOKUP($B41, $AP$26:$AR$32, 2, FALSE)/100)</f>
        <v>0.99549999999999994</v>
      </c>
      <c r="P41">
        <f>VLOOKUP($B41,$AR$10:$AS$16, 2, FALSE)</f>
        <v>0.75</v>
      </c>
      <c r="Q41">
        <f t="shared" ref="Q41:Q64" si="23">$AQ$10</f>
        <v>4.7000000000000002E-3</v>
      </c>
      <c r="R41">
        <f t="shared" ref="R41:R64" si="24">(H41/100)*(MIN(I41,100)/100)</f>
        <v>0.85499999999999998</v>
      </c>
      <c r="S41">
        <v>0</v>
      </c>
      <c r="T41">
        <f>1.6 * S41</f>
        <v>0</v>
      </c>
      <c r="U41">
        <f t="shared" ref="U41:U64" si="25">$AT$1</f>
        <v>1.3</v>
      </c>
      <c r="V41">
        <f t="shared" ref="V41:V64" si="26">R41*U41+(1-R41)</f>
        <v>1.2565</v>
      </c>
      <c r="W41">
        <f t="shared" ref="W41:W64" si="27">(0.795*L41)-0.0014</f>
        <v>0.5948500000000001</v>
      </c>
      <c r="X41" cm="1">
        <f t="array" ref="X41:X64">_xlfn.DROP(_xlfn.XLOOKUP($C41,QueryDMA[[#Headers],[ACT/NSW]:[WA]],QueryDMA[[#All],[ACT/NSW]:[WA]]),1)</f>
        <v>2.9</v>
      </c>
      <c r="Y41">
        <f>1 - EXP(-2*(X41^2))</f>
        <v>0.9999999504359468</v>
      </c>
      <c r="Z41">
        <f t="shared" ref="Z41:Z64" si="28">(104.7*W41+0.307*M41-15)*(M41^0.75)*10^-3</f>
        <v>1.2720847291262878</v>
      </c>
      <c r="AA41">
        <f>Z41*Y41*V41</f>
        <v>1.5983743829252637</v>
      </c>
      <c r="AB41">
        <f t="shared" ref="AB41:AB64" si="29">(AA41 * K41) + (0.045 * T41)</f>
        <v>0.31967487658505278</v>
      </c>
      <c r="AC41">
        <f t="shared" ref="AC41:AC64" si="30">$AQ$2</f>
        <v>0.08</v>
      </c>
      <c r="AD41">
        <f t="shared" ref="AD41:AD64" si="31">(AA41 * ((1 - L41) + (0.04 * AA41))) * ( 1 - AC41 )</f>
        <v>0.46164277265490583</v>
      </c>
      <c r="AE41">
        <f t="shared" ref="AE41:AE64" si="32">$AQ$1</f>
        <v>0.19</v>
      </c>
      <c r="AF41">
        <f t="shared" ref="AF41:AF64" si="33">$AR$20</f>
        <v>0.6784</v>
      </c>
      <c r="AG41">
        <f t="shared" ref="AG41:AG64" si="34">AD41 * AE41 * N41 * P41 * AF41</f>
        <v>2.0082568553143039E-4</v>
      </c>
      <c r="AH41">
        <f t="shared" ref="AH41:AH64" si="35">AD41*AE41*O41*Q41*AF41</f>
        <v>2.7840985444406538E-4</v>
      </c>
      <c r="AI41">
        <f>AG41+AH41</f>
        <v>4.792355399754958E-4</v>
      </c>
      <c r="AJ41">
        <f t="shared" ref="AJ41:AJ64" si="36">G41*AI41*J41</f>
        <v>4.3730243022763986</v>
      </c>
      <c r="AK41">
        <f>SUM(AJ41:AJ64)*10^-3</f>
        <v>9.2374227055833799E-2</v>
      </c>
      <c r="AP41" s="13" t="s">
        <v>228</v>
      </c>
      <c r="AQ41" s="13">
        <v>8.0000000000000002E-3</v>
      </c>
      <c r="BF41" s="4"/>
    </row>
    <row r="42" spans="1:65" ht="18" thickTop="1" thickBot="1" x14ac:dyDescent="0.25">
      <c r="E42" s="12"/>
      <c r="F42" t="s">
        <v>164</v>
      </c>
      <c r="G42">
        <v>70</v>
      </c>
      <c r="H42">
        <v>0</v>
      </c>
      <c r="I42">
        <v>0</v>
      </c>
      <c r="J42">
        <f t="shared" si="22"/>
        <v>91.25</v>
      </c>
      <c r="K42">
        <v>0.1</v>
      </c>
      <c r="L42">
        <v>0.61</v>
      </c>
      <c r="M42">
        <v>49</v>
      </c>
      <c r="N42">
        <f t="shared" ref="N42:N64" si="37">1-O42</f>
        <v>4.5000000000000595E-3</v>
      </c>
      <c r="O42">
        <f>O41</f>
        <v>0.99549999999999994</v>
      </c>
      <c r="P42">
        <f>P41</f>
        <v>0.75</v>
      </c>
      <c r="Q42">
        <f t="shared" si="23"/>
        <v>4.7000000000000002E-3</v>
      </c>
      <c r="R42">
        <f t="shared" si="24"/>
        <v>0</v>
      </c>
      <c r="S42">
        <v>0</v>
      </c>
      <c r="T42">
        <f t="shared" ref="T42:T64" si="38">1.6 * S42</f>
        <v>0</v>
      </c>
      <c r="U42">
        <f t="shared" si="25"/>
        <v>1.3</v>
      </c>
      <c r="V42">
        <f t="shared" si="26"/>
        <v>1</v>
      </c>
      <c r="W42">
        <f t="shared" si="27"/>
        <v>0.48354999999999998</v>
      </c>
      <c r="X42">
        <v>2.5</v>
      </c>
      <c r="Y42">
        <f t="shared" ref="Y42:Y64" si="39">1 - EXP(-2*(X42^2))</f>
        <v>0.99999627334682795</v>
      </c>
      <c r="Z42">
        <f t="shared" si="28"/>
        <v>0.93843421889903578</v>
      </c>
      <c r="AA42">
        <f t="shared" ref="AA42:AA64" si="40">Z42*Y42*V42</f>
        <v>0.93843072168017716</v>
      </c>
      <c r="AB42">
        <f t="shared" si="29"/>
        <v>9.3843072168017724E-2</v>
      </c>
      <c r="AC42">
        <f t="shared" si="30"/>
        <v>0.08</v>
      </c>
      <c r="AD42">
        <f t="shared" si="31"/>
        <v>0.3691169446125166</v>
      </c>
      <c r="AE42">
        <f t="shared" si="32"/>
        <v>0.19</v>
      </c>
      <c r="AF42">
        <f t="shared" si="33"/>
        <v>0.6784</v>
      </c>
      <c r="AG42">
        <f t="shared" si="34"/>
        <v>1.6057472971311754E-4</v>
      </c>
      <c r="AH42">
        <f t="shared" si="35"/>
        <v>2.2260891084984003E-4</v>
      </c>
      <c r="AI42">
        <f t="shared" ref="AI42:AI64" si="41">AG42+AH42</f>
        <v>3.8318364056295754E-4</v>
      </c>
      <c r="AJ42">
        <f t="shared" si="36"/>
        <v>2.4475855040958914</v>
      </c>
      <c r="AP42" s="13" t="s">
        <v>229</v>
      </c>
      <c r="AQ42" s="13">
        <v>1.9900000000000001E-2</v>
      </c>
      <c r="AV42" s="6"/>
      <c r="BF42" s="2"/>
    </row>
    <row r="43" spans="1:65" ht="18" thickTop="1" thickBot="1" x14ac:dyDescent="0.25">
      <c r="E43" s="11"/>
      <c r="F43" t="s">
        <v>165</v>
      </c>
      <c r="G43">
        <v>65</v>
      </c>
      <c r="H43">
        <v>0</v>
      </c>
      <c r="I43">
        <v>0</v>
      </c>
      <c r="J43">
        <f t="shared" si="22"/>
        <v>91.25</v>
      </c>
      <c r="K43">
        <v>0.12</v>
      </c>
      <c r="L43">
        <v>0.64</v>
      </c>
      <c r="M43">
        <v>50</v>
      </c>
      <c r="N43">
        <f t="shared" si="37"/>
        <v>4.5000000000000595E-3</v>
      </c>
      <c r="O43">
        <f>O41</f>
        <v>0.99549999999999994</v>
      </c>
      <c r="P43">
        <f>P41</f>
        <v>0.75</v>
      </c>
      <c r="Q43">
        <f t="shared" si="23"/>
        <v>4.7000000000000002E-3</v>
      </c>
      <c r="R43">
        <f t="shared" si="24"/>
        <v>0</v>
      </c>
      <c r="S43">
        <v>0</v>
      </c>
      <c r="T43">
        <f t="shared" si="38"/>
        <v>0</v>
      </c>
      <c r="U43">
        <f t="shared" si="25"/>
        <v>1.3</v>
      </c>
      <c r="V43">
        <f t="shared" si="26"/>
        <v>1</v>
      </c>
      <c r="W43">
        <f t="shared" si="27"/>
        <v>0.50740000000000007</v>
      </c>
      <c r="X43">
        <v>1.6</v>
      </c>
      <c r="Y43">
        <f t="shared" si="39"/>
        <v>0.99402397710499402</v>
      </c>
      <c r="Z43">
        <f t="shared" si="28"/>
        <v>1.0054871153505722</v>
      </c>
      <c r="AA43">
        <f t="shared" si="40"/>
        <v>0.99947830132860371</v>
      </c>
      <c r="AB43">
        <f t="shared" si="29"/>
        <v>0.11993739615943244</v>
      </c>
      <c r="AC43">
        <f t="shared" si="30"/>
        <v>0.08</v>
      </c>
      <c r="AD43">
        <f t="shared" si="31"/>
        <v>0.36778882639365651</v>
      </c>
      <c r="AE43">
        <f t="shared" si="32"/>
        <v>0.19</v>
      </c>
      <c r="AF43">
        <f t="shared" si="33"/>
        <v>0.6784</v>
      </c>
      <c r="AG43">
        <f t="shared" si="34"/>
        <v>1.5999696641307614E-4</v>
      </c>
      <c r="AH43">
        <f t="shared" si="35"/>
        <v>2.2180794260794414E-4</v>
      </c>
      <c r="AI43">
        <f t="shared" si="41"/>
        <v>3.8180490902102026E-4</v>
      </c>
      <c r="AJ43">
        <f t="shared" si="36"/>
        <v>2.2645803666309265</v>
      </c>
      <c r="AP43" s="13" t="s">
        <v>230</v>
      </c>
      <c r="AQ43" s="13">
        <v>5.3E-3</v>
      </c>
      <c r="AV43" s="6"/>
      <c r="BF43" s="4"/>
    </row>
    <row r="44" spans="1:65" ht="18" thickTop="1" thickBot="1" x14ac:dyDescent="0.25">
      <c r="E44" s="12"/>
      <c r="F44" t="s">
        <v>166</v>
      </c>
      <c r="G44">
        <v>80</v>
      </c>
      <c r="H44">
        <v>0</v>
      </c>
      <c r="I44">
        <v>0</v>
      </c>
      <c r="J44">
        <f t="shared" si="22"/>
        <v>91.25</v>
      </c>
      <c r="K44">
        <v>0.18</v>
      </c>
      <c r="L44">
        <v>0.72</v>
      </c>
      <c r="M44">
        <v>50</v>
      </c>
      <c r="N44">
        <f t="shared" si="37"/>
        <v>4.5000000000000595E-3</v>
      </c>
      <c r="O44">
        <f>O41</f>
        <v>0.99549999999999994</v>
      </c>
      <c r="P44">
        <f>P41</f>
        <v>0.75</v>
      </c>
      <c r="Q44">
        <f t="shared" si="23"/>
        <v>4.7000000000000002E-3</v>
      </c>
      <c r="R44">
        <f t="shared" si="24"/>
        <v>0</v>
      </c>
      <c r="S44">
        <v>0</v>
      </c>
      <c r="T44">
        <f t="shared" si="38"/>
        <v>0</v>
      </c>
      <c r="U44">
        <f t="shared" si="25"/>
        <v>1.3</v>
      </c>
      <c r="V44">
        <f t="shared" si="26"/>
        <v>1</v>
      </c>
      <c r="W44">
        <f t="shared" si="27"/>
        <v>0.57100000000000006</v>
      </c>
      <c r="X44">
        <v>1.7</v>
      </c>
      <c r="Y44">
        <f t="shared" si="39"/>
        <v>0.99691128459176326</v>
      </c>
      <c r="Z44">
        <f t="shared" si="28"/>
        <v>1.1306948910936463</v>
      </c>
      <c r="AA44">
        <f t="shared" si="40"/>
        <v>1.1272024963615108</v>
      </c>
      <c r="AB44">
        <f t="shared" si="29"/>
        <v>0.20289644934507195</v>
      </c>
      <c r="AC44">
        <f t="shared" si="30"/>
        <v>0.08</v>
      </c>
      <c r="AD44">
        <f t="shared" si="31"/>
        <v>0.33712490827789848</v>
      </c>
      <c r="AE44">
        <f t="shared" si="32"/>
        <v>0.19</v>
      </c>
      <c r="AF44">
        <f t="shared" si="33"/>
        <v>0.6784</v>
      </c>
      <c r="AG44">
        <f t="shared" si="34"/>
        <v>1.4665742609868643E-4</v>
      </c>
      <c r="AH44">
        <f t="shared" si="35"/>
        <v>2.0331499203017186E-4</v>
      </c>
      <c r="AI44">
        <f t="shared" si="41"/>
        <v>3.499724181288583E-4</v>
      </c>
      <c r="AJ44">
        <f t="shared" si="36"/>
        <v>2.5547986523406658</v>
      </c>
      <c r="AP44" s="13" t="s">
        <v>231</v>
      </c>
      <c r="AQ44" s="13">
        <v>6.4000000000000003E-3</v>
      </c>
      <c r="AV44" s="6"/>
      <c r="BF44" s="2"/>
    </row>
    <row r="45" spans="1:65" ht="17" thickTop="1" x14ac:dyDescent="0.2">
      <c r="E45" s="11" t="s">
        <v>171</v>
      </c>
      <c r="F45" t="s">
        <v>163</v>
      </c>
      <c r="G45">
        <v>200</v>
      </c>
      <c r="H45">
        <v>0</v>
      </c>
      <c r="I45">
        <v>0</v>
      </c>
      <c r="J45">
        <f t="shared" si="22"/>
        <v>91.25</v>
      </c>
      <c r="K45">
        <v>0.2</v>
      </c>
      <c r="L45">
        <v>0.75</v>
      </c>
      <c r="M45">
        <v>20</v>
      </c>
      <c r="N45">
        <f t="shared" si="37"/>
        <v>4.5000000000000595E-3</v>
      </c>
      <c r="O45">
        <f>O41</f>
        <v>0.99549999999999994</v>
      </c>
      <c r="P45">
        <f>P41</f>
        <v>0.75</v>
      </c>
      <c r="Q45">
        <f t="shared" si="23"/>
        <v>4.7000000000000002E-3</v>
      </c>
      <c r="R45">
        <f t="shared" si="24"/>
        <v>0</v>
      </c>
      <c r="S45">
        <v>1</v>
      </c>
      <c r="T45">
        <f t="shared" si="38"/>
        <v>1.6</v>
      </c>
      <c r="U45">
        <f t="shared" si="25"/>
        <v>1.3</v>
      </c>
      <c r="V45">
        <f t="shared" si="26"/>
        <v>1</v>
      </c>
      <c r="W45">
        <f t="shared" si="27"/>
        <v>0.5948500000000001</v>
      </c>
      <c r="X45">
        <v>2.9</v>
      </c>
      <c r="Y45">
        <f t="shared" si="39"/>
        <v>0.9999999504359468</v>
      </c>
      <c r="Z45">
        <f t="shared" si="28"/>
        <v>0.5052226861752882</v>
      </c>
      <c r="AA45">
        <f t="shared" si="40"/>
        <v>0.50522266113440406</v>
      </c>
      <c r="AB45">
        <f t="shared" si="29"/>
        <v>0.17304453222688082</v>
      </c>
      <c r="AC45">
        <f t="shared" si="30"/>
        <v>0.08</v>
      </c>
      <c r="AD45">
        <f t="shared" si="31"/>
        <v>0.12559440975442615</v>
      </c>
      <c r="AE45">
        <f t="shared" si="32"/>
        <v>0.19</v>
      </c>
      <c r="AF45">
        <f t="shared" si="33"/>
        <v>0.6784</v>
      </c>
      <c r="AG45">
        <f t="shared" si="34"/>
        <v>5.4636582509010208E-5</v>
      </c>
      <c r="AH45">
        <f t="shared" si="35"/>
        <v>7.5744110836230803E-5</v>
      </c>
      <c r="AI45">
        <f t="shared" si="41"/>
        <v>1.3038069334524101E-4</v>
      </c>
      <c r="AJ45">
        <f t="shared" si="36"/>
        <v>2.3794476535506481</v>
      </c>
      <c r="AP45" s="13" t="s">
        <v>222</v>
      </c>
      <c r="AQ45" s="13">
        <v>2.5999999999999999E-3</v>
      </c>
      <c r="AV45" s="6"/>
      <c r="BF45" s="4"/>
    </row>
    <row r="46" spans="1:65" x14ac:dyDescent="0.2">
      <c r="E46" s="12"/>
      <c r="F46" t="s">
        <v>164</v>
      </c>
      <c r="G46">
        <v>210</v>
      </c>
      <c r="H46">
        <v>0</v>
      </c>
      <c r="I46">
        <v>0</v>
      </c>
      <c r="J46">
        <f t="shared" si="22"/>
        <v>91.25</v>
      </c>
      <c r="K46">
        <v>0.1</v>
      </c>
      <c r="L46">
        <v>0.61</v>
      </c>
      <c r="M46">
        <v>27</v>
      </c>
      <c r="N46">
        <f t="shared" si="37"/>
        <v>4.5000000000000595E-3</v>
      </c>
      <c r="O46">
        <f>O41</f>
        <v>0.99549999999999994</v>
      </c>
      <c r="P46">
        <f>P41</f>
        <v>0.75</v>
      </c>
      <c r="Q46">
        <f t="shared" si="23"/>
        <v>4.7000000000000002E-3</v>
      </c>
      <c r="R46">
        <f t="shared" si="24"/>
        <v>0</v>
      </c>
      <c r="S46">
        <v>0</v>
      </c>
      <c r="T46">
        <f t="shared" si="38"/>
        <v>0</v>
      </c>
      <c r="U46">
        <f t="shared" si="25"/>
        <v>1.3</v>
      </c>
      <c r="V46">
        <f t="shared" si="26"/>
        <v>1</v>
      </c>
      <c r="W46">
        <f t="shared" si="27"/>
        <v>0.48354999999999998</v>
      </c>
      <c r="X46">
        <v>2.5</v>
      </c>
      <c r="Y46">
        <f t="shared" si="39"/>
        <v>0.99999627334682795</v>
      </c>
      <c r="Z46">
        <f t="shared" si="28"/>
        <v>0.52017847077168489</v>
      </c>
      <c r="AA46">
        <f t="shared" si="40"/>
        <v>0.52017653224693672</v>
      </c>
      <c r="AB46">
        <f t="shared" si="29"/>
        <v>5.2017653224693677E-2</v>
      </c>
      <c r="AC46">
        <f t="shared" si="30"/>
        <v>0.08</v>
      </c>
      <c r="AD46">
        <f t="shared" si="31"/>
        <v>0.1965968171591774</v>
      </c>
      <c r="AE46">
        <f t="shared" si="32"/>
        <v>0.19</v>
      </c>
      <c r="AF46">
        <f t="shared" si="33"/>
        <v>0.6784</v>
      </c>
      <c r="AG46">
        <f t="shared" si="34"/>
        <v>8.552433378785512E-5</v>
      </c>
      <c r="AH46">
        <f t="shared" si="35"/>
        <v>1.1856460122764464E-4</v>
      </c>
      <c r="AI46">
        <f t="shared" si="41"/>
        <v>2.0408893501549976E-4</v>
      </c>
      <c r="AJ46">
        <f t="shared" si="36"/>
        <v>3.9108542172345144</v>
      </c>
      <c r="AP46" s="13" t="s">
        <v>232</v>
      </c>
      <c r="AQ46" s="13">
        <v>3.0000000000000001E-3</v>
      </c>
      <c r="BF46" s="2"/>
    </row>
    <row r="47" spans="1:65" x14ac:dyDescent="0.2">
      <c r="E47" s="11"/>
      <c r="F47" t="s">
        <v>165</v>
      </c>
      <c r="G47">
        <v>170</v>
      </c>
      <c r="H47">
        <v>0</v>
      </c>
      <c r="I47">
        <v>0</v>
      </c>
      <c r="J47">
        <f t="shared" si="22"/>
        <v>91.25</v>
      </c>
      <c r="K47">
        <v>0.12</v>
      </c>
      <c r="L47">
        <v>0.64</v>
      </c>
      <c r="M47">
        <v>32</v>
      </c>
      <c r="N47">
        <f t="shared" si="37"/>
        <v>4.5000000000000595E-3</v>
      </c>
      <c r="O47">
        <f>O41</f>
        <v>0.99549999999999994</v>
      </c>
      <c r="P47">
        <f>P41</f>
        <v>0.75</v>
      </c>
      <c r="Q47">
        <f t="shared" si="23"/>
        <v>4.7000000000000002E-3</v>
      </c>
      <c r="R47">
        <f t="shared" si="24"/>
        <v>0</v>
      </c>
      <c r="S47">
        <v>0</v>
      </c>
      <c r="T47">
        <f t="shared" si="38"/>
        <v>0</v>
      </c>
      <c r="U47">
        <f t="shared" si="25"/>
        <v>1.3</v>
      </c>
      <c r="V47">
        <f t="shared" si="26"/>
        <v>1</v>
      </c>
      <c r="W47">
        <f t="shared" si="27"/>
        <v>0.50740000000000007</v>
      </c>
      <c r="X47">
        <v>1.6</v>
      </c>
      <c r="Y47">
        <f t="shared" si="39"/>
        <v>0.99402397710499402</v>
      </c>
      <c r="Z47">
        <f t="shared" si="28"/>
        <v>0.64511931548462409</v>
      </c>
      <c r="AA47">
        <f t="shared" si="40"/>
        <v>0.64126406768527744</v>
      </c>
      <c r="AB47">
        <f t="shared" si="29"/>
        <v>7.6951688122233283E-2</v>
      </c>
      <c r="AC47">
        <f t="shared" si="30"/>
        <v>0.08</v>
      </c>
      <c r="AD47">
        <f t="shared" si="31"/>
        <v>0.22751954066312097</v>
      </c>
      <c r="AE47">
        <f t="shared" si="32"/>
        <v>0.19</v>
      </c>
      <c r="AF47">
        <f t="shared" si="33"/>
        <v>0.6784</v>
      </c>
      <c r="AG47">
        <f t="shared" si="34"/>
        <v>9.8976460657434855E-5</v>
      </c>
      <c r="AH47">
        <f t="shared" si="35"/>
        <v>1.3721363346578752E-4</v>
      </c>
      <c r="AI47">
        <f t="shared" si="41"/>
        <v>2.3619009412322237E-4</v>
      </c>
      <c r="AJ47">
        <f t="shared" si="36"/>
        <v>3.6638988350864872</v>
      </c>
      <c r="AP47" s="13" t="s">
        <v>233</v>
      </c>
      <c r="AQ47" s="13">
        <v>5.0000000000000001E-3</v>
      </c>
      <c r="BF47" s="4"/>
    </row>
    <row r="48" spans="1:65" x14ac:dyDescent="0.2">
      <c r="E48" s="12"/>
      <c r="F48" t="s">
        <v>166</v>
      </c>
      <c r="G48">
        <v>200</v>
      </c>
      <c r="H48">
        <v>0</v>
      </c>
      <c r="I48">
        <v>0</v>
      </c>
      <c r="J48">
        <f t="shared" si="22"/>
        <v>91.25</v>
      </c>
      <c r="K48">
        <v>0.18</v>
      </c>
      <c r="L48">
        <v>0.72</v>
      </c>
      <c r="M48">
        <v>34</v>
      </c>
      <c r="N48">
        <f t="shared" si="37"/>
        <v>4.5000000000000595E-3</v>
      </c>
      <c r="O48">
        <f>O41</f>
        <v>0.99549999999999994</v>
      </c>
      <c r="P48">
        <f>P41</f>
        <v>0.75</v>
      </c>
      <c r="Q48">
        <f t="shared" si="23"/>
        <v>4.7000000000000002E-3</v>
      </c>
      <c r="R48">
        <f t="shared" si="24"/>
        <v>0</v>
      </c>
      <c r="S48">
        <v>0</v>
      </c>
      <c r="T48">
        <f t="shared" si="38"/>
        <v>0</v>
      </c>
      <c r="U48">
        <f t="shared" si="25"/>
        <v>1.3</v>
      </c>
      <c r="V48">
        <f t="shared" si="26"/>
        <v>1</v>
      </c>
      <c r="W48">
        <f t="shared" si="27"/>
        <v>0.57100000000000006</v>
      </c>
      <c r="X48">
        <v>1.7</v>
      </c>
      <c r="Y48">
        <f t="shared" si="39"/>
        <v>0.99691128459176326</v>
      </c>
      <c r="Z48">
        <f t="shared" si="28"/>
        <v>0.77753323213623582</v>
      </c>
      <c r="AA48">
        <f t="shared" si="40"/>
        <v>0.77513165326172051</v>
      </c>
      <c r="AB48">
        <f t="shared" si="29"/>
        <v>0.1395236975871097</v>
      </c>
      <c r="AC48">
        <f t="shared" si="30"/>
        <v>0.08</v>
      </c>
      <c r="AD48">
        <f t="shared" si="31"/>
        <v>0.22178442402010679</v>
      </c>
      <c r="AE48">
        <f t="shared" si="32"/>
        <v>0.19</v>
      </c>
      <c r="AF48">
        <f t="shared" si="33"/>
        <v>0.6784</v>
      </c>
      <c r="AG48">
        <f t="shared" si="34"/>
        <v>9.6481547274924231E-5</v>
      </c>
      <c r="AH48">
        <f t="shared" si="35"/>
        <v>1.3375487036067354E-4</v>
      </c>
      <c r="AI48">
        <f t="shared" si="41"/>
        <v>2.3023641763559777E-4</v>
      </c>
      <c r="AJ48">
        <f t="shared" si="36"/>
        <v>4.2018146218496595</v>
      </c>
      <c r="AP48" s="13" t="s">
        <v>223</v>
      </c>
      <c r="AQ48" s="13">
        <v>2.5999999999999999E-3</v>
      </c>
      <c r="BF48" s="2"/>
    </row>
    <row r="49" spans="5:58" x14ac:dyDescent="0.2">
      <c r="E49" s="11" t="s">
        <v>168</v>
      </c>
      <c r="F49" t="s">
        <v>163</v>
      </c>
      <c r="G49">
        <v>100</v>
      </c>
      <c r="H49">
        <v>95</v>
      </c>
      <c r="I49">
        <v>92</v>
      </c>
      <c r="J49">
        <f t="shared" si="22"/>
        <v>91.25</v>
      </c>
      <c r="K49">
        <v>0.2</v>
      </c>
      <c r="L49">
        <v>0.75</v>
      </c>
      <c r="M49">
        <v>44</v>
      </c>
      <c r="N49">
        <f t="shared" si="37"/>
        <v>4.5000000000000595E-3</v>
      </c>
      <c r="O49">
        <f>O41</f>
        <v>0.99549999999999994</v>
      </c>
      <c r="P49">
        <f>P41</f>
        <v>0.75</v>
      </c>
      <c r="Q49">
        <f t="shared" si="23"/>
        <v>4.7000000000000002E-3</v>
      </c>
      <c r="R49">
        <f t="shared" si="24"/>
        <v>0.874</v>
      </c>
      <c r="S49">
        <v>0</v>
      </c>
      <c r="T49">
        <f t="shared" si="38"/>
        <v>0</v>
      </c>
      <c r="U49">
        <f t="shared" si="25"/>
        <v>1.3</v>
      </c>
      <c r="V49">
        <f t="shared" si="26"/>
        <v>1.2622</v>
      </c>
      <c r="W49">
        <f t="shared" si="27"/>
        <v>0.5948500000000001</v>
      </c>
      <c r="X49">
        <v>2.9</v>
      </c>
      <c r="Y49">
        <f t="shared" si="39"/>
        <v>0.9999999504359468</v>
      </c>
      <c r="Z49">
        <f t="shared" si="28"/>
        <v>1.0385156413271623</v>
      </c>
      <c r="AA49">
        <f t="shared" si="40"/>
        <v>1.3108143775138676</v>
      </c>
      <c r="AB49">
        <f t="shared" si="29"/>
        <v>0.26216287550277356</v>
      </c>
      <c r="AC49">
        <f t="shared" si="30"/>
        <v>0.08</v>
      </c>
      <c r="AD49">
        <f t="shared" si="31"/>
        <v>0.36471833025672168</v>
      </c>
      <c r="AE49">
        <f t="shared" si="32"/>
        <v>0.19</v>
      </c>
      <c r="AF49">
        <f t="shared" si="33"/>
        <v>0.6784</v>
      </c>
      <c r="AG49">
        <f t="shared" si="34"/>
        <v>1.5866122690160218E-4</v>
      </c>
      <c r="AH49">
        <f t="shared" si="35"/>
        <v>2.1995617229290414E-4</v>
      </c>
      <c r="AI49">
        <f t="shared" si="41"/>
        <v>3.7861739919450632E-4</v>
      </c>
      <c r="AJ49">
        <f t="shared" si="36"/>
        <v>3.45488376764987</v>
      </c>
      <c r="AP49" s="13" t="s">
        <v>234</v>
      </c>
      <c r="AQ49" s="13">
        <v>1.8E-3</v>
      </c>
      <c r="BF49" s="4"/>
    </row>
    <row r="50" spans="5:58" x14ac:dyDescent="0.2">
      <c r="E50" s="12"/>
      <c r="F50" t="s">
        <v>164</v>
      </c>
      <c r="G50">
        <v>140</v>
      </c>
      <c r="H50">
        <v>0</v>
      </c>
      <c r="I50">
        <v>0</v>
      </c>
      <c r="J50">
        <f t="shared" si="22"/>
        <v>91.25</v>
      </c>
      <c r="K50">
        <v>0.1</v>
      </c>
      <c r="L50">
        <v>0.61</v>
      </c>
      <c r="M50">
        <v>42</v>
      </c>
      <c r="N50">
        <f t="shared" si="37"/>
        <v>4.5000000000000595E-3</v>
      </c>
      <c r="O50">
        <f>O41</f>
        <v>0.99549999999999994</v>
      </c>
      <c r="P50">
        <f>P41</f>
        <v>0.75</v>
      </c>
      <c r="Q50">
        <f t="shared" si="23"/>
        <v>4.7000000000000002E-3</v>
      </c>
      <c r="R50">
        <f t="shared" si="24"/>
        <v>0</v>
      </c>
      <c r="S50">
        <v>0</v>
      </c>
      <c r="T50">
        <f t="shared" si="38"/>
        <v>0</v>
      </c>
      <c r="U50">
        <f t="shared" si="25"/>
        <v>1.3</v>
      </c>
      <c r="V50">
        <f t="shared" si="26"/>
        <v>1</v>
      </c>
      <c r="W50">
        <f t="shared" si="27"/>
        <v>0.48354999999999998</v>
      </c>
      <c r="X50">
        <v>2.5</v>
      </c>
      <c r="Y50">
        <f t="shared" si="39"/>
        <v>0.99999627334682795</v>
      </c>
      <c r="Z50">
        <f t="shared" si="28"/>
        <v>0.80052120768394575</v>
      </c>
      <c r="AA50">
        <f t="shared" si="40"/>
        <v>0.80051822441904785</v>
      </c>
      <c r="AB50">
        <f t="shared" si="29"/>
        <v>8.0051822441904785E-2</v>
      </c>
      <c r="AC50">
        <f t="shared" si="30"/>
        <v>0.08</v>
      </c>
      <c r="AD50">
        <f t="shared" si="31"/>
        <v>0.31080846185822891</v>
      </c>
      <c r="AE50">
        <f t="shared" si="32"/>
        <v>0.19</v>
      </c>
      <c r="AF50">
        <f t="shared" si="33"/>
        <v>0.6784</v>
      </c>
      <c r="AG50">
        <f t="shared" si="34"/>
        <v>1.3520914031141595E-4</v>
      </c>
      <c r="AH50">
        <f t="shared" si="35"/>
        <v>1.8744393663586969E-4</v>
      </c>
      <c r="AI50">
        <f t="shared" si="41"/>
        <v>3.2265307694728568E-4</v>
      </c>
      <c r="AJ50">
        <f t="shared" si="36"/>
        <v>4.1218930580015742</v>
      </c>
      <c r="BF50" s="2"/>
    </row>
    <row r="51" spans="5:58" x14ac:dyDescent="0.2">
      <c r="E51" s="11"/>
      <c r="F51" t="s">
        <v>165</v>
      </c>
      <c r="G51">
        <v>135</v>
      </c>
      <c r="H51">
        <v>0</v>
      </c>
      <c r="I51">
        <v>0</v>
      </c>
      <c r="J51">
        <f t="shared" si="22"/>
        <v>91.25</v>
      </c>
      <c r="K51">
        <v>0.12</v>
      </c>
      <c r="L51">
        <v>0.64</v>
      </c>
      <c r="M51">
        <v>43</v>
      </c>
      <c r="N51">
        <f t="shared" si="37"/>
        <v>4.5000000000000595E-3</v>
      </c>
      <c r="O51">
        <f>O41</f>
        <v>0.99549999999999994</v>
      </c>
      <c r="P51">
        <f>P41</f>
        <v>0.75</v>
      </c>
      <c r="Q51">
        <f t="shared" si="23"/>
        <v>4.7000000000000002E-3</v>
      </c>
      <c r="R51">
        <f t="shared" si="24"/>
        <v>0</v>
      </c>
      <c r="S51">
        <v>0</v>
      </c>
      <c r="T51">
        <f t="shared" si="38"/>
        <v>0</v>
      </c>
      <c r="U51">
        <f t="shared" si="25"/>
        <v>1.3</v>
      </c>
      <c r="V51">
        <f t="shared" si="26"/>
        <v>1</v>
      </c>
      <c r="W51">
        <f t="shared" si="27"/>
        <v>0.50740000000000007</v>
      </c>
      <c r="X51">
        <v>1.6</v>
      </c>
      <c r="Y51">
        <f t="shared" si="39"/>
        <v>0.99402397710499402</v>
      </c>
      <c r="Z51">
        <f t="shared" si="28"/>
        <v>0.86186034677094148</v>
      </c>
      <c r="AA51">
        <f t="shared" si="40"/>
        <v>0.85670984960634056</v>
      </c>
      <c r="AB51">
        <f t="shared" si="29"/>
        <v>0.10280518195276087</v>
      </c>
      <c r="AC51">
        <f t="shared" si="30"/>
        <v>0.08</v>
      </c>
      <c r="AD51">
        <f t="shared" si="31"/>
        <v>0.31075172719360067</v>
      </c>
      <c r="AE51">
        <f t="shared" si="32"/>
        <v>0.19</v>
      </c>
      <c r="AF51">
        <f t="shared" si="33"/>
        <v>0.6784</v>
      </c>
      <c r="AG51">
        <f t="shared" si="34"/>
        <v>1.3518445937067073E-4</v>
      </c>
      <c r="AH51">
        <f t="shared" si="35"/>
        <v>1.8740972080783831E-4</v>
      </c>
      <c r="AI51">
        <f t="shared" si="41"/>
        <v>3.2259418017850904E-4</v>
      </c>
      <c r="AJ51">
        <f t="shared" si="36"/>
        <v>3.9739570570740086</v>
      </c>
      <c r="BF51" s="4"/>
    </row>
    <row r="52" spans="5:58" x14ac:dyDescent="0.2">
      <c r="E52" s="12"/>
      <c r="F52" t="s">
        <v>166</v>
      </c>
      <c r="G52">
        <v>130</v>
      </c>
      <c r="H52">
        <v>0</v>
      </c>
      <c r="I52">
        <v>0</v>
      </c>
      <c r="J52">
        <f t="shared" si="22"/>
        <v>91.25</v>
      </c>
      <c r="K52">
        <v>0.18</v>
      </c>
      <c r="L52">
        <v>0.72</v>
      </c>
      <c r="M52">
        <v>45</v>
      </c>
      <c r="N52">
        <f t="shared" si="37"/>
        <v>4.5000000000000595E-3</v>
      </c>
      <c r="O52">
        <f>O41</f>
        <v>0.99549999999999994</v>
      </c>
      <c r="P52">
        <f>P41</f>
        <v>0.75</v>
      </c>
      <c r="Q52">
        <f t="shared" si="23"/>
        <v>4.7000000000000002E-3</v>
      </c>
      <c r="R52">
        <f t="shared" si="24"/>
        <v>0</v>
      </c>
      <c r="S52">
        <v>0</v>
      </c>
      <c r="T52">
        <f t="shared" si="38"/>
        <v>0</v>
      </c>
      <c r="U52">
        <f t="shared" si="25"/>
        <v>1.3</v>
      </c>
      <c r="V52">
        <f t="shared" si="26"/>
        <v>1</v>
      </c>
      <c r="W52">
        <f t="shared" si="27"/>
        <v>0.57100000000000006</v>
      </c>
      <c r="X52">
        <v>1.7</v>
      </c>
      <c r="Y52">
        <f t="shared" si="39"/>
        <v>0.99691128459176326</v>
      </c>
      <c r="Z52">
        <f t="shared" si="28"/>
        <v>1.0181162441707754</v>
      </c>
      <c r="AA52">
        <f t="shared" si="40"/>
        <v>1.014971572840029</v>
      </c>
      <c r="AB52">
        <f t="shared" si="29"/>
        <v>0.18269488311120521</v>
      </c>
      <c r="AC52">
        <f t="shared" si="30"/>
        <v>0.08</v>
      </c>
      <c r="AD52">
        <f t="shared" si="31"/>
        <v>0.29936683357077126</v>
      </c>
      <c r="AE52">
        <f t="shared" si="32"/>
        <v>0.19</v>
      </c>
      <c r="AF52">
        <f t="shared" si="33"/>
        <v>0.6784</v>
      </c>
      <c r="AG52">
        <f t="shared" si="34"/>
        <v>1.3023175740729291E-4</v>
      </c>
      <c r="AH52">
        <f t="shared" si="35"/>
        <v>1.8054366167262351E-4</v>
      </c>
      <c r="AI52">
        <f t="shared" si="41"/>
        <v>3.1077541907991639E-4</v>
      </c>
      <c r="AJ52">
        <f t="shared" si="36"/>
        <v>3.6865734088355082</v>
      </c>
      <c r="BF52" s="2"/>
    </row>
    <row r="53" spans="5:58" x14ac:dyDescent="0.2">
      <c r="E53" s="11" t="s">
        <v>170</v>
      </c>
      <c r="F53" t="s">
        <v>163</v>
      </c>
      <c r="G53">
        <v>200</v>
      </c>
      <c r="H53">
        <v>0</v>
      </c>
      <c r="I53">
        <v>0</v>
      </c>
      <c r="J53">
        <f t="shared" si="22"/>
        <v>91.25</v>
      </c>
      <c r="K53">
        <v>0.2</v>
      </c>
      <c r="L53">
        <v>0.75</v>
      </c>
      <c r="M53">
        <v>56</v>
      </c>
      <c r="N53">
        <f t="shared" si="37"/>
        <v>4.5000000000000595E-3</v>
      </c>
      <c r="O53">
        <f>O41</f>
        <v>0.99549999999999994</v>
      </c>
      <c r="P53">
        <f>P41</f>
        <v>0.75</v>
      </c>
      <c r="Q53">
        <f t="shared" si="23"/>
        <v>4.7000000000000002E-3</v>
      </c>
      <c r="R53">
        <f t="shared" si="24"/>
        <v>0</v>
      </c>
      <c r="S53">
        <v>0</v>
      </c>
      <c r="T53">
        <f t="shared" si="38"/>
        <v>0</v>
      </c>
      <c r="U53">
        <f t="shared" si="25"/>
        <v>1.3</v>
      </c>
      <c r="V53">
        <f t="shared" si="26"/>
        <v>1</v>
      </c>
      <c r="W53">
        <f t="shared" si="27"/>
        <v>0.5948500000000001</v>
      </c>
      <c r="X53">
        <v>2.9</v>
      </c>
      <c r="Y53">
        <f t="shared" si="39"/>
        <v>0.9999999504359468</v>
      </c>
      <c r="Z53">
        <f t="shared" si="28"/>
        <v>1.3198285488795851</v>
      </c>
      <c r="AA53">
        <f t="shared" si="40"/>
        <v>1.3198284834635328</v>
      </c>
      <c r="AB53">
        <f t="shared" si="29"/>
        <v>0.26396569669270659</v>
      </c>
      <c r="AC53">
        <f t="shared" si="30"/>
        <v>0.08</v>
      </c>
      <c r="AD53">
        <f t="shared" si="31"/>
        <v>0.3676642091046412</v>
      </c>
      <c r="AE53">
        <f t="shared" si="32"/>
        <v>0.19</v>
      </c>
      <c r="AF53">
        <f t="shared" si="33"/>
        <v>0.6784</v>
      </c>
      <c r="AG53">
        <f t="shared" si="34"/>
        <v>1.5994275490153958E-4</v>
      </c>
      <c r="AH53">
        <f t="shared" si="35"/>
        <v>2.2173278778401734E-4</v>
      </c>
      <c r="AI53">
        <f t="shared" si="41"/>
        <v>3.8167554268555691E-4</v>
      </c>
      <c r="AJ53">
        <f t="shared" si="36"/>
        <v>6.9655786540114137</v>
      </c>
      <c r="BF53" s="4"/>
    </row>
    <row r="54" spans="5:58" x14ac:dyDescent="0.2">
      <c r="E54" s="12"/>
      <c r="F54" t="s">
        <v>164</v>
      </c>
      <c r="G54">
        <v>210</v>
      </c>
      <c r="H54">
        <v>0</v>
      </c>
      <c r="I54">
        <v>0</v>
      </c>
      <c r="J54">
        <f t="shared" si="22"/>
        <v>91.25</v>
      </c>
      <c r="K54">
        <v>0.1</v>
      </c>
      <c r="L54">
        <v>0.61</v>
      </c>
      <c r="M54">
        <v>51</v>
      </c>
      <c r="N54">
        <f t="shared" si="37"/>
        <v>4.5000000000000595E-3</v>
      </c>
      <c r="O54">
        <f>O41</f>
        <v>0.99549999999999994</v>
      </c>
      <c r="P54">
        <f>P41</f>
        <v>0.75</v>
      </c>
      <c r="Q54">
        <f t="shared" si="23"/>
        <v>4.7000000000000002E-3</v>
      </c>
      <c r="R54">
        <f t="shared" si="24"/>
        <v>0</v>
      </c>
      <c r="S54">
        <v>0</v>
      </c>
      <c r="T54">
        <f t="shared" si="38"/>
        <v>0</v>
      </c>
      <c r="U54">
        <f t="shared" si="25"/>
        <v>1.3</v>
      </c>
      <c r="V54">
        <f t="shared" si="26"/>
        <v>1</v>
      </c>
      <c r="W54">
        <f t="shared" si="27"/>
        <v>0.48354999999999998</v>
      </c>
      <c r="X54">
        <v>2.5</v>
      </c>
      <c r="Y54">
        <f t="shared" si="39"/>
        <v>0.99999627334682795</v>
      </c>
      <c r="Z54">
        <f t="shared" si="28"/>
        <v>0.97873546256970145</v>
      </c>
      <c r="AA54">
        <f t="shared" si="40"/>
        <v>0.97873181516208529</v>
      </c>
      <c r="AB54">
        <f t="shared" si="29"/>
        <v>9.7873181516208538E-2</v>
      </c>
      <c r="AC54">
        <f t="shared" si="30"/>
        <v>0.08</v>
      </c>
      <c r="AD54">
        <f t="shared" si="31"/>
        <v>0.38642028282934154</v>
      </c>
      <c r="AE54">
        <f t="shared" si="32"/>
        <v>0.19</v>
      </c>
      <c r="AF54">
        <f t="shared" si="33"/>
        <v>0.6784</v>
      </c>
      <c r="AG54">
        <f t="shared" si="34"/>
        <v>1.6810209711755372E-4</v>
      </c>
      <c r="AH54">
        <f t="shared" si="35"/>
        <v>2.3304429543657951E-4</v>
      </c>
      <c r="AI54">
        <f t="shared" si="41"/>
        <v>4.011463925541332E-4</v>
      </c>
      <c r="AJ54">
        <f t="shared" si="36"/>
        <v>7.6869677473185778</v>
      </c>
      <c r="BF54" s="2"/>
    </row>
    <row r="55" spans="5:58" x14ac:dyDescent="0.2">
      <c r="E55" s="11"/>
      <c r="F55" t="s">
        <v>165</v>
      </c>
      <c r="G55">
        <v>190</v>
      </c>
      <c r="H55">
        <v>0</v>
      </c>
      <c r="I55">
        <v>0</v>
      </c>
      <c r="J55">
        <f t="shared" si="22"/>
        <v>91.25</v>
      </c>
      <c r="K55">
        <v>0.12</v>
      </c>
      <c r="L55">
        <v>0.64</v>
      </c>
      <c r="M55">
        <v>50</v>
      </c>
      <c r="N55">
        <f t="shared" si="37"/>
        <v>4.5000000000000595E-3</v>
      </c>
      <c r="O55">
        <f>O41</f>
        <v>0.99549999999999994</v>
      </c>
      <c r="P55">
        <f>P41</f>
        <v>0.75</v>
      </c>
      <c r="Q55">
        <f t="shared" si="23"/>
        <v>4.7000000000000002E-3</v>
      </c>
      <c r="R55">
        <f t="shared" si="24"/>
        <v>0</v>
      </c>
      <c r="S55">
        <v>0</v>
      </c>
      <c r="T55">
        <f t="shared" si="38"/>
        <v>0</v>
      </c>
      <c r="U55">
        <f t="shared" si="25"/>
        <v>1.3</v>
      </c>
      <c r="V55">
        <f t="shared" si="26"/>
        <v>1</v>
      </c>
      <c r="W55">
        <f t="shared" si="27"/>
        <v>0.50740000000000007</v>
      </c>
      <c r="X55">
        <v>1.6</v>
      </c>
      <c r="Y55">
        <f t="shared" si="39"/>
        <v>0.99402397710499402</v>
      </c>
      <c r="Z55">
        <f t="shared" si="28"/>
        <v>1.0054871153505722</v>
      </c>
      <c r="AA55">
        <f t="shared" si="40"/>
        <v>0.99947830132860371</v>
      </c>
      <c r="AB55">
        <f t="shared" si="29"/>
        <v>0.11993739615943244</v>
      </c>
      <c r="AC55">
        <f t="shared" si="30"/>
        <v>0.08</v>
      </c>
      <c r="AD55">
        <f t="shared" si="31"/>
        <v>0.36778882639365651</v>
      </c>
      <c r="AE55">
        <f t="shared" si="32"/>
        <v>0.19</v>
      </c>
      <c r="AF55">
        <f t="shared" si="33"/>
        <v>0.6784</v>
      </c>
      <c r="AG55">
        <f t="shared" si="34"/>
        <v>1.5999696641307614E-4</v>
      </c>
      <c r="AH55">
        <f t="shared" si="35"/>
        <v>2.2180794260794414E-4</v>
      </c>
      <c r="AI55">
        <f t="shared" si="41"/>
        <v>3.8180490902102026E-4</v>
      </c>
      <c r="AJ55">
        <f t="shared" si="36"/>
        <v>6.6195426101519388</v>
      </c>
      <c r="BF55" s="4"/>
    </row>
    <row r="56" spans="5:58" x14ac:dyDescent="0.2">
      <c r="E56" s="12"/>
      <c r="F56" t="s">
        <v>166</v>
      </c>
      <c r="G56">
        <v>180</v>
      </c>
      <c r="H56">
        <v>0</v>
      </c>
      <c r="I56">
        <v>0</v>
      </c>
      <c r="J56">
        <f t="shared" si="22"/>
        <v>91.25</v>
      </c>
      <c r="K56">
        <v>0.18</v>
      </c>
      <c r="L56">
        <v>0.72</v>
      </c>
      <c r="M56">
        <v>51</v>
      </c>
      <c r="N56">
        <f t="shared" si="37"/>
        <v>4.5000000000000595E-3</v>
      </c>
      <c r="O56">
        <f>O41</f>
        <v>0.99549999999999994</v>
      </c>
      <c r="P56">
        <f>P41</f>
        <v>0.75</v>
      </c>
      <c r="Q56">
        <f t="shared" si="23"/>
        <v>4.7000000000000002E-3</v>
      </c>
      <c r="R56">
        <f t="shared" si="24"/>
        <v>0</v>
      </c>
      <c r="S56">
        <v>0</v>
      </c>
      <c r="T56">
        <f t="shared" si="38"/>
        <v>0</v>
      </c>
      <c r="U56">
        <f t="shared" si="25"/>
        <v>1.3</v>
      </c>
      <c r="V56">
        <f t="shared" si="26"/>
        <v>1</v>
      </c>
      <c r="W56">
        <f t="shared" si="27"/>
        <v>0.57100000000000006</v>
      </c>
      <c r="X56">
        <v>1.7</v>
      </c>
      <c r="Y56">
        <f t="shared" si="39"/>
        <v>0.99691128459176326</v>
      </c>
      <c r="Z56">
        <f t="shared" si="28"/>
        <v>1.1534721617679149</v>
      </c>
      <c r="AA56">
        <f t="shared" si="40"/>
        <v>1.1499094145288902</v>
      </c>
      <c r="AB56">
        <f t="shared" si="29"/>
        <v>0.20698369461520022</v>
      </c>
      <c r="AC56">
        <f t="shared" si="30"/>
        <v>0.08</v>
      </c>
      <c r="AD56">
        <f t="shared" si="31"/>
        <v>0.34487699833033825</v>
      </c>
      <c r="AE56">
        <f t="shared" si="32"/>
        <v>0.19</v>
      </c>
      <c r="AF56">
        <f t="shared" si="33"/>
        <v>0.6784</v>
      </c>
      <c r="AG56">
        <f t="shared" si="34"/>
        <v>1.5002977132165903E-4</v>
      </c>
      <c r="AH56">
        <f t="shared" si="35"/>
        <v>2.0799016164395117E-4</v>
      </c>
      <c r="AI56">
        <f t="shared" si="41"/>
        <v>3.5801993296561021E-4</v>
      </c>
      <c r="AJ56">
        <f t="shared" si="36"/>
        <v>5.8804773989601475</v>
      </c>
      <c r="BF56" s="2"/>
    </row>
    <row r="57" spans="5:58" x14ac:dyDescent="0.2">
      <c r="E57" s="11" t="s">
        <v>162</v>
      </c>
      <c r="F57" t="s">
        <v>163</v>
      </c>
      <c r="G57">
        <v>50</v>
      </c>
      <c r="H57">
        <v>0</v>
      </c>
      <c r="I57">
        <v>0</v>
      </c>
      <c r="J57">
        <f t="shared" si="22"/>
        <v>91.25</v>
      </c>
      <c r="K57">
        <v>0.2</v>
      </c>
      <c r="L57">
        <v>0.75</v>
      </c>
      <c r="M57">
        <v>75</v>
      </c>
      <c r="N57">
        <f t="shared" si="37"/>
        <v>4.5000000000000595E-3</v>
      </c>
      <c r="O57">
        <f>O41</f>
        <v>0.99549999999999994</v>
      </c>
      <c r="P57">
        <f>P41</f>
        <v>0.75</v>
      </c>
      <c r="Q57">
        <f t="shared" si="23"/>
        <v>4.7000000000000002E-3</v>
      </c>
      <c r="R57">
        <f t="shared" si="24"/>
        <v>0</v>
      </c>
      <c r="S57">
        <v>0</v>
      </c>
      <c r="T57">
        <f t="shared" si="38"/>
        <v>0</v>
      </c>
      <c r="U57">
        <f t="shared" si="25"/>
        <v>1.3</v>
      </c>
      <c r="V57">
        <f t="shared" si="26"/>
        <v>1</v>
      </c>
      <c r="W57">
        <f t="shared" si="27"/>
        <v>0.5948500000000001</v>
      </c>
      <c r="X57">
        <v>2.9</v>
      </c>
      <c r="Y57">
        <f t="shared" si="39"/>
        <v>0.9999999504359468</v>
      </c>
      <c r="Z57">
        <f t="shared" si="28"/>
        <v>1.7917898456122741</v>
      </c>
      <c r="AA57">
        <f t="shared" si="40"/>
        <v>1.7917897568039067</v>
      </c>
      <c r="AB57">
        <f t="shared" si="29"/>
        <v>0.35835795136078136</v>
      </c>
      <c r="AC57">
        <f t="shared" si="30"/>
        <v>0.08</v>
      </c>
      <c r="AD57">
        <f t="shared" si="31"/>
        <v>0.53025843166411502</v>
      </c>
      <c r="AE57">
        <f t="shared" si="32"/>
        <v>0.19</v>
      </c>
      <c r="AF57">
        <f t="shared" si="33"/>
        <v>0.6784</v>
      </c>
      <c r="AG57">
        <f t="shared" si="34"/>
        <v>2.3067514397625299E-4</v>
      </c>
      <c r="AH57">
        <f t="shared" si="35"/>
        <v>3.1979093256097102E-4</v>
      </c>
      <c r="AI57">
        <f t="shared" si="41"/>
        <v>5.5046607653722404E-4</v>
      </c>
      <c r="AJ57">
        <f t="shared" si="36"/>
        <v>2.5115014742010846</v>
      </c>
      <c r="BF57" s="4"/>
    </row>
    <row r="58" spans="5:58" x14ac:dyDescent="0.2">
      <c r="E58" s="12"/>
      <c r="F58" t="s">
        <v>164</v>
      </c>
      <c r="G58">
        <v>55</v>
      </c>
      <c r="H58">
        <v>0</v>
      </c>
      <c r="I58">
        <v>0</v>
      </c>
      <c r="J58">
        <f t="shared" si="22"/>
        <v>91.25</v>
      </c>
      <c r="K58">
        <v>0.1</v>
      </c>
      <c r="L58">
        <v>0.61</v>
      </c>
      <c r="M58">
        <v>75</v>
      </c>
      <c r="N58">
        <f t="shared" si="37"/>
        <v>4.5000000000000595E-3</v>
      </c>
      <c r="O58">
        <f>O41</f>
        <v>0.99549999999999994</v>
      </c>
      <c r="P58">
        <f>P41</f>
        <v>0.75</v>
      </c>
      <c r="Q58">
        <f t="shared" si="23"/>
        <v>4.7000000000000002E-3</v>
      </c>
      <c r="R58">
        <f t="shared" si="24"/>
        <v>0</v>
      </c>
      <c r="S58">
        <v>0</v>
      </c>
      <c r="T58">
        <f t="shared" si="38"/>
        <v>0</v>
      </c>
      <c r="U58">
        <f t="shared" si="25"/>
        <v>1.3</v>
      </c>
      <c r="V58">
        <f t="shared" si="26"/>
        <v>1</v>
      </c>
      <c r="W58">
        <f t="shared" si="27"/>
        <v>0.48354999999999998</v>
      </c>
      <c r="X58">
        <v>2.5</v>
      </c>
      <c r="Y58">
        <f t="shared" si="39"/>
        <v>0.99999627334682795</v>
      </c>
      <c r="Z58">
        <f t="shared" si="28"/>
        <v>1.4948026034112167</v>
      </c>
      <c r="AA58">
        <f t="shared" si="40"/>
        <v>1.494797032800353</v>
      </c>
      <c r="AB58">
        <f t="shared" si="29"/>
        <v>0.14947970328003532</v>
      </c>
      <c r="AC58">
        <f t="shared" si="30"/>
        <v>0.08</v>
      </c>
      <c r="AD58">
        <f t="shared" si="31"/>
        <v>0.61855976399785639</v>
      </c>
      <c r="AE58">
        <f t="shared" si="32"/>
        <v>0.19</v>
      </c>
      <c r="AF58">
        <f t="shared" si="33"/>
        <v>0.6784</v>
      </c>
      <c r="AG58">
        <f t="shared" si="34"/>
        <v>2.69088342773407E-4</v>
      </c>
      <c r="AH58">
        <f t="shared" si="35"/>
        <v>3.7304414595121151E-4</v>
      </c>
      <c r="AI58">
        <f t="shared" si="41"/>
        <v>6.4213248872461851E-4</v>
      </c>
      <c r="AJ58">
        <f t="shared" si="36"/>
        <v>3.2227024277866794</v>
      </c>
      <c r="BF58" s="2"/>
    </row>
    <row r="59" spans="5:58" x14ac:dyDescent="0.2">
      <c r="E59" s="11"/>
      <c r="F59" t="s">
        <v>165</v>
      </c>
      <c r="G59">
        <v>60</v>
      </c>
      <c r="H59">
        <v>0</v>
      </c>
      <c r="I59">
        <v>0</v>
      </c>
      <c r="J59">
        <f t="shared" si="22"/>
        <v>91.25</v>
      </c>
      <c r="K59">
        <v>0.12</v>
      </c>
      <c r="L59">
        <v>0.64</v>
      </c>
      <c r="M59">
        <v>69</v>
      </c>
      <c r="N59">
        <f t="shared" si="37"/>
        <v>4.5000000000000595E-3</v>
      </c>
      <c r="O59">
        <f>O41</f>
        <v>0.99549999999999994</v>
      </c>
      <c r="P59">
        <f>P41</f>
        <v>0.75</v>
      </c>
      <c r="Q59">
        <f t="shared" si="23"/>
        <v>4.7000000000000002E-3</v>
      </c>
      <c r="R59">
        <f t="shared" si="24"/>
        <v>0</v>
      </c>
      <c r="S59">
        <v>0</v>
      </c>
      <c r="T59">
        <f t="shared" si="38"/>
        <v>0</v>
      </c>
      <c r="U59">
        <f t="shared" si="25"/>
        <v>1.3</v>
      </c>
      <c r="V59">
        <f t="shared" si="26"/>
        <v>1</v>
      </c>
      <c r="W59">
        <f t="shared" si="27"/>
        <v>0.50740000000000007</v>
      </c>
      <c r="X59">
        <v>1.6</v>
      </c>
      <c r="Y59">
        <f t="shared" si="39"/>
        <v>0.99402397710499402</v>
      </c>
      <c r="Z59">
        <f t="shared" si="28"/>
        <v>1.4198696820048529</v>
      </c>
      <c r="AA59">
        <f t="shared" si="40"/>
        <v>1.4113845082772669</v>
      </c>
      <c r="AB59">
        <f t="shared" si="29"/>
        <v>0.16936614099327202</v>
      </c>
      <c r="AC59">
        <f t="shared" si="30"/>
        <v>0.08</v>
      </c>
      <c r="AD59">
        <f t="shared" si="31"/>
        <v>0.54075637841297708</v>
      </c>
      <c r="AE59">
        <f t="shared" si="32"/>
        <v>0.19</v>
      </c>
      <c r="AF59">
        <f t="shared" si="33"/>
        <v>0.6784</v>
      </c>
      <c r="AG59">
        <f t="shared" si="34"/>
        <v>2.3524200276273005E-4</v>
      </c>
      <c r="AH59">
        <f t="shared" si="35"/>
        <v>3.2612208729670668E-4</v>
      </c>
      <c r="AI59">
        <f t="shared" si="41"/>
        <v>5.6136409005943676E-4</v>
      </c>
      <c r="AJ59">
        <f t="shared" si="36"/>
        <v>3.0734683930754159</v>
      </c>
      <c r="BF59" s="4"/>
    </row>
    <row r="60" spans="5:58" x14ac:dyDescent="0.2">
      <c r="E60" s="12"/>
      <c r="F60" t="s">
        <v>166</v>
      </c>
      <c r="G60">
        <v>65</v>
      </c>
      <c r="H60">
        <v>0</v>
      </c>
      <c r="I60">
        <v>0</v>
      </c>
      <c r="J60">
        <f t="shared" si="22"/>
        <v>91.25</v>
      </c>
      <c r="K60">
        <v>0.18</v>
      </c>
      <c r="L60">
        <v>0.72</v>
      </c>
      <c r="M60">
        <v>69</v>
      </c>
      <c r="N60">
        <f t="shared" si="37"/>
        <v>4.5000000000000595E-3</v>
      </c>
      <c r="O60">
        <f>O41</f>
        <v>0.99549999999999994</v>
      </c>
      <c r="P60">
        <f>P41</f>
        <v>0.75</v>
      </c>
      <c r="Q60">
        <f t="shared" si="23"/>
        <v>4.7000000000000002E-3</v>
      </c>
      <c r="R60">
        <f t="shared" si="24"/>
        <v>0</v>
      </c>
      <c r="S60">
        <v>0</v>
      </c>
      <c r="T60">
        <f t="shared" si="38"/>
        <v>0</v>
      </c>
      <c r="U60">
        <f t="shared" si="25"/>
        <v>1.3</v>
      </c>
      <c r="V60">
        <f t="shared" si="26"/>
        <v>1</v>
      </c>
      <c r="W60">
        <f t="shared" si="27"/>
        <v>0.57100000000000006</v>
      </c>
      <c r="X60">
        <v>1.7</v>
      </c>
      <c r="Y60">
        <f t="shared" si="39"/>
        <v>0.99691128459176326</v>
      </c>
      <c r="Z60">
        <f t="shared" si="28"/>
        <v>1.5792888783210146</v>
      </c>
      <c r="AA60">
        <f t="shared" si="40"/>
        <v>1.5744109044284875</v>
      </c>
      <c r="AB60">
        <f t="shared" si="29"/>
        <v>0.28339396279712775</v>
      </c>
      <c r="AC60">
        <f t="shared" si="30"/>
        <v>0.08</v>
      </c>
      <c r="AD60">
        <f t="shared" si="31"/>
        <v>0.49678697379296494</v>
      </c>
      <c r="AE60">
        <f t="shared" si="32"/>
        <v>0.19</v>
      </c>
      <c r="AF60">
        <f t="shared" si="33"/>
        <v>0.6784</v>
      </c>
      <c r="AG60">
        <f t="shared" si="34"/>
        <v>2.1611425648731364E-4</v>
      </c>
      <c r="AH60">
        <f t="shared" si="35"/>
        <v>2.9960479673056415E-4</v>
      </c>
      <c r="AI60">
        <f t="shared" si="41"/>
        <v>5.1571905321787779E-4</v>
      </c>
      <c r="AJ60">
        <f t="shared" si="36"/>
        <v>3.058858634398538</v>
      </c>
      <c r="BF60" s="2"/>
    </row>
    <row r="61" spans="5:58" x14ac:dyDescent="0.2">
      <c r="E61" s="11" t="s">
        <v>167</v>
      </c>
      <c r="F61" t="s">
        <v>163</v>
      </c>
      <c r="G61">
        <v>50</v>
      </c>
      <c r="H61">
        <v>0</v>
      </c>
      <c r="I61">
        <v>0</v>
      </c>
      <c r="J61">
        <f t="shared" si="22"/>
        <v>91.25</v>
      </c>
      <c r="K61">
        <v>0.2</v>
      </c>
      <c r="L61">
        <v>0.75</v>
      </c>
      <c r="M61">
        <v>62</v>
      </c>
      <c r="N61">
        <f t="shared" si="37"/>
        <v>4.5000000000000595E-3</v>
      </c>
      <c r="O61">
        <f>O41</f>
        <v>0.99549999999999994</v>
      </c>
      <c r="P61">
        <f>P41</f>
        <v>0.75</v>
      </c>
      <c r="Q61">
        <f t="shared" si="23"/>
        <v>4.7000000000000002E-3</v>
      </c>
      <c r="R61">
        <f t="shared" si="24"/>
        <v>0</v>
      </c>
      <c r="S61">
        <v>0</v>
      </c>
      <c r="T61">
        <f t="shared" si="38"/>
        <v>0</v>
      </c>
      <c r="U61">
        <f t="shared" si="25"/>
        <v>1.3</v>
      </c>
      <c r="V61">
        <f t="shared" si="26"/>
        <v>1</v>
      </c>
      <c r="W61">
        <f t="shared" si="27"/>
        <v>0.5948500000000001</v>
      </c>
      <c r="X61">
        <v>2.9</v>
      </c>
      <c r="Y61">
        <f t="shared" si="39"/>
        <v>0.9999999504359468</v>
      </c>
      <c r="Z61">
        <f t="shared" si="28"/>
        <v>1.4652245899459331</v>
      </c>
      <c r="AA61">
        <f t="shared" si="40"/>
        <v>1.4652245173234635</v>
      </c>
      <c r="AB61">
        <f t="shared" si="29"/>
        <v>0.2930449034646927</v>
      </c>
      <c r="AC61">
        <f t="shared" si="30"/>
        <v>0.08</v>
      </c>
      <c r="AD61">
        <f t="shared" si="31"/>
        <v>0.41600692919529714</v>
      </c>
      <c r="AE61">
        <f t="shared" si="32"/>
        <v>0.19</v>
      </c>
      <c r="AF61">
        <f t="shared" si="33"/>
        <v>0.6784</v>
      </c>
      <c r="AG61">
        <f t="shared" si="34"/>
        <v>1.8097299836625734E-4</v>
      </c>
      <c r="AH61">
        <f t="shared" si="35"/>
        <v>2.5088755952768947E-4</v>
      </c>
      <c r="AI61">
        <f t="shared" si="41"/>
        <v>4.3186055789394681E-4</v>
      </c>
      <c r="AJ61">
        <f t="shared" si="36"/>
        <v>1.9703637953911324</v>
      </c>
      <c r="BF61" s="4"/>
    </row>
    <row r="62" spans="5:58" x14ac:dyDescent="0.2">
      <c r="E62" s="12"/>
      <c r="F62" t="s">
        <v>164</v>
      </c>
      <c r="G62">
        <v>100</v>
      </c>
      <c r="H62">
        <v>0</v>
      </c>
      <c r="I62">
        <v>0</v>
      </c>
      <c r="J62">
        <f t="shared" si="22"/>
        <v>91.25</v>
      </c>
      <c r="K62">
        <v>0.1</v>
      </c>
      <c r="L62">
        <v>0.61</v>
      </c>
      <c r="M62">
        <v>55</v>
      </c>
      <c r="N62">
        <f t="shared" si="37"/>
        <v>4.5000000000000595E-3</v>
      </c>
      <c r="O62">
        <f>O41</f>
        <v>0.99549999999999994</v>
      </c>
      <c r="P62">
        <f>P41</f>
        <v>0.75</v>
      </c>
      <c r="Q62">
        <f t="shared" si="23"/>
        <v>4.7000000000000002E-3</v>
      </c>
      <c r="R62">
        <f t="shared" si="24"/>
        <v>0</v>
      </c>
      <c r="S62">
        <v>0</v>
      </c>
      <c r="T62">
        <f t="shared" si="38"/>
        <v>0</v>
      </c>
      <c r="U62">
        <f t="shared" si="25"/>
        <v>1.3</v>
      </c>
      <c r="V62">
        <f t="shared" si="26"/>
        <v>1</v>
      </c>
      <c r="W62">
        <f t="shared" si="27"/>
        <v>0.48354999999999998</v>
      </c>
      <c r="X62">
        <v>2.5</v>
      </c>
      <c r="Y62">
        <f t="shared" si="39"/>
        <v>0.99999627334682795</v>
      </c>
      <c r="Z62">
        <f t="shared" si="28"/>
        <v>1.0605624381175847</v>
      </c>
      <c r="AA62">
        <f t="shared" si="40"/>
        <v>1.0605584857692105</v>
      </c>
      <c r="AB62">
        <f t="shared" si="29"/>
        <v>0.10605584857692106</v>
      </c>
      <c r="AC62">
        <f t="shared" si="30"/>
        <v>0.08</v>
      </c>
      <c r="AD62">
        <f t="shared" si="31"/>
        <v>0.42192044699791736</v>
      </c>
      <c r="AE62">
        <f t="shared" si="32"/>
        <v>0.19</v>
      </c>
      <c r="AF62">
        <f t="shared" si="33"/>
        <v>0.6784</v>
      </c>
      <c r="AG62">
        <f t="shared" si="34"/>
        <v>1.8354552053482444E-4</v>
      </c>
      <c r="AH62">
        <f t="shared" si="35"/>
        <v>2.544539137049932E-4</v>
      </c>
      <c r="AI62">
        <f t="shared" si="41"/>
        <v>4.3799943423981761E-4</v>
      </c>
      <c r="AJ62">
        <f t="shared" si="36"/>
        <v>3.9967448374383356</v>
      </c>
      <c r="BF62" s="7"/>
    </row>
    <row r="63" spans="5:58" x14ac:dyDescent="0.2">
      <c r="E63" s="11"/>
      <c r="F63" t="s">
        <v>165</v>
      </c>
      <c r="G63">
        <v>90</v>
      </c>
      <c r="H63">
        <v>0</v>
      </c>
      <c r="I63">
        <v>0</v>
      </c>
      <c r="J63">
        <f t="shared" si="22"/>
        <v>91.25</v>
      </c>
      <c r="K63">
        <v>0.12</v>
      </c>
      <c r="L63">
        <v>0.64</v>
      </c>
      <c r="M63">
        <v>55</v>
      </c>
      <c r="N63">
        <f t="shared" si="37"/>
        <v>4.5000000000000595E-3</v>
      </c>
      <c r="O63">
        <f>O41</f>
        <v>0.99549999999999994</v>
      </c>
      <c r="P63">
        <f>P41</f>
        <v>0.75</v>
      </c>
      <c r="Q63">
        <f t="shared" si="23"/>
        <v>4.7000000000000002E-3</v>
      </c>
      <c r="R63">
        <f t="shared" si="24"/>
        <v>0</v>
      </c>
      <c r="S63">
        <v>0</v>
      </c>
      <c r="T63">
        <f t="shared" si="38"/>
        <v>0</v>
      </c>
      <c r="U63">
        <f t="shared" si="25"/>
        <v>1.3</v>
      </c>
      <c r="V63">
        <f t="shared" si="26"/>
        <v>1</v>
      </c>
      <c r="W63">
        <f t="shared" si="27"/>
        <v>0.50740000000000007</v>
      </c>
      <c r="X63">
        <v>1.6</v>
      </c>
      <c r="Y63">
        <f t="shared" si="39"/>
        <v>0.99402397710499402</v>
      </c>
      <c r="Z63">
        <f t="shared" si="28"/>
        <v>1.1109945415495692</v>
      </c>
      <c r="AA63">
        <f t="shared" si="40"/>
        <v>1.1043552127330423</v>
      </c>
      <c r="AB63">
        <f t="shared" si="29"/>
        <v>0.13252262552796507</v>
      </c>
      <c r="AC63">
        <f t="shared" si="30"/>
        <v>0.08</v>
      </c>
      <c r="AD63">
        <f t="shared" si="31"/>
        <v>0.41064374249795926</v>
      </c>
      <c r="AE63">
        <f t="shared" si="32"/>
        <v>0.19</v>
      </c>
      <c r="AF63">
        <f t="shared" si="33"/>
        <v>0.6784</v>
      </c>
      <c r="AG63">
        <f t="shared" si="34"/>
        <v>1.7863988343643457E-4</v>
      </c>
      <c r="AH63">
        <f t="shared" si="35"/>
        <v>2.4765310181231137E-4</v>
      </c>
      <c r="AI63">
        <f t="shared" si="41"/>
        <v>4.2629298524874597E-4</v>
      </c>
      <c r="AJ63">
        <f t="shared" si="36"/>
        <v>3.5009311413553261</v>
      </c>
    </row>
    <row r="64" spans="5:58" x14ac:dyDescent="0.2">
      <c r="E64" s="12"/>
      <c r="F64" t="s">
        <v>166</v>
      </c>
      <c r="G64">
        <v>80</v>
      </c>
      <c r="H64">
        <v>0</v>
      </c>
      <c r="I64">
        <v>0</v>
      </c>
      <c r="J64">
        <f t="shared" si="22"/>
        <v>91.25</v>
      </c>
      <c r="K64">
        <v>0.18</v>
      </c>
      <c r="L64">
        <v>0.72</v>
      </c>
      <c r="M64">
        <v>55</v>
      </c>
      <c r="N64">
        <f t="shared" si="37"/>
        <v>4.5000000000000595E-3</v>
      </c>
      <c r="O64">
        <f>O41</f>
        <v>0.99549999999999994</v>
      </c>
      <c r="P64">
        <f>P41</f>
        <v>0.75</v>
      </c>
      <c r="Q64">
        <f t="shared" si="23"/>
        <v>4.7000000000000002E-3</v>
      </c>
      <c r="R64">
        <f t="shared" si="24"/>
        <v>0</v>
      </c>
      <c r="S64">
        <v>0</v>
      </c>
      <c r="T64">
        <f t="shared" si="38"/>
        <v>0</v>
      </c>
      <c r="U64">
        <f t="shared" si="25"/>
        <v>1.3</v>
      </c>
      <c r="V64">
        <f t="shared" si="26"/>
        <v>1</v>
      </c>
      <c r="W64">
        <f t="shared" si="27"/>
        <v>0.57100000000000006</v>
      </c>
      <c r="X64">
        <v>1.7</v>
      </c>
      <c r="Y64">
        <f t="shared" si="39"/>
        <v>0.99691128459176326</v>
      </c>
      <c r="Z64">
        <f t="shared" si="28"/>
        <v>1.2454801507015281</v>
      </c>
      <c r="AA64">
        <f t="shared" si="40"/>
        <v>1.2416332169694033</v>
      </c>
      <c r="AB64">
        <f t="shared" si="29"/>
        <v>0.22349397905449259</v>
      </c>
      <c r="AC64">
        <f t="shared" si="30"/>
        <v>0.08</v>
      </c>
      <c r="AD64">
        <f t="shared" si="31"/>
        <v>0.37657754876504823</v>
      </c>
      <c r="AE64">
        <f t="shared" si="32"/>
        <v>0.19</v>
      </c>
      <c r="AF64">
        <f t="shared" si="33"/>
        <v>0.6784</v>
      </c>
      <c r="AG64">
        <f t="shared" si="34"/>
        <v>1.6382027157396851E-4</v>
      </c>
      <c r="AH64">
        <f t="shared" si="35"/>
        <v>2.2710828967521554E-4</v>
      </c>
      <c r="AI64">
        <f t="shared" si="41"/>
        <v>3.9092856124918409E-4</v>
      </c>
      <c r="AJ64">
        <f t="shared" si="36"/>
        <v>2.8537784971190434</v>
      </c>
    </row>
    <row r="66" spans="1:65" ht="17" thickBot="1" x14ac:dyDescent="0.25">
      <c r="BF66" s="8"/>
      <c r="BG66" s="9"/>
      <c r="BH66" s="9"/>
      <c r="BI66" s="9"/>
      <c r="BJ66" s="9"/>
      <c r="BK66" s="9"/>
      <c r="BL66" s="9"/>
      <c r="BM66" s="10"/>
    </row>
    <row r="67" spans="1:65" ht="17" thickTop="1" x14ac:dyDescent="0.2">
      <c r="BF67" s="2"/>
      <c r="BG67" s="3"/>
      <c r="BH67" s="3"/>
      <c r="BI67" s="3"/>
      <c r="BJ67" s="3"/>
      <c r="BK67" s="3"/>
      <c r="BL67" s="3"/>
      <c r="BM67" s="6"/>
    </row>
    <row r="68" spans="1:65" x14ac:dyDescent="0.2">
      <c r="BF68" s="4"/>
      <c r="BG68" s="13"/>
      <c r="BH68" s="13"/>
      <c r="BI68" s="13"/>
      <c r="BJ68" s="13"/>
      <c r="BK68" s="13"/>
      <c r="BL68" s="13"/>
      <c r="BM68" s="13"/>
    </row>
    <row r="69" spans="1:65" x14ac:dyDescent="0.2">
      <c r="BF69" s="2"/>
      <c r="BG69" s="13"/>
      <c r="BH69" s="13"/>
      <c r="BI69" s="13"/>
      <c r="BJ69" s="13"/>
      <c r="BK69" s="13"/>
      <c r="BL69" s="13"/>
    </row>
    <row r="70" spans="1:65" x14ac:dyDescent="0.2">
      <c r="BF70" s="4"/>
      <c r="BG70" s="13"/>
      <c r="BH70" s="13"/>
      <c r="BI70" s="13"/>
      <c r="BJ70" s="13"/>
      <c r="BK70" s="13"/>
      <c r="BL70" s="13"/>
    </row>
    <row r="71" spans="1:65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G71">
        <v>100</v>
      </c>
      <c r="H71">
        <v>95</v>
      </c>
      <c r="I71">
        <v>90</v>
      </c>
      <c r="J71">
        <f t="shared" ref="J71:J94" si="42">$AQ$3</f>
        <v>91.25</v>
      </c>
      <c r="K71" cm="1">
        <f t="array" ref="K71:K94">_xlfn.DROP(_xlfn.XLOOKUP($C71,QueryCP[[#Headers],[ACT/NSW]:[WA]],QueryCP[[#All],[ACT/NSW]:[WA]]),1)</f>
        <v>0.08</v>
      </c>
      <c r="L71" cm="1">
        <f t="array" ref="L71:L94">_xlfn.DROP(_xlfn.XLOOKUP($C71,QueryDMD[[#Headers],[ACT/NSW]:[WA]],QueryDMD[[#All],[ACT/NSW]:[WA]]),1)</f>
        <v>0.51</v>
      </c>
      <c r="M71" cm="1">
        <f t="array" ref="M71:M94">_xlfn.DROP(_xlfn.XLOOKUP($C71,QueryW[[#Headers],[ACT/NSW]:[WA]],QueryW[[#All],[ACT/NSW]:[WA]]),1)</f>
        <v>40</v>
      </c>
      <c r="N71">
        <f>1-O71</f>
        <v>0</v>
      </c>
      <c r="O71">
        <f>IF($D71="yes", 1, VLOOKUP($B71, $AP$26:$AR$32, 2)/100)</f>
        <v>1</v>
      </c>
      <c r="P71">
        <f>VLOOKUP($B71,$AR$10:$AS$16, 2, FALSE)</f>
        <v>0.78</v>
      </c>
      <c r="Q71">
        <f t="shared" ref="Q71:Q94" si="43">$AQ$10</f>
        <v>4.7000000000000002E-3</v>
      </c>
      <c r="R71">
        <f t="shared" ref="R71:R94" si="44">(H71/100)*(MIN(I71,100)/100)</f>
        <v>0.85499999999999998</v>
      </c>
      <c r="S71">
        <v>0</v>
      </c>
      <c r="T71">
        <f>1.6 * S71</f>
        <v>0</v>
      </c>
      <c r="U71">
        <f t="shared" ref="U71:U94" si="45">$AT$1</f>
        <v>1.3</v>
      </c>
      <c r="V71">
        <f t="shared" ref="V71:V94" si="46">R71*U71+(1-R71)</f>
        <v>1.2565</v>
      </c>
      <c r="W71">
        <f t="shared" ref="W71:W94" si="47">(0.795*L71)-0.0014</f>
        <v>0.40405000000000002</v>
      </c>
      <c r="X71" cm="1">
        <f t="array" ref="X71:X94">_xlfn.DROP(_xlfn.XLOOKUP($C71,QueryDMA[[#Headers],[ACT/NSW]:[WA]],QueryDMA[[#All],[ACT/NSW]:[WA]]),1)</f>
        <v>1.5</v>
      </c>
      <c r="Y71">
        <f>1 - EXP(-2*(X71^2))</f>
        <v>0.98889100346175773</v>
      </c>
      <c r="Z71">
        <f t="shared" ref="Z71:Z94" si="48">(104.7*W71+0.307*M71-15)*(M71^0.75)*10^-3</f>
        <v>0.62960048723980899</v>
      </c>
      <c r="AA71">
        <f>Z71*Y71*V71</f>
        <v>0.78230476268267568</v>
      </c>
      <c r="AB71">
        <f t="shared" ref="AB71:AB94" si="49">(AA71 * K71) + (0.045 * T71)</f>
        <v>6.2584381014614054E-2</v>
      </c>
      <c r="AC71">
        <f t="shared" ref="AC71:AC94" si="50">$AQ$2</f>
        <v>0.08</v>
      </c>
      <c r="AD71">
        <f t="shared" ref="AD71:AD94" si="51">(AA71 * ((1 - L71) + (0.04 * AA71))) * ( 1 - AC71 )</f>
        <v>0.37518461431249894</v>
      </c>
      <c r="AE71">
        <f t="shared" ref="AE71:AE94" si="52">$AQ$1</f>
        <v>0.19</v>
      </c>
      <c r="AF71">
        <f t="shared" ref="AF71:AF94" si="53">$AR$20</f>
        <v>0.6784</v>
      </c>
      <c r="AG71">
        <f t="shared" ref="AG71:AG94" si="54">AD71 * AE71 * N71 * P71 * AF71</f>
        <v>0</v>
      </c>
      <c r="AH71">
        <f t="shared" ref="AH71:AH94" si="55">AD71*AE71*O71*Q71*AF71</f>
        <v>2.2729104141819216E-4</v>
      </c>
      <c r="AI71">
        <f>AG71+AH71</f>
        <v>2.2729104141819216E-4</v>
      </c>
      <c r="AJ71">
        <f t="shared" ref="AJ71:AJ94" si="56">G71*AI71*J71</f>
        <v>2.0740307529410034</v>
      </c>
      <c r="AK71">
        <f>SUM(AJ71:AJ94)*10^-3</f>
        <v>5.0519802937549436E-2</v>
      </c>
      <c r="BF71" s="2"/>
      <c r="BG71" s="13"/>
      <c r="BH71" s="13"/>
      <c r="BI71" s="13"/>
      <c r="BJ71" s="13"/>
      <c r="BK71" s="13"/>
      <c r="BL71" s="13"/>
    </row>
    <row r="72" spans="1:65" x14ac:dyDescent="0.2">
      <c r="E72" s="12"/>
      <c r="F72" t="s">
        <v>164</v>
      </c>
      <c r="G72">
        <v>70</v>
      </c>
      <c r="H72">
        <v>0</v>
      </c>
      <c r="I72">
        <v>0</v>
      </c>
      <c r="J72">
        <f t="shared" si="42"/>
        <v>91.25</v>
      </c>
      <c r="K72">
        <v>0.1</v>
      </c>
      <c r="L72">
        <v>0.55000000000000004</v>
      </c>
      <c r="M72">
        <v>45</v>
      </c>
      <c r="N72">
        <f t="shared" ref="N72:N94" si="57">1-O72</f>
        <v>0</v>
      </c>
      <c r="O72">
        <f>O71</f>
        <v>1</v>
      </c>
      <c r="P72">
        <f>P71</f>
        <v>0.78</v>
      </c>
      <c r="Q72">
        <f t="shared" si="43"/>
        <v>4.7000000000000002E-3</v>
      </c>
      <c r="R72">
        <f t="shared" si="44"/>
        <v>0</v>
      </c>
      <c r="S72">
        <v>0</v>
      </c>
      <c r="T72">
        <f t="shared" ref="T72:T94" si="58">1.6 * S72</f>
        <v>0</v>
      </c>
      <c r="U72">
        <f t="shared" si="45"/>
        <v>1.3</v>
      </c>
      <c r="V72">
        <f t="shared" si="46"/>
        <v>1</v>
      </c>
      <c r="W72">
        <f t="shared" si="47"/>
        <v>0.43585000000000007</v>
      </c>
      <c r="X72">
        <v>2</v>
      </c>
      <c r="Y72">
        <f t="shared" ref="Y72:Y94" si="59">1 - EXP(-2*(X72^2))</f>
        <v>0.99966453737209748</v>
      </c>
      <c r="Z72">
        <f t="shared" si="48"/>
        <v>0.77226516609487061</v>
      </c>
      <c r="AA72">
        <f t="shared" ref="AA72:AA94" si="60">Z72*Y72*V72</f>
        <v>0.77200609999281489</v>
      </c>
      <c r="AB72">
        <f t="shared" si="49"/>
        <v>7.7200609999281494E-2</v>
      </c>
      <c r="AC72">
        <f t="shared" si="50"/>
        <v>0.08</v>
      </c>
      <c r="AD72">
        <f t="shared" si="51"/>
        <v>0.3415430831951064</v>
      </c>
      <c r="AE72">
        <f t="shared" si="52"/>
        <v>0.19</v>
      </c>
      <c r="AF72">
        <f t="shared" si="53"/>
        <v>0.6784</v>
      </c>
      <c r="AG72">
        <f t="shared" si="54"/>
        <v>0</v>
      </c>
      <c r="AH72">
        <f t="shared" si="55"/>
        <v>2.0691062508212729E-4</v>
      </c>
      <c r="AI72">
        <f t="shared" ref="AI72:AI94" si="61">AG72+AH72</f>
        <v>2.0691062508212729E-4</v>
      </c>
      <c r="AJ72">
        <f t="shared" si="56"/>
        <v>1.321641617712088</v>
      </c>
      <c r="BF72" s="4"/>
      <c r="BG72" s="13"/>
      <c r="BH72" s="13"/>
      <c r="BI72" s="13"/>
      <c r="BJ72" s="13"/>
      <c r="BK72" s="13"/>
      <c r="BL72" s="13"/>
      <c r="BM72" s="13"/>
    </row>
    <row r="73" spans="1:65" x14ac:dyDescent="0.2">
      <c r="E73" s="11"/>
      <c r="F73" t="s">
        <v>165</v>
      </c>
      <c r="G73">
        <v>65</v>
      </c>
      <c r="H73">
        <v>0</v>
      </c>
      <c r="I73">
        <v>0</v>
      </c>
      <c r="J73">
        <f t="shared" si="42"/>
        <v>91.25</v>
      </c>
      <c r="K73">
        <v>0.09</v>
      </c>
      <c r="L73">
        <v>0.59</v>
      </c>
      <c r="M73">
        <v>45</v>
      </c>
      <c r="N73">
        <f t="shared" si="57"/>
        <v>0</v>
      </c>
      <c r="O73">
        <f>O71</f>
        <v>1</v>
      </c>
      <c r="P73">
        <f>P71</f>
        <v>0.78</v>
      </c>
      <c r="Q73">
        <f t="shared" si="43"/>
        <v>4.7000000000000002E-3</v>
      </c>
      <c r="R73">
        <f t="shared" si="44"/>
        <v>0</v>
      </c>
      <c r="S73">
        <v>0</v>
      </c>
      <c r="T73">
        <f t="shared" si="58"/>
        <v>0</v>
      </c>
      <c r="U73">
        <f t="shared" si="45"/>
        <v>1.3</v>
      </c>
      <c r="V73">
        <f t="shared" si="46"/>
        <v>1</v>
      </c>
      <c r="W73">
        <f t="shared" si="47"/>
        <v>0.46765000000000001</v>
      </c>
      <c r="X73">
        <v>2.2000000000000002</v>
      </c>
      <c r="Y73">
        <f t="shared" si="59"/>
        <v>0.99993747849622516</v>
      </c>
      <c r="Z73">
        <f t="shared" si="48"/>
        <v>0.8301124785833186</v>
      </c>
      <c r="AA73">
        <f t="shared" si="60"/>
        <v>0.83006057870285532</v>
      </c>
      <c r="AB73">
        <f t="shared" si="49"/>
        <v>7.4705452083256976E-2</v>
      </c>
      <c r="AC73">
        <f t="shared" si="50"/>
        <v>0.08</v>
      </c>
      <c r="AD73">
        <f t="shared" si="51"/>
        <v>0.33845407105356495</v>
      </c>
      <c r="AE73">
        <f t="shared" si="52"/>
        <v>0.19</v>
      </c>
      <c r="AF73">
        <f t="shared" si="53"/>
        <v>0.6784</v>
      </c>
      <c r="AG73">
        <f t="shared" si="54"/>
        <v>0</v>
      </c>
      <c r="AH73">
        <f t="shared" si="55"/>
        <v>2.0503926692984546E-4</v>
      </c>
      <c r="AI73">
        <f t="shared" si="61"/>
        <v>2.0503926692984546E-4</v>
      </c>
      <c r="AJ73">
        <f t="shared" si="56"/>
        <v>1.2161391519776459</v>
      </c>
      <c r="BF73" s="2"/>
      <c r="BG73" s="13"/>
      <c r="BH73" s="13"/>
      <c r="BI73" s="13"/>
      <c r="BJ73" s="13"/>
      <c r="BK73" s="13"/>
      <c r="BL73" s="13"/>
    </row>
    <row r="74" spans="1:65" x14ac:dyDescent="0.2">
      <c r="E74" s="12"/>
      <c r="F74" t="s">
        <v>166</v>
      </c>
      <c r="G74">
        <v>80</v>
      </c>
      <c r="H74">
        <v>0</v>
      </c>
      <c r="I74">
        <v>0</v>
      </c>
      <c r="J74">
        <f t="shared" si="42"/>
        <v>91.25</v>
      </c>
      <c r="K74">
        <v>7.0000000000000007E-2</v>
      </c>
      <c r="L74">
        <v>0.57999999999999996</v>
      </c>
      <c r="M74">
        <v>42</v>
      </c>
      <c r="N74">
        <f t="shared" si="57"/>
        <v>0</v>
      </c>
      <c r="O74">
        <f>O71</f>
        <v>1</v>
      </c>
      <c r="P74">
        <f>P71</f>
        <v>0.78</v>
      </c>
      <c r="Q74">
        <f t="shared" si="43"/>
        <v>4.7000000000000002E-3</v>
      </c>
      <c r="R74">
        <f t="shared" si="44"/>
        <v>0</v>
      </c>
      <c r="S74">
        <v>0</v>
      </c>
      <c r="T74">
        <f t="shared" si="58"/>
        <v>0</v>
      </c>
      <c r="U74">
        <f t="shared" si="45"/>
        <v>1.3</v>
      </c>
      <c r="V74">
        <f t="shared" si="46"/>
        <v>1</v>
      </c>
      <c r="W74">
        <f t="shared" si="47"/>
        <v>0.4597</v>
      </c>
      <c r="X74">
        <v>1.7</v>
      </c>
      <c r="Y74">
        <f t="shared" si="59"/>
        <v>0.99691128459176326</v>
      </c>
      <c r="Z74">
        <f t="shared" si="48"/>
        <v>0.7593235966549482</v>
      </c>
      <c r="AA74">
        <f t="shared" si="60"/>
        <v>0.75697826216212227</v>
      </c>
      <c r="AB74">
        <f t="shared" si="49"/>
        <v>5.2988478351348567E-2</v>
      </c>
      <c r="AC74">
        <f t="shared" si="50"/>
        <v>0.08</v>
      </c>
      <c r="AD74">
        <f t="shared" si="51"/>
        <v>0.31358339258884838</v>
      </c>
      <c r="AE74">
        <f t="shared" si="52"/>
        <v>0.19</v>
      </c>
      <c r="AF74">
        <f t="shared" si="53"/>
        <v>0.6784</v>
      </c>
      <c r="AG74">
        <f t="shared" si="54"/>
        <v>0</v>
      </c>
      <c r="AH74">
        <f t="shared" si="55"/>
        <v>1.8997233136432135E-4</v>
      </c>
      <c r="AI74">
        <f t="shared" si="61"/>
        <v>1.8997233136432135E-4</v>
      </c>
      <c r="AJ74">
        <f t="shared" si="56"/>
        <v>1.3867980189595459</v>
      </c>
      <c r="BF74" s="4"/>
      <c r="BG74" s="13"/>
      <c r="BH74" s="13"/>
      <c r="BI74" s="13"/>
      <c r="BJ74" s="13"/>
      <c r="BK74" s="13"/>
      <c r="BL74" s="13"/>
    </row>
    <row r="75" spans="1:65" x14ac:dyDescent="0.2">
      <c r="E75" s="11" t="s">
        <v>171</v>
      </c>
      <c r="F75" t="s">
        <v>163</v>
      </c>
      <c r="G75">
        <v>200</v>
      </c>
      <c r="H75">
        <v>0</v>
      </c>
      <c r="I75">
        <v>0</v>
      </c>
      <c r="J75">
        <f t="shared" si="42"/>
        <v>91.25</v>
      </c>
      <c r="K75">
        <v>0.08</v>
      </c>
      <c r="L75">
        <v>0.51</v>
      </c>
      <c r="M75">
        <v>20</v>
      </c>
      <c r="N75">
        <f t="shared" si="57"/>
        <v>0</v>
      </c>
      <c r="O75">
        <f>O71</f>
        <v>1</v>
      </c>
      <c r="P75">
        <f>P71</f>
        <v>0.78</v>
      </c>
      <c r="Q75">
        <f t="shared" si="43"/>
        <v>4.7000000000000002E-3</v>
      </c>
      <c r="R75">
        <f t="shared" si="44"/>
        <v>0</v>
      </c>
      <c r="S75">
        <v>1</v>
      </c>
      <c r="T75">
        <f t="shared" si="58"/>
        <v>1.6</v>
      </c>
      <c r="U75">
        <f t="shared" si="45"/>
        <v>1.3</v>
      </c>
      <c r="V75">
        <f t="shared" si="46"/>
        <v>1</v>
      </c>
      <c r="W75">
        <f t="shared" si="47"/>
        <v>0.40405000000000002</v>
      </c>
      <c r="X75">
        <v>1.5</v>
      </c>
      <c r="Y75">
        <f t="shared" si="59"/>
        <v>0.98889100346175773</v>
      </c>
      <c r="Z75">
        <f t="shared" si="48"/>
        <v>0.31629415472458533</v>
      </c>
      <c r="AA75">
        <f t="shared" si="60"/>
        <v>0.31278044405468364</v>
      </c>
      <c r="AB75">
        <f t="shared" si="49"/>
        <v>9.7022435524374687E-2</v>
      </c>
      <c r="AC75">
        <f t="shared" si="50"/>
        <v>0.08</v>
      </c>
      <c r="AD75">
        <f t="shared" si="51"/>
        <v>0.14460162728738746</v>
      </c>
      <c r="AE75">
        <f t="shared" si="52"/>
        <v>0.19</v>
      </c>
      <c r="AF75">
        <f t="shared" si="53"/>
        <v>0.6784</v>
      </c>
      <c r="AG75">
        <f t="shared" si="54"/>
        <v>0</v>
      </c>
      <c r="AH75">
        <f t="shared" si="55"/>
        <v>8.760128534892494E-5</v>
      </c>
      <c r="AI75">
        <f t="shared" si="61"/>
        <v>8.760128534892494E-5</v>
      </c>
      <c r="AJ75">
        <f t="shared" si="56"/>
        <v>1.5987234576178802</v>
      </c>
      <c r="BF75" s="2"/>
      <c r="BG75" s="13"/>
      <c r="BH75" s="13"/>
      <c r="BI75" s="13"/>
      <c r="BJ75" s="13"/>
      <c r="BK75" s="13"/>
      <c r="BL75" s="13"/>
    </row>
    <row r="76" spans="1:65" x14ac:dyDescent="0.2">
      <c r="E76" s="12"/>
      <c r="F76" t="s">
        <v>164</v>
      </c>
      <c r="G76">
        <v>210</v>
      </c>
      <c r="H76">
        <v>0</v>
      </c>
      <c r="I76">
        <v>0</v>
      </c>
      <c r="J76">
        <f t="shared" si="42"/>
        <v>91.25</v>
      </c>
      <c r="K76">
        <v>0.1</v>
      </c>
      <c r="L76">
        <v>0.55000000000000004</v>
      </c>
      <c r="M76">
        <v>25</v>
      </c>
      <c r="N76">
        <f t="shared" si="57"/>
        <v>0</v>
      </c>
      <c r="O76">
        <f>O71</f>
        <v>1</v>
      </c>
      <c r="P76">
        <f>P71</f>
        <v>0.78</v>
      </c>
      <c r="Q76">
        <f t="shared" si="43"/>
        <v>4.7000000000000002E-3</v>
      </c>
      <c r="R76">
        <f t="shared" si="44"/>
        <v>0</v>
      </c>
      <c r="S76">
        <v>0</v>
      </c>
      <c r="T76">
        <f t="shared" si="58"/>
        <v>0</v>
      </c>
      <c r="U76">
        <f t="shared" si="45"/>
        <v>1.3</v>
      </c>
      <c r="V76">
        <f t="shared" si="46"/>
        <v>1</v>
      </c>
      <c r="W76">
        <f t="shared" si="47"/>
        <v>0.43585000000000007</v>
      </c>
      <c r="X76">
        <v>2</v>
      </c>
      <c r="Y76">
        <f t="shared" si="59"/>
        <v>0.99966453737209748</v>
      </c>
      <c r="Z76">
        <f t="shared" si="48"/>
        <v>0.42830199467855401</v>
      </c>
      <c r="AA76">
        <f t="shared" si="60"/>
        <v>0.42815831536588328</v>
      </c>
      <c r="AB76">
        <f t="shared" si="49"/>
        <v>4.2815831536588328E-2</v>
      </c>
      <c r="AC76">
        <f t="shared" si="50"/>
        <v>0.08</v>
      </c>
      <c r="AD76">
        <f t="shared" si="51"/>
        <v>0.18400370174449945</v>
      </c>
      <c r="AE76">
        <f t="shared" si="52"/>
        <v>0.19</v>
      </c>
      <c r="AF76">
        <f t="shared" si="53"/>
        <v>0.6784</v>
      </c>
      <c r="AG76">
        <f t="shared" si="54"/>
        <v>0</v>
      </c>
      <c r="AH76">
        <f t="shared" si="55"/>
        <v>1.114715033582773E-4</v>
      </c>
      <c r="AI76">
        <f t="shared" si="61"/>
        <v>1.114715033582773E-4</v>
      </c>
      <c r="AJ76">
        <f t="shared" si="56"/>
        <v>2.1360726831029888</v>
      </c>
      <c r="BF76" s="4"/>
      <c r="BG76" s="13"/>
      <c r="BH76" s="13"/>
      <c r="BI76" s="13"/>
      <c r="BJ76" s="13"/>
      <c r="BK76" s="13"/>
      <c r="BL76" s="13"/>
      <c r="BM76" s="13"/>
    </row>
    <row r="77" spans="1:65" x14ac:dyDescent="0.2">
      <c r="E77" s="11"/>
      <c r="F77" t="s">
        <v>165</v>
      </c>
      <c r="G77">
        <v>170</v>
      </c>
      <c r="H77">
        <v>0</v>
      </c>
      <c r="I77">
        <v>0</v>
      </c>
      <c r="J77">
        <f t="shared" si="42"/>
        <v>91.25</v>
      </c>
      <c r="K77">
        <v>0.09</v>
      </c>
      <c r="L77">
        <v>0.59</v>
      </c>
      <c r="M77">
        <v>20</v>
      </c>
      <c r="N77">
        <f t="shared" si="57"/>
        <v>0</v>
      </c>
      <c r="O77">
        <f>O71</f>
        <v>1</v>
      </c>
      <c r="P77">
        <f>P71</f>
        <v>0.78</v>
      </c>
      <c r="Q77">
        <f t="shared" si="43"/>
        <v>4.7000000000000002E-3</v>
      </c>
      <c r="R77">
        <f t="shared" si="44"/>
        <v>0</v>
      </c>
      <c r="S77">
        <v>0</v>
      </c>
      <c r="T77">
        <f t="shared" si="58"/>
        <v>0</v>
      </c>
      <c r="U77">
        <f t="shared" si="45"/>
        <v>1.3</v>
      </c>
      <c r="V77">
        <f t="shared" si="46"/>
        <v>1</v>
      </c>
      <c r="W77">
        <f t="shared" si="47"/>
        <v>0.46765000000000001</v>
      </c>
      <c r="X77">
        <v>2.2000000000000002</v>
      </c>
      <c r="Y77">
        <f t="shared" si="59"/>
        <v>0.99993747849622516</v>
      </c>
      <c r="Z77">
        <f t="shared" si="48"/>
        <v>0.37927033187481962</v>
      </c>
      <c r="AA77">
        <f t="shared" si="60"/>
        <v>0.37924661932333364</v>
      </c>
      <c r="AB77">
        <f t="shared" si="49"/>
        <v>3.4132195739100028E-2</v>
      </c>
      <c r="AC77">
        <f t="shared" si="50"/>
        <v>0.08</v>
      </c>
      <c r="AD77">
        <f t="shared" si="51"/>
        <v>0.1483446951450304</v>
      </c>
      <c r="AE77">
        <f t="shared" si="52"/>
        <v>0.19</v>
      </c>
      <c r="AF77">
        <f t="shared" si="53"/>
        <v>0.6784</v>
      </c>
      <c r="AG77">
        <f t="shared" si="54"/>
        <v>0</v>
      </c>
      <c r="AH77">
        <f t="shared" si="55"/>
        <v>8.9868877779445051E-5</v>
      </c>
      <c r="AI77">
        <f t="shared" si="61"/>
        <v>8.9868877779445051E-5</v>
      </c>
      <c r="AJ77">
        <f t="shared" si="56"/>
        <v>1.3940909665536414</v>
      </c>
      <c r="BF77" s="2"/>
      <c r="BG77" s="13"/>
      <c r="BH77" s="13"/>
      <c r="BI77" s="13"/>
      <c r="BJ77" s="13"/>
      <c r="BK77" s="13"/>
      <c r="BL77" s="13"/>
    </row>
    <row r="78" spans="1:65" x14ac:dyDescent="0.2">
      <c r="E78" s="12"/>
      <c r="F78" t="s">
        <v>166</v>
      </c>
      <c r="G78">
        <v>200</v>
      </c>
      <c r="H78">
        <v>0</v>
      </c>
      <c r="I78">
        <v>0</v>
      </c>
      <c r="J78">
        <f t="shared" si="42"/>
        <v>91.25</v>
      </c>
      <c r="K78">
        <v>7.0000000000000007E-2</v>
      </c>
      <c r="L78">
        <v>0.57999999999999996</v>
      </c>
      <c r="M78">
        <v>25</v>
      </c>
      <c r="N78">
        <f t="shared" si="57"/>
        <v>0</v>
      </c>
      <c r="O78">
        <f>O71</f>
        <v>1</v>
      </c>
      <c r="P78">
        <f>P71</f>
        <v>0.78</v>
      </c>
      <c r="Q78">
        <f t="shared" si="43"/>
        <v>4.7000000000000002E-3</v>
      </c>
      <c r="R78">
        <f t="shared" si="44"/>
        <v>0</v>
      </c>
      <c r="S78">
        <v>0</v>
      </c>
      <c r="T78">
        <f t="shared" si="58"/>
        <v>0</v>
      </c>
      <c r="U78">
        <f t="shared" si="45"/>
        <v>1.3</v>
      </c>
      <c r="V78">
        <f t="shared" si="46"/>
        <v>1</v>
      </c>
      <c r="W78">
        <f t="shared" si="47"/>
        <v>0.4597</v>
      </c>
      <c r="X78">
        <v>1.7</v>
      </c>
      <c r="Y78">
        <f t="shared" si="59"/>
        <v>0.99691128459176326</v>
      </c>
      <c r="Z78">
        <f t="shared" si="48"/>
        <v>0.45622036550992806</v>
      </c>
      <c r="AA78">
        <f t="shared" si="60"/>
        <v>0.45481123063742612</v>
      </c>
      <c r="AB78">
        <f t="shared" si="49"/>
        <v>3.1836786144619829E-2</v>
      </c>
      <c r="AC78">
        <f t="shared" si="50"/>
        <v>0.08</v>
      </c>
      <c r="AD78">
        <f t="shared" si="51"/>
        <v>0.1833512593212141</v>
      </c>
      <c r="AE78">
        <f t="shared" si="52"/>
        <v>0.19</v>
      </c>
      <c r="AF78">
        <f t="shared" si="53"/>
        <v>0.6784</v>
      </c>
      <c r="AG78">
        <f t="shared" si="54"/>
        <v>0</v>
      </c>
      <c r="AH78">
        <f t="shared" si="55"/>
        <v>1.1107624643089592E-4</v>
      </c>
      <c r="AI78">
        <f t="shared" si="61"/>
        <v>1.1107624643089592E-4</v>
      </c>
      <c r="AJ78">
        <f t="shared" si="56"/>
        <v>2.0271414973638504</v>
      </c>
      <c r="BF78" s="4"/>
      <c r="BG78" s="13"/>
      <c r="BH78" s="13"/>
      <c r="BI78" s="13"/>
      <c r="BJ78" s="13"/>
      <c r="BK78" s="13"/>
      <c r="BL78" s="13"/>
    </row>
    <row r="79" spans="1:65" x14ac:dyDescent="0.2">
      <c r="E79" s="11" t="s">
        <v>168</v>
      </c>
      <c r="F79" t="s">
        <v>163</v>
      </c>
      <c r="G79">
        <v>100</v>
      </c>
      <c r="H79">
        <v>95</v>
      </c>
      <c r="I79">
        <v>92</v>
      </c>
      <c r="J79">
        <f t="shared" si="42"/>
        <v>91.25</v>
      </c>
      <c r="K79">
        <v>0.08</v>
      </c>
      <c r="L79">
        <v>0.51</v>
      </c>
      <c r="M79">
        <v>35</v>
      </c>
      <c r="N79">
        <f t="shared" si="57"/>
        <v>0</v>
      </c>
      <c r="O79">
        <f>O71</f>
        <v>1</v>
      </c>
      <c r="P79">
        <f>P71</f>
        <v>0.78</v>
      </c>
      <c r="Q79">
        <f t="shared" si="43"/>
        <v>4.7000000000000002E-3</v>
      </c>
      <c r="R79">
        <f t="shared" si="44"/>
        <v>0.874</v>
      </c>
      <c r="S79">
        <v>0</v>
      </c>
      <c r="T79">
        <f t="shared" si="58"/>
        <v>0</v>
      </c>
      <c r="U79">
        <f t="shared" si="45"/>
        <v>1.3</v>
      </c>
      <c r="V79">
        <f t="shared" si="46"/>
        <v>1.2622</v>
      </c>
      <c r="W79">
        <f t="shared" si="47"/>
        <v>0.40405000000000002</v>
      </c>
      <c r="X79">
        <v>1.5</v>
      </c>
      <c r="Y79">
        <f t="shared" si="59"/>
        <v>0.98889100346175773</v>
      </c>
      <c r="Z79">
        <f t="shared" si="48"/>
        <v>0.5475133082693564</v>
      </c>
      <c r="AA79">
        <f t="shared" si="60"/>
        <v>0.68339418904378058</v>
      </c>
      <c r="AB79">
        <f t="shared" si="49"/>
        <v>5.4671535123502445E-2</v>
      </c>
      <c r="AC79">
        <f t="shared" si="50"/>
        <v>0.08</v>
      </c>
      <c r="AD79">
        <f t="shared" si="51"/>
        <v>0.3252607167493084</v>
      </c>
      <c r="AE79">
        <f t="shared" si="52"/>
        <v>0.19</v>
      </c>
      <c r="AF79">
        <f t="shared" si="53"/>
        <v>0.6784</v>
      </c>
      <c r="AG79">
        <f t="shared" si="54"/>
        <v>0</v>
      </c>
      <c r="AH79">
        <f t="shared" si="55"/>
        <v>1.9704658512675863E-4</v>
      </c>
      <c r="AI79">
        <f t="shared" si="61"/>
        <v>1.9704658512675863E-4</v>
      </c>
      <c r="AJ79">
        <f t="shared" si="56"/>
        <v>1.7980500892816726</v>
      </c>
      <c r="BF79" s="2"/>
      <c r="BG79" s="13"/>
      <c r="BH79" s="13"/>
      <c r="BI79" s="13"/>
      <c r="BJ79" s="13"/>
      <c r="BK79" s="13"/>
      <c r="BL79" s="13"/>
    </row>
    <row r="80" spans="1:65" x14ac:dyDescent="0.2">
      <c r="E80" s="12"/>
      <c r="F80" t="s">
        <v>164</v>
      </c>
      <c r="G80">
        <v>140</v>
      </c>
      <c r="H80">
        <v>0</v>
      </c>
      <c r="I80">
        <v>0</v>
      </c>
      <c r="J80">
        <f t="shared" si="42"/>
        <v>91.25</v>
      </c>
      <c r="K80">
        <v>0.1</v>
      </c>
      <c r="L80">
        <v>0.55000000000000004</v>
      </c>
      <c r="M80">
        <v>40</v>
      </c>
      <c r="N80">
        <f t="shared" si="57"/>
        <v>0</v>
      </c>
      <c r="O80">
        <f>O71</f>
        <v>1</v>
      </c>
      <c r="P80">
        <f>P71</f>
        <v>0.78</v>
      </c>
      <c r="Q80">
        <f t="shared" si="43"/>
        <v>4.7000000000000002E-3</v>
      </c>
      <c r="R80">
        <f t="shared" si="44"/>
        <v>0</v>
      </c>
      <c r="S80">
        <v>0</v>
      </c>
      <c r="T80">
        <f t="shared" si="58"/>
        <v>0</v>
      </c>
      <c r="U80">
        <f t="shared" si="45"/>
        <v>1.3</v>
      </c>
      <c r="V80">
        <f t="shared" si="46"/>
        <v>1</v>
      </c>
      <c r="W80">
        <f t="shared" si="47"/>
        <v>0.43585000000000007</v>
      </c>
      <c r="X80">
        <v>2</v>
      </c>
      <c r="Y80">
        <f t="shared" si="59"/>
        <v>0.99966453737209748</v>
      </c>
      <c r="Z80">
        <f t="shared" si="48"/>
        <v>0.68255692885182395</v>
      </c>
      <c r="AA80">
        <f t="shared" si="60"/>
        <v>0.68232795651077827</v>
      </c>
      <c r="AB80">
        <f t="shared" si="49"/>
        <v>6.8232795651077829E-2</v>
      </c>
      <c r="AC80">
        <f t="shared" si="50"/>
        <v>0.08</v>
      </c>
      <c r="AD80">
        <f t="shared" si="51"/>
        <v>0.2996168029961534</v>
      </c>
      <c r="AE80">
        <f t="shared" si="52"/>
        <v>0.19</v>
      </c>
      <c r="AF80">
        <f t="shared" si="53"/>
        <v>0.6784</v>
      </c>
      <c r="AG80">
        <f t="shared" si="54"/>
        <v>0</v>
      </c>
      <c r="AH80">
        <f t="shared" si="55"/>
        <v>1.8151121496326329E-4</v>
      </c>
      <c r="AI80">
        <f t="shared" si="61"/>
        <v>1.8151121496326329E-4</v>
      </c>
      <c r="AJ80">
        <f t="shared" si="56"/>
        <v>2.3188057711556884</v>
      </c>
      <c r="BF80" s="4"/>
      <c r="BG80" s="13"/>
      <c r="BH80" s="13"/>
      <c r="BI80" s="13"/>
      <c r="BJ80" s="13"/>
      <c r="BK80" s="13"/>
      <c r="BL80" s="13"/>
      <c r="BM80" s="13"/>
    </row>
    <row r="81" spans="5:65" x14ac:dyDescent="0.2">
      <c r="E81" s="11"/>
      <c r="F81" t="s">
        <v>165</v>
      </c>
      <c r="G81">
        <v>135</v>
      </c>
      <c r="H81">
        <v>0</v>
      </c>
      <c r="I81">
        <v>0</v>
      </c>
      <c r="J81">
        <f t="shared" si="42"/>
        <v>91.25</v>
      </c>
      <c r="K81">
        <v>0.09</v>
      </c>
      <c r="L81">
        <v>0.59</v>
      </c>
      <c r="M81">
        <v>40</v>
      </c>
      <c r="N81">
        <f t="shared" si="57"/>
        <v>0</v>
      </c>
      <c r="O81">
        <f>O71</f>
        <v>1</v>
      </c>
      <c r="P81">
        <f>P71</f>
        <v>0.78</v>
      </c>
      <c r="Q81">
        <f t="shared" si="43"/>
        <v>4.7000000000000002E-3</v>
      </c>
      <c r="R81">
        <f t="shared" si="44"/>
        <v>0</v>
      </c>
      <c r="S81">
        <v>0</v>
      </c>
      <c r="T81">
        <f t="shared" si="58"/>
        <v>0</v>
      </c>
      <c r="U81">
        <f t="shared" si="45"/>
        <v>1.3</v>
      </c>
      <c r="V81">
        <f t="shared" si="46"/>
        <v>1</v>
      </c>
      <c r="W81">
        <f t="shared" si="47"/>
        <v>0.46765000000000001</v>
      </c>
      <c r="X81">
        <v>2.2000000000000002</v>
      </c>
      <c r="Y81">
        <f t="shared" si="59"/>
        <v>0.99993747849622516</v>
      </c>
      <c r="Z81">
        <f t="shared" si="48"/>
        <v>0.73551337046383869</v>
      </c>
      <c r="AA81">
        <f t="shared" si="60"/>
        <v>0.73546738506187082</v>
      </c>
      <c r="AB81">
        <f t="shared" si="49"/>
        <v>6.6192064655568372E-2</v>
      </c>
      <c r="AC81">
        <f t="shared" si="50"/>
        <v>0.08</v>
      </c>
      <c r="AD81">
        <f t="shared" si="51"/>
        <v>0.29732386934656035</v>
      </c>
      <c r="AE81">
        <f t="shared" si="52"/>
        <v>0.19</v>
      </c>
      <c r="AF81">
        <f t="shared" si="53"/>
        <v>0.6784</v>
      </c>
      <c r="AG81">
        <f t="shared" si="54"/>
        <v>0</v>
      </c>
      <c r="AH81">
        <f t="shared" si="55"/>
        <v>1.8012213007748295E-4</v>
      </c>
      <c r="AI81">
        <f t="shared" si="61"/>
        <v>1.8012213007748295E-4</v>
      </c>
      <c r="AJ81">
        <f t="shared" si="56"/>
        <v>2.218879489891993</v>
      </c>
      <c r="BF81" s="2"/>
      <c r="BG81" s="13"/>
      <c r="BH81" s="13"/>
      <c r="BI81" s="13"/>
      <c r="BJ81" s="13"/>
      <c r="BK81" s="13"/>
      <c r="BL81" s="13"/>
    </row>
    <row r="82" spans="5:65" x14ac:dyDescent="0.2">
      <c r="E82" s="12"/>
      <c r="F82" t="s">
        <v>166</v>
      </c>
      <c r="G82">
        <v>130</v>
      </c>
      <c r="H82">
        <v>0</v>
      </c>
      <c r="I82">
        <v>0</v>
      </c>
      <c r="J82">
        <f t="shared" si="42"/>
        <v>91.25</v>
      </c>
      <c r="K82">
        <v>7.0000000000000007E-2</v>
      </c>
      <c r="L82">
        <v>0.57999999999999996</v>
      </c>
      <c r="M82">
        <v>35</v>
      </c>
      <c r="N82">
        <f t="shared" si="57"/>
        <v>0</v>
      </c>
      <c r="O82">
        <f>O71</f>
        <v>1</v>
      </c>
      <c r="P82">
        <f>P71</f>
        <v>0.78</v>
      </c>
      <c r="Q82">
        <f t="shared" si="43"/>
        <v>4.7000000000000002E-3</v>
      </c>
      <c r="R82">
        <f t="shared" si="44"/>
        <v>0</v>
      </c>
      <c r="S82">
        <v>0</v>
      </c>
      <c r="T82">
        <f t="shared" si="58"/>
        <v>0</v>
      </c>
      <c r="U82">
        <f t="shared" si="45"/>
        <v>1.3</v>
      </c>
      <c r="V82">
        <f t="shared" si="46"/>
        <v>1</v>
      </c>
      <c r="W82">
        <f t="shared" si="47"/>
        <v>0.4597</v>
      </c>
      <c r="X82">
        <v>1.7</v>
      </c>
      <c r="Y82">
        <f t="shared" si="59"/>
        <v>0.99691128459176326</v>
      </c>
      <c r="Z82">
        <f t="shared" si="48"/>
        <v>0.63135555036204949</v>
      </c>
      <c r="AA82">
        <f t="shared" si="60"/>
        <v>0.62940547274557046</v>
      </c>
      <c r="AB82">
        <f t="shared" si="49"/>
        <v>4.4058383092189936E-2</v>
      </c>
      <c r="AC82">
        <f t="shared" si="50"/>
        <v>0.08</v>
      </c>
      <c r="AD82">
        <f t="shared" si="51"/>
        <v>0.25778064063658079</v>
      </c>
      <c r="AE82">
        <f t="shared" si="52"/>
        <v>0.19</v>
      </c>
      <c r="AF82">
        <f t="shared" si="53"/>
        <v>0.6784</v>
      </c>
      <c r="AG82">
        <f t="shared" si="54"/>
        <v>0</v>
      </c>
      <c r="AH82">
        <f t="shared" si="55"/>
        <v>1.5616639924081579E-4</v>
      </c>
      <c r="AI82">
        <f t="shared" si="61"/>
        <v>1.5616639924081579E-4</v>
      </c>
      <c r="AJ82">
        <f t="shared" si="56"/>
        <v>1.8525239109941771</v>
      </c>
      <c r="BF82" s="4"/>
      <c r="BG82" s="13"/>
      <c r="BH82" s="13"/>
      <c r="BI82" s="13"/>
      <c r="BJ82" s="13"/>
      <c r="BK82" s="13"/>
      <c r="BL82" s="13"/>
    </row>
    <row r="83" spans="5:65" x14ac:dyDescent="0.2">
      <c r="E83" s="11" t="s">
        <v>170</v>
      </c>
      <c r="F83" t="s">
        <v>163</v>
      </c>
      <c r="G83">
        <v>200</v>
      </c>
      <c r="H83">
        <v>0</v>
      </c>
      <c r="I83">
        <v>0</v>
      </c>
      <c r="J83">
        <f t="shared" si="42"/>
        <v>91.25</v>
      </c>
      <c r="K83">
        <v>0.08</v>
      </c>
      <c r="L83">
        <v>0.51</v>
      </c>
      <c r="M83">
        <v>45</v>
      </c>
      <c r="N83">
        <f t="shared" si="57"/>
        <v>0</v>
      </c>
      <c r="O83">
        <f>O71</f>
        <v>1</v>
      </c>
      <c r="P83">
        <f>P71</f>
        <v>0.78</v>
      </c>
      <c r="Q83">
        <f t="shared" si="43"/>
        <v>4.7000000000000002E-3</v>
      </c>
      <c r="R83">
        <f t="shared" si="44"/>
        <v>0</v>
      </c>
      <c r="S83">
        <v>0</v>
      </c>
      <c r="T83">
        <f t="shared" si="58"/>
        <v>0</v>
      </c>
      <c r="U83">
        <f t="shared" si="45"/>
        <v>1.3</v>
      </c>
      <c r="V83">
        <f t="shared" si="46"/>
        <v>1</v>
      </c>
      <c r="W83">
        <f t="shared" si="47"/>
        <v>0.40405000000000002</v>
      </c>
      <c r="X83">
        <v>1.5</v>
      </c>
      <c r="Y83">
        <f t="shared" si="59"/>
        <v>0.98889100346175773</v>
      </c>
      <c r="Z83">
        <f t="shared" si="48"/>
        <v>0.71441785360642229</v>
      </c>
      <c r="AA83">
        <f t="shared" si="60"/>
        <v>0.70648138814385009</v>
      </c>
      <c r="AB83">
        <f t="shared" si="49"/>
        <v>5.6518511051508007E-2</v>
      </c>
      <c r="AC83">
        <f t="shared" si="50"/>
        <v>0.08</v>
      </c>
      <c r="AD83">
        <f t="shared" si="51"/>
        <v>0.33684927680125443</v>
      </c>
      <c r="AE83">
        <f t="shared" si="52"/>
        <v>0.19</v>
      </c>
      <c r="AF83">
        <f t="shared" si="53"/>
        <v>0.6784</v>
      </c>
      <c r="AG83">
        <f t="shared" si="54"/>
        <v>0</v>
      </c>
      <c r="AH83">
        <f t="shared" si="55"/>
        <v>2.0406706459810014E-4</v>
      </c>
      <c r="AI83">
        <f t="shared" si="61"/>
        <v>2.0406706459810014E-4</v>
      </c>
      <c r="AJ83">
        <f t="shared" si="56"/>
        <v>3.7242239289153276</v>
      </c>
      <c r="BF83" s="2"/>
      <c r="BG83" s="13"/>
      <c r="BH83" s="13"/>
      <c r="BI83" s="13"/>
      <c r="BJ83" s="13"/>
      <c r="BK83" s="13"/>
      <c r="BL83" s="13"/>
    </row>
    <row r="84" spans="5:65" x14ac:dyDescent="0.2">
      <c r="E84" s="12"/>
      <c r="F84" t="s">
        <v>164</v>
      </c>
      <c r="G84">
        <v>210</v>
      </c>
      <c r="H84">
        <v>0</v>
      </c>
      <c r="I84">
        <v>0</v>
      </c>
      <c r="J84">
        <f t="shared" si="42"/>
        <v>91.25</v>
      </c>
      <c r="K84">
        <v>0.1</v>
      </c>
      <c r="L84">
        <v>0.55000000000000004</v>
      </c>
      <c r="M84">
        <v>50</v>
      </c>
      <c r="N84">
        <f t="shared" si="57"/>
        <v>0</v>
      </c>
      <c r="O84">
        <f>O71</f>
        <v>1</v>
      </c>
      <c r="P84">
        <f>P71</f>
        <v>0.78</v>
      </c>
      <c r="Q84">
        <f t="shared" si="43"/>
        <v>4.7000000000000002E-3</v>
      </c>
      <c r="R84">
        <f t="shared" si="44"/>
        <v>0</v>
      </c>
      <c r="S84">
        <v>0</v>
      </c>
      <c r="T84">
        <f t="shared" si="58"/>
        <v>0</v>
      </c>
      <c r="U84">
        <f t="shared" si="45"/>
        <v>1.3</v>
      </c>
      <c r="V84">
        <f t="shared" si="46"/>
        <v>1</v>
      </c>
      <c r="W84">
        <f t="shared" si="47"/>
        <v>0.43585000000000007</v>
      </c>
      <c r="X84">
        <v>2</v>
      </c>
      <c r="Y84">
        <f t="shared" si="59"/>
        <v>0.99966453737209748</v>
      </c>
      <c r="Z84">
        <f t="shared" si="48"/>
        <v>0.8646283676396137</v>
      </c>
      <c r="AA84">
        <f t="shared" si="60"/>
        <v>0.86433831713524623</v>
      </c>
      <c r="AB84">
        <f t="shared" si="49"/>
        <v>8.6433831713524631E-2</v>
      </c>
      <c r="AC84">
        <f t="shared" si="50"/>
        <v>0.08</v>
      </c>
      <c r="AD84">
        <f t="shared" si="51"/>
        <v>0.38532863402802131</v>
      </c>
      <c r="AE84">
        <f t="shared" si="52"/>
        <v>0.19</v>
      </c>
      <c r="AF84">
        <f t="shared" si="53"/>
        <v>0.6784</v>
      </c>
      <c r="AG84">
        <f t="shared" si="54"/>
        <v>0</v>
      </c>
      <c r="AH84">
        <f t="shared" si="55"/>
        <v>2.3343640217487642E-4</v>
      </c>
      <c r="AI84">
        <f t="shared" si="61"/>
        <v>2.3343640217487642E-4</v>
      </c>
      <c r="AJ84">
        <f t="shared" si="56"/>
        <v>4.4732250566760694</v>
      </c>
      <c r="BF84" s="4"/>
      <c r="BG84" s="13"/>
      <c r="BH84" s="13"/>
      <c r="BI84" s="13"/>
      <c r="BJ84" s="13"/>
      <c r="BK84" s="13"/>
      <c r="BL84" s="13"/>
      <c r="BM84" s="13"/>
    </row>
    <row r="85" spans="5:65" x14ac:dyDescent="0.2">
      <c r="E85" s="11"/>
      <c r="F85" t="s">
        <v>165</v>
      </c>
      <c r="G85">
        <v>190</v>
      </c>
      <c r="H85">
        <v>0</v>
      </c>
      <c r="I85">
        <v>0</v>
      </c>
      <c r="J85">
        <f t="shared" si="42"/>
        <v>91.25</v>
      </c>
      <c r="K85">
        <v>0.09</v>
      </c>
      <c r="L85">
        <v>0.59</v>
      </c>
      <c r="M85">
        <v>50</v>
      </c>
      <c r="N85">
        <f t="shared" si="57"/>
        <v>0</v>
      </c>
      <c r="O85">
        <f>O71</f>
        <v>1</v>
      </c>
      <c r="P85">
        <f>P71</f>
        <v>0.78</v>
      </c>
      <c r="Q85">
        <f t="shared" si="43"/>
        <v>4.7000000000000002E-3</v>
      </c>
      <c r="R85">
        <f t="shared" si="44"/>
        <v>0</v>
      </c>
      <c r="S85">
        <v>0</v>
      </c>
      <c r="T85">
        <f t="shared" si="58"/>
        <v>0</v>
      </c>
      <c r="U85">
        <f t="shared" si="45"/>
        <v>1.3</v>
      </c>
      <c r="V85">
        <f t="shared" si="46"/>
        <v>1</v>
      </c>
      <c r="W85">
        <f t="shared" si="47"/>
        <v>0.46765000000000001</v>
      </c>
      <c r="X85">
        <v>2.2000000000000002</v>
      </c>
      <c r="Y85">
        <f t="shared" si="59"/>
        <v>0.99993747849622516</v>
      </c>
      <c r="Z85">
        <f t="shared" si="48"/>
        <v>0.92723225551115063</v>
      </c>
      <c r="AA85">
        <f t="shared" si="60"/>
        <v>0.92717428355618758</v>
      </c>
      <c r="AB85">
        <f t="shared" si="49"/>
        <v>8.3445685520056878E-2</v>
      </c>
      <c r="AC85">
        <f t="shared" si="50"/>
        <v>0.08</v>
      </c>
      <c r="AD85">
        <f t="shared" si="51"/>
        <v>0.3813653389542298</v>
      </c>
      <c r="AE85">
        <f t="shared" si="52"/>
        <v>0.19</v>
      </c>
      <c r="AF85">
        <f t="shared" si="53"/>
        <v>0.6784</v>
      </c>
      <c r="AG85">
        <f t="shared" si="54"/>
        <v>0</v>
      </c>
      <c r="AH85">
        <f t="shared" si="55"/>
        <v>2.3103539363026872E-4</v>
      </c>
      <c r="AI85">
        <f t="shared" si="61"/>
        <v>2.3103539363026872E-4</v>
      </c>
      <c r="AJ85">
        <f t="shared" si="56"/>
        <v>4.005576137064784</v>
      </c>
      <c r="BF85" s="2"/>
      <c r="BG85" s="13"/>
      <c r="BH85" s="13"/>
      <c r="BI85" s="13"/>
      <c r="BJ85" s="13"/>
      <c r="BK85" s="13"/>
      <c r="BL85" s="13"/>
    </row>
    <row r="86" spans="5:65" x14ac:dyDescent="0.2">
      <c r="E86" s="12"/>
      <c r="F86" t="s">
        <v>166</v>
      </c>
      <c r="G86">
        <v>180</v>
      </c>
      <c r="H86">
        <v>0</v>
      </c>
      <c r="I86">
        <v>0</v>
      </c>
      <c r="J86">
        <f t="shared" si="42"/>
        <v>91.25</v>
      </c>
      <c r="K86">
        <v>7.0000000000000007E-2</v>
      </c>
      <c r="L86">
        <v>0.57999999999999996</v>
      </c>
      <c r="M86">
        <v>48</v>
      </c>
      <c r="N86">
        <f t="shared" si="57"/>
        <v>0</v>
      </c>
      <c r="O86">
        <f>O71</f>
        <v>1</v>
      </c>
      <c r="P86">
        <f>P71</f>
        <v>0.78</v>
      </c>
      <c r="Q86">
        <f t="shared" si="43"/>
        <v>4.7000000000000002E-3</v>
      </c>
      <c r="R86">
        <f t="shared" si="44"/>
        <v>0</v>
      </c>
      <c r="S86">
        <v>0</v>
      </c>
      <c r="T86">
        <f t="shared" si="58"/>
        <v>0</v>
      </c>
      <c r="U86">
        <f t="shared" si="45"/>
        <v>1.3</v>
      </c>
      <c r="V86">
        <f t="shared" si="46"/>
        <v>1</v>
      </c>
      <c r="W86">
        <f t="shared" si="47"/>
        <v>0.4597</v>
      </c>
      <c r="X86">
        <v>1.7</v>
      </c>
      <c r="Y86">
        <f t="shared" si="59"/>
        <v>0.99691128459176326</v>
      </c>
      <c r="Z86">
        <f t="shared" si="48"/>
        <v>0.87289783757888828</v>
      </c>
      <c r="AA86">
        <f t="shared" si="60"/>
        <v>0.87020170457814183</v>
      </c>
      <c r="AB86">
        <f t="shared" si="49"/>
        <v>6.0914119320469931E-2</v>
      </c>
      <c r="AC86">
        <f t="shared" si="50"/>
        <v>0.08</v>
      </c>
      <c r="AD86">
        <f t="shared" si="51"/>
        <v>0.3641127756937399</v>
      </c>
      <c r="AE86">
        <f t="shared" si="52"/>
        <v>0.19</v>
      </c>
      <c r="AF86">
        <f t="shared" si="53"/>
        <v>0.6784</v>
      </c>
      <c r="AG86">
        <f t="shared" si="54"/>
        <v>0</v>
      </c>
      <c r="AH86">
        <f t="shared" si="55"/>
        <v>2.2058359757835542E-4</v>
      </c>
      <c r="AI86">
        <f t="shared" si="61"/>
        <v>2.2058359757835542E-4</v>
      </c>
      <c r="AJ86">
        <f t="shared" si="56"/>
        <v>3.6230855902244881</v>
      </c>
      <c r="BF86" s="4"/>
      <c r="BG86" s="13"/>
      <c r="BH86" s="13"/>
      <c r="BI86" s="13"/>
      <c r="BJ86" s="13"/>
      <c r="BK86" s="13"/>
      <c r="BL86" s="13"/>
    </row>
    <row r="87" spans="5:65" x14ac:dyDescent="0.2">
      <c r="E87" s="11" t="s">
        <v>162</v>
      </c>
      <c r="F87" t="s">
        <v>163</v>
      </c>
      <c r="G87">
        <v>50</v>
      </c>
      <c r="H87">
        <v>0</v>
      </c>
      <c r="I87">
        <v>0</v>
      </c>
      <c r="J87">
        <f t="shared" si="42"/>
        <v>91.25</v>
      </c>
      <c r="K87">
        <v>0.08</v>
      </c>
      <c r="L87">
        <v>0.51</v>
      </c>
      <c r="M87">
        <v>58</v>
      </c>
      <c r="N87">
        <f t="shared" si="57"/>
        <v>0</v>
      </c>
      <c r="O87">
        <f>O71</f>
        <v>1</v>
      </c>
      <c r="P87">
        <f>P71</f>
        <v>0.78</v>
      </c>
      <c r="Q87">
        <f t="shared" si="43"/>
        <v>4.7000000000000002E-3</v>
      </c>
      <c r="R87">
        <f t="shared" si="44"/>
        <v>0</v>
      </c>
      <c r="S87">
        <v>0</v>
      </c>
      <c r="T87">
        <f t="shared" si="58"/>
        <v>0</v>
      </c>
      <c r="U87">
        <f t="shared" si="45"/>
        <v>1.3</v>
      </c>
      <c r="V87">
        <f t="shared" si="46"/>
        <v>1</v>
      </c>
      <c r="W87">
        <f t="shared" si="47"/>
        <v>0.40405000000000002</v>
      </c>
      <c r="X87">
        <v>1.5</v>
      </c>
      <c r="Y87">
        <f t="shared" si="59"/>
        <v>0.98889100346175773</v>
      </c>
      <c r="Z87">
        <f t="shared" si="48"/>
        <v>0.94807819706718344</v>
      </c>
      <c r="AA87">
        <f t="shared" si="60"/>
        <v>0.93754599965798113</v>
      </c>
      <c r="AB87">
        <f t="shared" si="49"/>
        <v>7.5003679972638487E-2</v>
      </c>
      <c r="AC87">
        <f t="shared" si="50"/>
        <v>0.08</v>
      </c>
      <c r="AD87">
        <f t="shared" si="51"/>
        <v>0.45499266070008626</v>
      </c>
      <c r="AE87">
        <f t="shared" si="52"/>
        <v>0.19</v>
      </c>
      <c r="AF87">
        <f t="shared" si="53"/>
        <v>0.6784</v>
      </c>
      <c r="AG87">
        <f t="shared" si="54"/>
        <v>0</v>
      </c>
      <c r="AH87">
        <f t="shared" si="55"/>
        <v>2.7563964976991213E-4</v>
      </c>
      <c r="AI87">
        <f t="shared" si="61"/>
        <v>2.7563964976991213E-4</v>
      </c>
      <c r="AJ87">
        <f t="shared" si="56"/>
        <v>1.2576059020752242</v>
      </c>
      <c r="BF87" s="2"/>
      <c r="BG87" s="13"/>
      <c r="BH87" s="13"/>
      <c r="BI87" s="13"/>
      <c r="BJ87" s="13"/>
      <c r="BK87" s="13"/>
      <c r="BL87" s="13"/>
    </row>
    <row r="88" spans="5:65" x14ac:dyDescent="0.2">
      <c r="E88" s="12"/>
      <c r="F88" t="s">
        <v>164</v>
      </c>
      <c r="G88">
        <v>55</v>
      </c>
      <c r="H88">
        <v>0</v>
      </c>
      <c r="I88">
        <v>0</v>
      </c>
      <c r="J88">
        <f t="shared" si="42"/>
        <v>91.25</v>
      </c>
      <c r="K88">
        <v>0.1</v>
      </c>
      <c r="L88">
        <v>0.55000000000000004</v>
      </c>
      <c r="M88">
        <v>61</v>
      </c>
      <c r="N88">
        <f t="shared" si="57"/>
        <v>0</v>
      </c>
      <c r="O88">
        <f>O71</f>
        <v>1</v>
      </c>
      <c r="P88">
        <f>P71</f>
        <v>0.78</v>
      </c>
      <c r="Q88">
        <f t="shared" si="43"/>
        <v>4.7000000000000002E-3</v>
      </c>
      <c r="R88">
        <f t="shared" si="44"/>
        <v>0</v>
      </c>
      <c r="S88">
        <v>0</v>
      </c>
      <c r="T88">
        <f t="shared" si="58"/>
        <v>0</v>
      </c>
      <c r="U88">
        <f t="shared" si="45"/>
        <v>1.3</v>
      </c>
      <c r="V88">
        <f t="shared" si="46"/>
        <v>1</v>
      </c>
      <c r="W88">
        <f t="shared" si="47"/>
        <v>0.43585000000000007</v>
      </c>
      <c r="X88">
        <v>2</v>
      </c>
      <c r="Y88">
        <f t="shared" si="59"/>
        <v>0.99966453737209748</v>
      </c>
      <c r="Z88">
        <f t="shared" si="48"/>
        <v>1.0773997799878814</v>
      </c>
      <c r="AA88">
        <f t="shared" si="60"/>
        <v>1.0770383526263851</v>
      </c>
      <c r="AB88">
        <f t="shared" si="49"/>
        <v>0.10770383526263852</v>
      </c>
      <c r="AC88">
        <f t="shared" si="50"/>
        <v>0.08</v>
      </c>
      <c r="AD88">
        <f t="shared" si="51"/>
        <v>0.48858230534675962</v>
      </c>
      <c r="AE88">
        <f t="shared" si="52"/>
        <v>0.19</v>
      </c>
      <c r="AF88">
        <f t="shared" si="53"/>
        <v>0.6784</v>
      </c>
      <c r="AG88">
        <f t="shared" si="54"/>
        <v>0</v>
      </c>
      <c r="AH88">
        <f t="shared" si="55"/>
        <v>2.9598863270088687E-4</v>
      </c>
      <c r="AI88">
        <f t="shared" si="61"/>
        <v>2.9598863270088687E-4</v>
      </c>
      <c r="AJ88">
        <f t="shared" si="56"/>
        <v>1.485492950367576</v>
      </c>
      <c r="BF88" s="4"/>
      <c r="BG88" s="13"/>
      <c r="BH88" s="13"/>
      <c r="BI88" s="13"/>
      <c r="BJ88" s="13"/>
      <c r="BK88" s="13"/>
      <c r="BL88" s="13"/>
      <c r="BM88" s="13"/>
    </row>
    <row r="89" spans="5:65" x14ac:dyDescent="0.2">
      <c r="E89" s="11"/>
      <c r="F89" t="s">
        <v>165</v>
      </c>
      <c r="G89">
        <v>60</v>
      </c>
      <c r="H89">
        <v>0</v>
      </c>
      <c r="I89">
        <v>0</v>
      </c>
      <c r="J89">
        <f t="shared" si="42"/>
        <v>91.25</v>
      </c>
      <c r="K89">
        <v>0.09</v>
      </c>
      <c r="L89">
        <v>0.59</v>
      </c>
      <c r="M89">
        <v>63</v>
      </c>
      <c r="N89">
        <f t="shared" si="57"/>
        <v>0</v>
      </c>
      <c r="O89">
        <f>O71</f>
        <v>1</v>
      </c>
      <c r="P89">
        <f>P71</f>
        <v>0.78</v>
      </c>
      <c r="Q89">
        <f t="shared" si="43"/>
        <v>4.7000000000000002E-3</v>
      </c>
      <c r="R89">
        <f t="shared" si="44"/>
        <v>0</v>
      </c>
      <c r="S89">
        <v>0</v>
      </c>
      <c r="T89">
        <f t="shared" si="58"/>
        <v>0</v>
      </c>
      <c r="U89">
        <f t="shared" si="45"/>
        <v>1.3</v>
      </c>
      <c r="V89">
        <f t="shared" si="46"/>
        <v>1</v>
      </c>
      <c r="W89">
        <f t="shared" si="47"/>
        <v>0.46765000000000001</v>
      </c>
      <c r="X89">
        <v>2.2000000000000002</v>
      </c>
      <c r="Y89">
        <f t="shared" si="59"/>
        <v>0.99993747849622516</v>
      </c>
      <c r="Z89">
        <f t="shared" si="48"/>
        <v>1.1919686844423474</v>
      </c>
      <c r="AA89">
        <f t="shared" si="60"/>
        <v>1.1918941607677436</v>
      </c>
      <c r="AB89">
        <f t="shared" si="49"/>
        <v>0.10727047446909692</v>
      </c>
      <c r="AC89">
        <f t="shared" si="50"/>
        <v>0.08</v>
      </c>
      <c r="AD89">
        <f t="shared" si="51"/>
        <v>0.50186098765097142</v>
      </c>
      <c r="AE89">
        <f t="shared" si="52"/>
        <v>0.19</v>
      </c>
      <c r="AF89">
        <f t="shared" si="53"/>
        <v>0.6784</v>
      </c>
      <c r="AG89">
        <f t="shared" si="54"/>
        <v>0</v>
      </c>
      <c r="AH89">
        <f t="shared" si="55"/>
        <v>3.0403300716202021E-4</v>
      </c>
      <c r="AI89">
        <f t="shared" si="61"/>
        <v>3.0403300716202021E-4</v>
      </c>
      <c r="AJ89">
        <f t="shared" si="56"/>
        <v>1.6645807142120606</v>
      </c>
      <c r="BF89" s="2"/>
      <c r="BG89" s="13"/>
      <c r="BH89" s="13"/>
      <c r="BI89" s="13"/>
      <c r="BJ89" s="13"/>
      <c r="BK89" s="13"/>
      <c r="BL89" s="13"/>
    </row>
    <row r="90" spans="5:65" x14ac:dyDescent="0.2">
      <c r="E90" s="12"/>
      <c r="F90" t="s">
        <v>166</v>
      </c>
      <c r="G90">
        <v>65</v>
      </c>
      <c r="H90">
        <v>0</v>
      </c>
      <c r="I90">
        <v>0</v>
      </c>
      <c r="J90">
        <f t="shared" si="42"/>
        <v>91.25</v>
      </c>
      <c r="K90">
        <v>7.0000000000000007E-2</v>
      </c>
      <c r="L90">
        <v>0.57999999999999996</v>
      </c>
      <c r="M90">
        <v>60</v>
      </c>
      <c r="N90">
        <f t="shared" si="57"/>
        <v>0</v>
      </c>
      <c r="O90">
        <f>O71</f>
        <v>1</v>
      </c>
      <c r="P90">
        <f>P71</f>
        <v>0.78</v>
      </c>
      <c r="Q90">
        <f t="shared" si="43"/>
        <v>4.7000000000000002E-3</v>
      </c>
      <c r="R90">
        <f t="shared" si="44"/>
        <v>0</v>
      </c>
      <c r="S90">
        <v>0</v>
      </c>
      <c r="T90">
        <f t="shared" si="58"/>
        <v>0</v>
      </c>
      <c r="U90">
        <f t="shared" si="45"/>
        <v>1.3</v>
      </c>
      <c r="V90">
        <f t="shared" si="46"/>
        <v>1</v>
      </c>
      <c r="W90">
        <f t="shared" si="47"/>
        <v>0.4597</v>
      </c>
      <c r="X90">
        <v>1.7</v>
      </c>
      <c r="Y90">
        <f t="shared" si="59"/>
        <v>0.99691128459176326</v>
      </c>
      <c r="Z90">
        <f t="shared" si="48"/>
        <v>1.1113403376673825</v>
      </c>
      <c r="AA90">
        <f t="shared" si="60"/>
        <v>1.1079077236426342</v>
      </c>
      <c r="AB90">
        <f t="shared" si="49"/>
        <v>7.7553540654984404E-2</v>
      </c>
      <c r="AC90">
        <f t="shared" si="50"/>
        <v>0.08</v>
      </c>
      <c r="AD90">
        <f t="shared" si="51"/>
        <v>0.47326605490265167</v>
      </c>
      <c r="AE90">
        <f t="shared" si="52"/>
        <v>0.19</v>
      </c>
      <c r="AF90">
        <f t="shared" si="53"/>
        <v>0.6784</v>
      </c>
      <c r="AG90">
        <f t="shared" si="54"/>
        <v>0</v>
      </c>
      <c r="AH90">
        <f t="shared" si="55"/>
        <v>2.8670987663984129E-4</v>
      </c>
      <c r="AI90">
        <f t="shared" si="61"/>
        <v>2.8670987663984129E-4</v>
      </c>
      <c r="AJ90">
        <f t="shared" si="56"/>
        <v>1.7005479558200585</v>
      </c>
      <c r="BF90" s="4"/>
      <c r="BG90" s="13"/>
      <c r="BH90" s="13"/>
      <c r="BI90" s="13"/>
      <c r="BJ90" s="13"/>
      <c r="BK90" s="13"/>
      <c r="BL90" s="13"/>
    </row>
    <row r="91" spans="5:65" x14ac:dyDescent="0.2">
      <c r="E91" s="11" t="s">
        <v>167</v>
      </c>
      <c r="F91" t="s">
        <v>163</v>
      </c>
      <c r="G91">
        <v>50</v>
      </c>
      <c r="H91">
        <v>0</v>
      </c>
      <c r="I91">
        <v>0</v>
      </c>
      <c r="J91">
        <f t="shared" si="42"/>
        <v>91.25</v>
      </c>
      <c r="K91">
        <v>0.08</v>
      </c>
      <c r="L91">
        <v>0.51</v>
      </c>
      <c r="M91">
        <v>50</v>
      </c>
      <c r="N91">
        <f t="shared" si="57"/>
        <v>0</v>
      </c>
      <c r="O91">
        <f>O71</f>
        <v>1</v>
      </c>
      <c r="P91">
        <f>P71</f>
        <v>0.78</v>
      </c>
      <c r="Q91">
        <f t="shared" si="43"/>
        <v>4.7000000000000002E-3</v>
      </c>
      <c r="R91">
        <f t="shared" si="44"/>
        <v>0</v>
      </c>
      <c r="S91">
        <v>0</v>
      </c>
      <c r="T91">
        <f t="shared" si="58"/>
        <v>0</v>
      </c>
      <c r="U91">
        <f t="shared" si="45"/>
        <v>1.3</v>
      </c>
      <c r="V91">
        <f t="shared" si="46"/>
        <v>1</v>
      </c>
      <c r="W91">
        <f t="shared" si="47"/>
        <v>0.40405000000000002</v>
      </c>
      <c r="X91">
        <v>1.5</v>
      </c>
      <c r="Y91">
        <f t="shared" si="59"/>
        <v>0.98889100346175773</v>
      </c>
      <c r="Z91">
        <f t="shared" si="48"/>
        <v>0.80202447976807656</v>
      </c>
      <c r="AA91">
        <f t="shared" si="60"/>
        <v>0.7931147925987474</v>
      </c>
      <c r="AB91">
        <f t="shared" si="49"/>
        <v>6.344918340789979E-2</v>
      </c>
      <c r="AC91">
        <f t="shared" si="50"/>
        <v>0.08</v>
      </c>
      <c r="AD91">
        <f t="shared" si="51"/>
        <v>0.38068449203550886</v>
      </c>
      <c r="AE91">
        <f t="shared" si="52"/>
        <v>0.19</v>
      </c>
      <c r="AF91">
        <f t="shared" si="53"/>
        <v>0.6784</v>
      </c>
      <c r="AG91">
        <f t="shared" si="54"/>
        <v>0</v>
      </c>
      <c r="AH91">
        <f t="shared" si="55"/>
        <v>2.3062292894142209E-4</v>
      </c>
      <c r="AI91">
        <f t="shared" si="61"/>
        <v>2.3062292894142209E-4</v>
      </c>
      <c r="AJ91">
        <f t="shared" si="56"/>
        <v>1.0522171132952383</v>
      </c>
      <c r="BF91" s="7"/>
      <c r="BG91" s="13"/>
      <c r="BH91" s="13"/>
      <c r="BI91" s="13"/>
      <c r="BJ91" s="13"/>
      <c r="BK91" s="13"/>
      <c r="BL91" s="13"/>
    </row>
    <row r="92" spans="5:65" x14ac:dyDescent="0.2">
      <c r="E92" s="12"/>
      <c r="F92" t="s">
        <v>164</v>
      </c>
      <c r="G92">
        <v>100</v>
      </c>
      <c r="H92">
        <v>0</v>
      </c>
      <c r="I92">
        <v>0</v>
      </c>
      <c r="J92">
        <f t="shared" si="42"/>
        <v>91.25</v>
      </c>
      <c r="K92">
        <v>0.1</v>
      </c>
      <c r="L92">
        <v>0.55000000000000004</v>
      </c>
      <c r="M92">
        <v>55</v>
      </c>
      <c r="N92">
        <f t="shared" si="57"/>
        <v>0</v>
      </c>
      <c r="O92">
        <f>O71</f>
        <v>1</v>
      </c>
      <c r="P92">
        <f>P71</f>
        <v>0.78</v>
      </c>
      <c r="Q92">
        <f t="shared" si="43"/>
        <v>4.7000000000000002E-3</v>
      </c>
      <c r="R92">
        <f t="shared" si="44"/>
        <v>0</v>
      </c>
      <c r="S92">
        <v>0</v>
      </c>
      <c r="T92">
        <f t="shared" si="58"/>
        <v>0</v>
      </c>
      <c r="U92">
        <f t="shared" si="45"/>
        <v>1.3</v>
      </c>
      <c r="V92">
        <f t="shared" si="46"/>
        <v>1</v>
      </c>
      <c r="W92">
        <f t="shared" si="47"/>
        <v>0.43585000000000007</v>
      </c>
      <c r="X92">
        <v>2</v>
      </c>
      <c r="Y92">
        <f t="shared" si="59"/>
        <v>0.99966453737209748</v>
      </c>
      <c r="Z92">
        <f t="shared" si="48"/>
        <v>0.95969823125361531</v>
      </c>
      <c r="AA92">
        <f t="shared" si="60"/>
        <v>0.95937628836296562</v>
      </c>
      <c r="AB92">
        <f t="shared" si="49"/>
        <v>9.5937628836296571E-2</v>
      </c>
      <c r="AC92">
        <f t="shared" si="50"/>
        <v>0.08</v>
      </c>
      <c r="AD92">
        <f t="shared" si="51"/>
        <v>0.43105260872863782</v>
      </c>
      <c r="AE92">
        <f t="shared" si="52"/>
        <v>0.19</v>
      </c>
      <c r="AF92">
        <f t="shared" si="53"/>
        <v>0.6784</v>
      </c>
      <c r="AG92">
        <f t="shared" si="54"/>
        <v>0</v>
      </c>
      <c r="AH92">
        <f t="shared" si="55"/>
        <v>2.6113649815702656E-4</v>
      </c>
      <c r="AI92">
        <f t="shared" si="61"/>
        <v>2.6113649815702656E-4</v>
      </c>
      <c r="AJ92">
        <f t="shared" si="56"/>
        <v>2.3828705456828674</v>
      </c>
    </row>
    <row r="93" spans="5:65" x14ac:dyDescent="0.2">
      <c r="E93" s="11"/>
      <c r="F93" t="s">
        <v>165</v>
      </c>
      <c r="G93">
        <v>90</v>
      </c>
      <c r="H93">
        <v>0</v>
      </c>
      <c r="I93">
        <v>0</v>
      </c>
      <c r="J93">
        <f t="shared" si="42"/>
        <v>91.25</v>
      </c>
      <c r="K93">
        <v>0.09</v>
      </c>
      <c r="L93">
        <v>0.59</v>
      </c>
      <c r="M93">
        <v>55</v>
      </c>
      <c r="N93">
        <f t="shared" si="57"/>
        <v>0</v>
      </c>
      <c r="O93">
        <f>O71</f>
        <v>1</v>
      </c>
      <c r="P93">
        <f>P71</f>
        <v>0.78</v>
      </c>
      <c r="Q93">
        <f t="shared" si="43"/>
        <v>4.7000000000000002E-3</v>
      </c>
      <c r="R93">
        <f t="shared" si="44"/>
        <v>0</v>
      </c>
      <c r="S93">
        <v>0</v>
      </c>
      <c r="T93">
        <f t="shared" si="58"/>
        <v>0</v>
      </c>
      <c r="U93">
        <f t="shared" si="45"/>
        <v>1.3</v>
      </c>
      <c r="V93">
        <f t="shared" si="46"/>
        <v>1</v>
      </c>
      <c r="W93">
        <f t="shared" si="47"/>
        <v>0.46765000000000001</v>
      </c>
      <c r="X93">
        <v>2.2000000000000002</v>
      </c>
      <c r="Y93">
        <f t="shared" si="59"/>
        <v>0.99993747849622516</v>
      </c>
      <c r="Z93">
        <f t="shared" si="48"/>
        <v>1.0269410358295947</v>
      </c>
      <c r="AA93">
        <f t="shared" si="60"/>
        <v>1.0268768299317466</v>
      </c>
      <c r="AB93">
        <f t="shared" si="49"/>
        <v>9.2418914693857185E-2</v>
      </c>
      <c r="AC93">
        <f t="shared" si="50"/>
        <v>0.08</v>
      </c>
      <c r="AD93">
        <f t="shared" si="51"/>
        <v>0.42614265792795969</v>
      </c>
      <c r="AE93">
        <f t="shared" si="52"/>
        <v>0.19</v>
      </c>
      <c r="AF93">
        <f t="shared" si="53"/>
        <v>0.6784</v>
      </c>
      <c r="AG93">
        <f t="shared" si="54"/>
        <v>0</v>
      </c>
      <c r="AH93">
        <f t="shared" si="55"/>
        <v>2.5816199497052678E-4</v>
      </c>
      <c r="AI93">
        <f t="shared" si="61"/>
        <v>2.5816199497052678E-4</v>
      </c>
      <c r="AJ93">
        <f t="shared" si="56"/>
        <v>2.120155383695451</v>
      </c>
    </row>
    <row r="94" spans="5:65" x14ac:dyDescent="0.2">
      <c r="E94" s="12"/>
      <c r="F94" t="s">
        <v>166</v>
      </c>
      <c r="G94">
        <v>80</v>
      </c>
      <c r="H94">
        <v>0</v>
      </c>
      <c r="I94">
        <v>0</v>
      </c>
      <c r="J94">
        <f t="shared" si="42"/>
        <v>91.25</v>
      </c>
      <c r="K94">
        <v>7.0000000000000007E-2</v>
      </c>
      <c r="L94">
        <v>0.57999999999999996</v>
      </c>
      <c r="M94">
        <v>50</v>
      </c>
      <c r="N94">
        <f t="shared" si="57"/>
        <v>0</v>
      </c>
      <c r="O94">
        <f>O71</f>
        <v>1</v>
      </c>
      <c r="P94">
        <f>P71</f>
        <v>0.78</v>
      </c>
      <c r="Q94">
        <f t="shared" si="43"/>
        <v>4.7000000000000002E-3</v>
      </c>
      <c r="R94">
        <f t="shared" si="44"/>
        <v>0</v>
      </c>
      <c r="S94">
        <v>0</v>
      </c>
      <c r="T94">
        <f t="shared" si="58"/>
        <v>0</v>
      </c>
      <c r="U94">
        <f t="shared" si="45"/>
        <v>1.3</v>
      </c>
      <c r="V94">
        <f t="shared" si="46"/>
        <v>1</v>
      </c>
      <c r="W94">
        <f t="shared" si="47"/>
        <v>0.4597</v>
      </c>
      <c r="X94">
        <v>1.7</v>
      </c>
      <c r="Y94">
        <f t="shared" si="59"/>
        <v>0.99691128459176326</v>
      </c>
      <c r="Z94">
        <f t="shared" si="48"/>
        <v>0.91158128354326629</v>
      </c>
      <c r="AA94">
        <f t="shared" si="60"/>
        <v>0.90876566838692596</v>
      </c>
      <c r="AB94">
        <f t="shared" si="49"/>
        <v>6.3613596787084822E-2</v>
      </c>
      <c r="AC94">
        <f t="shared" si="50"/>
        <v>0.08</v>
      </c>
      <c r="AD94">
        <f t="shared" si="51"/>
        <v>0.38153851973813374</v>
      </c>
      <c r="AE94">
        <f t="shared" si="52"/>
        <v>0.19</v>
      </c>
      <c r="AF94">
        <f t="shared" si="53"/>
        <v>0.6784</v>
      </c>
      <c r="AG94">
        <f t="shared" si="54"/>
        <v>0</v>
      </c>
      <c r="AH94">
        <f t="shared" si="55"/>
        <v>2.3114030848878249E-4</v>
      </c>
      <c r="AI94">
        <f t="shared" si="61"/>
        <v>2.3114030848878249E-4</v>
      </c>
      <c r="AJ94">
        <f t="shared" si="56"/>
        <v>1.6873242519681124</v>
      </c>
    </row>
    <row r="95" spans="5:65" ht="17" thickBot="1" x14ac:dyDescent="0.25">
      <c r="BF95" s="8"/>
      <c r="BG95" s="9"/>
      <c r="BH95" s="9"/>
      <c r="BI95" s="9"/>
      <c r="BJ95" s="9"/>
      <c r="BK95" s="9"/>
      <c r="BL95" s="9"/>
      <c r="BM95" s="10"/>
    </row>
    <row r="96" spans="5:65" ht="17" thickTop="1" x14ac:dyDescent="0.2">
      <c r="BF96" s="2"/>
      <c r="BG96" s="3"/>
      <c r="BH96" s="3"/>
      <c r="BI96" s="3"/>
      <c r="BJ96" s="3"/>
      <c r="BK96" s="3"/>
      <c r="BL96" s="3"/>
      <c r="BM96" s="6"/>
    </row>
    <row r="97" spans="1:58" x14ac:dyDescent="0.2">
      <c r="BF97" s="4"/>
    </row>
    <row r="98" spans="1:58" x14ac:dyDescent="0.2">
      <c r="BF98" s="2"/>
    </row>
    <row r="99" spans="1:58" ht="17" thickBot="1" x14ac:dyDescent="0.25">
      <c r="BF99" s="4"/>
    </row>
    <row r="100" spans="1:58" ht="18" thickTop="1" thickBot="1" x14ac:dyDescent="0.25">
      <c r="AV100" s="6"/>
      <c r="BF100" s="2"/>
    </row>
    <row r="101" spans="1:58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G101">
        <v>100</v>
      </c>
      <c r="H101">
        <v>95</v>
      </c>
      <c r="I101">
        <v>90</v>
      </c>
      <c r="J101">
        <f t="shared" ref="J101:J124" si="62">$AQ$3</f>
        <v>91.25</v>
      </c>
      <c r="K101" cm="1">
        <f t="array" ref="K101:K124">_xlfn.DROP(_xlfn.XLOOKUP($C101,QueryCP[[#Headers],[ACT/NSW]:[WA]],QueryCP[[#All],[ACT/NSW]:[WA]]),1)</f>
        <v>0.16</v>
      </c>
      <c r="L101" cm="1">
        <f t="array" ref="L101:L124">_xlfn.DROP(_xlfn.XLOOKUP($C101,QueryDMD[[#Headers],[ACT/NSW]:[WA]],QueryDMD[[#All],[ACT/NSW]:[WA]]),1)</f>
        <v>0.7</v>
      </c>
      <c r="M101" cm="1">
        <f t="array" ref="M101:M124">_xlfn.DROP(_xlfn.XLOOKUP($C101,QueryW[[#Headers],[ACT/NSW]:[WA]],QueryW[[#All],[ACT/NSW]:[WA]]),1)</f>
        <v>55</v>
      </c>
      <c r="N101">
        <f>1-O101</f>
        <v>2.6000000000000467E-3</v>
      </c>
      <c r="O101">
        <f>IF($D101="yes", 1, VLOOKUP($B101, $AP$26:$AR$32, 2)/100)</f>
        <v>0.99739999999999995</v>
      </c>
      <c r="P101">
        <f>VLOOKUP($B101,$AR$10:$AS$16, 2, FALSE)</f>
        <v>0.74</v>
      </c>
      <c r="Q101">
        <f t="shared" ref="Q101:Q124" si="63">$AQ$10</f>
        <v>4.7000000000000002E-3</v>
      </c>
      <c r="R101">
        <f t="shared" ref="R101:R124" si="64">(H101/100)*(MIN(I101,100)/100)</f>
        <v>0.85499999999999998</v>
      </c>
      <c r="S101">
        <v>0</v>
      </c>
      <c r="T101">
        <f>1.6 * S101</f>
        <v>0</v>
      </c>
      <c r="U101">
        <f t="shared" ref="U101:U124" si="65">$AT$1</f>
        <v>1.3</v>
      </c>
      <c r="V101">
        <f t="shared" ref="V101:V124" si="66">R101*U101+(1-R101)</f>
        <v>1.2565</v>
      </c>
      <c r="W101">
        <f t="shared" ref="W101:W124" si="67">(0.795*L101)-0.0014</f>
        <v>0.55510000000000004</v>
      </c>
      <c r="X101" cm="1">
        <f t="array" ref="X101:X124">_xlfn.DROP(_xlfn.XLOOKUP($C101,QueryDMA[[#Headers],[ACT/NSW]:[WA]],QueryDMA[[#All],[ACT/NSW]:[WA]]),1)</f>
        <v>4</v>
      </c>
      <c r="Y101">
        <f>1 - EXP(-2*(X101^2))</f>
        <v>0.99999999999998734</v>
      </c>
      <c r="Z101">
        <f t="shared" ref="Z101:Z124" si="68">(104.7*W101+0.307*M101-15)*(M101^0.75)*10^-3</f>
        <v>1.2118587484135388</v>
      </c>
      <c r="AA101">
        <f>Z101*Y101*V101</f>
        <v>1.5227005173815922</v>
      </c>
      <c r="AB101">
        <f t="shared" ref="AB101:AB124" si="69">(AA101 * K101) + (0.045 * T101)</f>
        <v>0.24363208278105475</v>
      </c>
      <c r="AC101">
        <f t="shared" ref="AC101:AC124" si="70">$AQ$2</f>
        <v>0.08</v>
      </c>
      <c r="AD101">
        <f t="shared" ref="AD101:AD124" si="71">(AA101 * ((1 - L101) + (0.04 * AA101))) * ( 1 - AC101 )</f>
        <v>0.50559044345265691</v>
      </c>
      <c r="AE101">
        <f t="shared" ref="AE101:AE124" si="72">$AQ$1</f>
        <v>0.19</v>
      </c>
      <c r="AF101">
        <f t="shared" ref="AF101:AF124" si="73">$AR$20</f>
        <v>0.6784</v>
      </c>
      <c r="AG101">
        <f t="shared" ref="AG101:AG124" si="74">AD101 * AE101 * N101 * P101 * AF101</f>
        <v>1.2538435907780477E-4</v>
      </c>
      <c r="AH101">
        <f t="shared" ref="AH101:AH124" si="75">AD101*AE101*O101*Q101*AF101</f>
        <v>3.0549599313811914E-4</v>
      </c>
      <c r="AI101">
        <f>AG101+AH101</f>
        <v>4.3088035221592387E-4</v>
      </c>
      <c r="AJ101">
        <f t="shared" ref="AJ101:AJ124" si="76">G101*AI101*J101</f>
        <v>3.9317832139703053</v>
      </c>
      <c r="AK101">
        <f>SUM(AJ101:AJ124)*10^-3</f>
        <v>7.5276513875585233E-2</v>
      </c>
      <c r="AV101" s="6"/>
      <c r="BF101" s="4"/>
    </row>
    <row r="102" spans="1:58" ht="18" thickTop="1" thickBot="1" x14ac:dyDescent="0.25">
      <c r="E102" s="12"/>
      <c r="F102" t="s">
        <v>164</v>
      </c>
      <c r="G102">
        <v>70</v>
      </c>
      <c r="H102">
        <v>0</v>
      </c>
      <c r="I102">
        <v>0</v>
      </c>
      <c r="J102">
        <f t="shared" si="62"/>
        <v>91.25</v>
      </c>
      <c r="K102">
        <v>7.0000000000000007E-2</v>
      </c>
      <c r="L102">
        <v>0.55000000000000004</v>
      </c>
      <c r="M102">
        <v>55</v>
      </c>
      <c r="N102">
        <f t="shared" ref="N102:N124" si="77">1-O102</f>
        <v>2.6000000000000467E-3</v>
      </c>
      <c r="O102">
        <f>O101</f>
        <v>0.99739999999999995</v>
      </c>
      <c r="P102">
        <f>P101</f>
        <v>0.74</v>
      </c>
      <c r="Q102">
        <f t="shared" si="63"/>
        <v>4.7000000000000002E-3</v>
      </c>
      <c r="R102">
        <f t="shared" si="64"/>
        <v>0</v>
      </c>
      <c r="S102">
        <v>0</v>
      </c>
      <c r="T102">
        <f t="shared" ref="T102:T124" si="78">1.6 * S102</f>
        <v>0</v>
      </c>
      <c r="U102">
        <f t="shared" si="65"/>
        <v>1.3</v>
      </c>
      <c r="V102">
        <f t="shared" si="66"/>
        <v>1</v>
      </c>
      <c r="W102">
        <f t="shared" si="67"/>
        <v>0.43585000000000007</v>
      </c>
      <c r="X102">
        <v>2.5</v>
      </c>
      <c r="Y102">
        <f t="shared" ref="Y102:Y124" si="79">1 - EXP(-2*(X102^2))</f>
        <v>0.99999627334682795</v>
      </c>
      <c r="Z102">
        <f t="shared" si="68"/>
        <v>0.95969823125361531</v>
      </c>
      <c r="AA102">
        <f t="shared" ref="AA102:AA124" si="80">Z102*Y102*V102</f>
        <v>0.95969465479115756</v>
      </c>
      <c r="AB102">
        <f t="shared" si="69"/>
        <v>6.7178625835381034E-2</v>
      </c>
      <c r="AC102">
        <f t="shared" si="70"/>
        <v>0.08</v>
      </c>
      <c r="AD102">
        <f t="shared" si="71"/>
        <v>0.43120689604353685</v>
      </c>
      <c r="AE102">
        <f t="shared" si="72"/>
        <v>0.19</v>
      </c>
      <c r="AF102">
        <f t="shared" si="73"/>
        <v>0.6784</v>
      </c>
      <c r="AG102">
        <f t="shared" si="74"/>
        <v>1.0693754399535288E-4</v>
      </c>
      <c r="AH102">
        <f t="shared" si="75"/>
        <v>2.6055076922584526E-4</v>
      </c>
      <c r="AI102">
        <f t="shared" ref="AI102:AI124" si="81">AG102+AH102</f>
        <v>3.6748831322119813E-4</v>
      </c>
      <c r="AJ102">
        <f t="shared" si="76"/>
        <v>2.3473316007004028</v>
      </c>
      <c r="AV102" s="6"/>
      <c r="BF102" s="2"/>
    </row>
    <row r="103" spans="1:58" ht="17" thickTop="1" x14ac:dyDescent="0.2">
      <c r="E103" s="11"/>
      <c r="F103" t="s">
        <v>165</v>
      </c>
      <c r="G103">
        <v>65</v>
      </c>
      <c r="H103">
        <v>0</v>
      </c>
      <c r="I103">
        <v>0</v>
      </c>
      <c r="J103">
        <f t="shared" si="62"/>
        <v>91.25</v>
      </c>
      <c r="K103">
        <v>0.09</v>
      </c>
      <c r="L103">
        <v>0.55000000000000004</v>
      </c>
      <c r="M103">
        <v>55</v>
      </c>
      <c r="N103">
        <f t="shared" si="77"/>
        <v>2.6000000000000467E-3</v>
      </c>
      <c r="O103">
        <f>O101</f>
        <v>0.99739999999999995</v>
      </c>
      <c r="P103">
        <f>P101</f>
        <v>0.74</v>
      </c>
      <c r="Q103">
        <f t="shared" si="63"/>
        <v>4.7000000000000002E-3</v>
      </c>
      <c r="R103">
        <f t="shared" si="64"/>
        <v>0</v>
      </c>
      <c r="S103">
        <v>0</v>
      </c>
      <c r="T103">
        <f t="shared" si="78"/>
        <v>0</v>
      </c>
      <c r="U103">
        <f t="shared" si="65"/>
        <v>1.3</v>
      </c>
      <c r="V103">
        <f t="shared" si="66"/>
        <v>1</v>
      </c>
      <c r="W103">
        <f t="shared" si="67"/>
        <v>0.43585000000000007</v>
      </c>
      <c r="X103">
        <v>0.7</v>
      </c>
      <c r="Y103">
        <f t="shared" si="79"/>
        <v>0.62468890114860043</v>
      </c>
      <c r="Z103">
        <f t="shared" si="68"/>
        <v>0.95969823125361531</v>
      </c>
      <c r="AA103">
        <f t="shared" si="80"/>
        <v>0.59951283351607632</v>
      </c>
      <c r="AB103">
        <f t="shared" si="69"/>
        <v>5.3956155016446863E-2</v>
      </c>
      <c r="AC103">
        <f t="shared" si="70"/>
        <v>0.08</v>
      </c>
      <c r="AD103">
        <f t="shared" si="71"/>
        <v>0.26142480853751304</v>
      </c>
      <c r="AE103">
        <f t="shared" si="72"/>
        <v>0.19</v>
      </c>
      <c r="AF103">
        <f t="shared" si="73"/>
        <v>0.6784</v>
      </c>
      <c r="AG103">
        <f t="shared" si="74"/>
        <v>6.4832281721288623E-5</v>
      </c>
      <c r="AH103">
        <f t="shared" si="75"/>
        <v>1.5796230436975934E-4</v>
      </c>
      <c r="AI103">
        <f t="shared" si="81"/>
        <v>2.2279458609104796E-4</v>
      </c>
      <c r="AJ103">
        <f t="shared" si="76"/>
        <v>1.3214503887525282</v>
      </c>
      <c r="AV103" s="6"/>
      <c r="BF103" s="4"/>
    </row>
    <row r="104" spans="1:58" x14ac:dyDescent="0.2">
      <c r="E104" s="12"/>
      <c r="F104" t="s">
        <v>166</v>
      </c>
      <c r="G104">
        <v>80</v>
      </c>
      <c r="H104">
        <v>0</v>
      </c>
      <c r="I104">
        <v>0</v>
      </c>
      <c r="J104">
        <f t="shared" si="62"/>
        <v>91.25</v>
      </c>
      <c r="K104">
        <v>0.2</v>
      </c>
      <c r="L104">
        <v>0.75</v>
      </c>
      <c r="M104">
        <v>55</v>
      </c>
      <c r="N104">
        <f t="shared" si="77"/>
        <v>2.6000000000000467E-3</v>
      </c>
      <c r="O104">
        <f>O101</f>
        <v>0.99739999999999995</v>
      </c>
      <c r="P104">
        <f>P101</f>
        <v>0.74</v>
      </c>
      <c r="Q104">
        <f t="shared" si="63"/>
        <v>4.7000000000000002E-3</v>
      </c>
      <c r="R104">
        <f t="shared" si="64"/>
        <v>0</v>
      </c>
      <c r="S104">
        <v>0</v>
      </c>
      <c r="T104">
        <f t="shared" si="78"/>
        <v>0</v>
      </c>
      <c r="U104">
        <f t="shared" si="65"/>
        <v>1.3</v>
      </c>
      <c r="V104">
        <f t="shared" si="66"/>
        <v>1</v>
      </c>
      <c r="W104">
        <f t="shared" si="67"/>
        <v>0.5948500000000001</v>
      </c>
      <c r="X104">
        <v>0.9</v>
      </c>
      <c r="Y104">
        <f t="shared" si="79"/>
        <v>0.80210130091638532</v>
      </c>
      <c r="Z104">
        <f t="shared" si="68"/>
        <v>1.2959122541335131</v>
      </c>
      <c r="AA104">
        <f t="shared" si="80"/>
        <v>1.0394529049139762</v>
      </c>
      <c r="AB104">
        <f t="shared" si="69"/>
        <v>0.20789058098279525</v>
      </c>
      <c r="AC104">
        <f t="shared" si="70"/>
        <v>0.08</v>
      </c>
      <c r="AD104">
        <f t="shared" si="71"/>
        <v>0.27883518229866955</v>
      </c>
      <c r="AE104">
        <f t="shared" si="72"/>
        <v>0.19</v>
      </c>
      <c r="AF104">
        <f t="shared" si="73"/>
        <v>0.6784</v>
      </c>
      <c r="AG104">
        <f t="shared" si="74"/>
        <v>6.9149983101164588E-5</v>
      </c>
      <c r="AH104">
        <f t="shared" si="75"/>
        <v>1.6848228055196026E-4</v>
      </c>
      <c r="AI104">
        <f t="shared" si="81"/>
        <v>2.3763226365312485E-4</v>
      </c>
      <c r="AJ104">
        <f t="shared" si="76"/>
        <v>1.7347155246678114</v>
      </c>
      <c r="BF104" s="2"/>
    </row>
    <row r="105" spans="1:58" x14ac:dyDescent="0.2">
      <c r="E105" s="11" t="s">
        <v>171</v>
      </c>
      <c r="F105" t="s">
        <v>163</v>
      </c>
      <c r="G105">
        <v>200</v>
      </c>
      <c r="H105">
        <v>0</v>
      </c>
      <c r="I105">
        <v>0</v>
      </c>
      <c r="J105">
        <f t="shared" si="62"/>
        <v>91.25</v>
      </c>
      <c r="K105">
        <v>0.16</v>
      </c>
      <c r="L105">
        <v>0.7</v>
      </c>
      <c r="M105">
        <v>40</v>
      </c>
      <c r="N105">
        <f t="shared" si="77"/>
        <v>2.6000000000000467E-3</v>
      </c>
      <c r="O105">
        <f>O101</f>
        <v>0.99739999999999995</v>
      </c>
      <c r="P105">
        <f>P101</f>
        <v>0.74</v>
      </c>
      <c r="Q105">
        <f t="shared" si="63"/>
        <v>4.7000000000000002E-3</v>
      </c>
      <c r="R105">
        <f t="shared" si="64"/>
        <v>0</v>
      </c>
      <c r="S105">
        <v>1</v>
      </c>
      <c r="T105">
        <f t="shared" si="78"/>
        <v>1.6</v>
      </c>
      <c r="U105">
        <f t="shared" si="65"/>
        <v>1.3</v>
      </c>
      <c r="V105">
        <f t="shared" si="66"/>
        <v>1</v>
      </c>
      <c r="W105">
        <f t="shared" si="67"/>
        <v>0.55510000000000004</v>
      </c>
      <c r="X105">
        <v>4</v>
      </c>
      <c r="Y105">
        <f t="shared" si="79"/>
        <v>0.99999999999998734</v>
      </c>
      <c r="Z105">
        <f t="shared" si="68"/>
        <v>0.88114358489687972</v>
      </c>
      <c r="AA105">
        <f t="shared" si="80"/>
        <v>0.88114358489686861</v>
      </c>
      <c r="AB105">
        <f t="shared" si="69"/>
        <v>0.21298297358349899</v>
      </c>
      <c r="AC105">
        <f t="shared" si="70"/>
        <v>0.08</v>
      </c>
      <c r="AD105">
        <f t="shared" si="71"/>
        <v>0.27176766526467627</v>
      </c>
      <c r="AE105">
        <f t="shared" si="72"/>
        <v>0.19</v>
      </c>
      <c r="AF105">
        <f t="shared" si="73"/>
        <v>0.6784</v>
      </c>
      <c r="AG105">
        <f t="shared" si="74"/>
        <v>6.739726782528401E-5</v>
      </c>
      <c r="AH105">
        <f t="shared" si="75"/>
        <v>1.6421183168711234E-4</v>
      </c>
      <c r="AI105">
        <f t="shared" si="81"/>
        <v>2.3160909951239634E-4</v>
      </c>
      <c r="AJ105">
        <f t="shared" si="76"/>
        <v>4.2268660661012332</v>
      </c>
      <c r="BF105" s="4"/>
    </row>
    <row r="106" spans="1:58" x14ac:dyDescent="0.2">
      <c r="E106" s="12"/>
      <c r="F106" t="s">
        <v>164</v>
      </c>
      <c r="G106">
        <v>210</v>
      </c>
      <c r="H106">
        <v>0</v>
      </c>
      <c r="I106">
        <v>0</v>
      </c>
      <c r="J106">
        <f t="shared" si="62"/>
        <v>91.25</v>
      </c>
      <c r="K106">
        <v>7.0000000000000007E-2</v>
      </c>
      <c r="L106">
        <v>0.55000000000000004</v>
      </c>
      <c r="M106">
        <v>45</v>
      </c>
      <c r="N106">
        <f t="shared" si="77"/>
        <v>2.6000000000000467E-3</v>
      </c>
      <c r="O106">
        <f>O101</f>
        <v>0.99739999999999995</v>
      </c>
      <c r="P106">
        <f>P101</f>
        <v>0.74</v>
      </c>
      <c r="Q106">
        <f t="shared" si="63"/>
        <v>4.7000000000000002E-3</v>
      </c>
      <c r="R106">
        <f t="shared" si="64"/>
        <v>0</v>
      </c>
      <c r="S106">
        <v>0</v>
      </c>
      <c r="T106">
        <f t="shared" si="78"/>
        <v>0</v>
      </c>
      <c r="U106">
        <f t="shared" si="65"/>
        <v>1.3</v>
      </c>
      <c r="V106">
        <f t="shared" si="66"/>
        <v>1</v>
      </c>
      <c r="W106">
        <f t="shared" si="67"/>
        <v>0.43585000000000007</v>
      </c>
      <c r="X106">
        <v>2.5</v>
      </c>
      <c r="Y106">
        <f t="shared" si="79"/>
        <v>0.99999627334682795</v>
      </c>
      <c r="Z106">
        <f t="shared" si="68"/>
        <v>0.77226516609487061</v>
      </c>
      <c r="AA106">
        <f t="shared" si="80"/>
        <v>0.77226228813043973</v>
      </c>
      <c r="AB106">
        <f t="shared" si="69"/>
        <v>5.4058360169130786E-2</v>
      </c>
      <c r="AC106">
        <f t="shared" si="70"/>
        <v>0.08</v>
      </c>
      <c r="AD106">
        <f t="shared" si="71"/>
        <v>0.34166370401940144</v>
      </c>
      <c r="AE106">
        <f t="shared" si="72"/>
        <v>0.19</v>
      </c>
      <c r="AF106">
        <f t="shared" si="73"/>
        <v>0.6784</v>
      </c>
      <c r="AG106">
        <f t="shared" si="74"/>
        <v>8.4731199142281413E-5</v>
      </c>
      <c r="AH106">
        <f t="shared" si="75"/>
        <v>2.0644554091226448E-4</v>
      </c>
      <c r="AI106">
        <f t="shared" si="81"/>
        <v>2.9117674005454589E-4</v>
      </c>
      <c r="AJ106">
        <f t="shared" si="76"/>
        <v>5.5796742812952358</v>
      </c>
      <c r="BF106" s="2"/>
    </row>
    <row r="107" spans="1:58" x14ac:dyDescent="0.2">
      <c r="E107" s="11"/>
      <c r="F107" t="s">
        <v>165</v>
      </c>
      <c r="G107">
        <v>170</v>
      </c>
      <c r="H107">
        <v>0</v>
      </c>
      <c r="I107">
        <v>0</v>
      </c>
      <c r="J107">
        <f t="shared" si="62"/>
        <v>91.25</v>
      </c>
      <c r="K107">
        <v>0.09</v>
      </c>
      <c r="L107">
        <v>0.55000000000000004</v>
      </c>
      <c r="M107">
        <v>20</v>
      </c>
      <c r="N107">
        <f t="shared" si="77"/>
        <v>2.6000000000000467E-3</v>
      </c>
      <c r="O107">
        <f>O101</f>
        <v>0.99739999999999995</v>
      </c>
      <c r="P107">
        <f>P101</f>
        <v>0.74</v>
      </c>
      <c r="Q107">
        <f t="shared" si="63"/>
        <v>4.7000000000000002E-3</v>
      </c>
      <c r="R107">
        <f t="shared" si="64"/>
        <v>0</v>
      </c>
      <c r="S107">
        <v>0</v>
      </c>
      <c r="T107">
        <f t="shared" si="78"/>
        <v>0</v>
      </c>
      <c r="U107">
        <f t="shared" si="65"/>
        <v>1.3</v>
      </c>
      <c r="V107">
        <f t="shared" si="66"/>
        <v>1</v>
      </c>
      <c r="W107">
        <f t="shared" si="67"/>
        <v>0.43585000000000007</v>
      </c>
      <c r="X107">
        <v>0.7</v>
      </c>
      <c r="Y107">
        <f t="shared" si="79"/>
        <v>0.62468890114860043</v>
      </c>
      <c r="Z107">
        <f t="shared" si="68"/>
        <v>0.34778224329970253</v>
      </c>
      <c r="AA107">
        <f t="shared" si="80"/>
        <v>0.21725570740588637</v>
      </c>
      <c r="AB107">
        <f t="shared" si="69"/>
        <v>1.9553013666529773E-2</v>
      </c>
      <c r="AC107">
        <f t="shared" si="70"/>
        <v>0.08</v>
      </c>
      <c r="AD107">
        <f t="shared" si="71"/>
        <v>9.1680824426372848E-2</v>
      </c>
      <c r="AE107">
        <f t="shared" si="72"/>
        <v>0.19</v>
      </c>
      <c r="AF107">
        <f t="shared" si="73"/>
        <v>0.6784</v>
      </c>
      <c r="AG107">
        <f t="shared" si="74"/>
        <v>2.2736468933084021E-5</v>
      </c>
      <c r="AH107">
        <f t="shared" si="75"/>
        <v>5.5396862960047147E-5</v>
      </c>
      <c r="AI107">
        <f t="shared" si="81"/>
        <v>7.8133331893131175E-5</v>
      </c>
      <c r="AJ107">
        <f t="shared" si="76"/>
        <v>1.2120433109921973</v>
      </c>
      <c r="BF107" s="4"/>
    </row>
    <row r="108" spans="1:58" x14ac:dyDescent="0.2">
      <c r="E108" s="12"/>
      <c r="F108" t="s">
        <v>166</v>
      </c>
      <c r="G108">
        <v>200</v>
      </c>
      <c r="H108">
        <v>0</v>
      </c>
      <c r="I108">
        <v>0</v>
      </c>
      <c r="J108">
        <f t="shared" si="62"/>
        <v>91.25</v>
      </c>
      <c r="K108">
        <v>0.2</v>
      </c>
      <c r="L108">
        <v>0.75</v>
      </c>
      <c r="M108">
        <v>30</v>
      </c>
      <c r="N108">
        <f t="shared" si="77"/>
        <v>2.6000000000000467E-3</v>
      </c>
      <c r="O108">
        <f>O101</f>
        <v>0.99739999999999995</v>
      </c>
      <c r="P108">
        <f>P101</f>
        <v>0.74</v>
      </c>
      <c r="Q108">
        <f t="shared" si="63"/>
        <v>4.7000000000000002E-3</v>
      </c>
      <c r="R108">
        <f t="shared" si="64"/>
        <v>0</v>
      </c>
      <c r="S108">
        <v>0</v>
      </c>
      <c r="T108">
        <f t="shared" si="78"/>
        <v>0</v>
      </c>
      <c r="U108">
        <f t="shared" si="65"/>
        <v>1.3</v>
      </c>
      <c r="V108">
        <f t="shared" si="66"/>
        <v>1</v>
      </c>
      <c r="W108">
        <f t="shared" si="67"/>
        <v>0.5948500000000001</v>
      </c>
      <c r="X108">
        <v>0.9</v>
      </c>
      <c r="Y108">
        <f t="shared" si="79"/>
        <v>0.80210130091638532</v>
      </c>
      <c r="Z108">
        <f t="shared" si="68"/>
        <v>0.72413348053480053</v>
      </c>
      <c r="AA108">
        <f t="shared" si="80"/>
        <v>0.58082840677407355</v>
      </c>
      <c r="AB108">
        <f t="shared" si="69"/>
        <v>0.11616568135481471</v>
      </c>
      <c r="AC108">
        <f t="shared" si="70"/>
        <v>0.08</v>
      </c>
      <c r="AD108">
        <f t="shared" si="71"/>
        <v>0.146005441840695</v>
      </c>
      <c r="AE108">
        <f t="shared" si="72"/>
        <v>0.19</v>
      </c>
      <c r="AF108">
        <f t="shared" si="73"/>
        <v>0.6784</v>
      </c>
      <c r="AG108">
        <f t="shared" si="74"/>
        <v>3.6208751538203234E-5</v>
      </c>
      <c r="AH108">
        <f t="shared" si="75"/>
        <v>8.8221757425028738E-5</v>
      </c>
      <c r="AI108">
        <f t="shared" si="81"/>
        <v>1.2443050896323197E-4</v>
      </c>
      <c r="AJ108">
        <f t="shared" si="76"/>
        <v>2.2708567885789832</v>
      </c>
      <c r="BF108" s="2"/>
    </row>
    <row r="109" spans="1:58" x14ac:dyDescent="0.2">
      <c r="E109" s="11" t="s">
        <v>168</v>
      </c>
      <c r="F109" t="s">
        <v>163</v>
      </c>
      <c r="G109">
        <v>100</v>
      </c>
      <c r="H109">
        <v>95</v>
      </c>
      <c r="I109">
        <v>92</v>
      </c>
      <c r="J109">
        <f t="shared" si="62"/>
        <v>91.25</v>
      </c>
      <c r="K109">
        <v>0.16</v>
      </c>
      <c r="L109">
        <v>0.7</v>
      </c>
      <c r="M109">
        <v>52</v>
      </c>
      <c r="N109">
        <f t="shared" si="77"/>
        <v>2.6000000000000467E-3</v>
      </c>
      <c r="O109">
        <f>O101</f>
        <v>0.99739999999999995</v>
      </c>
      <c r="P109">
        <f>P101</f>
        <v>0.74</v>
      </c>
      <c r="Q109">
        <f t="shared" si="63"/>
        <v>4.7000000000000002E-3</v>
      </c>
      <c r="R109">
        <f t="shared" si="64"/>
        <v>0.874</v>
      </c>
      <c r="S109">
        <v>0</v>
      </c>
      <c r="T109">
        <f t="shared" si="78"/>
        <v>0</v>
      </c>
      <c r="U109">
        <f t="shared" si="65"/>
        <v>1.3</v>
      </c>
      <c r="V109">
        <f t="shared" si="66"/>
        <v>1.2622</v>
      </c>
      <c r="W109">
        <f t="shared" si="67"/>
        <v>0.55510000000000004</v>
      </c>
      <c r="X109">
        <v>4</v>
      </c>
      <c r="Y109">
        <f t="shared" si="79"/>
        <v>0.99999999999998734</v>
      </c>
      <c r="Z109">
        <f t="shared" si="68"/>
        <v>1.1441022143482507</v>
      </c>
      <c r="AA109">
        <f t="shared" si="80"/>
        <v>1.4440858149503437</v>
      </c>
      <c r="AB109">
        <f t="shared" si="69"/>
        <v>0.23105373039205501</v>
      </c>
      <c r="AC109">
        <f t="shared" si="70"/>
        <v>0.08</v>
      </c>
      <c r="AD109">
        <f t="shared" si="71"/>
        <v>0.4753098102729163</v>
      </c>
      <c r="AE109">
        <f t="shared" si="72"/>
        <v>0.19</v>
      </c>
      <c r="AF109">
        <f t="shared" si="73"/>
        <v>0.6784</v>
      </c>
      <c r="AG109">
        <f t="shared" si="74"/>
        <v>1.1787488607870249E-4</v>
      </c>
      <c r="AH109">
        <f t="shared" si="75"/>
        <v>2.8719934171622143E-4</v>
      </c>
      <c r="AI109">
        <f t="shared" si="81"/>
        <v>4.0507422779492393E-4</v>
      </c>
      <c r="AJ109">
        <f t="shared" si="76"/>
        <v>3.6963023286286809</v>
      </c>
      <c r="BF109" s="4"/>
    </row>
    <row r="110" spans="1:58" x14ac:dyDescent="0.2">
      <c r="E110" s="12"/>
      <c r="F110" t="s">
        <v>164</v>
      </c>
      <c r="G110">
        <v>140</v>
      </c>
      <c r="H110">
        <v>0</v>
      </c>
      <c r="I110">
        <v>0</v>
      </c>
      <c r="J110">
        <f t="shared" si="62"/>
        <v>91.25</v>
      </c>
      <c r="K110">
        <v>7.0000000000000007E-2</v>
      </c>
      <c r="L110">
        <v>0.55000000000000004</v>
      </c>
      <c r="M110">
        <v>52</v>
      </c>
      <c r="N110">
        <f t="shared" si="77"/>
        <v>2.6000000000000467E-3</v>
      </c>
      <c r="O110">
        <f>O101</f>
        <v>0.99739999999999995</v>
      </c>
      <c r="P110">
        <f>P101</f>
        <v>0.74</v>
      </c>
      <c r="Q110">
        <f t="shared" si="63"/>
        <v>4.7000000000000002E-3</v>
      </c>
      <c r="R110">
        <f t="shared" si="64"/>
        <v>0</v>
      </c>
      <c r="S110">
        <v>0</v>
      </c>
      <c r="T110">
        <f t="shared" si="78"/>
        <v>0</v>
      </c>
      <c r="U110">
        <f t="shared" si="65"/>
        <v>1.3</v>
      </c>
      <c r="V110">
        <f t="shared" si="66"/>
        <v>1</v>
      </c>
      <c r="W110">
        <f t="shared" si="67"/>
        <v>0.43585000000000007</v>
      </c>
      <c r="X110">
        <v>2.5</v>
      </c>
      <c r="Y110">
        <f t="shared" si="79"/>
        <v>0.99999627334682795</v>
      </c>
      <c r="Z110">
        <f t="shared" si="68"/>
        <v>0.90232933809152693</v>
      </c>
      <c r="AA110">
        <f t="shared" si="80"/>
        <v>0.90232597542303694</v>
      </c>
      <c r="AB110">
        <f t="shared" si="69"/>
        <v>6.3162818279612593E-2</v>
      </c>
      <c r="AC110">
        <f t="shared" si="70"/>
        <v>0.08</v>
      </c>
      <c r="AD110">
        <f t="shared" si="71"/>
        <v>0.40352522553110864</v>
      </c>
      <c r="AE110">
        <f t="shared" si="72"/>
        <v>0.19</v>
      </c>
      <c r="AF110">
        <f t="shared" si="73"/>
        <v>0.6784</v>
      </c>
      <c r="AG110">
        <f t="shared" si="74"/>
        <v>1.0007260309239297E-4</v>
      </c>
      <c r="AH110">
        <f t="shared" si="75"/>
        <v>2.4382450484638747E-4</v>
      </c>
      <c r="AI110">
        <f t="shared" si="81"/>
        <v>3.4389710793878044E-4</v>
      </c>
      <c r="AJ110">
        <f t="shared" si="76"/>
        <v>4.3932855539179201</v>
      </c>
      <c r="BF110" s="2"/>
    </row>
    <row r="111" spans="1:58" x14ac:dyDescent="0.2">
      <c r="E111" s="11"/>
      <c r="F111" t="s">
        <v>165</v>
      </c>
      <c r="G111">
        <v>135</v>
      </c>
      <c r="H111">
        <v>0</v>
      </c>
      <c r="I111">
        <v>0</v>
      </c>
      <c r="J111">
        <f t="shared" si="62"/>
        <v>91.25</v>
      </c>
      <c r="K111">
        <v>0.09</v>
      </c>
      <c r="L111">
        <v>0.55000000000000004</v>
      </c>
      <c r="M111">
        <v>52</v>
      </c>
      <c r="N111">
        <f t="shared" si="77"/>
        <v>2.6000000000000467E-3</v>
      </c>
      <c r="O111">
        <f>O101</f>
        <v>0.99739999999999995</v>
      </c>
      <c r="P111">
        <f>P101</f>
        <v>0.74</v>
      </c>
      <c r="Q111">
        <f t="shared" si="63"/>
        <v>4.7000000000000002E-3</v>
      </c>
      <c r="R111">
        <f t="shared" si="64"/>
        <v>0</v>
      </c>
      <c r="S111">
        <v>0</v>
      </c>
      <c r="T111">
        <f t="shared" si="78"/>
        <v>0</v>
      </c>
      <c r="U111">
        <f t="shared" si="65"/>
        <v>1.3</v>
      </c>
      <c r="V111">
        <f t="shared" si="66"/>
        <v>1</v>
      </c>
      <c r="W111">
        <f t="shared" si="67"/>
        <v>0.43585000000000007</v>
      </c>
      <c r="X111">
        <v>0.7</v>
      </c>
      <c r="Y111">
        <f t="shared" si="79"/>
        <v>0.62468890114860043</v>
      </c>
      <c r="Z111">
        <f t="shared" si="68"/>
        <v>0.90232933809152693</v>
      </c>
      <c r="AA111">
        <f t="shared" si="80"/>
        <v>0.56367512268653996</v>
      </c>
      <c r="AB111">
        <f t="shared" si="69"/>
        <v>5.0730761041788593E-2</v>
      </c>
      <c r="AC111">
        <f t="shared" si="70"/>
        <v>0.08</v>
      </c>
      <c r="AD111">
        <f t="shared" si="71"/>
        <v>0.24505395168906077</v>
      </c>
      <c r="AE111">
        <f t="shared" si="72"/>
        <v>0.19</v>
      </c>
      <c r="AF111">
        <f t="shared" si="73"/>
        <v>0.6784</v>
      </c>
      <c r="AG111">
        <f t="shared" si="74"/>
        <v>6.0772376277902046E-5</v>
      </c>
      <c r="AH111">
        <f t="shared" si="75"/>
        <v>1.4807044182329446E-4</v>
      </c>
      <c r="AI111">
        <f t="shared" si="81"/>
        <v>2.088428181011965E-4</v>
      </c>
      <c r="AJ111">
        <f t="shared" si="76"/>
        <v>2.5726824654841147</v>
      </c>
      <c r="BF111" s="4"/>
    </row>
    <row r="112" spans="1:58" x14ac:dyDescent="0.2">
      <c r="E112" s="12"/>
      <c r="F112" t="s">
        <v>166</v>
      </c>
      <c r="G112">
        <v>130</v>
      </c>
      <c r="H112">
        <v>0</v>
      </c>
      <c r="I112">
        <v>0</v>
      </c>
      <c r="J112">
        <f t="shared" si="62"/>
        <v>91.25</v>
      </c>
      <c r="K112">
        <v>0.2</v>
      </c>
      <c r="L112">
        <v>0.75</v>
      </c>
      <c r="M112">
        <v>52</v>
      </c>
      <c r="N112">
        <f t="shared" si="77"/>
        <v>2.6000000000000467E-3</v>
      </c>
      <c r="O112">
        <f>O101</f>
        <v>0.99739999999999995</v>
      </c>
      <c r="P112">
        <f>P101</f>
        <v>0.74</v>
      </c>
      <c r="Q112">
        <f t="shared" si="63"/>
        <v>4.7000000000000002E-3</v>
      </c>
      <c r="R112">
        <f t="shared" si="64"/>
        <v>0</v>
      </c>
      <c r="S112">
        <v>0</v>
      </c>
      <c r="T112">
        <f t="shared" si="78"/>
        <v>0</v>
      </c>
      <c r="U112">
        <f t="shared" si="65"/>
        <v>1.3</v>
      </c>
      <c r="V112">
        <f t="shared" si="66"/>
        <v>1</v>
      </c>
      <c r="W112">
        <f t="shared" si="67"/>
        <v>0.5948500000000001</v>
      </c>
      <c r="X112">
        <v>0.9</v>
      </c>
      <c r="Y112">
        <f t="shared" si="79"/>
        <v>0.80210130091638532</v>
      </c>
      <c r="Z112">
        <f t="shared" si="68"/>
        <v>1.224693173100492</v>
      </c>
      <c r="AA112">
        <f t="shared" si="80"/>
        <v>0.98232798736732052</v>
      </c>
      <c r="AB112">
        <f t="shared" si="69"/>
        <v>0.19646559747346412</v>
      </c>
      <c r="AC112">
        <f t="shared" si="70"/>
        <v>0.08</v>
      </c>
      <c r="AD112">
        <f t="shared" si="71"/>
        <v>0.26144626960584055</v>
      </c>
      <c r="AE112">
        <f t="shared" si="72"/>
        <v>0.19</v>
      </c>
      <c r="AF112">
        <f t="shared" si="73"/>
        <v>0.6784</v>
      </c>
      <c r="AG112">
        <f t="shared" si="74"/>
        <v>6.4837603978329307E-5</v>
      </c>
      <c r="AH112">
        <f t="shared" si="75"/>
        <v>1.5797527192179165E-4</v>
      </c>
      <c r="AI112">
        <f t="shared" si="81"/>
        <v>2.2281287590012095E-4</v>
      </c>
      <c r="AJ112">
        <f t="shared" si="76"/>
        <v>2.6431177403651849</v>
      </c>
      <c r="BF112" s="2"/>
    </row>
    <row r="113" spans="5:64" x14ac:dyDescent="0.2">
      <c r="E113" s="11" t="s">
        <v>170</v>
      </c>
      <c r="F113" t="s">
        <v>163</v>
      </c>
      <c r="G113">
        <v>200</v>
      </c>
      <c r="H113">
        <v>0</v>
      </c>
      <c r="I113">
        <v>0</v>
      </c>
      <c r="J113">
        <f t="shared" si="62"/>
        <v>91.25</v>
      </c>
      <c r="K113">
        <v>0.16</v>
      </c>
      <c r="L113">
        <v>0.7</v>
      </c>
      <c r="M113">
        <v>55</v>
      </c>
      <c r="N113">
        <f t="shared" si="77"/>
        <v>2.6000000000000467E-3</v>
      </c>
      <c r="O113">
        <f>O101</f>
        <v>0.99739999999999995</v>
      </c>
      <c r="P113">
        <f>P101</f>
        <v>0.74</v>
      </c>
      <c r="Q113">
        <f t="shared" si="63"/>
        <v>4.7000000000000002E-3</v>
      </c>
      <c r="R113">
        <f t="shared" si="64"/>
        <v>0</v>
      </c>
      <c r="S113">
        <v>0</v>
      </c>
      <c r="T113">
        <f t="shared" si="78"/>
        <v>0</v>
      </c>
      <c r="U113">
        <f t="shared" si="65"/>
        <v>1.3</v>
      </c>
      <c r="V113">
        <f t="shared" si="66"/>
        <v>1</v>
      </c>
      <c r="W113">
        <f t="shared" si="67"/>
        <v>0.55510000000000004</v>
      </c>
      <c r="X113">
        <v>4</v>
      </c>
      <c r="Y113">
        <f t="shared" si="79"/>
        <v>0.99999999999998734</v>
      </c>
      <c r="Z113">
        <f t="shared" si="68"/>
        <v>1.2118587484135388</v>
      </c>
      <c r="AA113">
        <f t="shared" si="80"/>
        <v>1.2118587484135235</v>
      </c>
      <c r="AB113">
        <f t="shared" si="69"/>
        <v>0.19389739974616377</v>
      </c>
      <c r="AC113">
        <f t="shared" si="70"/>
        <v>0.08</v>
      </c>
      <c r="AD113">
        <f t="shared" si="71"/>
        <v>0.38851755440284774</v>
      </c>
      <c r="AE113">
        <f t="shared" si="72"/>
        <v>0.19</v>
      </c>
      <c r="AF113">
        <f t="shared" si="73"/>
        <v>0.6784</v>
      </c>
      <c r="AG113">
        <f t="shared" si="74"/>
        <v>9.6350762124005137E-5</v>
      </c>
      <c r="AH113">
        <f t="shared" si="75"/>
        <v>2.3475632831063448E-4</v>
      </c>
      <c r="AI113">
        <f t="shared" si="81"/>
        <v>3.3110709043463962E-4</v>
      </c>
      <c r="AJ113">
        <f t="shared" si="76"/>
        <v>6.0427044004321733</v>
      </c>
      <c r="BF113" s="4"/>
    </row>
    <row r="114" spans="5:64" x14ac:dyDescent="0.2">
      <c r="E114" s="12"/>
      <c r="F114" t="s">
        <v>164</v>
      </c>
      <c r="G114">
        <v>210</v>
      </c>
      <c r="H114">
        <v>0</v>
      </c>
      <c r="I114">
        <v>0</v>
      </c>
      <c r="J114">
        <f t="shared" si="62"/>
        <v>91.25</v>
      </c>
      <c r="K114">
        <v>7.0000000000000007E-2</v>
      </c>
      <c r="L114">
        <v>0.55000000000000004</v>
      </c>
      <c r="M114">
        <v>55</v>
      </c>
      <c r="N114">
        <f t="shared" si="77"/>
        <v>2.6000000000000467E-3</v>
      </c>
      <c r="O114">
        <f>O101</f>
        <v>0.99739999999999995</v>
      </c>
      <c r="P114">
        <f>P101</f>
        <v>0.74</v>
      </c>
      <c r="Q114">
        <f t="shared" si="63"/>
        <v>4.7000000000000002E-3</v>
      </c>
      <c r="R114">
        <f t="shared" si="64"/>
        <v>0</v>
      </c>
      <c r="S114">
        <v>0</v>
      </c>
      <c r="T114">
        <f t="shared" si="78"/>
        <v>0</v>
      </c>
      <c r="U114">
        <f t="shared" si="65"/>
        <v>1.3</v>
      </c>
      <c r="V114">
        <f t="shared" si="66"/>
        <v>1</v>
      </c>
      <c r="W114">
        <f t="shared" si="67"/>
        <v>0.43585000000000007</v>
      </c>
      <c r="X114">
        <v>2.5</v>
      </c>
      <c r="Y114">
        <f t="shared" si="79"/>
        <v>0.99999627334682795</v>
      </c>
      <c r="Z114">
        <f t="shared" si="68"/>
        <v>0.95969823125361531</v>
      </c>
      <c r="AA114">
        <f t="shared" si="80"/>
        <v>0.95969465479115756</v>
      </c>
      <c r="AB114">
        <f t="shared" si="69"/>
        <v>6.7178625835381034E-2</v>
      </c>
      <c r="AC114">
        <f t="shared" si="70"/>
        <v>0.08</v>
      </c>
      <c r="AD114">
        <f t="shared" si="71"/>
        <v>0.43120689604353685</v>
      </c>
      <c r="AE114">
        <f t="shared" si="72"/>
        <v>0.19</v>
      </c>
      <c r="AF114">
        <f t="shared" si="73"/>
        <v>0.6784</v>
      </c>
      <c r="AG114">
        <f t="shared" si="74"/>
        <v>1.0693754399535288E-4</v>
      </c>
      <c r="AH114">
        <f t="shared" si="75"/>
        <v>2.6055076922584526E-4</v>
      </c>
      <c r="AI114">
        <f t="shared" si="81"/>
        <v>3.6748831322119813E-4</v>
      </c>
      <c r="AJ114">
        <f t="shared" si="76"/>
        <v>7.0419948021012093</v>
      </c>
      <c r="BF114" s="2"/>
    </row>
    <row r="115" spans="5:64" x14ac:dyDescent="0.2">
      <c r="E115" s="11"/>
      <c r="F115" t="s">
        <v>165</v>
      </c>
      <c r="G115">
        <v>190</v>
      </c>
      <c r="H115">
        <v>0</v>
      </c>
      <c r="I115">
        <v>0</v>
      </c>
      <c r="J115">
        <f t="shared" si="62"/>
        <v>91.25</v>
      </c>
      <c r="K115">
        <v>0.09</v>
      </c>
      <c r="L115">
        <v>0.55000000000000004</v>
      </c>
      <c r="M115">
        <v>55</v>
      </c>
      <c r="N115">
        <f t="shared" si="77"/>
        <v>2.6000000000000467E-3</v>
      </c>
      <c r="O115">
        <f>O101</f>
        <v>0.99739999999999995</v>
      </c>
      <c r="P115">
        <f>P101</f>
        <v>0.74</v>
      </c>
      <c r="Q115">
        <f t="shared" si="63"/>
        <v>4.7000000000000002E-3</v>
      </c>
      <c r="R115">
        <f t="shared" si="64"/>
        <v>0</v>
      </c>
      <c r="S115">
        <v>0</v>
      </c>
      <c r="T115">
        <f t="shared" si="78"/>
        <v>0</v>
      </c>
      <c r="U115">
        <f t="shared" si="65"/>
        <v>1.3</v>
      </c>
      <c r="V115">
        <f t="shared" si="66"/>
        <v>1</v>
      </c>
      <c r="W115">
        <f t="shared" si="67"/>
        <v>0.43585000000000007</v>
      </c>
      <c r="X115">
        <v>0.7</v>
      </c>
      <c r="Y115">
        <f t="shared" si="79"/>
        <v>0.62468890114860043</v>
      </c>
      <c r="Z115">
        <f t="shared" si="68"/>
        <v>0.95969823125361531</v>
      </c>
      <c r="AA115">
        <f t="shared" si="80"/>
        <v>0.59951283351607632</v>
      </c>
      <c r="AB115">
        <f t="shared" si="69"/>
        <v>5.3956155016446863E-2</v>
      </c>
      <c r="AC115">
        <f t="shared" si="70"/>
        <v>0.08</v>
      </c>
      <c r="AD115">
        <f t="shared" si="71"/>
        <v>0.26142480853751304</v>
      </c>
      <c r="AE115">
        <f t="shared" si="72"/>
        <v>0.19</v>
      </c>
      <c r="AF115">
        <f t="shared" si="73"/>
        <v>0.6784</v>
      </c>
      <c r="AG115">
        <f t="shared" si="74"/>
        <v>6.4832281721288623E-5</v>
      </c>
      <c r="AH115">
        <f t="shared" si="75"/>
        <v>1.5796230436975934E-4</v>
      </c>
      <c r="AI115">
        <f t="shared" si="81"/>
        <v>2.2279458609104796E-4</v>
      </c>
      <c r="AJ115">
        <f t="shared" si="76"/>
        <v>3.8627011363535444</v>
      </c>
      <c r="BF115" s="4"/>
    </row>
    <row r="116" spans="5:64" x14ac:dyDescent="0.2">
      <c r="E116" s="12"/>
      <c r="F116" t="s">
        <v>166</v>
      </c>
      <c r="G116">
        <v>180</v>
      </c>
      <c r="H116">
        <v>0</v>
      </c>
      <c r="I116">
        <v>0</v>
      </c>
      <c r="J116">
        <f t="shared" si="62"/>
        <v>91.25</v>
      </c>
      <c r="K116">
        <v>0.2</v>
      </c>
      <c r="L116">
        <v>0.75</v>
      </c>
      <c r="M116">
        <v>55</v>
      </c>
      <c r="N116">
        <f t="shared" si="77"/>
        <v>2.6000000000000467E-3</v>
      </c>
      <c r="O116">
        <f>O101</f>
        <v>0.99739999999999995</v>
      </c>
      <c r="P116">
        <f>P101</f>
        <v>0.74</v>
      </c>
      <c r="Q116">
        <f t="shared" si="63"/>
        <v>4.7000000000000002E-3</v>
      </c>
      <c r="R116">
        <f t="shared" si="64"/>
        <v>0</v>
      </c>
      <c r="S116">
        <v>0</v>
      </c>
      <c r="T116">
        <f t="shared" si="78"/>
        <v>0</v>
      </c>
      <c r="U116">
        <f t="shared" si="65"/>
        <v>1.3</v>
      </c>
      <c r="V116">
        <f t="shared" si="66"/>
        <v>1</v>
      </c>
      <c r="W116">
        <f t="shared" si="67"/>
        <v>0.5948500000000001</v>
      </c>
      <c r="X116">
        <v>0.9</v>
      </c>
      <c r="Y116">
        <f t="shared" si="79"/>
        <v>0.80210130091638532</v>
      </c>
      <c r="Z116">
        <f t="shared" si="68"/>
        <v>1.2959122541335131</v>
      </c>
      <c r="AA116">
        <f t="shared" si="80"/>
        <v>1.0394529049139762</v>
      </c>
      <c r="AB116">
        <f t="shared" si="69"/>
        <v>0.20789058098279525</v>
      </c>
      <c r="AC116">
        <f t="shared" si="70"/>
        <v>0.08</v>
      </c>
      <c r="AD116">
        <f t="shared" si="71"/>
        <v>0.27883518229866955</v>
      </c>
      <c r="AE116">
        <f t="shared" si="72"/>
        <v>0.19</v>
      </c>
      <c r="AF116">
        <f t="shared" si="73"/>
        <v>0.6784</v>
      </c>
      <c r="AG116">
        <f t="shared" si="74"/>
        <v>6.9149983101164588E-5</v>
      </c>
      <c r="AH116">
        <f t="shared" si="75"/>
        <v>1.6848228055196026E-4</v>
      </c>
      <c r="AI116">
        <f t="shared" si="81"/>
        <v>2.3763226365312485E-4</v>
      </c>
      <c r="AJ116">
        <f t="shared" si="76"/>
        <v>3.9031099305025756</v>
      </c>
      <c r="BF116" s="2"/>
    </row>
    <row r="117" spans="5:64" x14ac:dyDescent="0.2">
      <c r="E117" s="11" t="s">
        <v>162</v>
      </c>
      <c r="F117" t="s">
        <v>163</v>
      </c>
      <c r="G117">
        <v>50</v>
      </c>
      <c r="H117">
        <v>0</v>
      </c>
      <c r="I117">
        <v>0</v>
      </c>
      <c r="J117">
        <f t="shared" si="62"/>
        <v>91.25</v>
      </c>
      <c r="K117">
        <v>0.16</v>
      </c>
      <c r="L117">
        <v>0.7</v>
      </c>
      <c r="M117">
        <v>80</v>
      </c>
      <c r="N117">
        <f t="shared" si="77"/>
        <v>2.6000000000000467E-3</v>
      </c>
      <c r="O117">
        <f>O101</f>
        <v>0.99739999999999995</v>
      </c>
      <c r="P117">
        <f>P101</f>
        <v>0.74</v>
      </c>
      <c r="Q117">
        <f t="shared" si="63"/>
        <v>4.7000000000000002E-3</v>
      </c>
      <c r="R117">
        <f t="shared" si="64"/>
        <v>0</v>
      </c>
      <c r="S117">
        <v>0</v>
      </c>
      <c r="T117">
        <f t="shared" si="78"/>
        <v>0</v>
      </c>
      <c r="U117">
        <f t="shared" si="65"/>
        <v>1.3</v>
      </c>
      <c r="V117">
        <f t="shared" si="66"/>
        <v>1</v>
      </c>
      <c r="W117">
        <f t="shared" si="67"/>
        <v>0.55510000000000004</v>
      </c>
      <c r="X117">
        <v>4</v>
      </c>
      <c r="Y117">
        <f t="shared" si="79"/>
        <v>0.99999999999998734</v>
      </c>
      <c r="Z117">
        <f t="shared" si="68"/>
        <v>1.8103862015316043</v>
      </c>
      <c r="AA117">
        <f t="shared" si="80"/>
        <v>1.8103862015315815</v>
      </c>
      <c r="AB117">
        <f t="shared" si="69"/>
        <v>0.28966179224505306</v>
      </c>
      <c r="AC117">
        <f t="shared" si="70"/>
        <v>0.08</v>
      </c>
      <c r="AD117">
        <f t="shared" si="71"/>
        <v>0.62027852533472749</v>
      </c>
      <c r="AE117">
        <f t="shared" si="72"/>
        <v>0.19</v>
      </c>
      <c r="AF117">
        <f t="shared" si="73"/>
        <v>0.6784</v>
      </c>
      <c r="AG117">
        <f t="shared" si="74"/>
        <v>1.5382653362217542E-4</v>
      </c>
      <c r="AH117">
        <f t="shared" si="75"/>
        <v>3.7479467140506676E-4</v>
      </c>
      <c r="AI117">
        <f t="shared" si="81"/>
        <v>5.2862120502724221E-4</v>
      </c>
      <c r="AJ117">
        <f t="shared" si="76"/>
        <v>2.4118342479367927</v>
      </c>
      <c r="BF117" s="4"/>
    </row>
    <row r="118" spans="5:64" x14ac:dyDescent="0.2">
      <c r="E118" s="12"/>
      <c r="F118" t="s">
        <v>164</v>
      </c>
      <c r="G118">
        <v>55</v>
      </c>
      <c r="H118">
        <v>0</v>
      </c>
      <c r="I118">
        <v>0</v>
      </c>
      <c r="J118">
        <f t="shared" si="62"/>
        <v>91.25</v>
      </c>
      <c r="K118">
        <v>7.0000000000000007E-2</v>
      </c>
      <c r="L118">
        <v>0.55000000000000004</v>
      </c>
      <c r="M118">
        <v>70</v>
      </c>
      <c r="N118">
        <f t="shared" si="77"/>
        <v>2.6000000000000467E-3</v>
      </c>
      <c r="O118">
        <f>O101</f>
        <v>0.99739999999999995</v>
      </c>
      <c r="P118">
        <f>P101</f>
        <v>0.74</v>
      </c>
      <c r="Q118">
        <f t="shared" si="63"/>
        <v>4.7000000000000002E-3</v>
      </c>
      <c r="R118">
        <f t="shared" si="64"/>
        <v>0</v>
      </c>
      <c r="S118">
        <v>0</v>
      </c>
      <c r="T118">
        <f t="shared" si="78"/>
        <v>0</v>
      </c>
      <c r="U118">
        <f t="shared" si="65"/>
        <v>1.3</v>
      </c>
      <c r="V118">
        <f t="shared" si="66"/>
        <v>1</v>
      </c>
      <c r="W118">
        <f t="shared" si="67"/>
        <v>0.43585000000000007</v>
      </c>
      <c r="X118">
        <v>2.5</v>
      </c>
      <c r="Y118">
        <f t="shared" si="79"/>
        <v>0.99999627334682795</v>
      </c>
      <c r="Z118">
        <f t="shared" si="68"/>
        <v>1.2614122912776211</v>
      </c>
      <c r="AA118">
        <f t="shared" si="80"/>
        <v>1.2614075904315045</v>
      </c>
      <c r="AB118">
        <f t="shared" si="69"/>
        <v>8.8298531330205321E-2</v>
      </c>
      <c r="AC118">
        <f t="shared" si="70"/>
        <v>0.08</v>
      </c>
      <c r="AD118">
        <f t="shared" si="71"/>
        <v>0.58077702965713707</v>
      </c>
      <c r="AE118">
        <f t="shared" si="72"/>
        <v>0.19</v>
      </c>
      <c r="AF118">
        <f t="shared" si="73"/>
        <v>0.6784</v>
      </c>
      <c r="AG118">
        <f t="shared" si="74"/>
        <v>1.4403032449225909E-4</v>
      </c>
      <c r="AH118">
        <f t="shared" si="75"/>
        <v>3.5092644207292627E-4</v>
      </c>
      <c r="AI118">
        <f t="shared" si="81"/>
        <v>4.9495676656518542E-4</v>
      </c>
      <c r="AJ118">
        <f t="shared" si="76"/>
        <v>2.4840642721990243</v>
      </c>
      <c r="BF118" s="2"/>
    </row>
    <row r="119" spans="5:64" x14ac:dyDescent="0.2">
      <c r="E119" s="11"/>
      <c r="F119" t="s">
        <v>165</v>
      </c>
      <c r="G119">
        <v>60</v>
      </c>
      <c r="H119">
        <v>0</v>
      </c>
      <c r="I119">
        <v>0</v>
      </c>
      <c r="J119">
        <f t="shared" si="62"/>
        <v>91.25</v>
      </c>
      <c r="K119">
        <v>0.09</v>
      </c>
      <c r="L119">
        <v>0.55000000000000004</v>
      </c>
      <c r="M119">
        <v>70</v>
      </c>
      <c r="N119">
        <f t="shared" si="77"/>
        <v>2.6000000000000467E-3</v>
      </c>
      <c r="O119">
        <f>O101</f>
        <v>0.99739999999999995</v>
      </c>
      <c r="P119">
        <f>P101</f>
        <v>0.74</v>
      </c>
      <c r="Q119">
        <f t="shared" si="63"/>
        <v>4.7000000000000002E-3</v>
      </c>
      <c r="R119">
        <f t="shared" si="64"/>
        <v>0</v>
      </c>
      <c r="S119">
        <v>0</v>
      </c>
      <c r="T119">
        <f t="shared" si="78"/>
        <v>0</v>
      </c>
      <c r="U119">
        <f t="shared" si="65"/>
        <v>1.3</v>
      </c>
      <c r="V119">
        <f t="shared" si="66"/>
        <v>1</v>
      </c>
      <c r="W119">
        <f t="shared" si="67"/>
        <v>0.43585000000000007</v>
      </c>
      <c r="X119">
        <v>0.7</v>
      </c>
      <c r="Y119">
        <f t="shared" si="79"/>
        <v>0.62468890114860043</v>
      </c>
      <c r="Z119">
        <f t="shared" si="68"/>
        <v>1.2614122912776211</v>
      </c>
      <c r="AA119">
        <f t="shared" si="80"/>
        <v>0.78799025813355539</v>
      </c>
      <c r="AB119">
        <f t="shared" si="69"/>
        <v>7.0919123232019987E-2</v>
      </c>
      <c r="AC119">
        <f t="shared" si="70"/>
        <v>0.08</v>
      </c>
      <c r="AD119">
        <f t="shared" si="71"/>
        <v>0.34907814107370461</v>
      </c>
      <c r="AE119">
        <f t="shared" si="72"/>
        <v>0.19</v>
      </c>
      <c r="AF119">
        <f t="shared" si="73"/>
        <v>0.6784</v>
      </c>
      <c r="AG119">
        <f t="shared" si="74"/>
        <v>8.656994916221446E-5</v>
      </c>
      <c r="AH119">
        <f t="shared" si="75"/>
        <v>2.1092561137403245E-4</v>
      </c>
      <c r="AI119">
        <f t="shared" si="81"/>
        <v>2.9749556053624692E-4</v>
      </c>
      <c r="AJ119">
        <f t="shared" si="76"/>
        <v>1.6287881939359519</v>
      </c>
      <c r="BF119" s="4"/>
    </row>
    <row r="120" spans="5:64" x14ac:dyDescent="0.2">
      <c r="E120" s="12"/>
      <c r="F120" t="s">
        <v>166</v>
      </c>
      <c r="G120">
        <v>65</v>
      </c>
      <c r="H120">
        <v>0</v>
      </c>
      <c r="I120">
        <v>0</v>
      </c>
      <c r="J120">
        <f t="shared" si="62"/>
        <v>91.25</v>
      </c>
      <c r="K120">
        <v>0.2</v>
      </c>
      <c r="L120">
        <v>0.75</v>
      </c>
      <c r="M120">
        <v>70</v>
      </c>
      <c r="N120">
        <f t="shared" si="77"/>
        <v>2.6000000000000467E-3</v>
      </c>
      <c r="O120">
        <f>O101</f>
        <v>0.99739999999999995</v>
      </c>
      <c r="P120">
        <f>P101</f>
        <v>0.74</v>
      </c>
      <c r="Q120">
        <f t="shared" si="63"/>
        <v>4.7000000000000002E-3</v>
      </c>
      <c r="R120">
        <f t="shared" si="64"/>
        <v>0</v>
      </c>
      <c r="S120">
        <v>0</v>
      </c>
      <c r="T120">
        <f t="shared" si="78"/>
        <v>0</v>
      </c>
      <c r="U120">
        <f t="shared" si="65"/>
        <v>1.3</v>
      </c>
      <c r="V120">
        <f t="shared" si="66"/>
        <v>1</v>
      </c>
      <c r="W120">
        <f t="shared" si="67"/>
        <v>0.5948500000000001</v>
      </c>
      <c r="X120">
        <v>0.9</v>
      </c>
      <c r="Y120">
        <f t="shared" si="79"/>
        <v>0.80210130091638532</v>
      </c>
      <c r="Z120">
        <f t="shared" si="68"/>
        <v>1.6642845245495062</v>
      </c>
      <c r="AA120">
        <f t="shared" si="80"/>
        <v>1.3349247822361667</v>
      </c>
      <c r="AB120">
        <f t="shared" si="69"/>
        <v>0.26698495644723336</v>
      </c>
      <c r="AC120">
        <f t="shared" si="70"/>
        <v>0.08</v>
      </c>
      <c r="AD120">
        <f t="shared" si="71"/>
        <v>0.37261118952591898</v>
      </c>
      <c r="AE120">
        <f t="shared" si="72"/>
        <v>0.19</v>
      </c>
      <c r="AF120">
        <f t="shared" si="73"/>
        <v>0.6784</v>
      </c>
      <c r="AG120">
        <f t="shared" si="74"/>
        <v>9.2406048786997279E-5</v>
      </c>
      <c r="AH120">
        <f t="shared" si="75"/>
        <v>2.2514512857728809E-4</v>
      </c>
      <c r="AI120">
        <f t="shared" si="81"/>
        <v>3.1755117736428538E-4</v>
      </c>
      <c r="AJ120">
        <f t="shared" si="76"/>
        <v>1.8834754207419178</v>
      </c>
      <c r="BF120" s="7"/>
    </row>
    <row r="121" spans="5:64" x14ac:dyDescent="0.2">
      <c r="E121" s="11" t="s">
        <v>167</v>
      </c>
      <c r="F121" t="s">
        <v>163</v>
      </c>
      <c r="G121">
        <v>50</v>
      </c>
      <c r="H121">
        <v>0</v>
      </c>
      <c r="I121">
        <v>0</v>
      </c>
      <c r="J121">
        <f t="shared" si="62"/>
        <v>91.25</v>
      </c>
      <c r="K121">
        <v>0.16</v>
      </c>
      <c r="L121">
        <v>0.7</v>
      </c>
      <c r="M121">
        <v>70</v>
      </c>
      <c r="N121">
        <f t="shared" si="77"/>
        <v>2.6000000000000467E-3</v>
      </c>
      <c r="O121">
        <f>O101</f>
        <v>0.99739999999999995</v>
      </c>
      <c r="P121">
        <f>P101</f>
        <v>0.74</v>
      </c>
      <c r="Q121">
        <f t="shared" si="63"/>
        <v>4.7000000000000002E-3</v>
      </c>
      <c r="R121">
        <f t="shared" si="64"/>
        <v>0</v>
      </c>
      <c r="S121">
        <v>0</v>
      </c>
      <c r="T121">
        <f t="shared" si="78"/>
        <v>0</v>
      </c>
      <c r="U121">
        <f t="shared" si="65"/>
        <v>1.3</v>
      </c>
      <c r="V121">
        <f t="shared" si="66"/>
        <v>1</v>
      </c>
      <c r="W121">
        <f t="shared" si="67"/>
        <v>0.55510000000000004</v>
      </c>
      <c r="X121">
        <v>4</v>
      </c>
      <c r="Y121">
        <f t="shared" si="79"/>
        <v>0.99999999999998734</v>
      </c>
      <c r="Z121">
        <f t="shared" si="68"/>
        <v>1.5635664662315347</v>
      </c>
      <c r="AA121">
        <f t="shared" si="80"/>
        <v>1.563566466231515</v>
      </c>
      <c r="AB121">
        <f t="shared" si="69"/>
        <v>0.25017063459704242</v>
      </c>
      <c r="AC121">
        <f t="shared" si="70"/>
        <v>0.08</v>
      </c>
      <c r="AD121">
        <f t="shared" si="71"/>
        <v>0.52151078015101071</v>
      </c>
      <c r="AE121">
        <f t="shared" si="72"/>
        <v>0.19</v>
      </c>
      <c r="AF121">
        <f t="shared" si="73"/>
        <v>0.6784</v>
      </c>
      <c r="AG121">
        <f t="shared" si="74"/>
        <v>1.2933253736929746E-4</v>
      </c>
      <c r="AH121">
        <f t="shared" si="75"/>
        <v>3.151156351502258E-4</v>
      </c>
      <c r="AI121">
        <f t="shared" si="81"/>
        <v>4.4444817251952326E-4</v>
      </c>
      <c r="AJ121">
        <f t="shared" si="76"/>
        <v>2.027794787120325</v>
      </c>
    </row>
    <row r="122" spans="5:64" x14ac:dyDescent="0.2">
      <c r="E122" s="12"/>
      <c r="F122" t="s">
        <v>164</v>
      </c>
      <c r="G122">
        <v>100</v>
      </c>
      <c r="H122">
        <v>0</v>
      </c>
      <c r="I122">
        <v>0</v>
      </c>
      <c r="J122">
        <f t="shared" si="62"/>
        <v>91.25</v>
      </c>
      <c r="K122">
        <v>7.0000000000000007E-2</v>
      </c>
      <c r="L122">
        <v>0.55000000000000004</v>
      </c>
      <c r="M122">
        <v>65</v>
      </c>
      <c r="N122">
        <f t="shared" si="77"/>
        <v>2.6000000000000467E-3</v>
      </c>
      <c r="O122">
        <f>O101</f>
        <v>0.99739999999999995</v>
      </c>
      <c r="P122">
        <f>P101</f>
        <v>0.74</v>
      </c>
      <c r="Q122">
        <f t="shared" si="63"/>
        <v>4.7000000000000002E-3</v>
      </c>
      <c r="R122">
        <f t="shared" si="64"/>
        <v>0</v>
      </c>
      <c r="S122">
        <v>0</v>
      </c>
      <c r="T122">
        <f t="shared" si="78"/>
        <v>0</v>
      </c>
      <c r="U122">
        <f t="shared" si="65"/>
        <v>1.3</v>
      </c>
      <c r="V122">
        <f t="shared" si="66"/>
        <v>1</v>
      </c>
      <c r="W122">
        <f t="shared" si="67"/>
        <v>0.43585000000000007</v>
      </c>
      <c r="X122">
        <v>2.5</v>
      </c>
      <c r="Y122">
        <f t="shared" si="79"/>
        <v>0.99999627334682795</v>
      </c>
      <c r="Z122">
        <f t="shared" si="68"/>
        <v>1.1580752413958724</v>
      </c>
      <c r="AA122">
        <f t="shared" si="80"/>
        <v>1.1580709256511006</v>
      </c>
      <c r="AB122">
        <f t="shared" si="69"/>
        <v>8.1064964795577052E-2</v>
      </c>
      <c r="AC122">
        <f t="shared" si="70"/>
        <v>0.08</v>
      </c>
      <c r="AD122">
        <f t="shared" si="71"/>
        <v>0.52879488351280868</v>
      </c>
      <c r="AE122">
        <f t="shared" si="72"/>
        <v>0.19</v>
      </c>
      <c r="AF122">
        <f t="shared" si="73"/>
        <v>0.6784</v>
      </c>
      <c r="AG122">
        <f t="shared" si="74"/>
        <v>1.3113896516733602E-4</v>
      </c>
      <c r="AH122">
        <f t="shared" si="75"/>
        <v>3.1951695329112447E-4</v>
      </c>
      <c r="AI122">
        <f t="shared" si="81"/>
        <v>4.5065591845846049E-4</v>
      </c>
      <c r="AJ122">
        <f t="shared" si="76"/>
        <v>4.1122352559334523</v>
      </c>
    </row>
    <row r="123" spans="5:64" x14ac:dyDescent="0.2">
      <c r="E123" s="11"/>
      <c r="F123" t="s">
        <v>165</v>
      </c>
      <c r="G123">
        <v>90</v>
      </c>
      <c r="H123">
        <v>0</v>
      </c>
      <c r="I123">
        <v>0</v>
      </c>
      <c r="J123">
        <f t="shared" si="62"/>
        <v>91.25</v>
      </c>
      <c r="K123">
        <v>0.09</v>
      </c>
      <c r="L123">
        <v>0.55000000000000004</v>
      </c>
      <c r="M123">
        <v>60</v>
      </c>
      <c r="N123">
        <f t="shared" si="77"/>
        <v>2.6000000000000467E-3</v>
      </c>
      <c r="O123">
        <f>O101</f>
        <v>0.99739999999999995</v>
      </c>
      <c r="P123">
        <f>P101</f>
        <v>0.74</v>
      </c>
      <c r="Q123">
        <f t="shared" si="63"/>
        <v>4.7000000000000002E-3</v>
      </c>
      <c r="R123">
        <f t="shared" si="64"/>
        <v>0</v>
      </c>
      <c r="S123">
        <v>0</v>
      </c>
      <c r="T123">
        <f t="shared" si="78"/>
        <v>0</v>
      </c>
      <c r="U123">
        <f t="shared" si="65"/>
        <v>1.3</v>
      </c>
      <c r="V123">
        <f t="shared" si="66"/>
        <v>1</v>
      </c>
      <c r="W123">
        <f t="shared" si="67"/>
        <v>0.43585000000000007</v>
      </c>
      <c r="X123">
        <v>0.7</v>
      </c>
      <c r="Y123">
        <f t="shared" si="79"/>
        <v>0.62468890114860043</v>
      </c>
      <c r="Z123">
        <f t="shared" si="68"/>
        <v>1.0575073475796353</v>
      </c>
      <c r="AA123">
        <f t="shared" si="80"/>
        <v>0.66061310291609343</v>
      </c>
      <c r="AB123">
        <f t="shared" si="69"/>
        <v>5.9455179262448407E-2</v>
      </c>
      <c r="AC123">
        <f t="shared" si="70"/>
        <v>0.08</v>
      </c>
      <c r="AD123">
        <f t="shared" si="71"/>
        <v>0.28955370052745766</v>
      </c>
      <c r="AE123">
        <f t="shared" si="72"/>
        <v>0.19</v>
      </c>
      <c r="AF123">
        <f t="shared" si="73"/>
        <v>0.6784</v>
      </c>
      <c r="AG123">
        <f t="shared" si="74"/>
        <v>7.1808131718853423E-5</v>
      </c>
      <c r="AH123">
        <f t="shared" si="75"/>
        <v>1.7495879610654924E-4</v>
      </c>
      <c r="AI123">
        <f t="shared" si="81"/>
        <v>2.4676692782540265E-4</v>
      </c>
      <c r="AJ123">
        <f t="shared" si="76"/>
        <v>2.0265733947661193</v>
      </c>
    </row>
    <row r="124" spans="5:64" x14ac:dyDescent="0.2">
      <c r="E124" s="12"/>
      <c r="F124" t="s">
        <v>166</v>
      </c>
      <c r="G124">
        <v>80</v>
      </c>
      <c r="H124">
        <v>0</v>
      </c>
      <c r="I124">
        <v>0</v>
      </c>
      <c r="J124">
        <f t="shared" si="62"/>
        <v>91.25</v>
      </c>
      <c r="K124">
        <v>0.2</v>
      </c>
      <c r="L124">
        <v>0.75</v>
      </c>
      <c r="M124">
        <v>60</v>
      </c>
      <c r="N124">
        <f t="shared" si="77"/>
        <v>2.6000000000000467E-3</v>
      </c>
      <c r="O124">
        <f>O101</f>
        <v>0.99739999999999995</v>
      </c>
      <c r="P124">
        <f>P101</f>
        <v>0.74</v>
      </c>
      <c r="Q124">
        <f t="shared" si="63"/>
        <v>4.7000000000000002E-3</v>
      </c>
      <c r="R124">
        <f t="shared" si="64"/>
        <v>0</v>
      </c>
      <c r="S124">
        <v>0</v>
      </c>
      <c r="T124">
        <f t="shared" si="78"/>
        <v>0</v>
      </c>
      <c r="U124">
        <f t="shared" si="65"/>
        <v>1.3</v>
      </c>
      <c r="V124">
        <f t="shared" si="66"/>
        <v>1</v>
      </c>
      <c r="W124">
        <f t="shared" si="67"/>
        <v>0.5948500000000001</v>
      </c>
      <c r="X124">
        <v>0.9</v>
      </c>
      <c r="Y124">
        <f t="shared" si="79"/>
        <v>0.80210130091638532</v>
      </c>
      <c r="Z124">
        <f t="shared" si="68"/>
        <v>1.4163939481646182</v>
      </c>
      <c r="AA124">
        <f t="shared" si="80"/>
        <v>1.1360914284329355</v>
      </c>
      <c r="AB124">
        <f t="shared" si="69"/>
        <v>0.22721828568658711</v>
      </c>
      <c r="AC124">
        <f t="shared" si="70"/>
        <v>0.08</v>
      </c>
      <c r="AD124">
        <f t="shared" si="71"/>
        <v>0.30879892594189856</v>
      </c>
      <c r="AE124">
        <f t="shared" si="72"/>
        <v>0.19</v>
      </c>
      <c r="AF124">
        <f t="shared" si="73"/>
        <v>0.6784</v>
      </c>
      <c r="AG124">
        <f t="shared" si="74"/>
        <v>7.6580868793191565E-5</v>
      </c>
      <c r="AH124">
        <f t="shared" si="75"/>
        <v>1.865874558790754E-4</v>
      </c>
      <c r="AI124">
        <f t="shared" si="81"/>
        <v>2.6316832467226698E-4</v>
      </c>
      <c r="AJ124">
        <f t="shared" si="76"/>
        <v>1.921128770107549</v>
      </c>
    </row>
    <row r="127" spans="5:64" x14ac:dyDescent="0.2">
      <c r="BI127" s="13"/>
      <c r="BJ127" s="13"/>
      <c r="BK127" s="13"/>
      <c r="BL127" s="13"/>
    </row>
    <row r="128" spans="5:64" x14ac:dyDescent="0.2">
      <c r="BF128" s="13"/>
      <c r="BG128" s="13"/>
      <c r="BH128" s="13"/>
      <c r="BI128" s="13"/>
      <c r="BJ128" s="13"/>
      <c r="BK128" s="13"/>
      <c r="BL128" s="13"/>
    </row>
    <row r="129" spans="1:65" ht="17" thickBot="1" x14ac:dyDescent="0.25">
      <c r="BF129" s="20"/>
      <c r="BH129" s="21"/>
      <c r="BI129" s="21"/>
      <c r="BJ129" s="21"/>
      <c r="BK129" s="5"/>
      <c r="BL129" s="5"/>
      <c r="BM129" s="5"/>
    </row>
    <row r="130" spans="1:65" ht="18" thickTop="1" thickBot="1" x14ac:dyDescent="0.25">
      <c r="BF130" s="22"/>
      <c r="BH130" s="23"/>
      <c r="BI130" s="23"/>
      <c r="BJ130" s="23"/>
      <c r="BK130" s="6"/>
      <c r="BL130" s="6"/>
      <c r="BM130" s="6"/>
    </row>
    <row r="131" spans="1:65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G131">
        <v>100</v>
      </c>
      <c r="H131">
        <v>95</v>
      </c>
      <c r="I131">
        <v>90</v>
      </c>
      <c r="J131">
        <f t="shared" ref="J131:J154" si="82">$AQ$3</f>
        <v>91.25</v>
      </c>
      <c r="K131" cm="1">
        <f t="array" ref="K131:K154">_xlfn.DROP(_xlfn.XLOOKUP($C131,QueryCP[[#Headers],[ACT/NSW]:[WA]],QueryCP[[#All],[ACT/NSW]:[WA]]),1)</f>
        <v>0.2</v>
      </c>
      <c r="L131" cm="1">
        <f t="array" ref="L131:L154">_xlfn.DROP(_xlfn.XLOOKUP($C131,QueryDMD[[#Headers],[ACT/NSW]:[WA]],QueryDMD[[#All],[ACT/NSW]:[WA]]),1)</f>
        <v>0.75</v>
      </c>
      <c r="M131" cm="1">
        <f t="array" ref="M131:M154">_xlfn.DROP(_xlfn.XLOOKUP($C131,QueryW[[#Headers],[ACT/NSW]:[WA]],QueryW[[#All],[ACT/NSW]:[WA]]),1)</f>
        <v>50</v>
      </c>
      <c r="N131">
        <f>1-O131</f>
        <v>0</v>
      </c>
      <c r="O131">
        <f>IF($D131="yes", 1, VLOOKUP($B131, $AP$26:$AR$32, 2)/100)</f>
        <v>1</v>
      </c>
      <c r="P131">
        <f>VLOOKUP($B131,$AR$10:$AS$16, 2, FALSE)</f>
        <v>0.69</v>
      </c>
      <c r="Q131">
        <f t="shared" ref="Q131:Q154" si="83">$AQ$10</f>
        <v>4.7000000000000002E-3</v>
      </c>
      <c r="R131">
        <f t="shared" ref="R131:R154" si="84">(H131/100)*(MIN(I131,100)/100)</f>
        <v>0.85499999999999998</v>
      </c>
      <c r="S131">
        <v>0</v>
      </c>
      <c r="T131">
        <f>1.6 * S131</f>
        <v>0</v>
      </c>
      <c r="U131">
        <f t="shared" ref="U131:U154" si="85">$AT$1</f>
        <v>1.3</v>
      </c>
      <c r="V131">
        <f t="shared" ref="V131:V154" si="86">R131*U131+(1-R131)</f>
        <v>1.2565</v>
      </c>
      <c r="W131">
        <f t="shared" ref="W131:W154" si="87">(0.795*L131)-0.0014</f>
        <v>0.5948500000000001</v>
      </c>
      <c r="X131" cm="1">
        <f t="array" ref="X131:X154">_xlfn.DROP(_xlfn.XLOOKUP($C131,QueryDMA[[#Headers],[ACT/NSW]:[WA]],QueryDMA[[#All],[ACT/NSW]:[WA]]),1)</f>
        <v>2.5</v>
      </c>
      <c r="Y131">
        <f>1 - EXP(-2*(X131^2))</f>
        <v>0.99999627334682795</v>
      </c>
      <c r="Z131">
        <f t="shared" ref="Z131:Z154" si="88">(104.7*W131+0.307*M131-15)*(M131^0.75)*10^-3</f>
        <v>1.1776478069972991</v>
      </c>
      <c r="AA131">
        <f>Z131*Y131*V131</f>
        <v>1.4797089551094849</v>
      </c>
      <c r="AB131">
        <f t="shared" ref="AB131:AB154" si="89">(AA131 * K131) + (0.045 * T131)</f>
        <v>0.29594179102189699</v>
      </c>
      <c r="AC131">
        <f t="shared" ref="AC131:AC154" si="90">$AQ$2</f>
        <v>0.08</v>
      </c>
      <c r="AD131">
        <f t="shared" ref="AD131:AD154" si="91">(AA131 * ((1 - L131) + (0.04 * AA131))) * ( 1 - AC131 )</f>
        <v>0.42090807985456985</v>
      </c>
      <c r="AE131">
        <f t="shared" ref="AE131:AE154" si="92">$AQ$1</f>
        <v>0.19</v>
      </c>
      <c r="AF131">
        <f t="shared" ref="AF131:AF154" si="93">$AR$20</f>
        <v>0.6784</v>
      </c>
      <c r="AG131">
        <f t="shared" ref="AG131:AG154" si="94">AD131 * AE131 * N131 * P131 * AF131</f>
        <v>0</v>
      </c>
      <c r="AH131">
        <f t="shared" ref="AH131:AH154" si="95">AD131*AE131*O131*Q131*AF131</f>
        <v>2.5499082894639278E-4</v>
      </c>
      <c r="AI131">
        <f>AG131+AH131</f>
        <v>2.5499082894639278E-4</v>
      </c>
      <c r="AJ131">
        <f t="shared" ref="AJ131:AJ154" si="96">G131*AI131*J131</f>
        <v>2.3267913141358343</v>
      </c>
      <c r="AK131">
        <f>SUM(AJ131:AJ154)*10^-3</f>
        <v>5.0334239802221521E-2</v>
      </c>
      <c r="BF131" s="22"/>
      <c r="BH131" s="23"/>
      <c r="BI131" s="23"/>
      <c r="BJ131" s="23"/>
      <c r="BK131" s="6"/>
      <c r="BL131" s="6"/>
      <c r="BM131" s="6"/>
    </row>
    <row r="132" spans="1:65" x14ac:dyDescent="0.2">
      <c r="E132" s="12"/>
      <c r="F132" t="s">
        <v>164</v>
      </c>
      <c r="G132">
        <v>70</v>
      </c>
      <c r="H132">
        <v>0</v>
      </c>
      <c r="I132">
        <v>0</v>
      </c>
      <c r="J132">
        <f t="shared" si="82"/>
        <v>91.25</v>
      </c>
      <c r="K132">
        <v>7.0000000000000007E-2</v>
      </c>
      <c r="L132">
        <v>0.55000000000000004</v>
      </c>
      <c r="M132">
        <v>50</v>
      </c>
      <c r="N132">
        <f t="shared" ref="N132:N154" si="97">1-O132</f>
        <v>0</v>
      </c>
      <c r="O132">
        <f>O131</f>
        <v>1</v>
      </c>
      <c r="P132">
        <f>P131</f>
        <v>0.69</v>
      </c>
      <c r="Q132">
        <f t="shared" si="83"/>
        <v>4.7000000000000002E-3</v>
      </c>
      <c r="R132">
        <f t="shared" si="84"/>
        <v>0</v>
      </c>
      <c r="S132">
        <v>0</v>
      </c>
      <c r="T132">
        <f t="shared" ref="T132:T154" si="98">1.6 * S132</f>
        <v>0</v>
      </c>
      <c r="U132">
        <f t="shared" si="85"/>
        <v>1.3</v>
      </c>
      <c r="V132">
        <f t="shared" si="86"/>
        <v>1</v>
      </c>
      <c r="W132">
        <f t="shared" si="87"/>
        <v>0.43585000000000007</v>
      </c>
      <c r="X132">
        <v>2.5</v>
      </c>
      <c r="Y132">
        <f t="shared" ref="Y132:Y154" si="99">1 - EXP(-2*(X132^2))</f>
        <v>0.99999627334682795</v>
      </c>
      <c r="Z132">
        <f t="shared" si="88"/>
        <v>0.8646283676396137</v>
      </c>
      <c r="AA132">
        <f t="shared" ref="AA132:AA154" si="100">Z132*Y132*V132</f>
        <v>0.86462514546956482</v>
      </c>
      <c r="AB132">
        <f t="shared" si="89"/>
        <v>6.0523760182869542E-2</v>
      </c>
      <c r="AC132">
        <f t="shared" si="90"/>
        <v>0.08</v>
      </c>
      <c r="AD132">
        <f t="shared" si="91"/>
        <v>0.38546563065656003</v>
      </c>
      <c r="AE132">
        <f t="shared" si="92"/>
        <v>0.19</v>
      </c>
      <c r="AF132">
        <f t="shared" si="93"/>
        <v>0.6784</v>
      </c>
      <c r="AG132">
        <f t="shared" si="94"/>
        <v>0</v>
      </c>
      <c r="AH132">
        <f t="shared" si="95"/>
        <v>2.3351939626680747E-4</v>
      </c>
      <c r="AI132">
        <f t="shared" ref="AI132:AI154" si="101">AG132+AH132</f>
        <v>2.3351939626680747E-4</v>
      </c>
      <c r="AJ132">
        <f t="shared" si="96"/>
        <v>1.4916051436542326</v>
      </c>
      <c r="BF132" s="24"/>
      <c r="BH132" s="25"/>
      <c r="BI132" s="25"/>
      <c r="BJ132" s="25"/>
      <c r="BK132" s="25"/>
      <c r="BL132" s="25"/>
      <c r="BM132" s="25"/>
    </row>
    <row r="133" spans="1:65" x14ac:dyDescent="0.2">
      <c r="E133" s="11"/>
      <c r="F133" t="s">
        <v>165</v>
      </c>
      <c r="G133">
        <v>65</v>
      </c>
      <c r="H133">
        <v>0</v>
      </c>
      <c r="I133">
        <v>0</v>
      </c>
      <c r="J133">
        <f t="shared" si="82"/>
        <v>91.25</v>
      </c>
      <c r="K133">
        <v>0.14000000000000001</v>
      </c>
      <c r="L133">
        <v>0.67</v>
      </c>
      <c r="M133">
        <v>50</v>
      </c>
      <c r="N133">
        <f t="shared" si="97"/>
        <v>0</v>
      </c>
      <c r="O133">
        <f>O131</f>
        <v>1</v>
      </c>
      <c r="P133">
        <f>P131</f>
        <v>0.69</v>
      </c>
      <c r="Q133">
        <f t="shared" si="83"/>
        <v>4.7000000000000002E-3</v>
      </c>
      <c r="R133">
        <f t="shared" si="84"/>
        <v>0</v>
      </c>
      <c r="S133">
        <v>0</v>
      </c>
      <c r="T133">
        <f t="shared" si="98"/>
        <v>0</v>
      </c>
      <c r="U133">
        <f t="shared" si="85"/>
        <v>1.3</v>
      </c>
      <c r="V133">
        <f t="shared" si="86"/>
        <v>1</v>
      </c>
      <c r="W133">
        <f t="shared" si="87"/>
        <v>0.53125000000000011</v>
      </c>
      <c r="X133">
        <v>1.3</v>
      </c>
      <c r="Y133">
        <f t="shared" si="99"/>
        <v>0.96595254526540064</v>
      </c>
      <c r="Z133">
        <f t="shared" si="88"/>
        <v>1.052440031254225</v>
      </c>
      <c r="AA133">
        <f t="shared" si="100"/>
        <v>1.0166071269292165</v>
      </c>
      <c r="AB133">
        <f t="shared" si="89"/>
        <v>0.14232499777009033</v>
      </c>
      <c r="AC133">
        <f t="shared" si="90"/>
        <v>0.08</v>
      </c>
      <c r="AD133">
        <f t="shared" si="91"/>
        <v>0.34667435759496673</v>
      </c>
      <c r="AE133">
        <f t="shared" si="92"/>
        <v>0.19</v>
      </c>
      <c r="AF133">
        <f t="shared" si="93"/>
        <v>0.6784</v>
      </c>
      <c r="AG133">
        <f t="shared" si="94"/>
        <v>0</v>
      </c>
      <c r="AH133">
        <f t="shared" si="95"/>
        <v>2.1001920858383592E-4</v>
      </c>
      <c r="AI133">
        <f t="shared" si="101"/>
        <v>2.1001920858383592E-4</v>
      </c>
      <c r="AJ133">
        <f t="shared" si="96"/>
        <v>1.2456764309128769</v>
      </c>
      <c r="BF133" s="24"/>
      <c r="BH133" s="25"/>
      <c r="BI133" s="25"/>
      <c r="BJ133" s="25"/>
      <c r="BK133" s="25"/>
      <c r="BL133" s="25"/>
      <c r="BM133" s="25"/>
    </row>
    <row r="134" spans="1:65" x14ac:dyDescent="0.2">
      <c r="E134" s="12"/>
      <c r="F134" t="s">
        <v>166</v>
      </c>
      <c r="G134">
        <v>80</v>
      </c>
      <c r="H134">
        <v>0</v>
      </c>
      <c r="I134">
        <v>0</v>
      </c>
      <c r="J134">
        <f t="shared" si="82"/>
        <v>91.25</v>
      </c>
      <c r="K134">
        <v>0.16</v>
      </c>
      <c r="L134">
        <v>0.7</v>
      </c>
      <c r="M134">
        <v>55</v>
      </c>
      <c r="N134">
        <f t="shared" si="97"/>
        <v>0</v>
      </c>
      <c r="O134">
        <f>O131</f>
        <v>1</v>
      </c>
      <c r="P134">
        <f>P131</f>
        <v>0.69</v>
      </c>
      <c r="Q134">
        <f t="shared" si="83"/>
        <v>4.7000000000000002E-3</v>
      </c>
      <c r="R134">
        <f t="shared" si="84"/>
        <v>0</v>
      </c>
      <c r="S134">
        <v>0</v>
      </c>
      <c r="T134">
        <f t="shared" si="98"/>
        <v>0</v>
      </c>
      <c r="U134">
        <f t="shared" si="85"/>
        <v>1.3</v>
      </c>
      <c r="V134">
        <f t="shared" si="86"/>
        <v>1</v>
      </c>
      <c r="W134">
        <f t="shared" si="87"/>
        <v>0.55510000000000004</v>
      </c>
      <c r="X134">
        <v>0.8</v>
      </c>
      <c r="Y134">
        <f t="shared" si="99"/>
        <v>0.72196269954680592</v>
      </c>
      <c r="Z134">
        <f t="shared" si="88"/>
        <v>1.2118587484135388</v>
      </c>
      <c r="AA134">
        <f t="shared" si="100"/>
        <v>0.87491681347405192</v>
      </c>
      <c r="AB134">
        <f t="shared" si="89"/>
        <v>0.1399866901558483</v>
      </c>
      <c r="AC134">
        <f t="shared" si="90"/>
        <v>0.08</v>
      </c>
      <c r="AD134">
        <f t="shared" si="91"/>
        <v>0.26964668356122329</v>
      </c>
      <c r="AE134">
        <f t="shared" si="92"/>
        <v>0.19</v>
      </c>
      <c r="AF134">
        <f t="shared" si="93"/>
        <v>0.6784</v>
      </c>
      <c r="AG134">
        <f t="shared" si="94"/>
        <v>0</v>
      </c>
      <c r="AH134">
        <f t="shared" si="95"/>
        <v>1.6335498094424496E-4</v>
      </c>
      <c r="AI134">
        <f t="shared" si="101"/>
        <v>1.6335498094424496E-4</v>
      </c>
      <c r="AJ134">
        <f t="shared" si="96"/>
        <v>1.1924913608929884</v>
      </c>
      <c r="BF134" s="24"/>
      <c r="BH134" s="25"/>
      <c r="BI134" s="25"/>
      <c r="BJ134" s="25"/>
      <c r="BK134" s="25"/>
      <c r="BL134" s="25"/>
      <c r="BM134" s="25"/>
    </row>
    <row r="135" spans="1:65" x14ac:dyDescent="0.2">
      <c r="E135" s="11" t="s">
        <v>171</v>
      </c>
      <c r="F135" t="s">
        <v>163</v>
      </c>
      <c r="G135">
        <v>200</v>
      </c>
      <c r="H135">
        <v>0</v>
      </c>
      <c r="I135">
        <v>0</v>
      </c>
      <c r="J135">
        <f t="shared" si="82"/>
        <v>91.25</v>
      </c>
      <c r="K135">
        <v>0.2</v>
      </c>
      <c r="L135">
        <v>0.75</v>
      </c>
      <c r="M135">
        <v>14</v>
      </c>
      <c r="N135">
        <f t="shared" si="97"/>
        <v>0</v>
      </c>
      <c r="O135">
        <f>O131</f>
        <v>1</v>
      </c>
      <c r="P135">
        <f>P131</f>
        <v>0.69</v>
      </c>
      <c r="Q135">
        <f t="shared" si="83"/>
        <v>4.7000000000000002E-3</v>
      </c>
      <c r="R135">
        <f t="shared" si="84"/>
        <v>0</v>
      </c>
      <c r="S135">
        <v>1</v>
      </c>
      <c r="T135">
        <f t="shared" si="98"/>
        <v>1.6</v>
      </c>
      <c r="U135">
        <f t="shared" si="85"/>
        <v>1.3</v>
      </c>
      <c r="V135">
        <f t="shared" si="86"/>
        <v>1</v>
      </c>
      <c r="W135">
        <f t="shared" si="87"/>
        <v>0.5948500000000001</v>
      </c>
      <c r="X135">
        <v>2.5</v>
      </c>
      <c r="Y135">
        <f t="shared" si="99"/>
        <v>0.99999627334682795</v>
      </c>
      <c r="Z135">
        <f t="shared" si="88"/>
        <v>0.3733079325984448</v>
      </c>
      <c r="AA135">
        <f t="shared" si="100"/>
        <v>0.37330654140925362</v>
      </c>
      <c r="AB135">
        <f t="shared" si="89"/>
        <v>0.14666130828185073</v>
      </c>
      <c r="AC135">
        <f t="shared" si="90"/>
        <v>0.08</v>
      </c>
      <c r="AD135">
        <f t="shared" si="91"/>
        <v>9.0988870602137284E-2</v>
      </c>
      <c r="AE135">
        <f t="shared" si="92"/>
        <v>0.19</v>
      </c>
      <c r="AF135">
        <f t="shared" si="93"/>
        <v>0.6784</v>
      </c>
      <c r="AG135">
        <f t="shared" si="94"/>
        <v>0</v>
      </c>
      <c r="AH135">
        <f t="shared" si="95"/>
        <v>5.5122076886125516E-5</v>
      </c>
      <c r="AI135">
        <f t="shared" si="101"/>
        <v>5.5122076886125516E-5</v>
      </c>
      <c r="AJ135">
        <f t="shared" si="96"/>
        <v>1.0059779031717906</v>
      </c>
      <c r="BF135" s="24"/>
      <c r="BH135" s="25"/>
      <c r="BI135" s="25"/>
      <c r="BJ135" s="25"/>
      <c r="BK135" s="25"/>
      <c r="BL135" s="25"/>
      <c r="BM135" s="25"/>
    </row>
    <row r="136" spans="1:65" x14ac:dyDescent="0.2">
      <c r="E136" s="12"/>
      <c r="F136" t="s">
        <v>164</v>
      </c>
      <c r="G136">
        <v>210</v>
      </c>
      <c r="H136">
        <v>0</v>
      </c>
      <c r="I136">
        <v>0</v>
      </c>
      <c r="J136">
        <f t="shared" si="82"/>
        <v>91.25</v>
      </c>
      <c r="K136">
        <v>7.0000000000000007E-2</v>
      </c>
      <c r="L136">
        <v>0.55000000000000004</v>
      </c>
      <c r="M136">
        <v>24</v>
      </c>
      <c r="N136">
        <f t="shared" si="97"/>
        <v>0</v>
      </c>
      <c r="O136">
        <f>O131</f>
        <v>1</v>
      </c>
      <c r="P136">
        <f>P131</f>
        <v>0.69</v>
      </c>
      <c r="Q136">
        <f t="shared" si="83"/>
        <v>4.7000000000000002E-3</v>
      </c>
      <c r="R136">
        <f t="shared" si="84"/>
        <v>0</v>
      </c>
      <c r="S136">
        <v>0</v>
      </c>
      <c r="T136">
        <f t="shared" si="98"/>
        <v>0</v>
      </c>
      <c r="U136">
        <f t="shared" si="85"/>
        <v>1.3</v>
      </c>
      <c r="V136">
        <f t="shared" si="86"/>
        <v>1</v>
      </c>
      <c r="W136">
        <f t="shared" si="87"/>
        <v>0.43585000000000007</v>
      </c>
      <c r="X136">
        <v>2.5</v>
      </c>
      <c r="Y136">
        <f t="shared" si="99"/>
        <v>0.99999627334682795</v>
      </c>
      <c r="Z136">
        <f t="shared" si="88"/>
        <v>0.41205872426603418</v>
      </c>
      <c r="AA136">
        <f t="shared" si="100"/>
        <v>0.41205718866608232</v>
      </c>
      <c r="AB136">
        <f t="shared" si="89"/>
        <v>2.8844003206625765E-2</v>
      </c>
      <c r="AC136">
        <f t="shared" si="90"/>
        <v>0.08</v>
      </c>
      <c r="AD136">
        <f t="shared" si="91"/>
        <v>0.1768399895714734</v>
      </c>
      <c r="AE136">
        <f t="shared" si="92"/>
        <v>0.19</v>
      </c>
      <c r="AF136">
        <f t="shared" si="93"/>
        <v>0.6784</v>
      </c>
      <c r="AG136">
        <f t="shared" si="94"/>
        <v>0</v>
      </c>
      <c r="AH136">
        <f t="shared" si="95"/>
        <v>1.0713164629028178E-4</v>
      </c>
      <c r="AI136">
        <f t="shared" si="101"/>
        <v>1.0713164629028178E-4</v>
      </c>
      <c r="AJ136">
        <f t="shared" si="96"/>
        <v>2.0529101720375245</v>
      </c>
      <c r="BF136" s="26"/>
      <c r="BH136" s="19"/>
      <c r="BI136" s="19"/>
      <c r="BJ136" s="19"/>
      <c r="BK136" s="19"/>
      <c r="BL136" s="19"/>
      <c r="BM136" s="19"/>
    </row>
    <row r="137" spans="1:65" x14ac:dyDescent="0.2">
      <c r="E137" s="11"/>
      <c r="F137" t="s">
        <v>165</v>
      </c>
      <c r="G137">
        <v>170</v>
      </c>
      <c r="H137">
        <v>0</v>
      </c>
      <c r="I137">
        <v>0</v>
      </c>
      <c r="J137">
        <f t="shared" si="82"/>
        <v>91.25</v>
      </c>
      <c r="K137">
        <v>0.14000000000000001</v>
      </c>
      <c r="L137">
        <v>0.67</v>
      </c>
      <c r="M137">
        <v>36</v>
      </c>
      <c r="N137">
        <f t="shared" si="97"/>
        <v>0</v>
      </c>
      <c r="O137">
        <f>O131</f>
        <v>1</v>
      </c>
      <c r="P137">
        <f>P131</f>
        <v>0.69</v>
      </c>
      <c r="Q137">
        <f t="shared" si="83"/>
        <v>4.7000000000000002E-3</v>
      </c>
      <c r="R137">
        <f t="shared" si="84"/>
        <v>0</v>
      </c>
      <c r="S137">
        <v>0</v>
      </c>
      <c r="T137">
        <f t="shared" si="98"/>
        <v>0</v>
      </c>
      <c r="U137">
        <f t="shared" si="85"/>
        <v>1.3</v>
      </c>
      <c r="V137">
        <f t="shared" si="86"/>
        <v>1</v>
      </c>
      <c r="W137">
        <f t="shared" si="87"/>
        <v>0.53125000000000011</v>
      </c>
      <c r="X137">
        <v>1.3</v>
      </c>
      <c r="Y137">
        <f t="shared" si="99"/>
        <v>0.96595254526540064</v>
      </c>
      <c r="Z137">
        <f t="shared" si="88"/>
        <v>0.75944776069416087</v>
      </c>
      <c r="AA137">
        <f t="shared" si="100"/>
        <v>0.73359049743863358</v>
      </c>
      <c r="AB137">
        <f t="shared" si="89"/>
        <v>0.10270266964140871</v>
      </c>
      <c r="AC137">
        <f t="shared" si="90"/>
        <v>0.08</v>
      </c>
      <c r="AD137">
        <f t="shared" si="91"/>
        <v>0.24252217968227641</v>
      </c>
      <c r="AE137">
        <f t="shared" si="92"/>
        <v>0.19</v>
      </c>
      <c r="AF137">
        <f t="shared" si="93"/>
        <v>0.6784</v>
      </c>
      <c r="AG137">
        <f t="shared" si="94"/>
        <v>0</v>
      </c>
      <c r="AH137">
        <f t="shared" si="95"/>
        <v>1.4692265269993551E-4</v>
      </c>
      <c r="AI137">
        <f t="shared" si="101"/>
        <v>1.4692265269993551E-4</v>
      </c>
      <c r="AJ137">
        <f t="shared" si="96"/>
        <v>2.2791376500077494</v>
      </c>
      <c r="BF137" s="26"/>
      <c r="BH137" s="19"/>
      <c r="BI137" s="19"/>
      <c r="BJ137" s="19"/>
      <c r="BK137" s="19"/>
      <c r="BL137" s="19"/>
      <c r="BM137" s="19"/>
    </row>
    <row r="138" spans="1:65" x14ac:dyDescent="0.2">
      <c r="E138" s="12"/>
      <c r="F138" t="s">
        <v>166</v>
      </c>
      <c r="G138">
        <v>200</v>
      </c>
      <c r="H138">
        <v>0</v>
      </c>
      <c r="I138">
        <v>0</v>
      </c>
      <c r="J138">
        <f t="shared" si="82"/>
        <v>91.25</v>
      </c>
      <c r="K138">
        <v>0.16</v>
      </c>
      <c r="L138">
        <v>0.7</v>
      </c>
      <c r="M138">
        <v>42</v>
      </c>
      <c r="N138">
        <f t="shared" si="97"/>
        <v>0</v>
      </c>
      <c r="O138">
        <f>O131</f>
        <v>1</v>
      </c>
      <c r="P138">
        <f>P131</f>
        <v>0.69</v>
      </c>
      <c r="Q138">
        <f t="shared" si="83"/>
        <v>4.7000000000000002E-3</v>
      </c>
      <c r="R138">
        <f t="shared" si="84"/>
        <v>0</v>
      </c>
      <c r="S138">
        <v>0</v>
      </c>
      <c r="T138">
        <f t="shared" si="98"/>
        <v>0</v>
      </c>
      <c r="U138">
        <f t="shared" si="85"/>
        <v>1.3</v>
      </c>
      <c r="V138">
        <f t="shared" si="86"/>
        <v>1</v>
      </c>
      <c r="W138">
        <f t="shared" si="87"/>
        <v>0.55510000000000004</v>
      </c>
      <c r="X138">
        <v>0.8</v>
      </c>
      <c r="Y138">
        <f t="shared" si="99"/>
        <v>0.72196269954680592</v>
      </c>
      <c r="Z138">
        <f t="shared" si="88"/>
        <v>0.92411404077093851</v>
      </c>
      <c r="AA138">
        <f t="shared" si="100"/>
        <v>0.66717586756409386</v>
      </c>
      <c r="AB138">
        <f t="shared" si="89"/>
        <v>0.10674813881025502</v>
      </c>
      <c r="AC138">
        <f t="shared" si="90"/>
        <v>0.08</v>
      </c>
      <c r="AD138">
        <f t="shared" si="91"/>
        <v>0.2005210893356543</v>
      </c>
      <c r="AE138">
        <f t="shared" si="92"/>
        <v>0.19</v>
      </c>
      <c r="AF138">
        <f t="shared" si="93"/>
        <v>0.6784</v>
      </c>
      <c r="AG138">
        <f t="shared" si="94"/>
        <v>0</v>
      </c>
      <c r="AH138">
        <f t="shared" si="95"/>
        <v>1.2147792175573995E-4</v>
      </c>
      <c r="AI138">
        <f t="shared" si="101"/>
        <v>1.2147792175573995E-4</v>
      </c>
      <c r="AJ138">
        <f t="shared" si="96"/>
        <v>2.2169720720422541</v>
      </c>
      <c r="BF138" s="26"/>
      <c r="BH138" s="19"/>
      <c r="BI138" s="19"/>
      <c r="BJ138" s="19"/>
      <c r="BK138" s="19"/>
      <c r="BL138" s="19"/>
      <c r="BM138" s="19"/>
    </row>
    <row r="139" spans="1:65" x14ac:dyDescent="0.2">
      <c r="E139" s="11" t="s">
        <v>168</v>
      </c>
      <c r="F139" t="s">
        <v>163</v>
      </c>
      <c r="G139">
        <v>100</v>
      </c>
      <c r="H139">
        <v>95</v>
      </c>
      <c r="I139">
        <v>92</v>
      </c>
      <c r="J139">
        <f t="shared" si="82"/>
        <v>91.25</v>
      </c>
      <c r="K139">
        <v>0.2</v>
      </c>
      <c r="L139">
        <v>0.75</v>
      </c>
      <c r="M139">
        <v>45</v>
      </c>
      <c r="N139">
        <f t="shared" si="97"/>
        <v>0</v>
      </c>
      <c r="O139">
        <f>O131</f>
        <v>1</v>
      </c>
      <c r="P139">
        <f>P131</f>
        <v>0.69</v>
      </c>
      <c r="Q139">
        <f t="shared" si="83"/>
        <v>4.7000000000000002E-3</v>
      </c>
      <c r="R139">
        <f t="shared" si="84"/>
        <v>0.874</v>
      </c>
      <c r="S139">
        <v>0</v>
      </c>
      <c r="T139">
        <f t="shared" si="98"/>
        <v>0</v>
      </c>
      <c r="U139">
        <f t="shared" si="85"/>
        <v>1.3</v>
      </c>
      <c r="V139">
        <f t="shared" si="86"/>
        <v>1.2622</v>
      </c>
      <c r="W139">
        <f t="shared" si="87"/>
        <v>0.5948500000000001</v>
      </c>
      <c r="X139">
        <v>2.5</v>
      </c>
      <c r="Y139">
        <f t="shared" si="99"/>
        <v>0.99999627334682795</v>
      </c>
      <c r="Z139">
        <f t="shared" si="88"/>
        <v>1.0615017285371116</v>
      </c>
      <c r="AA139">
        <f t="shared" si="100"/>
        <v>1.3398224886872072</v>
      </c>
      <c r="AB139">
        <f t="shared" si="89"/>
        <v>0.26796449773744146</v>
      </c>
      <c r="AC139">
        <f t="shared" si="90"/>
        <v>0.08</v>
      </c>
      <c r="AD139">
        <f t="shared" si="91"/>
        <v>0.37421974668192259</v>
      </c>
      <c r="AE139">
        <f t="shared" si="92"/>
        <v>0.19</v>
      </c>
      <c r="AF139">
        <f t="shared" si="93"/>
        <v>0.6784</v>
      </c>
      <c r="AG139">
        <f t="shared" si="94"/>
        <v>0</v>
      </c>
      <c r="AH139">
        <f t="shared" si="95"/>
        <v>2.2670651380107159E-4</v>
      </c>
      <c r="AI139">
        <f t="shared" si="101"/>
        <v>2.2670651380107159E-4</v>
      </c>
      <c r="AJ139">
        <f t="shared" si="96"/>
        <v>2.068696938434778</v>
      </c>
      <c r="BF139" s="26"/>
      <c r="BH139" s="19"/>
      <c r="BI139" s="19"/>
      <c r="BJ139" s="19"/>
      <c r="BK139" s="19"/>
      <c r="BL139" s="19"/>
      <c r="BM139" s="19"/>
    </row>
    <row r="140" spans="1:65" x14ac:dyDescent="0.2">
      <c r="E140" s="12"/>
      <c r="F140" t="s">
        <v>164</v>
      </c>
      <c r="G140">
        <v>140</v>
      </c>
      <c r="H140">
        <v>0</v>
      </c>
      <c r="I140">
        <v>0</v>
      </c>
      <c r="J140">
        <f t="shared" si="82"/>
        <v>91.25</v>
      </c>
      <c r="K140">
        <v>7.0000000000000007E-2</v>
      </c>
      <c r="L140">
        <v>0.55000000000000004</v>
      </c>
      <c r="M140">
        <v>45</v>
      </c>
      <c r="N140">
        <f t="shared" si="97"/>
        <v>0</v>
      </c>
      <c r="O140">
        <f>O131</f>
        <v>1</v>
      </c>
      <c r="P140">
        <f>P131</f>
        <v>0.69</v>
      </c>
      <c r="Q140">
        <f t="shared" si="83"/>
        <v>4.7000000000000002E-3</v>
      </c>
      <c r="R140">
        <f t="shared" si="84"/>
        <v>0</v>
      </c>
      <c r="S140">
        <v>0</v>
      </c>
      <c r="T140">
        <f t="shared" si="98"/>
        <v>0</v>
      </c>
      <c r="U140">
        <f t="shared" si="85"/>
        <v>1.3</v>
      </c>
      <c r="V140">
        <f t="shared" si="86"/>
        <v>1</v>
      </c>
      <c r="W140">
        <f t="shared" si="87"/>
        <v>0.43585000000000007</v>
      </c>
      <c r="X140">
        <v>2.5</v>
      </c>
      <c r="Y140">
        <f t="shared" si="99"/>
        <v>0.99999627334682795</v>
      </c>
      <c r="Z140">
        <f t="shared" si="88"/>
        <v>0.77226516609487061</v>
      </c>
      <c r="AA140">
        <f t="shared" si="100"/>
        <v>0.77226228813043973</v>
      </c>
      <c r="AB140">
        <f t="shared" si="89"/>
        <v>5.4058360169130786E-2</v>
      </c>
      <c r="AC140">
        <f t="shared" si="90"/>
        <v>0.08</v>
      </c>
      <c r="AD140">
        <f t="shared" si="91"/>
        <v>0.34166370401940144</v>
      </c>
      <c r="AE140">
        <f t="shared" si="92"/>
        <v>0.19</v>
      </c>
      <c r="AF140">
        <f t="shared" si="93"/>
        <v>0.6784</v>
      </c>
      <c r="AG140">
        <f t="shared" si="94"/>
        <v>0</v>
      </c>
      <c r="AH140">
        <f t="shared" si="95"/>
        <v>2.069836985284384E-4</v>
      </c>
      <c r="AI140">
        <f t="shared" si="101"/>
        <v>2.069836985284384E-4</v>
      </c>
      <c r="AJ140">
        <f t="shared" si="96"/>
        <v>2.6442167487008006</v>
      </c>
      <c r="BF140" s="26"/>
      <c r="BH140" s="19"/>
      <c r="BI140" s="19"/>
      <c r="BJ140" s="19"/>
      <c r="BK140" s="19"/>
      <c r="BL140" s="19"/>
      <c r="BM140" s="19"/>
    </row>
    <row r="141" spans="1:65" x14ac:dyDescent="0.2">
      <c r="E141" s="11"/>
      <c r="F141" t="s">
        <v>165</v>
      </c>
      <c r="G141">
        <v>135</v>
      </c>
      <c r="H141">
        <v>0</v>
      </c>
      <c r="I141">
        <v>0</v>
      </c>
      <c r="J141">
        <f t="shared" si="82"/>
        <v>91.25</v>
      </c>
      <c r="K141">
        <v>0.14000000000000001</v>
      </c>
      <c r="L141">
        <v>0.67</v>
      </c>
      <c r="M141">
        <v>45</v>
      </c>
      <c r="N141">
        <f t="shared" si="97"/>
        <v>0</v>
      </c>
      <c r="O141">
        <f>O131</f>
        <v>1</v>
      </c>
      <c r="P141">
        <f>P131</f>
        <v>0.69</v>
      </c>
      <c r="Q141">
        <f t="shared" si="83"/>
        <v>4.7000000000000002E-3</v>
      </c>
      <c r="R141">
        <f t="shared" si="84"/>
        <v>0</v>
      </c>
      <c r="S141">
        <v>0</v>
      </c>
      <c r="T141">
        <f t="shared" si="98"/>
        <v>0</v>
      </c>
      <c r="U141">
        <f t="shared" si="85"/>
        <v>1.3</v>
      </c>
      <c r="V141">
        <f t="shared" si="86"/>
        <v>1</v>
      </c>
      <c r="W141">
        <f t="shared" si="87"/>
        <v>0.53125000000000011</v>
      </c>
      <c r="X141">
        <v>1.3</v>
      </c>
      <c r="Y141">
        <f t="shared" si="99"/>
        <v>0.96595254526540064</v>
      </c>
      <c r="Z141">
        <f t="shared" si="88"/>
        <v>0.94580710356021536</v>
      </c>
      <c r="AA141">
        <f t="shared" si="100"/>
        <v>0.91360477901408643</v>
      </c>
      <c r="AB141">
        <f t="shared" si="89"/>
        <v>0.12790466906197212</v>
      </c>
      <c r="AC141">
        <f t="shared" si="90"/>
        <v>0.08</v>
      </c>
      <c r="AD141">
        <f t="shared" si="91"/>
        <v>0.30808640278301214</v>
      </c>
      <c r="AE141">
        <f t="shared" si="92"/>
        <v>0.19</v>
      </c>
      <c r="AF141">
        <f t="shared" si="93"/>
        <v>0.6784</v>
      </c>
      <c r="AG141">
        <f t="shared" si="94"/>
        <v>0</v>
      </c>
      <c r="AH141">
        <f t="shared" si="95"/>
        <v>1.8664219337365993E-4</v>
      </c>
      <c r="AI141">
        <f t="shared" si="101"/>
        <v>1.8664219337365993E-4</v>
      </c>
      <c r="AJ141">
        <f t="shared" si="96"/>
        <v>2.2991985196217732</v>
      </c>
      <c r="BF141" s="26"/>
      <c r="BH141" s="19"/>
      <c r="BI141" s="19"/>
      <c r="BJ141" s="19"/>
      <c r="BK141" s="19"/>
      <c r="BL141" s="19"/>
      <c r="BM141" s="19"/>
    </row>
    <row r="142" spans="1:65" x14ac:dyDescent="0.2">
      <c r="E142" s="12"/>
      <c r="F142" t="s">
        <v>166</v>
      </c>
      <c r="G142">
        <v>130</v>
      </c>
      <c r="H142">
        <v>0</v>
      </c>
      <c r="I142">
        <v>0</v>
      </c>
      <c r="J142">
        <f t="shared" si="82"/>
        <v>91.25</v>
      </c>
      <c r="K142">
        <v>0.16</v>
      </c>
      <c r="L142">
        <v>0.7</v>
      </c>
      <c r="M142">
        <v>50</v>
      </c>
      <c r="N142">
        <f t="shared" si="97"/>
        <v>0</v>
      </c>
      <c r="O142">
        <f>O131</f>
        <v>1</v>
      </c>
      <c r="P142">
        <f>P131</f>
        <v>0.69</v>
      </c>
      <c r="Q142">
        <f t="shared" si="83"/>
        <v>4.7000000000000002E-3</v>
      </c>
      <c r="R142">
        <f t="shared" si="84"/>
        <v>0</v>
      </c>
      <c r="S142">
        <v>0</v>
      </c>
      <c r="T142">
        <f t="shared" si="98"/>
        <v>0</v>
      </c>
      <c r="U142">
        <f t="shared" si="85"/>
        <v>1.3</v>
      </c>
      <c r="V142">
        <f t="shared" si="86"/>
        <v>1</v>
      </c>
      <c r="W142">
        <f t="shared" si="87"/>
        <v>0.55510000000000004</v>
      </c>
      <c r="X142">
        <v>0.8</v>
      </c>
      <c r="Y142">
        <f t="shared" si="99"/>
        <v>0.72196269954680592</v>
      </c>
      <c r="Z142">
        <f t="shared" si="88"/>
        <v>1.0993929471578776</v>
      </c>
      <c r="AA142">
        <f t="shared" si="100"/>
        <v>0.79372069999282024</v>
      </c>
      <c r="AB142">
        <f t="shared" si="89"/>
        <v>0.12699531199885125</v>
      </c>
      <c r="AC142">
        <f t="shared" si="90"/>
        <v>0.08</v>
      </c>
      <c r="AD142">
        <f t="shared" si="91"/>
        <v>0.24225063902319144</v>
      </c>
      <c r="AE142">
        <f t="shared" si="92"/>
        <v>0.19</v>
      </c>
      <c r="AF142">
        <f t="shared" si="93"/>
        <v>0.6784</v>
      </c>
      <c r="AG142">
        <f t="shared" si="94"/>
        <v>0</v>
      </c>
      <c r="AH142">
        <f t="shared" si="95"/>
        <v>1.4675815032740645E-4</v>
      </c>
      <c r="AI142">
        <f t="shared" si="101"/>
        <v>1.4675815032740645E-4</v>
      </c>
      <c r="AJ142">
        <f t="shared" si="96"/>
        <v>1.7409185582588591</v>
      </c>
      <c r="BF142" s="26"/>
      <c r="BH142" s="19"/>
      <c r="BI142" s="19"/>
      <c r="BJ142" s="19"/>
      <c r="BK142" s="19"/>
      <c r="BL142" s="19"/>
      <c r="BM142" s="19"/>
    </row>
    <row r="143" spans="1:65" x14ac:dyDescent="0.2">
      <c r="E143" s="11" t="s">
        <v>170</v>
      </c>
      <c r="F143" t="s">
        <v>163</v>
      </c>
      <c r="G143">
        <v>200</v>
      </c>
      <c r="H143">
        <v>0</v>
      </c>
      <c r="I143">
        <v>0</v>
      </c>
      <c r="J143">
        <f t="shared" si="82"/>
        <v>91.25</v>
      </c>
      <c r="K143">
        <v>0.2</v>
      </c>
      <c r="L143">
        <v>0.75</v>
      </c>
      <c r="M143">
        <v>50</v>
      </c>
      <c r="N143">
        <f t="shared" si="97"/>
        <v>0</v>
      </c>
      <c r="O143">
        <f>O131</f>
        <v>1</v>
      </c>
      <c r="P143">
        <f>P131</f>
        <v>0.69</v>
      </c>
      <c r="Q143">
        <f t="shared" si="83"/>
        <v>4.7000000000000002E-3</v>
      </c>
      <c r="R143">
        <f t="shared" si="84"/>
        <v>0</v>
      </c>
      <c r="S143">
        <v>0</v>
      </c>
      <c r="T143">
        <f t="shared" si="98"/>
        <v>0</v>
      </c>
      <c r="U143">
        <f t="shared" si="85"/>
        <v>1.3</v>
      </c>
      <c r="V143">
        <f t="shared" si="86"/>
        <v>1</v>
      </c>
      <c r="W143">
        <f t="shared" si="87"/>
        <v>0.5948500000000001</v>
      </c>
      <c r="X143">
        <v>2.5</v>
      </c>
      <c r="Y143">
        <f t="shared" si="99"/>
        <v>0.99999627334682795</v>
      </c>
      <c r="Z143">
        <f t="shared" si="88"/>
        <v>1.1776478069972991</v>
      </c>
      <c r="AA143">
        <f t="shared" si="100"/>
        <v>1.1776434183123636</v>
      </c>
      <c r="AB143">
        <f t="shared" si="89"/>
        <v>0.23552868366247273</v>
      </c>
      <c r="AC143">
        <f t="shared" si="90"/>
        <v>0.08</v>
      </c>
      <c r="AD143">
        <f t="shared" si="91"/>
        <v>0.32189384617339861</v>
      </c>
      <c r="AE143">
        <f t="shared" si="92"/>
        <v>0.19</v>
      </c>
      <c r="AF143">
        <f t="shared" si="93"/>
        <v>0.6784</v>
      </c>
      <c r="AG143">
        <f t="shared" si="94"/>
        <v>0</v>
      </c>
      <c r="AH143">
        <f t="shared" si="95"/>
        <v>1.9500689722292205E-4</v>
      </c>
      <c r="AI143">
        <f t="shared" si="101"/>
        <v>1.9500689722292205E-4</v>
      </c>
      <c r="AJ143">
        <f t="shared" si="96"/>
        <v>3.5588758743183275</v>
      </c>
      <c r="BF143" s="26"/>
      <c r="BH143" s="19"/>
      <c r="BI143" s="19"/>
      <c r="BJ143" s="19"/>
      <c r="BK143" s="19"/>
      <c r="BL143" s="19"/>
      <c r="BM143" s="19"/>
    </row>
    <row r="144" spans="1:65" x14ac:dyDescent="0.2">
      <c r="E144" s="12"/>
      <c r="F144" t="s">
        <v>164</v>
      </c>
      <c r="G144">
        <v>210</v>
      </c>
      <c r="H144">
        <v>0</v>
      </c>
      <c r="I144">
        <v>0</v>
      </c>
      <c r="J144">
        <f t="shared" si="82"/>
        <v>91.25</v>
      </c>
      <c r="K144">
        <v>7.0000000000000007E-2</v>
      </c>
      <c r="L144">
        <v>0.55000000000000004</v>
      </c>
      <c r="M144">
        <v>50</v>
      </c>
      <c r="N144">
        <f t="shared" si="97"/>
        <v>0</v>
      </c>
      <c r="O144">
        <f>O131</f>
        <v>1</v>
      </c>
      <c r="P144">
        <f>P131</f>
        <v>0.69</v>
      </c>
      <c r="Q144">
        <f t="shared" si="83"/>
        <v>4.7000000000000002E-3</v>
      </c>
      <c r="R144">
        <f t="shared" si="84"/>
        <v>0</v>
      </c>
      <c r="S144">
        <v>0</v>
      </c>
      <c r="T144">
        <f t="shared" si="98"/>
        <v>0</v>
      </c>
      <c r="U144">
        <f t="shared" si="85"/>
        <v>1.3</v>
      </c>
      <c r="V144">
        <f t="shared" si="86"/>
        <v>1</v>
      </c>
      <c r="W144">
        <f t="shared" si="87"/>
        <v>0.43585000000000007</v>
      </c>
      <c r="X144">
        <v>2.5</v>
      </c>
      <c r="Y144">
        <f t="shared" si="99"/>
        <v>0.99999627334682795</v>
      </c>
      <c r="Z144">
        <f t="shared" si="88"/>
        <v>0.8646283676396137</v>
      </c>
      <c r="AA144">
        <f t="shared" si="100"/>
        <v>0.86462514546956482</v>
      </c>
      <c r="AB144">
        <f t="shared" si="89"/>
        <v>6.0523760182869542E-2</v>
      </c>
      <c r="AC144">
        <f t="shared" si="90"/>
        <v>0.08</v>
      </c>
      <c r="AD144">
        <f t="shared" si="91"/>
        <v>0.38546563065656003</v>
      </c>
      <c r="AE144">
        <f t="shared" si="92"/>
        <v>0.19</v>
      </c>
      <c r="AF144">
        <f t="shared" si="93"/>
        <v>0.6784</v>
      </c>
      <c r="AG144">
        <f t="shared" si="94"/>
        <v>0</v>
      </c>
      <c r="AH144">
        <f t="shared" si="95"/>
        <v>2.3351939626680747E-4</v>
      </c>
      <c r="AI144">
        <f t="shared" si="101"/>
        <v>2.3351939626680747E-4</v>
      </c>
      <c r="AJ144">
        <f t="shared" si="96"/>
        <v>4.474815430962698</v>
      </c>
      <c r="BF144" s="26"/>
      <c r="BH144" s="19"/>
      <c r="BI144" s="19"/>
      <c r="BJ144" s="19"/>
      <c r="BK144" s="19"/>
      <c r="BL144" s="19"/>
      <c r="BM144" s="19"/>
    </row>
    <row r="145" spans="5:65" x14ac:dyDescent="0.2">
      <c r="E145" s="11"/>
      <c r="F145" t="s">
        <v>165</v>
      </c>
      <c r="G145">
        <v>190</v>
      </c>
      <c r="H145">
        <v>0</v>
      </c>
      <c r="I145">
        <v>0</v>
      </c>
      <c r="J145">
        <f t="shared" si="82"/>
        <v>91.25</v>
      </c>
      <c r="K145">
        <v>0.14000000000000001</v>
      </c>
      <c r="L145">
        <v>0.67</v>
      </c>
      <c r="M145">
        <v>50</v>
      </c>
      <c r="N145">
        <f t="shared" si="97"/>
        <v>0</v>
      </c>
      <c r="O145">
        <f>O131</f>
        <v>1</v>
      </c>
      <c r="P145">
        <f>P131</f>
        <v>0.69</v>
      </c>
      <c r="Q145">
        <f t="shared" si="83"/>
        <v>4.7000000000000002E-3</v>
      </c>
      <c r="R145">
        <f t="shared" si="84"/>
        <v>0</v>
      </c>
      <c r="S145">
        <v>0</v>
      </c>
      <c r="T145">
        <f t="shared" si="98"/>
        <v>0</v>
      </c>
      <c r="U145">
        <f t="shared" si="85"/>
        <v>1.3</v>
      </c>
      <c r="V145">
        <f t="shared" si="86"/>
        <v>1</v>
      </c>
      <c r="W145">
        <f t="shared" si="87"/>
        <v>0.53125000000000011</v>
      </c>
      <c r="X145">
        <v>1.3</v>
      </c>
      <c r="Y145">
        <f t="shared" si="99"/>
        <v>0.96595254526540064</v>
      </c>
      <c r="Z145">
        <f t="shared" si="88"/>
        <v>1.052440031254225</v>
      </c>
      <c r="AA145">
        <f t="shared" si="100"/>
        <v>1.0166071269292165</v>
      </c>
      <c r="AB145">
        <f t="shared" si="89"/>
        <v>0.14232499777009033</v>
      </c>
      <c r="AC145">
        <f t="shared" si="90"/>
        <v>0.08</v>
      </c>
      <c r="AD145">
        <f t="shared" si="91"/>
        <v>0.34667435759496673</v>
      </c>
      <c r="AE145">
        <f t="shared" si="92"/>
        <v>0.19</v>
      </c>
      <c r="AF145">
        <f t="shared" si="93"/>
        <v>0.6784</v>
      </c>
      <c r="AG145">
        <f t="shared" si="94"/>
        <v>0</v>
      </c>
      <c r="AH145">
        <f t="shared" si="95"/>
        <v>2.1001920858383592E-4</v>
      </c>
      <c r="AI145">
        <f t="shared" si="101"/>
        <v>2.1001920858383592E-4</v>
      </c>
      <c r="AJ145">
        <f t="shared" si="96"/>
        <v>3.641208028822255</v>
      </c>
      <c r="BF145" s="26"/>
      <c r="BH145" s="19"/>
      <c r="BI145" s="19"/>
      <c r="BJ145" s="19"/>
      <c r="BK145" s="19"/>
      <c r="BL145" s="19"/>
      <c r="BM145" s="19"/>
    </row>
    <row r="146" spans="5:65" x14ac:dyDescent="0.2">
      <c r="E146" s="12"/>
      <c r="F146" t="s">
        <v>166</v>
      </c>
      <c r="G146">
        <v>180</v>
      </c>
      <c r="H146">
        <v>0</v>
      </c>
      <c r="I146">
        <v>0</v>
      </c>
      <c r="J146">
        <f t="shared" si="82"/>
        <v>91.25</v>
      </c>
      <c r="K146">
        <v>0.16</v>
      </c>
      <c r="L146">
        <v>0.7</v>
      </c>
      <c r="M146">
        <v>50</v>
      </c>
      <c r="N146">
        <f t="shared" si="97"/>
        <v>0</v>
      </c>
      <c r="O146">
        <f>O131</f>
        <v>1</v>
      </c>
      <c r="P146">
        <f>P131</f>
        <v>0.69</v>
      </c>
      <c r="Q146">
        <f t="shared" si="83"/>
        <v>4.7000000000000002E-3</v>
      </c>
      <c r="R146">
        <f t="shared" si="84"/>
        <v>0</v>
      </c>
      <c r="S146">
        <v>0</v>
      </c>
      <c r="T146">
        <f t="shared" si="98"/>
        <v>0</v>
      </c>
      <c r="U146">
        <f t="shared" si="85"/>
        <v>1.3</v>
      </c>
      <c r="V146">
        <f t="shared" si="86"/>
        <v>1</v>
      </c>
      <c r="W146">
        <f t="shared" si="87"/>
        <v>0.55510000000000004</v>
      </c>
      <c r="X146">
        <v>0.8</v>
      </c>
      <c r="Y146">
        <f t="shared" si="99"/>
        <v>0.72196269954680592</v>
      </c>
      <c r="Z146">
        <f t="shared" si="88"/>
        <v>1.0993929471578776</v>
      </c>
      <c r="AA146">
        <f t="shared" si="100"/>
        <v>0.79372069999282024</v>
      </c>
      <c r="AB146">
        <f t="shared" si="89"/>
        <v>0.12699531199885125</v>
      </c>
      <c r="AC146">
        <f t="shared" si="90"/>
        <v>0.08</v>
      </c>
      <c r="AD146">
        <f t="shared" si="91"/>
        <v>0.24225063902319144</v>
      </c>
      <c r="AE146">
        <f t="shared" si="92"/>
        <v>0.19</v>
      </c>
      <c r="AF146">
        <f t="shared" si="93"/>
        <v>0.6784</v>
      </c>
      <c r="AG146">
        <f t="shared" si="94"/>
        <v>0</v>
      </c>
      <c r="AH146">
        <f t="shared" si="95"/>
        <v>1.4675815032740645E-4</v>
      </c>
      <c r="AI146">
        <f t="shared" si="101"/>
        <v>1.4675815032740645E-4</v>
      </c>
      <c r="AJ146">
        <f t="shared" si="96"/>
        <v>2.4105026191276511</v>
      </c>
      <c r="BF146" s="26"/>
      <c r="BH146" s="19"/>
      <c r="BI146" s="19"/>
      <c r="BJ146" s="19"/>
      <c r="BK146" s="19"/>
      <c r="BL146" s="19"/>
      <c r="BM146" s="19"/>
    </row>
    <row r="147" spans="5:65" x14ac:dyDescent="0.2">
      <c r="E147" s="11" t="s">
        <v>162</v>
      </c>
      <c r="F147" t="s">
        <v>163</v>
      </c>
      <c r="G147">
        <v>50</v>
      </c>
      <c r="H147">
        <v>0</v>
      </c>
      <c r="I147">
        <v>0</v>
      </c>
      <c r="J147">
        <f t="shared" si="82"/>
        <v>91.25</v>
      </c>
      <c r="K147">
        <v>0.2</v>
      </c>
      <c r="L147">
        <v>0.75</v>
      </c>
      <c r="M147">
        <v>90</v>
      </c>
      <c r="N147">
        <f t="shared" si="97"/>
        <v>0</v>
      </c>
      <c r="O147">
        <f>O131</f>
        <v>1</v>
      </c>
      <c r="P147">
        <f>P131</f>
        <v>0.69</v>
      </c>
      <c r="Q147">
        <f t="shared" si="83"/>
        <v>4.7000000000000002E-3</v>
      </c>
      <c r="R147">
        <f t="shared" si="84"/>
        <v>0</v>
      </c>
      <c r="S147">
        <v>0</v>
      </c>
      <c r="T147">
        <f t="shared" si="98"/>
        <v>0</v>
      </c>
      <c r="U147">
        <f t="shared" si="85"/>
        <v>1.3</v>
      </c>
      <c r="V147">
        <f t="shared" si="86"/>
        <v>1</v>
      </c>
      <c r="W147">
        <f t="shared" si="87"/>
        <v>0.5948500000000001</v>
      </c>
      <c r="X147">
        <v>2.5</v>
      </c>
      <c r="Y147">
        <f t="shared" si="99"/>
        <v>0.99999627334682795</v>
      </c>
      <c r="Z147">
        <f t="shared" si="88"/>
        <v>2.188901849330922</v>
      </c>
      <c r="AA147">
        <f t="shared" si="100"/>
        <v>2.1888936920529019</v>
      </c>
      <c r="AB147">
        <f t="shared" si="89"/>
        <v>0.4377787384105804</v>
      </c>
      <c r="AC147">
        <f t="shared" si="90"/>
        <v>0.08</v>
      </c>
      <c r="AD147">
        <f t="shared" si="91"/>
        <v>0.67976375507217801</v>
      </c>
      <c r="AE147">
        <f t="shared" si="92"/>
        <v>0.19</v>
      </c>
      <c r="AF147">
        <f t="shared" si="93"/>
        <v>0.6784</v>
      </c>
      <c r="AG147">
        <f t="shared" si="94"/>
        <v>0</v>
      </c>
      <c r="AH147">
        <f t="shared" si="95"/>
        <v>4.1180849617678233E-4</v>
      </c>
      <c r="AI147">
        <f t="shared" si="101"/>
        <v>4.1180849617678233E-4</v>
      </c>
      <c r="AJ147">
        <f t="shared" si="96"/>
        <v>1.8788762638065695</v>
      </c>
      <c r="BF147" s="26"/>
      <c r="BH147" s="19"/>
      <c r="BI147" s="19"/>
      <c r="BJ147" s="19"/>
      <c r="BK147" s="19"/>
      <c r="BL147" s="19"/>
      <c r="BM147" s="19"/>
    </row>
    <row r="148" spans="5:65" x14ac:dyDescent="0.2">
      <c r="E148" s="12"/>
      <c r="F148" t="s">
        <v>164</v>
      </c>
      <c r="G148">
        <v>55</v>
      </c>
      <c r="H148">
        <v>0</v>
      </c>
      <c r="I148">
        <v>0</v>
      </c>
      <c r="J148">
        <f t="shared" si="82"/>
        <v>91.25</v>
      </c>
      <c r="K148">
        <v>7.0000000000000007E-2</v>
      </c>
      <c r="L148">
        <v>0.55000000000000004</v>
      </c>
      <c r="M148">
        <v>90</v>
      </c>
      <c r="N148">
        <f t="shared" si="97"/>
        <v>0</v>
      </c>
      <c r="O148">
        <f>O131</f>
        <v>1</v>
      </c>
      <c r="P148">
        <f>P131</f>
        <v>0.69</v>
      </c>
      <c r="Q148">
        <f t="shared" si="83"/>
        <v>4.7000000000000002E-3</v>
      </c>
      <c r="R148">
        <f t="shared" si="84"/>
        <v>0</v>
      </c>
      <c r="S148">
        <v>0</v>
      </c>
      <c r="T148">
        <f t="shared" si="98"/>
        <v>0</v>
      </c>
      <c r="U148">
        <f t="shared" si="85"/>
        <v>1.3</v>
      </c>
      <c r="V148">
        <f t="shared" si="86"/>
        <v>1</v>
      </c>
      <c r="W148">
        <f t="shared" si="87"/>
        <v>0.43585000000000007</v>
      </c>
      <c r="X148">
        <v>2.5</v>
      </c>
      <c r="Y148">
        <f t="shared" si="99"/>
        <v>0.99999627334682795</v>
      </c>
      <c r="Z148">
        <f t="shared" si="88"/>
        <v>1.7024658722949466</v>
      </c>
      <c r="AA148">
        <f t="shared" si="100"/>
        <v>1.7024595277951033</v>
      </c>
      <c r="AB148">
        <f t="shared" si="89"/>
        <v>0.11917216694565724</v>
      </c>
      <c r="AC148">
        <f t="shared" si="90"/>
        <v>0.08</v>
      </c>
      <c r="AD148">
        <f t="shared" si="91"/>
        <v>0.81147820323828879</v>
      </c>
      <c r="AE148">
        <f t="shared" si="92"/>
        <v>0.19</v>
      </c>
      <c r="AF148">
        <f t="shared" si="93"/>
        <v>0.6784</v>
      </c>
      <c r="AG148">
        <f t="shared" si="94"/>
        <v>0</v>
      </c>
      <c r="AH148">
        <f t="shared" si="95"/>
        <v>4.9160258407763158E-4</v>
      </c>
      <c r="AI148">
        <f t="shared" si="101"/>
        <v>4.9160258407763158E-4</v>
      </c>
      <c r="AJ148">
        <f t="shared" si="96"/>
        <v>2.4672304688396136</v>
      </c>
      <c r="BF148" s="14"/>
      <c r="BH148" s="15"/>
      <c r="BI148" s="15"/>
      <c r="BJ148" s="15"/>
      <c r="BK148" s="15"/>
      <c r="BL148" s="15"/>
      <c r="BM148" s="16"/>
    </row>
    <row r="149" spans="5:65" x14ac:dyDescent="0.2">
      <c r="E149" s="11"/>
      <c r="F149" t="s">
        <v>165</v>
      </c>
      <c r="G149">
        <v>60</v>
      </c>
      <c r="H149">
        <v>0</v>
      </c>
      <c r="I149">
        <v>0</v>
      </c>
      <c r="J149">
        <f t="shared" si="82"/>
        <v>91.25</v>
      </c>
      <c r="K149">
        <v>0.14000000000000001</v>
      </c>
      <c r="L149">
        <v>0.67</v>
      </c>
      <c r="M149">
        <v>75</v>
      </c>
      <c r="N149">
        <f t="shared" si="97"/>
        <v>0</v>
      </c>
      <c r="O149">
        <f>O131</f>
        <v>1</v>
      </c>
      <c r="P149">
        <f>P131</f>
        <v>0.69</v>
      </c>
      <c r="Q149">
        <f t="shared" si="83"/>
        <v>4.7000000000000002E-3</v>
      </c>
      <c r="R149">
        <f t="shared" si="84"/>
        <v>0</v>
      </c>
      <c r="S149">
        <v>0</v>
      </c>
      <c r="T149">
        <f t="shared" si="98"/>
        <v>0</v>
      </c>
      <c r="U149">
        <f t="shared" si="85"/>
        <v>1.3</v>
      </c>
      <c r="V149">
        <f t="shared" si="86"/>
        <v>1</v>
      </c>
      <c r="W149">
        <f t="shared" si="87"/>
        <v>0.53125000000000011</v>
      </c>
      <c r="X149">
        <v>1.3</v>
      </c>
      <c r="Y149">
        <f t="shared" si="99"/>
        <v>0.96595254526540064</v>
      </c>
      <c r="Z149">
        <f t="shared" si="88"/>
        <v>1.6220828500688129</v>
      </c>
      <c r="AA149">
        <f t="shared" si="100"/>
        <v>1.5668550576553251</v>
      </c>
      <c r="AB149">
        <f t="shared" si="89"/>
        <v>0.21935970807174554</v>
      </c>
      <c r="AC149">
        <f t="shared" si="90"/>
        <v>0.08</v>
      </c>
      <c r="AD149">
        <f t="shared" si="91"/>
        <v>0.56604247510271932</v>
      </c>
      <c r="AE149">
        <f t="shared" si="92"/>
        <v>0.19</v>
      </c>
      <c r="AF149">
        <f t="shared" si="93"/>
        <v>0.6784</v>
      </c>
      <c r="AG149">
        <f t="shared" si="94"/>
        <v>0</v>
      </c>
      <c r="AH149">
        <f t="shared" si="95"/>
        <v>3.4291487109294852E-4</v>
      </c>
      <c r="AI149">
        <f t="shared" si="101"/>
        <v>3.4291487109294852E-4</v>
      </c>
      <c r="AJ149">
        <f t="shared" si="96"/>
        <v>1.8774589192338933</v>
      </c>
      <c r="BF149" s="14"/>
      <c r="BH149" s="15"/>
      <c r="BI149" s="15"/>
      <c r="BJ149" s="15"/>
      <c r="BK149" s="15"/>
      <c r="BL149" s="15"/>
      <c r="BM149" s="16"/>
    </row>
    <row r="150" spans="5:65" x14ac:dyDescent="0.2">
      <c r="E150" s="12"/>
      <c r="F150" t="s">
        <v>166</v>
      </c>
      <c r="G150">
        <v>65</v>
      </c>
      <c r="H150">
        <v>0</v>
      </c>
      <c r="I150">
        <v>0</v>
      </c>
      <c r="J150">
        <f t="shared" si="82"/>
        <v>91.25</v>
      </c>
      <c r="K150">
        <v>0.16</v>
      </c>
      <c r="L150">
        <v>0.7</v>
      </c>
      <c r="M150">
        <v>75</v>
      </c>
      <c r="N150">
        <f t="shared" si="97"/>
        <v>0</v>
      </c>
      <c r="O150">
        <f>O131</f>
        <v>1</v>
      </c>
      <c r="P150">
        <f>P131</f>
        <v>0.69</v>
      </c>
      <c r="Q150">
        <f t="shared" si="83"/>
        <v>4.7000000000000002E-3</v>
      </c>
      <c r="R150">
        <f t="shared" si="84"/>
        <v>0</v>
      </c>
      <c r="S150">
        <v>0</v>
      </c>
      <c r="T150">
        <f t="shared" si="98"/>
        <v>0</v>
      </c>
      <c r="U150">
        <f t="shared" si="85"/>
        <v>1.3</v>
      </c>
      <c r="V150">
        <f t="shared" si="86"/>
        <v>1</v>
      </c>
      <c r="W150">
        <f t="shared" si="87"/>
        <v>0.55510000000000004</v>
      </c>
      <c r="X150">
        <v>0.8</v>
      </c>
      <c r="Y150">
        <f t="shared" si="99"/>
        <v>0.72196269954680592</v>
      </c>
      <c r="Z150">
        <f t="shared" si="88"/>
        <v>1.6857229733976102</v>
      </c>
      <c r="AA150">
        <f t="shared" si="100"/>
        <v>1.2170291085622071</v>
      </c>
      <c r="AB150">
        <f t="shared" si="89"/>
        <v>0.19472465736995315</v>
      </c>
      <c r="AC150">
        <f t="shared" si="90"/>
        <v>0.08</v>
      </c>
      <c r="AD150">
        <f t="shared" si="91"/>
        <v>0.39040671648319736</v>
      </c>
      <c r="AE150">
        <f t="shared" si="92"/>
        <v>0.19</v>
      </c>
      <c r="AF150">
        <f t="shared" si="93"/>
        <v>0.6784</v>
      </c>
      <c r="AG150">
        <f t="shared" si="94"/>
        <v>0</v>
      </c>
      <c r="AH150">
        <f t="shared" si="95"/>
        <v>2.365127614007456E-4</v>
      </c>
      <c r="AI150">
        <f t="shared" si="101"/>
        <v>2.365127614007456E-4</v>
      </c>
      <c r="AJ150">
        <f t="shared" si="96"/>
        <v>1.4028163160581724</v>
      </c>
      <c r="BF150" s="14"/>
      <c r="BH150" s="15"/>
      <c r="BI150" s="15"/>
      <c r="BJ150" s="15"/>
      <c r="BK150" s="15"/>
      <c r="BL150" s="15"/>
      <c r="BM150" s="16"/>
    </row>
    <row r="151" spans="5:65" x14ac:dyDescent="0.2">
      <c r="E151" s="11" t="s">
        <v>167</v>
      </c>
      <c r="F151" t="s">
        <v>163</v>
      </c>
      <c r="G151">
        <v>50</v>
      </c>
      <c r="H151">
        <v>0</v>
      </c>
      <c r="I151">
        <v>0</v>
      </c>
      <c r="J151">
        <f t="shared" si="82"/>
        <v>91.25</v>
      </c>
      <c r="K151">
        <v>0.2</v>
      </c>
      <c r="L151">
        <v>0.75</v>
      </c>
      <c r="M151">
        <v>55</v>
      </c>
      <c r="N151">
        <f t="shared" si="97"/>
        <v>0</v>
      </c>
      <c r="O151">
        <f>O131</f>
        <v>1</v>
      </c>
      <c r="P151">
        <f>P131</f>
        <v>0.69</v>
      </c>
      <c r="Q151">
        <f t="shared" si="83"/>
        <v>4.7000000000000002E-3</v>
      </c>
      <c r="R151">
        <f t="shared" si="84"/>
        <v>0</v>
      </c>
      <c r="S151">
        <v>0</v>
      </c>
      <c r="T151">
        <f t="shared" si="98"/>
        <v>0</v>
      </c>
      <c r="U151">
        <f t="shared" si="85"/>
        <v>1.3</v>
      </c>
      <c r="V151">
        <f t="shared" si="86"/>
        <v>1</v>
      </c>
      <c r="W151">
        <f t="shared" si="87"/>
        <v>0.5948500000000001</v>
      </c>
      <c r="X151">
        <v>2.5</v>
      </c>
      <c r="Y151">
        <f t="shared" si="99"/>
        <v>0.99999627334682795</v>
      </c>
      <c r="Z151">
        <f t="shared" si="88"/>
        <v>1.2959122541335131</v>
      </c>
      <c r="AA151">
        <f t="shared" si="100"/>
        <v>1.2959074247180005</v>
      </c>
      <c r="AB151">
        <f t="shared" si="89"/>
        <v>0.2591814849436001</v>
      </c>
      <c r="AC151">
        <f t="shared" si="90"/>
        <v>0.08</v>
      </c>
      <c r="AD151">
        <f t="shared" si="91"/>
        <v>0.35985974645170415</v>
      </c>
      <c r="AE151">
        <f t="shared" si="92"/>
        <v>0.19</v>
      </c>
      <c r="AF151">
        <f t="shared" si="93"/>
        <v>0.6784</v>
      </c>
      <c r="AG151">
        <f t="shared" si="94"/>
        <v>0</v>
      </c>
      <c r="AH151">
        <f t="shared" si="95"/>
        <v>2.1800706482960261E-4</v>
      </c>
      <c r="AI151">
        <f t="shared" si="101"/>
        <v>2.1800706482960261E-4</v>
      </c>
      <c r="AJ151">
        <f t="shared" si="96"/>
        <v>0.99465723328506195</v>
      </c>
      <c r="BF151" s="14"/>
      <c r="BH151" s="15"/>
      <c r="BI151" s="15"/>
      <c r="BJ151" s="15"/>
      <c r="BK151" s="15"/>
      <c r="BL151" s="15"/>
      <c r="BM151" s="16"/>
    </row>
    <row r="152" spans="5:65" x14ac:dyDescent="0.2">
      <c r="E152" s="12"/>
      <c r="F152" t="s">
        <v>164</v>
      </c>
      <c r="G152">
        <v>100</v>
      </c>
      <c r="H152">
        <v>0</v>
      </c>
      <c r="I152">
        <v>0</v>
      </c>
      <c r="J152">
        <f t="shared" si="82"/>
        <v>91.25</v>
      </c>
      <c r="K152">
        <v>7.0000000000000007E-2</v>
      </c>
      <c r="L152">
        <v>0.55000000000000004</v>
      </c>
      <c r="M152">
        <v>55</v>
      </c>
      <c r="N152">
        <f t="shared" si="97"/>
        <v>0</v>
      </c>
      <c r="O152">
        <f>O131</f>
        <v>1</v>
      </c>
      <c r="P152">
        <f>P131</f>
        <v>0.69</v>
      </c>
      <c r="Q152">
        <f t="shared" si="83"/>
        <v>4.7000000000000002E-3</v>
      </c>
      <c r="R152">
        <f t="shared" si="84"/>
        <v>0</v>
      </c>
      <c r="S152">
        <v>0</v>
      </c>
      <c r="T152">
        <f t="shared" si="98"/>
        <v>0</v>
      </c>
      <c r="U152">
        <f t="shared" si="85"/>
        <v>1.3</v>
      </c>
      <c r="V152">
        <f t="shared" si="86"/>
        <v>1</v>
      </c>
      <c r="W152">
        <f t="shared" si="87"/>
        <v>0.43585000000000007</v>
      </c>
      <c r="X152">
        <v>2.5</v>
      </c>
      <c r="Y152">
        <f t="shared" si="99"/>
        <v>0.99999627334682795</v>
      </c>
      <c r="Z152">
        <f t="shared" si="88"/>
        <v>0.95969823125361531</v>
      </c>
      <c r="AA152">
        <f t="shared" si="100"/>
        <v>0.95969465479115756</v>
      </c>
      <c r="AB152">
        <f t="shared" si="89"/>
        <v>6.7178625835381034E-2</v>
      </c>
      <c r="AC152">
        <f t="shared" si="90"/>
        <v>0.08</v>
      </c>
      <c r="AD152">
        <f t="shared" si="91"/>
        <v>0.43120689604353685</v>
      </c>
      <c r="AE152">
        <f t="shared" si="92"/>
        <v>0.19</v>
      </c>
      <c r="AF152">
        <f t="shared" si="93"/>
        <v>0.6784</v>
      </c>
      <c r="AG152">
        <f t="shared" si="94"/>
        <v>0</v>
      </c>
      <c r="AH152">
        <f t="shared" si="95"/>
        <v>2.6122996714041032E-4</v>
      </c>
      <c r="AI152">
        <f t="shared" si="101"/>
        <v>2.6122996714041032E-4</v>
      </c>
      <c r="AJ152">
        <f t="shared" si="96"/>
        <v>2.3837234501562445</v>
      </c>
      <c r="BF152" s="17"/>
      <c r="BH152" s="18"/>
      <c r="BI152" s="18"/>
      <c r="BJ152" s="18"/>
      <c r="BK152" s="18"/>
      <c r="BL152" s="18"/>
      <c r="BM152" s="19"/>
    </row>
    <row r="153" spans="5:65" x14ac:dyDescent="0.2">
      <c r="E153" s="11"/>
      <c r="F153" t="s">
        <v>165</v>
      </c>
      <c r="G153">
        <v>90</v>
      </c>
      <c r="H153">
        <v>0</v>
      </c>
      <c r="I153">
        <v>0</v>
      </c>
      <c r="J153">
        <f t="shared" si="82"/>
        <v>91.25</v>
      </c>
      <c r="K153">
        <v>0.14000000000000001</v>
      </c>
      <c r="L153">
        <v>0.67</v>
      </c>
      <c r="M153">
        <v>50</v>
      </c>
      <c r="N153">
        <f t="shared" si="97"/>
        <v>0</v>
      </c>
      <c r="O153">
        <f>O131</f>
        <v>1</v>
      </c>
      <c r="P153">
        <f>P131</f>
        <v>0.69</v>
      </c>
      <c r="Q153">
        <f t="shared" si="83"/>
        <v>4.7000000000000002E-3</v>
      </c>
      <c r="R153">
        <f t="shared" si="84"/>
        <v>0</v>
      </c>
      <c r="S153">
        <v>0</v>
      </c>
      <c r="T153">
        <f t="shared" si="98"/>
        <v>0</v>
      </c>
      <c r="U153">
        <f t="shared" si="85"/>
        <v>1.3</v>
      </c>
      <c r="V153">
        <f t="shared" si="86"/>
        <v>1</v>
      </c>
      <c r="W153">
        <f t="shared" si="87"/>
        <v>0.53125000000000011</v>
      </c>
      <c r="X153">
        <v>1.3</v>
      </c>
      <c r="Y153">
        <f t="shared" si="99"/>
        <v>0.96595254526540064</v>
      </c>
      <c r="Z153">
        <f t="shared" si="88"/>
        <v>1.052440031254225</v>
      </c>
      <c r="AA153">
        <f t="shared" si="100"/>
        <v>1.0166071269292165</v>
      </c>
      <c r="AB153">
        <f t="shared" si="89"/>
        <v>0.14232499777009033</v>
      </c>
      <c r="AC153">
        <f t="shared" si="90"/>
        <v>0.08</v>
      </c>
      <c r="AD153">
        <f t="shared" si="91"/>
        <v>0.34667435759496673</v>
      </c>
      <c r="AE153">
        <f t="shared" si="92"/>
        <v>0.19</v>
      </c>
      <c r="AF153">
        <f t="shared" si="93"/>
        <v>0.6784</v>
      </c>
      <c r="AG153">
        <f t="shared" si="94"/>
        <v>0</v>
      </c>
      <c r="AH153">
        <f t="shared" si="95"/>
        <v>2.1001920858383592E-4</v>
      </c>
      <c r="AI153">
        <f t="shared" si="101"/>
        <v>2.1001920858383592E-4</v>
      </c>
      <c r="AJ153">
        <f t="shared" si="96"/>
        <v>1.7247827504947524</v>
      </c>
      <c r="BF153" s="17"/>
      <c r="BH153" s="18"/>
      <c r="BI153" s="18"/>
      <c r="BJ153" s="18"/>
      <c r="BK153" s="18"/>
      <c r="BL153" s="18"/>
      <c r="BM153" s="19"/>
    </row>
    <row r="154" spans="5:65" x14ac:dyDescent="0.2">
      <c r="E154" s="12"/>
      <c r="F154" t="s">
        <v>166</v>
      </c>
      <c r="G154">
        <v>80</v>
      </c>
      <c r="H154">
        <v>0</v>
      </c>
      <c r="I154">
        <v>0</v>
      </c>
      <c r="J154">
        <f t="shared" si="82"/>
        <v>91.25</v>
      </c>
      <c r="K154">
        <v>0.16</v>
      </c>
      <c r="L154">
        <v>0.7</v>
      </c>
      <c r="M154">
        <v>45</v>
      </c>
      <c r="N154">
        <f t="shared" si="97"/>
        <v>0</v>
      </c>
      <c r="O154">
        <f>O131</f>
        <v>1</v>
      </c>
      <c r="P154">
        <f>P131</f>
        <v>0.69</v>
      </c>
      <c r="Q154">
        <f t="shared" si="83"/>
        <v>4.7000000000000002E-3</v>
      </c>
      <c r="R154">
        <f t="shared" si="84"/>
        <v>0</v>
      </c>
      <c r="S154">
        <v>0</v>
      </c>
      <c r="T154">
        <f t="shared" si="98"/>
        <v>0</v>
      </c>
      <c r="U154">
        <f t="shared" si="85"/>
        <v>1.3</v>
      </c>
      <c r="V154">
        <f t="shared" si="86"/>
        <v>1</v>
      </c>
      <c r="W154">
        <f t="shared" si="87"/>
        <v>0.55510000000000004</v>
      </c>
      <c r="X154">
        <v>0.8</v>
      </c>
      <c r="Y154">
        <f t="shared" si="99"/>
        <v>0.72196269954680592</v>
      </c>
      <c r="Z154">
        <f t="shared" si="88"/>
        <v>0.98919258792655118</v>
      </c>
      <c r="AA154">
        <f t="shared" si="100"/>
        <v>0.71416015115114406</v>
      </c>
      <c r="AB154">
        <f t="shared" si="89"/>
        <v>0.11426562418418305</v>
      </c>
      <c r="AC154">
        <f t="shared" si="90"/>
        <v>0.08</v>
      </c>
      <c r="AD154">
        <f t="shared" si="91"/>
        <v>0.21587711146862967</v>
      </c>
      <c r="AE154">
        <f t="shared" si="92"/>
        <v>0.19</v>
      </c>
      <c r="AF154">
        <f t="shared" si="93"/>
        <v>0.6784</v>
      </c>
      <c r="AG154">
        <f t="shared" si="94"/>
        <v>0</v>
      </c>
      <c r="AH154">
        <f t="shared" si="95"/>
        <v>1.3078077195134431E-4</v>
      </c>
      <c r="AI154">
        <f t="shared" si="101"/>
        <v>1.3078077195134431E-4</v>
      </c>
      <c r="AJ154">
        <f t="shared" si="96"/>
        <v>0.95469963524481338</v>
      </c>
      <c r="BF154" s="17"/>
      <c r="BH154" s="18"/>
      <c r="BI154" s="18"/>
      <c r="BJ154" s="18"/>
      <c r="BK154" s="18"/>
      <c r="BL154" s="18"/>
      <c r="BM154" s="19"/>
    </row>
    <row r="155" spans="5:65" x14ac:dyDescent="0.2">
      <c r="BF155" s="17"/>
      <c r="BH155" s="18"/>
      <c r="BI155" s="18"/>
      <c r="BJ155" s="18"/>
      <c r="BK155" s="18"/>
      <c r="BL155" s="18"/>
      <c r="BM155" s="19"/>
    </row>
    <row r="161" spans="1:37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G161">
        <v>100</v>
      </c>
      <c r="H161">
        <v>95</v>
      </c>
      <c r="I161">
        <v>90</v>
      </c>
      <c r="J161">
        <f t="shared" ref="J161:J184" si="102">$AQ$3</f>
        <v>91.25</v>
      </c>
      <c r="K161" cm="1">
        <f t="array" ref="K161:K184">_xlfn.DROP(_xlfn.XLOOKUP($C161,QueryCP[[#Headers],[ACT/NSW]:[WA]],QueryCP[[#All],[ACT/NSW]:[WA]]),1)</f>
        <v>0.16</v>
      </c>
      <c r="L161" cm="1">
        <f t="array" ref="L161:L184">_xlfn.DROP(_xlfn.XLOOKUP($C161,QueryDMD[[#Headers],[ACT/NSW]:[WA]],QueryDMD[[#All],[ACT/NSW]:[WA]]),1)</f>
        <v>0.7</v>
      </c>
      <c r="M161" cm="1">
        <f t="array" ref="M161:M184">_xlfn.DROP(_xlfn.XLOOKUP($C161,QueryW[[#Headers],[ACT/NSW]:[WA]],QueryW[[#All],[ACT/NSW]:[WA]]),1)</f>
        <v>55</v>
      </c>
      <c r="N161">
        <f>1-O161</f>
        <v>8.2999999999999741E-3</v>
      </c>
      <c r="O161">
        <f>IF($D161="yes", 1, VLOOKUP($B161, $AP$26:$AR$32, 2)/100)</f>
        <v>0.99170000000000003</v>
      </c>
      <c r="P161">
        <f>VLOOKUP($B161,$AR$10:$AS$16, 2, FALSE)</f>
        <v>0.73</v>
      </c>
      <c r="Q161">
        <f t="shared" ref="Q161:Q184" si="103">$AQ$10</f>
        <v>4.7000000000000002E-3</v>
      </c>
      <c r="R161">
        <f t="shared" ref="R161:R184" si="104">(H161/100)*(MIN(I161,100)/100)</f>
        <v>0.85499999999999998</v>
      </c>
      <c r="S161">
        <v>0</v>
      </c>
      <c r="T161">
        <f>1.6 * S161</f>
        <v>0</v>
      </c>
      <c r="U161">
        <f t="shared" ref="U161:U184" si="105">$AT$1</f>
        <v>1.3</v>
      </c>
      <c r="V161">
        <f t="shared" ref="V161:V184" si="106">R161*U161+(1-R161)</f>
        <v>1.2565</v>
      </c>
      <c r="W161">
        <f t="shared" ref="W161:W184" si="107">(0.795*L161)-0.0014</f>
        <v>0.55510000000000004</v>
      </c>
      <c r="X161" cm="1">
        <f t="array" ref="X161:X184">_xlfn.DROP(_xlfn.XLOOKUP($C161,QueryDMA[[#Headers],[ACT/NSW]:[WA]],QueryDMA[[#All],[ACT/NSW]:[WA]]),1)</f>
        <v>3.2</v>
      </c>
      <c r="Y161">
        <f>1 - EXP(-2*(X161^2))</f>
        <v>0.99999999872459233</v>
      </c>
      <c r="Z161">
        <f t="shared" ref="Z161:Z184" si="108">(104.7*W161+0.307*M161-15)*(M161^0.75)*10^-3</f>
        <v>1.2118587484135388</v>
      </c>
      <c r="AA161">
        <f>Z161*Y161*V161</f>
        <v>1.5227005154395477</v>
      </c>
      <c r="AB161">
        <f t="shared" ref="AB161:AB184" si="109">(AA161 * K161) + (0.045 * T161)</f>
        <v>0.24363208247032764</v>
      </c>
      <c r="AC161">
        <f t="shared" ref="AC161:AC184" si="110">$AQ$2</f>
        <v>0.08</v>
      </c>
      <c r="AD161">
        <f t="shared" ref="AD161:AD184" si="111">(AA161 * ((1 - L161) + (0.04 * AA161))) * ( 1 - AC161 )</f>
        <v>0.50559044269900633</v>
      </c>
      <c r="AE161">
        <f t="shared" ref="AE161:AE184" si="112">$AQ$1</f>
        <v>0.19</v>
      </c>
      <c r="AF161">
        <f t="shared" ref="AF161:AF184" si="113">$AR$20</f>
        <v>0.6784</v>
      </c>
      <c r="AG161">
        <f t="shared" ref="AG161:AG184" si="114">AD161 * AE161 * N161 * P161 * AF161</f>
        <v>3.9485646076921121E-4</v>
      </c>
      <c r="AH161">
        <f t="shared" ref="AH161:AH184" si="115">AD161*AE161*O161*Q161*AF161</f>
        <v>3.0375012627177617E-4</v>
      </c>
      <c r="AI161">
        <f>AG161+AH161</f>
        <v>6.9860658704098738E-4</v>
      </c>
      <c r="AJ161">
        <f t="shared" ref="AJ161:AJ184" si="116">G161*AI161*J161</f>
        <v>6.3747851067490107</v>
      </c>
      <c r="AK161">
        <f>SUM(AJ161:AJ184)*10^-3</f>
        <v>0.12146276071325623</v>
      </c>
    </row>
    <row r="162" spans="1:37" x14ac:dyDescent="0.2">
      <c r="E162" s="12"/>
      <c r="F162" t="s">
        <v>164</v>
      </c>
      <c r="G162">
        <v>70</v>
      </c>
      <c r="H162">
        <v>0</v>
      </c>
      <c r="I162">
        <v>0</v>
      </c>
      <c r="J162">
        <f t="shared" si="102"/>
        <v>91.25</v>
      </c>
      <c r="K162">
        <v>7.0000000000000007E-2</v>
      </c>
      <c r="L162">
        <v>0.55000000000000004</v>
      </c>
      <c r="M162">
        <v>50</v>
      </c>
      <c r="N162">
        <f t="shared" ref="N162:N184" si="117">1-O162</f>
        <v>8.2999999999999741E-3</v>
      </c>
      <c r="O162">
        <f>O161</f>
        <v>0.99170000000000003</v>
      </c>
      <c r="P162">
        <f>P161</f>
        <v>0.73</v>
      </c>
      <c r="Q162">
        <f t="shared" si="103"/>
        <v>4.7000000000000002E-3</v>
      </c>
      <c r="R162">
        <f t="shared" si="104"/>
        <v>0</v>
      </c>
      <c r="S162">
        <v>0</v>
      </c>
      <c r="T162">
        <f t="shared" ref="T162:T184" si="118">1.6 * S162</f>
        <v>0</v>
      </c>
      <c r="U162">
        <f t="shared" si="105"/>
        <v>1.3</v>
      </c>
      <c r="V162">
        <f t="shared" si="106"/>
        <v>1</v>
      </c>
      <c r="W162">
        <f t="shared" si="107"/>
        <v>0.43585000000000007</v>
      </c>
      <c r="X162">
        <v>3</v>
      </c>
      <c r="Y162">
        <f t="shared" ref="Y162:Y184" si="119">1 - EXP(-2*(X162^2))</f>
        <v>0.99999998477002028</v>
      </c>
      <c r="Z162">
        <f t="shared" si="108"/>
        <v>0.8646283676396137</v>
      </c>
      <c r="AA162">
        <f t="shared" ref="AA162:AA184" si="120">Z162*Y162*V162</f>
        <v>0.86462835447134123</v>
      </c>
      <c r="AB162">
        <f t="shared" si="109"/>
        <v>6.052398481299389E-2</v>
      </c>
      <c r="AC162">
        <f t="shared" si="110"/>
        <v>0.08</v>
      </c>
      <c r="AD162">
        <f t="shared" si="111"/>
        <v>0.38546716339302944</v>
      </c>
      <c r="AE162">
        <f t="shared" si="112"/>
        <v>0.19</v>
      </c>
      <c r="AF162">
        <f t="shared" si="113"/>
        <v>0.6784</v>
      </c>
      <c r="AG162">
        <f t="shared" si="114"/>
        <v>3.0104247831031633E-4</v>
      </c>
      <c r="AH162">
        <f t="shared" si="115"/>
        <v>2.3158210611975671E-4</v>
      </c>
      <c r="AI162">
        <f t="shared" ref="AI162:AI184" si="121">AG162+AH162</f>
        <v>5.3262458443007301E-4</v>
      </c>
      <c r="AJ162">
        <f t="shared" si="116"/>
        <v>3.4021395330470914</v>
      </c>
    </row>
    <row r="163" spans="1:37" x14ac:dyDescent="0.2">
      <c r="E163" s="11"/>
      <c r="F163" t="s">
        <v>165</v>
      </c>
      <c r="G163">
        <v>65</v>
      </c>
      <c r="H163">
        <v>0</v>
      </c>
      <c r="I163">
        <v>0</v>
      </c>
      <c r="J163">
        <f t="shared" si="102"/>
        <v>91.25</v>
      </c>
      <c r="K163">
        <v>0.13</v>
      </c>
      <c r="L163">
        <v>0.65</v>
      </c>
      <c r="M163">
        <v>48</v>
      </c>
      <c r="N163">
        <f t="shared" si="117"/>
        <v>8.2999999999999741E-3</v>
      </c>
      <c r="O163">
        <f>O161</f>
        <v>0.99170000000000003</v>
      </c>
      <c r="P163">
        <f>P161</f>
        <v>0.73</v>
      </c>
      <c r="Q163">
        <f t="shared" si="103"/>
        <v>4.7000000000000002E-3</v>
      </c>
      <c r="R163">
        <f t="shared" si="104"/>
        <v>0</v>
      </c>
      <c r="S163">
        <v>0</v>
      </c>
      <c r="T163">
        <f t="shared" si="118"/>
        <v>0</v>
      </c>
      <c r="U163">
        <f t="shared" si="105"/>
        <v>1.3</v>
      </c>
      <c r="V163">
        <f t="shared" si="106"/>
        <v>1</v>
      </c>
      <c r="W163">
        <f t="shared" si="107"/>
        <v>0.51535000000000009</v>
      </c>
      <c r="X163">
        <v>1.8</v>
      </c>
      <c r="Y163">
        <f t="shared" si="119"/>
        <v>0.99846618932067555</v>
      </c>
      <c r="Z163">
        <f t="shared" si="108"/>
        <v>0.97915122350076966</v>
      </c>
      <c r="AA163">
        <f t="shared" si="120"/>
        <v>0.97764939089749059</v>
      </c>
      <c r="AB163">
        <f t="shared" si="109"/>
        <v>0.12709442081667377</v>
      </c>
      <c r="AC163">
        <f t="shared" si="110"/>
        <v>0.08</v>
      </c>
      <c r="AD163">
        <f t="shared" si="111"/>
        <v>0.3499764824690102</v>
      </c>
      <c r="AE163">
        <f t="shared" si="112"/>
        <v>0.19</v>
      </c>
      <c r="AF163">
        <f t="shared" si="113"/>
        <v>0.6784</v>
      </c>
      <c r="AG163">
        <f t="shared" si="114"/>
        <v>2.7332493565832759E-4</v>
      </c>
      <c r="AH163">
        <f t="shared" si="115"/>
        <v>2.1025990953195452E-4</v>
      </c>
      <c r="AI163">
        <f t="shared" si="121"/>
        <v>4.8358484519028214E-4</v>
      </c>
      <c r="AJ163">
        <f t="shared" si="116"/>
        <v>2.8682626130348607</v>
      </c>
    </row>
    <row r="164" spans="1:37" x14ac:dyDescent="0.2">
      <c r="E164" s="12"/>
      <c r="F164" t="s">
        <v>166</v>
      </c>
      <c r="G164">
        <v>80</v>
      </c>
      <c r="H164">
        <v>0</v>
      </c>
      <c r="I164">
        <v>0</v>
      </c>
      <c r="J164">
        <f t="shared" si="102"/>
        <v>91.25</v>
      </c>
      <c r="K164">
        <v>0.1</v>
      </c>
      <c r="L164">
        <v>0.6</v>
      </c>
      <c r="M164">
        <v>45</v>
      </c>
      <c r="N164">
        <f t="shared" si="117"/>
        <v>8.2999999999999741E-3</v>
      </c>
      <c r="O164">
        <f>O161</f>
        <v>0.99170000000000003</v>
      </c>
      <c r="P164">
        <f>P161</f>
        <v>0.73</v>
      </c>
      <c r="Q164">
        <f t="shared" si="103"/>
        <v>4.7000000000000002E-3</v>
      </c>
      <c r="R164">
        <f t="shared" si="104"/>
        <v>0</v>
      </c>
      <c r="S164">
        <v>0</v>
      </c>
      <c r="T164">
        <f t="shared" si="118"/>
        <v>0</v>
      </c>
      <c r="U164">
        <f t="shared" si="105"/>
        <v>1.3</v>
      </c>
      <c r="V164">
        <f t="shared" si="106"/>
        <v>1</v>
      </c>
      <c r="W164">
        <f t="shared" si="107"/>
        <v>0.47559999999999997</v>
      </c>
      <c r="X164">
        <v>1</v>
      </c>
      <c r="Y164">
        <f t="shared" si="119"/>
        <v>0.8646647167633873</v>
      </c>
      <c r="Z164">
        <f t="shared" si="108"/>
        <v>0.84457430670543054</v>
      </c>
      <c r="AA164">
        <f t="shared" si="120"/>
        <v>0.73027360369308525</v>
      </c>
      <c r="AB164">
        <f t="shared" si="109"/>
        <v>7.3027360369308528E-2</v>
      </c>
      <c r="AC164">
        <f t="shared" si="110"/>
        <v>0.08</v>
      </c>
      <c r="AD164">
        <f t="shared" si="111"/>
        <v>0.28836610909308796</v>
      </c>
      <c r="AE164">
        <f t="shared" si="112"/>
        <v>0.19</v>
      </c>
      <c r="AF164">
        <f t="shared" si="113"/>
        <v>0.6784</v>
      </c>
      <c r="AG164">
        <f t="shared" si="114"/>
        <v>2.2520841302783737E-4</v>
      </c>
      <c r="AH164">
        <f t="shared" si="115"/>
        <v>1.7324544661472571E-4</v>
      </c>
      <c r="AI164">
        <f t="shared" si="121"/>
        <v>3.9845385964256308E-4</v>
      </c>
      <c r="AJ164">
        <f t="shared" si="116"/>
        <v>2.9087131753907101</v>
      </c>
    </row>
    <row r="165" spans="1:37" x14ac:dyDescent="0.2">
      <c r="E165" s="11" t="s">
        <v>171</v>
      </c>
      <c r="F165" t="s">
        <v>163</v>
      </c>
      <c r="G165">
        <v>200</v>
      </c>
      <c r="H165">
        <v>0</v>
      </c>
      <c r="I165">
        <v>0</v>
      </c>
      <c r="J165">
        <f t="shared" si="102"/>
        <v>91.25</v>
      </c>
      <c r="K165">
        <v>0.16</v>
      </c>
      <c r="L165">
        <v>0.7</v>
      </c>
      <c r="M165">
        <v>22</v>
      </c>
      <c r="N165">
        <f t="shared" si="117"/>
        <v>8.2999999999999741E-3</v>
      </c>
      <c r="O165">
        <f>O161</f>
        <v>0.99170000000000003</v>
      </c>
      <c r="P165">
        <f>P161</f>
        <v>0.73</v>
      </c>
      <c r="Q165">
        <f t="shared" si="103"/>
        <v>4.7000000000000002E-3</v>
      </c>
      <c r="R165">
        <f t="shared" si="104"/>
        <v>0</v>
      </c>
      <c r="S165">
        <v>1</v>
      </c>
      <c r="T165">
        <f t="shared" si="118"/>
        <v>1.6</v>
      </c>
      <c r="U165">
        <f t="shared" si="105"/>
        <v>1.3</v>
      </c>
      <c r="V165">
        <f t="shared" si="106"/>
        <v>1</v>
      </c>
      <c r="W165">
        <f t="shared" si="107"/>
        <v>0.55510000000000004</v>
      </c>
      <c r="X165">
        <v>3.2</v>
      </c>
      <c r="Y165">
        <f t="shared" si="119"/>
        <v>0.99999999872459233</v>
      </c>
      <c r="Z165">
        <f t="shared" si="108"/>
        <v>0.50661989714547884</v>
      </c>
      <c r="AA165">
        <f t="shared" si="120"/>
        <v>0.50661989649933192</v>
      </c>
      <c r="AB165">
        <f t="shared" si="109"/>
        <v>0.15305918343989311</v>
      </c>
      <c r="AC165">
        <f t="shared" si="110"/>
        <v>0.08</v>
      </c>
      <c r="AD165">
        <f t="shared" si="111"/>
        <v>0.14927231631248258</v>
      </c>
      <c r="AE165">
        <f t="shared" si="112"/>
        <v>0.19</v>
      </c>
      <c r="AF165">
        <f t="shared" si="113"/>
        <v>0.6784</v>
      </c>
      <c r="AG165">
        <f t="shared" si="114"/>
        <v>1.1657882256500357E-4</v>
      </c>
      <c r="AH165">
        <f t="shared" si="115"/>
        <v>8.9680265091146702E-5</v>
      </c>
      <c r="AI165">
        <f t="shared" si="121"/>
        <v>2.0625908765615027E-4</v>
      </c>
      <c r="AJ165">
        <f t="shared" si="116"/>
        <v>3.7642283497247426</v>
      </c>
    </row>
    <row r="166" spans="1:37" x14ac:dyDescent="0.2">
      <c r="E166" s="12"/>
      <c r="F166" t="s">
        <v>164</v>
      </c>
      <c r="G166">
        <v>210</v>
      </c>
      <c r="H166">
        <v>0</v>
      </c>
      <c r="I166">
        <v>0</v>
      </c>
      <c r="J166">
        <f t="shared" si="102"/>
        <v>91.25</v>
      </c>
      <c r="K166">
        <v>7.0000000000000007E-2</v>
      </c>
      <c r="L166">
        <v>0.55000000000000004</v>
      </c>
      <c r="M166">
        <v>28</v>
      </c>
      <c r="N166">
        <f t="shared" si="117"/>
        <v>8.2999999999999741E-3</v>
      </c>
      <c r="O166">
        <f>O161</f>
        <v>0.99170000000000003</v>
      </c>
      <c r="P166">
        <f>P161</f>
        <v>0.73</v>
      </c>
      <c r="Q166">
        <f t="shared" si="103"/>
        <v>4.7000000000000002E-3</v>
      </c>
      <c r="R166">
        <f t="shared" si="104"/>
        <v>0</v>
      </c>
      <c r="S166">
        <v>0</v>
      </c>
      <c r="T166">
        <f t="shared" si="118"/>
        <v>0</v>
      </c>
      <c r="U166">
        <f t="shared" si="105"/>
        <v>1.3</v>
      </c>
      <c r="V166">
        <f t="shared" si="106"/>
        <v>1</v>
      </c>
      <c r="W166">
        <f t="shared" si="107"/>
        <v>0.43585000000000007</v>
      </c>
      <c r="X166">
        <v>3</v>
      </c>
      <c r="Y166">
        <f t="shared" si="119"/>
        <v>0.99999998477002028</v>
      </c>
      <c r="Z166">
        <f t="shared" si="108"/>
        <v>0.47750864762612716</v>
      </c>
      <c r="AA166">
        <f t="shared" si="120"/>
        <v>0.47750864035368012</v>
      </c>
      <c r="AB166">
        <f t="shared" si="109"/>
        <v>3.3425604824757614E-2</v>
      </c>
      <c r="AC166">
        <f t="shared" si="110"/>
        <v>0.08</v>
      </c>
      <c r="AD166">
        <f t="shared" si="111"/>
        <v>0.20607951076576064</v>
      </c>
      <c r="AE166">
        <f t="shared" si="112"/>
        <v>0.19</v>
      </c>
      <c r="AF166">
        <f t="shared" si="113"/>
        <v>0.6784</v>
      </c>
      <c r="AG166">
        <f t="shared" si="114"/>
        <v>1.6094415437054054E-4</v>
      </c>
      <c r="AH166">
        <f t="shared" si="115"/>
        <v>1.238090599240053E-4</v>
      </c>
      <c r="AI166">
        <f t="shared" si="121"/>
        <v>2.8475321429454587E-4</v>
      </c>
      <c r="AJ166">
        <f t="shared" si="116"/>
        <v>5.4565834689192352</v>
      </c>
    </row>
    <row r="167" spans="1:37" x14ac:dyDescent="0.2">
      <c r="E167" s="11"/>
      <c r="F167" t="s">
        <v>165</v>
      </c>
      <c r="G167">
        <v>170</v>
      </c>
      <c r="H167">
        <v>0</v>
      </c>
      <c r="I167">
        <v>0</v>
      </c>
      <c r="J167">
        <f t="shared" si="102"/>
        <v>91.25</v>
      </c>
      <c r="K167">
        <v>0.13</v>
      </c>
      <c r="L167">
        <v>0.65</v>
      </c>
      <c r="M167">
        <v>33</v>
      </c>
      <c r="N167">
        <f t="shared" si="117"/>
        <v>8.2999999999999741E-3</v>
      </c>
      <c r="O167">
        <f>O161</f>
        <v>0.99170000000000003</v>
      </c>
      <c r="P167">
        <f>P161</f>
        <v>0.73</v>
      </c>
      <c r="Q167">
        <f t="shared" si="103"/>
        <v>4.7000000000000002E-3</v>
      </c>
      <c r="R167">
        <f t="shared" si="104"/>
        <v>0</v>
      </c>
      <c r="S167">
        <v>0</v>
      </c>
      <c r="T167">
        <f t="shared" si="118"/>
        <v>0</v>
      </c>
      <c r="U167">
        <f t="shared" si="105"/>
        <v>1.3</v>
      </c>
      <c r="V167">
        <f t="shared" si="106"/>
        <v>1</v>
      </c>
      <c r="W167">
        <f t="shared" si="107"/>
        <v>0.51535000000000009</v>
      </c>
      <c r="X167">
        <v>1.8</v>
      </c>
      <c r="Y167">
        <f t="shared" si="119"/>
        <v>0.99846618932067555</v>
      </c>
      <c r="Z167">
        <f t="shared" si="108"/>
        <v>0.67586829739226073</v>
      </c>
      <c r="AA167">
        <f t="shared" si="120"/>
        <v>0.67483164337990365</v>
      </c>
      <c r="AB167">
        <f t="shared" si="109"/>
        <v>8.772811363938747E-2</v>
      </c>
      <c r="AC167">
        <f t="shared" si="110"/>
        <v>0.08</v>
      </c>
      <c r="AD167">
        <f t="shared" si="111"/>
        <v>0.23405442625450001</v>
      </c>
      <c r="AE167">
        <f t="shared" si="112"/>
        <v>0.19</v>
      </c>
      <c r="AF167">
        <f t="shared" si="113"/>
        <v>0.6784</v>
      </c>
      <c r="AG167">
        <f t="shared" si="114"/>
        <v>1.8279202803926314E-4</v>
      </c>
      <c r="AH167">
        <f t="shared" si="115"/>
        <v>1.4061591265402342E-4</v>
      </c>
      <c r="AI167">
        <f t="shared" si="121"/>
        <v>3.2340794069328656E-4</v>
      </c>
      <c r="AJ167">
        <f t="shared" si="116"/>
        <v>5.0168656800046083</v>
      </c>
    </row>
    <row r="168" spans="1:37" x14ac:dyDescent="0.2">
      <c r="E168" s="12"/>
      <c r="F168" t="s">
        <v>166</v>
      </c>
      <c r="G168">
        <v>200</v>
      </c>
      <c r="H168">
        <v>0</v>
      </c>
      <c r="I168">
        <v>0</v>
      </c>
      <c r="J168">
        <f t="shared" si="102"/>
        <v>91.25</v>
      </c>
      <c r="K168">
        <v>0.1</v>
      </c>
      <c r="L168">
        <v>0.6</v>
      </c>
      <c r="M168">
        <v>35</v>
      </c>
      <c r="N168">
        <f t="shared" si="117"/>
        <v>8.2999999999999741E-3</v>
      </c>
      <c r="O168">
        <f>O161</f>
        <v>0.99170000000000003</v>
      </c>
      <c r="P168">
        <f>P161</f>
        <v>0.73</v>
      </c>
      <c r="Q168">
        <f t="shared" si="103"/>
        <v>4.7000000000000002E-3</v>
      </c>
      <c r="R168">
        <f t="shared" si="104"/>
        <v>0</v>
      </c>
      <c r="S168">
        <v>0</v>
      </c>
      <c r="T168">
        <f t="shared" si="118"/>
        <v>0</v>
      </c>
      <c r="U168">
        <f t="shared" si="105"/>
        <v>1.3</v>
      </c>
      <c r="V168">
        <f t="shared" si="106"/>
        <v>1</v>
      </c>
      <c r="W168">
        <f t="shared" si="107"/>
        <v>0.47559999999999997</v>
      </c>
      <c r="X168">
        <v>1</v>
      </c>
      <c r="Y168">
        <f t="shared" si="119"/>
        <v>0.8646647167633873</v>
      </c>
      <c r="Z168">
        <f t="shared" si="108"/>
        <v>0.65531047667424769</v>
      </c>
      <c r="AA168">
        <f t="shared" si="120"/>
        <v>0.56662384770561869</v>
      </c>
      <c r="AB168">
        <f t="shared" si="109"/>
        <v>5.6662384770561874E-2</v>
      </c>
      <c r="AC168">
        <f t="shared" si="110"/>
        <v>0.08</v>
      </c>
      <c r="AD168">
        <f t="shared" si="111"/>
        <v>0.2203326790758926</v>
      </c>
      <c r="AE168">
        <f t="shared" si="112"/>
        <v>0.19</v>
      </c>
      <c r="AF168">
        <f t="shared" si="113"/>
        <v>0.6784</v>
      </c>
      <c r="AG168">
        <f t="shared" si="114"/>
        <v>1.720756060721248E-4</v>
      </c>
      <c r="AH168">
        <f t="shared" si="115"/>
        <v>1.3237212067108688E-4</v>
      </c>
      <c r="AI168">
        <f t="shared" si="121"/>
        <v>3.0444772674321168E-4</v>
      </c>
      <c r="AJ168">
        <f t="shared" si="116"/>
        <v>5.5561710130636133</v>
      </c>
    </row>
    <row r="169" spans="1:37" x14ac:dyDescent="0.2">
      <c r="E169" s="11" t="s">
        <v>168</v>
      </c>
      <c r="F169" t="s">
        <v>163</v>
      </c>
      <c r="G169">
        <v>100</v>
      </c>
      <c r="H169">
        <v>95</v>
      </c>
      <c r="I169">
        <v>92</v>
      </c>
      <c r="J169">
        <f t="shared" si="102"/>
        <v>91.25</v>
      </c>
      <c r="K169">
        <v>0.16</v>
      </c>
      <c r="L169">
        <v>0.7</v>
      </c>
      <c r="M169">
        <v>50</v>
      </c>
      <c r="N169">
        <f t="shared" si="117"/>
        <v>8.2999999999999741E-3</v>
      </c>
      <c r="O169">
        <f>O161</f>
        <v>0.99170000000000003</v>
      </c>
      <c r="P169">
        <f>P161</f>
        <v>0.73</v>
      </c>
      <c r="Q169">
        <f t="shared" si="103"/>
        <v>4.7000000000000002E-3</v>
      </c>
      <c r="R169">
        <f t="shared" si="104"/>
        <v>0.874</v>
      </c>
      <c r="S169">
        <v>0</v>
      </c>
      <c r="T169">
        <f t="shared" si="118"/>
        <v>0</v>
      </c>
      <c r="U169">
        <f t="shared" si="105"/>
        <v>1.3</v>
      </c>
      <c r="V169">
        <f t="shared" si="106"/>
        <v>1.2622</v>
      </c>
      <c r="W169">
        <f t="shared" si="107"/>
        <v>0.55510000000000004</v>
      </c>
      <c r="X169">
        <v>3.2</v>
      </c>
      <c r="Y169">
        <f t="shared" si="119"/>
        <v>0.99999999872459233</v>
      </c>
      <c r="Z169">
        <f t="shared" si="108"/>
        <v>1.0993929471578776</v>
      </c>
      <c r="AA169">
        <f t="shared" si="120"/>
        <v>1.3876537761328489</v>
      </c>
      <c r="AB169">
        <f t="shared" si="109"/>
        <v>0.22202460418125583</v>
      </c>
      <c r="AC169">
        <f t="shared" si="110"/>
        <v>0.08</v>
      </c>
      <c r="AD169">
        <f t="shared" si="111"/>
        <v>0.45385389670156617</v>
      </c>
      <c r="AE169">
        <f t="shared" si="112"/>
        <v>0.19</v>
      </c>
      <c r="AF169">
        <f t="shared" si="113"/>
        <v>0.6784</v>
      </c>
      <c r="AG169">
        <f t="shared" si="114"/>
        <v>3.5445120837575479E-4</v>
      </c>
      <c r="AH169">
        <f t="shared" si="115"/>
        <v>2.7266769066303261E-4</v>
      </c>
      <c r="AI169">
        <f t="shared" si="121"/>
        <v>6.2711889903878739E-4</v>
      </c>
      <c r="AJ169">
        <f t="shared" si="116"/>
        <v>5.7224599537289356</v>
      </c>
    </row>
    <row r="170" spans="1:37" x14ac:dyDescent="0.2">
      <c r="E170" s="12"/>
      <c r="F170" t="s">
        <v>164</v>
      </c>
      <c r="G170">
        <v>140</v>
      </c>
      <c r="H170">
        <v>0</v>
      </c>
      <c r="I170">
        <v>0</v>
      </c>
      <c r="J170">
        <f t="shared" si="102"/>
        <v>91.25</v>
      </c>
      <c r="K170">
        <v>7.0000000000000007E-2</v>
      </c>
      <c r="L170">
        <v>0.55000000000000004</v>
      </c>
      <c r="M170">
        <v>45</v>
      </c>
      <c r="N170">
        <f t="shared" si="117"/>
        <v>8.2999999999999741E-3</v>
      </c>
      <c r="O170">
        <f>O161</f>
        <v>0.99170000000000003</v>
      </c>
      <c r="P170">
        <f>P161</f>
        <v>0.73</v>
      </c>
      <c r="Q170">
        <f t="shared" si="103"/>
        <v>4.7000000000000002E-3</v>
      </c>
      <c r="R170">
        <f t="shared" si="104"/>
        <v>0</v>
      </c>
      <c r="S170">
        <v>0</v>
      </c>
      <c r="T170">
        <f t="shared" si="118"/>
        <v>0</v>
      </c>
      <c r="U170">
        <f t="shared" si="105"/>
        <v>1.3</v>
      </c>
      <c r="V170">
        <f t="shared" si="106"/>
        <v>1</v>
      </c>
      <c r="W170">
        <f t="shared" si="107"/>
        <v>0.43585000000000007</v>
      </c>
      <c r="X170">
        <v>3</v>
      </c>
      <c r="Y170">
        <f t="shared" si="119"/>
        <v>0.99999998477002028</v>
      </c>
      <c r="Z170">
        <f t="shared" si="108"/>
        <v>0.77226516609487061</v>
      </c>
      <c r="AA170">
        <f t="shared" si="120"/>
        <v>0.7722651543332878</v>
      </c>
      <c r="AB170">
        <f t="shared" si="109"/>
        <v>5.4058560803330151E-2</v>
      </c>
      <c r="AC170">
        <f t="shared" si="110"/>
        <v>0.08</v>
      </c>
      <c r="AD170">
        <f t="shared" si="111"/>
        <v>0.34166505353836607</v>
      </c>
      <c r="AE170">
        <f t="shared" si="112"/>
        <v>0.19</v>
      </c>
      <c r="AF170">
        <f t="shared" si="113"/>
        <v>0.6784</v>
      </c>
      <c r="AG170">
        <f t="shared" si="114"/>
        <v>2.6683386871099855E-4</v>
      </c>
      <c r="AH170">
        <f t="shared" si="115"/>
        <v>2.0526654459866004E-4</v>
      </c>
      <c r="AI170">
        <f t="shared" si="121"/>
        <v>4.7210041330965856E-4</v>
      </c>
      <c r="AJ170">
        <f t="shared" si="116"/>
        <v>6.0310827800308875</v>
      </c>
    </row>
    <row r="171" spans="1:37" x14ac:dyDescent="0.2">
      <c r="E171" s="11"/>
      <c r="F171" t="s">
        <v>165</v>
      </c>
      <c r="G171">
        <v>135</v>
      </c>
      <c r="H171">
        <v>0</v>
      </c>
      <c r="I171">
        <v>0</v>
      </c>
      <c r="J171">
        <f t="shared" si="102"/>
        <v>91.25</v>
      </c>
      <c r="K171">
        <v>0.13</v>
      </c>
      <c r="L171">
        <v>0.65</v>
      </c>
      <c r="M171">
        <v>43</v>
      </c>
      <c r="N171">
        <f t="shared" si="117"/>
        <v>8.2999999999999741E-3</v>
      </c>
      <c r="O171">
        <f>O161</f>
        <v>0.99170000000000003</v>
      </c>
      <c r="P171">
        <f>P161</f>
        <v>0.73</v>
      </c>
      <c r="Q171">
        <f t="shared" si="103"/>
        <v>4.7000000000000002E-3</v>
      </c>
      <c r="R171">
        <f t="shared" si="104"/>
        <v>0</v>
      </c>
      <c r="S171">
        <v>0</v>
      </c>
      <c r="T171">
        <f t="shared" si="118"/>
        <v>0</v>
      </c>
      <c r="U171">
        <f t="shared" si="105"/>
        <v>1.3</v>
      </c>
      <c r="V171">
        <f t="shared" si="106"/>
        <v>1</v>
      </c>
      <c r="W171">
        <f t="shared" si="107"/>
        <v>0.51535000000000009</v>
      </c>
      <c r="X171">
        <v>1.8</v>
      </c>
      <c r="Y171">
        <f t="shared" si="119"/>
        <v>0.99846618932067555</v>
      </c>
      <c r="Z171">
        <f t="shared" si="108"/>
        <v>0.87583738496773078</v>
      </c>
      <c r="AA171">
        <f t="shared" si="120"/>
        <v>0.87449401623331569</v>
      </c>
      <c r="AB171">
        <f t="shared" si="109"/>
        <v>0.11368422211033104</v>
      </c>
      <c r="AC171">
        <f t="shared" si="110"/>
        <v>0.08</v>
      </c>
      <c r="AD171">
        <f t="shared" si="111"/>
        <v>0.3097294972940734</v>
      </c>
      <c r="AE171">
        <f t="shared" si="112"/>
        <v>0.19</v>
      </c>
      <c r="AF171">
        <f t="shared" si="113"/>
        <v>0.6784</v>
      </c>
      <c r="AG171">
        <f t="shared" si="114"/>
        <v>2.4189281040301033E-4</v>
      </c>
      <c r="AH171">
        <f t="shared" si="115"/>
        <v>1.8608020636414109E-4</v>
      </c>
      <c r="AI171">
        <f t="shared" si="121"/>
        <v>4.2797301676715142E-4</v>
      </c>
      <c r="AJ171">
        <f t="shared" si="116"/>
        <v>5.2720926003003461</v>
      </c>
    </row>
    <row r="172" spans="1:37" x14ac:dyDescent="0.2">
      <c r="E172" s="12"/>
      <c r="F172" t="s">
        <v>166</v>
      </c>
      <c r="G172">
        <v>130</v>
      </c>
      <c r="H172">
        <v>0</v>
      </c>
      <c r="I172">
        <v>0</v>
      </c>
      <c r="J172">
        <f t="shared" si="102"/>
        <v>91.25</v>
      </c>
      <c r="K172">
        <v>0.1</v>
      </c>
      <c r="L172">
        <v>0.6</v>
      </c>
      <c r="M172">
        <v>40</v>
      </c>
      <c r="N172">
        <f t="shared" si="117"/>
        <v>8.2999999999999741E-3</v>
      </c>
      <c r="O172">
        <f>O161</f>
        <v>0.99170000000000003</v>
      </c>
      <c r="P172">
        <f>P161</f>
        <v>0.73</v>
      </c>
      <c r="Q172">
        <f t="shared" si="103"/>
        <v>4.7000000000000002E-3</v>
      </c>
      <c r="R172">
        <f t="shared" si="104"/>
        <v>0</v>
      </c>
      <c r="S172">
        <v>0</v>
      </c>
      <c r="T172">
        <f t="shared" si="118"/>
        <v>0</v>
      </c>
      <c r="U172">
        <f t="shared" si="105"/>
        <v>1.3</v>
      </c>
      <c r="V172">
        <f t="shared" si="106"/>
        <v>1</v>
      </c>
      <c r="W172">
        <f t="shared" si="107"/>
        <v>0.47559999999999997</v>
      </c>
      <c r="X172">
        <v>1</v>
      </c>
      <c r="Y172">
        <f t="shared" si="119"/>
        <v>0.8646647167633873</v>
      </c>
      <c r="Z172">
        <f t="shared" si="108"/>
        <v>0.74875248086684232</v>
      </c>
      <c r="AA172">
        <f t="shared" si="120"/>
        <v>0.64741985179461181</v>
      </c>
      <c r="AB172">
        <f t="shared" si="109"/>
        <v>6.4741985179461184E-2</v>
      </c>
      <c r="AC172">
        <f t="shared" si="110"/>
        <v>0.08</v>
      </c>
      <c r="AD172">
        <f t="shared" si="111"/>
        <v>0.25367531615393463</v>
      </c>
      <c r="AE172">
        <f t="shared" si="112"/>
        <v>0.19</v>
      </c>
      <c r="AF172">
        <f t="shared" si="113"/>
        <v>0.6784</v>
      </c>
      <c r="AG172">
        <f t="shared" si="114"/>
        <v>1.981155675853724E-4</v>
      </c>
      <c r="AH172">
        <f t="shared" si="115"/>
        <v>1.5240380910377092E-4</v>
      </c>
      <c r="AI172">
        <f t="shared" si="121"/>
        <v>3.5051937668914329E-4</v>
      </c>
      <c r="AJ172">
        <f t="shared" si="116"/>
        <v>4.1580361059749622</v>
      </c>
    </row>
    <row r="173" spans="1:37" x14ac:dyDescent="0.2">
      <c r="E173" s="11" t="s">
        <v>170</v>
      </c>
      <c r="F173" t="s">
        <v>163</v>
      </c>
      <c r="G173">
        <v>200</v>
      </c>
      <c r="H173">
        <v>0</v>
      </c>
      <c r="I173">
        <v>0</v>
      </c>
      <c r="J173">
        <f t="shared" si="102"/>
        <v>91.25</v>
      </c>
      <c r="K173">
        <v>0.16</v>
      </c>
      <c r="L173">
        <v>0.7</v>
      </c>
      <c r="M173">
        <v>50</v>
      </c>
      <c r="N173">
        <f t="shared" si="117"/>
        <v>8.2999999999999741E-3</v>
      </c>
      <c r="O173">
        <f>O161</f>
        <v>0.99170000000000003</v>
      </c>
      <c r="P173">
        <f>P161</f>
        <v>0.73</v>
      </c>
      <c r="Q173">
        <f t="shared" si="103"/>
        <v>4.7000000000000002E-3</v>
      </c>
      <c r="R173">
        <f t="shared" si="104"/>
        <v>0</v>
      </c>
      <c r="S173">
        <v>0</v>
      </c>
      <c r="T173">
        <f t="shared" si="118"/>
        <v>0</v>
      </c>
      <c r="U173">
        <f t="shared" si="105"/>
        <v>1.3</v>
      </c>
      <c r="V173">
        <f t="shared" si="106"/>
        <v>1</v>
      </c>
      <c r="W173">
        <f t="shared" si="107"/>
        <v>0.55510000000000004</v>
      </c>
      <c r="X173">
        <v>3.2</v>
      </c>
      <c r="Y173">
        <f t="shared" si="119"/>
        <v>0.99999999872459233</v>
      </c>
      <c r="Z173">
        <f t="shared" si="108"/>
        <v>1.0993929471578776</v>
      </c>
      <c r="AA173">
        <f t="shared" si="120"/>
        <v>1.0993929457557035</v>
      </c>
      <c r="AB173">
        <f t="shared" si="109"/>
        <v>0.17590287132091256</v>
      </c>
      <c r="AC173">
        <f t="shared" si="110"/>
        <v>0.08</v>
      </c>
      <c r="AD173">
        <f t="shared" si="111"/>
        <v>0.34791131947830267</v>
      </c>
      <c r="AE173">
        <f t="shared" si="112"/>
        <v>0.19</v>
      </c>
      <c r="AF173">
        <f t="shared" si="113"/>
        <v>0.6784</v>
      </c>
      <c r="AG173">
        <f t="shared" si="114"/>
        <v>2.7171208288154398E-4</v>
      </c>
      <c r="AH173">
        <f t="shared" si="115"/>
        <v>2.0901919478297603E-4</v>
      </c>
      <c r="AI173">
        <f t="shared" si="121"/>
        <v>4.8073127766452004E-4</v>
      </c>
      <c r="AJ173">
        <f t="shared" si="116"/>
        <v>8.773345817377491</v>
      </c>
    </row>
    <row r="174" spans="1:37" x14ac:dyDescent="0.2">
      <c r="E174" s="12"/>
      <c r="F174" t="s">
        <v>164</v>
      </c>
      <c r="G174">
        <v>210</v>
      </c>
      <c r="H174">
        <v>0</v>
      </c>
      <c r="I174">
        <v>0</v>
      </c>
      <c r="J174">
        <f t="shared" si="102"/>
        <v>91.25</v>
      </c>
      <c r="K174">
        <v>7.0000000000000007E-2</v>
      </c>
      <c r="L174">
        <v>0.55000000000000004</v>
      </c>
      <c r="M174">
        <v>50</v>
      </c>
      <c r="N174">
        <f t="shared" si="117"/>
        <v>8.2999999999999741E-3</v>
      </c>
      <c r="O174">
        <f>O161</f>
        <v>0.99170000000000003</v>
      </c>
      <c r="P174">
        <f>P161</f>
        <v>0.73</v>
      </c>
      <c r="Q174">
        <f t="shared" si="103"/>
        <v>4.7000000000000002E-3</v>
      </c>
      <c r="R174">
        <f t="shared" si="104"/>
        <v>0</v>
      </c>
      <c r="S174">
        <v>0</v>
      </c>
      <c r="T174">
        <f t="shared" si="118"/>
        <v>0</v>
      </c>
      <c r="U174">
        <f t="shared" si="105"/>
        <v>1.3</v>
      </c>
      <c r="V174">
        <f t="shared" si="106"/>
        <v>1</v>
      </c>
      <c r="W174">
        <f t="shared" si="107"/>
        <v>0.43585000000000007</v>
      </c>
      <c r="X174">
        <v>3</v>
      </c>
      <c r="Y174">
        <f t="shared" si="119"/>
        <v>0.99999998477002028</v>
      </c>
      <c r="Z174">
        <f t="shared" si="108"/>
        <v>0.8646283676396137</v>
      </c>
      <c r="AA174">
        <f t="shared" si="120"/>
        <v>0.86462835447134123</v>
      </c>
      <c r="AB174">
        <f t="shared" si="109"/>
        <v>6.052398481299389E-2</v>
      </c>
      <c r="AC174">
        <f t="shared" si="110"/>
        <v>0.08</v>
      </c>
      <c r="AD174">
        <f t="shared" si="111"/>
        <v>0.38546716339302944</v>
      </c>
      <c r="AE174">
        <f t="shared" si="112"/>
        <v>0.19</v>
      </c>
      <c r="AF174">
        <f t="shared" si="113"/>
        <v>0.6784</v>
      </c>
      <c r="AG174">
        <f t="shared" si="114"/>
        <v>3.0104247831031633E-4</v>
      </c>
      <c r="AH174">
        <f t="shared" si="115"/>
        <v>2.3158210611975671E-4</v>
      </c>
      <c r="AI174">
        <f t="shared" si="121"/>
        <v>5.3262458443007301E-4</v>
      </c>
      <c r="AJ174">
        <f t="shared" si="116"/>
        <v>10.206418599141273</v>
      </c>
    </row>
    <row r="175" spans="1:37" x14ac:dyDescent="0.2">
      <c r="E175" s="11"/>
      <c r="F175" t="s">
        <v>165</v>
      </c>
      <c r="G175">
        <v>190</v>
      </c>
      <c r="H175">
        <v>0</v>
      </c>
      <c r="I175">
        <v>0</v>
      </c>
      <c r="J175">
        <f t="shared" si="102"/>
        <v>91.25</v>
      </c>
      <c r="K175">
        <v>0.13</v>
      </c>
      <c r="L175">
        <v>0.65</v>
      </c>
      <c r="M175">
        <v>50</v>
      </c>
      <c r="N175">
        <f t="shared" si="117"/>
        <v>8.2999999999999741E-3</v>
      </c>
      <c r="O175">
        <f>O161</f>
        <v>0.99170000000000003</v>
      </c>
      <c r="P175">
        <f>P161</f>
        <v>0.73</v>
      </c>
      <c r="Q175">
        <f t="shared" si="103"/>
        <v>4.7000000000000002E-3</v>
      </c>
      <c r="R175">
        <f t="shared" si="104"/>
        <v>0</v>
      </c>
      <c r="S175">
        <v>0</v>
      </c>
      <c r="T175">
        <f t="shared" si="118"/>
        <v>0</v>
      </c>
      <c r="U175">
        <f t="shared" si="105"/>
        <v>1.3</v>
      </c>
      <c r="V175">
        <f t="shared" si="106"/>
        <v>1</v>
      </c>
      <c r="W175">
        <f t="shared" si="107"/>
        <v>0.51535000000000009</v>
      </c>
      <c r="X175">
        <v>1.8</v>
      </c>
      <c r="Y175">
        <f t="shared" si="119"/>
        <v>0.99846618932067555</v>
      </c>
      <c r="Z175">
        <f t="shared" si="108"/>
        <v>1.0211380873184563</v>
      </c>
      <c r="AA175">
        <f t="shared" si="120"/>
        <v>1.0195718548150623</v>
      </c>
      <c r="AB175">
        <f t="shared" si="109"/>
        <v>0.13254434112595812</v>
      </c>
      <c r="AC175">
        <f t="shared" si="110"/>
        <v>0.08</v>
      </c>
      <c r="AD175">
        <f t="shared" si="111"/>
        <v>0.36655672228087188</v>
      </c>
      <c r="AE175">
        <f t="shared" si="112"/>
        <v>0.19</v>
      </c>
      <c r="AF175">
        <f t="shared" si="113"/>
        <v>0.6784</v>
      </c>
      <c r="AG175">
        <f t="shared" si="114"/>
        <v>2.8627378567192246E-4</v>
      </c>
      <c r="AH175">
        <f t="shared" si="115"/>
        <v>2.2022103520035946E-4</v>
      </c>
      <c r="AI175">
        <f t="shared" si="121"/>
        <v>5.0649482087228195E-4</v>
      </c>
      <c r="AJ175">
        <f t="shared" si="116"/>
        <v>8.781353956873188</v>
      </c>
    </row>
    <row r="176" spans="1:37" x14ac:dyDescent="0.2">
      <c r="E176" s="12"/>
      <c r="F176" t="s">
        <v>166</v>
      </c>
      <c r="G176">
        <v>180</v>
      </c>
      <c r="H176">
        <v>0</v>
      </c>
      <c r="I176">
        <v>0</v>
      </c>
      <c r="J176">
        <f t="shared" si="102"/>
        <v>91.25</v>
      </c>
      <c r="K176">
        <v>0.1</v>
      </c>
      <c r="L176">
        <v>0.6</v>
      </c>
      <c r="M176">
        <v>50</v>
      </c>
      <c r="N176">
        <f t="shared" si="117"/>
        <v>8.2999999999999741E-3</v>
      </c>
      <c r="O176">
        <f>O161</f>
        <v>0.99170000000000003</v>
      </c>
      <c r="P176">
        <f>P161</f>
        <v>0.73</v>
      </c>
      <c r="Q176">
        <f t="shared" si="103"/>
        <v>4.7000000000000002E-3</v>
      </c>
      <c r="R176">
        <f t="shared" si="104"/>
        <v>0</v>
      </c>
      <c r="S176">
        <v>0</v>
      </c>
      <c r="T176">
        <f t="shared" si="118"/>
        <v>0</v>
      </c>
      <c r="U176">
        <f t="shared" si="105"/>
        <v>1.3</v>
      </c>
      <c r="V176">
        <f t="shared" si="106"/>
        <v>1</v>
      </c>
      <c r="W176">
        <f t="shared" si="107"/>
        <v>0.47559999999999997</v>
      </c>
      <c r="X176">
        <v>1</v>
      </c>
      <c r="Y176">
        <f t="shared" si="119"/>
        <v>0.8646647167633873</v>
      </c>
      <c r="Z176">
        <f t="shared" si="108"/>
        <v>0.94288322747903475</v>
      </c>
      <c r="AA176">
        <f t="shared" si="120"/>
        <v>0.81527785882910808</v>
      </c>
      <c r="AB176">
        <f t="shared" si="109"/>
        <v>8.1527785882910819E-2</v>
      </c>
      <c r="AC176">
        <f t="shared" si="110"/>
        <v>0.08</v>
      </c>
      <c r="AD176">
        <f t="shared" si="111"/>
        <v>0.32448240197428052</v>
      </c>
      <c r="AE176">
        <f t="shared" si="112"/>
        <v>0.19</v>
      </c>
      <c r="AF176">
        <f t="shared" si="113"/>
        <v>0.6784</v>
      </c>
      <c r="AG176">
        <f t="shared" si="114"/>
        <v>2.5341454664666813E-4</v>
      </c>
      <c r="AH176">
        <f t="shared" si="115"/>
        <v>1.9494350021037423E-4</v>
      </c>
      <c r="AI176">
        <f t="shared" si="121"/>
        <v>4.4835804685704238E-4</v>
      </c>
      <c r="AJ176">
        <f t="shared" si="116"/>
        <v>7.3642809196269212</v>
      </c>
    </row>
    <row r="177" spans="1:37" x14ac:dyDescent="0.2">
      <c r="E177" s="11" t="s">
        <v>162</v>
      </c>
      <c r="F177" t="s">
        <v>163</v>
      </c>
      <c r="G177">
        <v>50</v>
      </c>
      <c r="H177">
        <v>0</v>
      </c>
      <c r="I177">
        <v>0</v>
      </c>
      <c r="J177">
        <f t="shared" si="102"/>
        <v>91.25</v>
      </c>
      <c r="K177">
        <v>0.16</v>
      </c>
      <c r="L177">
        <v>0.7</v>
      </c>
      <c r="M177">
        <v>70</v>
      </c>
      <c r="N177">
        <f t="shared" si="117"/>
        <v>8.2999999999999741E-3</v>
      </c>
      <c r="O177">
        <f>O161</f>
        <v>0.99170000000000003</v>
      </c>
      <c r="P177">
        <f>P161</f>
        <v>0.73</v>
      </c>
      <c r="Q177">
        <f t="shared" si="103"/>
        <v>4.7000000000000002E-3</v>
      </c>
      <c r="R177">
        <f t="shared" si="104"/>
        <v>0</v>
      </c>
      <c r="S177">
        <v>0</v>
      </c>
      <c r="T177">
        <f t="shared" si="118"/>
        <v>0</v>
      </c>
      <c r="U177">
        <f t="shared" si="105"/>
        <v>1.3</v>
      </c>
      <c r="V177">
        <f t="shared" si="106"/>
        <v>1</v>
      </c>
      <c r="W177">
        <f t="shared" si="107"/>
        <v>0.55510000000000004</v>
      </c>
      <c r="X177">
        <v>3.2</v>
      </c>
      <c r="Y177">
        <f t="shared" si="119"/>
        <v>0.99999999872459233</v>
      </c>
      <c r="Z177">
        <f t="shared" si="108"/>
        <v>1.5635664662315347</v>
      </c>
      <c r="AA177">
        <f t="shared" si="120"/>
        <v>1.5635664642373501</v>
      </c>
      <c r="AB177">
        <f t="shared" si="109"/>
        <v>0.25017063427797603</v>
      </c>
      <c r="AC177">
        <f t="shared" si="110"/>
        <v>0.08</v>
      </c>
      <c r="AD177">
        <f t="shared" si="111"/>
        <v>0.52151077937113577</v>
      </c>
      <c r="AE177">
        <f t="shared" si="112"/>
        <v>0.19</v>
      </c>
      <c r="AF177">
        <f t="shared" si="113"/>
        <v>0.6784</v>
      </c>
      <c r="AG177">
        <f t="shared" si="114"/>
        <v>4.0728993905858168E-4</v>
      </c>
      <c r="AH177">
        <f t="shared" si="115"/>
        <v>3.133147933739338E-4</v>
      </c>
      <c r="AI177">
        <f t="shared" si="121"/>
        <v>7.2060473243251548E-4</v>
      </c>
      <c r="AJ177">
        <f t="shared" si="116"/>
        <v>3.2877590917233519</v>
      </c>
    </row>
    <row r="178" spans="1:37" x14ac:dyDescent="0.2">
      <c r="E178" s="12"/>
      <c r="F178" t="s">
        <v>164</v>
      </c>
      <c r="G178">
        <v>55</v>
      </c>
      <c r="H178">
        <v>0</v>
      </c>
      <c r="I178">
        <v>0</v>
      </c>
      <c r="J178">
        <f t="shared" si="102"/>
        <v>91.25</v>
      </c>
      <c r="K178">
        <v>7.0000000000000007E-2</v>
      </c>
      <c r="L178">
        <v>0.55000000000000004</v>
      </c>
      <c r="M178">
        <v>65</v>
      </c>
      <c r="N178">
        <f t="shared" si="117"/>
        <v>8.2999999999999741E-3</v>
      </c>
      <c r="O178">
        <f>O161</f>
        <v>0.99170000000000003</v>
      </c>
      <c r="P178">
        <f>P161</f>
        <v>0.73</v>
      </c>
      <c r="Q178">
        <f t="shared" si="103"/>
        <v>4.7000000000000002E-3</v>
      </c>
      <c r="R178">
        <f t="shared" si="104"/>
        <v>0</v>
      </c>
      <c r="S178">
        <v>0</v>
      </c>
      <c r="T178">
        <f t="shared" si="118"/>
        <v>0</v>
      </c>
      <c r="U178">
        <f t="shared" si="105"/>
        <v>1.3</v>
      </c>
      <c r="V178">
        <f t="shared" si="106"/>
        <v>1</v>
      </c>
      <c r="W178">
        <f t="shared" si="107"/>
        <v>0.43585000000000007</v>
      </c>
      <c r="X178">
        <v>3</v>
      </c>
      <c r="Y178">
        <f t="shared" si="119"/>
        <v>0.99999998477002028</v>
      </c>
      <c r="Z178">
        <f t="shared" si="108"/>
        <v>1.1580752413958724</v>
      </c>
      <c r="AA178">
        <f t="shared" si="120"/>
        <v>1.15807522375841</v>
      </c>
      <c r="AB178">
        <f t="shared" si="109"/>
        <v>8.1065265663088706E-2</v>
      </c>
      <c r="AC178">
        <f t="shared" si="110"/>
        <v>0.08</v>
      </c>
      <c r="AD178">
        <f t="shared" si="111"/>
        <v>0.52879702927487948</v>
      </c>
      <c r="AE178">
        <f t="shared" si="112"/>
        <v>0.19</v>
      </c>
      <c r="AF178">
        <f t="shared" si="113"/>
        <v>0.6784</v>
      </c>
      <c r="AG178">
        <f t="shared" si="114"/>
        <v>4.1298036080372741E-4</v>
      </c>
      <c r="AH178">
        <f t="shared" si="115"/>
        <v>3.1769224820969987E-4</v>
      </c>
      <c r="AI178">
        <f t="shared" si="121"/>
        <v>7.3067260901342728E-4</v>
      </c>
      <c r="AJ178">
        <f t="shared" si="116"/>
        <v>3.6670631564861385</v>
      </c>
    </row>
    <row r="179" spans="1:37" x14ac:dyDescent="0.2">
      <c r="E179" s="11"/>
      <c r="F179" t="s">
        <v>165</v>
      </c>
      <c r="G179">
        <v>60</v>
      </c>
      <c r="H179">
        <v>0</v>
      </c>
      <c r="I179">
        <v>0</v>
      </c>
      <c r="J179">
        <f t="shared" si="102"/>
        <v>91.25</v>
      </c>
      <c r="K179">
        <v>0.13</v>
      </c>
      <c r="L179">
        <v>0.65</v>
      </c>
      <c r="M179">
        <v>65</v>
      </c>
      <c r="N179">
        <f t="shared" si="117"/>
        <v>8.2999999999999741E-3</v>
      </c>
      <c r="O179">
        <f>O161</f>
        <v>0.99170000000000003</v>
      </c>
      <c r="P179">
        <f>P161</f>
        <v>0.73</v>
      </c>
      <c r="Q179">
        <f t="shared" si="103"/>
        <v>4.7000000000000002E-3</v>
      </c>
      <c r="R179">
        <f t="shared" si="104"/>
        <v>0</v>
      </c>
      <c r="S179">
        <v>0</v>
      </c>
      <c r="T179">
        <f t="shared" si="118"/>
        <v>0</v>
      </c>
      <c r="U179">
        <f t="shared" si="105"/>
        <v>1.3</v>
      </c>
      <c r="V179">
        <f t="shared" si="106"/>
        <v>1</v>
      </c>
      <c r="W179">
        <f t="shared" si="107"/>
        <v>0.51535000000000009</v>
      </c>
      <c r="X179">
        <v>1.8</v>
      </c>
      <c r="Y179">
        <f t="shared" si="119"/>
        <v>0.99846618932067555</v>
      </c>
      <c r="Z179">
        <f t="shared" si="108"/>
        <v>1.3486207988995054</v>
      </c>
      <c r="AA179">
        <f t="shared" si="120"/>
        <v>1.3465522699157941</v>
      </c>
      <c r="AB179">
        <f t="shared" si="109"/>
        <v>0.17505179508905325</v>
      </c>
      <c r="AC179">
        <f t="shared" si="110"/>
        <v>0.08</v>
      </c>
      <c r="AD179">
        <f t="shared" si="111"/>
        <v>0.50031570188753161</v>
      </c>
      <c r="AE179">
        <f t="shared" si="112"/>
        <v>0.19</v>
      </c>
      <c r="AF179">
        <f t="shared" si="113"/>
        <v>0.6784</v>
      </c>
      <c r="AG179">
        <f t="shared" si="114"/>
        <v>3.9073698913288962E-4</v>
      </c>
      <c r="AH179">
        <f t="shared" si="115"/>
        <v>3.005811518366914E-4</v>
      </c>
      <c r="AI179">
        <f t="shared" si="121"/>
        <v>6.9131814096958107E-4</v>
      </c>
      <c r="AJ179">
        <f t="shared" si="116"/>
        <v>3.7849668218084562</v>
      </c>
    </row>
    <row r="180" spans="1:37" x14ac:dyDescent="0.2">
      <c r="E180" s="12"/>
      <c r="F180" t="s">
        <v>166</v>
      </c>
      <c r="G180">
        <v>65</v>
      </c>
      <c r="H180">
        <v>0</v>
      </c>
      <c r="I180">
        <v>0</v>
      </c>
      <c r="J180">
        <f t="shared" si="102"/>
        <v>91.25</v>
      </c>
      <c r="K180">
        <v>0.1</v>
      </c>
      <c r="L180">
        <v>0.6</v>
      </c>
      <c r="M180">
        <v>60</v>
      </c>
      <c r="N180">
        <f t="shared" si="117"/>
        <v>8.2999999999999741E-3</v>
      </c>
      <c r="O180">
        <f>O161</f>
        <v>0.99170000000000003</v>
      </c>
      <c r="P180">
        <f>P161</f>
        <v>0.73</v>
      </c>
      <c r="Q180">
        <f t="shared" si="103"/>
        <v>4.7000000000000002E-3</v>
      </c>
      <c r="R180">
        <f t="shared" si="104"/>
        <v>0</v>
      </c>
      <c r="S180">
        <v>0</v>
      </c>
      <c r="T180">
        <f t="shared" si="118"/>
        <v>0</v>
      </c>
      <c r="U180">
        <f t="shared" si="105"/>
        <v>1.3</v>
      </c>
      <c r="V180">
        <f t="shared" si="106"/>
        <v>1</v>
      </c>
      <c r="W180">
        <f t="shared" si="107"/>
        <v>0.47559999999999997</v>
      </c>
      <c r="X180">
        <v>1</v>
      </c>
      <c r="Y180">
        <f t="shared" si="119"/>
        <v>0.8646647167633873</v>
      </c>
      <c r="Z180">
        <f t="shared" si="108"/>
        <v>1.1472289977258807</v>
      </c>
      <c r="AA180">
        <f t="shared" si="120"/>
        <v>0.99196843638139331</v>
      </c>
      <c r="AB180">
        <f t="shared" si="109"/>
        <v>9.919684363813934E-2</v>
      </c>
      <c r="AC180">
        <f t="shared" si="110"/>
        <v>0.08</v>
      </c>
      <c r="AD180">
        <f t="shared" si="111"/>
        <v>0.40125563532734443</v>
      </c>
      <c r="AE180">
        <f t="shared" si="112"/>
        <v>0.19</v>
      </c>
      <c r="AF180">
        <f t="shared" si="113"/>
        <v>0.6784</v>
      </c>
      <c r="AG180">
        <f t="shared" si="114"/>
        <v>3.1337297276281742E-4</v>
      </c>
      <c r="AH180">
        <f t="shared" si="115"/>
        <v>2.4106755113348225E-4</v>
      </c>
      <c r="AI180">
        <f t="shared" si="121"/>
        <v>5.5444052389629962E-4</v>
      </c>
      <c r="AJ180">
        <f t="shared" si="116"/>
        <v>3.2885253573599269</v>
      </c>
    </row>
    <row r="181" spans="1:37" x14ac:dyDescent="0.2">
      <c r="E181" s="11" t="s">
        <v>167</v>
      </c>
      <c r="F181" t="s">
        <v>163</v>
      </c>
      <c r="G181">
        <v>50</v>
      </c>
      <c r="H181">
        <v>0</v>
      </c>
      <c r="I181">
        <v>0</v>
      </c>
      <c r="J181">
        <f t="shared" si="102"/>
        <v>91.25</v>
      </c>
      <c r="K181">
        <v>0.16</v>
      </c>
      <c r="L181">
        <v>0.7</v>
      </c>
      <c r="M181">
        <v>60</v>
      </c>
      <c r="N181">
        <f t="shared" si="117"/>
        <v>8.2999999999999741E-3</v>
      </c>
      <c r="O181">
        <f>O161</f>
        <v>0.99170000000000003</v>
      </c>
      <c r="P181">
        <f>P161</f>
        <v>0.73</v>
      </c>
      <c r="Q181">
        <f t="shared" si="103"/>
        <v>4.7000000000000002E-3</v>
      </c>
      <c r="R181">
        <f t="shared" si="104"/>
        <v>0</v>
      </c>
      <c r="S181">
        <v>0</v>
      </c>
      <c r="T181">
        <f t="shared" si="118"/>
        <v>0</v>
      </c>
      <c r="U181">
        <f t="shared" si="105"/>
        <v>1.3</v>
      </c>
      <c r="V181">
        <f t="shared" si="106"/>
        <v>1</v>
      </c>
      <c r="W181">
        <f t="shared" si="107"/>
        <v>0.55510000000000004</v>
      </c>
      <c r="X181">
        <v>3.2</v>
      </c>
      <c r="Y181">
        <f t="shared" si="119"/>
        <v>0.99999999872459233</v>
      </c>
      <c r="Z181">
        <f t="shared" si="108"/>
        <v>1.3266722980183725</v>
      </c>
      <c r="AA181">
        <f t="shared" si="120"/>
        <v>1.3266722963263244</v>
      </c>
      <c r="AB181">
        <f t="shared" si="109"/>
        <v>0.21226756741221192</v>
      </c>
      <c r="AC181">
        <f t="shared" si="110"/>
        <v>0.08</v>
      </c>
      <c r="AD181">
        <f t="shared" si="111"/>
        <v>0.43093173903776888</v>
      </c>
      <c r="AE181">
        <f t="shared" si="112"/>
        <v>0.19</v>
      </c>
      <c r="AF181">
        <f t="shared" si="113"/>
        <v>0.6784</v>
      </c>
      <c r="AG181">
        <f t="shared" si="114"/>
        <v>3.365494418787382E-4</v>
      </c>
      <c r="AH181">
        <f t="shared" si="115"/>
        <v>2.5889644877081781E-4</v>
      </c>
      <c r="AI181">
        <f t="shared" si="121"/>
        <v>5.9544589064955606E-4</v>
      </c>
      <c r="AJ181">
        <f t="shared" si="116"/>
        <v>2.7167218760885996</v>
      </c>
    </row>
    <row r="182" spans="1:37" x14ac:dyDescent="0.2">
      <c r="E182" s="12"/>
      <c r="F182" t="s">
        <v>164</v>
      </c>
      <c r="G182">
        <v>100</v>
      </c>
      <c r="H182">
        <v>0</v>
      </c>
      <c r="I182">
        <v>0</v>
      </c>
      <c r="J182">
        <f t="shared" si="102"/>
        <v>91.25</v>
      </c>
      <c r="K182">
        <v>7.0000000000000007E-2</v>
      </c>
      <c r="L182">
        <v>0.55000000000000004</v>
      </c>
      <c r="M182">
        <v>55</v>
      </c>
      <c r="N182">
        <f t="shared" si="117"/>
        <v>8.2999999999999741E-3</v>
      </c>
      <c r="O182">
        <f>O161</f>
        <v>0.99170000000000003</v>
      </c>
      <c r="P182">
        <f>P161</f>
        <v>0.73</v>
      </c>
      <c r="Q182">
        <f t="shared" si="103"/>
        <v>4.7000000000000002E-3</v>
      </c>
      <c r="R182">
        <f t="shared" si="104"/>
        <v>0</v>
      </c>
      <c r="S182">
        <v>0</v>
      </c>
      <c r="T182">
        <f t="shared" si="118"/>
        <v>0</v>
      </c>
      <c r="U182">
        <f t="shared" si="105"/>
        <v>1.3</v>
      </c>
      <c r="V182">
        <f t="shared" si="106"/>
        <v>1</v>
      </c>
      <c r="W182">
        <f t="shared" si="107"/>
        <v>0.43585000000000007</v>
      </c>
      <c r="X182">
        <v>3</v>
      </c>
      <c r="Y182">
        <f t="shared" si="119"/>
        <v>0.99999998477002028</v>
      </c>
      <c r="Z182">
        <f t="shared" si="108"/>
        <v>0.95969823125361531</v>
      </c>
      <c r="AA182">
        <f t="shared" si="120"/>
        <v>0.95969821663743071</v>
      </c>
      <c r="AB182">
        <f t="shared" si="109"/>
        <v>6.717887516462015E-2</v>
      </c>
      <c r="AC182">
        <f t="shared" si="110"/>
        <v>0.08</v>
      </c>
      <c r="AD182">
        <f t="shared" si="111"/>
        <v>0.43120862223412426</v>
      </c>
      <c r="AE182">
        <f t="shared" si="112"/>
        <v>0.19</v>
      </c>
      <c r="AF182">
        <f t="shared" si="113"/>
        <v>0.6784</v>
      </c>
      <c r="AG182">
        <f t="shared" si="114"/>
        <v>3.3676568235665495E-4</v>
      </c>
      <c r="AH182">
        <f t="shared" si="115"/>
        <v>2.5906279547904771E-4</v>
      </c>
      <c r="AI182">
        <f t="shared" si="121"/>
        <v>5.9582847783570272E-4</v>
      </c>
      <c r="AJ182">
        <f t="shared" si="116"/>
        <v>5.436934860250787</v>
      </c>
    </row>
    <row r="183" spans="1:37" x14ac:dyDescent="0.2">
      <c r="E183" s="11"/>
      <c r="F183" t="s">
        <v>165</v>
      </c>
      <c r="G183">
        <v>90</v>
      </c>
      <c r="H183">
        <v>0</v>
      </c>
      <c r="I183">
        <v>0</v>
      </c>
      <c r="J183">
        <f t="shared" si="102"/>
        <v>91.25</v>
      </c>
      <c r="K183">
        <v>0.13</v>
      </c>
      <c r="L183">
        <v>0.65</v>
      </c>
      <c r="M183">
        <v>52</v>
      </c>
      <c r="N183">
        <f t="shared" si="117"/>
        <v>8.2999999999999741E-3</v>
      </c>
      <c r="O183">
        <f>O161</f>
        <v>0.99170000000000003</v>
      </c>
      <c r="P183">
        <f>P161</f>
        <v>0.73</v>
      </c>
      <c r="Q183">
        <f t="shared" si="103"/>
        <v>4.7000000000000002E-3</v>
      </c>
      <c r="R183">
        <f t="shared" si="104"/>
        <v>0</v>
      </c>
      <c r="S183">
        <v>0</v>
      </c>
      <c r="T183">
        <f t="shared" si="118"/>
        <v>0</v>
      </c>
      <c r="U183">
        <f t="shared" si="105"/>
        <v>1.3</v>
      </c>
      <c r="V183">
        <f t="shared" si="106"/>
        <v>1</v>
      </c>
      <c r="W183">
        <f t="shared" si="107"/>
        <v>0.51535000000000009</v>
      </c>
      <c r="X183">
        <v>1.8</v>
      </c>
      <c r="Y183">
        <f t="shared" si="119"/>
        <v>0.99846618932067555</v>
      </c>
      <c r="Z183">
        <f t="shared" si="108"/>
        <v>1.0635112555960096</v>
      </c>
      <c r="AA183">
        <f t="shared" si="120"/>
        <v>1.0618800306745946</v>
      </c>
      <c r="AB183">
        <f t="shared" si="109"/>
        <v>0.1380444039876973</v>
      </c>
      <c r="AC183">
        <f t="shared" si="110"/>
        <v>0.08</v>
      </c>
      <c r="AD183">
        <f t="shared" si="111"/>
        <v>0.383420652420493</v>
      </c>
      <c r="AE183">
        <f t="shared" si="112"/>
        <v>0.19</v>
      </c>
      <c r="AF183">
        <f t="shared" si="113"/>
        <v>0.6784</v>
      </c>
      <c r="AG183">
        <f t="shared" si="114"/>
        <v>2.9944419240279937E-4</v>
      </c>
      <c r="AH183">
        <f t="shared" si="115"/>
        <v>2.3035259718559638E-4</v>
      </c>
      <c r="AI183">
        <f t="shared" si="121"/>
        <v>5.2979678958839577E-4</v>
      </c>
      <c r="AJ183">
        <f t="shared" si="116"/>
        <v>4.3509561344947008</v>
      </c>
    </row>
    <row r="184" spans="1:37" x14ac:dyDescent="0.2">
      <c r="E184" s="12"/>
      <c r="F184" t="s">
        <v>166</v>
      </c>
      <c r="G184">
        <v>80</v>
      </c>
      <c r="H184">
        <v>0</v>
      </c>
      <c r="I184">
        <v>0</v>
      </c>
      <c r="J184">
        <f t="shared" si="102"/>
        <v>91.25</v>
      </c>
      <c r="K184">
        <v>0.1</v>
      </c>
      <c r="L184">
        <v>0.6</v>
      </c>
      <c r="M184">
        <v>50</v>
      </c>
      <c r="N184">
        <f t="shared" si="117"/>
        <v>8.2999999999999741E-3</v>
      </c>
      <c r="O184">
        <f>O161</f>
        <v>0.99170000000000003</v>
      </c>
      <c r="P184">
        <f>P161</f>
        <v>0.73</v>
      </c>
      <c r="Q184">
        <f t="shared" si="103"/>
        <v>4.7000000000000002E-3</v>
      </c>
      <c r="R184">
        <f t="shared" si="104"/>
        <v>0</v>
      </c>
      <c r="S184">
        <v>0</v>
      </c>
      <c r="T184">
        <f t="shared" si="118"/>
        <v>0</v>
      </c>
      <c r="U184">
        <f t="shared" si="105"/>
        <v>1.3</v>
      </c>
      <c r="V184">
        <f t="shared" si="106"/>
        <v>1</v>
      </c>
      <c r="W184">
        <f t="shared" si="107"/>
        <v>0.47559999999999997</v>
      </c>
      <c r="X184">
        <v>1</v>
      </c>
      <c r="Y184">
        <f t="shared" si="119"/>
        <v>0.8646647167633873</v>
      </c>
      <c r="Z184">
        <f t="shared" si="108"/>
        <v>0.94288322747903475</v>
      </c>
      <c r="AA184">
        <f t="shared" si="120"/>
        <v>0.81527785882910808</v>
      </c>
      <c r="AB184">
        <f t="shared" si="109"/>
        <v>8.1527785882910819E-2</v>
      </c>
      <c r="AC184">
        <f t="shared" si="110"/>
        <v>0.08</v>
      </c>
      <c r="AD184">
        <f t="shared" si="111"/>
        <v>0.32448240197428052</v>
      </c>
      <c r="AE184">
        <f t="shared" si="112"/>
        <v>0.19</v>
      </c>
      <c r="AF184">
        <f t="shared" si="113"/>
        <v>0.6784</v>
      </c>
      <c r="AG184">
        <f t="shared" si="114"/>
        <v>2.5341454664666813E-4</v>
      </c>
      <c r="AH184">
        <f t="shared" si="115"/>
        <v>1.9494350021037423E-4</v>
      </c>
      <c r="AI184">
        <f t="shared" si="121"/>
        <v>4.4835804685704238E-4</v>
      </c>
      <c r="AJ184">
        <f t="shared" si="116"/>
        <v>3.2730137420564094</v>
      </c>
    </row>
    <row r="191" spans="1:37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G191">
        <v>100</v>
      </c>
      <c r="H191">
        <v>95</v>
      </c>
      <c r="I191">
        <v>90</v>
      </c>
      <c r="J191">
        <f t="shared" ref="J191:J214" si="122">$AQ$3</f>
        <v>91.25</v>
      </c>
      <c r="K191" cm="1">
        <f t="array" ref="K191:K214">_xlfn.DROP(_xlfn.XLOOKUP($C191,QueryCP[[#Headers],[ACT/NSW]:[WA]],QueryCP[[#All],[ACT/NSW]:[WA]]),1)</f>
        <v>0.18</v>
      </c>
      <c r="L191" cm="1">
        <f t="array" ref="L191:L214">_xlfn.DROP(_xlfn.XLOOKUP($C191,QueryDMD[[#Headers],[ACT/NSW]:[WA]],QueryDMD[[#All],[ACT/NSW]:[WA]]),1)</f>
        <v>0.73</v>
      </c>
      <c r="M191" cm="1">
        <f t="array" ref="M191:M214">_xlfn.DROP(_xlfn.XLOOKUP($C191,QueryW[[#Headers],[ACT/NSW]:[WA]],QueryW[[#All],[ACT/NSW]:[WA]]),1)</f>
        <v>55</v>
      </c>
      <c r="N191">
        <f>1-O191</f>
        <v>0</v>
      </c>
      <c r="O191">
        <f>IF($D191="yes", 1, VLOOKUP($B191, $AP$26:$AR$32, 2)/100)</f>
        <v>1</v>
      </c>
      <c r="P191">
        <f>VLOOKUP($B191,$AR$10:$AS$16, 2, FALSE)</f>
        <v>0.76</v>
      </c>
      <c r="Q191">
        <f t="shared" ref="Q191:Q214" si="123">$AQ$10</f>
        <v>4.7000000000000002E-3</v>
      </c>
      <c r="R191">
        <f t="shared" ref="R191:R214" si="124">(H191/100)*(MIN(I191,100)/100)</f>
        <v>0.85499999999999998</v>
      </c>
      <c r="S191">
        <v>0</v>
      </c>
      <c r="T191">
        <f>1.6 * S191</f>
        <v>0</v>
      </c>
      <c r="U191">
        <f t="shared" ref="U191:U214" si="125">$AT$1</f>
        <v>1.3</v>
      </c>
      <c r="V191">
        <f t="shared" ref="V191:V214" si="126">R191*U191+(1-R191)</f>
        <v>1.2565</v>
      </c>
      <c r="W191">
        <f t="shared" ref="W191:W214" si="127">(0.795*L191)-0.0014</f>
        <v>0.57895000000000008</v>
      </c>
      <c r="X191" cm="1">
        <f t="array" ref="X191:X214">_xlfn.DROP(_xlfn.XLOOKUP($C191,QueryDMA[[#Headers],[ACT/NSW]:[WA]],QueryDMA[[#All],[ACT/NSW]:[WA]]),1)</f>
        <v>3.5</v>
      </c>
      <c r="Y191">
        <f>1 - EXP(-2*(X191^2))</f>
        <v>0.99999999997710265</v>
      </c>
      <c r="Z191">
        <f t="shared" ref="Z191:Z214" si="128">(104.7*W191+0.307*M191-15)*(M191^0.75)*10^-3</f>
        <v>1.2622908518455234</v>
      </c>
      <c r="AA191">
        <f>Z191*Y191*V191</f>
        <v>1.5860684553075832</v>
      </c>
      <c r="AB191">
        <f t="shared" ref="AB191:AB214" si="129">(AA191 * K191) + (0.045 * T191)</f>
        <v>0.28549232195536495</v>
      </c>
      <c r="AC191">
        <f t="shared" ref="AC191:AC214" si="130">$AQ$2</f>
        <v>0.08</v>
      </c>
      <c r="AD191">
        <f t="shared" ref="AD191:AD214" si="131">(AA191 * ((1 - L191) + (0.04 * AA191))) * ( 1 - AC191 )</f>
        <v>0.4865539680315254</v>
      </c>
      <c r="AE191">
        <f t="shared" ref="AE191:AE214" si="132">$AQ$1</f>
        <v>0.19</v>
      </c>
      <c r="AF191">
        <f t="shared" ref="AF191:AF214" si="133">$AR$20</f>
        <v>0.6784</v>
      </c>
      <c r="AG191">
        <f t="shared" ref="AG191:AG214" si="134">AD191 * AE191 * N191 * P191 * AF191</f>
        <v>0</v>
      </c>
      <c r="AH191">
        <f t="shared" ref="AH191:AH214" si="135">AD191*AE191*O191*Q191*AF191</f>
        <v>2.9475984323794005E-4</v>
      </c>
      <c r="AI191">
        <f>AG191+AH191</f>
        <v>2.9475984323794005E-4</v>
      </c>
      <c r="AJ191">
        <f t="shared" ref="AJ191:AJ214" si="136">G191*AI191*J191</f>
        <v>2.6896835695462031</v>
      </c>
      <c r="AK191">
        <f>SUM(AJ191:AJ214)*10^-3</f>
        <v>4.577588251216725E-2</v>
      </c>
    </row>
    <row r="192" spans="1:37" x14ac:dyDescent="0.2">
      <c r="E192" s="12"/>
      <c r="F192" t="s">
        <v>164</v>
      </c>
      <c r="G192">
        <v>70</v>
      </c>
      <c r="H192">
        <v>0</v>
      </c>
      <c r="I192">
        <v>0</v>
      </c>
      <c r="J192">
        <f t="shared" si="122"/>
        <v>91.25</v>
      </c>
      <c r="K192">
        <v>0.06</v>
      </c>
      <c r="L192">
        <v>0.55000000000000004</v>
      </c>
      <c r="M192">
        <v>50</v>
      </c>
      <c r="N192">
        <f t="shared" ref="N192:N214" si="137">1-O192</f>
        <v>0</v>
      </c>
      <c r="O192">
        <f>O191</f>
        <v>1</v>
      </c>
      <c r="P192">
        <f>P191</f>
        <v>0.76</v>
      </c>
      <c r="Q192">
        <f t="shared" si="123"/>
        <v>4.7000000000000002E-3</v>
      </c>
      <c r="R192">
        <f t="shared" si="124"/>
        <v>0</v>
      </c>
      <c r="S192">
        <v>0</v>
      </c>
      <c r="T192">
        <f t="shared" ref="T192:T214" si="138">1.6 * S192</f>
        <v>0</v>
      </c>
      <c r="U192">
        <f t="shared" si="125"/>
        <v>1.3</v>
      </c>
      <c r="V192">
        <f t="shared" si="126"/>
        <v>1</v>
      </c>
      <c r="W192">
        <f t="shared" si="127"/>
        <v>0.43585000000000007</v>
      </c>
      <c r="X192">
        <v>1.5</v>
      </c>
      <c r="Y192">
        <f t="shared" ref="Y192:Y214" si="139">1 - EXP(-2*(X192^2))</f>
        <v>0.98889100346175773</v>
      </c>
      <c r="Z192">
        <f t="shared" si="128"/>
        <v>0.8646283676396137</v>
      </c>
      <c r="AA192">
        <f t="shared" ref="AA192:AA214" si="140">Z192*Y192*V192</f>
        <v>0.85502321409663917</v>
      </c>
      <c r="AB192">
        <f t="shared" si="129"/>
        <v>5.1301392845798349E-2</v>
      </c>
      <c r="AC192">
        <f t="shared" si="130"/>
        <v>0.08</v>
      </c>
      <c r="AD192">
        <f t="shared" si="131"/>
        <v>0.38088279147251325</v>
      </c>
      <c r="AE192">
        <f t="shared" si="132"/>
        <v>0.19</v>
      </c>
      <c r="AF192">
        <f t="shared" si="133"/>
        <v>0.6784</v>
      </c>
      <c r="AG192">
        <f t="shared" si="134"/>
        <v>0</v>
      </c>
      <c r="AH192">
        <f t="shared" si="135"/>
        <v>2.3074306096131303E-4</v>
      </c>
      <c r="AI192">
        <f t="shared" ref="AI192:AI214" si="141">AG192+AH192</f>
        <v>2.3074306096131303E-4</v>
      </c>
      <c r="AJ192">
        <f t="shared" si="136"/>
        <v>1.4738713018903871</v>
      </c>
    </row>
    <row r="193" spans="5:36" x14ac:dyDescent="0.2">
      <c r="E193" s="11"/>
      <c r="F193" t="s">
        <v>165</v>
      </c>
      <c r="G193">
        <v>65</v>
      </c>
      <c r="H193">
        <v>0</v>
      </c>
      <c r="I193">
        <v>0</v>
      </c>
      <c r="J193">
        <f t="shared" si="122"/>
        <v>91.25</v>
      </c>
      <c r="K193">
        <v>0.16</v>
      </c>
      <c r="L193">
        <v>0.7</v>
      </c>
      <c r="M193">
        <v>45</v>
      </c>
      <c r="N193">
        <f t="shared" si="137"/>
        <v>0</v>
      </c>
      <c r="O193">
        <f>O191</f>
        <v>1</v>
      </c>
      <c r="P193">
        <f>P191</f>
        <v>0.76</v>
      </c>
      <c r="Q193">
        <f t="shared" si="123"/>
        <v>4.7000000000000002E-3</v>
      </c>
      <c r="R193">
        <f t="shared" si="124"/>
        <v>0</v>
      </c>
      <c r="S193">
        <v>0</v>
      </c>
      <c r="T193">
        <f t="shared" si="138"/>
        <v>0</v>
      </c>
      <c r="U193">
        <f t="shared" si="125"/>
        <v>1.3</v>
      </c>
      <c r="V193">
        <f t="shared" si="126"/>
        <v>1</v>
      </c>
      <c r="W193">
        <f t="shared" si="127"/>
        <v>0.55510000000000004</v>
      </c>
      <c r="X193">
        <v>0.7</v>
      </c>
      <c r="Y193">
        <f t="shared" si="139"/>
        <v>0.62468890114860043</v>
      </c>
      <c r="Z193">
        <f t="shared" si="128"/>
        <v>0.98919258792655118</v>
      </c>
      <c r="AA193">
        <f t="shared" si="140"/>
        <v>0.61793763077617758</v>
      </c>
      <c r="AB193">
        <f t="shared" si="129"/>
        <v>9.8870020924188409E-2</v>
      </c>
      <c r="AC193">
        <f t="shared" si="130"/>
        <v>0.08</v>
      </c>
      <c r="AD193">
        <f t="shared" si="131"/>
        <v>0.18460275258570238</v>
      </c>
      <c r="AE193">
        <f t="shared" si="132"/>
        <v>0.19</v>
      </c>
      <c r="AF193">
        <f t="shared" si="133"/>
        <v>0.6784</v>
      </c>
      <c r="AG193">
        <f t="shared" si="134"/>
        <v>0</v>
      </c>
      <c r="AH193">
        <f t="shared" si="135"/>
        <v>1.1183441506724749E-4</v>
      </c>
      <c r="AI193">
        <f t="shared" si="141"/>
        <v>1.1183441506724749E-4</v>
      </c>
      <c r="AJ193">
        <f t="shared" si="136"/>
        <v>0.66331787436761169</v>
      </c>
    </row>
    <row r="194" spans="5:36" x14ac:dyDescent="0.2">
      <c r="E194" s="12"/>
      <c r="F194" t="s">
        <v>166</v>
      </c>
      <c r="G194">
        <v>80</v>
      </c>
      <c r="H194">
        <v>0</v>
      </c>
      <c r="I194">
        <v>0</v>
      </c>
      <c r="J194">
        <f t="shared" si="122"/>
        <v>91.25</v>
      </c>
      <c r="K194">
        <v>0.21</v>
      </c>
      <c r="L194">
        <v>0.76</v>
      </c>
      <c r="M194">
        <v>50</v>
      </c>
      <c r="N194">
        <f t="shared" si="137"/>
        <v>0</v>
      </c>
      <c r="O194">
        <f>O191</f>
        <v>1</v>
      </c>
      <c r="P194">
        <f>P191</f>
        <v>0.76</v>
      </c>
      <c r="Q194">
        <f t="shared" si="123"/>
        <v>4.7000000000000002E-3</v>
      </c>
      <c r="R194">
        <f t="shared" si="124"/>
        <v>0</v>
      </c>
      <c r="S194">
        <v>0</v>
      </c>
      <c r="T194">
        <f t="shared" si="138"/>
        <v>0</v>
      </c>
      <c r="U194">
        <f t="shared" si="125"/>
        <v>1.3</v>
      </c>
      <c r="V194">
        <f t="shared" si="126"/>
        <v>1</v>
      </c>
      <c r="W194">
        <f t="shared" si="127"/>
        <v>0.60280000000000011</v>
      </c>
      <c r="X194">
        <v>1.2</v>
      </c>
      <c r="Y194">
        <f t="shared" si="139"/>
        <v>0.94386523716586623</v>
      </c>
      <c r="Z194">
        <f t="shared" si="128"/>
        <v>1.1932987789651837</v>
      </c>
      <c r="AA194">
        <f t="shared" si="140"/>
        <v>1.1263132350177116</v>
      </c>
      <c r="AB194">
        <f t="shared" si="129"/>
        <v>0.23652577935371943</v>
      </c>
      <c r="AC194">
        <f t="shared" si="130"/>
        <v>0.08</v>
      </c>
      <c r="AD194">
        <f t="shared" si="131"/>
        <v>0.29537376161614987</v>
      </c>
      <c r="AE194">
        <f t="shared" si="132"/>
        <v>0.19</v>
      </c>
      <c r="AF194">
        <f t="shared" si="133"/>
        <v>0.6784</v>
      </c>
      <c r="AG194">
        <f t="shared" si="134"/>
        <v>0</v>
      </c>
      <c r="AH194">
        <f t="shared" si="135"/>
        <v>1.7894073297319371E-4</v>
      </c>
      <c r="AI194">
        <f t="shared" si="141"/>
        <v>1.7894073297319371E-4</v>
      </c>
      <c r="AJ194">
        <f t="shared" si="136"/>
        <v>1.3062673507043141</v>
      </c>
    </row>
    <row r="195" spans="5:36" x14ac:dyDescent="0.2">
      <c r="E195" s="11" t="s">
        <v>171</v>
      </c>
      <c r="F195" t="s">
        <v>163</v>
      </c>
      <c r="G195">
        <v>200</v>
      </c>
      <c r="H195">
        <v>0</v>
      </c>
      <c r="I195">
        <v>0</v>
      </c>
      <c r="J195">
        <f t="shared" si="122"/>
        <v>91.25</v>
      </c>
      <c r="K195">
        <v>0.18</v>
      </c>
      <c r="L195">
        <v>0.73</v>
      </c>
      <c r="M195">
        <v>30</v>
      </c>
      <c r="N195">
        <f t="shared" si="137"/>
        <v>0</v>
      </c>
      <c r="O195">
        <f>O191</f>
        <v>1</v>
      </c>
      <c r="P195">
        <f>P191</f>
        <v>0.76</v>
      </c>
      <c r="Q195">
        <f t="shared" si="123"/>
        <v>4.7000000000000002E-3</v>
      </c>
      <c r="R195">
        <f t="shared" si="124"/>
        <v>0</v>
      </c>
      <c r="S195">
        <v>1</v>
      </c>
      <c r="T195">
        <f t="shared" si="138"/>
        <v>1.6</v>
      </c>
      <c r="U195">
        <f t="shared" si="125"/>
        <v>1.3</v>
      </c>
      <c r="V195">
        <f t="shared" si="126"/>
        <v>1</v>
      </c>
      <c r="W195">
        <f t="shared" si="127"/>
        <v>0.57895000000000008</v>
      </c>
      <c r="X195">
        <v>3.5</v>
      </c>
      <c r="Y195">
        <f t="shared" si="139"/>
        <v>0.99999999997710265</v>
      </c>
      <c r="Z195">
        <f t="shared" si="128"/>
        <v>0.70279395559006042</v>
      </c>
      <c r="AA195">
        <f t="shared" si="140"/>
        <v>0.70279395557396829</v>
      </c>
      <c r="AB195">
        <f t="shared" si="129"/>
        <v>0.19850291200331427</v>
      </c>
      <c r="AC195">
        <f t="shared" si="130"/>
        <v>0.08</v>
      </c>
      <c r="AD195">
        <f t="shared" si="131"/>
        <v>0.19275025042345378</v>
      </c>
      <c r="AE195">
        <f t="shared" si="132"/>
        <v>0.19</v>
      </c>
      <c r="AF195">
        <f t="shared" si="133"/>
        <v>0.6784</v>
      </c>
      <c r="AG195">
        <f t="shared" si="134"/>
        <v>0</v>
      </c>
      <c r="AH195">
        <f t="shared" si="135"/>
        <v>1.1677026050933304E-4</v>
      </c>
      <c r="AI195">
        <f t="shared" si="141"/>
        <v>1.1677026050933304E-4</v>
      </c>
      <c r="AJ195">
        <f t="shared" si="136"/>
        <v>2.1310572542953281</v>
      </c>
    </row>
    <row r="196" spans="5:36" x14ac:dyDescent="0.2">
      <c r="E196" s="12"/>
      <c r="F196" t="s">
        <v>164</v>
      </c>
      <c r="G196">
        <v>210</v>
      </c>
      <c r="H196">
        <v>0</v>
      </c>
      <c r="I196">
        <v>0</v>
      </c>
      <c r="J196">
        <f t="shared" si="122"/>
        <v>91.25</v>
      </c>
      <c r="K196">
        <v>0.06</v>
      </c>
      <c r="L196">
        <v>0.55000000000000004</v>
      </c>
      <c r="M196">
        <v>30</v>
      </c>
      <c r="N196">
        <f t="shared" si="137"/>
        <v>0</v>
      </c>
      <c r="O196">
        <f>O191</f>
        <v>1</v>
      </c>
      <c r="P196">
        <f>P191</f>
        <v>0.76</v>
      </c>
      <c r="Q196">
        <f t="shared" si="123"/>
        <v>4.7000000000000002E-3</v>
      </c>
      <c r="R196">
        <f t="shared" si="124"/>
        <v>0</v>
      </c>
      <c r="S196">
        <v>0</v>
      </c>
      <c r="T196">
        <f t="shared" si="138"/>
        <v>0</v>
      </c>
      <c r="U196">
        <f t="shared" si="125"/>
        <v>1.3</v>
      </c>
      <c r="V196">
        <f t="shared" si="126"/>
        <v>1</v>
      </c>
      <c r="W196">
        <f t="shared" si="127"/>
        <v>0.43585000000000007</v>
      </c>
      <c r="X196">
        <v>1.5</v>
      </c>
      <c r="Y196">
        <f t="shared" si="139"/>
        <v>0.98889100346175773</v>
      </c>
      <c r="Z196">
        <f t="shared" si="128"/>
        <v>0.5107382310873998</v>
      </c>
      <c r="AA196">
        <f t="shared" si="140"/>
        <v>0.50506444184630195</v>
      </c>
      <c r="AB196">
        <f t="shared" si="129"/>
        <v>3.0303866510778116E-2</v>
      </c>
      <c r="AC196">
        <f t="shared" si="130"/>
        <v>0.08</v>
      </c>
      <c r="AD196">
        <f t="shared" si="131"/>
        <v>0.21848399425173362</v>
      </c>
      <c r="AE196">
        <f t="shared" si="132"/>
        <v>0.19</v>
      </c>
      <c r="AF196">
        <f t="shared" si="133"/>
        <v>0.6784</v>
      </c>
      <c r="AG196">
        <f t="shared" si="134"/>
        <v>0</v>
      </c>
      <c r="AH196">
        <f t="shared" si="135"/>
        <v>1.3236005073843587E-4</v>
      </c>
      <c r="AI196">
        <f t="shared" si="141"/>
        <v>1.3236005073843587E-4</v>
      </c>
      <c r="AJ196">
        <f t="shared" si="136"/>
        <v>2.5363494722752775</v>
      </c>
    </row>
    <row r="197" spans="5:36" x14ac:dyDescent="0.2">
      <c r="E197" s="11"/>
      <c r="F197" t="s">
        <v>165</v>
      </c>
      <c r="G197">
        <v>170</v>
      </c>
      <c r="H197">
        <v>0</v>
      </c>
      <c r="I197">
        <v>0</v>
      </c>
      <c r="J197">
        <f t="shared" si="122"/>
        <v>91.25</v>
      </c>
      <c r="K197">
        <v>0.16</v>
      </c>
      <c r="L197">
        <v>0.7</v>
      </c>
      <c r="M197">
        <v>10</v>
      </c>
      <c r="N197">
        <f t="shared" si="137"/>
        <v>0</v>
      </c>
      <c r="O197">
        <f>O191</f>
        <v>1</v>
      </c>
      <c r="P197">
        <f>P191</f>
        <v>0.76</v>
      </c>
      <c r="Q197">
        <f t="shared" si="123"/>
        <v>4.7000000000000002E-3</v>
      </c>
      <c r="R197">
        <f t="shared" si="124"/>
        <v>0</v>
      </c>
      <c r="S197">
        <v>0</v>
      </c>
      <c r="T197">
        <f t="shared" si="138"/>
        <v>0</v>
      </c>
      <c r="U197">
        <f t="shared" si="125"/>
        <v>1.3</v>
      </c>
      <c r="V197">
        <f t="shared" si="126"/>
        <v>1</v>
      </c>
      <c r="W197">
        <f t="shared" si="127"/>
        <v>0.55510000000000004</v>
      </c>
      <c r="X197">
        <v>0.7</v>
      </c>
      <c r="Y197">
        <f t="shared" si="139"/>
        <v>0.62468890114860043</v>
      </c>
      <c r="Z197">
        <f t="shared" si="128"/>
        <v>0.25973966598977283</v>
      </c>
      <c r="AA197">
        <f t="shared" si="140"/>
        <v>0.1622564865318557</v>
      </c>
      <c r="AB197">
        <f t="shared" si="129"/>
        <v>2.5961037845096912E-2</v>
      </c>
      <c r="AC197">
        <f t="shared" si="130"/>
        <v>0.08</v>
      </c>
      <c r="AD197">
        <f t="shared" si="131"/>
        <v>4.575163004390935E-2</v>
      </c>
      <c r="AE197">
        <f t="shared" si="132"/>
        <v>0.19</v>
      </c>
      <c r="AF197">
        <f t="shared" si="133"/>
        <v>0.6784</v>
      </c>
      <c r="AG197">
        <f t="shared" si="134"/>
        <v>0</v>
      </c>
      <c r="AH197">
        <f t="shared" si="135"/>
        <v>2.7716849898856777E-5</v>
      </c>
      <c r="AI197">
        <f t="shared" si="141"/>
        <v>2.7716849898856777E-5</v>
      </c>
      <c r="AJ197">
        <f t="shared" si="136"/>
        <v>0.42995763405601573</v>
      </c>
    </row>
    <row r="198" spans="5:36" x14ac:dyDescent="0.2">
      <c r="E198" s="12"/>
      <c r="F198" t="s">
        <v>166</v>
      </c>
      <c r="G198">
        <v>200</v>
      </c>
      <c r="H198">
        <v>0</v>
      </c>
      <c r="I198">
        <v>0</v>
      </c>
      <c r="J198">
        <f t="shared" si="122"/>
        <v>91.25</v>
      </c>
      <c r="K198">
        <v>0.21</v>
      </c>
      <c r="L198">
        <v>0.76</v>
      </c>
      <c r="M198">
        <v>20</v>
      </c>
      <c r="N198">
        <f t="shared" si="137"/>
        <v>0</v>
      </c>
      <c r="O198">
        <f>O191</f>
        <v>1</v>
      </c>
      <c r="P198">
        <f>P191</f>
        <v>0.76</v>
      </c>
      <c r="Q198">
        <f t="shared" si="123"/>
        <v>4.7000000000000002E-3</v>
      </c>
      <c r="R198">
        <f t="shared" si="124"/>
        <v>0</v>
      </c>
      <c r="S198">
        <v>0</v>
      </c>
      <c r="T198">
        <f t="shared" si="138"/>
        <v>0</v>
      </c>
      <c r="U198">
        <f t="shared" si="125"/>
        <v>1.3</v>
      </c>
      <c r="V198">
        <f t="shared" si="126"/>
        <v>1</v>
      </c>
      <c r="W198">
        <f t="shared" si="127"/>
        <v>0.60280000000000011</v>
      </c>
      <c r="X198">
        <v>1.2</v>
      </c>
      <c r="Y198">
        <f t="shared" si="139"/>
        <v>0.94386523716586623</v>
      </c>
      <c r="Z198">
        <f t="shared" si="128"/>
        <v>0.51309470831906745</v>
      </c>
      <c r="AA198">
        <f t="shared" si="140"/>
        <v>0.48429225855612756</v>
      </c>
      <c r="AB198">
        <f t="shared" si="129"/>
        <v>0.10170137429678679</v>
      </c>
      <c r="AC198">
        <f t="shared" si="130"/>
        <v>0.08</v>
      </c>
      <c r="AD198">
        <f t="shared" si="131"/>
        <v>0.11556276558365712</v>
      </c>
      <c r="AE198">
        <f t="shared" si="132"/>
        <v>0.19</v>
      </c>
      <c r="AF198">
        <f t="shared" si="133"/>
        <v>0.6784</v>
      </c>
      <c r="AG198">
        <f t="shared" si="134"/>
        <v>0</v>
      </c>
      <c r="AH198">
        <f t="shared" si="135"/>
        <v>7.000921769355402E-5</v>
      </c>
      <c r="AI198">
        <f t="shared" si="141"/>
        <v>7.000921769355402E-5</v>
      </c>
      <c r="AJ198">
        <f t="shared" si="136"/>
        <v>1.2776682229073608</v>
      </c>
    </row>
    <row r="199" spans="5:36" x14ac:dyDescent="0.2">
      <c r="E199" s="11" t="s">
        <v>168</v>
      </c>
      <c r="F199" t="s">
        <v>163</v>
      </c>
      <c r="G199">
        <v>100</v>
      </c>
      <c r="H199">
        <v>95</v>
      </c>
      <c r="I199">
        <v>92</v>
      </c>
      <c r="J199">
        <f t="shared" si="122"/>
        <v>91.25</v>
      </c>
      <c r="K199">
        <v>0.18</v>
      </c>
      <c r="L199">
        <v>0.73</v>
      </c>
      <c r="M199">
        <v>50</v>
      </c>
      <c r="N199">
        <f t="shared" si="137"/>
        <v>0</v>
      </c>
      <c r="O199">
        <f>O191</f>
        <v>1</v>
      </c>
      <c r="P199">
        <f>P191</f>
        <v>0.76</v>
      </c>
      <c r="Q199">
        <f t="shared" si="123"/>
        <v>4.7000000000000002E-3</v>
      </c>
      <c r="R199">
        <f t="shared" si="124"/>
        <v>0.874</v>
      </c>
      <c r="S199">
        <v>0</v>
      </c>
      <c r="T199">
        <f t="shared" si="138"/>
        <v>0</v>
      </c>
      <c r="U199">
        <f t="shared" si="125"/>
        <v>1.3</v>
      </c>
      <c r="V199">
        <f t="shared" si="126"/>
        <v>1.2622</v>
      </c>
      <c r="W199">
        <f t="shared" si="127"/>
        <v>0.57895000000000008</v>
      </c>
      <c r="X199">
        <v>3.5</v>
      </c>
      <c r="Y199">
        <f t="shared" si="139"/>
        <v>0.99999999997710265</v>
      </c>
      <c r="Z199">
        <f t="shared" si="128"/>
        <v>1.1463458630615306</v>
      </c>
      <c r="AA199">
        <f t="shared" si="140"/>
        <v>1.4469177483231332</v>
      </c>
      <c r="AB199">
        <f t="shared" si="129"/>
        <v>0.26044519469816396</v>
      </c>
      <c r="AC199">
        <f t="shared" si="130"/>
        <v>0.08</v>
      </c>
      <c r="AD199">
        <f t="shared" si="131"/>
        <v>0.43645778039464578</v>
      </c>
      <c r="AE199">
        <f t="shared" si="132"/>
        <v>0.19</v>
      </c>
      <c r="AF199">
        <f t="shared" si="133"/>
        <v>0.6784</v>
      </c>
      <c r="AG199">
        <f t="shared" si="134"/>
        <v>0</v>
      </c>
      <c r="AH199">
        <f t="shared" si="135"/>
        <v>2.6441101169021687E-4</v>
      </c>
      <c r="AI199">
        <f t="shared" si="141"/>
        <v>2.6441101169021687E-4</v>
      </c>
      <c r="AJ199">
        <f t="shared" si="136"/>
        <v>2.4127504816732288</v>
      </c>
    </row>
    <row r="200" spans="5:36" x14ac:dyDescent="0.2">
      <c r="E200" s="12"/>
      <c r="F200" t="s">
        <v>164</v>
      </c>
      <c r="G200">
        <v>140</v>
      </c>
      <c r="H200">
        <v>0</v>
      </c>
      <c r="I200">
        <v>0</v>
      </c>
      <c r="J200">
        <f t="shared" si="122"/>
        <v>91.25</v>
      </c>
      <c r="K200">
        <v>0.06</v>
      </c>
      <c r="L200">
        <v>0.55000000000000004</v>
      </c>
      <c r="M200">
        <v>45</v>
      </c>
      <c r="N200">
        <f t="shared" si="137"/>
        <v>0</v>
      </c>
      <c r="O200">
        <f>O191</f>
        <v>1</v>
      </c>
      <c r="P200">
        <f>P191</f>
        <v>0.76</v>
      </c>
      <c r="Q200">
        <f t="shared" si="123"/>
        <v>4.7000000000000002E-3</v>
      </c>
      <c r="R200">
        <f t="shared" si="124"/>
        <v>0</v>
      </c>
      <c r="S200">
        <v>0</v>
      </c>
      <c r="T200">
        <f t="shared" si="138"/>
        <v>0</v>
      </c>
      <c r="U200">
        <f t="shared" si="125"/>
        <v>1.3</v>
      </c>
      <c r="V200">
        <f t="shared" si="126"/>
        <v>1</v>
      </c>
      <c r="W200">
        <f t="shared" si="127"/>
        <v>0.43585000000000007</v>
      </c>
      <c r="X200">
        <v>1.5</v>
      </c>
      <c r="Y200">
        <f t="shared" si="139"/>
        <v>0.98889100346175773</v>
      </c>
      <c r="Z200">
        <f t="shared" si="128"/>
        <v>0.77226516609487061</v>
      </c>
      <c r="AA200">
        <f t="shared" si="140"/>
        <v>0.76368607503811758</v>
      </c>
      <c r="AB200">
        <f t="shared" si="129"/>
        <v>4.5821164502287057E-2</v>
      </c>
      <c r="AC200">
        <f t="shared" si="130"/>
        <v>0.08</v>
      </c>
      <c r="AD200">
        <f t="shared" si="131"/>
        <v>0.33762839936620287</v>
      </c>
      <c r="AE200">
        <f t="shared" si="132"/>
        <v>0.19</v>
      </c>
      <c r="AF200">
        <f t="shared" si="133"/>
        <v>0.6784</v>
      </c>
      <c r="AG200">
        <f t="shared" si="134"/>
        <v>0</v>
      </c>
      <c r="AH200">
        <f t="shared" si="135"/>
        <v>2.0453906577411863E-4</v>
      </c>
      <c r="AI200">
        <f t="shared" si="141"/>
        <v>2.0453906577411863E-4</v>
      </c>
      <c r="AJ200">
        <f t="shared" si="136"/>
        <v>2.6129865652643653</v>
      </c>
    </row>
    <row r="201" spans="5:36" x14ac:dyDescent="0.2">
      <c r="E201" s="11"/>
      <c r="F201" t="s">
        <v>165</v>
      </c>
      <c r="G201">
        <v>135</v>
      </c>
      <c r="H201">
        <v>0</v>
      </c>
      <c r="I201">
        <v>0</v>
      </c>
      <c r="J201">
        <f t="shared" si="122"/>
        <v>91.25</v>
      </c>
      <c r="K201">
        <v>0.16</v>
      </c>
      <c r="L201">
        <v>0.7</v>
      </c>
      <c r="M201">
        <v>40</v>
      </c>
      <c r="N201">
        <f t="shared" si="137"/>
        <v>0</v>
      </c>
      <c r="O201">
        <f>O191</f>
        <v>1</v>
      </c>
      <c r="P201">
        <f>P191</f>
        <v>0.76</v>
      </c>
      <c r="Q201">
        <f t="shared" si="123"/>
        <v>4.7000000000000002E-3</v>
      </c>
      <c r="R201">
        <f t="shared" si="124"/>
        <v>0</v>
      </c>
      <c r="S201">
        <v>0</v>
      </c>
      <c r="T201">
        <f t="shared" si="138"/>
        <v>0</v>
      </c>
      <c r="U201">
        <f t="shared" si="125"/>
        <v>1.3</v>
      </c>
      <c r="V201">
        <f t="shared" si="126"/>
        <v>1</v>
      </c>
      <c r="W201">
        <f t="shared" si="127"/>
        <v>0.55510000000000004</v>
      </c>
      <c r="X201">
        <v>0.7</v>
      </c>
      <c r="Y201">
        <f t="shared" si="139"/>
        <v>0.62468890114860043</v>
      </c>
      <c r="Z201">
        <f t="shared" si="128"/>
        <v>0.88114358489687972</v>
      </c>
      <c r="AA201">
        <f t="shared" si="140"/>
        <v>0.55044061780337028</v>
      </c>
      <c r="AB201">
        <f t="shared" si="129"/>
        <v>8.807049884853925E-2</v>
      </c>
      <c r="AC201">
        <f t="shared" si="130"/>
        <v>0.08</v>
      </c>
      <c r="AD201">
        <f t="shared" si="131"/>
        <v>0.16307145386691163</v>
      </c>
      <c r="AE201">
        <f t="shared" si="132"/>
        <v>0.19</v>
      </c>
      <c r="AF201">
        <f t="shared" si="133"/>
        <v>0.6784</v>
      </c>
      <c r="AG201">
        <f t="shared" si="134"/>
        <v>0</v>
      </c>
      <c r="AH201">
        <f t="shared" si="135"/>
        <v>9.8790513152858376E-5</v>
      </c>
      <c r="AI201">
        <f t="shared" si="141"/>
        <v>9.8790513152858376E-5</v>
      </c>
      <c r="AJ201">
        <f t="shared" si="136"/>
        <v>1.2169756339017741</v>
      </c>
    </row>
    <row r="202" spans="5:36" x14ac:dyDescent="0.2">
      <c r="E202" s="12"/>
      <c r="F202" t="s">
        <v>166</v>
      </c>
      <c r="G202">
        <v>130</v>
      </c>
      <c r="H202">
        <v>0</v>
      </c>
      <c r="I202">
        <v>0</v>
      </c>
      <c r="J202">
        <f t="shared" si="122"/>
        <v>91.25</v>
      </c>
      <c r="K202">
        <v>0.21</v>
      </c>
      <c r="L202">
        <v>0.76</v>
      </c>
      <c r="M202">
        <v>45</v>
      </c>
      <c r="N202">
        <f t="shared" si="137"/>
        <v>0</v>
      </c>
      <c r="O202">
        <f>O191</f>
        <v>1</v>
      </c>
      <c r="P202">
        <f>P191</f>
        <v>0.76</v>
      </c>
      <c r="Q202">
        <f t="shared" si="123"/>
        <v>4.7000000000000002E-3</v>
      </c>
      <c r="R202">
        <f t="shared" si="124"/>
        <v>0</v>
      </c>
      <c r="S202">
        <v>0</v>
      </c>
      <c r="T202">
        <f t="shared" si="138"/>
        <v>0</v>
      </c>
      <c r="U202">
        <f t="shared" si="125"/>
        <v>1.3</v>
      </c>
      <c r="V202">
        <f t="shared" si="126"/>
        <v>1</v>
      </c>
      <c r="W202">
        <f t="shared" si="127"/>
        <v>0.60280000000000011</v>
      </c>
      <c r="X202">
        <v>1.2</v>
      </c>
      <c r="Y202">
        <f t="shared" si="139"/>
        <v>0.94386523716586623</v>
      </c>
      <c r="Z202">
        <f t="shared" si="128"/>
        <v>1.0759635566592238</v>
      </c>
      <c r="AA202">
        <f t="shared" si="140"/>
        <v>1.0155645975879872</v>
      </c>
      <c r="AB202">
        <f t="shared" si="129"/>
        <v>0.21326856549347731</v>
      </c>
      <c r="AC202">
        <f t="shared" si="130"/>
        <v>0.08</v>
      </c>
      <c r="AD202">
        <f t="shared" si="131"/>
        <v>0.26219113257639265</v>
      </c>
      <c r="AE202">
        <f t="shared" si="132"/>
        <v>0.19</v>
      </c>
      <c r="AF202">
        <f t="shared" si="133"/>
        <v>0.6784</v>
      </c>
      <c r="AG202">
        <f t="shared" si="134"/>
        <v>0</v>
      </c>
      <c r="AH202">
        <f t="shared" si="135"/>
        <v>1.5883832465546355E-4</v>
      </c>
      <c r="AI202">
        <f t="shared" si="141"/>
        <v>1.5883832465546355E-4</v>
      </c>
      <c r="AJ202">
        <f t="shared" si="136"/>
        <v>1.8842196262254365</v>
      </c>
    </row>
    <row r="203" spans="5:36" x14ac:dyDescent="0.2">
      <c r="E203" s="11" t="s">
        <v>170</v>
      </c>
      <c r="F203" t="s">
        <v>163</v>
      </c>
      <c r="G203">
        <v>200</v>
      </c>
      <c r="H203">
        <v>0</v>
      </c>
      <c r="I203">
        <v>0</v>
      </c>
      <c r="J203">
        <f t="shared" si="122"/>
        <v>91.25</v>
      </c>
      <c r="K203">
        <v>0.18</v>
      </c>
      <c r="L203">
        <v>0.73</v>
      </c>
      <c r="M203">
        <v>55</v>
      </c>
      <c r="N203">
        <f t="shared" si="137"/>
        <v>0</v>
      </c>
      <c r="O203">
        <f>O191</f>
        <v>1</v>
      </c>
      <c r="P203">
        <f>P191</f>
        <v>0.76</v>
      </c>
      <c r="Q203">
        <f t="shared" si="123"/>
        <v>4.7000000000000002E-3</v>
      </c>
      <c r="R203">
        <f t="shared" si="124"/>
        <v>0</v>
      </c>
      <c r="S203">
        <v>0</v>
      </c>
      <c r="T203">
        <f t="shared" si="138"/>
        <v>0</v>
      </c>
      <c r="U203">
        <f t="shared" si="125"/>
        <v>1.3</v>
      </c>
      <c r="V203">
        <f t="shared" si="126"/>
        <v>1</v>
      </c>
      <c r="W203">
        <f t="shared" si="127"/>
        <v>0.57895000000000008</v>
      </c>
      <c r="X203">
        <v>3.5</v>
      </c>
      <c r="Y203">
        <f t="shared" si="139"/>
        <v>0.99999999997710265</v>
      </c>
      <c r="Z203">
        <f t="shared" si="128"/>
        <v>1.2622908518455234</v>
      </c>
      <c r="AA203">
        <f t="shared" si="140"/>
        <v>1.2622908518166203</v>
      </c>
      <c r="AB203">
        <f t="shared" si="129"/>
        <v>0.22721235332699163</v>
      </c>
      <c r="AC203">
        <f t="shared" si="130"/>
        <v>0.08</v>
      </c>
      <c r="AD203">
        <f t="shared" si="131"/>
        <v>0.37218936515178991</v>
      </c>
      <c r="AE203">
        <f t="shared" si="132"/>
        <v>0.19</v>
      </c>
      <c r="AF203">
        <f t="shared" si="133"/>
        <v>0.6784</v>
      </c>
      <c r="AG203">
        <f t="shared" si="134"/>
        <v>0</v>
      </c>
      <c r="AH203">
        <f t="shared" si="135"/>
        <v>2.2547648592984403E-4</v>
      </c>
      <c r="AI203">
        <f t="shared" si="141"/>
        <v>2.2547648592984403E-4</v>
      </c>
      <c r="AJ203">
        <f t="shared" si="136"/>
        <v>4.114945868219654</v>
      </c>
    </row>
    <row r="204" spans="5:36" x14ac:dyDescent="0.2">
      <c r="E204" s="12"/>
      <c r="F204" t="s">
        <v>164</v>
      </c>
      <c r="G204">
        <v>210</v>
      </c>
      <c r="H204">
        <v>0</v>
      </c>
      <c r="I204">
        <v>0</v>
      </c>
      <c r="J204">
        <f t="shared" si="122"/>
        <v>91.25</v>
      </c>
      <c r="K204">
        <v>0.06</v>
      </c>
      <c r="L204">
        <v>0.55000000000000004</v>
      </c>
      <c r="M204">
        <v>50</v>
      </c>
      <c r="N204">
        <f t="shared" si="137"/>
        <v>0</v>
      </c>
      <c r="O204">
        <f>O191</f>
        <v>1</v>
      </c>
      <c r="P204">
        <f>P191</f>
        <v>0.76</v>
      </c>
      <c r="Q204">
        <f t="shared" si="123"/>
        <v>4.7000000000000002E-3</v>
      </c>
      <c r="R204">
        <f t="shared" si="124"/>
        <v>0</v>
      </c>
      <c r="S204">
        <v>0</v>
      </c>
      <c r="T204">
        <f t="shared" si="138"/>
        <v>0</v>
      </c>
      <c r="U204">
        <f t="shared" si="125"/>
        <v>1.3</v>
      </c>
      <c r="V204">
        <f t="shared" si="126"/>
        <v>1</v>
      </c>
      <c r="W204">
        <f t="shared" si="127"/>
        <v>0.43585000000000007</v>
      </c>
      <c r="X204">
        <v>1.5</v>
      </c>
      <c r="Y204">
        <f t="shared" si="139"/>
        <v>0.98889100346175773</v>
      </c>
      <c r="Z204">
        <f t="shared" si="128"/>
        <v>0.8646283676396137</v>
      </c>
      <c r="AA204">
        <f t="shared" si="140"/>
        <v>0.85502321409663917</v>
      </c>
      <c r="AB204">
        <f t="shared" si="129"/>
        <v>5.1301392845798349E-2</v>
      </c>
      <c r="AC204">
        <f t="shared" si="130"/>
        <v>0.08</v>
      </c>
      <c r="AD204">
        <f t="shared" si="131"/>
        <v>0.38088279147251325</v>
      </c>
      <c r="AE204">
        <f t="shared" si="132"/>
        <v>0.19</v>
      </c>
      <c r="AF204">
        <f t="shared" si="133"/>
        <v>0.6784</v>
      </c>
      <c r="AG204">
        <f t="shared" si="134"/>
        <v>0</v>
      </c>
      <c r="AH204">
        <f t="shared" si="135"/>
        <v>2.3074306096131303E-4</v>
      </c>
      <c r="AI204">
        <f t="shared" si="141"/>
        <v>2.3074306096131303E-4</v>
      </c>
      <c r="AJ204">
        <f t="shared" si="136"/>
        <v>4.421613905671161</v>
      </c>
    </row>
    <row r="205" spans="5:36" x14ac:dyDescent="0.2">
      <c r="E205" s="11"/>
      <c r="F205" t="s">
        <v>165</v>
      </c>
      <c r="G205">
        <v>190</v>
      </c>
      <c r="H205">
        <v>0</v>
      </c>
      <c r="I205">
        <v>0</v>
      </c>
      <c r="J205">
        <f t="shared" si="122"/>
        <v>91.25</v>
      </c>
      <c r="K205">
        <v>0.06</v>
      </c>
      <c r="L205">
        <v>0.5</v>
      </c>
      <c r="M205">
        <v>45</v>
      </c>
      <c r="N205">
        <f t="shared" si="137"/>
        <v>0</v>
      </c>
      <c r="O205">
        <f>O191</f>
        <v>1</v>
      </c>
      <c r="P205">
        <f>P191</f>
        <v>0.76</v>
      </c>
      <c r="Q205">
        <f t="shared" si="123"/>
        <v>4.7000000000000002E-3</v>
      </c>
      <c r="R205">
        <f t="shared" si="124"/>
        <v>0</v>
      </c>
      <c r="S205">
        <v>0</v>
      </c>
      <c r="T205">
        <f t="shared" si="138"/>
        <v>0</v>
      </c>
      <c r="U205">
        <f t="shared" si="125"/>
        <v>1.3</v>
      </c>
      <c r="V205">
        <f t="shared" si="126"/>
        <v>1</v>
      </c>
      <c r="W205">
        <f t="shared" si="127"/>
        <v>0.39610000000000001</v>
      </c>
      <c r="X205">
        <v>0.7</v>
      </c>
      <c r="Y205">
        <f t="shared" si="139"/>
        <v>0.62468890114860043</v>
      </c>
      <c r="Z205">
        <f t="shared" si="128"/>
        <v>0.69995602548431024</v>
      </c>
      <c r="AA205">
        <f t="shared" si="140"/>
        <v>0.43725476041213551</v>
      </c>
      <c r="AB205">
        <f t="shared" si="129"/>
        <v>2.6235285624728131E-2</v>
      </c>
      <c r="AC205">
        <f t="shared" si="130"/>
        <v>0.08</v>
      </c>
      <c r="AD205">
        <f t="shared" si="131"/>
        <v>0.20817304528809549</v>
      </c>
      <c r="AE205">
        <f t="shared" si="132"/>
        <v>0.19</v>
      </c>
      <c r="AF205">
        <f t="shared" si="133"/>
        <v>0.6784</v>
      </c>
      <c r="AG205">
        <f t="shared" si="134"/>
        <v>0</v>
      </c>
      <c r="AH205">
        <f t="shared" si="135"/>
        <v>1.2611356237363547E-4</v>
      </c>
      <c r="AI205">
        <f t="shared" si="141"/>
        <v>1.2611356237363547E-4</v>
      </c>
      <c r="AJ205">
        <f t="shared" si="136"/>
        <v>2.186493887652905</v>
      </c>
    </row>
    <row r="206" spans="5:36" x14ac:dyDescent="0.2">
      <c r="E206" s="12"/>
      <c r="F206" t="s">
        <v>166</v>
      </c>
      <c r="G206">
        <v>180</v>
      </c>
      <c r="H206">
        <v>0</v>
      </c>
      <c r="I206">
        <v>0</v>
      </c>
      <c r="J206">
        <f t="shared" si="122"/>
        <v>91.25</v>
      </c>
      <c r="K206">
        <v>0.21</v>
      </c>
      <c r="L206">
        <v>0.76</v>
      </c>
      <c r="M206">
        <v>50</v>
      </c>
      <c r="N206">
        <f t="shared" si="137"/>
        <v>0</v>
      </c>
      <c r="O206">
        <f>O191</f>
        <v>1</v>
      </c>
      <c r="P206">
        <f>P191</f>
        <v>0.76</v>
      </c>
      <c r="Q206">
        <f t="shared" si="123"/>
        <v>4.7000000000000002E-3</v>
      </c>
      <c r="R206">
        <f t="shared" si="124"/>
        <v>0</v>
      </c>
      <c r="S206">
        <v>0</v>
      </c>
      <c r="T206">
        <f t="shared" si="138"/>
        <v>0</v>
      </c>
      <c r="U206">
        <f t="shared" si="125"/>
        <v>1.3</v>
      </c>
      <c r="V206">
        <f t="shared" si="126"/>
        <v>1</v>
      </c>
      <c r="W206">
        <f t="shared" si="127"/>
        <v>0.60280000000000011</v>
      </c>
      <c r="X206">
        <v>1.2</v>
      </c>
      <c r="Y206">
        <f t="shared" si="139"/>
        <v>0.94386523716586623</v>
      </c>
      <c r="Z206">
        <f t="shared" si="128"/>
        <v>1.1932987789651837</v>
      </c>
      <c r="AA206">
        <f t="shared" si="140"/>
        <v>1.1263132350177116</v>
      </c>
      <c r="AB206">
        <f t="shared" si="129"/>
        <v>0.23652577935371943</v>
      </c>
      <c r="AC206">
        <f t="shared" si="130"/>
        <v>0.08</v>
      </c>
      <c r="AD206">
        <f t="shared" si="131"/>
        <v>0.29537376161614987</v>
      </c>
      <c r="AE206">
        <f t="shared" si="132"/>
        <v>0.19</v>
      </c>
      <c r="AF206">
        <f t="shared" si="133"/>
        <v>0.6784</v>
      </c>
      <c r="AG206">
        <f t="shared" si="134"/>
        <v>0</v>
      </c>
      <c r="AH206">
        <f t="shared" si="135"/>
        <v>1.7894073297319371E-4</v>
      </c>
      <c r="AI206">
        <f t="shared" si="141"/>
        <v>1.7894073297319371E-4</v>
      </c>
      <c r="AJ206">
        <f t="shared" si="136"/>
        <v>2.9391015390847066</v>
      </c>
    </row>
    <row r="207" spans="5:36" x14ac:dyDescent="0.2">
      <c r="E207" s="11" t="s">
        <v>162</v>
      </c>
      <c r="F207" t="s">
        <v>163</v>
      </c>
      <c r="G207">
        <v>50</v>
      </c>
      <c r="H207">
        <v>0</v>
      </c>
      <c r="I207">
        <v>0</v>
      </c>
      <c r="J207">
        <f t="shared" si="122"/>
        <v>91.25</v>
      </c>
      <c r="K207">
        <v>0.18</v>
      </c>
      <c r="L207">
        <v>0.73</v>
      </c>
      <c r="M207">
        <v>75</v>
      </c>
      <c r="N207">
        <f t="shared" si="137"/>
        <v>0</v>
      </c>
      <c r="O207">
        <f>O191</f>
        <v>1</v>
      </c>
      <c r="P207">
        <f>P191</f>
        <v>0.76</v>
      </c>
      <c r="Q207">
        <f t="shared" si="123"/>
        <v>4.7000000000000002E-3</v>
      </c>
      <c r="R207">
        <f t="shared" si="124"/>
        <v>0</v>
      </c>
      <c r="S207">
        <v>0</v>
      </c>
      <c r="T207">
        <f t="shared" si="138"/>
        <v>0</v>
      </c>
      <c r="U207">
        <f t="shared" si="125"/>
        <v>1.3</v>
      </c>
      <c r="V207">
        <f t="shared" si="126"/>
        <v>1</v>
      </c>
      <c r="W207">
        <f t="shared" si="127"/>
        <v>0.57895000000000008</v>
      </c>
      <c r="X207">
        <v>3.5</v>
      </c>
      <c r="Y207">
        <f t="shared" si="139"/>
        <v>0.99999999997710265</v>
      </c>
      <c r="Z207">
        <f t="shared" si="128"/>
        <v>1.7493630967264082</v>
      </c>
      <c r="AA207">
        <f t="shared" si="140"/>
        <v>1.7493630966863525</v>
      </c>
      <c r="AB207">
        <f t="shared" si="129"/>
        <v>0.31488535740354345</v>
      </c>
      <c r="AC207">
        <f t="shared" si="130"/>
        <v>0.08</v>
      </c>
      <c r="AD207">
        <f t="shared" si="131"/>
        <v>0.54715977499785873</v>
      </c>
      <c r="AE207">
        <f t="shared" si="132"/>
        <v>0.19</v>
      </c>
      <c r="AF207">
        <f t="shared" si="133"/>
        <v>0.6784</v>
      </c>
      <c r="AG207">
        <f t="shared" si="134"/>
        <v>0</v>
      </c>
      <c r="AH207">
        <f t="shared" si="135"/>
        <v>3.314755198831828E-4</v>
      </c>
      <c r="AI207">
        <f t="shared" si="141"/>
        <v>3.314755198831828E-4</v>
      </c>
      <c r="AJ207">
        <f t="shared" si="136"/>
        <v>1.5123570594670215</v>
      </c>
    </row>
    <row r="208" spans="5:36" x14ac:dyDescent="0.2">
      <c r="E208" s="12"/>
      <c r="F208" t="s">
        <v>164</v>
      </c>
      <c r="G208">
        <v>55</v>
      </c>
      <c r="H208">
        <v>0</v>
      </c>
      <c r="I208">
        <v>0</v>
      </c>
      <c r="J208">
        <f t="shared" si="122"/>
        <v>91.25</v>
      </c>
      <c r="K208">
        <v>0.06</v>
      </c>
      <c r="L208">
        <v>0.55000000000000004</v>
      </c>
      <c r="M208">
        <v>65</v>
      </c>
      <c r="N208">
        <f t="shared" si="137"/>
        <v>0</v>
      </c>
      <c r="O208">
        <f>O191</f>
        <v>1</v>
      </c>
      <c r="P208">
        <f>P191</f>
        <v>0.76</v>
      </c>
      <c r="Q208">
        <f t="shared" si="123"/>
        <v>4.7000000000000002E-3</v>
      </c>
      <c r="R208">
        <f t="shared" si="124"/>
        <v>0</v>
      </c>
      <c r="S208">
        <v>0</v>
      </c>
      <c r="T208">
        <f t="shared" si="138"/>
        <v>0</v>
      </c>
      <c r="U208">
        <f t="shared" si="125"/>
        <v>1.3</v>
      </c>
      <c r="V208">
        <f t="shared" si="126"/>
        <v>1</v>
      </c>
      <c r="W208">
        <f t="shared" si="127"/>
        <v>0.43585000000000007</v>
      </c>
      <c r="X208">
        <v>1.5</v>
      </c>
      <c r="Y208">
        <f t="shared" si="139"/>
        <v>0.98889100346175773</v>
      </c>
      <c r="Z208">
        <f t="shared" si="128"/>
        <v>1.1580752413958724</v>
      </c>
      <c r="AA208">
        <f t="shared" si="140"/>
        <v>1.1452101875481815</v>
      </c>
      <c r="AB208">
        <f t="shared" si="129"/>
        <v>6.8712611252890882E-2</v>
      </c>
      <c r="AC208">
        <f t="shared" si="130"/>
        <v>0.08</v>
      </c>
      <c r="AD208">
        <f t="shared" si="131"/>
        <v>0.52238045219578755</v>
      </c>
      <c r="AE208">
        <f t="shared" si="132"/>
        <v>0.19</v>
      </c>
      <c r="AF208">
        <f t="shared" si="133"/>
        <v>0.6784</v>
      </c>
      <c r="AG208">
        <f t="shared" si="134"/>
        <v>0</v>
      </c>
      <c r="AH208">
        <f t="shared" si="135"/>
        <v>3.1646392860127271E-4</v>
      </c>
      <c r="AI208">
        <f t="shared" si="141"/>
        <v>3.1646392860127271E-4</v>
      </c>
      <c r="AJ208">
        <f t="shared" si="136"/>
        <v>1.5882533416676372</v>
      </c>
    </row>
    <row r="209" spans="5:36" x14ac:dyDescent="0.2">
      <c r="E209" s="11"/>
      <c r="F209" t="s">
        <v>165</v>
      </c>
      <c r="G209">
        <v>60</v>
      </c>
      <c r="H209">
        <v>0</v>
      </c>
      <c r="I209">
        <v>0</v>
      </c>
      <c r="J209">
        <f t="shared" si="122"/>
        <v>91.25</v>
      </c>
      <c r="K209">
        <v>0.06</v>
      </c>
      <c r="L209">
        <v>0.5</v>
      </c>
      <c r="M209">
        <v>65</v>
      </c>
      <c r="N209">
        <f t="shared" si="137"/>
        <v>0</v>
      </c>
      <c r="O209">
        <f>O191</f>
        <v>1</v>
      </c>
      <c r="P209">
        <f>P191</f>
        <v>0.76</v>
      </c>
      <c r="Q209">
        <f t="shared" si="123"/>
        <v>4.7000000000000002E-3</v>
      </c>
      <c r="R209">
        <f t="shared" si="124"/>
        <v>0</v>
      </c>
      <c r="S209">
        <v>0</v>
      </c>
      <c r="T209">
        <f t="shared" si="138"/>
        <v>0</v>
      </c>
      <c r="U209">
        <f t="shared" si="125"/>
        <v>1.3</v>
      </c>
      <c r="V209">
        <f t="shared" si="126"/>
        <v>1</v>
      </c>
      <c r="W209">
        <f t="shared" si="127"/>
        <v>0.39610000000000001</v>
      </c>
      <c r="X209">
        <v>0.7</v>
      </c>
      <c r="Y209">
        <f t="shared" si="139"/>
        <v>0.62468890114860043</v>
      </c>
      <c r="Z209">
        <f t="shared" si="128"/>
        <v>1.0628024626440558</v>
      </c>
      <c r="AA209">
        <f t="shared" si="140"/>
        <v>0.66392090252714164</v>
      </c>
      <c r="AB209">
        <f t="shared" si="129"/>
        <v>3.9835254151628495E-2</v>
      </c>
      <c r="AC209">
        <f t="shared" si="130"/>
        <v>0.08</v>
      </c>
      <c r="AD209">
        <f t="shared" si="131"/>
        <v>0.32162472266758352</v>
      </c>
      <c r="AE209">
        <f t="shared" si="132"/>
        <v>0.19</v>
      </c>
      <c r="AF209">
        <f t="shared" si="133"/>
        <v>0.6784</v>
      </c>
      <c r="AG209">
        <f t="shared" si="134"/>
        <v>0</v>
      </c>
      <c r="AH209">
        <f t="shared" si="135"/>
        <v>1.9484385918891597E-4</v>
      </c>
      <c r="AI209">
        <f t="shared" si="141"/>
        <v>1.9484385918891597E-4</v>
      </c>
      <c r="AJ209">
        <f t="shared" si="136"/>
        <v>1.066770129059315</v>
      </c>
    </row>
    <row r="210" spans="5:36" x14ac:dyDescent="0.2">
      <c r="E210" s="12"/>
      <c r="F210" t="s">
        <v>166</v>
      </c>
      <c r="G210">
        <v>65</v>
      </c>
      <c r="H210">
        <v>0</v>
      </c>
      <c r="I210">
        <v>0</v>
      </c>
      <c r="J210">
        <f t="shared" si="122"/>
        <v>91.25</v>
      </c>
      <c r="K210">
        <v>0.21</v>
      </c>
      <c r="L210">
        <v>0.76</v>
      </c>
      <c r="M210">
        <v>65</v>
      </c>
      <c r="N210">
        <f t="shared" si="137"/>
        <v>0</v>
      </c>
      <c r="O210">
        <f>O191</f>
        <v>1</v>
      </c>
      <c r="P210">
        <f>P191</f>
        <v>0.76</v>
      </c>
      <c r="Q210">
        <f t="shared" si="123"/>
        <v>4.7000000000000002E-3</v>
      </c>
      <c r="R210">
        <f t="shared" si="124"/>
        <v>0</v>
      </c>
      <c r="S210">
        <v>0</v>
      </c>
      <c r="T210">
        <f t="shared" si="138"/>
        <v>0</v>
      </c>
      <c r="U210">
        <f t="shared" si="125"/>
        <v>1.3</v>
      </c>
      <c r="V210">
        <f t="shared" si="126"/>
        <v>1</v>
      </c>
      <c r="W210">
        <f t="shared" si="127"/>
        <v>0.60280000000000011</v>
      </c>
      <c r="X210">
        <v>1.2</v>
      </c>
      <c r="Y210">
        <f t="shared" si="139"/>
        <v>0.94386523716586623</v>
      </c>
      <c r="Z210">
        <f t="shared" si="128"/>
        <v>1.5582209121535018</v>
      </c>
      <c r="AA210">
        <f t="shared" si="140"/>
        <v>1.4707505508065775</v>
      </c>
      <c r="AB210">
        <f t="shared" si="129"/>
        <v>0.30885761566938125</v>
      </c>
      <c r="AC210">
        <f t="shared" si="130"/>
        <v>0.08</v>
      </c>
      <c r="AD210">
        <f t="shared" si="131"/>
        <v>0.40434406594137329</v>
      </c>
      <c r="AE210">
        <f t="shared" si="132"/>
        <v>0.19</v>
      </c>
      <c r="AF210">
        <f t="shared" si="133"/>
        <v>0.6784</v>
      </c>
      <c r="AG210">
        <f t="shared" si="134"/>
        <v>0</v>
      </c>
      <c r="AH210">
        <f t="shared" si="135"/>
        <v>2.4495616380082252E-4</v>
      </c>
      <c r="AI210">
        <f t="shared" si="141"/>
        <v>2.4495616380082252E-4</v>
      </c>
      <c r="AJ210">
        <f t="shared" si="136"/>
        <v>1.4528962465436284</v>
      </c>
    </row>
    <row r="211" spans="5:36" x14ac:dyDescent="0.2">
      <c r="E211" s="11" t="s">
        <v>167</v>
      </c>
      <c r="F211" t="s">
        <v>163</v>
      </c>
      <c r="G211">
        <v>50</v>
      </c>
      <c r="H211">
        <v>0</v>
      </c>
      <c r="I211">
        <v>0</v>
      </c>
      <c r="J211">
        <f t="shared" si="122"/>
        <v>91.25</v>
      </c>
      <c r="K211">
        <v>0.18</v>
      </c>
      <c r="L211">
        <v>0.73</v>
      </c>
      <c r="M211">
        <v>60</v>
      </c>
      <c r="N211">
        <f t="shared" si="137"/>
        <v>0</v>
      </c>
      <c r="O211">
        <f>O191</f>
        <v>1</v>
      </c>
      <c r="P211">
        <f>P191</f>
        <v>0.76</v>
      </c>
      <c r="Q211">
        <f t="shared" si="123"/>
        <v>4.7000000000000002E-3</v>
      </c>
      <c r="R211">
        <f t="shared" si="124"/>
        <v>0</v>
      </c>
      <c r="S211">
        <v>0</v>
      </c>
      <c r="T211">
        <f t="shared" si="138"/>
        <v>0</v>
      </c>
      <c r="U211">
        <f t="shared" si="125"/>
        <v>1.3</v>
      </c>
      <c r="V211">
        <f t="shared" si="126"/>
        <v>1</v>
      </c>
      <c r="W211">
        <f t="shared" si="127"/>
        <v>0.57895000000000008</v>
      </c>
      <c r="X211">
        <v>3.5</v>
      </c>
      <c r="Y211">
        <f t="shared" si="139"/>
        <v>0.99999999997710265</v>
      </c>
      <c r="Z211">
        <f t="shared" si="128"/>
        <v>1.3805052881061199</v>
      </c>
      <c r="AA211">
        <f t="shared" si="140"/>
        <v>1.3805052880745101</v>
      </c>
      <c r="AB211">
        <f t="shared" si="129"/>
        <v>0.2484909518534118</v>
      </c>
      <c r="AC211">
        <f t="shared" si="130"/>
        <v>0.08</v>
      </c>
      <c r="AD211">
        <f t="shared" si="131"/>
        <v>0.41305076405249036</v>
      </c>
      <c r="AE211">
        <f t="shared" si="132"/>
        <v>0.19</v>
      </c>
      <c r="AF211">
        <f t="shared" si="133"/>
        <v>0.6784</v>
      </c>
      <c r="AG211">
        <f t="shared" si="134"/>
        <v>0</v>
      </c>
      <c r="AH211">
        <f t="shared" si="135"/>
        <v>2.5023077903155606E-4</v>
      </c>
      <c r="AI211">
        <f t="shared" si="141"/>
        <v>2.5023077903155606E-4</v>
      </c>
      <c r="AJ211">
        <f t="shared" si="136"/>
        <v>1.1416779293314745</v>
      </c>
    </row>
    <row r="212" spans="5:36" x14ac:dyDescent="0.2">
      <c r="E212" s="12"/>
      <c r="F212" t="s">
        <v>164</v>
      </c>
      <c r="G212">
        <v>100</v>
      </c>
      <c r="H212">
        <v>0</v>
      </c>
      <c r="I212">
        <v>0</v>
      </c>
      <c r="J212">
        <f t="shared" si="122"/>
        <v>91.25</v>
      </c>
      <c r="K212">
        <v>0.06</v>
      </c>
      <c r="L212">
        <v>0.55000000000000004</v>
      </c>
      <c r="M212">
        <v>55</v>
      </c>
      <c r="N212">
        <f t="shared" si="137"/>
        <v>0</v>
      </c>
      <c r="O212">
        <f>O191</f>
        <v>1</v>
      </c>
      <c r="P212">
        <f>P191</f>
        <v>0.76</v>
      </c>
      <c r="Q212">
        <f t="shared" si="123"/>
        <v>4.7000000000000002E-3</v>
      </c>
      <c r="R212">
        <f t="shared" si="124"/>
        <v>0</v>
      </c>
      <c r="S212">
        <v>0</v>
      </c>
      <c r="T212">
        <f t="shared" si="138"/>
        <v>0</v>
      </c>
      <c r="U212">
        <f t="shared" si="125"/>
        <v>1.3</v>
      </c>
      <c r="V212">
        <f t="shared" si="126"/>
        <v>1</v>
      </c>
      <c r="W212">
        <f t="shared" si="127"/>
        <v>0.43585000000000007</v>
      </c>
      <c r="X212">
        <v>1.5</v>
      </c>
      <c r="Y212">
        <f t="shared" si="139"/>
        <v>0.98889100346175773</v>
      </c>
      <c r="Z212">
        <f t="shared" si="128"/>
        <v>0.95969823125361531</v>
      </c>
      <c r="AA212">
        <f t="shared" si="140"/>
        <v>0.94903694692486162</v>
      </c>
      <c r="AB212">
        <f t="shared" si="129"/>
        <v>5.6942216815491692E-2</v>
      </c>
      <c r="AC212">
        <f t="shared" si="130"/>
        <v>0.08</v>
      </c>
      <c r="AD212">
        <f t="shared" si="131"/>
        <v>0.4260459934868201</v>
      </c>
      <c r="AE212">
        <f t="shared" si="132"/>
        <v>0.19</v>
      </c>
      <c r="AF212">
        <f t="shared" si="133"/>
        <v>0.6784</v>
      </c>
      <c r="AG212">
        <f t="shared" si="134"/>
        <v>0</v>
      </c>
      <c r="AH212">
        <f t="shared" si="135"/>
        <v>2.5810343456944269E-4</v>
      </c>
      <c r="AI212">
        <f t="shared" si="141"/>
        <v>2.5810343456944269E-4</v>
      </c>
      <c r="AJ212">
        <f t="shared" si="136"/>
        <v>2.3551938404461645</v>
      </c>
    </row>
    <row r="213" spans="5:36" x14ac:dyDescent="0.2">
      <c r="E213" s="11"/>
      <c r="F213" t="s">
        <v>165</v>
      </c>
      <c r="G213">
        <v>90</v>
      </c>
      <c r="H213">
        <v>0</v>
      </c>
      <c r="I213">
        <v>0</v>
      </c>
      <c r="J213">
        <f t="shared" si="122"/>
        <v>91.25</v>
      </c>
      <c r="K213">
        <v>0.06</v>
      </c>
      <c r="L213">
        <v>0.5</v>
      </c>
      <c r="M213">
        <v>48</v>
      </c>
      <c r="N213">
        <f t="shared" si="137"/>
        <v>0</v>
      </c>
      <c r="O213">
        <f>O191</f>
        <v>1</v>
      </c>
      <c r="P213">
        <f>P191</f>
        <v>0.76</v>
      </c>
      <c r="Q213">
        <f t="shared" si="123"/>
        <v>4.7000000000000002E-3</v>
      </c>
      <c r="R213">
        <f t="shared" si="124"/>
        <v>0</v>
      </c>
      <c r="S213">
        <v>0</v>
      </c>
      <c r="T213">
        <f t="shared" si="138"/>
        <v>0</v>
      </c>
      <c r="U213">
        <f t="shared" si="125"/>
        <v>1.3</v>
      </c>
      <c r="V213">
        <f t="shared" si="126"/>
        <v>1</v>
      </c>
      <c r="W213">
        <f t="shared" si="127"/>
        <v>0.39610000000000001</v>
      </c>
      <c r="X213">
        <v>0.7</v>
      </c>
      <c r="Y213">
        <f t="shared" si="139"/>
        <v>0.62468890114860043</v>
      </c>
      <c r="Z213">
        <f t="shared" si="128"/>
        <v>0.75146539652530986</v>
      </c>
      <c r="AA213">
        <f t="shared" si="140"/>
        <v>0.46943209280659309</v>
      </c>
      <c r="AB213">
        <f t="shared" si="129"/>
        <v>2.8165925568395585E-2</v>
      </c>
      <c r="AC213">
        <f t="shared" si="130"/>
        <v>0.08</v>
      </c>
      <c r="AD213">
        <f t="shared" si="131"/>
        <v>0.22404824951408225</v>
      </c>
      <c r="AE213">
        <f t="shared" si="132"/>
        <v>0.19</v>
      </c>
      <c r="AF213">
        <f t="shared" si="133"/>
        <v>0.6784</v>
      </c>
      <c r="AG213">
        <f t="shared" si="134"/>
        <v>0</v>
      </c>
      <c r="AH213">
        <f t="shared" si="135"/>
        <v>1.357309388960256E-4</v>
      </c>
      <c r="AI213">
        <f t="shared" si="141"/>
        <v>1.357309388960256E-4</v>
      </c>
      <c r="AJ213">
        <f t="shared" si="136"/>
        <v>1.1146903356836102</v>
      </c>
    </row>
    <row r="214" spans="5:36" x14ac:dyDescent="0.2">
      <c r="E214" s="12"/>
      <c r="F214" t="s">
        <v>166</v>
      </c>
      <c r="G214">
        <v>80</v>
      </c>
      <c r="H214">
        <v>0</v>
      </c>
      <c r="I214">
        <v>0</v>
      </c>
      <c r="J214">
        <f t="shared" si="122"/>
        <v>91.25</v>
      </c>
      <c r="K214">
        <v>0.21</v>
      </c>
      <c r="L214">
        <v>0.76</v>
      </c>
      <c r="M214">
        <v>48</v>
      </c>
      <c r="N214">
        <f t="shared" si="137"/>
        <v>0</v>
      </c>
      <c r="O214">
        <f>O191</f>
        <v>1</v>
      </c>
      <c r="P214">
        <f>P191</f>
        <v>0.76</v>
      </c>
      <c r="Q214">
        <f t="shared" si="123"/>
        <v>4.7000000000000002E-3</v>
      </c>
      <c r="R214">
        <f t="shared" si="124"/>
        <v>0</v>
      </c>
      <c r="S214">
        <v>0</v>
      </c>
      <c r="T214">
        <f t="shared" si="138"/>
        <v>0</v>
      </c>
      <c r="U214">
        <f t="shared" si="125"/>
        <v>1.3</v>
      </c>
      <c r="V214">
        <f t="shared" si="126"/>
        <v>1</v>
      </c>
      <c r="W214">
        <f t="shared" si="127"/>
        <v>0.60280000000000011</v>
      </c>
      <c r="X214">
        <v>1.2</v>
      </c>
      <c r="Y214">
        <f t="shared" si="139"/>
        <v>0.94386523716586623</v>
      </c>
      <c r="Z214">
        <f t="shared" si="128"/>
        <v>1.1461208299494401</v>
      </c>
      <c r="AA214">
        <f t="shared" si="140"/>
        <v>1.0817836089809678</v>
      </c>
      <c r="AB214">
        <f t="shared" si="129"/>
        <v>0.22717455788600324</v>
      </c>
      <c r="AC214">
        <f t="shared" si="130"/>
        <v>0.08</v>
      </c>
      <c r="AD214">
        <f t="shared" si="131"/>
        <v>0.2819232334440816</v>
      </c>
      <c r="AE214">
        <f t="shared" si="132"/>
        <v>0.19</v>
      </c>
      <c r="AF214">
        <f t="shared" si="133"/>
        <v>0.6784</v>
      </c>
      <c r="AG214">
        <f t="shared" si="134"/>
        <v>0</v>
      </c>
      <c r="AH214">
        <f t="shared" si="135"/>
        <v>1.7079225236063924E-4</v>
      </c>
      <c r="AI214">
        <f t="shared" si="141"/>
        <v>1.7079225236063924E-4</v>
      </c>
      <c r="AJ214">
        <f t="shared" si="136"/>
        <v>1.2467834422326665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N130" workbookViewId="0">
      <selection activeCell="BY163" sqref="BY163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AY1" workbookViewId="0">
      <selection activeCell="A12" sqref="A12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2026-06-01T01:45:40Z</dcterms:modified>
</cp:coreProperties>
</file>